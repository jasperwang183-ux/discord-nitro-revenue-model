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Params" sheetId="3" state="visible" r:id="rId3"/>
    <sheet name="Curves" sheetId="4" state="visible" r:id="rId4"/>
    <sheet name="Eras" sheetId="5" state="visible" r:id="rId5"/>
    <sheet name="MAU" sheetId="6" state="visible" r:id="rId6"/>
    <sheet name="Prices" sheetId="7" state="visible" r:id="rId7"/>
    <sheet name="FX" sheetId="8" state="visible" r:id="rId8"/>
    <sheet name="Adds" sheetId="9" state="visible" r:id="rId9"/>
    <sheet name="Paid" sheetId="10" state="visible" r:id="rId10"/>
    <sheet name="Legacy" sheetId="11" state="visible" r:id="rId11"/>
    <sheet name="React" sheetId="12" state="visible" r:id="rId12"/>
    <sheet name="Subs" sheetId="13" state="visible" r:id="rId13"/>
    <sheet name="Revenue" sheetId="14" state="visible" r:id="rId14"/>
    <sheet name="Cohort_US_NitroM" sheetId="15" state="visible" r:id="rId15"/>
    <sheet name="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$0.000"/>
    <numFmt numFmtId="166" formatCode="0.000"/>
    <numFmt numFmtId="167" formatCode="0.0%"/>
    <numFmt numFmtId="168" formatCode="$#,##0"/>
    <numFmt numFmtId="169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1" fillId="0" borderId="0" pivotButton="0" quotePrefix="0" xfId="0"/>
    <xf numFmtId="168" fontId="1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Discord Nitro subscription revenue model (portfolio project). All Discord figures are third-party estimates.</t>
        </is>
      </c>
    </row>
    <row r="2">
      <c r="A2" t="inlineStr">
        <is>
          <t>Scenario: upside. Generated by nitro_model.excel_export from data/assumptions.csv; mirrors src/nitro_model/cohorts.py.</t>
        </is>
      </c>
    </row>
    <row r="3">
      <c r="A3" t="inlineStr">
        <is>
          <t>Flow: Assumptions -&gt; Params -&gt; Curves / Eras / MAU / Prices / FX -&gt; Adds -&gt; Paid, Legacy, React -&gt; Subs -&gt; Revenue -&gt; Checks.</t>
        </is>
      </c>
    </row>
    <row r="4">
      <c r="A4" t="inlineStr">
        <is>
          <t>FY2025 is history (base values, Params hist.*). From Params!forecast_start_month_index the scenario's values apply to new sign-ups.</t>
        </is>
      </c>
    </row>
    <row r="5">
      <c r="A5" t="inlineStr">
        <is>
          <t>Change inputs only on the Assumptions sheet (yellow cells on Params link there). Params!k_cal is solved in Python.</t>
        </is>
      </c>
    </row>
    <row r="6">
      <c r="A6" t="inlineStr">
        <is>
          <t>Active subscribers = SUMPRODUCT(sign-ups to date, reversed survival curve). Cohort_US_NitroM shows one segment as a full triangle.</t>
        </is>
      </c>
    </row>
    <row r="7">
      <c r="A7" t="inlineStr">
        <is>
          <t>Prices are fixed in local currency at FY2025 average FX; the FX sheet turns them into USD each month (Params!fx_shock_dir: +1 = USD 10% stronger).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segment</t>
        </is>
      </c>
      <c r="D1" s="1" t="inlineStr">
        <is>
          <t>scenario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status</t>
        </is>
      </c>
      <c r="J1" s="1" t="inlineStr">
        <is>
          <t>source_ids</t>
        </is>
      </c>
      <c r="K1" s="1" t="inlineStr">
        <is>
          <t>as_of</t>
        </is>
      </c>
      <c r="L1" s="1" t="inlineStr">
        <is>
          <t>notes</t>
        </is>
      </c>
    </row>
    <row r="2">
      <c r="A2" t="inlineStr">
        <is>
          <t>model_start_year</t>
        </is>
      </c>
      <c r="B2" t="inlineStr">
        <is>
          <t>timeline</t>
        </is>
      </c>
      <c r="C2" t="inlineStr">
        <is>
          <t>all</t>
        </is>
      </c>
      <c r="D2" t="inlineStr">
        <is>
          <t>all</t>
        </is>
      </c>
      <c r="E2" t="n">
        <v>2025</v>
      </c>
      <c r="F2" t="inlineStr">
        <is>
          <t>year</t>
        </is>
      </c>
      <c r="I2" t="inlineStr">
        <is>
          <t>design</t>
        </is>
      </c>
      <c r="J2" t="inlineStr">
        <is>
          <t>P01</t>
        </is>
      </c>
      <c r="K2" t="inlineStr">
        <is>
          <t>2026-10-27</t>
        </is>
      </c>
      <c r="L2" t="inlineStr">
        <is>
          <t>FY2025 is the calibration year against public estimates</t>
        </is>
      </c>
    </row>
    <row r="3">
      <c r="A3" t="inlineStr">
        <is>
          <t>model_start_month</t>
        </is>
      </c>
      <c r="B3" t="inlineStr">
        <is>
          <t>timeline</t>
        </is>
      </c>
      <c r="C3" t="inlineStr">
        <is>
          <t>all</t>
        </is>
      </c>
      <c r="D3" t="inlineStr">
        <is>
          <t>all</t>
        </is>
      </c>
      <c r="E3" t="n">
        <v>1</v>
      </c>
      <c r="F3" t="inlineStr">
        <is>
          <t>month</t>
        </is>
      </c>
      <c r="I3" t="inlineStr">
        <is>
          <t>design</t>
        </is>
      </c>
      <c r="J3" t="inlineStr">
        <is>
          <t>P01</t>
        </is>
      </c>
      <c r="K3" t="inlineStr">
        <is>
          <t>2026-10-27</t>
        </is>
      </c>
    </row>
    <row r="4">
      <c r="A4" t="inlineStr">
        <is>
          <t>horizon_months</t>
        </is>
      </c>
      <c r="B4" t="inlineStr">
        <is>
          <t>timeline</t>
        </is>
      </c>
      <c r="C4" t="inlineStr">
        <is>
          <t>all</t>
        </is>
      </c>
      <c r="D4" t="inlineStr">
        <is>
          <t>all</t>
        </is>
      </c>
      <c r="E4" t="n">
        <v>72</v>
      </c>
      <c r="F4" t="inlineStr">
        <is>
          <t>months</t>
        </is>
      </c>
      <c r="I4" t="inlineStr">
        <is>
          <t>design</t>
        </is>
      </c>
      <c r="J4" t="inlineStr">
        <is>
          <t>P01</t>
        </is>
      </c>
      <c r="K4" t="inlineStr">
        <is>
          <t>2026-10-27</t>
        </is>
      </c>
      <c r="L4" t="inlineStr">
        <is>
          <t>Jan 2025 to Dec 2030: 12 calibration months + 60 forecast months</t>
        </is>
      </c>
    </row>
    <row r="5">
      <c r="A5" t="inlineStr">
        <is>
          <t>mau_jan2025</t>
        </is>
      </c>
      <c r="B5" t="inlineStr">
        <is>
          <t>mau</t>
        </is>
      </c>
      <c r="C5" t="inlineStr">
        <is>
          <t>all</t>
        </is>
      </c>
      <c r="D5" t="inlineStr">
        <is>
          <t>all</t>
        </is>
      </c>
      <c r="E5" t="n">
        <v>225</v>
      </c>
      <c r="F5" t="inlineStr">
        <is>
          <t>M users</t>
        </is>
      </c>
      <c r="G5" t="n">
        <v>200</v>
      </c>
      <c r="H5" t="n">
        <v>260</v>
      </c>
      <c r="I5" t="inlineStr">
        <is>
          <t>proposed</t>
        </is>
      </c>
      <c r="J5" t="inlineStr">
        <is>
          <t>S06;S02;S03;A01</t>
        </is>
      </c>
      <c r="K5" t="inlineStr">
        <is>
          <t>2026-10-27</t>
        </is>
      </c>
      <c r="L5" t="inlineStr">
        <is>
          <t>Discord says 200M+ (May 2025); trackers say 227.7M (2024) to 250-259M (2025). Start below tracker midpoint: trackers likely mix visits and registered users</t>
        </is>
      </c>
    </row>
    <row r="6">
      <c r="A6" t="inlineStr">
        <is>
          <t>mau_share</t>
        </is>
      </c>
      <c r="B6" t="inlineStr">
        <is>
          <t>mau</t>
        </is>
      </c>
      <c r="C6" t="inlineStr">
        <is>
          <t>US_CA</t>
        </is>
      </c>
      <c r="D6" t="inlineStr">
        <is>
          <t>all</t>
        </is>
      </c>
      <c r="E6" t="n">
        <v>0.31</v>
      </c>
      <c r="F6" t="inlineStr">
        <is>
          <t>share</t>
        </is>
      </c>
      <c r="G6" t="n">
        <v>0.27</v>
      </c>
      <c r="H6" t="n">
        <v>0.35</v>
      </c>
      <c r="I6" t="inlineStr">
        <is>
          <t>proposed</t>
        </is>
      </c>
      <c r="J6" t="inlineStr">
        <is>
          <t>S07;A01</t>
        </is>
      </c>
      <c r="K6" t="inlineStr">
        <is>
          <t>2026-10-27</t>
        </is>
      </c>
      <c r="L6" t="inlineStr">
        <is>
          <t>Semrush web traffic US 29.1% plus Canada. Caveat: web traffic misses desktop-app and mobile-app use so regional mix may skew; conv_rate by region absorbs part of the error</t>
        </is>
      </c>
    </row>
    <row r="7">
      <c r="A7" t="inlineStr">
        <is>
          <t>mau_share</t>
        </is>
      </c>
      <c r="B7" t="inlineStr">
        <is>
          <t>mau</t>
        </is>
      </c>
      <c r="C7" t="inlineStr">
        <is>
          <t>EUROPE</t>
        </is>
      </c>
      <c r="D7" t="inlineStr">
        <is>
          <t>all</t>
        </is>
      </c>
      <c r="E7" t="n">
        <v>0.28</v>
      </c>
      <c r="F7" t="inlineStr">
        <is>
          <t>share</t>
        </is>
      </c>
      <c r="G7" t="n">
        <v>0.22</v>
      </c>
      <c r="H7" t="n">
        <v>0.32</v>
      </c>
      <c r="I7" t="inlineStr">
        <is>
          <t>proposed</t>
        </is>
      </c>
      <c r="J7" t="inlineStr">
        <is>
          <t>S07;A01</t>
        </is>
      </c>
      <c r="K7" t="inlineStr">
        <is>
          <t>2026-10-27</t>
        </is>
      </c>
      <c r="L7" t="inlineStr">
        <is>
          <t>No direct Europe figure found; judgment from country traffic tail (DE/FR/UK/PL)</t>
        </is>
      </c>
    </row>
    <row r="8">
      <c r="A8" t="inlineStr">
        <is>
          <t>mau_share</t>
        </is>
      </c>
      <c r="B8" t="inlineStr">
        <is>
          <t>mau</t>
        </is>
      </c>
      <c r="C8" t="inlineStr">
        <is>
          <t>LATAM</t>
        </is>
      </c>
      <c r="D8" t="inlineStr">
        <is>
          <t>all</t>
        </is>
      </c>
      <c r="E8" t="n">
        <v>0.14</v>
      </c>
      <c r="F8" t="inlineStr">
        <is>
          <t>share</t>
        </is>
      </c>
      <c r="G8" t="n">
        <v>0.1</v>
      </c>
      <c r="H8" t="n">
        <v>0.18</v>
      </c>
      <c r="I8" t="inlineStr">
        <is>
          <t>proposed</t>
        </is>
      </c>
      <c r="J8" t="inlineStr">
        <is>
          <t>S07;A01</t>
        </is>
      </c>
      <c r="K8" t="inlineStr">
        <is>
          <t>2026-10-27</t>
        </is>
      </c>
      <c r="L8" t="inlineStr">
        <is>
          <t>Brazil 7.25% of traffic plus rest of LatAm</t>
        </is>
      </c>
    </row>
    <row r="9">
      <c r="A9" t="inlineStr">
        <is>
          <t>mau_share</t>
        </is>
      </c>
      <c r="B9" t="inlineStr">
        <is>
          <t>mau</t>
        </is>
      </c>
      <c r="C9" t="inlineStr">
        <is>
          <t>APAC</t>
        </is>
      </c>
      <c r="D9" t="inlineStr">
        <is>
          <t>all</t>
        </is>
      </c>
      <c r="E9" t="n">
        <v>0.15</v>
      </c>
      <c r="F9" t="inlineStr">
        <is>
          <t>share</t>
        </is>
      </c>
      <c r="G9" t="n">
        <v>0.1</v>
      </c>
      <c r="H9" t="n">
        <v>0.2</v>
      </c>
      <c r="I9" t="inlineStr">
        <is>
          <t>proposed</t>
        </is>
      </c>
      <c r="J9" t="inlineStr">
        <is>
          <t>S07;A01</t>
        </is>
      </c>
      <c r="K9" t="inlineStr">
        <is>
          <t>2026-10-27</t>
        </is>
      </c>
      <c r="L9" t="inlineStr">
        <is>
          <t>India 4.9% of traffic plus Japan/SEA/ANZ</t>
        </is>
      </c>
    </row>
    <row r="10">
      <c r="A10" t="inlineStr">
        <is>
          <t>mau_share</t>
        </is>
      </c>
      <c r="B10" t="inlineStr">
        <is>
          <t>mau</t>
        </is>
      </c>
      <c r="C10" t="inlineStr">
        <is>
          <t>ROW</t>
        </is>
      </c>
      <c r="D10" t="inlineStr">
        <is>
          <t>all</t>
        </is>
      </c>
      <c r="E10" t="n">
        <v>0.12</v>
      </c>
      <c r="F10" t="inlineStr">
        <is>
          <t>share</t>
        </is>
      </c>
      <c r="G10" t="n">
        <v>0.08</v>
      </c>
      <c r="H10" t="n">
        <v>0.16</v>
      </c>
      <c r="I10" t="inlineStr">
        <is>
          <t>proposed</t>
        </is>
      </c>
      <c r="J10" t="inlineStr">
        <is>
          <t>S07;A01</t>
        </is>
      </c>
      <c r="K10" t="inlineStr">
        <is>
          <t>2026-10-27</t>
        </is>
      </c>
      <c r="L10" t="inlineStr">
        <is>
          <t>Turkey, Russia, MENA, Africa</t>
        </is>
      </c>
    </row>
    <row r="11">
      <c r="A11" t="inlineStr">
        <is>
          <t>mau_growth_2025</t>
        </is>
      </c>
      <c r="B11" t="inlineStr">
        <is>
          <t>mau</t>
        </is>
      </c>
      <c r="C11" t="inlineStr">
        <is>
          <t>all</t>
        </is>
      </c>
      <c r="D11" t="inlineStr">
        <is>
          <t>all</t>
        </is>
      </c>
      <c r="E11" t="n">
        <v>0.1</v>
      </c>
      <c r="F11" t="inlineStr">
        <is>
          <t>YoY</t>
        </is>
      </c>
      <c r="G11" t="n">
        <v>0.06</v>
      </c>
      <c r="H11" t="n">
        <v>0.14</v>
      </c>
      <c r="I11" t="inlineStr">
        <is>
          <t>proposed</t>
        </is>
      </c>
      <c r="J11" t="inlineStr">
        <is>
          <t>S02;S03;A01</t>
        </is>
      </c>
      <c r="K11" t="inlineStr">
        <is>
          <t>2026-10-28</t>
        </is>
      </c>
      <c r="L11" t="inlineStr">
        <is>
          <t>Tracker YoY 2024-25: 8.7% (Resourcera) to 13.8% (Feedough). Same in every scenario: FY2025 is the calibration year</t>
        </is>
      </c>
    </row>
    <row r="12">
      <c r="A12" t="inlineStr">
        <is>
          <t>mau_growth_first</t>
        </is>
      </c>
      <c r="B12" t="inlineStr">
        <is>
          <t>mau</t>
        </is>
      </c>
      <c r="C12" t="inlineStr">
        <is>
          <t>all</t>
        </is>
      </c>
      <c r="D12" t="inlineStr">
        <is>
          <t>base</t>
        </is>
      </c>
      <c r="E12" t="n">
        <v>0.08</v>
      </c>
      <c r="F12" t="inlineStr">
        <is>
          <t>YoY</t>
        </is>
      </c>
      <c r="G12" t="n">
        <v>0.05</v>
      </c>
      <c r="H12" t="n">
        <v>0.11</v>
      </c>
      <c r="I12" t="inlineStr">
        <is>
          <t>proposed</t>
        </is>
      </c>
      <c r="J12" t="inlineStr">
        <is>
          <t>S02;S03;A01</t>
        </is>
      </c>
      <c r="K12" t="inlineStr">
        <is>
          <t>2026-10-28</t>
        </is>
      </c>
      <c r="L12" t="inlineStr">
        <is>
          <t>Applies to 2026, the first forecast year; fades linearly to mau_growth_last by 2030</t>
        </is>
      </c>
    </row>
    <row r="13">
      <c r="A13" t="inlineStr">
        <is>
          <t>mau_growth_first</t>
        </is>
      </c>
      <c r="B13" t="inlineStr">
        <is>
          <t>mau</t>
        </is>
      </c>
      <c r="C13" t="inlineStr">
        <is>
          <t>all</t>
        </is>
      </c>
      <c r="D13" t="inlineStr">
        <is>
          <t>upside</t>
        </is>
      </c>
      <c r="E13" t="n">
        <v>0.11</v>
      </c>
      <c r="F13" t="inlineStr">
        <is>
          <t>YoY</t>
        </is>
      </c>
      <c r="G13" t="n">
        <v>0.08</v>
      </c>
      <c r="H13" t="n">
        <v>0.14</v>
      </c>
      <c r="I13" t="inlineStr">
        <is>
          <t>proposed</t>
        </is>
      </c>
      <c r="J13" t="inlineStr">
        <is>
          <t>S02;A01</t>
        </is>
      </c>
      <c r="K13" t="inlineStr">
        <is>
          <t>2026-10-28</t>
        </is>
      </c>
      <c r="L13" t="inlineStr">
        <is>
          <t>Near the high tracker growth rate</t>
        </is>
      </c>
    </row>
    <row r="14">
      <c r="A14" t="inlineStr">
        <is>
          <t>mau_growth_first</t>
        </is>
      </c>
      <c r="B14" t="inlineStr">
        <is>
          <t>mau</t>
        </is>
      </c>
      <c r="C14" t="inlineStr">
        <is>
          <t>all</t>
        </is>
      </c>
      <c r="D14" t="inlineStr">
        <is>
          <t>downside</t>
        </is>
      </c>
      <c r="E14" t="n">
        <v>0.05</v>
      </c>
      <c r="F14" t="inlineStr">
        <is>
          <t>YoY</t>
        </is>
      </c>
      <c r="G14" t="n">
        <v>0.02</v>
      </c>
      <c r="H14" t="n">
        <v>0.08</v>
      </c>
      <c r="I14" t="inlineStr">
        <is>
          <t>proposed</t>
        </is>
      </c>
      <c r="J14" t="inlineStr">
        <is>
          <t>A01</t>
        </is>
      </c>
      <c r="K14" t="inlineStr">
        <is>
          <t>2026-10-28</t>
        </is>
      </c>
    </row>
    <row r="15">
      <c r="A15" t="inlineStr">
        <is>
          <t>mau_growth_last</t>
        </is>
      </c>
      <c r="B15" t="inlineStr">
        <is>
          <t>mau</t>
        </is>
      </c>
      <c r="C15" t="inlineStr">
        <is>
          <t>all</t>
        </is>
      </c>
      <c r="D15" t="inlineStr">
        <is>
          <t>base</t>
        </is>
      </c>
      <c r="E15" t="n">
        <v>0.04</v>
      </c>
      <c r="F15" t="inlineStr">
        <is>
          <t>YoY</t>
        </is>
      </c>
      <c r="G15" t="n">
        <v>0.02</v>
      </c>
      <c r="H15" t="n">
        <v>0.06</v>
      </c>
      <c r="I15" t="inlineStr">
        <is>
          <t>proposed</t>
        </is>
      </c>
      <c r="J15" t="inlineStr">
        <is>
          <t>A01</t>
        </is>
      </c>
      <c r="K15" t="inlineStr">
        <is>
          <t>2026-10-27</t>
        </is>
      </c>
      <c r="L15" t="inlineStr">
        <is>
          <t>Applies to 2030; linear fade from first-year growth</t>
        </is>
      </c>
    </row>
    <row r="16">
      <c r="A16" t="inlineStr">
        <is>
          <t>mau_growth_last</t>
        </is>
      </c>
      <c r="B16" t="inlineStr">
        <is>
          <t>mau</t>
        </is>
      </c>
      <c r="C16" t="inlineStr">
        <is>
          <t>all</t>
        </is>
      </c>
      <c r="D16" t="inlineStr">
        <is>
          <t>upside</t>
        </is>
      </c>
      <c r="E16" t="n">
        <v>0.06</v>
      </c>
      <c r="F16" t="inlineStr">
        <is>
          <t>YoY</t>
        </is>
      </c>
      <c r="G16" t="n">
        <v>0.04</v>
      </c>
      <c r="H16" t="n">
        <v>0.08</v>
      </c>
      <c r="I16" t="inlineStr">
        <is>
          <t>proposed</t>
        </is>
      </c>
      <c r="J16" t="inlineStr">
        <is>
          <t>A01</t>
        </is>
      </c>
      <c r="K16" t="inlineStr">
        <is>
          <t>2026-10-27</t>
        </is>
      </c>
    </row>
    <row r="17">
      <c r="A17" t="inlineStr">
        <is>
          <t>mau_growth_last</t>
        </is>
      </c>
      <c r="B17" t="inlineStr">
        <is>
          <t>mau</t>
        </is>
      </c>
      <c r="C17" t="inlineStr">
        <is>
          <t>all</t>
        </is>
      </c>
      <c r="D17" t="inlineStr">
        <is>
          <t>downside</t>
        </is>
      </c>
      <c r="E17" t="n">
        <v>0</v>
      </c>
      <c r="F17" t="inlineStr">
        <is>
          <t>YoY</t>
        </is>
      </c>
      <c r="G17" t="n">
        <v>-0.03</v>
      </c>
      <c r="H17" t="n">
        <v>0.02</v>
      </c>
      <c r="I17" t="inlineStr">
        <is>
          <t>proposed</t>
        </is>
      </c>
      <c r="J17" t="inlineStr">
        <is>
          <t>A01</t>
        </is>
      </c>
      <c r="K17" t="inlineStr">
        <is>
          <t>2026-10-27</t>
        </is>
      </c>
      <c r="L17" t="inlineStr">
        <is>
          <t>Flat MAU by 2030</t>
        </is>
      </c>
    </row>
    <row r="18">
      <c r="A18" t="inlineStr">
        <is>
          <t>conv_rate</t>
        </is>
      </c>
      <c r="B18" t="inlineStr">
        <is>
          <t>conversion</t>
        </is>
      </c>
      <c r="C18" t="inlineStr">
        <is>
          <t>US_CA</t>
        </is>
      </c>
      <c r="D18" t="inlineStr">
        <is>
          <t>all</t>
        </is>
      </c>
      <c r="E18" t="n">
        <v>0.0045</v>
      </c>
      <c r="F18" t="inlineStr">
        <is>
          <t>gross adds / MAU / month</t>
        </is>
      </c>
      <c r="G18" t="n">
        <v>0.003</v>
      </c>
      <c r="H18" t="n">
        <v>0.006</v>
      </c>
      <c r="I18" t="inlineStr">
        <is>
          <t>proposed</t>
        </is>
      </c>
      <c r="J18" t="inlineStr">
        <is>
          <t>A01</t>
        </is>
      </c>
      <c r="K18" t="inlineStr">
        <is>
          <t>2026-10-27</t>
        </is>
      </c>
      <c r="L18" t="inlineStr">
        <is>
          <t>Back-solved: ~0.65M gross adds/mo holds ~7.3M subs at a ~13-month blended lifetime. Split by willingness to pay. Recalibrated in M3</t>
        </is>
      </c>
    </row>
    <row r="19">
      <c r="A19" t="inlineStr">
        <is>
          <t>conv_rate</t>
        </is>
      </c>
      <c r="B19" t="inlineStr">
        <is>
          <t>conversion</t>
        </is>
      </c>
      <c r="C19" t="inlineStr">
        <is>
          <t>EUROPE</t>
        </is>
      </c>
      <c r="D19" t="inlineStr">
        <is>
          <t>all</t>
        </is>
      </c>
      <c r="E19" t="n">
        <v>0.0032</v>
      </c>
      <c r="F19" t="inlineStr">
        <is>
          <t>gross adds / MAU / month</t>
        </is>
      </c>
      <c r="G19" t="n">
        <v>0.002</v>
      </c>
      <c r="H19" t="n">
        <v>0.0045</v>
      </c>
      <c r="I19" t="inlineStr">
        <is>
          <t>proposed</t>
        </is>
      </c>
      <c r="J19" t="inlineStr">
        <is>
          <t>A01</t>
        </is>
      </c>
      <c r="K19" t="inlineStr">
        <is>
          <t>2026-10-27</t>
        </is>
      </c>
    </row>
    <row r="20">
      <c r="A20" t="inlineStr">
        <is>
          <t>conv_rate</t>
        </is>
      </c>
      <c r="B20" t="inlineStr">
        <is>
          <t>conversion</t>
        </is>
      </c>
      <c r="C20" t="inlineStr">
        <is>
          <t>LATAM</t>
        </is>
      </c>
      <c r="D20" t="inlineStr">
        <is>
          <t>all</t>
        </is>
      </c>
      <c r="E20" t="n">
        <v>0.0015</v>
      </c>
      <c r="F20" t="inlineStr">
        <is>
          <t>gross adds / MAU / month</t>
        </is>
      </c>
      <c r="G20" t="n">
        <v>0.0008</v>
      </c>
      <c r="H20" t="n">
        <v>0.0025</v>
      </c>
      <c r="I20" t="inlineStr">
        <is>
          <t>proposed</t>
        </is>
      </c>
      <c r="J20" t="inlineStr">
        <is>
          <t>A01</t>
        </is>
      </c>
      <c r="K20" t="inlineStr">
        <is>
          <t>2026-10-27</t>
        </is>
      </c>
    </row>
    <row r="21">
      <c r="A21" t="inlineStr">
        <is>
          <t>conv_rate</t>
        </is>
      </c>
      <c r="B21" t="inlineStr">
        <is>
          <t>conversion</t>
        </is>
      </c>
      <c r="C21" t="inlineStr">
        <is>
          <t>APAC</t>
        </is>
      </c>
      <c r="D21" t="inlineStr">
        <is>
          <t>all</t>
        </is>
      </c>
      <c r="E21" t="n">
        <v>0.0018</v>
      </c>
      <c r="F21" t="inlineStr">
        <is>
          <t>gross adds / MAU / month</t>
        </is>
      </c>
      <c r="G21" t="n">
        <v>0.001</v>
      </c>
      <c r="H21" t="n">
        <v>0.0028</v>
      </c>
      <c r="I21" t="inlineStr">
        <is>
          <t>proposed</t>
        </is>
      </c>
      <c r="J21" t="inlineStr">
        <is>
          <t>A01</t>
        </is>
      </c>
      <c r="K21" t="inlineStr">
        <is>
          <t>2026-10-27</t>
        </is>
      </c>
    </row>
    <row r="22">
      <c r="A22" t="inlineStr">
        <is>
          <t>conv_rate</t>
        </is>
      </c>
      <c r="B22" t="inlineStr">
        <is>
          <t>conversion</t>
        </is>
      </c>
      <c r="C22" t="inlineStr">
        <is>
          <t>ROW</t>
        </is>
      </c>
      <c r="D22" t="inlineStr">
        <is>
          <t>all</t>
        </is>
      </c>
      <c r="E22" t="n">
        <v>0.0015</v>
      </c>
      <c r="F22" t="inlineStr">
        <is>
          <t>gross adds / MAU / month</t>
        </is>
      </c>
      <c r="G22" t="n">
        <v>0.0008</v>
      </c>
      <c r="H22" t="n">
        <v>0.0025</v>
      </c>
      <c r="I22" t="inlineStr">
        <is>
          <t>proposed</t>
        </is>
      </c>
      <c r="J22" t="inlineStr">
        <is>
          <t>A01</t>
        </is>
      </c>
      <c r="K22" t="inlineStr">
        <is>
          <t>2026-10-27</t>
        </is>
      </c>
    </row>
    <row r="23">
      <c r="A23" t="inlineStr">
        <is>
          <t>conv_multiplier</t>
        </is>
      </c>
      <c r="B23" t="inlineStr">
        <is>
          <t>conversion</t>
        </is>
      </c>
      <c r="C23" t="inlineStr">
        <is>
          <t>all</t>
        </is>
      </c>
      <c r="D23" t="inlineStr">
        <is>
          <t>base</t>
        </is>
      </c>
      <c r="E23" t="n">
        <v>1</v>
      </c>
      <c r="F23" t="inlineStr">
        <is>
          <t>x</t>
        </is>
      </c>
      <c r="I23" t="inlineStr">
        <is>
          <t>design</t>
        </is>
      </c>
      <c r="J23" t="inlineStr">
        <is>
          <t>P01</t>
        </is>
      </c>
      <c r="K23" t="inlineStr">
        <is>
          <t>2026-10-27</t>
        </is>
      </c>
    </row>
    <row r="24">
      <c r="A24" t="inlineStr">
        <is>
          <t>conv_multiplier</t>
        </is>
      </c>
      <c r="B24" t="inlineStr">
        <is>
          <t>conversion</t>
        </is>
      </c>
      <c r="C24" t="inlineStr">
        <is>
          <t>all</t>
        </is>
      </c>
      <c r="D24" t="inlineStr">
        <is>
          <t>upside</t>
        </is>
      </c>
      <c r="E24" t="n">
        <v>1.1</v>
      </c>
      <c r="F24" t="inlineStr">
        <is>
          <t>x</t>
        </is>
      </c>
      <c r="G24" t="n">
        <v>1.05</v>
      </c>
      <c r="H24" t="n">
        <v>1.2</v>
      </c>
      <c r="I24" t="inlineStr">
        <is>
          <t>proposed</t>
        </is>
      </c>
      <c r="J24" t="inlineStr">
        <is>
          <t>A01</t>
        </is>
      </c>
      <c r="K24" t="inlineStr">
        <is>
          <t>2026-10-27</t>
        </is>
      </c>
    </row>
    <row r="25">
      <c r="A25" t="inlineStr">
        <is>
          <t>conv_multiplier</t>
        </is>
      </c>
      <c r="B25" t="inlineStr">
        <is>
          <t>conversion</t>
        </is>
      </c>
      <c r="C25" t="inlineStr">
        <is>
          <t>all</t>
        </is>
      </c>
      <c r="D25" t="inlineStr">
        <is>
          <t>downside</t>
        </is>
      </c>
      <c r="E25" t="n">
        <v>0.9</v>
      </c>
      <c r="F25" t="inlineStr">
        <is>
          <t>x</t>
        </is>
      </c>
      <c r="G25" t="n">
        <v>0.8</v>
      </c>
      <c r="H25" t="n">
        <v>0.95</v>
      </c>
      <c r="I25" t="inlineStr">
        <is>
          <t>proposed</t>
        </is>
      </c>
      <c r="J25" t="inlineStr">
        <is>
          <t>A01</t>
        </is>
      </c>
      <c r="K25" t="inlineStr">
        <is>
          <t>2026-10-27</t>
        </is>
      </c>
    </row>
    <row r="26">
      <c r="A26" t="inlineStr">
        <is>
          <t>plan_mix</t>
        </is>
      </c>
      <c r="B26" t="inlineStr">
        <is>
          <t>mix_plan</t>
        </is>
      </c>
      <c r="C26" t="inlineStr">
        <is>
          <t>NITRO_M</t>
        </is>
      </c>
      <c r="D26" t="inlineStr">
        <is>
          <t>all</t>
        </is>
      </c>
      <c r="E26" t="n">
        <v>0.45</v>
      </c>
      <c r="F26" t="inlineStr">
        <is>
          <t>share of gross adds</t>
        </is>
      </c>
      <c r="G26" t="n">
        <v>0.35</v>
      </c>
      <c r="H26" t="n">
        <v>0.55</v>
      </c>
      <c r="I26" t="inlineStr">
        <is>
          <t>proposed</t>
        </is>
      </c>
      <c r="J26" t="inlineStr">
        <is>
          <t>A01</t>
        </is>
      </c>
      <c r="K26" t="inlineStr">
        <is>
          <t>2026-10-27</t>
        </is>
      </c>
      <c r="L26" t="inlineStr">
        <is>
          <t>No public plan mix. Drives most of the ARPU gap vs list price</t>
        </is>
      </c>
    </row>
    <row r="27">
      <c r="A27" t="inlineStr">
        <is>
          <t>plan_mix</t>
        </is>
      </c>
      <c r="B27" t="inlineStr">
        <is>
          <t>mix_plan</t>
        </is>
      </c>
      <c r="C27" t="inlineStr">
        <is>
          <t>NITRO_A</t>
        </is>
      </c>
      <c r="D27" t="inlineStr">
        <is>
          <t>all</t>
        </is>
      </c>
      <c r="E27" t="n">
        <v>0.15</v>
      </c>
      <c r="F27" t="inlineStr">
        <is>
          <t>share of gross adds</t>
        </is>
      </c>
      <c r="G27" t="n">
        <v>0.08</v>
      </c>
      <c r="H27" t="n">
        <v>0.25</v>
      </c>
      <c r="I27" t="inlineStr">
        <is>
          <t>proposed</t>
        </is>
      </c>
      <c r="J27" t="inlineStr">
        <is>
          <t>S15;A01</t>
        </is>
      </c>
      <c r="K27" t="inlineStr">
        <is>
          <t>2026-10-27</t>
        </is>
      </c>
      <c r="L27" t="inlineStr">
        <is>
          <t>Duolingo shows annual share can reach 47-71% when pushed hard; Discord does not push annual that hard</t>
        </is>
      </c>
    </row>
    <row r="28">
      <c r="A28" t="inlineStr">
        <is>
          <t>plan_mix</t>
        </is>
      </c>
      <c r="B28" t="inlineStr">
        <is>
          <t>mix_plan</t>
        </is>
      </c>
      <c r="C28" t="inlineStr">
        <is>
          <t>BASIC_M</t>
        </is>
      </c>
      <c r="D28" t="inlineStr">
        <is>
          <t>all</t>
        </is>
      </c>
      <c r="E28" t="n">
        <v>0.32</v>
      </c>
      <c r="F28" t="inlineStr">
        <is>
          <t>share of gross adds</t>
        </is>
      </c>
      <c r="G28" t="n">
        <v>0.2</v>
      </c>
      <c r="H28" t="n">
        <v>0.45</v>
      </c>
      <c r="I28" t="inlineStr">
        <is>
          <t>proposed</t>
        </is>
      </c>
      <c r="J28" t="inlineStr">
        <is>
          <t>A01</t>
        </is>
      </c>
      <c r="K28" t="inlineStr">
        <is>
          <t>2026-10-27</t>
        </is>
      </c>
    </row>
    <row r="29">
      <c r="A29" t="inlineStr">
        <is>
          <t>plan_mix</t>
        </is>
      </c>
      <c r="B29" t="inlineStr">
        <is>
          <t>mix_plan</t>
        </is>
      </c>
      <c r="C29" t="inlineStr">
        <is>
          <t>BASIC_A</t>
        </is>
      </c>
      <c r="D29" t="inlineStr">
        <is>
          <t>all</t>
        </is>
      </c>
      <c r="E29" t="n">
        <v>0.08</v>
      </c>
      <c r="F29" t="inlineStr">
        <is>
          <t>share of gross adds</t>
        </is>
      </c>
      <c r="G29" t="n">
        <v>0.03</v>
      </c>
      <c r="H29" t="n">
        <v>0.15</v>
      </c>
      <c r="I29" t="inlineStr">
        <is>
          <t>proposed</t>
        </is>
      </c>
      <c r="J29" t="inlineStr">
        <is>
          <t>A01</t>
        </is>
      </c>
      <c r="K29" t="inlineStr">
        <is>
          <t>2026-10-27</t>
        </is>
      </c>
    </row>
    <row r="30">
      <c r="A30" t="inlineStr">
        <is>
          <t>platform_mix</t>
        </is>
      </c>
      <c r="B30" t="inlineStr">
        <is>
          <t>mix_platform</t>
        </is>
      </c>
      <c r="C30" t="inlineStr">
        <is>
          <t>US_CA|WEB</t>
        </is>
      </c>
      <c r="D30" t="inlineStr">
        <is>
          <t>all</t>
        </is>
      </c>
      <c r="E30" t="n">
        <v>0.55</v>
      </c>
      <c r="F30" t="inlineStr">
        <is>
          <t>share of gross adds</t>
        </is>
      </c>
      <c r="G30" t="n">
        <v>0.45</v>
      </c>
      <c r="H30" t="n">
        <v>0.65</v>
      </c>
      <c r="I30" t="inlineStr">
        <is>
          <t>proposed</t>
        </is>
      </c>
      <c r="J30" t="inlineStr">
        <is>
          <t>A01</t>
        </is>
      </c>
      <c r="K30" t="inlineStr">
        <is>
          <t>2026-10-27</t>
        </is>
      </c>
      <c r="L30" t="inlineStr">
        <is>
          <t>Desktop-first product; web/desktop billing avoids app store fees</t>
        </is>
      </c>
    </row>
    <row r="31">
      <c r="A31" t="inlineStr">
        <is>
          <t>platform_mix</t>
        </is>
      </c>
      <c r="B31" t="inlineStr">
        <is>
          <t>mix_platform</t>
        </is>
      </c>
      <c r="C31" t="inlineStr">
        <is>
          <t>US_CA|IOS</t>
        </is>
      </c>
      <c r="D31" t="inlineStr">
        <is>
          <t>all</t>
        </is>
      </c>
      <c r="E31" t="n">
        <v>0.3</v>
      </c>
      <c r="F31" t="inlineStr">
        <is>
          <t>share of gross adds</t>
        </is>
      </c>
      <c r="G31" t="n">
        <v>0.2</v>
      </c>
      <c r="H31" t="n">
        <v>0.4</v>
      </c>
      <c r="I31" t="inlineStr">
        <is>
          <t>proposed</t>
        </is>
      </c>
      <c r="J31" t="inlineStr">
        <is>
          <t>A01</t>
        </is>
      </c>
      <c r="K31" t="inlineStr">
        <is>
          <t>2026-10-27</t>
        </is>
      </c>
      <c r="L31" t="inlineStr">
        <is>
          <t>High iPhone share in US</t>
        </is>
      </c>
    </row>
    <row r="32">
      <c r="A32" t="inlineStr">
        <is>
          <t>platform_mix</t>
        </is>
      </c>
      <c r="B32" t="inlineStr">
        <is>
          <t>mix_platform</t>
        </is>
      </c>
      <c r="C32" t="inlineStr">
        <is>
          <t>US_CA|ANDROID</t>
        </is>
      </c>
      <c r="D32" t="inlineStr">
        <is>
          <t>all</t>
        </is>
      </c>
      <c r="E32" t="n">
        <v>0.15</v>
      </c>
      <c r="F32" t="inlineStr">
        <is>
          <t>share of gross adds</t>
        </is>
      </c>
      <c r="G32" t="n">
        <v>0.1</v>
      </c>
      <c r="H32" t="n">
        <v>0.2</v>
      </c>
      <c r="I32" t="inlineStr">
        <is>
          <t>proposed</t>
        </is>
      </c>
      <c r="J32" t="inlineStr">
        <is>
          <t>A01</t>
        </is>
      </c>
      <c r="K32" t="inlineStr">
        <is>
          <t>2026-10-27</t>
        </is>
      </c>
    </row>
    <row r="33">
      <c r="A33" t="inlineStr">
        <is>
          <t>platform_mix</t>
        </is>
      </c>
      <c r="B33" t="inlineStr">
        <is>
          <t>mix_platform</t>
        </is>
      </c>
      <c r="C33" t="inlineStr">
        <is>
          <t>EUROPE|WEB</t>
        </is>
      </c>
      <c r="D33" t="inlineStr">
        <is>
          <t>all</t>
        </is>
      </c>
      <c r="E33" t="n">
        <v>0.6</v>
      </c>
      <c r="F33" t="inlineStr">
        <is>
          <t>share of gross adds</t>
        </is>
      </c>
      <c r="G33" t="n">
        <v>0.5</v>
      </c>
      <c r="H33" t="n">
        <v>0.7</v>
      </c>
      <c r="I33" t="inlineStr">
        <is>
          <t>proposed</t>
        </is>
      </c>
      <c r="J33" t="inlineStr">
        <is>
          <t>A01</t>
        </is>
      </c>
      <c r="K33" t="inlineStr">
        <is>
          <t>2026-10-27</t>
        </is>
      </c>
    </row>
    <row r="34">
      <c r="A34" t="inlineStr">
        <is>
          <t>platform_mix</t>
        </is>
      </c>
      <c r="B34" t="inlineStr">
        <is>
          <t>mix_platform</t>
        </is>
      </c>
      <c r="C34" t="inlineStr">
        <is>
          <t>EUROPE|IOS</t>
        </is>
      </c>
      <c r="D34" t="inlineStr">
        <is>
          <t>all</t>
        </is>
      </c>
      <c r="E34" t="n">
        <v>0.22</v>
      </c>
      <c r="F34" t="inlineStr">
        <is>
          <t>share of gross adds</t>
        </is>
      </c>
      <c r="G34" t="n">
        <v>0.15</v>
      </c>
      <c r="H34" t="n">
        <v>0.3</v>
      </c>
      <c r="I34" t="inlineStr">
        <is>
          <t>proposed</t>
        </is>
      </c>
      <c r="J34" t="inlineStr">
        <is>
          <t>A01</t>
        </is>
      </c>
      <c r="K34" t="inlineStr">
        <is>
          <t>2026-10-27</t>
        </is>
      </c>
    </row>
    <row r="35">
      <c r="A35" t="inlineStr">
        <is>
          <t>platform_mix</t>
        </is>
      </c>
      <c r="B35" t="inlineStr">
        <is>
          <t>mix_platform</t>
        </is>
      </c>
      <c r="C35" t="inlineStr">
        <is>
          <t>EUROPE|ANDROID</t>
        </is>
      </c>
      <c r="D35" t="inlineStr">
        <is>
          <t>all</t>
        </is>
      </c>
      <c r="E35" t="n">
        <v>0.18</v>
      </c>
      <c r="F35" t="inlineStr">
        <is>
          <t>share of gross adds</t>
        </is>
      </c>
      <c r="G35" t="n">
        <v>0.12</v>
      </c>
      <c r="H35" t="n">
        <v>0.25</v>
      </c>
      <c r="I35" t="inlineStr">
        <is>
          <t>proposed</t>
        </is>
      </c>
      <c r="J35" t="inlineStr">
        <is>
          <t>A01</t>
        </is>
      </c>
      <c r="K35" t="inlineStr">
        <is>
          <t>2026-10-27</t>
        </is>
      </c>
    </row>
    <row r="36">
      <c r="A36" t="inlineStr">
        <is>
          <t>platform_mix</t>
        </is>
      </c>
      <c r="B36" t="inlineStr">
        <is>
          <t>mix_platform</t>
        </is>
      </c>
      <c r="C36" t="inlineStr">
        <is>
          <t>LATAM|WEB</t>
        </is>
      </c>
      <c r="D36" t="inlineStr">
        <is>
          <t>all</t>
        </is>
      </c>
      <c r="E36" t="n">
        <v>0.55</v>
      </c>
      <c r="F36" t="inlineStr">
        <is>
          <t>share of gross adds</t>
        </is>
      </c>
      <c r="G36" t="n">
        <v>0.45</v>
      </c>
      <c r="H36" t="n">
        <v>0.65</v>
      </c>
      <c r="I36" t="inlineStr">
        <is>
          <t>proposed</t>
        </is>
      </c>
      <c r="J36" t="inlineStr">
        <is>
          <t>A01</t>
        </is>
      </c>
      <c r="K36" t="inlineStr">
        <is>
          <t>2026-10-27</t>
        </is>
      </c>
    </row>
    <row r="37">
      <c r="A37" t="inlineStr">
        <is>
          <t>platform_mix</t>
        </is>
      </c>
      <c r="B37" t="inlineStr">
        <is>
          <t>mix_platform</t>
        </is>
      </c>
      <c r="C37" t="inlineStr">
        <is>
          <t>LATAM|IOS</t>
        </is>
      </c>
      <c r="D37" t="inlineStr">
        <is>
          <t>all</t>
        </is>
      </c>
      <c r="E37" t="n">
        <v>0.1</v>
      </c>
      <c r="F37" t="inlineStr">
        <is>
          <t>share of gross adds</t>
        </is>
      </c>
      <c r="G37" t="n">
        <v>0.05</v>
      </c>
      <c r="H37" t="n">
        <v>0.15</v>
      </c>
      <c r="I37" t="inlineStr">
        <is>
          <t>proposed</t>
        </is>
      </c>
      <c r="J37" t="inlineStr">
        <is>
          <t>A01</t>
        </is>
      </c>
      <c r="K37" t="inlineStr">
        <is>
          <t>2026-10-27</t>
        </is>
      </c>
      <c r="L37" t="inlineStr">
        <is>
          <t>Android-dominant region</t>
        </is>
      </c>
    </row>
    <row r="38">
      <c r="A38" t="inlineStr">
        <is>
          <t>platform_mix</t>
        </is>
      </c>
      <c r="B38" t="inlineStr">
        <is>
          <t>mix_platform</t>
        </is>
      </c>
      <c r="C38" t="inlineStr">
        <is>
          <t>LATAM|ANDROID</t>
        </is>
      </c>
      <c r="D38" t="inlineStr">
        <is>
          <t>all</t>
        </is>
      </c>
      <c r="E38" t="n">
        <v>0.35</v>
      </c>
      <c r="F38" t="inlineStr">
        <is>
          <t>share of gross adds</t>
        </is>
      </c>
      <c r="G38" t="n">
        <v>0.25</v>
      </c>
      <c r="H38" t="n">
        <v>0.45</v>
      </c>
      <c r="I38" t="inlineStr">
        <is>
          <t>proposed</t>
        </is>
      </c>
      <c r="J38" t="inlineStr">
        <is>
          <t>A01</t>
        </is>
      </c>
      <c r="K38" t="inlineStr">
        <is>
          <t>2026-10-27</t>
        </is>
      </c>
    </row>
    <row r="39">
      <c r="A39" t="inlineStr">
        <is>
          <t>platform_mix</t>
        </is>
      </c>
      <c r="B39" t="inlineStr">
        <is>
          <t>mix_platform</t>
        </is>
      </c>
      <c r="C39" t="inlineStr">
        <is>
          <t>APAC|WEB</t>
        </is>
      </c>
      <c r="D39" t="inlineStr">
        <is>
          <t>all</t>
        </is>
      </c>
      <c r="E39" t="n">
        <v>0.55</v>
      </c>
      <c r="F39" t="inlineStr">
        <is>
          <t>share of gross adds</t>
        </is>
      </c>
      <c r="G39" t="n">
        <v>0.45</v>
      </c>
      <c r="H39" t="n">
        <v>0.65</v>
      </c>
      <c r="I39" t="inlineStr">
        <is>
          <t>proposed</t>
        </is>
      </c>
      <c r="J39" t="inlineStr">
        <is>
          <t>A01</t>
        </is>
      </c>
      <c r="K39" t="inlineStr">
        <is>
          <t>2026-10-27</t>
        </is>
      </c>
    </row>
    <row r="40">
      <c r="A40" t="inlineStr">
        <is>
          <t>platform_mix</t>
        </is>
      </c>
      <c r="B40" t="inlineStr">
        <is>
          <t>mix_platform</t>
        </is>
      </c>
      <c r="C40" t="inlineStr">
        <is>
          <t>APAC|IOS</t>
        </is>
      </c>
      <c r="D40" t="inlineStr">
        <is>
          <t>all</t>
        </is>
      </c>
      <c r="E40" t="n">
        <v>0.2</v>
      </c>
      <c r="F40" t="inlineStr">
        <is>
          <t>share of gross adds</t>
        </is>
      </c>
      <c r="G40" t="n">
        <v>0.1</v>
      </c>
      <c r="H40" t="n">
        <v>0.3</v>
      </c>
      <c r="I40" t="inlineStr">
        <is>
          <t>proposed</t>
        </is>
      </c>
      <c r="J40" t="inlineStr">
        <is>
          <t>A01</t>
        </is>
      </c>
      <c r="K40" t="inlineStr">
        <is>
          <t>2026-10-27</t>
        </is>
      </c>
      <c r="L40" t="inlineStr">
        <is>
          <t>Japan iOS-heavy; India Android-heavy</t>
        </is>
      </c>
    </row>
    <row r="41">
      <c r="A41" t="inlineStr">
        <is>
          <t>platform_mix</t>
        </is>
      </c>
      <c r="B41" t="inlineStr">
        <is>
          <t>mix_platform</t>
        </is>
      </c>
      <c r="C41" t="inlineStr">
        <is>
          <t>APAC|ANDROID</t>
        </is>
      </c>
      <c r="D41" t="inlineStr">
        <is>
          <t>all</t>
        </is>
      </c>
      <c r="E41" t="n">
        <v>0.25</v>
      </c>
      <c r="F41" t="inlineStr">
        <is>
          <t>share of gross adds</t>
        </is>
      </c>
      <c r="G41" t="n">
        <v>0.15</v>
      </c>
      <c r="H41" t="n">
        <v>0.35</v>
      </c>
      <c r="I41" t="inlineStr">
        <is>
          <t>proposed</t>
        </is>
      </c>
      <c r="J41" t="inlineStr">
        <is>
          <t>A01</t>
        </is>
      </c>
      <c r="K41" t="inlineStr">
        <is>
          <t>2026-10-27</t>
        </is>
      </c>
    </row>
    <row r="42">
      <c r="A42" t="inlineStr">
        <is>
          <t>platform_mix</t>
        </is>
      </c>
      <c r="B42" t="inlineStr">
        <is>
          <t>mix_platform</t>
        </is>
      </c>
      <c r="C42" t="inlineStr">
        <is>
          <t>ROW|WEB</t>
        </is>
      </c>
      <c r="D42" t="inlineStr">
        <is>
          <t>all</t>
        </is>
      </c>
      <c r="E42" t="n">
        <v>0.55</v>
      </c>
      <c r="F42" t="inlineStr">
        <is>
          <t>share of gross adds</t>
        </is>
      </c>
      <c r="G42" t="n">
        <v>0.45</v>
      </c>
      <c r="H42" t="n">
        <v>0.65</v>
      </c>
      <c r="I42" t="inlineStr">
        <is>
          <t>proposed</t>
        </is>
      </c>
      <c r="J42" t="inlineStr">
        <is>
          <t>A01</t>
        </is>
      </c>
      <c r="K42" t="inlineStr">
        <is>
          <t>2026-10-27</t>
        </is>
      </c>
    </row>
    <row r="43">
      <c r="A43" t="inlineStr">
        <is>
          <t>platform_mix</t>
        </is>
      </c>
      <c r="B43" t="inlineStr">
        <is>
          <t>mix_platform</t>
        </is>
      </c>
      <c r="C43" t="inlineStr">
        <is>
          <t>ROW|IOS</t>
        </is>
      </c>
      <c r="D43" t="inlineStr">
        <is>
          <t>all</t>
        </is>
      </c>
      <c r="E43" t="n">
        <v>0.15</v>
      </c>
      <c r="F43" t="inlineStr">
        <is>
          <t>share of gross adds</t>
        </is>
      </c>
      <c r="G43" t="n">
        <v>0.1</v>
      </c>
      <c r="H43" t="n">
        <v>0.2</v>
      </c>
      <c r="I43" t="inlineStr">
        <is>
          <t>proposed</t>
        </is>
      </c>
      <c r="J43" t="inlineStr">
        <is>
          <t>A01</t>
        </is>
      </c>
      <c r="K43" t="inlineStr">
        <is>
          <t>2026-10-27</t>
        </is>
      </c>
    </row>
    <row r="44">
      <c r="A44" t="inlineStr">
        <is>
          <t>platform_mix</t>
        </is>
      </c>
      <c r="B44" t="inlineStr">
        <is>
          <t>mix_platform</t>
        </is>
      </c>
      <c r="C44" t="inlineStr">
        <is>
          <t>ROW|ANDROID</t>
        </is>
      </c>
      <c r="D44" t="inlineStr">
        <is>
          <t>all</t>
        </is>
      </c>
      <c r="E44" t="n">
        <v>0.3</v>
      </c>
      <c r="F44" t="inlineStr">
        <is>
          <t>share of gross adds</t>
        </is>
      </c>
      <c r="G44" t="n">
        <v>0.2</v>
      </c>
      <c r="H44" t="n">
        <v>0.4</v>
      </c>
      <c r="I44" t="inlineStr">
        <is>
          <t>proposed</t>
        </is>
      </c>
      <c r="J44" t="inlineStr">
        <is>
          <t>A01</t>
        </is>
      </c>
      <c r="K44" t="inlineStr">
        <is>
          <t>2026-10-27</t>
        </is>
      </c>
    </row>
    <row r="45">
      <c r="A45" t="inlineStr">
        <is>
          <t>churn_m1</t>
        </is>
      </c>
      <c r="B45" t="inlineStr">
        <is>
          <t>churn</t>
        </is>
      </c>
      <c r="C45" t="inlineStr">
        <is>
          <t>MONTHLY</t>
        </is>
      </c>
      <c r="D45" t="inlineStr">
        <is>
          <t>base</t>
        </is>
      </c>
      <c r="E45" t="n">
        <v>0.3</v>
      </c>
      <c r="F45" t="inlineStr">
        <is>
          <t>share of cohort</t>
        </is>
      </c>
      <c r="G45" t="n">
        <v>0.25</v>
      </c>
      <c r="H45" t="n">
        <v>0.35</v>
      </c>
      <c r="I45" t="inlineStr">
        <is>
          <t>benchmark</t>
        </is>
      </c>
      <c r="J45" t="inlineStr">
        <is>
          <t>S13;S16;A01</t>
        </is>
      </c>
      <c r="K45" t="inlineStr">
        <is>
          <t>2026-10-27</t>
        </is>
      </c>
      <c r="L45" t="inlineStr">
        <is>
          <t>Base = Spotify global average plus RevenueCat app benchmarks. Applies to paid starts (direct or converted trialists); trial drop-off is trial_to_paid</t>
        </is>
      </c>
    </row>
    <row r="46">
      <c r="A46" t="inlineStr">
        <is>
          <t>churn_m1</t>
        </is>
      </c>
      <c r="B46" t="inlineStr">
        <is>
          <t>churn</t>
        </is>
      </c>
      <c r="C46" t="inlineStr">
        <is>
          <t>MONTHLY</t>
        </is>
      </c>
      <c r="D46" t="inlineStr">
        <is>
          <t>upside</t>
        </is>
      </c>
      <c r="E46" t="n">
        <v>0.22</v>
      </c>
      <c r="F46" t="inlineStr">
        <is>
          <t>share of cohort</t>
        </is>
      </c>
      <c r="G46" t="n">
        <v>0.18</v>
      </c>
      <c r="H46" t="n">
        <v>0.26</v>
      </c>
      <c r="I46" t="inlineStr">
        <is>
          <t>benchmark</t>
        </is>
      </c>
      <c r="J46" t="inlineStr">
        <is>
          <t>S14;A01</t>
        </is>
      </c>
      <c r="K46" t="inlineStr">
        <is>
          <t>2026-10-27</t>
        </is>
      </c>
      <c r="L46" t="inlineStr">
        <is>
          <t>Upside = Spotify mature markets (US 1-2% tail)</t>
        </is>
      </c>
    </row>
    <row r="47">
      <c r="A47" t="inlineStr">
        <is>
          <t>churn_m1</t>
        </is>
      </c>
      <c r="B47" t="inlineStr">
        <is>
          <t>churn</t>
        </is>
      </c>
      <c r="C47" t="inlineStr">
        <is>
          <t>MONTHLY</t>
        </is>
      </c>
      <c r="D47" t="inlineStr">
        <is>
          <t>downside</t>
        </is>
      </c>
      <c r="E47" t="n">
        <v>0.4</v>
      </c>
      <c r="F47" t="inlineStr">
        <is>
          <t>share of cohort</t>
        </is>
      </c>
      <c r="G47" t="n">
        <v>0.35</v>
      </c>
      <c r="H47" t="n">
        <v>0.5</v>
      </c>
      <c r="I47" t="inlineStr">
        <is>
          <t>benchmark</t>
        </is>
      </c>
      <c r="J47" t="inlineStr">
        <is>
          <t>S15;S16;A01</t>
        </is>
      </c>
      <c r="K47" t="inlineStr">
        <is>
          <t>2026-10-27</t>
        </is>
      </c>
      <c r="L47" t="inlineStr">
        <is>
          <t>Downside = Duolingo monthly (9% renew at 12 mo) / RevenueCat expensive monthly (6.7%)</t>
        </is>
      </c>
    </row>
    <row r="48">
      <c r="A48" t="inlineStr">
        <is>
          <t>churn_m2</t>
        </is>
      </c>
      <c r="B48" t="inlineStr">
        <is>
          <t>churn</t>
        </is>
      </c>
      <c r="C48" t="inlineStr">
        <is>
          <t>MONTHLY</t>
        </is>
      </c>
      <c r="D48" t="inlineStr">
        <is>
          <t>base</t>
        </is>
      </c>
      <c r="E48" t="n">
        <v>0.14</v>
      </c>
      <c r="F48" t="inlineStr">
        <is>
          <t>share of survivors</t>
        </is>
      </c>
      <c r="G48" t="n">
        <v>0.1</v>
      </c>
      <c r="H48" t="n">
        <v>0.18</v>
      </c>
      <c r="I48" t="inlineStr">
        <is>
          <t>benchmark</t>
        </is>
      </c>
      <c r="J48" t="inlineStr">
        <is>
          <t>S13;S16;A01</t>
        </is>
      </c>
      <c r="K48" t="inlineStr">
        <is>
          <t>2026-10-27</t>
        </is>
      </c>
    </row>
    <row r="49">
      <c r="A49" t="inlineStr">
        <is>
          <t>churn_m2</t>
        </is>
      </c>
      <c r="B49" t="inlineStr">
        <is>
          <t>churn</t>
        </is>
      </c>
      <c r="C49" t="inlineStr">
        <is>
          <t>MONTHLY</t>
        </is>
      </c>
      <c r="D49" t="inlineStr">
        <is>
          <t>upside</t>
        </is>
      </c>
      <c r="E49" t="n">
        <v>0.1</v>
      </c>
      <c r="F49" t="inlineStr">
        <is>
          <t>share of survivors</t>
        </is>
      </c>
      <c r="G49" t="n">
        <v>0.07000000000000001</v>
      </c>
      <c r="H49" t="n">
        <v>0.13</v>
      </c>
      <c r="I49" t="inlineStr">
        <is>
          <t>benchmark</t>
        </is>
      </c>
      <c r="J49" t="inlineStr">
        <is>
          <t>S14;A01</t>
        </is>
      </c>
      <c r="K49" t="inlineStr">
        <is>
          <t>2026-10-27</t>
        </is>
      </c>
    </row>
    <row r="50">
      <c r="A50" t="inlineStr">
        <is>
          <t>churn_m2</t>
        </is>
      </c>
      <c r="B50" t="inlineStr">
        <is>
          <t>churn</t>
        </is>
      </c>
      <c r="C50" t="inlineStr">
        <is>
          <t>MONTHLY</t>
        </is>
      </c>
      <c r="D50" t="inlineStr">
        <is>
          <t>downside</t>
        </is>
      </c>
      <c r="E50" t="n">
        <v>0.2</v>
      </c>
      <c r="F50" t="inlineStr">
        <is>
          <t>share of survivors</t>
        </is>
      </c>
      <c r="G50" t="n">
        <v>0.15</v>
      </c>
      <c r="H50" t="n">
        <v>0.25</v>
      </c>
      <c r="I50" t="inlineStr">
        <is>
          <t>benchmark</t>
        </is>
      </c>
      <c r="J50" t="inlineStr">
        <is>
          <t>S15;S16;A01</t>
        </is>
      </c>
      <c r="K50" t="inlineStr">
        <is>
          <t>2026-10-27</t>
        </is>
      </c>
    </row>
    <row r="51">
      <c r="A51" t="inlineStr">
        <is>
          <t>churn_m3</t>
        </is>
      </c>
      <c r="B51" t="inlineStr">
        <is>
          <t>churn</t>
        </is>
      </c>
      <c r="C51" t="inlineStr">
        <is>
          <t>MONTHLY</t>
        </is>
      </c>
      <c r="D51" t="inlineStr">
        <is>
          <t>base</t>
        </is>
      </c>
      <c r="E51" t="n">
        <v>0.09</v>
      </c>
      <c r="F51" t="inlineStr">
        <is>
          <t>share of survivors</t>
        </is>
      </c>
      <c r="G51" t="n">
        <v>0.06</v>
      </c>
      <c r="H51" t="n">
        <v>0.12</v>
      </c>
      <c r="I51" t="inlineStr">
        <is>
          <t>benchmark</t>
        </is>
      </c>
      <c r="J51" t="inlineStr">
        <is>
          <t>S13;S16;A01</t>
        </is>
      </c>
      <c r="K51" t="inlineStr">
        <is>
          <t>2026-10-27</t>
        </is>
      </c>
    </row>
    <row r="52">
      <c r="A52" t="inlineStr">
        <is>
          <t>churn_m3</t>
        </is>
      </c>
      <c r="B52" t="inlineStr">
        <is>
          <t>churn</t>
        </is>
      </c>
      <c r="C52" t="inlineStr">
        <is>
          <t>MONTHLY</t>
        </is>
      </c>
      <c r="D52" t="inlineStr">
        <is>
          <t>upside</t>
        </is>
      </c>
      <c r="E52" t="n">
        <v>0.06</v>
      </c>
      <c r="F52" t="inlineStr">
        <is>
          <t>share of survivors</t>
        </is>
      </c>
      <c r="G52" t="n">
        <v>0.04</v>
      </c>
      <c r="H52" t="n">
        <v>0.08</v>
      </c>
      <c r="I52" t="inlineStr">
        <is>
          <t>benchmark</t>
        </is>
      </c>
      <c r="J52" t="inlineStr">
        <is>
          <t>S14;A01</t>
        </is>
      </c>
      <c r="K52" t="inlineStr">
        <is>
          <t>2026-10-27</t>
        </is>
      </c>
    </row>
    <row r="53">
      <c r="A53" t="inlineStr">
        <is>
          <t>churn_m3</t>
        </is>
      </c>
      <c r="B53" t="inlineStr">
        <is>
          <t>churn</t>
        </is>
      </c>
      <c r="C53" t="inlineStr">
        <is>
          <t>MONTHLY</t>
        </is>
      </c>
      <c r="D53" t="inlineStr">
        <is>
          <t>downside</t>
        </is>
      </c>
      <c r="E53" t="n">
        <v>0.12</v>
      </c>
      <c r="F53" t="inlineStr">
        <is>
          <t>share of survivors</t>
        </is>
      </c>
      <c r="G53" t="n">
        <v>0.09</v>
      </c>
      <c r="H53" t="n">
        <v>0.16</v>
      </c>
      <c r="I53" t="inlineStr">
        <is>
          <t>benchmark</t>
        </is>
      </c>
      <c r="J53" t="inlineStr">
        <is>
          <t>S15;S16;A01</t>
        </is>
      </c>
      <c r="K53" t="inlineStr">
        <is>
          <t>2026-10-27</t>
        </is>
      </c>
    </row>
    <row r="54">
      <c r="A54" t="inlineStr">
        <is>
          <t>churn_tail</t>
        </is>
      </c>
      <c r="B54" t="inlineStr">
        <is>
          <t>churn</t>
        </is>
      </c>
      <c r="C54" t="inlineStr">
        <is>
          <t>MONTHLY</t>
        </is>
      </c>
      <c r="D54" t="inlineStr">
        <is>
          <t>base</t>
        </is>
      </c>
      <c r="E54" t="n">
        <v>0.05</v>
      </c>
      <c r="F54" t="inlineStr">
        <is>
          <t>share of survivors / month</t>
        </is>
      </c>
      <c r="G54" t="n">
        <v>0.039</v>
      </c>
      <c r="H54" t="n">
        <v>0.06</v>
      </c>
      <c r="I54" t="inlineStr">
        <is>
          <t>benchmark</t>
        </is>
      </c>
      <c r="J54" t="inlineStr">
        <is>
          <t>S13;S14</t>
        </is>
      </c>
      <c r="K54" t="inlineStr">
        <is>
          <t>2026-10-27</t>
        </is>
      </c>
      <c r="L54" t="inlineStr">
        <is>
          <t>Spotify Premium 4.8% (Q4'19) and 3.9% (2021 avg); Nitro is more discretionary so slightly higher</t>
        </is>
      </c>
    </row>
    <row r="55">
      <c r="A55" t="inlineStr">
        <is>
          <t>churn_tail</t>
        </is>
      </c>
      <c r="B55" t="inlineStr">
        <is>
          <t>churn</t>
        </is>
      </c>
      <c r="C55" t="inlineStr">
        <is>
          <t>MONTHLY</t>
        </is>
      </c>
      <c r="D55" t="inlineStr">
        <is>
          <t>upside</t>
        </is>
      </c>
      <c r="E55" t="n">
        <v>0.03</v>
      </c>
      <c r="F55" t="inlineStr">
        <is>
          <t>share of survivors / month</t>
        </is>
      </c>
      <c r="G55" t="n">
        <v>0.02</v>
      </c>
      <c r="H55" t="n">
        <v>0.039</v>
      </c>
      <c r="I55" t="inlineStr">
        <is>
          <t>benchmark</t>
        </is>
      </c>
      <c r="J55" t="inlineStr">
        <is>
          <t>S14</t>
        </is>
      </c>
      <c r="K55" t="inlineStr">
        <is>
          <t>2026-10-27</t>
        </is>
      </c>
      <c r="L55" t="inlineStr">
        <is>
          <t>Spotify mature markets 1-2%; Nitro set above that</t>
        </is>
      </c>
    </row>
    <row r="56">
      <c r="A56" t="inlineStr">
        <is>
          <t>churn_tail</t>
        </is>
      </c>
      <c r="B56" t="inlineStr">
        <is>
          <t>churn</t>
        </is>
      </c>
      <c r="C56" t="inlineStr">
        <is>
          <t>MONTHLY</t>
        </is>
      </c>
      <c r="D56" t="inlineStr">
        <is>
          <t>downside</t>
        </is>
      </c>
      <c r="E56" t="n">
        <v>0.08</v>
      </c>
      <c r="F56" t="inlineStr">
        <is>
          <t>share of survivors / month</t>
        </is>
      </c>
      <c r="G56" t="n">
        <v>0.06</v>
      </c>
      <c r="H56" t="n">
        <v>0.1</v>
      </c>
      <c r="I56" t="inlineStr">
        <is>
          <t>benchmark</t>
        </is>
      </c>
      <c r="J56" t="inlineStr">
        <is>
          <t>S13;S15</t>
        </is>
      </c>
      <c r="K56" t="inlineStr">
        <is>
          <t>2026-10-27</t>
        </is>
      </c>
      <c r="L56" t="inlineStr">
        <is>
          <t>Early Spotify (7.5% Q4'15); Duolingo monthly 4.5-month average lifetime</t>
        </is>
      </c>
    </row>
    <row r="57">
      <c r="A57" t="inlineStr">
        <is>
          <t>annual_renewal_first</t>
        </is>
      </c>
      <c r="B57" t="inlineStr">
        <is>
          <t>churn</t>
        </is>
      </c>
      <c r="C57" t="inlineStr">
        <is>
          <t>ANNUAL</t>
        </is>
      </c>
      <c r="D57" t="inlineStr">
        <is>
          <t>base</t>
        </is>
      </c>
      <c r="E57" t="n">
        <v>0.45</v>
      </c>
      <c r="F57" t="inlineStr">
        <is>
          <t>share renewing</t>
        </is>
      </c>
      <c r="G57" t="n">
        <v>0.36</v>
      </c>
      <c r="H57" t="n">
        <v>0.55</v>
      </c>
      <c r="I57" t="inlineStr">
        <is>
          <t>benchmark</t>
        </is>
      </c>
      <c r="J57" t="inlineStr">
        <is>
          <t>S15;S16</t>
        </is>
      </c>
      <c r="K57" t="inlineStr">
        <is>
          <t>2026-10-27</t>
        </is>
      </c>
      <c r="L57" t="inlineStr">
        <is>
          <t>Duolingo ~40% first renewal; RevenueCat cheap annual up to 36%. Nitro set slightly above as a habit product</t>
        </is>
      </c>
    </row>
    <row r="58">
      <c r="A58" t="inlineStr">
        <is>
          <t>annual_renewal_first</t>
        </is>
      </c>
      <c r="B58" t="inlineStr">
        <is>
          <t>churn</t>
        </is>
      </c>
      <c r="C58" t="inlineStr">
        <is>
          <t>ANNUAL</t>
        </is>
      </c>
      <c r="D58" t="inlineStr">
        <is>
          <t>upside</t>
        </is>
      </c>
      <c r="E58" t="n">
        <v>0.55</v>
      </c>
      <c r="F58" t="inlineStr">
        <is>
          <t>share renewing</t>
        </is>
      </c>
      <c r="G58" t="n">
        <v>0.45</v>
      </c>
      <c r="H58" t="n">
        <v>0.65</v>
      </c>
      <c r="I58" t="inlineStr">
        <is>
          <t>benchmark</t>
        </is>
      </c>
      <c r="J58" t="inlineStr">
        <is>
          <t>S15;A01</t>
        </is>
      </c>
      <c r="K58" t="inlineStr">
        <is>
          <t>2026-10-27</t>
        </is>
      </c>
    </row>
    <row r="59">
      <c r="A59" t="inlineStr">
        <is>
          <t>annual_renewal_first</t>
        </is>
      </c>
      <c r="B59" t="inlineStr">
        <is>
          <t>churn</t>
        </is>
      </c>
      <c r="C59" t="inlineStr">
        <is>
          <t>ANNUAL</t>
        </is>
      </c>
      <c r="D59" t="inlineStr">
        <is>
          <t>downside</t>
        </is>
      </c>
      <c r="E59" t="n">
        <v>0.35</v>
      </c>
      <c r="F59" t="inlineStr">
        <is>
          <t>share renewing</t>
        </is>
      </c>
      <c r="G59" t="n">
        <v>0.3</v>
      </c>
      <c r="H59" t="n">
        <v>0.4</v>
      </c>
      <c r="I59" t="inlineStr">
        <is>
          <t>benchmark</t>
        </is>
      </c>
      <c r="J59" t="inlineStr">
        <is>
          <t>S16</t>
        </is>
      </c>
      <c r="K59" t="inlineStr">
        <is>
          <t>2026-10-27</t>
        </is>
      </c>
    </row>
    <row r="60">
      <c r="A60" t="inlineStr">
        <is>
          <t>annual_renewal_later</t>
        </is>
      </c>
      <c r="B60" t="inlineStr">
        <is>
          <t>churn</t>
        </is>
      </c>
      <c r="C60" t="inlineStr">
        <is>
          <t>ANNUAL</t>
        </is>
      </c>
      <c r="D60" t="inlineStr">
        <is>
          <t>base</t>
        </is>
      </c>
      <c r="E60" t="n">
        <v>0.65</v>
      </c>
      <c r="F60" t="inlineStr">
        <is>
          <t>share renewing</t>
        </is>
      </c>
      <c r="G60" t="n">
        <v>0.55</v>
      </c>
      <c r="H60" t="n">
        <v>0.75</v>
      </c>
      <c r="I60" t="inlineStr">
        <is>
          <t>proposed</t>
        </is>
      </c>
      <c r="J60" t="inlineStr">
        <is>
          <t>A01</t>
        </is>
      </c>
      <c r="K60" t="inlineStr">
        <is>
          <t>2026-10-27</t>
        </is>
      </c>
      <c r="L60" t="inlineStr">
        <is>
          <t>No public second-renewal data found; tenured renewers are stickier</t>
        </is>
      </c>
    </row>
    <row r="61">
      <c r="A61" t="inlineStr">
        <is>
          <t>annual_renewal_later</t>
        </is>
      </c>
      <c r="B61" t="inlineStr">
        <is>
          <t>churn</t>
        </is>
      </c>
      <c r="C61" t="inlineStr">
        <is>
          <t>ANNUAL</t>
        </is>
      </c>
      <c r="D61" t="inlineStr">
        <is>
          <t>upside</t>
        </is>
      </c>
      <c r="E61" t="n">
        <v>0.75</v>
      </c>
      <c r="F61" t="inlineStr">
        <is>
          <t>share renewing</t>
        </is>
      </c>
      <c r="G61" t="n">
        <v>0.65</v>
      </c>
      <c r="H61" t="n">
        <v>0.85</v>
      </c>
      <c r="I61" t="inlineStr">
        <is>
          <t>proposed</t>
        </is>
      </c>
      <c r="J61" t="inlineStr">
        <is>
          <t>A01</t>
        </is>
      </c>
      <c r="K61" t="inlineStr">
        <is>
          <t>2026-10-27</t>
        </is>
      </c>
    </row>
    <row r="62">
      <c r="A62" t="inlineStr">
        <is>
          <t>annual_renewal_later</t>
        </is>
      </c>
      <c r="B62" t="inlineStr">
        <is>
          <t>churn</t>
        </is>
      </c>
      <c r="C62" t="inlineStr">
        <is>
          <t>ANNUAL</t>
        </is>
      </c>
      <c r="D62" t="inlineStr">
        <is>
          <t>downside</t>
        </is>
      </c>
      <c r="E62" t="n">
        <v>0.55</v>
      </c>
      <c r="F62" t="inlineStr">
        <is>
          <t>share renewing</t>
        </is>
      </c>
      <c r="G62" t="n">
        <v>0.45</v>
      </c>
      <c r="H62" t="n">
        <v>0.65</v>
      </c>
      <c r="I62" t="inlineStr">
        <is>
          <t>proposed</t>
        </is>
      </c>
      <c r="J62" t="inlineStr">
        <is>
          <t>A01</t>
        </is>
      </c>
      <c r="K62" t="inlineStr">
        <is>
          <t>2026-10-27</t>
        </is>
      </c>
    </row>
    <row r="63">
      <c r="A63" t="inlineStr">
        <is>
          <t>react_rate</t>
        </is>
      </c>
      <c r="B63" t="inlineStr">
        <is>
          <t>reactivation</t>
        </is>
      </c>
      <c r="C63" t="inlineStr">
        <is>
          <t>all</t>
        </is>
      </c>
      <c r="D63" t="inlineStr">
        <is>
          <t>base</t>
        </is>
      </c>
      <c r="E63" t="n">
        <v>0.015</v>
      </c>
      <c r="F63" t="inlineStr">
        <is>
          <t>share of churned pool / month</t>
        </is>
      </c>
      <c r="G63" t="n">
        <v>0.005</v>
      </c>
      <c r="H63" t="n">
        <v>0.03</v>
      </c>
      <c r="I63" t="inlineStr">
        <is>
          <t>proposed</t>
        </is>
      </c>
      <c r="J63" t="inlineStr">
        <is>
          <t>A01</t>
        </is>
      </c>
      <c r="K63" t="inlineStr">
        <is>
          <t>2026-10-27</t>
        </is>
      </c>
      <c r="L63" t="inlineStr">
        <is>
          <t>No public win-back data; churned users within the window return at this rate</t>
        </is>
      </c>
    </row>
    <row r="64">
      <c r="A64" t="inlineStr">
        <is>
          <t>react_rate</t>
        </is>
      </c>
      <c r="B64" t="inlineStr">
        <is>
          <t>reactivation</t>
        </is>
      </c>
      <c r="C64" t="inlineStr">
        <is>
          <t>all</t>
        </is>
      </c>
      <c r="D64" t="inlineStr">
        <is>
          <t>upside</t>
        </is>
      </c>
      <c r="E64" t="n">
        <v>0.02</v>
      </c>
      <c r="F64" t="inlineStr">
        <is>
          <t>share of churned pool / month</t>
        </is>
      </c>
      <c r="G64" t="n">
        <v>0.01</v>
      </c>
      <c r="H64" t="n">
        <v>0.03</v>
      </c>
      <c r="I64" t="inlineStr">
        <is>
          <t>proposed</t>
        </is>
      </c>
      <c r="J64" t="inlineStr">
        <is>
          <t>A01</t>
        </is>
      </c>
      <c r="K64" t="inlineStr">
        <is>
          <t>2026-10-27</t>
        </is>
      </c>
    </row>
    <row r="65">
      <c r="A65" t="inlineStr">
        <is>
          <t>react_rate</t>
        </is>
      </c>
      <c r="B65" t="inlineStr">
        <is>
          <t>reactivation</t>
        </is>
      </c>
      <c r="C65" t="inlineStr">
        <is>
          <t>all</t>
        </is>
      </c>
      <c r="D65" t="inlineStr">
        <is>
          <t>downside</t>
        </is>
      </c>
      <c r="E65" t="n">
        <v>0.01</v>
      </c>
      <c r="F65" t="inlineStr">
        <is>
          <t>share of churned pool / month</t>
        </is>
      </c>
      <c r="G65" t="n">
        <v>0.005</v>
      </c>
      <c r="H65" t="n">
        <v>0.02</v>
      </c>
      <c r="I65" t="inlineStr">
        <is>
          <t>proposed</t>
        </is>
      </c>
      <c r="J65" t="inlineStr">
        <is>
          <t>A01</t>
        </is>
      </c>
      <c r="K65" t="inlineStr">
        <is>
          <t>2026-10-27</t>
        </is>
      </c>
    </row>
    <row r="66">
      <c r="A66" t="inlineStr">
        <is>
          <t>react_window_months</t>
        </is>
      </c>
      <c r="B66" t="inlineStr">
        <is>
          <t>reactivation</t>
        </is>
      </c>
      <c r="C66" t="inlineStr">
        <is>
          <t>all</t>
        </is>
      </c>
      <c r="D66" t="inlineStr">
        <is>
          <t>all</t>
        </is>
      </c>
      <c r="E66" t="n">
        <v>24</v>
      </c>
      <c r="F66" t="inlineStr">
        <is>
          <t>months</t>
        </is>
      </c>
      <c r="G66" t="n">
        <v>12</v>
      </c>
      <c r="H66" t="n">
        <v>36</v>
      </c>
      <c r="I66" t="inlineStr">
        <is>
          <t>proposed</t>
        </is>
      </c>
      <c r="J66" t="inlineStr">
        <is>
          <t>A01</t>
        </is>
      </c>
      <c r="K66" t="inlineStr">
        <is>
          <t>2026-10-27</t>
        </is>
      </c>
      <c r="L66" t="inlineStr">
        <is>
          <t>Churned users older than this drop out of the pool</t>
        </is>
      </c>
    </row>
    <row r="67">
      <c r="A67" t="inlineStr">
        <is>
          <t>react_churn_tail</t>
        </is>
      </c>
      <c r="B67" t="inlineStr">
        <is>
          <t>reactivation</t>
        </is>
      </c>
      <c r="C67" t="inlineStr">
        <is>
          <t>all</t>
        </is>
      </c>
      <c r="D67" t="inlineStr">
        <is>
          <t>all</t>
        </is>
      </c>
      <c r="E67" t="n">
        <v>0.07000000000000001</v>
      </c>
      <c r="F67" t="inlineStr">
        <is>
          <t>share of survivors / month</t>
        </is>
      </c>
      <c r="G67" t="n">
        <v>0.05</v>
      </c>
      <c r="H67" t="n">
        <v>0.1</v>
      </c>
      <c r="I67" t="inlineStr">
        <is>
          <t>proposed</t>
        </is>
      </c>
      <c r="J67" t="inlineStr">
        <is>
          <t>A01</t>
        </is>
      </c>
      <c r="K67" t="inlineStr">
        <is>
          <t>2026-10-27</t>
        </is>
      </c>
      <c r="L67" t="inlineStr">
        <is>
          <t>Reactivated users rejoin on monthly plans; flatter than new-user month-1 churn but above base tail</t>
        </is>
      </c>
    </row>
    <row r="68">
      <c r="A68" t="inlineStr">
        <is>
          <t>open_subs</t>
        </is>
      </c>
      <c r="B68" t="inlineStr">
        <is>
          <t>opening_book</t>
        </is>
      </c>
      <c r="C68" t="inlineStr">
        <is>
          <t>all</t>
        </is>
      </c>
      <c r="D68" t="inlineStr">
        <is>
          <t>all</t>
        </is>
      </c>
      <c r="E68" t="n">
        <v>6.75</v>
      </c>
      <c r="F68" t="inlineStr">
        <is>
          <t>M subscribers</t>
        </is>
      </c>
      <c r="G68" t="n">
        <v>6</v>
      </c>
      <c r="H68" t="n">
        <v>7.3</v>
      </c>
      <c r="I68" t="inlineStr">
        <is>
          <t>derived</t>
        </is>
      </c>
      <c r="J68" t="inlineStr">
        <is>
          <t>S01;S02;S03</t>
        </is>
      </c>
      <c r="K68" t="inlineStr">
        <is>
          <t>2026-10-27</t>
        </is>
      </c>
      <c r="L68" t="inlineStr">
        <is>
          <t>Jan 2025 book = 7.3M mid-2025 / 1.17^0.5 (17% YoY growth per Feedough)</t>
        </is>
      </c>
    </row>
    <row r="69">
      <c r="A69" t="inlineStr">
        <is>
          <t>open_plan_mix</t>
        </is>
      </c>
      <c r="B69" t="inlineStr">
        <is>
          <t>opening_book</t>
        </is>
      </c>
      <c r="C69" t="inlineStr">
        <is>
          <t>NITRO_M</t>
        </is>
      </c>
      <c r="D69" t="inlineStr">
        <is>
          <t>all</t>
        </is>
      </c>
      <c r="E69" t="n">
        <v>0.4</v>
      </c>
      <c r="F69" t="inlineStr">
        <is>
          <t>share</t>
        </is>
      </c>
      <c r="G69" t="n">
        <v>0.3</v>
      </c>
      <c r="H69" t="n">
        <v>0.5</v>
      </c>
      <c r="I69" t="inlineStr">
        <is>
          <t>proposed</t>
        </is>
      </c>
      <c r="J69" t="inlineStr">
        <is>
          <t>A01</t>
        </is>
      </c>
      <c r="K69" t="inlineStr">
        <is>
          <t>2026-10-27</t>
        </is>
      </c>
      <c r="L69" t="inlineStr">
        <is>
          <t>Tenured book skews to annual vs gross adds</t>
        </is>
      </c>
    </row>
    <row r="70">
      <c r="A70" t="inlineStr">
        <is>
          <t>open_plan_mix</t>
        </is>
      </c>
      <c r="B70" t="inlineStr">
        <is>
          <t>opening_book</t>
        </is>
      </c>
      <c r="C70" t="inlineStr">
        <is>
          <t>NITRO_A</t>
        </is>
      </c>
      <c r="D70" t="inlineStr">
        <is>
          <t>all</t>
        </is>
      </c>
      <c r="E70" t="n">
        <v>0.22</v>
      </c>
      <c r="F70" t="inlineStr">
        <is>
          <t>share</t>
        </is>
      </c>
      <c r="G70" t="n">
        <v>0.12</v>
      </c>
      <c r="H70" t="n">
        <v>0.3</v>
      </c>
      <c r="I70" t="inlineStr">
        <is>
          <t>proposed</t>
        </is>
      </c>
      <c r="J70" t="inlineStr">
        <is>
          <t>A01</t>
        </is>
      </c>
      <c r="K70" t="inlineStr">
        <is>
          <t>2026-10-27</t>
        </is>
      </c>
    </row>
    <row r="71">
      <c r="A71" t="inlineStr">
        <is>
          <t>open_plan_mix</t>
        </is>
      </c>
      <c r="B71" t="inlineStr">
        <is>
          <t>opening_book</t>
        </is>
      </c>
      <c r="C71" t="inlineStr">
        <is>
          <t>BASIC_M</t>
        </is>
      </c>
      <c r="D71" t="inlineStr">
        <is>
          <t>all</t>
        </is>
      </c>
      <c r="E71" t="n">
        <v>0.28</v>
      </c>
      <c r="F71" t="inlineStr">
        <is>
          <t>share</t>
        </is>
      </c>
      <c r="G71" t="n">
        <v>0.2</v>
      </c>
      <c r="H71" t="n">
        <v>0.4</v>
      </c>
      <c r="I71" t="inlineStr">
        <is>
          <t>proposed</t>
        </is>
      </c>
      <c r="J71" t="inlineStr">
        <is>
          <t>A01</t>
        </is>
      </c>
      <c r="K71" t="inlineStr">
        <is>
          <t>2026-10-27</t>
        </is>
      </c>
    </row>
    <row r="72">
      <c r="A72" t="inlineStr">
        <is>
          <t>open_plan_mix</t>
        </is>
      </c>
      <c r="B72" t="inlineStr">
        <is>
          <t>opening_book</t>
        </is>
      </c>
      <c r="C72" t="inlineStr">
        <is>
          <t>BASIC_A</t>
        </is>
      </c>
      <c r="D72" t="inlineStr">
        <is>
          <t>all</t>
        </is>
      </c>
      <c r="E72" t="n">
        <v>0.1</v>
      </c>
      <c r="F72" t="inlineStr">
        <is>
          <t>share</t>
        </is>
      </c>
      <c r="G72" t="n">
        <v>0.05</v>
      </c>
      <c r="H72" t="n">
        <v>0.15</v>
      </c>
      <c r="I72" t="inlineStr">
        <is>
          <t>proposed</t>
        </is>
      </c>
      <c r="J72" t="inlineStr">
        <is>
          <t>A01</t>
        </is>
      </c>
      <c r="K72" t="inlineStr">
        <is>
          <t>2026-10-27</t>
        </is>
      </c>
    </row>
    <row r="73">
      <c r="A73" t="inlineStr">
        <is>
          <t>open_region_mix</t>
        </is>
      </c>
      <c r="B73" t="inlineStr">
        <is>
          <t>opening_book</t>
        </is>
      </c>
      <c r="C73" t="inlineStr">
        <is>
          <t>US_CA</t>
        </is>
      </c>
      <c r="D73" t="inlineStr">
        <is>
          <t>all</t>
        </is>
      </c>
      <c r="E73" t="n">
        <v>0.45</v>
      </c>
      <c r="F73" t="inlineStr">
        <is>
          <t>share</t>
        </is>
      </c>
      <c r="G73" t="n">
        <v>0.38</v>
      </c>
      <c r="H73" t="n">
        <v>0.52</v>
      </c>
      <c r="I73" t="inlineStr">
        <is>
          <t>proposed</t>
        </is>
      </c>
      <c r="J73" t="inlineStr">
        <is>
          <t>A01</t>
        </is>
      </c>
      <c r="K73" t="inlineStr">
        <is>
          <t>2026-10-27</t>
        </is>
      </c>
      <c r="L73" t="inlineStr">
        <is>
          <t>Payers skew to high-income regions vs MAU mix</t>
        </is>
      </c>
    </row>
    <row r="74">
      <c r="A74" t="inlineStr">
        <is>
          <t>open_region_mix</t>
        </is>
      </c>
      <c r="B74" t="inlineStr">
        <is>
          <t>opening_book</t>
        </is>
      </c>
      <c r="C74" t="inlineStr">
        <is>
          <t>EUROPE</t>
        </is>
      </c>
      <c r="D74" t="inlineStr">
        <is>
          <t>all</t>
        </is>
      </c>
      <c r="E74" t="n">
        <v>0.3</v>
      </c>
      <c r="F74" t="inlineStr">
        <is>
          <t>share</t>
        </is>
      </c>
      <c r="G74" t="n">
        <v>0.25</v>
      </c>
      <c r="H74" t="n">
        <v>0.35</v>
      </c>
      <c r="I74" t="inlineStr">
        <is>
          <t>proposed</t>
        </is>
      </c>
      <c r="J74" t="inlineStr">
        <is>
          <t>A01</t>
        </is>
      </c>
      <c r="K74" t="inlineStr">
        <is>
          <t>2026-10-27</t>
        </is>
      </c>
    </row>
    <row r="75">
      <c r="A75" t="inlineStr">
        <is>
          <t>open_region_mix</t>
        </is>
      </c>
      <c r="B75" t="inlineStr">
        <is>
          <t>opening_book</t>
        </is>
      </c>
      <c r="C75" t="inlineStr">
        <is>
          <t>LATAM</t>
        </is>
      </c>
      <c r="D75" t="inlineStr">
        <is>
          <t>all</t>
        </is>
      </c>
      <c r="E75" t="n">
        <v>0.08</v>
      </c>
      <c r="F75" t="inlineStr">
        <is>
          <t>share</t>
        </is>
      </c>
      <c r="G75" t="n">
        <v>0.05</v>
      </c>
      <c r="H75" t="n">
        <v>0.12</v>
      </c>
      <c r="I75" t="inlineStr">
        <is>
          <t>proposed</t>
        </is>
      </c>
      <c r="J75" t="inlineStr">
        <is>
          <t>A01</t>
        </is>
      </c>
      <c r="K75" t="inlineStr">
        <is>
          <t>2026-10-27</t>
        </is>
      </c>
    </row>
    <row r="76">
      <c r="A76" t="inlineStr">
        <is>
          <t>open_region_mix</t>
        </is>
      </c>
      <c r="B76" t="inlineStr">
        <is>
          <t>opening_book</t>
        </is>
      </c>
      <c r="C76" t="inlineStr">
        <is>
          <t>APAC</t>
        </is>
      </c>
      <c r="D76" t="inlineStr">
        <is>
          <t>all</t>
        </is>
      </c>
      <c r="E76" t="n">
        <v>0.1</v>
      </c>
      <c r="F76" t="inlineStr">
        <is>
          <t>share</t>
        </is>
      </c>
      <c r="G76" t="n">
        <v>0.06</v>
      </c>
      <c r="H76" t="n">
        <v>0.14</v>
      </c>
      <c r="I76" t="inlineStr">
        <is>
          <t>proposed</t>
        </is>
      </c>
      <c r="J76" t="inlineStr">
        <is>
          <t>A01</t>
        </is>
      </c>
      <c r="K76" t="inlineStr">
        <is>
          <t>2026-10-27</t>
        </is>
      </c>
    </row>
    <row r="77">
      <c r="A77" t="inlineStr">
        <is>
          <t>open_region_mix</t>
        </is>
      </c>
      <c r="B77" t="inlineStr">
        <is>
          <t>opening_book</t>
        </is>
      </c>
      <c r="C77" t="inlineStr">
        <is>
          <t>ROW</t>
        </is>
      </c>
      <c r="D77" t="inlineStr">
        <is>
          <t>all</t>
        </is>
      </c>
      <c r="E77" t="n">
        <v>0.07000000000000001</v>
      </c>
      <c r="F77" t="inlineStr">
        <is>
          <t>share</t>
        </is>
      </c>
      <c r="G77" t="n">
        <v>0.04</v>
      </c>
      <c r="H77" t="n">
        <v>0.1</v>
      </c>
      <c r="I77" t="inlineStr">
        <is>
          <t>proposed</t>
        </is>
      </c>
      <c r="J77" t="inlineStr">
        <is>
          <t>A01</t>
        </is>
      </c>
      <c r="K77" t="inlineStr">
        <is>
          <t>2026-10-27</t>
        </is>
      </c>
    </row>
    <row r="78">
      <c r="A78" t="inlineStr">
        <is>
          <t>open_y1_share</t>
        </is>
      </c>
      <c r="B78" t="inlineStr">
        <is>
          <t>opening_book</t>
        </is>
      </c>
      <c r="C78" t="inlineStr">
        <is>
          <t>all</t>
        </is>
      </c>
      <c r="D78" t="inlineStr">
        <is>
          <t>all</t>
        </is>
      </c>
      <c r="E78" t="n">
        <v>0.35</v>
      </c>
      <c r="F78" t="inlineStr">
        <is>
          <t>share of book in first year of tenure</t>
        </is>
      </c>
      <c r="G78" t="n">
        <v>0.25</v>
      </c>
      <c r="H78" t="n">
        <v>0.45</v>
      </c>
      <c r="I78" t="inlineStr">
        <is>
          <t>proposed</t>
        </is>
      </c>
      <c r="J78" t="inlineStr">
        <is>
          <t>A01</t>
        </is>
      </c>
      <c r="K78" t="inlineStr">
        <is>
          <t>2026-10-28</t>
        </is>
      </c>
      <c r="L78" t="inlineStr">
        <is>
          <t>Drives the Apple 30% vs 15% fee split for the opening book only; new cohorts get tenure from the cohort engine</t>
        </is>
      </c>
    </row>
    <row r="79">
      <c r="A79" t="inlineStr">
        <is>
          <t>open_churn_tail</t>
        </is>
      </c>
      <c r="B79" t="inlineStr">
        <is>
          <t>opening_book</t>
        </is>
      </c>
      <c r="C79" t="inlineStr">
        <is>
          <t>MONTHLY</t>
        </is>
      </c>
      <c r="D79" t="inlineStr">
        <is>
          <t>all</t>
        </is>
      </c>
      <c r="E79" t="n">
        <v>0.035</v>
      </c>
      <c r="F79" t="inlineStr">
        <is>
          <t>share / month</t>
        </is>
      </c>
      <c r="G79" t="n">
        <v>0.025</v>
      </c>
      <c r="H79" t="n">
        <v>0.05</v>
      </c>
      <c r="I79" t="inlineStr">
        <is>
          <t>benchmark</t>
        </is>
      </c>
      <c r="J79" t="inlineStr">
        <is>
          <t>S13;S14</t>
        </is>
      </c>
      <c r="K79" t="inlineStr">
        <is>
          <t>2026-10-27</t>
        </is>
      </c>
      <c r="L79" t="inlineStr">
        <is>
          <t>Tenured monthly subscribers: between Spotify global (3.9%) and mature (1-2%). Same in every scenario: the opening book keeps base behavior</t>
        </is>
      </c>
    </row>
    <row r="80">
      <c r="A80" t="inlineStr">
        <is>
          <t>list_price</t>
        </is>
      </c>
      <c r="B80" t="inlineStr">
        <is>
          <t>pricing</t>
        </is>
      </c>
      <c r="C80" t="inlineStr">
        <is>
          <t>NITRO_M</t>
        </is>
      </c>
      <c r="D80" t="inlineStr">
        <is>
          <t>all</t>
        </is>
      </c>
      <c r="E80" t="n">
        <v>9.99</v>
      </c>
      <c r="F80" t="inlineStr">
        <is>
          <t>USD / month</t>
        </is>
      </c>
      <c r="I80" t="inlineStr">
        <is>
          <t>verified</t>
        </is>
      </c>
      <c r="J80" t="inlineStr">
        <is>
          <t>S08;S09</t>
        </is>
      </c>
      <c r="K80" t="inlineStr">
        <is>
          <t>2026-07-01</t>
        </is>
      </c>
      <c r="L80" t="inlineStr">
        <is>
          <t>US list price; unchanged for years</t>
        </is>
      </c>
    </row>
    <row r="81">
      <c r="A81" t="inlineStr">
        <is>
          <t>list_price</t>
        </is>
      </c>
      <c r="B81" t="inlineStr">
        <is>
          <t>pricing</t>
        </is>
      </c>
      <c r="C81" t="inlineStr">
        <is>
          <t>NITRO_A</t>
        </is>
      </c>
      <c r="D81" t="inlineStr">
        <is>
          <t>all</t>
        </is>
      </c>
      <c r="E81" t="n">
        <v>99.98999999999999</v>
      </c>
      <c r="F81" t="inlineStr">
        <is>
          <t>USD / year</t>
        </is>
      </c>
      <c r="I81" t="inlineStr">
        <is>
          <t>verified</t>
        </is>
      </c>
      <c r="J81" t="inlineStr">
        <is>
          <t>S08;S09</t>
        </is>
      </c>
      <c r="K81" t="inlineStr">
        <is>
          <t>2026-07-01</t>
        </is>
      </c>
      <c r="L81" t="inlineStr">
        <is>
          <t>~17% below 12x monthly</t>
        </is>
      </c>
    </row>
    <row r="82">
      <c r="A82" t="inlineStr">
        <is>
          <t>list_price</t>
        </is>
      </c>
      <c r="B82" t="inlineStr">
        <is>
          <t>pricing</t>
        </is>
      </c>
      <c r="C82" t="inlineStr">
        <is>
          <t>BASIC_M</t>
        </is>
      </c>
      <c r="D82" t="inlineStr">
        <is>
          <t>all</t>
        </is>
      </c>
      <c r="E82" t="n">
        <v>2.99</v>
      </c>
      <c r="F82" t="inlineStr">
        <is>
          <t>USD / month</t>
        </is>
      </c>
      <c r="I82" t="inlineStr">
        <is>
          <t>verified</t>
        </is>
      </c>
      <c r="J82" t="inlineStr">
        <is>
          <t>S08;S09</t>
        </is>
      </c>
      <c r="K82" t="inlineStr">
        <is>
          <t>2026-07-01</t>
        </is>
      </c>
    </row>
    <row r="83">
      <c r="A83" t="inlineStr">
        <is>
          <t>list_price</t>
        </is>
      </c>
      <c r="B83" t="inlineStr">
        <is>
          <t>pricing</t>
        </is>
      </c>
      <c r="C83" t="inlineStr">
        <is>
          <t>BASIC_A</t>
        </is>
      </c>
      <c r="D83" t="inlineStr">
        <is>
          <t>all</t>
        </is>
      </c>
      <c r="E83" t="n">
        <v>29.99</v>
      </c>
      <c r="F83" t="inlineStr">
        <is>
          <t>USD / year</t>
        </is>
      </c>
      <c r="I83" t="inlineStr">
        <is>
          <t>verified</t>
        </is>
      </c>
      <c r="J83" t="inlineStr">
        <is>
          <t>S08;S09</t>
        </is>
      </c>
      <c r="K83" t="inlineStr">
        <is>
          <t>2026-07-01</t>
        </is>
      </c>
    </row>
    <row r="84">
      <c r="A84" t="inlineStr">
        <is>
          <t>price_index</t>
        </is>
      </c>
      <c r="B84" t="inlineStr">
        <is>
          <t>pricing</t>
        </is>
      </c>
      <c r="C84" t="inlineStr">
        <is>
          <t>US_CA</t>
        </is>
      </c>
      <c r="D84" t="inlineStr">
        <is>
          <t>all</t>
        </is>
      </c>
      <c r="E84" t="n">
        <v>1</v>
      </c>
      <c r="F84" t="inlineStr">
        <is>
          <t>x US price in USD at 2025 avg FX</t>
        </is>
      </c>
      <c r="I84" t="inlineStr">
        <is>
          <t>design</t>
        </is>
      </c>
      <c r="J84" t="inlineStr">
        <is>
          <t>P01</t>
        </is>
      </c>
      <c r="K84" t="inlineStr">
        <is>
          <t>2026-10-27</t>
        </is>
      </c>
      <c r="L84" t="inlineStr">
        <is>
          <t>Reference market</t>
        </is>
      </c>
    </row>
    <row r="85">
      <c r="A85" t="inlineStr">
        <is>
          <t>price_index</t>
        </is>
      </c>
      <c r="B85" t="inlineStr">
        <is>
          <t>pricing</t>
        </is>
      </c>
      <c r="C85" t="inlineStr">
        <is>
          <t>EUROPE</t>
        </is>
      </c>
      <c r="D85" t="inlineStr">
        <is>
          <t>all</t>
        </is>
      </c>
      <c r="E85" t="n">
        <v>1.1</v>
      </c>
      <c r="F85" t="inlineStr">
        <is>
          <t>x US price in USD at 2025 avg FX</t>
        </is>
      </c>
      <c r="G85" t="n">
        <v>1</v>
      </c>
      <c r="H85" t="n">
        <v>1.15</v>
      </c>
      <c r="I85" t="inlineStr">
        <is>
          <t>proposed</t>
        </is>
      </c>
      <c r="J85" t="inlineStr">
        <is>
          <t>A01</t>
        </is>
      </c>
      <c r="K85" t="inlineStr">
        <is>
          <t>2026-10-27</t>
        </is>
      </c>
      <c r="L85" t="inlineStr">
        <is>
          <t>Assumes EUR 9.99 VAT-inclusive (~$11.30 at 2025 avg FX). EUR price NOT verified: check at checkout</t>
        </is>
      </c>
    </row>
    <row r="86">
      <c r="A86" t="inlineStr">
        <is>
          <t>price_index</t>
        </is>
      </c>
      <c r="B86" t="inlineStr">
        <is>
          <t>pricing</t>
        </is>
      </c>
      <c r="C86" t="inlineStr">
        <is>
          <t>LATAM</t>
        </is>
      </c>
      <c r="D86" t="inlineStr">
        <is>
          <t>all</t>
        </is>
      </c>
      <c r="E86" t="n">
        <v>0.45</v>
      </c>
      <c r="F86" t="inlineStr">
        <is>
          <t>x US price in USD at 2025 avg FX</t>
        </is>
      </c>
      <c r="G86" t="n">
        <v>0.3</v>
      </c>
      <c r="H86" t="n">
        <v>0.6</v>
      </c>
      <c r="I86" t="inlineStr">
        <is>
          <t>proposed</t>
        </is>
      </c>
      <c r="J86" t="inlineStr">
        <is>
          <t>S10;A01</t>
        </is>
      </c>
      <c r="K86" t="inlineStr">
        <is>
          <t>2026-10-27</t>
        </is>
      </c>
      <c r="L86" t="inlineStr">
        <is>
          <t>Localized pricing exists in Brazil per forum posts; level unverified</t>
        </is>
      </c>
    </row>
    <row r="87">
      <c r="A87" t="inlineStr">
        <is>
          <t>price_index</t>
        </is>
      </c>
      <c r="B87" t="inlineStr">
        <is>
          <t>pricing</t>
        </is>
      </c>
      <c r="C87" t="inlineStr">
        <is>
          <t>APAC</t>
        </is>
      </c>
      <c r="D87" t="inlineStr">
        <is>
          <t>all</t>
        </is>
      </c>
      <c r="E87" t="n">
        <v>0.75</v>
      </c>
      <c r="F87" t="inlineStr">
        <is>
          <t>x US price in USD at 2025 avg FX</t>
        </is>
      </c>
      <c r="G87" t="n">
        <v>0.5</v>
      </c>
      <c r="H87" t="n">
        <v>1</v>
      </c>
      <c r="I87" t="inlineStr">
        <is>
          <t>proposed</t>
        </is>
      </c>
      <c r="J87" t="inlineStr">
        <is>
          <t>S10;A01</t>
        </is>
      </c>
      <c r="K87" t="inlineStr">
        <is>
          <t>2026-10-27</t>
        </is>
      </c>
      <c r="L87" t="inlineStr">
        <is>
          <t>Japan localized; India reportedly not localized (~INR 850 = ~$10)</t>
        </is>
      </c>
    </row>
    <row r="88">
      <c r="A88" t="inlineStr">
        <is>
          <t>price_index</t>
        </is>
      </c>
      <c r="B88" t="inlineStr">
        <is>
          <t>pricing</t>
        </is>
      </c>
      <c r="C88" t="inlineStr">
        <is>
          <t>ROW</t>
        </is>
      </c>
      <c r="D88" t="inlineStr">
        <is>
          <t>all</t>
        </is>
      </c>
      <c r="E88" t="n">
        <v>0.6</v>
      </c>
      <c r="F88" t="inlineStr">
        <is>
          <t>x US price in USD at 2025 avg FX</t>
        </is>
      </c>
      <c r="G88" t="n">
        <v>0.3</v>
      </c>
      <c r="H88" t="n">
        <v>0.8</v>
      </c>
      <c r="I88" t="inlineStr">
        <is>
          <t>proposed</t>
        </is>
      </c>
      <c r="J88" t="inlineStr">
        <is>
          <t>S10;A01</t>
        </is>
      </c>
      <c r="K88" t="inlineStr">
        <is>
          <t>2026-10-27</t>
        </is>
      </c>
      <c r="L88" t="inlineStr">
        <is>
          <t>Turkey ~$3.20 per forum anecdote; RoW blends deep and no discounts</t>
        </is>
      </c>
    </row>
    <row r="89">
      <c r="A89" t="inlineStr">
        <is>
          <t>indirect_tax</t>
        </is>
      </c>
      <c r="B89" t="inlineStr">
        <is>
          <t>pricing</t>
        </is>
      </c>
      <c r="C89" t="inlineStr">
        <is>
          <t>US_CA</t>
        </is>
      </c>
      <c r="D89" t="inlineStr">
        <is>
          <t>all</t>
        </is>
      </c>
      <c r="E89" t="n">
        <v>0</v>
      </c>
      <c r="F89" t="inlineStr">
        <is>
          <t>share of gross price</t>
        </is>
      </c>
      <c r="I89" t="inlineStr">
        <is>
          <t>design</t>
        </is>
      </c>
      <c r="J89" t="inlineStr">
        <is>
          <t>P01</t>
        </is>
      </c>
      <c r="K89" t="inlineStr">
        <is>
          <t>2026-10-27</t>
        </is>
      </c>
      <c r="L89" t="inlineStr">
        <is>
          <t>US sales tax is added on top of list price so it is not in revenue</t>
        </is>
      </c>
    </row>
    <row r="90">
      <c r="A90" t="inlineStr">
        <is>
          <t>indirect_tax</t>
        </is>
      </c>
      <c r="B90" t="inlineStr">
        <is>
          <t>pricing</t>
        </is>
      </c>
      <c r="C90" t="inlineStr">
        <is>
          <t>EUROPE</t>
        </is>
      </c>
      <c r="D90" t="inlineStr">
        <is>
          <t>all</t>
        </is>
      </c>
      <c r="E90" t="n">
        <v>0.167</v>
      </c>
      <c r="F90" t="inlineStr">
        <is>
          <t>share of gross price</t>
        </is>
      </c>
      <c r="G90" t="n">
        <v>0.15</v>
      </c>
      <c r="H90" t="n">
        <v>0.18</v>
      </c>
      <c r="I90" t="inlineStr">
        <is>
          <t>proposed</t>
        </is>
      </c>
      <c r="J90" t="inlineStr">
        <is>
          <t>A01</t>
        </is>
      </c>
      <c r="K90" t="inlineStr">
        <is>
          <t>2026-10-27</t>
        </is>
      </c>
      <c r="L90" t="inlineStr">
        <is>
          <t>Prices shown VAT-inclusive. A ~20% VAT rate removes 0.20/1.20 = 16.7% of the gross price; EU rates run 17-27%</t>
        </is>
      </c>
    </row>
    <row r="91">
      <c r="A91" t="inlineStr">
        <is>
          <t>indirect_tax</t>
        </is>
      </c>
      <c r="B91" t="inlineStr">
        <is>
          <t>pricing</t>
        </is>
      </c>
      <c r="C91" t="inlineStr">
        <is>
          <t>LATAM</t>
        </is>
      </c>
      <c r="D91" t="inlineStr">
        <is>
          <t>all</t>
        </is>
      </c>
      <c r="E91" t="n">
        <v>0.12</v>
      </c>
      <c r="F91" t="inlineStr">
        <is>
          <t>share of gross price</t>
        </is>
      </c>
      <c r="G91" t="n">
        <v>0.05</v>
      </c>
      <c r="H91" t="n">
        <v>0.2</v>
      </c>
      <c r="I91" t="inlineStr">
        <is>
          <t>proposed</t>
        </is>
      </c>
      <c r="J91" t="inlineStr">
        <is>
          <t>A01</t>
        </is>
      </c>
      <c r="K91" t="inlineStr">
        <is>
          <t>2026-10-27</t>
        </is>
      </c>
      <c r="L91" t="inlineStr">
        <is>
          <t>Digital services taxes vary by country</t>
        </is>
      </c>
    </row>
    <row r="92">
      <c r="A92" t="inlineStr">
        <is>
          <t>indirect_tax</t>
        </is>
      </c>
      <c r="B92" t="inlineStr">
        <is>
          <t>pricing</t>
        </is>
      </c>
      <c r="C92" t="inlineStr">
        <is>
          <t>APAC</t>
        </is>
      </c>
      <c r="D92" t="inlineStr">
        <is>
          <t>all</t>
        </is>
      </c>
      <c r="E92" t="n">
        <v>0.1</v>
      </c>
      <c r="F92" t="inlineStr">
        <is>
          <t>share of gross price</t>
        </is>
      </c>
      <c r="G92" t="n">
        <v>0.05</v>
      </c>
      <c r="H92" t="n">
        <v>0.15</v>
      </c>
      <c r="I92" t="inlineStr">
        <is>
          <t>proposed</t>
        </is>
      </c>
      <c r="J92" t="inlineStr">
        <is>
          <t>A01</t>
        </is>
      </c>
      <c r="K92" t="inlineStr">
        <is>
          <t>2026-10-27</t>
        </is>
      </c>
      <c r="L92" t="inlineStr">
        <is>
          <t>Japan consumption tax 10%; India GST 18%</t>
        </is>
      </c>
    </row>
    <row r="93">
      <c r="A93" t="inlineStr">
        <is>
          <t>indirect_tax</t>
        </is>
      </c>
      <c r="B93" t="inlineStr">
        <is>
          <t>pricing</t>
        </is>
      </c>
      <c r="C93" t="inlineStr">
        <is>
          <t>ROW</t>
        </is>
      </c>
      <c r="D93" t="inlineStr">
        <is>
          <t>all</t>
        </is>
      </c>
      <c r="E93" t="n">
        <v>0.1</v>
      </c>
      <c r="F93" t="inlineStr">
        <is>
          <t>share of gross price</t>
        </is>
      </c>
      <c r="G93" t="n">
        <v>0.05</v>
      </c>
      <c r="H93" t="n">
        <v>0.2</v>
      </c>
      <c r="I93" t="inlineStr">
        <is>
          <t>proposed</t>
        </is>
      </c>
      <c r="J93" t="inlineStr">
        <is>
          <t>A01</t>
        </is>
      </c>
      <c r="K93" t="inlineStr">
        <is>
          <t>2026-10-27</t>
        </is>
      </c>
    </row>
    <row r="94">
      <c r="A94" t="inlineStr">
        <is>
          <t>trial_share</t>
        </is>
      </c>
      <c r="B94" t="inlineStr">
        <is>
          <t>promo</t>
        </is>
      </c>
      <c r="C94" t="inlineStr">
        <is>
          <t>all</t>
        </is>
      </c>
      <c r="D94" t="inlineStr">
        <is>
          <t>all</t>
        </is>
      </c>
      <c r="E94" t="n">
        <v>0.15</v>
      </c>
      <c r="F94" t="inlineStr">
        <is>
          <t>share of gross adds starting on a free trial</t>
        </is>
      </c>
      <c r="G94" t="n">
        <v>0</v>
      </c>
      <c r="H94" t="n">
        <v>0.4</v>
      </c>
      <c r="I94" t="inlineStr">
        <is>
          <t>proposed</t>
        </is>
      </c>
      <c r="J94" t="inlineStr">
        <is>
          <t>A01</t>
        </is>
      </c>
      <c r="K94" t="inlineStr">
        <is>
          <t>2026-10-28</t>
        </is>
      </c>
      <c r="L94" t="inlineStr">
        <is>
          <t>Partner promos and free trial months. Trialists pay $0 while in trial, then convert or leave</t>
        </is>
      </c>
    </row>
    <row r="95">
      <c r="A95" t="inlineStr">
        <is>
          <t>trial_months</t>
        </is>
      </c>
      <c r="B95" t="inlineStr">
        <is>
          <t>promo</t>
        </is>
      </c>
      <c r="C95" t="inlineStr">
        <is>
          <t>all</t>
        </is>
      </c>
      <c r="D95" t="inlineStr">
        <is>
          <t>all</t>
        </is>
      </c>
      <c r="E95" t="n">
        <v>1</v>
      </c>
      <c r="F95" t="inlineStr">
        <is>
          <t>months</t>
        </is>
      </c>
      <c r="G95" t="n">
        <v>1</v>
      </c>
      <c r="H95" t="n">
        <v>3</v>
      </c>
      <c r="I95" t="inlineStr">
        <is>
          <t>proposed</t>
        </is>
      </c>
      <c r="J95" t="inlineStr">
        <is>
          <t>A01</t>
        </is>
      </c>
      <c r="K95" t="inlineStr">
        <is>
          <t>2026-10-28</t>
        </is>
      </c>
      <c r="L95" t="inlineStr">
        <is>
          <t>Length of the free period</t>
        </is>
      </c>
    </row>
    <row r="96">
      <c r="A96" t="inlineStr">
        <is>
          <t>trial_to_paid</t>
        </is>
      </c>
      <c r="B96" t="inlineStr">
        <is>
          <t>promo</t>
        </is>
      </c>
      <c r="C96" t="inlineStr">
        <is>
          <t>all</t>
        </is>
      </c>
      <c r="D96" t="inlineStr">
        <is>
          <t>base</t>
        </is>
      </c>
      <c r="E96" t="n">
        <v>0.4</v>
      </c>
      <c r="F96" t="inlineStr">
        <is>
          <t>share of trialists converting to paid</t>
        </is>
      </c>
      <c r="G96" t="n">
        <v>0.25</v>
      </c>
      <c r="H96" t="n">
        <v>0.6</v>
      </c>
      <c r="I96" t="inlineStr">
        <is>
          <t>proposed</t>
        </is>
      </c>
      <c r="J96" t="inlineStr">
        <is>
          <t>S16;A01</t>
        </is>
      </c>
      <c r="K96" t="inlineStr">
        <is>
          <t>2026-10-28</t>
        </is>
      </c>
      <c r="L96" t="inlineStr">
        <is>
          <t>No public Discord rate. RevenueCat (S16) shows trial conversion clusters at install day but the rate is not in the public preview</t>
        </is>
      </c>
    </row>
    <row r="97">
      <c r="A97" t="inlineStr">
        <is>
          <t>trial_to_paid</t>
        </is>
      </c>
      <c r="B97" t="inlineStr">
        <is>
          <t>promo</t>
        </is>
      </c>
      <c r="C97" t="inlineStr">
        <is>
          <t>all</t>
        </is>
      </c>
      <c r="D97" t="inlineStr">
        <is>
          <t>upside</t>
        </is>
      </c>
      <c r="E97" t="n">
        <v>0.5</v>
      </c>
      <c r="F97" t="inlineStr">
        <is>
          <t>share of trialists converting to paid</t>
        </is>
      </c>
      <c r="G97" t="n">
        <v>0.25</v>
      </c>
      <c r="H97" t="n">
        <v>0.6</v>
      </c>
      <c r="I97" t="inlineStr">
        <is>
          <t>proposed</t>
        </is>
      </c>
      <c r="J97" t="inlineStr">
        <is>
          <t>A01</t>
        </is>
      </c>
      <c r="K97" t="inlineStr">
        <is>
          <t>2026-10-28</t>
        </is>
      </c>
    </row>
    <row r="98">
      <c r="A98" t="inlineStr">
        <is>
          <t>trial_to_paid</t>
        </is>
      </c>
      <c r="B98" t="inlineStr">
        <is>
          <t>promo</t>
        </is>
      </c>
      <c r="C98" t="inlineStr">
        <is>
          <t>all</t>
        </is>
      </c>
      <c r="D98" t="inlineStr">
        <is>
          <t>downside</t>
        </is>
      </c>
      <c r="E98" t="n">
        <v>0.3</v>
      </c>
      <c r="F98" t="inlineStr">
        <is>
          <t>share of trialists converting to paid</t>
        </is>
      </c>
      <c r="G98" t="n">
        <v>0.25</v>
      </c>
      <c r="H98" t="n">
        <v>0.6</v>
      </c>
      <c r="I98" t="inlineStr">
        <is>
          <t>proposed</t>
        </is>
      </c>
      <c r="J98" t="inlineStr">
        <is>
          <t>A01</t>
        </is>
      </c>
      <c r="K98" t="inlineStr">
        <is>
          <t>2026-10-28</t>
        </is>
      </c>
    </row>
    <row r="99">
      <c r="A99" t="inlineStr">
        <is>
          <t>count_trials_as_subs</t>
        </is>
      </c>
      <c r="B99" t="inlineStr">
        <is>
          <t>promo</t>
        </is>
      </c>
      <c r="C99" t="inlineStr">
        <is>
          <t>all</t>
        </is>
      </c>
      <c r="D99" t="inlineStr">
        <is>
          <t>all</t>
        </is>
      </c>
      <c r="E99" t="n">
        <v>1</v>
      </c>
      <c r="F99" t="inlineStr">
        <is>
          <t>flag</t>
        </is>
      </c>
      <c r="G99" t="n">
        <v>0</v>
      </c>
      <c r="H99" t="n">
        <v>1</v>
      </c>
      <c r="I99" t="inlineStr">
        <is>
          <t>proposed</t>
        </is>
      </c>
      <c r="J99" t="inlineStr">
        <is>
          <t>S13;A01</t>
        </is>
      </c>
      <c r="K99" t="inlineStr">
        <is>
          <t>2026-10-28</t>
        </is>
      </c>
      <c r="L99" t="inlineStr">
        <is>
          <t>Definition: does the 7.3M anchor count trialists? Spotify counts trialists as subscribers (S13). Unknown for the third-party Discord figure</t>
        </is>
      </c>
    </row>
    <row r="100">
      <c r="A100" t="inlineStr">
        <is>
          <t>avg_discount</t>
        </is>
      </c>
      <c r="B100" t="inlineStr">
        <is>
          <t>promo</t>
        </is>
      </c>
      <c r="C100" t="inlineStr">
        <is>
          <t>all</t>
        </is>
      </c>
      <c r="D100" t="inlineStr">
        <is>
          <t>all</t>
        </is>
      </c>
      <c r="E100" t="n">
        <v>0.05</v>
      </c>
      <c r="F100" t="inlineStr">
        <is>
          <t>share of list price</t>
        </is>
      </c>
      <c r="G100" t="n">
        <v>0</v>
      </c>
      <c r="H100" t="n">
        <v>0.15</v>
      </c>
      <c r="I100" t="inlineStr">
        <is>
          <t>proposed</t>
        </is>
      </c>
      <c r="J100" t="inlineStr">
        <is>
          <t>A01</t>
        </is>
      </c>
      <c r="K100" t="inlineStr">
        <is>
          <t>2026-10-27</t>
        </is>
      </c>
      <c r="L100" t="inlineStr">
        <is>
          <t>Average discount on paying subscribers (sale pricing; first-month offers)</t>
        </is>
      </c>
    </row>
    <row r="101">
      <c r="A101" t="inlineStr">
        <is>
          <t>store_fee</t>
        </is>
      </c>
      <c r="B101" t="inlineStr">
        <is>
          <t>fees</t>
        </is>
      </c>
      <c r="C101" t="inlineStr">
        <is>
          <t>IOS_Y1</t>
        </is>
      </c>
      <c r="D101" t="inlineStr">
        <is>
          <t>all</t>
        </is>
      </c>
      <c r="E101" t="n">
        <v>0.3</v>
      </c>
      <c r="F101" t="inlineStr">
        <is>
          <t>share of gross</t>
        </is>
      </c>
      <c r="I101" t="inlineStr">
        <is>
          <t>verified</t>
        </is>
      </c>
      <c r="J101" t="inlineStr">
        <is>
          <t>S11</t>
        </is>
      </c>
      <c r="K101" t="inlineStr">
        <is>
          <t>2026-10-27</t>
        </is>
      </c>
      <c r="L101" t="inlineStr">
        <is>
          <t>Apple standard rate in subscriber's first year</t>
        </is>
      </c>
    </row>
    <row r="102">
      <c r="A102" t="inlineStr">
        <is>
          <t>store_fee</t>
        </is>
      </c>
      <c r="B102" t="inlineStr">
        <is>
          <t>fees</t>
        </is>
      </c>
      <c r="C102" t="inlineStr">
        <is>
          <t>IOS_LATER</t>
        </is>
      </c>
      <c r="D102" t="inlineStr">
        <is>
          <t>all</t>
        </is>
      </c>
      <c r="E102" t="n">
        <v>0.15</v>
      </c>
      <c r="F102" t="inlineStr">
        <is>
          <t>share of gross</t>
        </is>
      </c>
      <c r="I102" t="inlineStr">
        <is>
          <t>verified</t>
        </is>
      </c>
      <c r="J102" t="inlineStr">
        <is>
          <t>S11</t>
        </is>
      </c>
      <c r="K102" t="inlineStr">
        <is>
          <t>2026-10-27</t>
        </is>
      </c>
      <c r="L102" t="inlineStr">
        <is>
          <t>Apple rate after a subscriber's first year</t>
        </is>
      </c>
    </row>
    <row r="103">
      <c r="A103" t="inlineStr">
        <is>
          <t>store_fee</t>
        </is>
      </c>
      <c r="B103" t="inlineStr">
        <is>
          <t>fees</t>
        </is>
      </c>
      <c r="C103" t="inlineStr">
        <is>
          <t>ANDROID</t>
        </is>
      </c>
      <c r="D103" t="inlineStr">
        <is>
          <t>all</t>
        </is>
      </c>
      <c r="E103" t="n">
        <v>0.15</v>
      </c>
      <c r="F103" t="inlineStr">
        <is>
          <t>share of gross</t>
        </is>
      </c>
      <c r="I103" t="inlineStr">
        <is>
          <t>verified</t>
        </is>
      </c>
      <c r="J103" t="inlineStr">
        <is>
          <t>S12</t>
        </is>
      </c>
      <c r="K103" t="inlineStr">
        <is>
          <t>2026-10-27</t>
        </is>
      </c>
      <c r="L103" t="inlineStr">
        <is>
          <t>Google Play subscriptions 15% from day one (10% service + 5% billing in US/UK/EEA from 2026-06-30)</t>
        </is>
      </c>
    </row>
    <row r="104">
      <c r="A104" t="inlineStr">
        <is>
          <t>store_fee</t>
        </is>
      </c>
      <c r="B104" t="inlineStr">
        <is>
          <t>fees</t>
        </is>
      </c>
      <c r="C104" t="inlineStr">
        <is>
          <t>WEB</t>
        </is>
      </c>
      <c r="D104" t="inlineStr">
        <is>
          <t>all</t>
        </is>
      </c>
      <c r="E104" t="n">
        <v>0.03</v>
      </c>
      <c r="F104" t="inlineStr">
        <is>
          <t>share of gross</t>
        </is>
      </c>
      <c r="G104" t="n">
        <v>0.02</v>
      </c>
      <c r="H104" t="n">
        <v>0.04</v>
      </c>
      <c r="I104" t="inlineStr">
        <is>
          <t>proposed</t>
        </is>
      </c>
      <c r="J104" t="inlineStr">
        <is>
          <t>A01</t>
        </is>
      </c>
      <c r="K104" t="inlineStr">
        <is>
          <t>2026-10-27</t>
        </is>
      </c>
      <c r="L104" t="inlineStr">
        <is>
          <t>Card processing on direct web/desktop billing</t>
        </is>
      </c>
    </row>
    <row r="105">
      <c r="A105" t="inlineStr">
        <is>
          <t>fx_weight</t>
        </is>
      </c>
      <c r="B105" t="inlineStr">
        <is>
          <t>fx</t>
        </is>
      </c>
      <c r="C105" t="inlineStr">
        <is>
          <t>US_CA|USD</t>
        </is>
      </c>
      <c r="D105" t="inlineStr">
        <is>
          <t>all</t>
        </is>
      </c>
      <c r="E105" t="n">
        <v>1</v>
      </c>
      <c r="F105" t="inlineStr">
        <is>
          <t>weight</t>
        </is>
      </c>
      <c r="I105" t="inlineStr">
        <is>
          <t>design</t>
        </is>
      </c>
      <c r="J105" t="inlineStr">
        <is>
          <t>P01</t>
        </is>
      </c>
      <c r="K105" t="inlineStr">
        <is>
          <t>2026-10-27</t>
        </is>
      </c>
      <c r="L105" t="inlineStr">
        <is>
          <t>Region currency basket</t>
        </is>
      </c>
    </row>
    <row r="106">
      <c r="A106" t="inlineStr">
        <is>
          <t>fx_weight</t>
        </is>
      </c>
      <c r="B106" t="inlineStr">
        <is>
          <t>fx</t>
        </is>
      </c>
      <c r="C106" t="inlineStr">
        <is>
          <t>EUROPE|EUR</t>
        </is>
      </c>
      <c r="D106" t="inlineStr">
        <is>
          <t>all</t>
        </is>
      </c>
      <c r="E106" t="n">
        <v>1</v>
      </c>
      <c r="F106" t="inlineStr">
        <is>
          <t>weight</t>
        </is>
      </c>
      <c r="I106" t="inlineStr">
        <is>
          <t>design</t>
        </is>
      </c>
      <c r="J106" t="inlineStr">
        <is>
          <t>P01</t>
        </is>
      </c>
      <c r="K106" t="inlineStr">
        <is>
          <t>2026-10-27</t>
        </is>
      </c>
      <c r="L106" t="inlineStr">
        <is>
          <t>GBP/PLN etc proxied by EUR</t>
        </is>
      </c>
    </row>
    <row r="107">
      <c r="A107" t="inlineStr">
        <is>
          <t>fx_weight</t>
        </is>
      </c>
      <c r="B107" t="inlineStr">
        <is>
          <t>fx</t>
        </is>
      </c>
      <c r="C107" t="inlineStr">
        <is>
          <t>LATAM|BRL</t>
        </is>
      </c>
      <c r="D107" t="inlineStr">
        <is>
          <t>all</t>
        </is>
      </c>
      <c r="E107" t="n">
        <v>1</v>
      </c>
      <c r="F107" t="inlineStr">
        <is>
          <t>weight</t>
        </is>
      </c>
      <c r="I107" t="inlineStr">
        <is>
          <t>design</t>
        </is>
      </c>
      <c r="J107" t="inlineStr">
        <is>
          <t>P01</t>
        </is>
      </c>
      <c r="K107" t="inlineStr">
        <is>
          <t>2026-10-27</t>
        </is>
      </c>
      <c r="L107" t="inlineStr">
        <is>
          <t>Brazil as proxy for LatAm currencies</t>
        </is>
      </c>
    </row>
    <row r="108">
      <c r="A108" t="inlineStr">
        <is>
          <t>fx_weight</t>
        </is>
      </c>
      <c r="B108" t="inlineStr">
        <is>
          <t>fx</t>
        </is>
      </c>
      <c r="C108" t="inlineStr">
        <is>
          <t>APAC|JPY</t>
        </is>
      </c>
      <c r="D108" t="inlineStr">
        <is>
          <t>all</t>
        </is>
      </c>
      <c r="E108" t="n">
        <v>0.5</v>
      </c>
      <c r="F108" t="inlineStr">
        <is>
          <t>weight</t>
        </is>
      </c>
      <c r="G108" t="n">
        <v>0.3</v>
      </c>
      <c r="H108" t="n">
        <v>0.7</v>
      </c>
      <c r="I108" t="inlineStr">
        <is>
          <t>proposed</t>
        </is>
      </c>
      <c r="J108" t="inlineStr">
        <is>
          <t>A01</t>
        </is>
      </c>
      <c r="K108" t="inlineStr">
        <is>
          <t>2026-10-27</t>
        </is>
      </c>
      <c r="L108" t="inlineStr">
        <is>
          <t>APAC basket: JPY/INR blend</t>
        </is>
      </c>
    </row>
    <row r="109">
      <c r="A109" t="inlineStr">
        <is>
          <t>fx_weight</t>
        </is>
      </c>
      <c r="B109" t="inlineStr">
        <is>
          <t>fx</t>
        </is>
      </c>
      <c r="C109" t="inlineStr">
        <is>
          <t>APAC|INR</t>
        </is>
      </c>
      <c r="D109" t="inlineStr">
        <is>
          <t>all</t>
        </is>
      </c>
      <c r="E109" t="n">
        <v>0.5</v>
      </c>
      <c r="F109" t="inlineStr">
        <is>
          <t>weight</t>
        </is>
      </c>
      <c r="G109" t="n">
        <v>0.3</v>
      </c>
      <c r="H109" t="n">
        <v>0.7</v>
      </c>
      <c r="I109" t="inlineStr">
        <is>
          <t>proposed</t>
        </is>
      </c>
      <c r="J109" t="inlineStr">
        <is>
          <t>A01</t>
        </is>
      </c>
      <c r="K109" t="inlineStr">
        <is>
          <t>2026-10-27</t>
        </is>
      </c>
    </row>
    <row r="110">
      <c r="A110" t="inlineStr">
        <is>
          <t>fx_weight</t>
        </is>
      </c>
      <c r="B110" t="inlineStr">
        <is>
          <t>fx</t>
        </is>
      </c>
      <c r="C110" t="inlineStr">
        <is>
          <t>ROW|USD</t>
        </is>
      </c>
      <c r="D110" t="inlineStr">
        <is>
          <t>all</t>
        </is>
      </c>
      <c r="E110" t="n">
        <v>1</v>
      </c>
      <c r="F110" t="inlineStr">
        <is>
          <t>weight</t>
        </is>
      </c>
      <c r="I110" t="inlineStr">
        <is>
          <t>design</t>
        </is>
      </c>
      <c r="J110" t="inlineStr">
        <is>
          <t>P01</t>
        </is>
      </c>
      <c r="K110" t="inlineStr">
        <is>
          <t>2026-10-27</t>
        </is>
      </c>
      <c r="L110" t="inlineStr">
        <is>
          <t>RoW priced in USD</t>
        </is>
      </c>
    </row>
    <row r="111">
      <c r="A111" t="inlineStr">
        <is>
          <t>fx_avg_2025</t>
        </is>
      </c>
      <c r="B111" t="inlineStr">
        <is>
          <t>fx</t>
        </is>
      </c>
      <c r="C111" t="inlineStr">
        <is>
          <t>EUR</t>
        </is>
      </c>
      <c r="D111" t="inlineStr">
        <is>
          <t>all</t>
        </is>
      </c>
      <c r="E111" t="n">
        <v>0.884486</v>
      </c>
      <c r="F111" t="inlineStr">
        <is>
          <t>local per USD</t>
        </is>
      </c>
      <c r="I111" t="inlineStr">
        <is>
          <t>verified</t>
        </is>
      </c>
      <c r="J111" t="inlineStr">
        <is>
          <t>S17</t>
        </is>
      </c>
      <c r="K111" t="inlineStr">
        <is>
          <t>2026-10-27</t>
        </is>
      </c>
      <c r="L111" t="inlineStr">
        <is>
          <t>FRED AEXUSEU 1.1306 USD per EUR inverted</t>
        </is>
      </c>
    </row>
    <row r="112">
      <c r="A112" t="inlineStr">
        <is>
          <t>fx_avg_2025</t>
        </is>
      </c>
      <c r="B112" t="inlineStr">
        <is>
          <t>fx</t>
        </is>
      </c>
      <c r="C112" t="inlineStr">
        <is>
          <t>JPY</t>
        </is>
      </c>
      <c r="D112" t="inlineStr">
        <is>
          <t>all</t>
        </is>
      </c>
      <c r="E112" t="n">
        <v>149.5686</v>
      </c>
      <c r="F112" t="inlineStr">
        <is>
          <t>local per USD</t>
        </is>
      </c>
      <c r="I112" t="inlineStr">
        <is>
          <t>verified</t>
        </is>
      </c>
      <c r="J112" t="inlineStr">
        <is>
          <t>S17</t>
        </is>
      </c>
      <c r="K112" t="inlineStr">
        <is>
          <t>2026-10-27</t>
        </is>
      </c>
      <c r="L112" t="inlineStr">
        <is>
          <t>FRED AEXJPUS</t>
        </is>
      </c>
    </row>
    <row r="113">
      <c r="A113" t="inlineStr">
        <is>
          <t>fx_avg_2025</t>
        </is>
      </c>
      <c r="B113" t="inlineStr">
        <is>
          <t>fx</t>
        </is>
      </c>
      <c r="C113" t="inlineStr">
        <is>
          <t>BRL</t>
        </is>
      </c>
      <c r="D113" t="inlineStr">
        <is>
          <t>all</t>
        </is>
      </c>
      <c r="E113" t="n">
        <v>5.5891</v>
      </c>
      <c r="F113" t="inlineStr">
        <is>
          <t>local per USD</t>
        </is>
      </c>
      <c r="I113" t="inlineStr">
        <is>
          <t>verified</t>
        </is>
      </c>
      <c r="J113" t="inlineStr">
        <is>
          <t>S17</t>
        </is>
      </c>
      <c r="K113" t="inlineStr">
        <is>
          <t>2026-10-27</t>
        </is>
      </c>
      <c r="L113" t="inlineStr">
        <is>
          <t>FRED AEXBZUS</t>
        </is>
      </c>
    </row>
    <row r="114">
      <c r="A114" t="inlineStr">
        <is>
          <t>fx_avg_2025</t>
        </is>
      </c>
      <c r="B114" t="inlineStr">
        <is>
          <t>fx</t>
        </is>
      </c>
      <c r="C114" t="inlineStr">
        <is>
          <t>INR</t>
        </is>
      </c>
      <c r="D114" t="inlineStr">
        <is>
          <t>all</t>
        </is>
      </c>
      <c r="E114" t="n">
        <v>87.1468</v>
      </c>
      <c r="F114" t="inlineStr">
        <is>
          <t>local per USD</t>
        </is>
      </c>
      <c r="I114" t="inlineStr">
        <is>
          <t>verified</t>
        </is>
      </c>
      <c r="J114" t="inlineStr">
        <is>
          <t>S17</t>
        </is>
      </c>
      <c r="K114" t="inlineStr">
        <is>
          <t>2026-10-27</t>
        </is>
      </c>
      <c r="L114" t="inlineStr">
        <is>
          <t>FRED AEXINUS</t>
        </is>
      </c>
    </row>
    <row r="115">
      <c r="A115" t="inlineStr">
        <is>
          <t>fx_avg_2025</t>
        </is>
      </c>
      <c r="B115" t="inlineStr">
        <is>
          <t>fx</t>
        </is>
      </c>
      <c r="C115" t="inlineStr">
        <is>
          <t>USD</t>
        </is>
      </c>
      <c r="D115" t="inlineStr">
        <is>
          <t>all</t>
        </is>
      </c>
      <c r="E115" t="n">
        <v>1</v>
      </c>
      <c r="F115" t="inlineStr">
        <is>
          <t>local per USD</t>
        </is>
      </c>
      <c r="I115" t="inlineStr">
        <is>
          <t>design</t>
        </is>
      </c>
      <c r="J115" t="inlineStr">
        <is>
          <t>P01</t>
        </is>
      </c>
      <c r="K115" t="inlineStr">
        <is>
          <t>2026-10-27</t>
        </is>
      </c>
    </row>
    <row r="116">
      <c r="A116" t="inlineStr">
        <is>
          <t>fx_spot</t>
        </is>
      </c>
      <c r="B116" t="inlineStr">
        <is>
          <t>fx</t>
        </is>
      </c>
      <c r="C116" t="inlineStr">
        <is>
          <t>EUR</t>
        </is>
      </c>
      <c r="D116" t="inlineStr">
        <is>
          <t>all</t>
        </is>
      </c>
      <c r="E116" t="n">
        <v>0.890869</v>
      </c>
      <c r="F116" t="inlineStr">
        <is>
          <t>local per USD</t>
        </is>
      </c>
      <c r="I116" t="inlineStr">
        <is>
          <t>verified</t>
        </is>
      </c>
      <c r="J116" t="inlineStr">
        <is>
          <t>S18</t>
        </is>
      </c>
      <c r="K116" t="inlineStr">
        <is>
          <t>2026-10-19</t>
        </is>
      </c>
      <c r="L116" t="inlineStr">
        <is>
          <t>1/1.1225</t>
        </is>
      </c>
    </row>
    <row r="117">
      <c r="A117" t="inlineStr">
        <is>
          <t>fx_spot</t>
        </is>
      </c>
      <c r="B117" t="inlineStr">
        <is>
          <t>fx</t>
        </is>
      </c>
      <c r="C117" t="inlineStr">
        <is>
          <t>JPY</t>
        </is>
      </c>
      <c r="D117" t="inlineStr">
        <is>
          <t>all</t>
        </is>
      </c>
      <c r="E117" t="n">
        <v>158.245</v>
      </c>
      <c r="F117" t="inlineStr">
        <is>
          <t>local per USD</t>
        </is>
      </c>
      <c r="I117" t="inlineStr">
        <is>
          <t>verified</t>
        </is>
      </c>
      <c r="J117" t="inlineStr">
        <is>
          <t>S18</t>
        </is>
      </c>
      <c r="K117" t="inlineStr">
        <is>
          <t>2026-10-19</t>
        </is>
      </c>
      <c r="L117" t="inlineStr">
        <is>
          <t>177.63 / 1.1225</t>
        </is>
      </c>
    </row>
    <row r="118">
      <c r="A118" t="inlineStr">
        <is>
          <t>fx_spot</t>
        </is>
      </c>
      <c r="B118" t="inlineStr">
        <is>
          <t>fx</t>
        </is>
      </c>
      <c r="C118" t="inlineStr">
        <is>
          <t>BRL</t>
        </is>
      </c>
      <c r="D118" t="inlineStr">
        <is>
          <t>all</t>
        </is>
      </c>
      <c r="E118" t="n">
        <v>5.045256</v>
      </c>
      <c r="F118" t="inlineStr">
        <is>
          <t>local per USD</t>
        </is>
      </c>
      <c r="I118" t="inlineStr">
        <is>
          <t>verified</t>
        </is>
      </c>
      <c r="J118" t="inlineStr">
        <is>
          <t>S18</t>
        </is>
      </c>
      <c r="K118" t="inlineStr">
        <is>
          <t>2026-10-19</t>
        </is>
      </c>
      <c r="L118" t="inlineStr">
        <is>
          <t>5.6633 / 1.1225</t>
        </is>
      </c>
    </row>
    <row r="119">
      <c r="A119" t="inlineStr">
        <is>
          <t>fx_spot</t>
        </is>
      </c>
      <c r="B119" t="inlineStr">
        <is>
          <t>fx</t>
        </is>
      </c>
      <c r="C119" t="inlineStr">
        <is>
          <t>INR</t>
        </is>
      </c>
      <c r="D119" t="inlineStr">
        <is>
          <t>all</t>
        </is>
      </c>
      <c r="E119" t="n">
        <v>94.93006699999999</v>
      </c>
      <c r="F119" t="inlineStr">
        <is>
          <t>local per USD</t>
        </is>
      </c>
      <c r="I119" t="inlineStr">
        <is>
          <t>verified</t>
        </is>
      </c>
      <c r="J119" t="inlineStr">
        <is>
          <t>S18</t>
        </is>
      </c>
      <c r="K119" t="inlineStr">
        <is>
          <t>2026-10-19</t>
        </is>
      </c>
      <c r="L119" t="inlineStr">
        <is>
          <t>106.559 / 1.1225</t>
        </is>
      </c>
    </row>
    <row r="120">
      <c r="A120" t="inlineStr">
        <is>
          <t>fx_spot</t>
        </is>
      </c>
      <c r="B120" t="inlineStr">
        <is>
          <t>fx</t>
        </is>
      </c>
      <c r="C120" t="inlineStr">
        <is>
          <t>USD</t>
        </is>
      </c>
      <c r="D120" t="inlineStr">
        <is>
          <t>all</t>
        </is>
      </c>
      <c r="E120" t="n">
        <v>1</v>
      </c>
      <c r="F120" t="inlineStr">
        <is>
          <t>local per USD</t>
        </is>
      </c>
      <c r="I120" t="inlineStr">
        <is>
          <t>design</t>
        </is>
      </c>
      <c r="J120" t="inlineStr">
        <is>
          <t>P01</t>
        </is>
      </c>
      <c r="K120" t="inlineStr">
        <is>
          <t>2026-10-27</t>
        </is>
      </c>
    </row>
    <row r="121">
      <c r="A121" t="inlineStr">
        <is>
          <t>fx_spot_month_index</t>
        </is>
      </c>
      <c r="B121" t="inlineStr">
        <is>
          <t>fx</t>
        </is>
      </c>
      <c r="C121" t="inlineStr">
        <is>
          <t>all</t>
        </is>
      </c>
      <c r="D121" t="inlineStr">
        <is>
          <t>all</t>
        </is>
      </c>
      <c r="E121" t="n">
        <v>22</v>
      </c>
      <c r="F121" t="inlineStr">
        <is>
          <t>month index (Jan 2025 = 1)</t>
        </is>
      </c>
      <c r="I121" t="inlineStr">
        <is>
          <t>design</t>
        </is>
      </c>
      <c r="J121" t="inlineStr">
        <is>
          <t>P01</t>
        </is>
      </c>
      <c r="K121" t="inlineStr">
        <is>
          <t>2026-10-27</t>
        </is>
      </c>
      <c r="L121" t="inlineStr">
        <is>
          <t>Path: 2025 at FY avg; Jan-Oct 2026 linear to spot; Nov 2026+ covered-interest-parity forward from spot</t>
        </is>
      </c>
    </row>
    <row r="122">
      <c r="A122" t="inlineStr">
        <is>
          <t>forecast_start_month_index</t>
        </is>
      </c>
      <c r="B122" t="inlineStr">
        <is>
          <t>timeline</t>
        </is>
      </c>
      <c r="C122" t="inlineStr">
        <is>
          <t>all</t>
        </is>
      </c>
      <c r="D122" t="inlineStr">
        <is>
          <t>all</t>
        </is>
      </c>
      <c r="E122" t="n">
        <v>13</v>
      </c>
      <c r="F122" t="inlineStr">
        <is>
          <t>month index (Jan 2025 = 1)</t>
        </is>
      </c>
      <c r="I122" t="inlineStr">
        <is>
          <t>design</t>
        </is>
      </c>
      <c r="J122" t="inlineStr">
        <is>
          <t>P01</t>
        </is>
      </c>
      <c r="K122" t="inlineStr">
        <is>
          <t>2026-10-28</t>
        </is>
      </c>
      <c r="L122" t="inlineStr">
        <is>
          <t>Jan 2026. Scenarios and sliders change sign-ups, trials, churn and reactivation from this month; FY2025 is fixed history</t>
        </is>
      </c>
    </row>
    <row r="123">
      <c r="A123" t="inlineStr">
        <is>
          <t>policy_rate</t>
        </is>
      </c>
      <c r="B123" t="inlineStr">
        <is>
          <t>fx</t>
        </is>
      </c>
      <c r="C123" t="inlineStr">
        <is>
          <t>USD</t>
        </is>
      </c>
      <c r="D123" t="inlineStr">
        <is>
          <t>all</t>
        </is>
      </c>
      <c r="E123" t="n">
        <v>0.03625</v>
      </c>
      <c r="F123" t="inlineStr">
        <is>
          <t>annual</t>
        </is>
      </c>
      <c r="G123" t="n">
        <v>0.035</v>
      </c>
      <c r="H123" t="n">
        <v>0.0375</v>
      </c>
      <c r="I123" t="inlineStr">
        <is>
          <t>anchor</t>
        </is>
      </c>
      <c r="J123" t="inlineStr">
        <is>
          <t>S19</t>
        </is>
      </c>
      <c r="K123" t="inlineStr">
        <is>
          <t>2026-06-30</t>
        </is>
      </c>
      <c r="L123" t="inlineStr">
        <is>
          <t>Fed 3.50-3.75% midpoint; stale (June 2026) and low-authority source</t>
        </is>
      </c>
    </row>
    <row r="124">
      <c r="A124" t="inlineStr">
        <is>
          <t>policy_rate</t>
        </is>
      </c>
      <c r="B124" t="inlineStr">
        <is>
          <t>fx</t>
        </is>
      </c>
      <c r="C124" t="inlineStr">
        <is>
          <t>EUR</t>
        </is>
      </c>
      <c r="D124" t="inlineStr">
        <is>
          <t>all</t>
        </is>
      </c>
      <c r="E124" t="n">
        <v>0.024</v>
      </c>
      <c r="F124" t="inlineStr">
        <is>
          <t>annual</t>
        </is>
      </c>
      <c r="G124" t="n">
        <v>0.0225</v>
      </c>
      <c r="H124" t="n">
        <v>0.024</v>
      </c>
      <c r="I124" t="inlineStr">
        <is>
          <t>anchor</t>
        </is>
      </c>
      <c r="J124" t="inlineStr">
        <is>
          <t>S19</t>
        </is>
      </c>
      <c r="K124" t="inlineStr">
        <is>
          <t>2026-06-30</t>
        </is>
      </c>
      <c r="L124" t="inlineStr">
        <is>
          <t>ECB MRO 2.40% (deposit 2.25%)</t>
        </is>
      </c>
    </row>
    <row r="125">
      <c r="A125" t="inlineStr">
        <is>
          <t>policy_rate</t>
        </is>
      </c>
      <c r="B125" t="inlineStr">
        <is>
          <t>fx</t>
        </is>
      </c>
      <c r="C125" t="inlineStr">
        <is>
          <t>JPY</t>
        </is>
      </c>
      <c r="D125" t="inlineStr">
        <is>
          <t>all</t>
        </is>
      </c>
      <c r="E125" t="n">
        <v>0.01</v>
      </c>
      <c r="F125" t="inlineStr">
        <is>
          <t>annual</t>
        </is>
      </c>
      <c r="G125" t="n">
        <v>0.0075</v>
      </c>
      <c r="H125" t="n">
        <v>0.01</v>
      </c>
      <c r="I125" t="inlineStr">
        <is>
          <t>anchor</t>
        </is>
      </c>
      <c r="J125" t="inlineStr">
        <is>
          <t>S19</t>
        </is>
      </c>
      <c r="K125" t="inlineStr">
        <is>
          <t>2026-06-30</t>
        </is>
      </c>
      <c r="L125" t="inlineStr">
        <is>
          <t>Sources conflict: 1.00% vs 0.75%</t>
        </is>
      </c>
    </row>
    <row r="126">
      <c r="A126" t="inlineStr">
        <is>
          <t>policy_rate</t>
        </is>
      </c>
      <c r="B126" t="inlineStr">
        <is>
          <t>fx</t>
        </is>
      </c>
      <c r="C126" t="inlineStr">
        <is>
          <t>BRL</t>
        </is>
      </c>
      <c r="D126" t="inlineStr">
        <is>
          <t>all</t>
        </is>
      </c>
      <c r="E126" t="n">
        <v>0.1425</v>
      </c>
      <c r="F126" t="inlineStr">
        <is>
          <t>annual</t>
        </is>
      </c>
      <c r="G126" t="n">
        <v>0.13</v>
      </c>
      <c r="H126" t="n">
        <v>0.15</v>
      </c>
      <c r="I126" t="inlineStr">
        <is>
          <t>anchor</t>
        </is>
      </c>
      <c r="J126" t="inlineStr">
        <is>
          <t>S19</t>
        </is>
      </c>
      <c r="K126" t="inlineStr">
        <is>
          <t>2026-06-30</t>
        </is>
      </c>
      <c r="L126" t="inlineStr">
        <is>
          <t>Selic</t>
        </is>
      </c>
    </row>
    <row r="127">
      <c r="A127" t="inlineStr">
        <is>
          <t>policy_rate</t>
        </is>
      </c>
      <c r="B127" t="inlineStr">
        <is>
          <t>fx</t>
        </is>
      </c>
      <c r="C127" t="inlineStr">
        <is>
          <t>INR</t>
        </is>
      </c>
      <c r="D127" t="inlineStr">
        <is>
          <t>all</t>
        </is>
      </c>
      <c r="E127" t="n">
        <v>0.055</v>
      </c>
      <c r="F127" t="inlineStr">
        <is>
          <t>annual</t>
        </is>
      </c>
      <c r="G127" t="n">
        <v>0.05</v>
      </c>
      <c r="H127" t="n">
        <v>0.06</v>
      </c>
      <c r="I127" t="inlineStr">
        <is>
          <t>anchor</t>
        </is>
      </c>
      <c r="J127" t="inlineStr">
        <is>
          <t>S19</t>
        </is>
      </c>
      <c r="K127" t="inlineStr">
        <is>
          <t>2026-06-30</t>
        </is>
      </c>
      <c r="L127" t="inlineStr">
        <is>
          <t>RBI repo</t>
        </is>
      </c>
    </row>
    <row r="128">
      <c r="A128" t="inlineStr">
        <is>
          <t>fx_shock</t>
        </is>
      </c>
      <c r="B128" t="inlineStr">
        <is>
          <t>fx</t>
        </is>
      </c>
      <c r="C128" t="inlineStr">
        <is>
          <t>all</t>
        </is>
      </c>
      <c r="D128" t="inlineStr">
        <is>
          <t>all</t>
        </is>
      </c>
      <c r="E128" t="n">
        <v>0.1</v>
      </c>
      <c r="F128" t="inlineStr">
        <is>
          <t>USD move</t>
        </is>
      </c>
      <c r="I128" t="inlineStr">
        <is>
          <t>design</t>
        </is>
      </c>
      <c r="J128" t="inlineStr">
        <is>
          <t>P01</t>
        </is>
      </c>
      <c r="K128" t="inlineStr">
        <is>
          <t>2026-10-27</t>
        </is>
      </c>
      <c r="L128" t="inlineStr">
        <is>
          <t>PRD: +/-10% USD shock applied from Nov 2026</t>
        </is>
      </c>
    </row>
    <row r="129">
      <c r="A129" t="inlineStr">
        <is>
          <t>exp_enabled</t>
        </is>
      </c>
      <c r="B129" t="inlineStr">
        <is>
          <t>experiment</t>
        </is>
      </c>
      <c r="C129" t="inlineStr">
        <is>
          <t>all</t>
        </is>
      </c>
      <c r="D129" t="inlineStr">
        <is>
          <t>all</t>
        </is>
      </c>
      <c r="E129" t="n">
        <v>0</v>
      </c>
      <c r="F129" t="inlineStr">
        <is>
          <t>flag</t>
        </is>
      </c>
      <c r="I129" t="inlineStr">
        <is>
          <t>design</t>
        </is>
      </c>
      <c r="J129" t="inlineStr">
        <is>
          <t>P01</t>
        </is>
      </c>
      <c r="K129" t="inlineStr">
        <is>
          <t>2026-10-27</t>
        </is>
      </c>
      <c r="L129" t="inlineStr">
        <is>
          <t>Off by default</t>
        </is>
      </c>
    </row>
    <row r="130">
      <c r="A130" t="inlineStr">
        <is>
          <t>exp_start_month_index</t>
        </is>
      </c>
      <c r="B130" t="inlineStr">
        <is>
          <t>experiment</t>
        </is>
      </c>
      <c r="C130" t="inlineStr">
        <is>
          <t>all</t>
        </is>
      </c>
      <c r="D130" t="inlineStr">
        <is>
          <t>all</t>
        </is>
      </c>
      <c r="E130" t="n">
        <v>25</v>
      </c>
      <c r="F130" t="inlineStr">
        <is>
          <t>month index (Jan 2025 = 1)</t>
        </is>
      </c>
      <c r="I130" t="inlineStr">
        <is>
          <t>design</t>
        </is>
      </c>
      <c r="J130" t="inlineStr">
        <is>
          <t>P01</t>
        </is>
      </c>
      <c r="K130" t="inlineStr">
        <is>
          <t>2026-10-27</t>
        </is>
      </c>
      <c r="L130" t="inlineStr">
        <is>
          <t>Jan 2027</t>
        </is>
      </c>
    </row>
    <row r="131">
      <c r="A131" t="inlineStr">
        <is>
          <t>exp_conv_lift</t>
        </is>
      </c>
      <c r="B131" t="inlineStr">
        <is>
          <t>experiment</t>
        </is>
      </c>
      <c r="C131" t="inlineStr">
        <is>
          <t>all</t>
        </is>
      </c>
      <c r="D131" t="inlineStr">
        <is>
          <t>all</t>
        </is>
      </c>
      <c r="E131" t="n">
        <v>0.05</v>
      </c>
      <c r="F131" t="inlineStr">
        <is>
          <t>relative</t>
        </is>
      </c>
      <c r="G131" t="n">
        <v>0</v>
      </c>
      <c r="H131" t="n">
        <v>0.15</v>
      </c>
      <c r="I131" t="inlineStr">
        <is>
          <t>proposed</t>
        </is>
      </c>
      <c r="J131" t="inlineStr">
        <is>
          <t>A01</t>
        </is>
      </c>
      <c r="K131" t="inlineStr">
        <is>
          <t>2026-10-27</t>
        </is>
      </c>
      <c r="L131" t="inlineStr">
        <is>
          <t>Example: new perk lifts conversion 5% relative (hypothetical A/B readout)</t>
        </is>
      </c>
    </row>
    <row r="132">
      <c r="A132" t="inlineStr">
        <is>
          <t>exp_churn_change</t>
        </is>
      </c>
      <c r="B132" t="inlineStr">
        <is>
          <t>experiment</t>
        </is>
      </c>
      <c r="C132" t="inlineStr">
        <is>
          <t>all</t>
        </is>
      </c>
      <c r="D132" t="inlineStr">
        <is>
          <t>all</t>
        </is>
      </c>
      <c r="E132" t="n">
        <v>-0.03</v>
      </c>
      <c r="F132" t="inlineStr">
        <is>
          <t>relative</t>
        </is>
      </c>
      <c r="G132" t="n">
        <v>-0.1</v>
      </c>
      <c r="H132" t="n">
        <v>0.05</v>
      </c>
      <c r="I132" t="inlineStr">
        <is>
          <t>proposed</t>
        </is>
      </c>
      <c r="J132" t="inlineStr">
        <is>
          <t>A01</t>
        </is>
      </c>
      <c r="K132" t="inlineStr">
        <is>
          <t>2026-10-27</t>
        </is>
      </c>
      <c r="L132" t="inlineStr">
        <is>
          <t>Negative = lower churn</t>
        </is>
      </c>
    </row>
    <row r="133">
      <c r="A133" t="inlineStr">
        <is>
          <t>exp_price_change</t>
        </is>
      </c>
      <c r="B133" t="inlineStr">
        <is>
          <t>experiment</t>
        </is>
      </c>
      <c r="C133" t="inlineStr">
        <is>
          <t>all</t>
        </is>
      </c>
      <c r="D133" t="inlineStr">
        <is>
          <t>all</t>
        </is>
      </c>
      <c r="E133" t="n">
        <v>0</v>
      </c>
      <c r="F133" t="inlineStr">
        <is>
          <t>relative</t>
        </is>
      </c>
      <c r="G133" t="n">
        <v>-0.2</v>
      </c>
      <c r="H133" t="n">
        <v>0.2</v>
      </c>
      <c r="I133" t="inlineStr">
        <is>
          <t>proposed</t>
        </is>
      </c>
      <c r="J133" t="inlineStr">
        <is>
          <t>A01</t>
        </is>
      </c>
      <c r="K133" t="inlineStr">
        <is>
          <t>2026-10-27</t>
        </is>
      </c>
      <c r="L133" t="inlineStr">
        <is>
          <t>Set e.g. 0.10 to test a 10% price increase</t>
        </is>
      </c>
    </row>
    <row r="134">
      <c r="A134" t="inlineStr">
        <is>
          <t>cal_subs_mid2025</t>
        </is>
      </c>
      <c r="B134" t="inlineStr">
        <is>
          <t>calibration</t>
        </is>
      </c>
      <c r="C134" t="inlineStr">
        <is>
          <t>all</t>
        </is>
      </c>
      <c r="D134" t="inlineStr">
        <is>
          <t>all</t>
        </is>
      </c>
      <c r="E134" t="n">
        <v>7.3</v>
      </c>
      <c r="F134" t="inlineStr">
        <is>
          <t>M subscribers</t>
        </is>
      </c>
      <c r="G134" t="n">
        <v>6.57</v>
      </c>
      <c r="H134" t="n">
        <v>8.029999999999999</v>
      </c>
      <c r="I134" t="inlineStr">
        <is>
          <t>anchor</t>
        </is>
      </c>
      <c r="J134" t="inlineStr">
        <is>
          <t>S01;S02;S03</t>
        </is>
      </c>
      <c r="K134" t="inlineStr">
        <is>
          <t>2025-06-30</t>
        </is>
      </c>
      <c r="L134" t="inlineStr">
        <is>
          <t>Single most-repeated figure; test band +/-10%</t>
        </is>
      </c>
    </row>
    <row r="135">
      <c r="A135" t="inlineStr">
        <is>
          <t>cal_month_index</t>
        </is>
      </c>
      <c r="B135" t="inlineStr">
        <is>
          <t>calibration</t>
        </is>
      </c>
      <c r="C135" t="inlineStr">
        <is>
          <t>all</t>
        </is>
      </c>
      <c r="D135" t="inlineStr">
        <is>
          <t>all</t>
        </is>
      </c>
      <c r="E135" t="n">
        <v>6</v>
      </c>
      <c r="F135" t="inlineStr">
        <is>
          <t>month index (Jan 2025 = 1)</t>
        </is>
      </c>
      <c r="I135" t="inlineStr">
        <is>
          <t>design</t>
        </is>
      </c>
      <c r="J135" t="inlineStr">
        <is>
          <t>P01</t>
        </is>
      </c>
      <c r="K135" t="inlineStr">
        <is>
          <t>2026-10-28</t>
        </is>
      </c>
      <c r="L135" t="inlineStr">
        <is>
          <t>June 2025: the month the 7.3M subscriber anchor is matched (closing subscribers, counted definition)</t>
        </is>
      </c>
    </row>
    <row r="136">
      <c r="A136" t="inlineStr">
        <is>
          <t>cal_subs_growth_2025</t>
        </is>
      </c>
      <c r="B136" t="inlineStr">
        <is>
          <t>calibration</t>
        </is>
      </c>
      <c r="C136" t="inlineStr">
        <is>
          <t>all</t>
        </is>
      </c>
      <c r="D136" t="inlineStr">
        <is>
          <t>all</t>
        </is>
      </c>
      <c r="E136" t="n">
        <v>0.17</v>
      </c>
      <c r="F136" t="inlineStr">
        <is>
          <t>YoY</t>
        </is>
      </c>
      <c r="G136" t="n">
        <v>0.1</v>
      </c>
      <c r="H136" t="n">
        <v>0.25</v>
      </c>
      <c r="I136" t="inlineStr">
        <is>
          <t>anchor</t>
        </is>
      </c>
      <c r="J136" t="inlineStr">
        <is>
          <t>S02</t>
        </is>
      </c>
      <c r="K136" t="inlineStr">
        <is>
          <t>2025-11-20</t>
        </is>
      </c>
    </row>
    <row r="137">
      <c r="A137" t="inlineStr">
        <is>
          <t>cal_nitro_rev_2025</t>
        </is>
      </c>
      <c r="B137" t="inlineStr">
        <is>
          <t>calibration</t>
        </is>
      </c>
      <c r="C137" t="inlineStr">
        <is>
          <t>all</t>
        </is>
      </c>
      <c r="D137" t="inlineStr">
        <is>
          <t>all</t>
        </is>
      </c>
      <c r="E137" t="n">
        <v>365</v>
      </c>
      <c r="F137" t="inlineStr">
        <is>
          <t>USD M</t>
        </is>
      </c>
      <c r="G137" t="n">
        <v>280</v>
      </c>
      <c r="H137" t="n">
        <v>450</v>
      </c>
      <c r="I137" t="inlineStr">
        <is>
          <t>anchor</t>
        </is>
      </c>
      <c r="J137" t="inlineStr">
        <is>
          <t>S02;S03</t>
        </is>
      </c>
      <c r="K137" t="inlineStr">
        <is>
          <t>2026-07-24</t>
        </is>
      </c>
      <c r="L137" t="inlineStr">
        <is>
          <t>Value = midpoint, for reference only. Test: FY2025 modeled revenue must land in [low, high]</t>
        </is>
      </c>
    </row>
    <row r="138">
      <c r="A138" t="inlineStr">
        <is>
          <t>ctx_total_rev_2025</t>
        </is>
      </c>
      <c r="B138" t="inlineStr">
        <is>
          <t>context</t>
        </is>
      </c>
      <c r="C138" t="inlineStr">
        <is>
          <t>all</t>
        </is>
      </c>
      <c r="D138" t="inlineStr">
        <is>
          <t>all</t>
        </is>
      </c>
      <c r="E138" t="n">
        <v>561</v>
      </c>
      <c r="F138" t="inlineStr">
        <is>
          <t>USD M</t>
        </is>
      </c>
      <c r="G138" t="n">
        <v>561</v>
      </c>
      <c r="H138" t="n">
        <v>1200</v>
      </c>
      <c r="I138" t="inlineStr">
        <is>
          <t>anchor</t>
        </is>
      </c>
      <c r="J138" t="inlineStr">
        <is>
          <t>S02;S03;S05</t>
        </is>
      </c>
      <c r="K138" t="inlineStr">
        <is>
          <t>2026-07-24</t>
        </is>
      </c>
      <c r="L138" t="inlineStr">
        <is>
          <t>Low cluster $561M (Feedough); high cluster $879M-$1.2B (Resourcera, Revenue Memo)</t>
        </is>
      </c>
    </row>
    <row r="139">
      <c r="A139" t="inlineStr">
        <is>
          <t>ctx_arr_end2024</t>
        </is>
      </c>
      <c r="B139" t="inlineStr">
        <is>
          <t>context</t>
        </is>
      </c>
      <c r="C139" t="inlineStr">
        <is>
          <t>all</t>
        </is>
      </c>
      <c r="D139" t="inlineStr">
        <is>
          <t>all</t>
        </is>
      </c>
      <c r="E139" t="n">
        <v>725</v>
      </c>
      <c r="F139" t="inlineStr">
        <is>
          <t>USD M</t>
        </is>
      </c>
      <c r="G139" t="n">
        <v>600</v>
      </c>
      <c r="H139" t="n">
        <v>879</v>
      </c>
      <c r="I139" t="inlineStr">
        <is>
          <t>anchor</t>
        </is>
      </c>
      <c r="J139" t="inlineStr">
        <is>
          <t>S04</t>
        </is>
      </c>
      <c r="K139" t="inlineStr">
        <is>
          <t>2026-10-27</t>
        </is>
      </c>
      <c r="L139" t="inlineStr">
        <is>
          <t>Sacra estimate; inconsistent with $561M 2025 revenue at +29% growth</t>
        </is>
      </c>
    </row>
    <row r="140">
      <c r="A140" t="inlineStr">
        <is>
          <t>ctx_boosts_rev_2025</t>
        </is>
      </c>
      <c r="B140" t="inlineStr">
        <is>
          <t>context</t>
        </is>
      </c>
      <c r="C140" t="inlineStr">
        <is>
          <t>all</t>
        </is>
      </c>
      <c r="D140" t="inlineStr">
        <is>
          <t>all</t>
        </is>
      </c>
      <c r="E140" t="n">
        <v>430</v>
      </c>
      <c r="F140" t="inlineStr">
        <is>
          <t>USD M</t>
        </is>
      </c>
      <c r="G140" t="n">
        <v>430</v>
      </c>
      <c r="H140" t="n">
        <v>520</v>
      </c>
      <c r="I140" t="inlineStr">
        <is>
          <t>anchor</t>
        </is>
      </c>
      <c r="J140" t="inlineStr">
        <is>
          <t>S03</t>
        </is>
      </c>
      <c r="K140" t="inlineStr">
        <is>
          <t>2026-07-24</t>
        </is>
      </c>
      <c r="L140" t="inlineStr">
        <is>
          <t>Server Boosts per Resourcera; out of scope beyond this context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3" max="3"/>
  </cols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linked to</t>
        </is>
      </c>
    </row>
    <row r="2">
      <c r="A2" t="inlineStr">
        <is>
          <t>mau0</t>
        </is>
      </c>
      <c r="B2" s="2">
        <f>Assumptions!$E$5*1e+06</f>
        <v/>
      </c>
      <c r="C2" t="inlineStr">
        <is>
          <t>mau_jan2025[all]</t>
        </is>
      </c>
    </row>
    <row r="3">
      <c r="A3" t="inlineStr">
        <is>
          <t>mau_growth_2025</t>
        </is>
      </c>
      <c r="B3" s="2">
        <f>Assumptions!$E$11</f>
        <v/>
      </c>
      <c r="C3" t="inlineStr">
        <is>
          <t>mau_growth_2025[all]</t>
        </is>
      </c>
    </row>
    <row r="4">
      <c r="A4" t="inlineStr">
        <is>
          <t>mau_growth_first</t>
        </is>
      </c>
      <c r="B4" s="2">
        <f>Assumptions!$E$13</f>
        <v/>
      </c>
      <c r="C4" t="inlineStr">
        <is>
          <t>mau_growth_first[all]</t>
        </is>
      </c>
    </row>
    <row r="5">
      <c r="A5" t="inlineStr">
        <is>
          <t>mau_growth_last</t>
        </is>
      </c>
      <c r="B5" s="2">
        <f>Assumptions!$E$16</f>
        <v/>
      </c>
      <c r="C5" t="inlineStr">
        <is>
          <t>mau_growth_last[all]</t>
        </is>
      </c>
    </row>
    <row r="6">
      <c r="A6" t="inlineStr">
        <is>
          <t>trial_months</t>
        </is>
      </c>
      <c r="B6" s="2">
        <f>Assumptions!$E$95</f>
        <v/>
      </c>
      <c r="C6" t="inlineStr">
        <is>
          <t>trial_months[all]</t>
        </is>
      </c>
    </row>
    <row r="7">
      <c r="A7" t="inlineStr">
        <is>
          <t>count_trials_as_subs</t>
        </is>
      </c>
      <c r="B7" s="2">
        <f>Assumptions!$E$99</f>
        <v/>
      </c>
      <c r="C7" t="inlineStr">
        <is>
          <t>count_trials_as_subs[all]</t>
        </is>
      </c>
    </row>
    <row r="8">
      <c r="A8" t="inlineStr">
        <is>
          <t>forecast_start_month_index</t>
        </is>
      </c>
      <c r="B8" s="2">
        <f>Assumptions!$E$122</f>
        <v/>
      </c>
      <c r="C8" t="inlineStr">
        <is>
          <t>forecast_start_month_index[all]</t>
        </is>
      </c>
    </row>
    <row r="9">
      <c r="A9" t="inlineStr">
        <is>
          <t>exp_enabled</t>
        </is>
      </c>
      <c r="B9" s="2">
        <f>Assumptions!$E$129</f>
        <v/>
      </c>
      <c r="C9" t="inlineStr">
        <is>
          <t>exp_enabled[all]</t>
        </is>
      </c>
    </row>
    <row r="10">
      <c r="A10" t="inlineStr">
        <is>
          <t>exp_start_month_index</t>
        </is>
      </c>
      <c r="B10" s="2">
        <f>Assumptions!$E$130</f>
        <v/>
      </c>
      <c r="C10" t="inlineStr">
        <is>
          <t>exp_start_month_index[all]</t>
        </is>
      </c>
    </row>
    <row r="11">
      <c r="A11" t="inlineStr">
        <is>
          <t>exp_conv_lift</t>
        </is>
      </c>
      <c r="B11" s="2">
        <f>Assumptions!$E$131</f>
        <v/>
      </c>
      <c r="C11" t="inlineStr">
        <is>
          <t>exp_conv_lift[all]</t>
        </is>
      </c>
    </row>
    <row r="12">
      <c r="A12" t="inlineStr">
        <is>
          <t>exp_churn_change</t>
        </is>
      </c>
      <c r="B12" s="2">
        <f>Assumptions!$E$132</f>
        <v/>
      </c>
      <c r="C12" t="inlineStr">
        <is>
          <t>exp_churn_change[all]</t>
        </is>
      </c>
    </row>
    <row r="13">
      <c r="A13" t="inlineStr">
        <is>
          <t>exp_price_change</t>
        </is>
      </c>
      <c r="B13" s="2">
        <f>Assumptions!$E$133</f>
        <v/>
      </c>
      <c r="C13" t="inlineStr">
        <is>
          <t>exp_price_change[all]</t>
        </is>
      </c>
    </row>
    <row r="14">
      <c r="A14" t="inlineStr">
        <is>
          <t>open_subs</t>
        </is>
      </c>
      <c r="B14" s="2">
        <f>Assumptions!$E$68*1e+06</f>
        <v/>
      </c>
      <c r="C14" t="inlineStr">
        <is>
          <t>open_subs[all]</t>
        </is>
      </c>
    </row>
    <row r="15">
      <c r="A15" t="inlineStr">
        <is>
          <t>open_churn_tail</t>
        </is>
      </c>
      <c r="B15" s="2">
        <f>Assumptions!$E$79</f>
        <v/>
      </c>
      <c r="C15" t="inlineStr">
        <is>
          <t>open_churn_tail[MONTHLY]</t>
        </is>
      </c>
    </row>
    <row r="16">
      <c r="A16" t="inlineStr">
        <is>
          <t>open_y1_share</t>
        </is>
      </c>
      <c r="B16" s="2">
        <f>Assumptions!$E$78</f>
        <v/>
      </c>
      <c r="C16" t="inlineStr">
        <is>
          <t>open_y1_share[all]</t>
        </is>
      </c>
    </row>
    <row r="17">
      <c r="A17" t="inlineStr">
        <is>
          <t>avg_discount</t>
        </is>
      </c>
      <c r="B17" s="2">
        <f>Assumptions!$E$100</f>
        <v/>
      </c>
      <c r="C17" t="inlineStr">
        <is>
          <t>avg_discount[all]</t>
        </is>
      </c>
    </row>
    <row r="18">
      <c r="A18" t="inlineStr">
        <is>
          <t>fee_web</t>
        </is>
      </c>
      <c r="B18" s="2">
        <f>Assumptions!$E$104</f>
        <v/>
      </c>
      <c r="C18" t="inlineStr">
        <is>
          <t>store_fee[WEB]</t>
        </is>
      </c>
    </row>
    <row r="19">
      <c r="A19" t="inlineStr">
        <is>
          <t>fee_ios_y1</t>
        </is>
      </c>
      <c r="B19" s="2">
        <f>Assumptions!$E$101</f>
        <v/>
      </c>
      <c r="C19" t="inlineStr">
        <is>
          <t>store_fee[IOS_Y1]</t>
        </is>
      </c>
    </row>
    <row r="20">
      <c r="A20" t="inlineStr">
        <is>
          <t>fee_ios_later</t>
        </is>
      </c>
      <c r="B20" s="2">
        <f>Assumptions!$E$102</f>
        <v/>
      </c>
      <c r="C20" t="inlineStr">
        <is>
          <t>store_fee[IOS_LATER]</t>
        </is>
      </c>
    </row>
    <row r="21">
      <c r="A21" t="inlineStr">
        <is>
          <t>fee_android</t>
        </is>
      </c>
      <c r="B21" s="2">
        <f>Assumptions!$E$103</f>
        <v/>
      </c>
      <c r="C21" t="inlineStr">
        <is>
          <t>store_fee[ANDROID]</t>
        </is>
      </c>
    </row>
    <row r="22">
      <c r="A22" t="inlineStr">
        <is>
          <t>cal_target_subs</t>
        </is>
      </c>
      <c r="B22" s="2">
        <f>Assumptions!$E$134*1e+06</f>
        <v/>
      </c>
      <c r="C22" t="inlineStr">
        <is>
          <t>cal_subs_mid2025[all]</t>
        </is>
      </c>
    </row>
    <row r="23">
      <c r="A23" t="inlineStr">
        <is>
          <t>cal_month_index</t>
        </is>
      </c>
      <c r="B23" s="2">
        <f>Assumptions!$E$135</f>
        <v/>
      </c>
      <c r="C23" t="inlineStr">
        <is>
          <t>cal_month_index[all]</t>
        </is>
      </c>
    </row>
    <row r="24">
      <c r="A24" t="inlineStr">
        <is>
          <t>fx_shock</t>
        </is>
      </c>
      <c r="B24" s="2">
        <f>Assumptions!$E$128</f>
        <v/>
      </c>
      <c r="C24" t="inlineStr">
        <is>
          <t>fx_shock[all]</t>
        </is>
      </c>
    </row>
    <row r="25">
      <c r="A25" t="inlineStr">
        <is>
          <t>fx_spot_month_index</t>
        </is>
      </c>
      <c r="B25" s="2">
        <f>Assumptions!$E$121</f>
        <v/>
      </c>
      <c r="C25" t="inlineStr">
        <is>
          <t>fx_spot_month_index[all]</t>
        </is>
      </c>
    </row>
    <row r="26">
      <c r="A26" t="inlineStr">
        <is>
          <t>hist.conv_multiplier</t>
        </is>
      </c>
      <c r="B26" s="2">
        <f>Assumptions!$E$23</f>
        <v/>
      </c>
      <c r="C26" t="inlineStr">
        <is>
          <t>conv_multiplier[all]</t>
        </is>
      </c>
    </row>
    <row r="27">
      <c r="A27" t="inlineStr">
        <is>
          <t>conv_multiplier</t>
        </is>
      </c>
      <c r="B27" s="2">
        <f>Assumptions!$E$24</f>
        <v/>
      </c>
      <c r="C27" t="inlineStr">
        <is>
          <t>conv_multiplier[all]</t>
        </is>
      </c>
    </row>
    <row r="28">
      <c r="A28" t="inlineStr">
        <is>
          <t>hist.trial_share</t>
        </is>
      </c>
      <c r="B28" s="2">
        <f>Assumptions!$E$94</f>
        <v/>
      </c>
      <c r="C28" t="inlineStr">
        <is>
          <t>trial_share[all]</t>
        </is>
      </c>
    </row>
    <row r="29">
      <c r="A29" t="inlineStr">
        <is>
          <t>trial_share</t>
        </is>
      </c>
      <c r="B29" s="2">
        <f>Assumptions!$E$94</f>
        <v/>
      </c>
      <c r="C29" t="inlineStr">
        <is>
          <t>trial_share[all]</t>
        </is>
      </c>
    </row>
    <row r="30">
      <c r="A30" t="inlineStr">
        <is>
          <t>hist.trial_to_paid</t>
        </is>
      </c>
      <c r="B30" s="2">
        <f>Assumptions!$E$96</f>
        <v/>
      </c>
      <c r="C30" t="inlineStr">
        <is>
          <t>trial_to_paid[all]</t>
        </is>
      </c>
    </row>
    <row r="31">
      <c r="A31" t="inlineStr">
        <is>
          <t>trial_to_paid</t>
        </is>
      </c>
      <c r="B31" s="2">
        <f>Assumptions!$E$97</f>
        <v/>
      </c>
      <c r="C31" t="inlineStr">
        <is>
          <t>trial_to_paid[all]</t>
        </is>
      </c>
    </row>
    <row r="32">
      <c r="A32" t="inlineStr">
        <is>
          <t>hist.churn_m1</t>
        </is>
      </c>
      <c r="B32" s="2">
        <f>Assumptions!$E$45</f>
        <v/>
      </c>
      <c r="C32" t="inlineStr">
        <is>
          <t>churn_m1[MONTHLY]</t>
        </is>
      </c>
    </row>
    <row r="33">
      <c r="A33" t="inlineStr">
        <is>
          <t>churn_m1</t>
        </is>
      </c>
      <c r="B33" s="2">
        <f>Assumptions!$E$46</f>
        <v/>
      </c>
      <c r="C33" t="inlineStr">
        <is>
          <t>churn_m1[MONTHLY]</t>
        </is>
      </c>
    </row>
    <row r="34">
      <c r="A34" t="inlineStr">
        <is>
          <t>hist.churn_m2</t>
        </is>
      </c>
      <c r="B34" s="2">
        <f>Assumptions!$E$48</f>
        <v/>
      </c>
      <c r="C34" t="inlineStr">
        <is>
          <t>churn_m2[MONTHLY]</t>
        </is>
      </c>
    </row>
    <row r="35">
      <c r="A35" t="inlineStr">
        <is>
          <t>churn_m2</t>
        </is>
      </c>
      <c r="B35" s="2">
        <f>Assumptions!$E$49</f>
        <v/>
      </c>
      <c r="C35" t="inlineStr">
        <is>
          <t>churn_m2[MONTHLY]</t>
        </is>
      </c>
    </row>
    <row r="36">
      <c r="A36" t="inlineStr">
        <is>
          <t>hist.churn_m3</t>
        </is>
      </c>
      <c r="B36" s="2">
        <f>Assumptions!$E$51</f>
        <v/>
      </c>
      <c r="C36" t="inlineStr">
        <is>
          <t>churn_m3[MONTHLY]</t>
        </is>
      </c>
    </row>
    <row r="37">
      <c r="A37" t="inlineStr">
        <is>
          <t>churn_m3</t>
        </is>
      </c>
      <c r="B37" s="2">
        <f>Assumptions!$E$52</f>
        <v/>
      </c>
      <c r="C37" t="inlineStr">
        <is>
          <t>churn_m3[MONTHLY]</t>
        </is>
      </c>
    </row>
    <row r="38">
      <c r="A38" t="inlineStr">
        <is>
          <t>hist.churn_tail</t>
        </is>
      </c>
      <c r="B38" s="2">
        <f>Assumptions!$E$54</f>
        <v/>
      </c>
      <c r="C38" t="inlineStr">
        <is>
          <t>churn_tail[MONTHLY]</t>
        </is>
      </c>
    </row>
    <row r="39">
      <c r="A39" t="inlineStr">
        <is>
          <t>churn_tail</t>
        </is>
      </c>
      <c r="B39" s="2">
        <f>Assumptions!$E$55</f>
        <v/>
      </c>
      <c r="C39" t="inlineStr">
        <is>
          <t>churn_tail[MONTHLY]</t>
        </is>
      </c>
    </row>
    <row r="40">
      <c r="A40" t="inlineStr">
        <is>
          <t>hist.annual_renewal_first</t>
        </is>
      </c>
      <c r="B40" s="2">
        <f>Assumptions!$E$57</f>
        <v/>
      </c>
      <c r="C40" t="inlineStr">
        <is>
          <t>annual_renewal_first[ANNUAL]</t>
        </is>
      </c>
    </row>
    <row r="41">
      <c r="A41" t="inlineStr">
        <is>
          <t>annual_renewal_first</t>
        </is>
      </c>
      <c r="B41" s="2">
        <f>Assumptions!$E$58</f>
        <v/>
      </c>
      <c r="C41" t="inlineStr">
        <is>
          <t>annual_renewal_first[ANNUAL]</t>
        </is>
      </c>
    </row>
    <row r="42">
      <c r="A42" t="inlineStr">
        <is>
          <t>hist.annual_renewal_later</t>
        </is>
      </c>
      <c r="B42" s="2">
        <f>Assumptions!$E$60</f>
        <v/>
      </c>
      <c r="C42" t="inlineStr">
        <is>
          <t>annual_renewal_later[ANNUAL]</t>
        </is>
      </c>
    </row>
    <row r="43">
      <c r="A43" t="inlineStr">
        <is>
          <t>annual_renewal_later</t>
        </is>
      </c>
      <c r="B43" s="2">
        <f>Assumptions!$E$61</f>
        <v/>
      </c>
      <c r="C43" t="inlineStr">
        <is>
          <t>annual_renewal_later[ANNUAL]</t>
        </is>
      </c>
    </row>
    <row r="44">
      <c r="A44" t="inlineStr">
        <is>
          <t>hist.react_rate</t>
        </is>
      </c>
      <c r="B44" s="2">
        <f>Assumptions!$E$63</f>
        <v/>
      </c>
      <c r="C44" t="inlineStr">
        <is>
          <t>react_rate[all]</t>
        </is>
      </c>
    </row>
    <row r="45">
      <c r="A45" t="inlineStr">
        <is>
          <t>react_rate</t>
        </is>
      </c>
      <c r="B45" s="2">
        <f>Assumptions!$E$64</f>
        <v/>
      </c>
      <c r="C45" t="inlineStr">
        <is>
          <t>react_rate[all]</t>
        </is>
      </c>
    </row>
    <row r="46">
      <c r="A46" t="inlineStr">
        <is>
          <t>hist.react_window_months</t>
        </is>
      </c>
      <c r="B46" s="2">
        <f>Assumptions!$E$66</f>
        <v/>
      </c>
      <c r="C46" t="inlineStr">
        <is>
          <t>react_window_months[all]</t>
        </is>
      </c>
    </row>
    <row r="47">
      <c r="A47" t="inlineStr">
        <is>
          <t>react_window_months</t>
        </is>
      </c>
      <c r="B47" s="2">
        <f>Assumptions!$E$66</f>
        <v/>
      </c>
      <c r="C47" t="inlineStr">
        <is>
          <t>react_window_months[all]</t>
        </is>
      </c>
    </row>
    <row r="48">
      <c r="A48" t="inlineStr">
        <is>
          <t>hist.react_churn_tail</t>
        </is>
      </c>
      <c r="B48" s="2">
        <f>Assumptions!$E$67</f>
        <v/>
      </c>
      <c r="C48" t="inlineStr">
        <is>
          <t>react_churn_tail[all]</t>
        </is>
      </c>
    </row>
    <row r="49">
      <c r="A49" t="inlineStr">
        <is>
          <t>react_churn_tail</t>
        </is>
      </c>
      <c r="B49" s="2">
        <f>Assumptions!$E$67</f>
        <v/>
      </c>
      <c r="C49" t="inlineStr">
        <is>
          <t>react_churn_tail[all]</t>
        </is>
      </c>
    </row>
    <row r="50">
      <c r="A50" t="inlineStr">
        <is>
          <t>cal_rev_low</t>
        </is>
      </c>
      <c r="B50" s="2">
        <f>Assumptions!$G$137*1000000</f>
        <v/>
      </c>
      <c r="C50" t="inlineStr">
        <is>
          <t>cal_nitro_rev_2025 low</t>
        </is>
      </c>
    </row>
    <row r="51">
      <c r="A51" t="inlineStr">
        <is>
          <t>cal_rev_high</t>
        </is>
      </c>
      <c r="B51" s="2">
        <f>Assumptions!$H$137*1000000</f>
        <v/>
      </c>
      <c r="C51" t="inlineStr">
        <is>
          <t>cal_nitro_rev_2025 high</t>
        </is>
      </c>
    </row>
    <row r="52">
      <c r="A52" t="inlineStr">
        <is>
          <t>mau_share[US_CA]</t>
        </is>
      </c>
      <c r="B52" s="2">
        <f>Assumptions!$E$6</f>
        <v/>
      </c>
      <c r="C52" t="inlineStr">
        <is>
          <t>mau_share[US_CA]</t>
        </is>
      </c>
    </row>
    <row r="53">
      <c r="A53" t="inlineStr">
        <is>
          <t>mau_share[EUROPE]</t>
        </is>
      </c>
      <c r="B53" s="2">
        <f>Assumptions!$E$7</f>
        <v/>
      </c>
      <c r="C53" t="inlineStr">
        <is>
          <t>mau_share[EUROPE]</t>
        </is>
      </c>
    </row>
    <row r="54">
      <c r="A54" t="inlineStr">
        <is>
          <t>mau_share[LATAM]</t>
        </is>
      </c>
      <c r="B54" s="2">
        <f>Assumptions!$E$8</f>
        <v/>
      </c>
      <c r="C54" t="inlineStr">
        <is>
          <t>mau_share[LATAM]</t>
        </is>
      </c>
    </row>
    <row r="55">
      <c r="A55" t="inlineStr">
        <is>
          <t>mau_share[APAC]</t>
        </is>
      </c>
      <c r="B55" s="2">
        <f>Assumptions!$E$9</f>
        <v/>
      </c>
      <c r="C55" t="inlineStr">
        <is>
          <t>mau_share[APAC]</t>
        </is>
      </c>
    </row>
    <row r="56">
      <c r="A56" t="inlineStr">
        <is>
          <t>mau_share[ROW]</t>
        </is>
      </c>
      <c r="B56" s="2">
        <f>Assumptions!$E$10</f>
        <v/>
      </c>
      <c r="C56" t="inlineStr">
        <is>
          <t>mau_share[ROW]</t>
        </is>
      </c>
    </row>
    <row r="57">
      <c r="A57" t="inlineStr">
        <is>
          <t>conv_rate[US_CA]</t>
        </is>
      </c>
      <c r="B57" s="2">
        <f>Assumptions!$E$18</f>
        <v/>
      </c>
      <c r="C57" t="inlineStr">
        <is>
          <t>conv_rate[US_CA]</t>
        </is>
      </c>
    </row>
    <row r="58">
      <c r="A58" t="inlineStr">
        <is>
          <t>conv_rate[EUROPE]</t>
        </is>
      </c>
      <c r="B58" s="2">
        <f>Assumptions!$E$19</f>
        <v/>
      </c>
      <c r="C58" t="inlineStr">
        <is>
          <t>conv_rate[EUROPE]</t>
        </is>
      </c>
    </row>
    <row r="59">
      <c r="A59" t="inlineStr">
        <is>
          <t>conv_rate[LATAM]</t>
        </is>
      </c>
      <c r="B59" s="2">
        <f>Assumptions!$E$20</f>
        <v/>
      </c>
      <c r="C59" t="inlineStr">
        <is>
          <t>conv_rate[LATAM]</t>
        </is>
      </c>
    </row>
    <row r="60">
      <c r="A60" t="inlineStr">
        <is>
          <t>conv_rate[APAC]</t>
        </is>
      </c>
      <c r="B60" s="2">
        <f>Assumptions!$E$21</f>
        <v/>
      </c>
      <c r="C60" t="inlineStr">
        <is>
          <t>conv_rate[APAC]</t>
        </is>
      </c>
    </row>
    <row r="61">
      <c r="A61" t="inlineStr">
        <is>
          <t>conv_rate[ROW]</t>
        </is>
      </c>
      <c r="B61" s="2">
        <f>Assumptions!$E$22</f>
        <v/>
      </c>
      <c r="C61" t="inlineStr">
        <is>
          <t>conv_rate[ROW]</t>
        </is>
      </c>
    </row>
    <row r="62">
      <c r="A62" t="inlineStr">
        <is>
          <t>price_index[US_CA]</t>
        </is>
      </c>
      <c r="B62" s="2">
        <f>Assumptions!$E$84</f>
        <v/>
      </c>
      <c r="C62" t="inlineStr">
        <is>
          <t>price_index[US_CA]</t>
        </is>
      </c>
    </row>
    <row r="63">
      <c r="A63" t="inlineStr">
        <is>
          <t>price_index[EUROPE]</t>
        </is>
      </c>
      <c r="B63" s="2">
        <f>Assumptions!$E$85</f>
        <v/>
      </c>
      <c r="C63" t="inlineStr">
        <is>
          <t>price_index[EUROPE]</t>
        </is>
      </c>
    </row>
    <row r="64">
      <c r="A64" t="inlineStr">
        <is>
          <t>price_index[LATAM]</t>
        </is>
      </c>
      <c r="B64" s="2">
        <f>Assumptions!$E$86</f>
        <v/>
      </c>
      <c r="C64" t="inlineStr">
        <is>
          <t>price_index[LATAM]</t>
        </is>
      </c>
    </row>
    <row r="65">
      <c r="A65" t="inlineStr">
        <is>
          <t>price_index[APAC]</t>
        </is>
      </c>
      <c r="B65" s="2">
        <f>Assumptions!$E$87</f>
        <v/>
      </c>
      <c r="C65" t="inlineStr">
        <is>
          <t>price_index[APAC]</t>
        </is>
      </c>
    </row>
    <row r="66">
      <c r="A66" t="inlineStr">
        <is>
          <t>price_index[ROW]</t>
        </is>
      </c>
      <c r="B66" s="2">
        <f>Assumptions!$E$88</f>
        <v/>
      </c>
      <c r="C66" t="inlineStr">
        <is>
          <t>price_index[ROW]</t>
        </is>
      </c>
    </row>
    <row r="67">
      <c r="A67" t="inlineStr">
        <is>
          <t>indirect_tax[US_CA]</t>
        </is>
      </c>
      <c r="B67" s="2">
        <f>Assumptions!$E$89</f>
        <v/>
      </c>
      <c r="C67" t="inlineStr">
        <is>
          <t>indirect_tax[US_CA]</t>
        </is>
      </c>
    </row>
    <row r="68">
      <c r="A68" t="inlineStr">
        <is>
          <t>indirect_tax[EUROPE]</t>
        </is>
      </c>
      <c r="B68" s="2">
        <f>Assumptions!$E$90</f>
        <v/>
      </c>
      <c r="C68" t="inlineStr">
        <is>
          <t>indirect_tax[EUROPE]</t>
        </is>
      </c>
    </row>
    <row r="69">
      <c r="A69" t="inlineStr">
        <is>
          <t>indirect_tax[LATAM]</t>
        </is>
      </c>
      <c r="B69" s="2">
        <f>Assumptions!$E$91</f>
        <v/>
      </c>
      <c r="C69" t="inlineStr">
        <is>
          <t>indirect_tax[LATAM]</t>
        </is>
      </c>
    </row>
    <row r="70">
      <c r="A70" t="inlineStr">
        <is>
          <t>indirect_tax[APAC]</t>
        </is>
      </c>
      <c r="B70" s="2">
        <f>Assumptions!$E$92</f>
        <v/>
      </c>
      <c r="C70" t="inlineStr">
        <is>
          <t>indirect_tax[APAC]</t>
        </is>
      </c>
    </row>
    <row r="71">
      <c r="A71" t="inlineStr">
        <is>
          <t>indirect_tax[ROW]</t>
        </is>
      </c>
      <c r="B71" s="2">
        <f>Assumptions!$E$93</f>
        <v/>
      </c>
      <c r="C71" t="inlineStr">
        <is>
          <t>indirect_tax[ROW]</t>
        </is>
      </c>
    </row>
    <row r="72">
      <c r="A72" t="inlineStr">
        <is>
          <t>open_region_mix[US_CA]</t>
        </is>
      </c>
      <c r="B72" s="2">
        <f>Assumptions!$E$73</f>
        <v/>
      </c>
      <c r="C72" t="inlineStr">
        <is>
          <t>open_region_mix[US_CA]</t>
        </is>
      </c>
    </row>
    <row r="73">
      <c r="A73" t="inlineStr">
        <is>
          <t>open_region_mix[EUROPE]</t>
        </is>
      </c>
      <c r="B73" s="2">
        <f>Assumptions!$E$74</f>
        <v/>
      </c>
      <c r="C73" t="inlineStr">
        <is>
          <t>open_region_mix[EUROPE]</t>
        </is>
      </c>
    </row>
    <row r="74">
      <c r="A74" t="inlineStr">
        <is>
          <t>open_region_mix[LATAM]</t>
        </is>
      </c>
      <c r="B74" s="2">
        <f>Assumptions!$E$75</f>
        <v/>
      </c>
      <c r="C74" t="inlineStr">
        <is>
          <t>open_region_mix[LATAM]</t>
        </is>
      </c>
    </row>
    <row r="75">
      <c r="A75" t="inlineStr">
        <is>
          <t>open_region_mix[APAC]</t>
        </is>
      </c>
      <c r="B75" s="2">
        <f>Assumptions!$E$76</f>
        <v/>
      </c>
      <c r="C75" t="inlineStr">
        <is>
          <t>open_region_mix[APAC]</t>
        </is>
      </c>
    </row>
    <row r="76">
      <c r="A76" t="inlineStr">
        <is>
          <t>open_region_mix[ROW]</t>
        </is>
      </c>
      <c r="B76" s="2">
        <f>Assumptions!$E$77</f>
        <v/>
      </c>
      <c r="C76" t="inlineStr">
        <is>
          <t>open_region_mix[ROW]</t>
        </is>
      </c>
    </row>
    <row r="77">
      <c r="A77" t="inlineStr">
        <is>
          <t>platform_mix[US_CA|WEB]</t>
        </is>
      </c>
      <c r="B77" s="2">
        <f>Assumptions!$E$30</f>
        <v/>
      </c>
      <c r="C77" t="inlineStr">
        <is>
          <t>platform_mix[US_CA|WEB]</t>
        </is>
      </c>
    </row>
    <row r="78">
      <c r="A78" t="inlineStr">
        <is>
          <t>platform_mix[US_CA|IOS]</t>
        </is>
      </c>
      <c r="B78" s="2">
        <f>Assumptions!$E$31</f>
        <v/>
      </c>
      <c r="C78" t="inlineStr">
        <is>
          <t>platform_mix[US_CA|IOS]</t>
        </is>
      </c>
    </row>
    <row r="79">
      <c r="A79" t="inlineStr">
        <is>
          <t>platform_mix[US_CA|ANDROID]</t>
        </is>
      </c>
      <c r="B79" s="2">
        <f>Assumptions!$E$32</f>
        <v/>
      </c>
      <c r="C79" t="inlineStr">
        <is>
          <t>platform_mix[US_CA|ANDROID]</t>
        </is>
      </c>
    </row>
    <row r="80">
      <c r="A80" t="inlineStr">
        <is>
          <t>platform_mix[EUROPE|WEB]</t>
        </is>
      </c>
      <c r="B80" s="2">
        <f>Assumptions!$E$33</f>
        <v/>
      </c>
      <c r="C80" t="inlineStr">
        <is>
          <t>platform_mix[EUROPE|WEB]</t>
        </is>
      </c>
    </row>
    <row r="81">
      <c r="A81" t="inlineStr">
        <is>
          <t>platform_mix[EUROPE|IOS]</t>
        </is>
      </c>
      <c r="B81" s="2">
        <f>Assumptions!$E$34</f>
        <v/>
      </c>
      <c r="C81" t="inlineStr">
        <is>
          <t>platform_mix[EUROPE|IOS]</t>
        </is>
      </c>
    </row>
    <row r="82">
      <c r="A82" t="inlineStr">
        <is>
          <t>platform_mix[EUROPE|ANDROID]</t>
        </is>
      </c>
      <c r="B82" s="2">
        <f>Assumptions!$E$35</f>
        <v/>
      </c>
      <c r="C82" t="inlineStr">
        <is>
          <t>platform_mix[EUROPE|ANDROID]</t>
        </is>
      </c>
    </row>
    <row r="83">
      <c r="A83" t="inlineStr">
        <is>
          <t>platform_mix[LATAM|WEB]</t>
        </is>
      </c>
      <c r="B83" s="2">
        <f>Assumptions!$E$36</f>
        <v/>
      </c>
      <c r="C83" t="inlineStr">
        <is>
          <t>platform_mix[LATAM|WEB]</t>
        </is>
      </c>
    </row>
    <row r="84">
      <c r="A84" t="inlineStr">
        <is>
          <t>platform_mix[LATAM|IOS]</t>
        </is>
      </c>
      <c r="B84" s="2">
        <f>Assumptions!$E$37</f>
        <v/>
      </c>
      <c r="C84" t="inlineStr">
        <is>
          <t>platform_mix[LATAM|IOS]</t>
        </is>
      </c>
    </row>
    <row r="85">
      <c r="A85" t="inlineStr">
        <is>
          <t>platform_mix[LATAM|ANDROID]</t>
        </is>
      </c>
      <c r="B85" s="2">
        <f>Assumptions!$E$38</f>
        <v/>
      </c>
      <c r="C85" t="inlineStr">
        <is>
          <t>platform_mix[LATAM|ANDROID]</t>
        </is>
      </c>
    </row>
    <row r="86">
      <c r="A86" t="inlineStr">
        <is>
          <t>platform_mix[APAC|WEB]</t>
        </is>
      </c>
      <c r="B86" s="2">
        <f>Assumptions!$E$39</f>
        <v/>
      </c>
      <c r="C86" t="inlineStr">
        <is>
          <t>platform_mix[APAC|WEB]</t>
        </is>
      </c>
    </row>
    <row r="87">
      <c r="A87" t="inlineStr">
        <is>
          <t>platform_mix[APAC|IOS]</t>
        </is>
      </c>
      <c r="B87" s="2">
        <f>Assumptions!$E$40</f>
        <v/>
      </c>
      <c r="C87" t="inlineStr">
        <is>
          <t>platform_mix[APAC|IOS]</t>
        </is>
      </c>
    </row>
    <row r="88">
      <c r="A88" t="inlineStr">
        <is>
          <t>platform_mix[APAC|ANDROID]</t>
        </is>
      </c>
      <c r="B88" s="2">
        <f>Assumptions!$E$41</f>
        <v/>
      </c>
      <c r="C88" t="inlineStr">
        <is>
          <t>platform_mix[APAC|ANDROID]</t>
        </is>
      </c>
    </row>
    <row r="89">
      <c r="A89" t="inlineStr">
        <is>
          <t>platform_mix[ROW|WEB]</t>
        </is>
      </c>
      <c r="B89" s="2">
        <f>Assumptions!$E$42</f>
        <v/>
      </c>
      <c r="C89" t="inlineStr">
        <is>
          <t>platform_mix[ROW|WEB]</t>
        </is>
      </c>
    </row>
    <row r="90">
      <c r="A90" t="inlineStr">
        <is>
          <t>platform_mix[ROW|IOS]</t>
        </is>
      </c>
      <c r="B90" s="2">
        <f>Assumptions!$E$43</f>
        <v/>
      </c>
      <c r="C90" t="inlineStr">
        <is>
          <t>platform_mix[ROW|IOS]</t>
        </is>
      </c>
    </row>
    <row r="91">
      <c r="A91" t="inlineStr">
        <is>
          <t>platform_mix[ROW|ANDROID]</t>
        </is>
      </c>
      <c r="B91" s="2">
        <f>Assumptions!$E$44</f>
        <v/>
      </c>
      <c r="C91" t="inlineStr">
        <is>
          <t>platform_mix[ROW|ANDROID]</t>
        </is>
      </c>
    </row>
    <row r="92">
      <c r="A92" t="inlineStr">
        <is>
          <t>plan_mix[NITRO_M]</t>
        </is>
      </c>
      <c r="B92" s="2">
        <f>Assumptions!$E$26</f>
        <v/>
      </c>
      <c r="C92" t="inlineStr">
        <is>
          <t>plan_mix[NITRO_M]</t>
        </is>
      </c>
    </row>
    <row r="93">
      <c r="A93" t="inlineStr">
        <is>
          <t>plan_mix[NITRO_A]</t>
        </is>
      </c>
      <c r="B93" s="2">
        <f>Assumptions!$E$27</f>
        <v/>
      </c>
      <c r="C93" t="inlineStr">
        <is>
          <t>plan_mix[NITRO_A]</t>
        </is>
      </c>
    </row>
    <row r="94">
      <c r="A94" t="inlineStr">
        <is>
          <t>plan_mix[BASIC_M]</t>
        </is>
      </c>
      <c r="B94" s="2">
        <f>Assumptions!$E$28</f>
        <v/>
      </c>
      <c r="C94" t="inlineStr">
        <is>
          <t>plan_mix[BASIC_M]</t>
        </is>
      </c>
    </row>
    <row r="95">
      <c r="A95" t="inlineStr">
        <is>
          <t>plan_mix[BASIC_A]</t>
        </is>
      </c>
      <c r="B95" s="2">
        <f>Assumptions!$E$29</f>
        <v/>
      </c>
      <c r="C95" t="inlineStr">
        <is>
          <t>plan_mix[BASIC_A]</t>
        </is>
      </c>
    </row>
    <row r="96">
      <c r="A96" t="inlineStr">
        <is>
          <t>open_plan_mix[NITRO_M]</t>
        </is>
      </c>
      <c r="B96" s="2">
        <f>Assumptions!$E$69</f>
        <v/>
      </c>
      <c r="C96" t="inlineStr">
        <is>
          <t>open_plan_mix[NITRO_M]</t>
        </is>
      </c>
    </row>
    <row r="97">
      <c r="A97" t="inlineStr">
        <is>
          <t>open_plan_mix[NITRO_A]</t>
        </is>
      </c>
      <c r="B97" s="2">
        <f>Assumptions!$E$70</f>
        <v/>
      </c>
      <c r="C97" t="inlineStr">
        <is>
          <t>open_plan_mix[NITRO_A]</t>
        </is>
      </c>
    </row>
    <row r="98">
      <c r="A98" t="inlineStr">
        <is>
          <t>open_plan_mix[BASIC_M]</t>
        </is>
      </c>
      <c r="B98" s="2">
        <f>Assumptions!$E$71</f>
        <v/>
      </c>
      <c r="C98" t="inlineStr">
        <is>
          <t>open_plan_mix[BASIC_M]</t>
        </is>
      </c>
    </row>
    <row r="99">
      <c r="A99" t="inlineStr">
        <is>
          <t>open_plan_mix[BASIC_A]</t>
        </is>
      </c>
      <c r="B99" s="2">
        <f>Assumptions!$E$72</f>
        <v/>
      </c>
      <c r="C99" t="inlineStr">
        <is>
          <t>open_plan_mix[BASIC_A]</t>
        </is>
      </c>
    </row>
    <row r="100">
      <c r="A100" t="inlineStr">
        <is>
          <t>list_price[NITRO_M]</t>
        </is>
      </c>
      <c r="B100" s="2">
        <f>Assumptions!$E$80</f>
        <v/>
      </c>
      <c r="C100" t="inlineStr">
        <is>
          <t>list_price[NITRO_M]</t>
        </is>
      </c>
    </row>
    <row r="101">
      <c r="A101" t="inlineStr">
        <is>
          <t>list_price[NITRO_A]</t>
        </is>
      </c>
      <c r="B101" s="2">
        <f>Assumptions!$E$81</f>
        <v/>
      </c>
      <c r="C101" t="inlineStr">
        <is>
          <t>list_price[NITRO_A]</t>
        </is>
      </c>
    </row>
    <row r="102">
      <c r="A102" t="inlineStr">
        <is>
          <t>list_price[BASIC_M]</t>
        </is>
      </c>
      <c r="B102" s="2">
        <f>Assumptions!$E$82</f>
        <v/>
      </c>
      <c r="C102" t="inlineStr">
        <is>
          <t>list_price[BASIC_M]</t>
        </is>
      </c>
    </row>
    <row r="103">
      <c r="A103" t="inlineStr">
        <is>
          <t>list_price[BASIC_A]</t>
        </is>
      </c>
      <c r="B103" s="2">
        <f>Assumptions!$E$83</f>
        <v/>
      </c>
      <c r="C103" t="inlineStr">
        <is>
          <t>list_price[BASIC_A]</t>
        </is>
      </c>
    </row>
    <row r="104">
      <c r="A104" t="inlineStr">
        <is>
          <t>billing_months[NITRO_M]</t>
        </is>
      </c>
      <c r="B104" s="2" t="n">
        <v>1</v>
      </c>
      <c r="C104" t="inlineStr">
        <is>
          <t>structural: 1 = monthly, 12 = annual (recognized ratably)</t>
        </is>
      </c>
    </row>
    <row r="105">
      <c r="A105" t="inlineStr">
        <is>
          <t>billing_months[NITRO_A]</t>
        </is>
      </c>
      <c r="B105" s="2" t="n">
        <v>12</v>
      </c>
      <c r="C105" t="inlineStr">
        <is>
          <t>structural: 1 = monthly, 12 = annual (recognized ratably)</t>
        </is>
      </c>
    </row>
    <row r="106">
      <c r="A106" t="inlineStr">
        <is>
          <t>billing_months[BASIC_M]</t>
        </is>
      </c>
      <c r="B106" s="2" t="n">
        <v>1</v>
      </c>
      <c r="C106" t="inlineStr">
        <is>
          <t>structural: 1 = monthly, 12 = annual (recognized ratably)</t>
        </is>
      </c>
    </row>
    <row r="107">
      <c r="A107" t="inlineStr">
        <is>
          <t>billing_months[BASIC_A]</t>
        </is>
      </c>
      <c r="B107" s="2" t="n">
        <v>12</v>
      </c>
      <c r="C107" t="inlineStr">
        <is>
          <t>structural: 1 = monthly, 12 = annual (recognized ratably)</t>
        </is>
      </c>
    </row>
    <row r="108">
      <c r="A108" t="inlineStr">
        <is>
          <t>fx_avg[USD]</t>
        </is>
      </c>
      <c r="B108" s="2">
        <f>Assumptions!$E$115</f>
        <v/>
      </c>
      <c r="C108" t="inlineStr">
        <is>
          <t>fx_avg_2025[USD] (local per USD)</t>
        </is>
      </c>
    </row>
    <row r="109">
      <c r="A109" t="inlineStr">
        <is>
          <t>fx_avg[EUR]</t>
        </is>
      </c>
      <c r="B109" s="2">
        <f>Assumptions!$E$111</f>
        <v/>
      </c>
      <c r="C109" t="inlineStr">
        <is>
          <t>fx_avg_2025[EUR] (local per USD)</t>
        </is>
      </c>
    </row>
    <row r="110">
      <c r="A110" t="inlineStr">
        <is>
          <t>fx_avg[BRL]</t>
        </is>
      </c>
      <c r="B110" s="2">
        <f>Assumptions!$E$113</f>
        <v/>
      </c>
      <c r="C110" t="inlineStr">
        <is>
          <t>fx_avg_2025[BRL] (local per USD)</t>
        </is>
      </c>
    </row>
    <row r="111">
      <c r="A111" t="inlineStr">
        <is>
          <t>fx_avg[JPY]</t>
        </is>
      </c>
      <c r="B111" s="2">
        <f>Assumptions!$E$112</f>
        <v/>
      </c>
      <c r="C111" t="inlineStr">
        <is>
          <t>fx_avg_2025[JPY] (local per USD)</t>
        </is>
      </c>
    </row>
    <row r="112">
      <c r="A112" t="inlineStr">
        <is>
          <t>fx_avg[INR]</t>
        </is>
      </c>
      <c r="B112" s="2">
        <f>Assumptions!$E$114</f>
        <v/>
      </c>
      <c r="C112" t="inlineStr">
        <is>
          <t>fx_avg_2025[INR] (local per USD)</t>
        </is>
      </c>
    </row>
    <row r="113">
      <c r="A113" t="inlineStr">
        <is>
          <t>fx_spot[USD]</t>
        </is>
      </c>
      <c r="B113" s="2">
        <f>Assumptions!$E$120</f>
        <v/>
      </c>
      <c r="C113" t="inlineStr">
        <is>
          <t>fx_spot[USD] (local per USD)</t>
        </is>
      </c>
    </row>
    <row r="114">
      <c r="A114" t="inlineStr">
        <is>
          <t>fx_spot[EUR]</t>
        </is>
      </c>
      <c r="B114" s="2">
        <f>Assumptions!$E$116</f>
        <v/>
      </c>
      <c r="C114" t="inlineStr">
        <is>
          <t>fx_spot[EUR] (local per USD)</t>
        </is>
      </c>
    </row>
    <row r="115">
      <c r="A115" t="inlineStr">
        <is>
          <t>fx_spot[BRL]</t>
        </is>
      </c>
      <c r="B115" s="2">
        <f>Assumptions!$E$118</f>
        <v/>
      </c>
      <c r="C115" t="inlineStr">
        <is>
          <t>fx_spot[BRL] (local per USD)</t>
        </is>
      </c>
    </row>
    <row r="116">
      <c r="A116" t="inlineStr">
        <is>
          <t>fx_spot[JPY]</t>
        </is>
      </c>
      <c r="B116" s="2">
        <f>Assumptions!$E$117</f>
        <v/>
      </c>
      <c r="C116" t="inlineStr">
        <is>
          <t>fx_spot[JPY] (local per USD)</t>
        </is>
      </c>
    </row>
    <row r="117">
      <c r="A117" t="inlineStr">
        <is>
          <t>fx_spot[INR]</t>
        </is>
      </c>
      <c r="B117" s="2">
        <f>Assumptions!$E$119</f>
        <v/>
      </c>
      <c r="C117" t="inlineStr">
        <is>
          <t>fx_spot[INR] (local per USD)</t>
        </is>
      </c>
    </row>
    <row r="118">
      <c r="A118" t="inlineStr">
        <is>
          <t>policy_rate[USD]</t>
        </is>
      </c>
      <c r="B118" s="2">
        <f>Assumptions!$E$123</f>
        <v/>
      </c>
      <c r="C118" t="inlineStr">
        <is>
          <t>policy_rate[USD]</t>
        </is>
      </c>
    </row>
    <row r="119">
      <c r="A119" t="inlineStr">
        <is>
          <t>policy_rate[EUR]</t>
        </is>
      </c>
      <c r="B119" s="2">
        <f>Assumptions!$E$124</f>
        <v/>
      </c>
      <c r="C119" t="inlineStr">
        <is>
          <t>policy_rate[EUR]</t>
        </is>
      </c>
    </row>
    <row r="120">
      <c r="A120" t="inlineStr">
        <is>
          <t>policy_rate[BRL]</t>
        </is>
      </c>
      <c r="B120" s="2">
        <f>Assumptions!$E$126</f>
        <v/>
      </c>
      <c r="C120" t="inlineStr">
        <is>
          <t>policy_rate[BRL]</t>
        </is>
      </c>
    </row>
    <row r="121">
      <c r="A121" t="inlineStr">
        <is>
          <t>policy_rate[JPY]</t>
        </is>
      </c>
      <c r="B121" s="2">
        <f>Assumptions!$E$125</f>
        <v/>
      </c>
      <c r="C121" t="inlineStr">
        <is>
          <t>policy_rate[JPY]</t>
        </is>
      </c>
    </row>
    <row r="122">
      <c r="A122" t="inlineStr">
        <is>
          <t>policy_rate[INR]</t>
        </is>
      </c>
      <c r="B122" s="2">
        <f>Assumptions!$E$127</f>
        <v/>
      </c>
      <c r="C122" t="inlineStr">
        <is>
          <t>policy_rate[INR]</t>
        </is>
      </c>
    </row>
    <row r="123">
      <c r="A123" t="inlineStr">
        <is>
          <t>fx_weight[US_CA|USD]</t>
        </is>
      </c>
      <c r="B123" s="2">
        <f>Assumptions!$E$105</f>
        <v/>
      </c>
      <c r="C123" t="inlineStr">
        <is>
          <t>fx_weight[US_CA|USD]</t>
        </is>
      </c>
    </row>
    <row r="124">
      <c r="A124" t="inlineStr">
        <is>
          <t>fx_weight[EUROPE|EUR]</t>
        </is>
      </c>
      <c r="B124" s="2">
        <f>Assumptions!$E$106</f>
        <v/>
      </c>
      <c r="C124" t="inlineStr">
        <is>
          <t>fx_weight[EUROPE|EUR]</t>
        </is>
      </c>
    </row>
    <row r="125">
      <c r="A125" t="inlineStr">
        <is>
          <t>fx_weight[LATAM|BRL]</t>
        </is>
      </c>
      <c r="B125" s="2">
        <f>Assumptions!$E$107</f>
        <v/>
      </c>
      <c r="C125" t="inlineStr">
        <is>
          <t>fx_weight[LATAM|BRL]</t>
        </is>
      </c>
    </row>
    <row r="126">
      <c r="A126" t="inlineStr">
        <is>
          <t>fx_weight[APAC|JPY]</t>
        </is>
      </c>
      <c r="B126" s="2">
        <f>Assumptions!$E$108</f>
        <v/>
      </c>
      <c r="C126" t="inlineStr">
        <is>
          <t>fx_weight[APAC|JPY]</t>
        </is>
      </c>
    </row>
    <row r="127">
      <c r="A127" t="inlineStr">
        <is>
          <t>fx_weight[APAC|INR]</t>
        </is>
      </c>
      <c r="B127" s="2">
        <f>Assumptions!$E$109</f>
        <v/>
      </c>
      <c r="C127" t="inlineStr">
        <is>
          <t>fx_weight[APAC|INR]</t>
        </is>
      </c>
    </row>
    <row r="128">
      <c r="A128" t="inlineStr">
        <is>
          <t>fx_weight[ROW|USD]</t>
        </is>
      </c>
      <c r="B128" s="2">
        <f>Assumptions!$E$110</f>
        <v/>
      </c>
      <c r="C128" t="inlineStr">
        <is>
          <t>fx_weight[ROW|USD]</t>
        </is>
      </c>
    </row>
    <row r="129">
      <c r="A129" t="inlineStr">
        <is>
          <t>fx_shock_dir</t>
        </is>
      </c>
      <c r="B129" s="2" t="n">
        <v>0</v>
      </c>
      <c r="C129" t="inlineStr">
        <is>
          <t>SCENARIO CONTROL: 0 = forwards, +1 = USD 10% stronger from the month after spot, -1 = weaker</t>
        </is>
      </c>
    </row>
    <row r="130">
      <c r="A130" t="inlineStr">
        <is>
          <t>k_cal</t>
        </is>
      </c>
      <c r="B130" s="2" t="n">
        <v>0.6330712226209532</v>
      </c>
      <c r="C130" t="inlineStr">
        <is>
          <t>SOLVED in Python: conversion scalar that hits the subscriber anchor (see Checks)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7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curve</t>
        </is>
      </c>
      <c r="B1" t="inlineStr">
        <is>
          <t>age (months) -&gt;</t>
        </is>
      </c>
      <c r="C1" t="n">
        <v>0</v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  <c r="AB1" t="n">
        <v>25</v>
      </c>
      <c r="AC1" t="n">
        <v>26</v>
      </c>
      <c r="AD1" t="n">
        <v>27</v>
      </c>
      <c r="AE1" t="n">
        <v>28</v>
      </c>
      <c r="AF1" t="n">
        <v>29</v>
      </c>
      <c r="AG1" t="n">
        <v>30</v>
      </c>
      <c r="AH1" t="n">
        <v>31</v>
      </c>
      <c r="AI1" t="n">
        <v>32</v>
      </c>
      <c r="AJ1" t="n">
        <v>33</v>
      </c>
      <c r="AK1" t="n">
        <v>34</v>
      </c>
      <c r="AL1" t="n">
        <v>35</v>
      </c>
      <c r="AM1" t="n">
        <v>36</v>
      </c>
      <c r="AN1" t="n">
        <v>37</v>
      </c>
      <c r="AO1" t="n">
        <v>38</v>
      </c>
      <c r="AP1" t="n">
        <v>39</v>
      </c>
      <c r="AQ1" t="n">
        <v>40</v>
      </c>
      <c r="AR1" t="n">
        <v>41</v>
      </c>
      <c r="AS1" t="n">
        <v>42</v>
      </c>
      <c r="AT1" t="n">
        <v>43</v>
      </c>
      <c r="AU1" t="n">
        <v>44</v>
      </c>
      <c r="AV1" t="n">
        <v>45</v>
      </c>
      <c r="AW1" t="n">
        <v>46</v>
      </c>
      <c r="AX1" t="n">
        <v>47</v>
      </c>
      <c r="AY1" t="n">
        <v>48</v>
      </c>
      <c r="AZ1" t="n">
        <v>49</v>
      </c>
      <c r="BA1" t="n">
        <v>50</v>
      </c>
      <c r="BB1" t="n">
        <v>51</v>
      </c>
      <c r="BC1" t="n">
        <v>52</v>
      </c>
      <c r="BD1" t="n">
        <v>53</v>
      </c>
      <c r="BE1" t="n">
        <v>54</v>
      </c>
      <c r="BF1" t="n">
        <v>55</v>
      </c>
      <c r="BG1" t="n">
        <v>56</v>
      </c>
      <c r="BH1" t="n">
        <v>57</v>
      </c>
      <c r="BI1" t="n">
        <v>58</v>
      </c>
      <c r="BJ1" t="n">
        <v>59</v>
      </c>
      <c r="BK1" t="n">
        <v>60</v>
      </c>
      <c r="BL1" t="n">
        <v>61</v>
      </c>
      <c r="BM1" t="n">
        <v>62</v>
      </c>
      <c r="BN1" t="n">
        <v>63</v>
      </c>
      <c r="BO1" t="n">
        <v>64</v>
      </c>
      <c r="BP1" t="n">
        <v>65</v>
      </c>
      <c r="BQ1" t="n">
        <v>66</v>
      </c>
      <c r="BR1" t="n">
        <v>67</v>
      </c>
      <c r="BS1" t="n">
        <v>68</v>
      </c>
      <c r="BT1" t="n">
        <v>69</v>
      </c>
      <c r="BU1" t="n">
        <v>70</v>
      </c>
      <c r="BV1" t="n">
        <v>71</v>
      </c>
    </row>
    <row r="2">
      <c r="A2" t="inlineStr">
        <is>
          <t>Reversed rows run oldest age first so SUMPRODUCT can pair them with sign-ups to date.</t>
        </is>
      </c>
    </row>
    <row r="3">
      <c r="A3" s="1" t="inlineStr">
        <is>
          <t>@0: history</t>
        </is>
      </c>
    </row>
    <row r="4">
      <c r="A4" t="inlineStr">
        <is>
          <t>S_MONTHLY@0</t>
        </is>
      </c>
      <c r="C4">
        <f>1</f>
        <v/>
      </c>
      <c r="D4">
        <f>C4*(1-IF(D$1=1,Params!$B$32,IF(D$1=2,Params!$B$34,IF(D$1=3,Params!$B$36,Params!$B$38))))</f>
        <v/>
      </c>
      <c r="E4">
        <f>D4*(1-IF(E$1=1,Params!$B$32,IF(E$1=2,Params!$B$34,IF(E$1=3,Params!$B$36,Params!$B$38))))</f>
        <v/>
      </c>
      <c r="F4">
        <f>E4*(1-IF(F$1=1,Params!$B$32,IF(F$1=2,Params!$B$34,IF(F$1=3,Params!$B$36,Params!$B$38))))</f>
        <v/>
      </c>
      <c r="G4">
        <f>F4*(1-IF(G$1=1,Params!$B$32,IF(G$1=2,Params!$B$34,IF(G$1=3,Params!$B$36,Params!$B$38))))</f>
        <v/>
      </c>
      <c r="H4">
        <f>G4*(1-IF(H$1=1,Params!$B$32,IF(H$1=2,Params!$B$34,IF(H$1=3,Params!$B$36,Params!$B$38))))</f>
        <v/>
      </c>
      <c r="I4">
        <f>H4*(1-IF(I$1=1,Params!$B$32,IF(I$1=2,Params!$B$34,IF(I$1=3,Params!$B$36,Params!$B$38))))</f>
        <v/>
      </c>
      <c r="J4">
        <f>I4*(1-IF(J$1=1,Params!$B$32,IF(J$1=2,Params!$B$34,IF(J$1=3,Params!$B$36,Params!$B$38))))</f>
        <v/>
      </c>
      <c r="K4">
        <f>J4*(1-IF(K$1=1,Params!$B$32,IF(K$1=2,Params!$B$34,IF(K$1=3,Params!$B$36,Params!$B$38))))</f>
        <v/>
      </c>
      <c r="L4">
        <f>K4*(1-IF(L$1=1,Params!$B$32,IF(L$1=2,Params!$B$34,IF(L$1=3,Params!$B$36,Params!$B$38))))</f>
        <v/>
      </c>
      <c r="M4">
        <f>L4*(1-IF(M$1=1,Params!$B$32,IF(M$1=2,Params!$B$34,IF(M$1=3,Params!$B$36,Params!$B$38))))</f>
        <v/>
      </c>
      <c r="N4">
        <f>M4*(1-IF(N$1=1,Params!$B$32,IF(N$1=2,Params!$B$34,IF(N$1=3,Params!$B$36,Params!$B$38))))</f>
        <v/>
      </c>
      <c r="O4">
        <f>N4*(1-IF(O$1=1,Params!$B$32,IF(O$1=2,Params!$B$34,IF(O$1=3,Params!$B$36,Params!$B$38))))</f>
        <v/>
      </c>
      <c r="P4">
        <f>O4*(1-IF(P$1=1,Params!$B$32,IF(P$1=2,Params!$B$34,IF(P$1=3,Params!$B$36,Params!$B$38))))</f>
        <v/>
      </c>
      <c r="Q4">
        <f>P4*(1-IF(Q$1=1,Params!$B$32,IF(Q$1=2,Params!$B$34,IF(Q$1=3,Params!$B$36,Params!$B$38))))</f>
        <v/>
      </c>
      <c r="R4">
        <f>Q4*(1-IF(R$1=1,Params!$B$32,IF(R$1=2,Params!$B$34,IF(R$1=3,Params!$B$36,Params!$B$38))))</f>
        <v/>
      </c>
      <c r="S4">
        <f>R4*(1-IF(S$1=1,Params!$B$32,IF(S$1=2,Params!$B$34,IF(S$1=3,Params!$B$36,Params!$B$38))))</f>
        <v/>
      </c>
      <c r="T4">
        <f>S4*(1-IF(T$1=1,Params!$B$32,IF(T$1=2,Params!$B$34,IF(T$1=3,Params!$B$36,Params!$B$38))))</f>
        <v/>
      </c>
      <c r="U4">
        <f>T4*(1-IF(U$1=1,Params!$B$32,IF(U$1=2,Params!$B$34,IF(U$1=3,Params!$B$36,Params!$B$38))))</f>
        <v/>
      </c>
      <c r="V4">
        <f>U4*(1-IF(V$1=1,Params!$B$32,IF(V$1=2,Params!$B$34,IF(V$1=3,Params!$B$36,Params!$B$38))))</f>
        <v/>
      </c>
      <c r="W4">
        <f>V4*(1-IF(W$1=1,Params!$B$32,IF(W$1=2,Params!$B$34,IF(W$1=3,Params!$B$36,Params!$B$38))))</f>
        <v/>
      </c>
      <c r="X4">
        <f>W4*(1-IF(X$1=1,Params!$B$32,IF(X$1=2,Params!$B$34,IF(X$1=3,Params!$B$36,Params!$B$38))))</f>
        <v/>
      </c>
      <c r="Y4">
        <f>X4*(1-IF(Y$1=1,Params!$B$32,IF(Y$1=2,Params!$B$34,IF(Y$1=3,Params!$B$36,Params!$B$38))))</f>
        <v/>
      </c>
      <c r="Z4">
        <f>Y4*(1-IF(Z$1=1,Params!$B$32,IF(Z$1=2,Params!$B$34,IF(Z$1=3,Params!$B$36,Params!$B$38))))</f>
        <v/>
      </c>
      <c r="AA4">
        <f>Z4*(1-IF(AA$1=1,Params!$B$32,IF(AA$1=2,Params!$B$34,IF(AA$1=3,Params!$B$36,Params!$B$38))))</f>
        <v/>
      </c>
      <c r="AB4">
        <f>AA4*(1-IF(AB$1=1,Params!$B$32,IF(AB$1=2,Params!$B$34,IF(AB$1=3,Params!$B$36,Params!$B$38))))</f>
        <v/>
      </c>
      <c r="AC4">
        <f>AB4*(1-IF(AC$1=1,Params!$B$32,IF(AC$1=2,Params!$B$34,IF(AC$1=3,Params!$B$36,Params!$B$38))))</f>
        <v/>
      </c>
      <c r="AD4">
        <f>AC4*(1-IF(AD$1=1,Params!$B$32,IF(AD$1=2,Params!$B$34,IF(AD$1=3,Params!$B$36,Params!$B$38))))</f>
        <v/>
      </c>
      <c r="AE4">
        <f>AD4*(1-IF(AE$1=1,Params!$B$32,IF(AE$1=2,Params!$B$34,IF(AE$1=3,Params!$B$36,Params!$B$38))))</f>
        <v/>
      </c>
      <c r="AF4">
        <f>AE4*(1-IF(AF$1=1,Params!$B$32,IF(AF$1=2,Params!$B$34,IF(AF$1=3,Params!$B$36,Params!$B$38))))</f>
        <v/>
      </c>
      <c r="AG4">
        <f>AF4*(1-IF(AG$1=1,Params!$B$32,IF(AG$1=2,Params!$B$34,IF(AG$1=3,Params!$B$36,Params!$B$38))))</f>
        <v/>
      </c>
      <c r="AH4">
        <f>AG4*(1-IF(AH$1=1,Params!$B$32,IF(AH$1=2,Params!$B$34,IF(AH$1=3,Params!$B$36,Params!$B$38))))</f>
        <v/>
      </c>
      <c r="AI4">
        <f>AH4*(1-IF(AI$1=1,Params!$B$32,IF(AI$1=2,Params!$B$34,IF(AI$1=3,Params!$B$36,Params!$B$38))))</f>
        <v/>
      </c>
      <c r="AJ4">
        <f>AI4*(1-IF(AJ$1=1,Params!$B$32,IF(AJ$1=2,Params!$B$34,IF(AJ$1=3,Params!$B$36,Params!$B$38))))</f>
        <v/>
      </c>
      <c r="AK4">
        <f>AJ4*(1-IF(AK$1=1,Params!$B$32,IF(AK$1=2,Params!$B$34,IF(AK$1=3,Params!$B$36,Params!$B$38))))</f>
        <v/>
      </c>
      <c r="AL4">
        <f>AK4*(1-IF(AL$1=1,Params!$B$32,IF(AL$1=2,Params!$B$34,IF(AL$1=3,Params!$B$36,Params!$B$38))))</f>
        <v/>
      </c>
      <c r="AM4">
        <f>AL4*(1-IF(AM$1=1,Params!$B$32,IF(AM$1=2,Params!$B$34,IF(AM$1=3,Params!$B$36,Params!$B$38))))</f>
        <v/>
      </c>
      <c r="AN4">
        <f>AM4*(1-IF(AN$1=1,Params!$B$32,IF(AN$1=2,Params!$B$34,IF(AN$1=3,Params!$B$36,Params!$B$38))))</f>
        <v/>
      </c>
      <c r="AO4">
        <f>AN4*(1-IF(AO$1=1,Params!$B$32,IF(AO$1=2,Params!$B$34,IF(AO$1=3,Params!$B$36,Params!$B$38))))</f>
        <v/>
      </c>
      <c r="AP4">
        <f>AO4*(1-IF(AP$1=1,Params!$B$32,IF(AP$1=2,Params!$B$34,IF(AP$1=3,Params!$B$36,Params!$B$38))))</f>
        <v/>
      </c>
      <c r="AQ4">
        <f>AP4*(1-IF(AQ$1=1,Params!$B$32,IF(AQ$1=2,Params!$B$34,IF(AQ$1=3,Params!$B$36,Params!$B$38))))</f>
        <v/>
      </c>
      <c r="AR4">
        <f>AQ4*(1-IF(AR$1=1,Params!$B$32,IF(AR$1=2,Params!$B$34,IF(AR$1=3,Params!$B$36,Params!$B$38))))</f>
        <v/>
      </c>
      <c r="AS4">
        <f>AR4*(1-IF(AS$1=1,Params!$B$32,IF(AS$1=2,Params!$B$34,IF(AS$1=3,Params!$B$36,Params!$B$38))))</f>
        <v/>
      </c>
      <c r="AT4">
        <f>AS4*(1-IF(AT$1=1,Params!$B$32,IF(AT$1=2,Params!$B$34,IF(AT$1=3,Params!$B$36,Params!$B$38))))</f>
        <v/>
      </c>
      <c r="AU4">
        <f>AT4*(1-IF(AU$1=1,Params!$B$32,IF(AU$1=2,Params!$B$34,IF(AU$1=3,Params!$B$36,Params!$B$38))))</f>
        <v/>
      </c>
      <c r="AV4">
        <f>AU4*(1-IF(AV$1=1,Params!$B$32,IF(AV$1=2,Params!$B$34,IF(AV$1=3,Params!$B$36,Params!$B$38))))</f>
        <v/>
      </c>
      <c r="AW4">
        <f>AV4*(1-IF(AW$1=1,Params!$B$32,IF(AW$1=2,Params!$B$34,IF(AW$1=3,Params!$B$36,Params!$B$38))))</f>
        <v/>
      </c>
      <c r="AX4">
        <f>AW4*(1-IF(AX$1=1,Params!$B$32,IF(AX$1=2,Params!$B$34,IF(AX$1=3,Params!$B$36,Params!$B$38))))</f>
        <v/>
      </c>
      <c r="AY4">
        <f>AX4*(1-IF(AY$1=1,Params!$B$32,IF(AY$1=2,Params!$B$34,IF(AY$1=3,Params!$B$36,Params!$B$38))))</f>
        <v/>
      </c>
      <c r="AZ4">
        <f>AY4*(1-IF(AZ$1=1,Params!$B$32,IF(AZ$1=2,Params!$B$34,IF(AZ$1=3,Params!$B$36,Params!$B$38))))</f>
        <v/>
      </c>
      <c r="BA4">
        <f>AZ4*(1-IF(BA$1=1,Params!$B$32,IF(BA$1=2,Params!$B$34,IF(BA$1=3,Params!$B$36,Params!$B$38))))</f>
        <v/>
      </c>
      <c r="BB4">
        <f>BA4*(1-IF(BB$1=1,Params!$B$32,IF(BB$1=2,Params!$B$34,IF(BB$1=3,Params!$B$36,Params!$B$38))))</f>
        <v/>
      </c>
      <c r="BC4">
        <f>BB4*(1-IF(BC$1=1,Params!$B$32,IF(BC$1=2,Params!$B$34,IF(BC$1=3,Params!$B$36,Params!$B$38))))</f>
        <v/>
      </c>
      <c r="BD4">
        <f>BC4*(1-IF(BD$1=1,Params!$B$32,IF(BD$1=2,Params!$B$34,IF(BD$1=3,Params!$B$36,Params!$B$38))))</f>
        <v/>
      </c>
      <c r="BE4">
        <f>BD4*(1-IF(BE$1=1,Params!$B$32,IF(BE$1=2,Params!$B$34,IF(BE$1=3,Params!$B$36,Params!$B$38))))</f>
        <v/>
      </c>
      <c r="BF4">
        <f>BE4*(1-IF(BF$1=1,Params!$B$32,IF(BF$1=2,Params!$B$34,IF(BF$1=3,Params!$B$36,Params!$B$38))))</f>
        <v/>
      </c>
      <c r="BG4">
        <f>BF4*(1-IF(BG$1=1,Params!$B$32,IF(BG$1=2,Params!$B$34,IF(BG$1=3,Params!$B$36,Params!$B$38))))</f>
        <v/>
      </c>
      <c r="BH4">
        <f>BG4*(1-IF(BH$1=1,Params!$B$32,IF(BH$1=2,Params!$B$34,IF(BH$1=3,Params!$B$36,Params!$B$38))))</f>
        <v/>
      </c>
      <c r="BI4">
        <f>BH4*(1-IF(BI$1=1,Params!$B$32,IF(BI$1=2,Params!$B$34,IF(BI$1=3,Params!$B$36,Params!$B$38))))</f>
        <v/>
      </c>
      <c r="BJ4">
        <f>BI4*(1-IF(BJ$1=1,Params!$B$32,IF(BJ$1=2,Params!$B$34,IF(BJ$1=3,Params!$B$36,Params!$B$38))))</f>
        <v/>
      </c>
      <c r="BK4">
        <f>BJ4*(1-IF(BK$1=1,Params!$B$32,IF(BK$1=2,Params!$B$34,IF(BK$1=3,Params!$B$36,Params!$B$38))))</f>
        <v/>
      </c>
      <c r="BL4">
        <f>BK4*(1-IF(BL$1=1,Params!$B$32,IF(BL$1=2,Params!$B$34,IF(BL$1=3,Params!$B$36,Params!$B$38))))</f>
        <v/>
      </c>
      <c r="BM4">
        <f>BL4*(1-IF(BM$1=1,Params!$B$32,IF(BM$1=2,Params!$B$34,IF(BM$1=3,Params!$B$36,Params!$B$38))))</f>
        <v/>
      </c>
      <c r="BN4">
        <f>BM4*(1-IF(BN$1=1,Params!$B$32,IF(BN$1=2,Params!$B$34,IF(BN$1=3,Params!$B$36,Params!$B$38))))</f>
        <v/>
      </c>
      <c r="BO4">
        <f>BN4*(1-IF(BO$1=1,Params!$B$32,IF(BO$1=2,Params!$B$34,IF(BO$1=3,Params!$B$36,Params!$B$38))))</f>
        <v/>
      </c>
      <c r="BP4">
        <f>BO4*(1-IF(BP$1=1,Params!$B$32,IF(BP$1=2,Params!$B$34,IF(BP$1=3,Params!$B$36,Params!$B$38))))</f>
        <v/>
      </c>
      <c r="BQ4">
        <f>BP4*(1-IF(BQ$1=1,Params!$B$32,IF(BQ$1=2,Params!$B$34,IF(BQ$1=3,Params!$B$36,Params!$B$38))))</f>
        <v/>
      </c>
      <c r="BR4">
        <f>BQ4*(1-IF(BR$1=1,Params!$B$32,IF(BR$1=2,Params!$B$34,IF(BR$1=3,Params!$B$36,Params!$B$38))))</f>
        <v/>
      </c>
      <c r="BS4">
        <f>BR4*(1-IF(BS$1=1,Params!$B$32,IF(BS$1=2,Params!$B$34,IF(BS$1=3,Params!$B$36,Params!$B$38))))</f>
        <v/>
      </c>
      <c r="BT4">
        <f>BS4*(1-IF(BT$1=1,Params!$B$32,IF(BT$1=2,Params!$B$34,IF(BT$1=3,Params!$B$36,Params!$B$38))))</f>
        <v/>
      </c>
      <c r="BU4">
        <f>BT4*(1-IF(BU$1=1,Params!$B$32,IF(BU$1=2,Params!$B$34,IF(BU$1=3,Params!$B$36,Params!$B$38))))</f>
        <v/>
      </c>
      <c r="BV4">
        <f>BU4*(1-IF(BV$1=1,Params!$B$32,IF(BV$1=2,Params!$B$34,IF(BV$1=3,Params!$B$36,Params!$B$38))))</f>
        <v/>
      </c>
    </row>
    <row r="5">
      <c r="A5" t="inlineStr">
        <is>
          <t>S_ANNUAL@0</t>
        </is>
      </c>
      <c r="C5">
        <f>IF(C$1&lt;12,1,Params!$B$40*Params!$B$42^(INT(C$1/12)-1))</f>
        <v/>
      </c>
      <c r="D5">
        <f>IF(D$1&lt;12,1,Params!$B$40*Params!$B$42^(INT(D$1/12)-1))</f>
        <v/>
      </c>
      <c r="E5">
        <f>IF(E$1&lt;12,1,Params!$B$40*Params!$B$42^(INT(E$1/12)-1))</f>
        <v/>
      </c>
      <c r="F5">
        <f>IF(F$1&lt;12,1,Params!$B$40*Params!$B$42^(INT(F$1/12)-1))</f>
        <v/>
      </c>
      <c r="G5">
        <f>IF(G$1&lt;12,1,Params!$B$40*Params!$B$42^(INT(G$1/12)-1))</f>
        <v/>
      </c>
      <c r="H5">
        <f>IF(H$1&lt;12,1,Params!$B$40*Params!$B$42^(INT(H$1/12)-1))</f>
        <v/>
      </c>
      <c r="I5">
        <f>IF(I$1&lt;12,1,Params!$B$40*Params!$B$42^(INT(I$1/12)-1))</f>
        <v/>
      </c>
      <c r="J5">
        <f>IF(J$1&lt;12,1,Params!$B$40*Params!$B$42^(INT(J$1/12)-1))</f>
        <v/>
      </c>
      <c r="K5">
        <f>IF(K$1&lt;12,1,Params!$B$40*Params!$B$42^(INT(K$1/12)-1))</f>
        <v/>
      </c>
      <c r="L5">
        <f>IF(L$1&lt;12,1,Params!$B$40*Params!$B$42^(INT(L$1/12)-1))</f>
        <v/>
      </c>
      <c r="M5">
        <f>IF(M$1&lt;12,1,Params!$B$40*Params!$B$42^(INT(M$1/12)-1))</f>
        <v/>
      </c>
      <c r="N5">
        <f>IF(N$1&lt;12,1,Params!$B$40*Params!$B$42^(INT(N$1/12)-1))</f>
        <v/>
      </c>
      <c r="O5">
        <f>IF(O$1&lt;12,1,Params!$B$40*Params!$B$42^(INT(O$1/12)-1))</f>
        <v/>
      </c>
      <c r="P5">
        <f>IF(P$1&lt;12,1,Params!$B$40*Params!$B$42^(INT(P$1/12)-1))</f>
        <v/>
      </c>
      <c r="Q5">
        <f>IF(Q$1&lt;12,1,Params!$B$40*Params!$B$42^(INT(Q$1/12)-1))</f>
        <v/>
      </c>
      <c r="R5">
        <f>IF(R$1&lt;12,1,Params!$B$40*Params!$B$42^(INT(R$1/12)-1))</f>
        <v/>
      </c>
      <c r="S5">
        <f>IF(S$1&lt;12,1,Params!$B$40*Params!$B$42^(INT(S$1/12)-1))</f>
        <v/>
      </c>
      <c r="T5">
        <f>IF(T$1&lt;12,1,Params!$B$40*Params!$B$42^(INT(T$1/12)-1))</f>
        <v/>
      </c>
      <c r="U5">
        <f>IF(U$1&lt;12,1,Params!$B$40*Params!$B$42^(INT(U$1/12)-1))</f>
        <v/>
      </c>
      <c r="V5">
        <f>IF(V$1&lt;12,1,Params!$B$40*Params!$B$42^(INT(V$1/12)-1))</f>
        <v/>
      </c>
      <c r="W5">
        <f>IF(W$1&lt;12,1,Params!$B$40*Params!$B$42^(INT(W$1/12)-1))</f>
        <v/>
      </c>
      <c r="X5">
        <f>IF(X$1&lt;12,1,Params!$B$40*Params!$B$42^(INT(X$1/12)-1))</f>
        <v/>
      </c>
      <c r="Y5">
        <f>IF(Y$1&lt;12,1,Params!$B$40*Params!$B$42^(INT(Y$1/12)-1))</f>
        <v/>
      </c>
      <c r="Z5">
        <f>IF(Z$1&lt;12,1,Params!$B$40*Params!$B$42^(INT(Z$1/12)-1))</f>
        <v/>
      </c>
      <c r="AA5">
        <f>IF(AA$1&lt;12,1,Params!$B$40*Params!$B$42^(INT(AA$1/12)-1))</f>
        <v/>
      </c>
      <c r="AB5">
        <f>IF(AB$1&lt;12,1,Params!$B$40*Params!$B$42^(INT(AB$1/12)-1))</f>
        <v/>
      </c>
      <c r="AC5">
        <f>IF(AC$1&lt;12,1,Params!$B$40*Params!$B$42^(INT(AC$1/12)-1))</f>
        <v/>
      </c>
      <c r="AD5">
        <f>IF(AD$1&lt;12,1,Params!$B$40*Params!$B$42^(INT(AD$1/12)-1))</f>
        <v/>
      </c>
      <c r="AE5">
        <f>IF(AE$1&lt;12,1,Params!$B$40*Params!$B$42^(INT(AE$1/12)-1))</f>
        <v/>
      </c>
      <c r="AF5">
        <f>IF(AF$1&lt;12,1,Params!$B$40*Params!$B$42^(INT(AF$1/12)-1))</f>
        <v/>
      </c>
      <c r="AG5">
        <f>IF(AG$1&lt;12,1,Params!$B$40*Params!$B$42^(INT(AG$1/12)-1))</f>
        <v/>
      </c>
      <c r="AH5">
        <f>IF(AH$1&lt;12,1,Params!$B$40*Params!$B$42^(INT(AH$1/12)-1))</f>
        <v/>
      </c>
      <c r="AI5">
        <f>IF(AI$1&lt;12,1,Params!$B$40*Params!$B$42^(INT(AI$1/12)-1))</f>
        <v/>
      </c>
      <c r="AJ5">
        <f>IF(AJ$1&lt;12,1,Params!$B$40*Params!$B$42^(INT(AJ$1/12)-1))</f>
        <v/>
      </c>
      <c r="AK5">
        <f>IF(AK$1&lt;12,1,Params!$B$40*Params!$B$42^(INT(AK$1/12)-1))</f>
        <v/>
      </c>
      <c r="AL5">
        <f>IF(AL$1&lt;12,1,Params!$B$40*Params!$B$42^(INT(AL$1/12)-1))</f>
        <v/>
      </c>
      <c r="AM5">
        <f>IF(AM$1&lt;12,1,Params!$B$40*Params!$B$42^(INT(AM$1/12)-1))</f>
        <v/>
      </c>
      <c r="AN5">
        <f>IF(AN$1&lt;12,1,Params!$B$40*Params!$B$42^(INT(AN$1/12)-1))</f>
        <v/>
      </c>
      <c r="AO5">
        <f>IF(AO$1&lt;12,1,Params!$B$40*Params!$B$42^(INT(AO$1/12)-1))</f>
        <v/>
      </c>
      <c r="AP5">
        <f>IF(AP$1&lt;12,1,Params!$B$40*Params!$B$42^(INT(AP$1/12)-1))</f>
        <v/>
      </c>
      <c r="AQ5">
        <f>IF(AQ$1&lt;12,1,Params!$B$40*Params!$B$42^(INT(AQ$1/12)-1))</f>
        <v/>
      </c>
      <c r="AR5">
        <f>IF(AR$1&lt;12,1,Params!$B$40*Params!$B$42^(INT(AR$1/12)-1))</f>
        <v/>
      </c>
      <c r="AS5">
        <f>IF(AS$1&lt;12,1,Params!$B$40*Params!$B$42^(INT(AS$1/12)-1))</f>
        <v/>
      </c>
      <c r="AT5">
        <f>IF(AT$1&lt;12,1,Params!$B$40*Params!$B$42^(INT(AT$1/12)-1))</f>
        <v/>
      </c>
      <c r="AU5">
        <f>IF(AU$1&lt;12,1,Params!$B$40*Params!$B$42^(INT(AU$1/12)-1))</f>
        <v/>
      </c>
      <c r="AV5">
        <f>IF(AV$1&lt;12,1,Params!$B$40*Params!$B$42^(INT(AV$1/12)-1))</f>
        <v/>
      </c>
      <c r="AW5">
        <f>IF(AW$1&lt;12,1,Params!$B$40*Params!$B$42^(INT(AW$1/12)-1))</f>
        <v/>
      </c>
      <c r="AX5">
        <f>IF(AX$1&lt;12,1,Params!$B$40*Params!$B$42^(INT(AX$1/12)-1))</f>
        <v/>
      </c>
      <c r="AY5">
        <f>IF(AY$1&lt;12,1,Params!$B$40*Params!$B$42^(INT(AY$1/12)-1))</f>
        <v/>
      </c>
      <c r="AZ5">
        <f>IF(AZ$1&lt;12,1,Params!$B$40*Params!$B$42^(INT(AZ$1/12)-1))</f>
        <v/>
      </c>
      <c r="BA5">
        <f>IF(BA$1&lt;12,1,Params!$B$40*Params!$B$42^(INT(BA$1/12)-1))</f>
        <v/>
      </c>
      <c r="BB5">
        <f>IF(BB$1&lt;12,1,Params!$B$40*Params!$B$42^(INT(BB$1/12)-1))</f>
        <v/>
      </c>
      <c r="BC5">
        <f>IF(BC$1&lt;12,1,Params!$B$40*Params!$B$42^(INT(BC$1/12)-1))</f>
        <v/>
      </c>
      <c r="BD5">
        <f>IF(BD$1&lt;12,1,Params!$B$40*Params!$B$42^(INT(BD$1/12)-1))</f>
        <v/>
      </c>
      <c r="BE5">
        <f>IF(BE$1&lt;12,1,Params!$B$40*Params!$B$42^(INT(BE$1/12)-1))</f>
        <v/>
      </c>
      <c r="BF5">
        <f>IF(BF$1&lt;12,1,Params!$B$40*Params!$B$42^(INT(BF$1/12)-1))</f>
        <v/>
      </c>
      <c r="BG5">
        <f>IF(BG$1&lt;12,1,Params!$B$40*Params!$B$42^(INT(BG$1/12)-1))</f>
        <v/>
      </c>
      <c r="BH5">
        <f>IF(BH$1&lt;12,1,Params!$B$40*Params!$B$42^(INT(BH$1/12)-1))</f>
        <v/>
      </c>
      <c r="BI5">
        <f>IF(BI$1&lt;12,1,Params!$B$40*Params!$B$42^(INT(BI$1/12)-1))</f>
        <v/>
      </c>
      <c r="BJ5">
        <f>IF(BJ$1&lt;12,1,Params!$B$40*Params!$B$42^(INT(BJ$1/12)-1))</f>
        <v/>
      </c>
      <c r="BK5">
        <f>IF(BK$1&lt;12,1,Params!$B$40*Params!$B$42^(INT(BK$1/12)-1))</f>
        <v/>
      </c>
      <c r="BL5">
        <f>IF(BL$1&lt;12,1,Params!$B$40*Params!$B$42^(INT(BL$1/12)-1))</f>
        <v/>
      </c>
      <c r="BM5">
        <f>IF(BM$1&lt;12,1,Params!$B$40*Params!$B$42^(INT(BM$1/12)-1))</f>
        <v/>
      </c>
      <c r="BN5">
        <f>IF(BN$1&lt;12,1,Params!$B$40*Params!$B$42^(INT(BN$1/12)-1))</f>
        <v/>
      </c>
      <c r="BO5">
        <f>IF(BO$1&lt;12,1,Params!$B$40*Params!$B$42^(INT(BO$1/12)-1))</f>
        <v/>
      </c>
      <c r="BP5">
        <f>IF(BP$1&lt;12,1,Params!$B$40*Params!$B$42^(INT(BP$1/12)-1))</f>
        <v/>
      </c>
      <c r="BQ5">
        <f>IF(BQ$1&lt;12,1,Params!$B$40*Params!$B$42^(INT(BQ$1/12)-1))</f>
        <v/>
      </c>
      <c r="BR5">
        <f>IF(BR$1&lt;12,1,Params!$B$40*Params!$B$42^(INT(BR$1/12)-1))</f>
        <v/>
      </c>
      <c r="BS5">
        <f>IF(BS$1&lt;12,1,Params!$B$40*Params!$B$42^(INT(BS$1/12)-1))</f>
        <v/>
      </c>
      <c r="BT5">
        <f>IF(BT$1&lt;12,1,Params!$B$40*Params!$B$42^(INT(BT$1/12)-1))</f>
        <v/>
      </c>
      <c r="BU5">
        <f>IF(BU$1&lt;12,1,Params!$B$40*Params!$B$42^(INT(BU$1/12)-1))</f>
        <v/>
      </c>
      <c r="BV5">
        <f>IF(BV$1&lt;12,1,Params!$B$40*Params!$B$42^(INT(BV$1/12)-1))</f>
        <v/>
      </c>
    </row>
    <row r="6">
      <c r="A6" t="inlineStr">
        <is>
          <t>D_MONTHLY@0</t>
        </is>
      </c>
      <c r="C6">
        <f>0</f>
        <v/>
      </c>
      <c r="D6">
        <f>C4-D4</f>
        <v/>
      </c>
      <c r="E6">
        <f>D4-E4</f>
        <v/>
      </c>
      <c r="F6">
        <f>E4-F4</f>
        <v/>
      </c>
      <c r="G6">
        <f>F4-G4</f>
        <v/>
      </c>
      <c r="H6">
        <f>G4-H4</f>
        <v/>
      </c>
      <c r="I6">
        <f>H4-I4</f>
        <v/>
      </c>
      <c r="J6">
        <f>I4-J4</f>
        <v/>
      </c>
      <c r="K6">
        <f>J4-K4</f>
        <v/>
      </c>
      <c r="L6">
        <f>K4-L4</f>
        <v/>
      </c>
      <c r="M6">
        <f>L4-M4</f>
        <v/>
      </c>
      <c r="N6">
        <f>M4-N4</f>
        <v/>
      </c>
      <c r="O6">
        <f>N4-O4</f>
        <v/>
      </c>
      <c r="P6">
        <f>O4-P4</f>
        <v/>
      </c>
      <c r="Q6">
        <f>P4-Q4</f>
        <v/>
      </c>
      <c r="R6">
        <f>Q4-R4</f>
        <v/>
      </c>
      <c r="S6">
        <f>R4-S4</f>
        <v/>
      </c>
      <c r="T6">
        <f>S4-T4</f>
        <v/>
      </c>
      <c r="U6">
        <f>T4-U4</f>
        <v/>
      </c>
      <c r="V6">
        <f>U4-V4</f>
        <v/>
      </c>
      <c r="W6">
        <f>V4-W4</f>
        <v/>
      </c>
      <c r="X6">
        <f>W4-X4</f>
        <v/>
      </c>
      <c r="Y6">
        <f>X4-Y4</f>
        <v/>
      </c>
      <c r="Z6">
        <f>Y4-Z4</f>
        <v/>
      </c>
      <c r="AA6">
        <f>Z4-AA4</f>
        <v/>
      </c>
      <c r="AB6">
        <f>AA4-AB4</f>
        <v/>
      </c>
      <c r="AC6">
        <f>AB4-AC4</f>
        <v/>
      </c>
      <c r="AD6">
        <f>AC4-AD4</f>
        <v/>
      </c>
      <c r="AE6">
        <f>AD4-AE4</f>
        <v/>
      </c>
      <c r="AF6">
        <f>AE4-AF4</f>
        <v/>
      </c>
      <c r="AG6">
        <f>AF4-AG4</f>
        <v/>
      </c>
      <c r="AH6">
        <f>AG4-AH4</f>
        <v/>
      </c>
      <c r="AI6">
        <f>AH4-AI4</f>
        <v/>
      </c>
      <c r="AJ6">
        <f>AI4-AJ4</f>
        <v/>
      </c>
      <c r="AK6">
        <f>AJ4-AK4</f>
        <v/>
      </c>
      <c r="AL6">
        <f>AK4-AL4</f>
        <v/>
      </c>
      <c r="AM6">
        <f>AL4-AM4</f>
        <v/>
      </c>
      <c r="AN6">
        <f>AM4-AN4</f>
        <v/>
      </c>
      <c r="AO6">
        <f>AN4-AO4</f>
        <v/>
      </c>
      <c r="AP6">
        <f>AO4-AP4</f>
        <v/>
      </c>
      <c r="AQ6">
        <f>AP4-AQ4</f>
        <v/>
      </c>
      <c r="AR6">
        <f>AQ4-AR4</f>
        <v/>
      </c>
      <c r="AS6">
        <f>AR4-AS4</f>
        <v/>
      </c>
      <c r="AT6">
        <f>AS4-AT4</f>
        <v/>
      </c>
      <c r="AU6">
        <f>AT4-AU4</f>
        <v/>
      </c>
      <c r="AV6">
        <f>AU4-AV4</f>
        <v/>
      </c>
      <c r="AW6">
        <f>AV4-AW4</f>
        <v/>
      </c>
      <c r="AX6">
        <f>AW4-AX4</f>
        <v/>
      </c>
      <c r="AY6">
        <f>AX4-AY4</f>
        <v/>
      </c>
      <c r="AZ6">
        <f>AY4-AZ4</f>
        <v/>
      </c>
      <c r="BA6">
        <f>AZ4-BA4</f>
        <v/>
      </c>
      <c r="BB6">
        <f>BA4-BB4</f>
        <v/>
      </c>
      <c r="BC6">
        <f>BB4-BC4</f>
        <v/>
      </c>
      <c r="BD6">
        <f>BC4-BD4</f>
        <v/>
      </c>
      <c r="BE6">
        <f>BD4-BE4</f>
        <v/>
      </c>
      <c r="BF6">
        <f>BE4-BF4</f>
        <v/>
      </c>
      <c r="BG6">
        <f>BF4-BG4</f>
        <v/>
      </c>
      <c r="BH6">
        <f>BG4-BH4</f>
        <v/>
      </c>
      <c r="BI6">
        <f>BH4-BI4</f>
        <v/>
      </c>
      <c r="BJ6">
        <f>BI4-BJ4</f>
        <v/>
      </c>
      <c r="BK6">
        <f>BJ4-BK4</f>
        <v/>
      </c>
      <c r="BL6">
        <f>BK4-BL4</f>
        <v/>
      </c>
      <c r="BM6">
        <f>BL4-BM4</f>
        <v/>
      </c>
      <c r="BN6">
        <f>BM4-BN4</f>
        <v/>
      </c>
      <c r="BO6">
        <f>BN4-BO4</f>
        <v/>
      </c>
      <c r="BP6">
        <f>BO4-BP4</f>
        <v/>
      </c>
      <c r="BQ6">
        <f>BP4-BQ4</f>
        <v/>
      </c>
      <c r="BR6">
        <f>BQ4-BR4</f>
        <v/>
      </c>
      <c r="BS6">
        <f>BR4-BS4</f>
        <v/>
      </c>
      <c r="BT6">
        <f>BS4-BT4</f>
        <v/>
      </c>
      <c r="BU6">
        <f>BT4-BU4</f>
        <v/>
      </c>
      <c r="BV6">
        <f>BU4-BV4</f>
        <v/>
      </c>
    </row>
    <row r="7">
      <c r="A7" t="inlineStr">
        <is>
          <t>D_ANNUAL@0</t>
        </is>
      </c>
      <c r="C7">
        <f>0</f>
        <v/>
      </c>
      <c r="D7">
        <f>C5-D5</f>
        <v/>
      </c>
      <c r="E7">
        <f>D5-E5</f>
        <v/>
      </c>
      <c r="F7">
        <f>E5-F5</f>
        <v/>
      </c>
      <c r="G7">
        <f>F5-G5</f>
        <v/>
      </c>
      <c r="H7">
        <f>G5-H5</f>
        <v/>
      </c>
      <c r="I7">
        <f>H5-I5</f>
        <v/>
      </c>
      <c r="J7">
        <f>I5-J5</f>
        <v/>
      </c>
      <c r="K7">
        <f>J5-K5</f>
        <v/>
      </c>
      <c r="L7">
        <f>K5-L5</f>
        <v/>
      </c>
      <c r="M7">
        <f>L5-M5</f>
        <v/>
      </c>
      <c r="N7">
        <f>M5-N5</f>
        <v/>
      </c>
      <c r="O7">
        <f>N5-O5</f>
        <v/>
      </c>
      <c r="P7">
        <f>O5-P5</f>
        <v/>
      </c>
      <c r="Q7">
        <f>P5-Q5</f>
        <v/>
      </c>
      <c r="R7">
        <f>Q5-R5</f>
        <v/>
      </c>
      <c r="S7">
        <f>R5-S5</f>
        <v/>
      </c>
      <c r="T7">
        <f>S5-T5</f>
        <v/>
      </c>
      <c r="U7">
        <f>T5-U5</f>
        <v/>
      </c>
      <c r="V7">
        <f>U5-V5</f>
        <v/>
      </c>
      <c r="W7">
        <f>V5-W5</f>
        <v/>
      </c>
      <c r="X7">
        <f>W5-X5</f>
        <v/>
      </c>
      <c r="Y7">
        <f>X5-Y5</f>
        <v/>
      </c>
      <c r="Z7">
        <f>Y5-Z5</f>
        <v/>
      </c>
      <c r="AA7">
        <f>Z5-AA5</f>
        <v/>
      </c>
      <c r="AB7">
        <f>AA5-AB5</f>
        <v/>
      </c>
      <c r="AC7">
        <f>AB5-AC5</f>
        <v/>
      </c>
      <c r="AD7">
        <f>AC5-AD5</f>
        <v/>
      </c>
      <c r="AE7">
        <f>AD5-AE5</f>
        <v/>
      </c>
      <c r="AF7">
        <f>AE5-AF5</f>
        <v/>
      </c>
      <c r="AG7">
        <f>AF5-AG5</f>
        <v/>
      </c>
      <c r="AH7">
        <f>AG5-AH5</f>
        <v/>
      </c>
      <c r="AI7">
        <f>AH5-AI5</f>
        <v/>
      </c>
      <c r="AJ7">
        <f>AI5-AJ5</f>
        <v/>
      </c>
      <c r="AK7">
        <f>AJ5-AK5</f>
        <v/>
      </c>
      <c r="AL7">
        <f>AK5-AL5</f>
        <v/>
      </c>
      <c r="AM7">
        <f>AL5-AM5</f>
        <v/>
      </c>
      <c r="AN7">
        <f>AM5-AN5</f>
        <v/>
      </c>
      <c r="AO7">
        <f>AN5-AO5</f>
        <v/>
      </c>
      <c r="AP7">
        <f>AO5-AP5</f>
        <v/>
      </c>
      <c r="AQ7">
        <f>AP5-AQ5</f>
        <v/>
      </c>
      <c r="AR7">
        <f>AQ5-AR5</f>
        <v/>
      </c>
      <c r="AS7">
        <f>AR5-AS5</f>
        <v/>
      </c>
      <c r="AT7">
        <f>AS5-AT5</f>
        <v/>
      </c>
      <c r="AU7">
        <f>AT5-AU5</f>
        <v/>
      </c>
      <c r="AV7">
        <f>AU5-AV5</f>
        <v/>
      </c>
      <c r="AW7">
        <f>AV5-AW5</f>
        <v/>
      </c>
      <c r="AX7">
        <f>AW5-AX5</f>
        <v/>
      </c>
      <c r="AY7">
        <f>AX5-AY5</f>
        <v/>
      </c>
      <c r="AZ7">
        <f>AY5-AZ5</f>
        <v/>
      </c>
      <c r="BA7">
        <f>AZ5-BA5</f>
        <v/>
      </c>
      <c r="BB7">
        <f>BA5-BB5</f>
        <v/>
      </c>
      <c r="BC7">
        <f>BB5-BC5</f>
        <v/>
      </c>
      <c r="BD7">
        <f>BC5-BD5</f>
        <v/>
      </c>
      <c r="BE7">
        <f>BD5-BE5</f>
        <v/>
      </c>
      <c r="BF7">
        <f>BE5-BF5</f>
        <v/>
      </c>
      <c r="BG7">
        <f>BF5-BG5</f>
        <v/>
      </c>
      <c r="BH7">
        <f>BG5-BH5</f>
        <v/>
      </c>
      <c r="BI7">
        <f>BH5-BI5</f>
        <v/>
      </c>
      <c r="BJ7">
        <f>BI5-BJ5</f>
        <v/>
      </c>
      <c r="BK7">
        <f>BJ5-BK5</f>
        <v/>
      </c>
      <c r="BL7">
        <f>BK5-BL5</f>
        <v/>
      </c>
      <c r="BM7">
        <f>BL5-BM5</f>
        <v/>
      </c>
      <c r="BN7">
        <f>BM5-BN5</f>
        <v/>
      </c>
      <c r="BO7">
        <f>BN5-BO5</f>
        <v/>
      </c>
      <c r="BP7">
        <f>BO5-BP5</f>
        <v/>
      </c>
      <c r="BQ7">
        <f>BP5-BQ5</f>
        <v/>
      </c>
      <c r="BR7">
        <f>BQ5-BR5</f>
        <v/>
      </c>
      <c r="BS7">
        <f>BR5-BS5</f>
        <v/>
      </c>
      <c r="BT7">
        <f>BS5-BT5</f>
        <v/>
      </c>
      <c r="BU7">
        <f>BT5-BU5</f>
        <v/>
      </c>
      <c r="BV7">
        <f>BU5-BV5</f>
        <v/>
      </c>
    </row>
    <row r="8">
      <c r="A8" t="inlineStr">
        <is>
          <t>S_REACT@0</t>
        </is>
      </c>
      <c r="C8">
        <f>(1-Params!$B$48)^C$1</f>
        <v/>
      </c>
      <c r="D8">
        <f>(1-Params!$B$48)^D$1</f>
        <v/>
      </c>
      <c r="E8">
        <f>(1-Params!$B$48)^E$1</f>
        <v/>
      </c>
      <c r="F8">
        <f>(1-Params!$B$48)^F$1</f>
        <v/>
      </c>
      <c r="G8">
        <f>(1-Params!$B$48)^G$1</f>
        <v/>
      </c>
      <c r="H8">
        <f>(1-Params!$B$48)^H$1</f>
        <v/>
      </c>
      <c r="I8">
        <f>(1-Params!$B$48)^I$1</f>
        <v/>
      </c>
      <c r="J8">
        <f>(1-Params!$B$48)^J$1</f>
        <v/>
      </c>
      <c r="K8">
        <f>(1-Params!$B$48)^K$1</f>
        <v/>
      </c>
      <c r="L8">
        <f>(1-Params!$B$48)^L$1</f>
        <v/>
      </c>
      <c r="M8">
        <f>(1-Params!$B$48)^M$1</f>
        <v/>
      </c>
      <c r="N8">
        <f>(1-Params!$B$48)^N$1</f>
        <v/>
      </c>
      <c r="O8">
        <f>(1-Params!$B$48)^O$1</f>
        <v/>
      </c>
      <c r="P8">
        <f>(1-Params!$B$48)^P$1</f>
        <v/>
      </c>
      <c r="Q8">
        <f>(1-Params!$B$48)^Q$1</f>
        <v/>
      </c>
      <c r="R8">
        <f>(1-Params!$B$48)^R$1</f>
        <v/>
      </c>
      <c r="S8">
        <f>(1-Params!$B$48)^S$1</f>
        <v/>
      </c>
      <c r="T8">
        <f>(1-Params!$B$48)^T$1</f>
        <v/>
      </c>
      <c r="U8">
        <f>(1-Params!$B$48)^U$1</f>
        <v/>
      </c>
      <c r="V8">
        <f>(1-Params!$B$48)^V$1</f>
        <v/>
      </c>
      <c r="W8">
        <f>(1-Params!$B$48)^W$1</f>
        <v/>
      </c>
      <c r="X8">
        <f>(1-Params!$B$48)^X$1</f>
        <v/>
      </c>
      <c r="Y8">
        <f>(1-Params!$B$48)^Y$1</f>
        <v/>
      </c>
      <c r="Z8">
        <f>(1-Params!$B$48)^Z$1</f>
        <v/>
      </c>
      <c r="AA8">
        <f>(1-Params!$B$48)^AA$1</f>
        <v/>
      </c>
      <c r="AB8">
        <f>(1-Params!$B$48)^AB$1</f>
        <v/>
      </c>
      <c r="AC8">
        <f>(1-Params!$B$48)^AC$1</f>
        <v/>
      </c>
      <c r="AD8">
        <f>(1-Params!$B$48)^AD$1</f>
        <v/>
      </c>
      <c r="AE8">
        <f>(1-Params!$B$48)^AE$1</f>
        <v/>
      </c>
      <c r="AF8">
        <f>(1-Params!$B$48)^AF$1</f>
        <v/>
      </c>
      <c r="AG8">
        <f>(1-Params!$B$48)^AG$1</f>
        <v/>
      </c>
      <c r="AH8">
        <f>(1-Params!$B$48)^AH$1</f>
        <v/>
      </c>
      <c r="AI8">
        <f>(1-Params!$B$48)^AI$1</f>
        <v/>
      </c>
      <c r="AJ8">
        <f>(1-Params!$B$48)^AJ$1</f>
        <v/>
      </c>
      <c r="AK8">
        <f>(1-Params!$B$48)^AK$1</f>
        <v/>
      </c>
      <c r="AL8">
        <f>(1-Params!$B$48)^AL$1</f>
        <v/>
      </c>
      <c r="AM8">
        <f>(1-Params!$B$48)^AM$1</f>
        <v/>
      </c>
      <c r="AN8">
        <f>(1-Params!$B$48)^AN$1</f>
        <v/>
      </c>
      <c r="AO8">
        <f>(1-Params!$B$48)^AO$1</f>
        <v/>
      </c>
      <c r="AP8">
        <f>(1-Params!$B$48)^AP$1</f>
        <v/>
      </c>
      <c r="AQ8">
        <f>(1-Params!$B$48)^AQ$1</f>
        <v/>
      </c>
      <c r="AR8">
        <f>(1-Params!$B$48)^AR$1</f>
        <v/>
      </c>
      <c r="AS8">
        <f>(1-Params!$B$48)^AS$1</f>
        <v/>
      </c>
      <c r="AT8">
        <f>(1-Params!$B$48)^AT$1</f>
        <v/>
      </c>
      <c r="AU8">
        <f>(1-Params!$B$48)^AU$1</f>
        <v/>
      </c>
      <c r="AV8">
        <f>(1-Params!$B$48)^AV$1</f>
        <v/>
      </c>
      <c r="AW8">
        <f>(1-Params!$B$48)^AW$1</f>
        <v/>
      </c>
      <c r="AX8">
        <f>(1-Params!$B$48)^AX$1</f>
        <v/>
      </c>
      <c r="AY8">
        <f>(1-Params!$B$48)^AY$1</f>
        <v/>
      </c>
      <c r="AZ8">
        <f>(1-Params!$B$48)^AZ$1</f>
        <v/>
      </c>
      <c r="BA8">
        <f>(1-Params!$B$48)^BA$1</f>
        <v/>
      </c>
      <c r="BB8">
        <f>(1-Params!$B$48)^BB$1</f>
        <v/>
      </c>
      <c r="BC8">
        <f>(1-Params!$B$48)^BC$1</f>
        <v/>
      </c>
      <c r="BD8">
        <f>(1-Params!$B$48)^BD$1</f>
        <v/>
      </c>
      <c r="BE8">
        <f>(1-Params!$B$48)^BE$1</f>
        <v/>
      </c>
      <c r="BF8">
        <f>(1-Params!$B$48)^BF$1</f>
        <v/>
      </c>
      <c r="BG8">
        <f>(1-Params!$B$48)^BG$1</f>
        <v/>
      </c>
      <c r="BH8">
        <f>(1-Params!$B$48)^BH$1</f>
        <v/>
      </c>
      <c r="BI8">
        <f>(1-Params!$B$48)^BI$1</f>
        <v/>
      </c>
      <c r="BJ8">
        <f>(1-Params!$B$48)^BJ$1</f>
        <v/>
      </c>
      <c r="BK8">
        <f>(1-Params!$B$48)^BK$1</f>
        <v/>
      </c>
      <c r="BL8">
        <f>(1-Params!$B$48)^BL$1</f>
        <v/>
      </c>
      <c r="BM8">
        <f>(1-Params!$B$48)^BM$1</f>
        <v/>
      </c>
      <c r="BN8">
        <f>(1-Params!$B$48)^BN$1</f>
        <v/>
      </c>
      <c r="BO8">
        <f>(1-Params!$B$48)^BO$1</f>
        <v/>
      </c>
      <c r="BP8">
        <f>(1-Params!$B$48)^BP$1</f>
        <v/>
      </c>
      <c r="BQ8">
        <f>(1-Params!$B$48)^BQ$1</f>
        <v/>
      </c>
      <c r="BR8">
        <f>(1-Params!$B$48)^BR$1</f>
        <v/>
      </c>
      <c r="BS8">
        <f>(1-Params!$B$48)^BS$1</f>
        <v/>
      </c>
      <c r="BT8">
        <f>(1-Params!$B$48)^BT$1</f>
        <v/>
      </c>
      <c r="BU8">
        <f>(1-Params!$B$48)^BU$1</f>
        <v/>
      </c>
      <c r="BV8">
        <f>(1-Params!$B$48)^BV$1</f>
        <v/>
      </c>
    </row>
    <row r="9">
      <c r="A9" t="inlineStr">
        <is>
          <t>D_REACT@0</t>
        </is>
      </c>
      <c r="C9">
        <f>0</f>
        <v/>
      </c>
      <c r="D9">
        <f>C8-D8</f>
        <v/>
      </c>
      <c r="E9">
        <f>D8-E8</f>
        <v/>
      </c>
      <c r="F9">
        <f>E8-F8</f>
        <v/>
      </c>
      <c r="G9">
        <f>F8-G8</f>
        <v/>
      </c>
      <c r="H9">
        <f>G8-H8</f>
        <v/>
      </c>
      <c r="I9">
        <f>H8-I8</f>
        <v/>
      </c>
      <c r="J9">
        <f>I8-J8</f>
        <v/>
      </c>
      <c r="K9">
        <f>J8-K8</f>
        <v/>
      </c>
      <c r="L9">
        <f>K8-L8</f>
        <v/>
      </c>
      <c r="M9">
        <f>L8-M8</f>
        <v/>
      </c>
      <c r="N9">
        <f>M8-N8</f>
        <v/>
      </c>
      <c r="O9">
        <f>N8-O8</f>
        <v/>
      </c>
      <c r="P9">
        <f>O8-P8</f>
        <v/>
      </c>
      <c r="Q9">
        <f>P8-Q8</f>
        <v/>
      </c>
      <c r="R9">
        <f>Q8-R8</f>
        <v/>
      </c>
      <c r="S9">
        <f>R8-S8</f>
        <v/>
      </c>
      <c r="T9">
        <f>S8-T8</f>
        <v/>
      </c>
      <c r="U9">
        <f>T8-U8</f>
        <v/>
      </c>
      <c r="V9">
        <f>U8-V8</f>
        <v/>
      </c>
      <c r="W9">
        <f>V8-W8</f>
        <v/>
      </c>
      <c r="X9">
        <f>W8-X8</f>
        <v/>
      </c>
      <c r="Y9">
        <f>X8-Y8</f>
        <v/>
      </c>
      <c r="Z9">
        <f>Y8-Z8</f>
        <v/>
      </c>
      <c r="AA9">
        <f>Z8-AA8</f>
        <v/>
      </c>
      <c r="AB9">
        <f>AA8-AB8</f>
        <v/>
      </c>
      <c r="AC9">
        <f>AB8-AC8</f>
        <v/>
      </c>
      <c r="AD9">
        <f>AC8-AD8</f>
        <v/>
      </c>
      <c r="AE9">
        <f>AD8-AE8</f>
        <v/>
      </c>
      <c r="AF9">
        <f>AE8-AF8</f>
        <v/>
      </c>
      <c r="AG9">
        <f>AF8-AG8</f>
        <v/>
      </c>
      <c r="AH9">
        <f>AG8-AH8</f>
        <v/>
      </c>
      <c r="AI9">
        <f>AH8-AI8</f>
        <v/>
      </c>
      <c r="AJ9">
        <f>AI8-AJ8</f>
        <v/>
      </c>
      <c r="AK9">
        <f>AJ8-AK8</f>
        <v/>
      </c>
      <c r="AL9">
        <f>AK8-AL8</f>
        <v/>
      </c>
      <c r="AM9">
        <f>AL8-AM8</f>
        <v/>
      </c>
      <c r="AN9">
        <f>AM8-AN8</f>
        <v/>
      </c>
      <c r="AO9">
        <f>AN8-AO8</f>
        <v/>
      </c>
      <c r="AP9">
        <f>AO8-AP8</f>
        <v/>
      </c>
      <c r="AQ9">
        <f>AP8-AQ8</f>
        <v/>
      </c>
      <c r="AR9">
        <f>AQ8-AR8</f>
        <v/>
      </c>
      <c r="AS9">
        <f>AR8-AS8</f>
        <v/>
      </c>
      <c r="AT9">
        <f>AS8-AT8</f>
        <v/>
      </c>
      <c r="AU9">
        <f>AT8-AU8</f>
        <v/>
      </c>
      <c r="AV9">
        <f>AU8-AV8</f>
        <v/>
      </c>
      <c r="AW9">
        <f>AV8-AW8</f>
        <v/>
      </c>
      <c r="AX9">
        <f>AW8-AX8</f>
        <v/>
      </c>
      <c r="AY9">
        <f>AX8-AY8</f>
        <v/>
      </c>
      <c r="AZ9">
        <f>AY8-AZ8</f>
        <v/>
      </c>
      <c r="BA9">
        <f>AZ8-BA8</f>
        <v/>
      </c>
      <c r="BB9">
        <f>BA8-BB8</f>
        <v/>
      </c>
      <c r="BC9">
        <f>BB8-BC8</f>
        <v/>
      </c>
      <c r="BD9">
        <f>BC8-BD8</f>
        <v/>
      </c>
      <c r="BE9">
        <f>BD8-BE8</f>
        <v/>
      </c>
      <c r="BF9">
        <f>BE8-BF8</f>
        <v/>
      </c>
      <c r="BG9">
        <f>BF8-BG8</f>
        <v/>
      </c>
      <c r="BH9">
        <f>BG8-BH8</f>
        <v/>
      </c>
      <c r="BI9">
        <f>BH8-BI8</f>
        <v/>
      </c>
      <c r="BJ9">
        <f>BI8-BJ8</f>
        <v/>
      </c>
      <c r="BK9">
        <f>BJ8-BK8</f>
        <v/>
      </c>
      <c r="BL9">
        <f>BK8-BL8</f>
        <v/>
      </c>
      <c r="BM9">
        <f>BL8-BM8</f>
        <v/>
      </c>
      <c r="BN9">
        <f>BM8-BN8</f>
        <v/>
      </c>
      <c r="BO9">
        <f>BN8-BO8</f>
        <v/>
      </c>
      <c r="BP9">
        <f>BO8-BP8</f>
        <v/>
      </c>
      <c r="BQ9">
        <f>BP8-BQ8</f>
        <v/>
      </c>
      <c r="BR9">
        <f>BQ8-BR8</f>
        <v/>
      </c>
      <c r="BS9">
        <f>BR8-BS8</f>
        <v/>
      </c>
      <c r="BT9">
        <f>BS8-BT8</f>
        <v/>
      </c>
      <c r="BU9">
        <f>BT8-BU8</f>
        <v/>
      </c>
      <c r="BV9">
        <f>BU8-BV8</f>
        <v/>
      </c>
    </row>
    <row r="10">
      <c r="A10" t="inlineStr">
        <is>
          <t>K_REACT@0</t>
        </is>
      </c>
      <c r="C10">
        <f>IF(AND(C$1&gt;=1,C$1&lt;=Params!$B$46),Params!$B$44*(1-Params!$B$44)^(C$1-1),0)</f>
        <v/>
      </c>
      <c r="D10">
        <f>IF(AND(D$1&gt;=1,D$1&lt;=Params!$B$46),Params!$B$44*(1-Params!$B$44)^(D$1-1),0)</f>
        <v/>
      </c>
      <c r="E10">
        <f>IF(AND(E$1&gt;=1,E$1&lt;=Params!$B$46),Params!$B$44*(1-Params!$B$44)^(E$1-1),0)</f>
        <v/>
      </c>
      <c r="F10">
        <f>IF(AND(F$1&gt;=1,F$1&lt;=Params!$B$46),Params!$B$44*(1-Params!$B$44)^(F$1-1),0)</f>
        <v/>
      </c>
      <c r="G10">
        <f>IF(AND(G$1&gt;=1,G$1&lt;=Params!$B$46),Params!$B$44*(1-Params!$B$44)^(G$1-1),0)</f>
        <v/>
      </c>
      <c r="H10">
        <f>IF(AND(H$1&gt;=1,H$1&lt;=Params!$B$46),Params!$B$44*(1-Params!$B$44)^(H$1-1),0)</f>
        <v/>
      </c>
      <c r="I10">
        <f>IF(AND(I$1&gt;=1,I$1&lt;=Params!$B$46),Params!$B$44*(1-Params!$B$44)^(I$1-1),0)</f>
        <v/>
      </c>
      <c r="J10">
        <f>IF(AND(J$1&gt;=1,J$1&lt;=Params!$B$46),Params!$B$44*(1-Params!$B$44)^(J$1-1),0)</f>
        <v/>
      </c>
      <c r="K10">
        <f>IF(AND(K$1&gt;=1,K$1&lt;=Params!$B$46),Params!$B$44*(1-Params!$B$44)^(K$1-1),0)</f>
        <v/>
      </c>
      <c r="L10">
        <f>IF(AND(L$1&gt;=1,L$1&lt;=Params!$B$46),Params!$B$44*(1-Params!$B$44)^(L$1-1),0)</f>
        <v/>
      </c>
      <c r="M10">
        <f>IF(AND(M$1&gt;=1,M$1&lt;=Params!$B$46),Params!$B$44*(1-Params!$B$44)^(M$1-1),0)</f>
        <v/>
      </c>
      <c r="N10">
        <f>IF(AND(N$1&gt;=1,N$1&lt;=Params!$B$46),Params!$B$44*(1-Params!$B$44)^(N$1-1),0)</f>
        <v/>
      </c>
      <c r="O10">
        <f>IF(AND(O$1&gt;=1,O$1&lt;=Params!$B$46),Params!$B$44*(1-Params!$B$44)^(O$1-1),0)</f>
        <v/>
      </c>
      <c r="P10">
        <f>IF(AND(P$1&gt;=1,P$1&lt;=Params!$B$46),Params!$B$44*(1-Params!$B$44)^(P$1-1),0)</f>
        <v/>
      </c>
      <c r="Q10">
        <f>IF(AND(Q$1&gt;=1,Q$1&lt;=Params!$B$46),Params!$B$44*(1-Params!$B$44)^(Q$1-1),0)</f>
        <v/>
      </c>
      <c r="R10">
        <f>IF(AND(R$1&gt;=1,R$1&lt;=Params!$B$46),Params!$B$44*(1-Params!$B$44)^(R$1-1),0)</f>
        <v/>
      </c>
      <c r="S10">
        <f>IF(AND(S$1&gt;=1,S$1&lt;=Params!$B$46),Params!$B$44*(1-Params!$B$44)^(S$1-1),0)</f>
        <v/>
      </c>
      <c r="T10">
        <f>IF(AND(T$1&gt;=1,T$1&lt;=Params!$B$46),Params!$B$44*(1-Params!$B$44)^(T$1-1),0)</f>
        <v/>
      </c>
      <c r="U10">
        <f>IF(AND(U$1&gt;=1,U$1&lt;=Params!$B$46),Params!$B$44*(1-Params!$B$44)^(U$1-1),0)</f>
        <v/>
      </c>
      <c r="V10">
        <f>IF(AND(V$1&gt;=1,V$1&lt;=Params!$B$46),Params!$B$44*(1-Params!$B$44)^(V$1-1),0)</f>
        <v/>
      </c>
      <c r="W10">
        <f>IF(AND(W$1&gt;=1,W$1&lt;=Params!$B$46),Params!$B$44*(1-Params!$B$44)^(W$1-1),0)</f>
        <v/>
      </c>
      <c r="X10">
        <f>IF(AND(X$1&gt;=1,X$1&lt;=Params!$B$46),Params!$B$44*(1-Params!$B$44)^(X$1-1),0)</f>
        <v/>
      </c>
      <c r="Y10">
        <f>IF(AND(Y$1&gt;=1,Y$1&lt;=Params!$B$46),Params!$B$44*(1-Params!$B$44)^(Y$1-1),0)</f>
        <v/>
      </c>
      <c r="Z10">
        <f>IF(AND(Z$1&gt;=1,Z$1&lt;=Params!$B$46),Params!$B$44*(1-Params!$B$44)^(Z$1-1),0)</f>
        <v/>
      </c>
      <c r="AA10">
        <f>IF(AND(AA$1&gt;=1,AA$1&lt;=Params!$B$46),Params!$B$44*(1-Params!$B$44)^(AA$1-1),0)</f>
        <v/>
      </c>
      <c r="AB10">
        <f>IF(AND(AB$1&gt;=1,AB$1&lt;=Params!$B$46),Params!$B$44*(1-Params!$B$44)^(AB$1-1),0)</f>
        <v/>
      </c>
      <c r="AC10">
        <f>IF(AND(AC$1&gt;=1,AC$1&lt;=Params!$B$46),Params!$B$44*(1-Params!$B$44)^(AC$1-1),0)</f>
        <v/>
      </c>
      <c r="AD10">
        <f>IF(AND(AD$1&gt;=1,AD$1&lt;=Params!$B$46),Params!$B$44*(1-Params!$B$44)^(AD$1-1),0)</f>
        <v/>
      </c>
      <c r="AE10">
        <f>IF(AND(AE$1&gt;=1,AE$1&lt;=Params!$B$46),Params!$B$44*(1-Params!$B$44)^(AE$1-1),0)</f>
        <v/>
      </c>
      <c r="AF10">
        <f>IF(AND(AF$1&gt;=1,AF$1&lt;=Params!$B$46),Params!$B$44*(1-Params!$B$44)^(AF$1-1),0)</f>
        <v/>
      </c>
      <c r="AG10">
        <f>IF(AND(AG$1&gt;=1,AG$1&lt;=Params!$B$46),Params!$B$44*(1-Params!$B$44)^(AG$1-1),0)</f>
        <v/>
      </c>
      <c r="AH10">
        <f>IF(AND(AH$1&gt;=1,AH$1&lt;=Params!$B$46),Params!$B$44*(1-Params!$B$44)^(AH$1-1),0)</f>
        <v/>
      </c>
      <c r="AI10">
        <f>IF(AND(AI$1&gt;=1,AI$1&lt;=Params!$B$46),Params!$B$44*(1-Params!$B$44)^(AI$1-1),0)</f>
        <v/>
      </c>
      <c r="AJ10">
        <f>IF(AND(AJ$1&gt;=1,AJ$1&lt;=Params!$B$46),Params!$B$44*(1-Params!$B$44)^(AJ$1-1),0)</f>
        <v/>
      </c>
      <c r="AK10">
        <f>IF(AND(AK$1&gt;=1,AK$1&lt;=Params!$B$46),Params!$B$44*(1-Params!$B$44)^(AK$1-1),0)</f>
        <v/>
      </c>
      <c r="AL10">
        <f>IF(AND(AL$1&gt;=1,AL$1&lt;=Params!$B$46),Params!$B$44*(1-Params!$B$44)^(AL$1-1),0)</f>
        <v/>
      </c>
      <c r="AM10">
        <f>IF(AND(AM$1&gt;=1,AM$1&lt;=Params!$B$46),Params!$B$44*(1-Params!$B$44)^(AM$1-1),0)</f>
        <v/>
      </c>
      <c r="AN10">
        <f>IF(AND(AN$1&gt;=1,AN$1&lt;=Params!$B$46),Params!$B$44*(1-Params!$B$44)^(AN$1-1),0)</f>
        <v/>
      </c>
      <c r="AO10">
        <f>IF(AND(AO$1&gt;=1,AO$1&lt;=Params!$B$46),Params!$B$44*(1-Params!$B$44)^(AO$1-1),0)</f>
        <v/>
      </c>
      <c r="AP10">
        <f>IF(AND(AP$1&gt;=1,AP$1&lt;=Params!$B$46),Params!$B$44*(1-Params!$B$44)^(AP$1-1),0)</f>
        <v/>
      </c>
      <c r="AQ10">
        <f>IF(AND(AQ$1&gt;=1,AQ$1&lt;=Params!$B$46),Params!$B$44*(1-Params!$B$44)^(AQ$1-1),0)</f>
        <v/>
      </c>
      <c r="AR10">
        <f>IF(AND(AR$1&gt;=1,AR$1&lt;=Params!$B$46),Params!$B$44*(1-Params!$B$44)^(AR$1-1),0)</f>
        <v/>
      </c>
      <c r="AS10">
        <f>IF(AND(AS$1&gt;=1,AS$1&lt;=Params!$B$46),Params!$B$44*(1-Params!$B$44)^(AS$1-1),0)</f>
        <v/>
      </c>
      <c r="AT10">
        <f>IF(AND(AT$1&gt;=1,AT$1&lt;=Params!$B$46),Params!$B$44*(1-Params!$B$44)^(AT$1-1),0)</f>
        <v/>
      </c>
      <c r="AU10">
        <f>IF(AND(AU$1&gt;=1,AU$1&lt;=Params!$B$46),Params!$B$44*(1-Params!$B$44)^(AU$1-1),0)</f>
        <v/>
      </c>
      <c r="AV10">
        <f>IF(AND(AV$1&gt;=1,AV$1&lt;=Params!$B$46),Params!$B$44*(1-Params!$B$44)^(AV$1-1),0)</f>
        <v/>
      </c>
      <c r="AW10">
        <f>IF(AND(AW$1&gt;=1,AW$1&lt;=Params!$B$46),Params!$B$44*(1-Params!$B$44)^(AW$1-1),0)</f>
        <v/>
      </c>
      <c r="AX10">
        <f>IF(AND(AX$1&gt;=1,AX$1&lt;=Params!$B$46),Params!$B$44*(1-Params!$B$44)^(AX$1-1),0)</f>
        <v/>
      </c>
      <c r="AY10">
        <f>IF(AND(AY$1&gt;=1,AY$1&lt;=Params!$B$46),Params!$B$44*(1-Params!$B$44)^(AY$1-1),0)</f>
        <v/>
      </c>
      <c r="AZ10">
        <f>IF(AND(AZ$1&gt;=1,AZ$1&lt;=Params!$B$46),Params!$B$44*(1-Params!$B$44)^(AZ$1-1),0)</f>
        <v/>
      </c>
      <c r="BA10">
        <f>IF(AND(BA$1&gt;=1,BA$1&lt;=Params!$B$46),Params!$B$44*(1-Params!$B$44)^(BA$1-1),0)</f>
        <v/>
      </c>
      <c r="BB10">
        <f>IF(AND(BB$1&gt;=1,BB$1&lt;=Params!$B$46),Params!$B$44*(1-Params!$B$44)^(BB$1-1),0)</f>
        <v/>
      </c>
      <c r="BC10">
        <f>IF(AND(BC$1&gt;=1,BC$1&lt;=Params!$B$46),Params!$B$44*(1-Params!$B$44)^(BC$1-1),0)</f>
        <v/>
      </c>
      <c r="BD10">
        <f>IF(AND(BD$1&gt;=1,BD$1&lt;=Params!$B$46),Params!$B$44*(1-Params!$B$44)^(BD$1-1),0)</f>
        <v/>
      </c>
      <c r="BE10">
        <f>IF(AND(BE$1&gt;=1,BE$1&lt;=Params!$B$46),Params!$B$44*(1-Params!$B$44)^(BE$1-1),0)</f>
        <v/>
      </c>
      <c r="BF10">
        <f>IF(AND(BF$1&gt;=1,BF$1&lt;=Params!$B$46),Params!$B$44*(1-Params!$B$44)^(BF$1-1),0)</f>
        <v/>
      </c>
      <c r="BG10">
        <f>IF(AND(BG$1&gt;=1,BG$1&lt;=Params!$B$46),Params!$B$44*(1-Params!$B$44)^(BG$1-1),0)</f>
        <v/>
      </c>
      <c r="BH10">
        <f>IF(AND(BH$1&gt;=1,BH$1&lt;=Params!$B$46),Params!$B$44*(1-Params!$B$44)^(BH$1-1),0)</f>
        <v/>
      </c>
      <c r="BI10">
        <f>IF(AND(BI$1&gt;=1,BI$1&lt;=Params!$B$46),Params!$B$44*(1-Params!$B$44)^(BI$1-1),0)</f>
        <v/>
      </c>
      <c r="BJ10">
        <f>IF(AND(BJ$1&gt;=1,BJ$1&lt;=Params!$B$46),Params!$B$44*(1-Params!$B$44)^(BJ$1-1),0)</f>
        <v/>
      </c>
      <c r="BK10">
        <f>IF(AND(BK$1&gt;=1,BK$1&lt;=Params!$B$46),Params!$B$44*(1-Params!$B$44)^(BK$1-1),0)</f>
        <v/>
      </c>
      <c r="BL10">
        <f>IF(AND(BL$1&gt;=1,BL$1&lt;=Params!$B$46),Params!$B$44*(1-Params!$B$44)^(BL$1-1),0)</f>
        <v/>
      </c>
      <c r="BM10">
        <f>IF(AND(BM$1&gt;=1,BM$1&lt;=Params!$B$46),Params!$B$44*(1-Params!$B$44)^(BM$1-1),0)</f>
        <v/>
      </c>
      <c r="BN10">
        <f>IF(AND(BN$1&gt;=1,BN$1&lt;=Params!$B$46),Params!$B$44*(1-Params!$B$44)^(BN$1-1),0)</f>
        <v/>
      </c>
      <c r="BO10">
        <f>IF(AND(BO$1&gt;=1,BO$1&lt;=Params!$B$46),Params!$B$44*(1-Params!$B$44)^(BO$1-1),0)</f>
        <v/>
      </c>
      <c r="BP10">
        <f>IF(AND(BP$1&gt;=1,BP$1&lt;=Params!$B$46),Params!$B$44*(1-Params!$B$44)^(BP$1-1),0)</f>
        <v/>
      </c>
      <c r="BQ10">
        <f>IF(AND(BQ$1&gt;=1,BQ$1&lt;=Params!$B$46),Params!$B$44*(1-Params!$B$44)^(BQ$1-1),0)</f>
        <v/>
      </c>
      <c r="BR10">
        <f>IF(AND(BR$1&gt;=1,BR$1&lt;=Params!$B$46),Params!$B$44*(1-Params!$B$44)^(BR$1-1),0)</f>
        <v/>
      </c>
      <c r="BS10">
        <f>IF(AND(BS$1&gt;=1,BS$1&lt;=Params!$B$46),Params!$B$44*(1-Params!$B$44)^(BS$1-1),0)</f>
        <v/>
      </c>
      <c r="BT10">
        <f>IF(AND(BT$1&gt;=1,BT$1&lt;=Params!$B$46),Params!$B$44*(1-Params!$B$44)^(BT$1-1),0)</f>
        <v/>
      </c>
      <c r="BU10">
        <f>IF(AND(BU$1&gt;=1,BU$1&lt;=Params!$B$46),Params!$B$44*(1-Params!$B$44)^(BU$1-1),0)</f>
        <v/>
      </c>
      <c r="BV10">
        <f>IF(AND(BV$1&gt;=1,BV$1&lt;=Params!$B$46),Params!$B$44*(1-Params!$B$44)^(BV$1-1),0)</f>
        <v/>
      </c>
    </row>
    <row r="11">
      <c r="A11" t="inlineStr">
        <is>
          <t>S_MONTHLY_Y1@0</t>
        </is>
      </c>
      <c r="C11">
        <f>IF(C$1&lt;12,C4,0)</f>
        <v/>
      </c>
      <c r="D11">
        <f>IF(D$1&lt;12,D4,0)</f>
        <v/>
      </c>
      <c r="E11">
        <f>IF(E$1&lt;12,E4,0)</f>
        <v/>
      </c>
      <c r="F11">
        <f>IF(F$1&lt;12,F4,0)</f>
        <v/>
      </c>
      <c r="G11">
        <f>IF(G$1&lt;12,G4,0)</f>
        <v/>
      </c>
      <c r="H11">
        <f>IF(H$1&lt;12,H4,0)</f>
        <v/>
      </c>
      <c r="I11">
        <f>IF(I$1&lt;12,I4,0)</f>
        <v/>
      </c>
      <c r="J11">
        <f>IF(J$1&lt;12,J4,0)</f>
        <v/>
      </c>
      <c r="K11">
        <f>IF(K$1&lt;12,K4,0)</f>
        <v/>
      </c>
      <c r="L11">
        <f>IF(L$1&lt;12,L4,0)</f>
        <v/>
      </c>
      <c r="M11">
        <f>IF(M$1&lt;12,M4,0)</f>
        <v/>
      </c>
      <c r="N11">
        <f>IF(N$1&lt;12,N4,0)</f>
        <v/>
      </c>
      <c r="O11">
        <f>IF(O$1&lt;12,O4,0)</f>
        <v/>
      </c>
      <c r="P11">
        <f>IF(P$1&lt;12,P4,0)</f>
        <v/>
      </c>
      <c r="Q11">
        <f>IF(Q$1&lt;12,Q4,0)</f>
        <v/>
      </c>
      <c r="R11">
        <f>IF(R$1&lt;12,R4,0)</f>
        <v/>
      </c>
      <c r="S11">
        <f>IF(S$1&lt;12,S4,0)</f>
        <v/>
      </c>
      <c r="T11">
        <f>IF(T$1&lt;12,T4,0)</f>
        <v/>
      </c>
      <c r="U11">
        <f>IF(U$1&lt;12,U4,0)</f>
        <v/>
      </c>
      <c r="V11">
        <f>IF(V$1&lt;12,V4,0)</f>
        <v/>
      </c>
      <c r="W11">
        <f>IF(W$1&lt;12,W4,0)</f>
        <v/>
      </c>
      <c r="X11">
        <f>IF(X$1&lt;12,X4,0)</f>
        <v/>
      </c>
      <c r="Y11">
        <f>IF(Y$1&lt;12,Y4,0)</f>
        <v/>
      </c>
      <c r="Z11">
        <f>IF(Z$1&lt;12,Z4,0)</f>
        <v/>
      </c>
      <c r="AA11">
        <f>IF(AA$1&lt;12,AA4,0)</f>
        <v/>
      </c>
      <c r="AB11">
        <f>IF(AB$1&lt;12,AB4,0)</f>
        <v/>
      </c>
      <c r="AC11">
        <f>IF(AC$1&lt;12,AC4,0)</f>
        <v/>
      </c>
      <c r="AD11">
        <f>IF(AD$1&lt;12,AD4,0)</f>
        <v/>
      </c>
      <c r="AE11">
        <f>IF(AE$1&lt;12,AE4,0)</f>
        <v/>
      </c>
      <c r="AF11">
        <f>IF(AF$1&lt;12,AF4,0)</f>
        <v/>
      </c>
      <c r="AG11">
        <f>IF(AG$1&lt;12,AG4,0)</f>
        <v/>
      </c>
      <c r="AH11">
        <f>IF(AH$1&lt;12,AH4,0)</f>
        <v/>
      </c>
      <c r="AI11">
        <f>IF(AI$1&lt;12,AI4,0)</f>
        <v/>
      </c>
      <c r="AJ11">
        <f>IF(AJ$1&lt;12,AJ4,0)</f>
        <v/>
      </c>
      <c r="AK11">
        <f>IF(AK$1&lt;12,AK4,0)</f>
        <v/>
      </c>
      <c r="AL11">
        <f>IF(AL$1&lt;12,AL4,0)</f>
        <v/>
      </c>
      <c r="AM11">
        <f>IF(AM$1&lt;12,AM4,0)</f>
        <v/>
      </c>
      <c r="AN11">
        <f>IF(AN$1&lt;12,AN4,0)</f>
        <v/>
      </c>
      <c r="AO11">
        <f>IF(AO$1&lt;12,AO4,0)</f>
        <v/>
      </c>
      <c r="AP11">
        <f>IF(AP$1&lt;12,AP4,0)</f>
        <v/>
      </c>
      <c r="AQ11">
        <f>IF(AQ$1&lt;12,AQ4,0)</f>
        <v/>
      </c>
      <c r="AR11">
        <f>IF(AR$1&lt;12,AR4,0)</f>
        <v/>
      </c>
      <c r="AS11">
        <f>IF(AS$1&lt;12,AS4,0)</f>
        <v/>
      </c>
      <c r="AT11">
        <f>IF(AT$1&lt;12,AT4,0)</f>
        <v/>
      </c>
      <c r="AU11">
        <f>IF(AU$1&lt;12,AU4,0)</f>
        <v/>
      </c>
      <c r="AV11">
        <f>IF(AV$1&lt;12,AV4,0)</f>
        <v/>
      </c>
      <c r="AW11">
        <f>IF(AW$1&lt;12,AW4,0)</f>
        <v/>
      </c>
      <c r="AX11">
        <f>IF(AX$1&lt;12,AX4,0)</f>
        <v/>
      </c>
      <c r="AY11">
        <f>IF(AY$1&lt;12,AY4,0)</f>
        <v/>
      </c>
      <c r="AZ11">
        <f>IF(AZ$1&lt;12,AZ4,0)</f>
        <v/>
      </c>
      <c r="BA11">
        <f>IF(BA$1&lt;12,BA4,0)</f>
        <v/>
      </c>
      <c r="BB11">
        <f>IF(BB$1&lt;12,BB4,0)</f>
        <v/>
      </c>
      <c r="BC11">
        <f>IF(BC$1&lt;12,BC4,0)</f>
        <v/>
      </c>
      <c r="BD11">
        <f>IF(BD$1&lt;12,BD4,0)</f>
        <v/>
      </c>
      <c r="BE11">
        <f>IF(BE$1&lt;12,BE4,0)</f>
        <v/>
      </c>
      <c r="BF11">
        <f>IF(BF$1&lt;12,BF4,0)</f>
        <v/>
      </c>
      <c r="BG11">
        <f>IF(BG$1&lt;12,BG4,0)</f>
        <v/>
      </c>
      <c r="BH11">
        <f>IF(BH$1&lt;12,BH4,0)</f>
        <v/>
      </c>
      <c r="BI11">
        <f>IF(BI$1&lt;12,BI4,0)</f>
        <v/>
      </c>
      <c r="BJ11">
        <f>IF(BJ$1&lt;12,BJ4,0)</f>
        <v/>
      </c>
      <c r="BK11">
        <f>IF(BK$1&lt;12,BK4,0)</f>
        <v/>
      </c>
      <c r="BL11">
        <f>IF(BL$1&lt;12,BL4,0)</f>
        <v/>
      </c>
      <c r="BM11">
        <f>IF(BM$1&lt;12,BM4,0)</f>
        <v/>
      </c>
      <c r="BN11">
        <f>IF(BN$1&lt;12,BN4,0)</f>
        <v/>
      </c>
      <c r="BO11">
        <f>IF(BO$1&lt;12,BO4,0)</f>
        <v/>
      </c>
      <c r="BP11">
        <f>IF(BP$1&lt;12,BP4,0)</f>
        <v/>
      </c>
      <c r="BQ11">
        <f>IF(BQ$1&lt;12,BQ4,0)</f>
        <v/>
      </c>
      <c r="BR11">
        <f>IF(BR$1&lt;12,BR4,0)</f>
        <v/>
      </c>
      <c r="BS11">
        <f>IF(BS$1&lt;12,BS4,0)</f>
        <v/>
      </c>
      <c r="BT11">
        <f>IF(BT$1&lt;12,BT4,0)</f>
        <v/>
      </c>
      <c r="BU11">
        <f>IF(BU$1&lt;12,BU4,0)</f>
        <v/>
      </c>
      <c r="BV11">
        <f>IF(BV$1&lt;12,BV4,0)</f>
        <v/>
      </c>
    </row>
    <row r="12">
      <c r="A12" t="inlineStr">
        <is>
          <t>S_ANNUAL_Y1@0</t>
        </is>
      </c>
      <c r="C12">
        <f>IF(C$1&lt;12,C5,0)</f>
        <v/>
      </c>
      <c r="D12">
        <f>IF(D$1&lt;12,D5,0)</f>
        <v/>
      </c>
      <c r="E12">
        <f>IF(E$1&lt;12,E5,0)</f>
        <v/>
      </c>
      <c r="F12">
        <f>IF(F$1&lt;12,F5,0)</f>
        <v/>
      </c>
      <c r="G12">
        <f>IF(G$1&lt;12,G5,0)</f>
        <v/>
      </c>
      <c r="H12">
        <f>IF(H$1&lt;12,H5,0)</f>
        <v/>
      </c>
      <c r="I12">
        <f>IF(I$1&lt;12,I5,0)</f>
        <v/>
      </c>
      <c r="J12">
        <f>IF(J$1&lt;12,J5,0)</f>
        <v/>
      </c>
      <c r="K12">
        <f>IF(K$1&lt;12,K5,0)</f>
        <v/>
      </c>
      <c r="L12">
        <f>IF(L$1&lt;12,L5,0)</f>
        <v/>
      </c>
      <c r="M12">
        <f>IF(M$1&lt;12,M5,0)</f>
        <v/>
      </c>
      <c r="N12">
        <f>IF(N$1&lt;12,N5,0)</f>
        <v/>
      </c>
      <c r="O12">
        <f>IF(O$1&lt;12,O5,0)</f>
        <v/>
      </c>
      <c r="P12">
        <f>IF(P$1&lt;12,P5,0)</f>
        <v/>
      </c>
      <c r="Q12">
        <f>IF(Q$1&lt;12,Q5,0)</f>
        <v/>
      </c>
      <c r="R12">
        <f>IF(R$1&lt;12,R5,0)</f>
        <v/>
      </c>
      <c r="S12">
        <f>IF(S$1&lt;12,S5,0)</f>
        <v/>
      </c>
      <c r="T12">
        <f>IF(T$1&lt;12,T5,0)</f>
        <v/>
      </c>
      <c r="U12">
        <f>IF(U$1&lt;12,U5,0)</f>
        <v/>
      </c>
      <c r="V12">
        <f>IF(V$1&lt;12,V5,0)</f>
        <v/>
      </c>
      <c r="W12">
        <f>IF(W$1&lt;12,W5,0)</f>
        <v/>
      </c>
      <c r="X12">
        <f>IF(X$1&lt;12,X5,0)</f>
        <v/>
      </c>
      <c r="Y12">
        <f>IF(Y$1&lt;12,Y5,0)</f>
        <v/>
      </c>
      <c r="Z12">
        <f>IF(Z$1&lt;12,Z5,0)</f>
        <v/>
      </c>
      <c r="AA12">
        <f>IF(AA$1&lt;12,AA5,0)</f>
        <v/>
      </c>
      <c r="AB12">
        <f>IF(AB$1&lt;12,AB5,0)</f>
        <v/>
      </c>
      <c r="AC12">
        <f>IF(AC$1&lt;12,AC5,0)</f>
        <v/>
      </c>
      <c r="AD12">
        <f>IF(AD$1&lt;12,AD5,0)</f>
        <v/>
      </c>
      <c r="AE12">
        <f>IF(AE$1&lt;12,AE5,0)</f>
        <v/>
      </c>
      <c r="AF12">
        <f>IF(AF$1&lt;12,AF5,0)</f>
        <v/>
      </c>
      <c r="AG12">
        <f>IF(AG$1&lt;12,AG5,0)</f>
        <v/>
      </c>
      <c r="AH12">
        <f>IF(AH$1&lt;12,AH5,0)</f>
        <v/>
      </c>
      <c r="AI12">
        <f>IF(AI$1&lt;12,AI5,0)</f>
        <v/>
      </c>
      <c r="AJ12">
        <f>IF(AJ$1&lt;12,AJ5,0)</f>
        <v/>
      </c>
      <c r="AK12">
        <f>IF(AK$1&lt;12,AK5,0)</f>
        <v/>
      </c>
      <c r="AL12">
        <f>IF(AL$1&lt;12,AL5,0)</f>
        <v/>
      </c>
      <c r="AM12">
        <f>IF(AM$1&lt;12,AM5,0)</f>
        <v/>
      </c>
      <c r="AN12">
        <f>IF(AN$1&lt;12,AN5,0)</f>
        <v/>
      </c>
      <c r="AO12">
        <f>IF(AO$1&lt;12,AO5,0)</f>
        <v/>
      </c>
      <c r="AP12">
        <f>IF(AP$1&lt;12,AP5,0)</f>
        <v/>
      </c>
      <c r="AQ12">
        <f>IF(AQ$1&lt;12,AQ5,0)</f>
        <v/>
      </c>
      <c r="AR12">
        <f>IF(AR$1&lt;12,AR5,0)</f>
        <v/>
      </c>
      <c r="AS12">
        <f>IF(AS$1&lt;12,AS5,0)</f>
        <v/>
      </c>
      <c r="AT12">
        <f>IF(AT$1&lt;12,AT5,0)</f>
        <v/>
      </c>
      <c r="AU12">
        <f>IF(AU$1&lt;12,AU5,0)</f>
        <v/>
      </c>
      <c r="AV12">
        <f>IF(AV$1&lt;12,AV5,0)</f>
        <v/>
      </c>
      <c r="AW12">
        <f>IF(AW$1&lt;12,AW5,0)</f>
        <v/>
      </c>
      <c r="AX12">
        <f>IF(AX$1&lt;12,AX5,0)</f>
        <v/>
      </c>
      <c r="AY12">
        <f>IF(AY$1&lt;12,AY5,0)</f>
        <v/>
      </c>
      <c r="AZ12">
        <f>IF(AZ$1&lt;12,AZ5,0)</f>
        <v/>
      </c>
      <c r="BA12">
        <f>IF(BA$1&lt;12,BA5,0)</f>
        <v/>
      </c>
      <c r="BB12">
        <f>IF(BB$1&lt;12,BB5,0)</f>
        <v/>
      </c>
      <c r="BC12">
        <f>IF(BC$1&lt;12,BC5,0)</f>
        <v/>
      </c>
      <c r="BD12">
        <f>IF(BD$1&lt;12,BD5,0)</f>
        <v/>
      </c>
      <c r="BE12">
        <f>IF(BE$1&lt;12,BE5,0)</f>
        <v/>
      </c>
      <c r="BF12">
        <f>IF(BF$1&lt;12,BF5,0)</f>
        <v/>
      </c>
      <c r="BG12">
        <f>IF(BG$1&lt;12,BG5,0)</f>
        <v/>
      </c>
      <c r="BH12">
        <f>IF(BH$1&lt;12,BH5,0)</f>
        <v/>
      </c>
      <c r="BI12">
        <f>IF(BI$1&lt;12,BI5,0)</f>
        <v/>
      </c>
      <c r="BJ12">
        <f>IF(BJ$1&lt;12,BJ5,0)</f>
        <v/>
      </c>
      <c r="BK12">
        <f>IF(BK$1&lt;12,BK5,0)</f>
        <v/>
      </c>
      <c r="BL12">
        <f>IF(BL$1&lt;12,BL5,0)</f>
        <v/>
      </c>
      <c r="BM12">
        <f>IF(BM$1&lt;12,BM5,0)</f>
        <v/>
      </c>
      <c r="BN12">
        <f>IF(BN$1&lt;12,BN5,0)</f>
        <v/>
      </c>
      <c r="BO12">
        <f>IF(BO$1&lt;12,BO5,0)</f>
        <v/>
      </c>
      <c r="BP12">
        <f>IF(BP$1&lt;12,BP5,0)</f>
        <v/>
      </c>
      <c r="BQ12">
        <f>IF(BQ$1&lt;12,BQ5,0)</f>
        <v/>
      </c>
      <c r="BR12">
        <f>IF(BR$1&lt;12,BR5,0)</f>
        <v/>
      </c>
      <c r="BS12">
        <f>IF(BS$1&lt;12,BS5,0)</f>
        <v/>
      </c>
      <c r="BT12">
        <f>IF(BT$1&lt;12,BT5,0)</f>
        <v/>
      </c>
      <c r="BU12">
        <f>IF(BU$1&lt;12,BU5,0)</f>
        <v/>
      </c>
      <c r="BV12">
        <f>IF(BV$1&lt;12,BV5,0)</f>
        <v/>
      </c>
    </row>
    <row r="13">
      <c r="A13" t="inlineStr">
        <is>
          <t>S_REACT_Y1@0</t>
        </is>
      </c>
      <c r="C13">
        <f>IF(C$1&lt;12,C8,0)</f>
        <v/>
      </c>
      <c r="D13">
        <f>IF(D$1&lt;12,D8,0)</f>
        <v/>
      </c>
      <c r="E13">
        <f>IF(E$1&lt;12,E8,0)</f>
        <v/>
      </c>
      <c r="F13">
        <f>IF(F$1&lt;12,F8,0)</f>
        <v/>
      </c>
      <c r="G13">
        <f>IF(G$1&lt;12,G8,0)</f>
        <v/>
      </c>
      <c r="H13">
        <f>IF(H$1&lt;12,H8,0)</f>
        <v/>
      </c>
      <c r="I13">
        <f>IF(I$1&lt;12,I8,0)</f>
        <v/>
      </c>
      <c r="J13">
        <f>IF(J$1&lt;12,J8,0)</f>
        <v/>
      </c>
      <c r="K13">
        <f>IF(K$1&lt;12,K8,0)</f>
        <v/>
      </c>
      <c r="L13">
        <f>IF(L$1&lt;12,L8,0)</f>
        <v/>
      </c>
      <c r="M13">
        <f>IF(M$1&lt;12,M8,0)</f>
        <v/>
      </c>
      <c r="N13">
        <f>IF(N$1&lt;12,N8,0)</f>
        <v/>
      </c>
      <c r="O13">
        <f>IF(O$1&lt;12,O8,0)</f>
        <v/>
      </c>
      <c r="P13">
        <f>IF(P$1&lt;12,P8,0)</f>
        <v/>
      </c>
      <c r="Q13">
        <f>IF(Q$1&lt;12,Q8,0)</f>
        <v/>
      </c>
      <c r="R13">
        <f>IF(R$1&lt;12,R8,0)</f>
        <v/>
      </c>
      <c r="S13">
        <f>IF(S$1&lt;12,S8,0)</f>
        <v/>
      </c>
      <c r="T13">
        <f>IF(T$1&lt;12,T8,0)</f>
        <v/>
      </c>
      <c r="U13">
        <f>IF(U$1&lt;12,U8,0)</f>
        <v/>
      </c>
      <c r="V13">
        <f>IF(V$1&lt;12,V8,0)</f>
        <v/>
      </c>
      <c r="W13">
        <f>IF(W$1&lt;12,W8,0)</f>
        <v/>
      </c>
      <c r="X13">
        <f>IF(X$1&lt;12,X8,0)</f>
        <v/>
      </c>
      <c r="Y13">
        <f>IF(Y$1&lt;12,Y8,0)</f>
        <v/>
      </c>
      <c r="Z13">
        <f>IF(Z$1&lt;12,Z8,0)</f>
        <v/>
      </c>
      <c r="AA13">
        <f>IF(AA$1&lt;12,AA8,0)</f>
        <v/>
      </c>
      <c r="AB13">
        <f>IF(AB$1&lt;12,AB8,0)</f>
        <v/>
      </c>
      <c r="AC13">
        <f>IF(AC$1&lt;12,AC8,0)</f>
        <v/>
      </c>
      <c r="AD13">
        <f>IF(AD$1&lt;12,AD8,0)</f>
        <v/>
      </c>
      <c r="AE13">
        <f>IF(AE$1&lt;12,AE8,0)</f>
        <v/>
      </c>
      <c r="AF13">
        <f>IF(AF$1&lt;12,AF8,0)</f>
        <v/>
      </c>
      <c r="AG13">
        <f>IF(AG$1&lt;12,AG8,0)</f>
        <v/>
      </c>
      <c r="AH13">
        <f>IF(AH$1&lt;12,AH8,0)</f>
        <v/>
      </c>
      <c r="AI13">
        <f>IF(AI$1&lt;12,AI8,0)</f>
        <v/>
      </c>
      <c r="AJ13">
        <f>IF(AJ$1&lt;12,AJ8,0)</f>
        <v/>
      </c>
      <c r="AK13">
        <f>IF(AK$1&lt;12,AK8,0)</f>
        <v/>
      </c>
      <c r="AL13">
        <f>IF(AL$1&lt;12,AL8,0)</f>
        <v/>
      </c>
      <c r="AM13">
        <f>IF(AM$1&lt;12,AM8,0)</f>
        <v/>
      </c>
      <c r="AN13">
        <f>IF(AN$1&lt;12,AN8,0)</f>
        <v/>
      </c>
      <c r="AO13">
        <f>IF(AO$1&lt;12,AO8,0)</f>
        <v/>
      </c>
      <c r="AP13">
        <f>IF(AP$1&lt;12,AP8,0)</f>
        <v/>
      </c>
      <c r="AQ13">
        <f>IF(AQ$1&lt;12,AQ8,0)</f>
        <v/>
      </c>
      <c r="AR13">
        <f>IF(AR$1&lt;12,AR8,0)</f>
        <v/>
      </c>
      <c r="AS13">
        <f>IF(AS$1&lt;12,AS8,0)</f>
        <v/>
      </c>
      <c r="AT13">
        <f>IF(AT$1&lt;12,AT8,0)</f>
        <v/>
      </c>
      <c r="AU13">
        <f>IF(AU$1&lt;12,AU8,0)</f>
        <v/>
      </c>
      <c r="AV13">
        <f>IF(AV$1&lt;12,AV8,0)</f>
        <v/>
      </c>
      <c r="AW13">
        <f>IF(AW$1&lt;12,AW8,0)</f>
        <v/>
      </c>
      <c r="AX13">
        <f>IF(AX$1&lt;12,AX8,0)</f>
        <v/>
      </c>
      <c r="AY13">
        <f>IF(AY$1&lt;12,AY8,0)</f>
        <v/>
      </c>
      <c r="AZ13">
        <f>IF(AZ$1&lt;12,AZ8,0)</f>
        <v/>
      </c>
      <c r="BA13">
        <f>IF(BA$1&lt;12,BA8,0)</f>
        <v/>
      </c>
      <c r="BB13">
        <f>IF(BB$1&lt;12,BB8,0)</f>
        <v/>
      </c>
      <c r="BC13">
        <f>IF(BC$1&lt;12,BC8,0)</f>
        <v/>
      </c>
      <c r="BD13">
        <f>IF(BD$1&lt;12,BD8,0)</f>
        <v/>
      </c>
      <c r="BE13">
        <f>IF(BE$1&lt;12,BE8,0)</f>
        <v/>
      </c>
      <c r="BF13">
        <f>IF(BF$1&lt;12,BF8,0)</f>
        <v/>
      </c>
      <c r="BG13">
        <f>IF(BG$1&lt;12,BG8,0)</f>
        <v/>
      </c>
      <c r="BH13">
        <f>IF(BH$1&lt;12,BH8,0)</f>
        <v/>
      </c>
      <c r="BI13">
        <f>IF(BI$1&lt;12,BI8,0)</f>
        <v/>
      </c>
      <c r="BJ13">
        <f>IF(BJ$1&lt;12,BJ8,0)</f>
        <v/>
      </c>
      <c r="BK13">
        <f>IF(BK$1&lt;12,BK8,0)</f>
        <v/>
      </c>
      <c r="BL13">
        <f>IF(BL$1&lt;12,BL8,0)</f>
        <v/>
      </c>
      <c r="BM13">
        <f>IF(BM$1&lt;12,BM8,0)</f>
        <v/>
      </c>
      <c r="BN13">
        <f>IF(BN$1&lt;12,BN8,0)</f>
        <v/>
      </c>
      <c r="BO13">
        <f>IF(BO$1&lt;12,BO8,0)</f>
        <v/>
      </c>
      <c r="BP13">
        <f>IF(BP$1&lt;12,BP8,0)</f>
        <v/>
      </c>
      <c r="BQ13">
        <f>IF(BQ$1&lt;12,BQ8,0)</f>
        <v/>
      </c>
      <c r="BR13">
        <f>IF(BR$1&lt;12,BR8,0)</f>
        <v/>
      </c>
      <c r="BS13">
        <f>IF(BS$1&lt;12,BS8,0)</f>
        <v/>
      </c>
      <c r="BT13">
        <f>IF(BT$1&lt;12,BT8,0)</f>
        <v/>
      </c>
      <c r="BU13">
        <f>IF(BU$1&lt;12,BU8,0)</f>
        <v/>
      </c>
      <c r="BV13">
        <f>IF(BV$1&lt;12,BV8,0)</f>
        <v/>
      </c>
    </row>
    <row r="15">
      <c r="A15" t="inlineStr">
        <is>
          <t>S_MONTHLY@0 reversed</t>
        </is>
      </c>
      <c r="C15">
        <f>INDEX($C$4:$BV$4,72)</f>
        <v/>
      </c>
      <c r="D15">
        <f>INDEX($C$4:$BV$4,71)</f>
        <v/>
      </c>
      <c r="E15">
        <f>INDEX($C$4:$BV$4,70)</f>
        <v/>
      </c>
      <c r="F15">
        <f>INDEX($C$4:$BV$4,69)</f>
        <v/>
      </c>
      <c r="G15">
        <f>INDEX($C$4:$BV$4,68)</f>
        <v/>
      </c>
      <c r="H15">
        <f>INDEX($C$4:$BV$4,67)</f>
        <v/>
      </c>
      <c r="I15">
        <f>INDEX($C$4:$BV$4,66)</f>
        <v/>
      </c>
      <c r="J15">
        <f>INDEX($C$4:$BV$4,65)</f>
        <v/>
      </c>
      <c r="K15">
        <f>INDEX($C$4:$BV$4,64)</f>
        <v/>
      </c>
      <c r="L15">
        <f>INDEX($C$4:$BV$4,63)</f>
        <v/>
      </c>
      <c r="M15">
        <f>INDEX($C$4:$BV$4,62)</f>
        <v/>
      </c>
      <c r="N15">
        <f>INDEX($C$4:$BV$4,61)</f>
        <v/>
      </c>
      <c r="O15">
        <f>INDEX($C$4:$BV$4,60)</f>
        <v/>
      </c>
      <c r="P15">
        <f>INDEX($C$4:$BV$4,59)</f>
        <v/>
      </c>
      <c r="Q15">
        <f>INDEX($C$4:$BV$4,58)</f>
        <v/>
      </c>
      <c r="R15">
        <f>INDEX($C$4:$BV$4,57)</f>
        <v/>
      </c>
      <c r="S15">
        <f>INDEX($C$4:$BV$4,56)</f>
        <v/>
      </c>
      <c r="T15">
        <f>INDEX($C$4:$BV$4,55)</f>
        <v/>
      </c>
      <c r="U15">
        <f>INDEX($C$4:$BV$4,54)</f>
        <v/>
      </c>
      <c r="V15">
        <f>INDEX($C$4:$BV$4,53)</f>
        <v/>
      </c>
      <c r="W15">
        <f>INDEX($C$4:$BV$4,52)</f>
        <v/>
      </c>
      <c r="X15">
        <f>INDEX($C$4:$BV$4,51)</f>
        <v/>
      </c>
      <c r="Y15">
        <f>INDEX($C$4:$BV$4,50)</f>
        <v/>
      </c>
      <c r="Z15">
        <f>INDEX($C$4:$BV$4,49)</f>
        <v/>
      </c>
      <c r="AA15">
        <f>INDEX($C$4:$BV$4,48)</f>
        <v/>
      </c>
      <c r="AB15">
        <f>INDEX($C$4:$BV$4,47)</f>
        <v/>
      </c>
      <c r="AC15">
        <f>INDEX($C$4:$BV$4,46)</f>
        <v/>
      </c>
      <c r="AD15">
        <f>INDEX($C$4:$BV$4,45)</f>
        <v/>
      </c>
      <c r="AE15">
        <f>INDEX($C$4:$BV$4,44)</f>
        <v/>
      </c>
      <c r="AF15">
        <f>INDEX($C$4:$BV$4,43)</f>
        <v/>
      </c>
      <c r="AG15">
        <f>INDEX($C$4:$BV$4,42)</f>
        <v/>
      </c>
      <c r="AH15">
        <f>INDEX($C$4:$BV$4,41)</f>
        <v/>
      </c>
      <c r="AI15">
        <f>INDEX($C$4:$BV$4,40)</f>
        <v/>
      </c>
      <c r="AJ15">
        <f>INDEX($C$4:$BV$4,39)</f>
        <v/>
      </c>
      <c r="AK15">
        <f>INDEX($C$4:$BV$4,38)</f>
        <v/>
      </c>
      <c r="AL15">
        <f>INDEX($C$4:$BV$4,37)</f>
        <v/>
      </c>
      <c r="AM15">
        <f>INDEX($C$4:$BV$4,36)</f>
        <v/>
      </c>
      <c r="AN15">
        <f>INDEX($C$4:$BV$4,35)</f>
        <v/>
      </c>
      <c r="AO15">
        <f>INDEX($C$4:$BV$4,34)</f>
        <v/>
      </c>
      <c r="AP15">
        <f>INDEX($C$4:$BV$4,33)</f>
        <v/>
      </c>
      <c r="AQ15">
        <f>INDEX($C$4:$BV$4,32)</f>
        <v/>
      </c>
      <c r="AR15">
        <f>INDEX($C$4:$BV$4,31)</f>
        <v/>
      </c>
      <c r="AS15">
        <f>INDEX($C$4:$BV$4,30)</f>
        <v/>
      </c>
      <c r="AT15">
        <f>INDEX($C$4:$BV$4,29)</f>
        <v/>
      </c>
      <c r="AU15">
        <f>INDEX($C$4:$BV$4,28)</f>
        <v/>
      </c>
      <c r="AV15">
        <f>INDEX($C$4:$BV$4,27)</f>
        <v/>
      </c>
      <c r="AW15">
        <f>INDEX($C$4:$BV$4,26)</f>
        <v/>
      </c>
      <c r="AX15">
        <f>INDEX($C$4:$BV$4,25)</f>
        <v/>
      </c>
      <c r="AY15">
        <f>INDEX($C$4:$BV$4,24)</f>
        <v/>
      </c>
      <c r="AZ15">
        <f>INDEX($C$4:$BV$4,23)</f>
        <v/>
      </c>
      <c r="BA15">
        <f>INDEX($C$4:$BV$4,22)</f>
        <v/>
      </c>
      <c r="BB15">
        <f>INDEX($C$4:$BV$4,21)</f>
        <v/>
      </c>
      <c r="BC15">
        <f>INDEX($C$4:$BV$4,20)</f>
        <v/>
      </c>
      <c r="BD15">
        <f>INDEX($C$4:$BV$4,19)</f>
        <v/>
      </c>
      <c r="BE15">
        <f>INDEX($C$4:$BV$4,18)</f>
        <v/>
      </c>
      <c r="BF15">
        <f>INDEX($C$4:$BV$4,17)</f>
        <v/>
      </c>
      <c r="BG15">
        <f>INDEX($C$4:$BV$4,16)</f>
        <v/>
      </c>
      <c r="BH15">
        <f>INDEX($C$4:$BV$4,15)</f>
        <v/>
      </c>
      <c r="BI15">
        <f>INDEX($C$4:$BV$4,14)</f>
        <v/>
      </c>
      <c r="BJ15">
        <f>INDEX($C$4:$BV$4,13)</f>
        <v/>
      </c>
      <c r="BK15">
        <f>INDEX($C$4:$BV$4,12)</f>
        <v/>
      </c>
      <c r="BL15">
        <f>INDEX($C$4:$BV$4,11)</f>
        <v/>
      </c>
      <c r="BM15">
        <f>INDEX($C$4:$BV$4,10)</f>
        <v/>
      </c>
      <c r="BN15">
        <f>INDEX($C$4:$BV$4,9)</f>
        <v/>
      </c>
      <c r="BO15">
        <f>INDEX($C$4:$BV$4,8)</f>
        <v/>
      </c>
      <c r="BP15">
        <f>INDEX($C$4:$BV$4,7)</f>
        <v/>
      </c>
      <c r="BQ15">
        <f>INDEX($C$4:$BV$4,6)</f>
        <v/>
      </c>
      <c r="BR15">
        <f>INDEX($C$4:$BV$4,5)</f>
        <v/>
      </c>
      <c r="BS15">
        <f>INDEX($C$4:$BV$4,4)</f>
        <v/>
      </c>
      <c r="BT15">
        <f>INDEX($C$4:$BV$4,3)</f>
        <v/>
      </c>
      <c r="BU15">
        <f>INDEX($C$4:$BV$4,2)</f>
        <v/>
      </c>
      <c r="BV15">
        <f>INDEX($C$4:$BV$4,1)</f>
        <v/>
      </c>
    </row>
    <row r="16">
      <c r="A16" t="inlineStr">
        <is>
          <t>S_ANNUAL@0 reversed</t>
        </is>
      </c>
      <c r="C16">
        <f>INDEX($C$5:$BV$5,72)</f>
        <v/>
      </c>
      <c r="D16">
        <f>INDEX($C$5:$BV$5,71)</f>
        <v/>
      </c>
      <c r="E16">
        <f>INDEX($C$5:$BV$5,70)</f>
        <v/>
      </c>
      <c r="F16">
        <f>INDEX($C$5:$BV$5,69)</f>
        <v/>
      </c>
      <c r="G16">
        <f>INDEX($C$5:$BV$5,68)</f>
        <v/>
      </c>
      <c r="H16">
        <f>INDEX($C$5:$BV$5,67)</f>
        <v/>
      </c>
      <c r="I16">
        <f>INDEX($C$5:$BV$5,66)</f>
        <v/>
      </c>
      <c r="J16">
        <f>INDEX($C$5:$BV$5,65)</f>
        <v/>
      </c>
      <c r="K16">
        <f>INDEX($C$5:$BV$5,64)</f>
        <v/>
      </c>
      <c r="L16">
        <f>INDEX($C$5:$BV$5,63)</f>
        <v/>
      </c>
      <c r="M16">
        <f>INDEX($C$5:$BV$5,62)</f>
        <v/>
      </c>
      <c r="N16">
        <f>INDEX($C$5:$BV$5,61)</f>
        <v/>
      </c>
      <c r="O16">
        <f>INDEX($C$5:$BV$5,60)</f>
        <v/>
      </c>
      <c r="P16">
        <f>INDEX($C$5:$BV$5,59)</f>
        <v/>
      </c>
      <c r="Q16">
        <f>INDEX($C$5:$BV$5,58)</f>
        <v/>
      </c>
      <c r="R16">
        <f>INDEX($C$5:$BV$5,57)</f>
        <v/>
      </c>
      <c r="S16">
        <f>INDEX($C$5:$BV$5,56)</f>
        <v/>
      </c>
      <c r="T16">
        <f>INDEX($C$5:$BV$5,55)</f>
        <v/>
      </c>
      <c r="U16">
        <f>INDEX($C$5:$BV$5,54)</f>
        <v/>
      </c>
      <c r="V16">
        <f>INDEX($C$5:$BV$5,53)</f>
        <v/>
      </c>
      <c r="W16">
        <f>INDEX($C$5:$BV$5,52)</f>
        <v/>
      </c>
      <c r="X16">
        <f>INDEX($C$5:$BV$5,51)</f>
        <v/>
      </c>
      <c r="Y16">
        <f>INDEX($C$5:$BV$5,50)</f>
        <v/>
      </c>
      <c r="Z16">
        <f>INDEX($C$5:$BV$5,49)</f>
        <v/>
      </c>
      <c r="AA16">
        <f>INDEX($C$5:$BV$5,48)</f>
        <v/>
      </c>
      <c r="AB16">
        <f>INDEX($C$5:$BV$5,47)</f>
        <v/>
      </c>
      <c r="AC16">
        <f>INDEX($C$5:$BV$5,46)</f>
        <v/>
      </c>
      <c r="AD16">
        <f>INDEX($C$5:$BV$5,45)</f>
        <v/>
      </c>
      <c r="AE16">
        <f>INDEX($C$5:$BV$5,44)</f>
        <v/>
      </c>
      <c r="AF16">
        <f>INDEX($C$5:$BV$5,43)</f>
        <v/>
      </c>
      <c r="AG16">
        <f>INDEX($C$5:$BV$5,42)</f>
        <v/>
      </c>
      <c r="AH16">
        <f>INDEX($C$5:$BV$5,41)</f>
        <v/>
      </c>
      <c r="AI16">
        <f>INDEX($C$5:$BV$5,40)</f>
        <v/>
      </c>
      <c r="AJ16">
        <f>INDEX($C$5:$BV$5,39)</f>
        <v/>
      </c>
      <c r="AK16">
        <f>INDEX($C$5:$BV$5,38)</f>
        <v/>
      </c>
      <c r="AL16">
        <f>INDEX($C$5:$BV$5,37)</f>
        <v/>
      </c>
      <c r="AM16">
        <f>INDEX($C$5:$BV$5,36)</f>
        <v/>
      </c>
      <c r="AN16">
        <f>INDEX($C$5:$BV$5,35)</f>
        <v/>
      </c>
      <c r="AO16">
        <f>INDEX($C$5:$BV$5,34)</f>
        <v/>
      </c>
      <c r="AP16">
        <f>INDEX($C$5:$BV$5,33)</f>
        <v/>
      </c>
      <c r="AQ16">
        <f>INDEX($C$5:$BV$5,32)</f>
        <v/>
      </c>
      <c r="AR16">
        <f>INDEX($C$5:$BV$5,31)</f>
        <v/>
      </c>
      <c r="AS16">
        <f>INDEX($C$5:$BV$5,30)</f>
        <v/>
      </c>
      <c r="AT16">
        <f>INDEX($C$5:$BV$5,29)</f>
        <v/>
      </c>
      <c r="AU16">
        <f>INDEX($C$5:$BV$5,28)</f>
        <v/>
      </c>
      <c r="AV16">
        <f>INDEX($C$5:$BV$5,27)</f>
        <v/>
      </c>
      <c r="AW16">
        <f>INDEX($C$5:$BV$5,26)</f>
        <v/>
      </c>
      <c r="AX16">
        <f>INDEX($C$5:$BV$5,25)</f>
        <v/>
      </c>
      <c r="AY16">
        <f>INDEX($C$5:$BV$5,24)</f>
        <v/>
      </c>
      <c r="AZ16">
        <f>INDEX($C$5:$BV$5,23)</f>
        <v/>
      </c>
      <c r="BA16">
        <f>INDEX($C$5:$BV$5,22)</f>
        <v/>
      </c>
      <c r="BB16">
        <f>INDEX($C$5:$BV$5,21)</f>
        <v/>
      </c>
      <c r="BC16">
        <f>INDEX($C$5:$BV$5,20)</f>
        <v/>
      </c>
      <c r="BD16">
        <f>INDEX($C$5:$BV$5,19)</f>
        <v/>
      </c>
      <c r="BE16">
        <f>INDEX($C$5:$BV$5,18)</f>
        <v/>
      </c>
      <c r="BF16">
        <f>INDEX($C$5:$BV$5,17)</f>
        <v/>
      </c>
      <c r="BG16">
        <f>INDEX($C$5:$BV$5,16)</f>
        <v/>
      </c>
      <c r="BH16">
        <f>INDEX($C$5:$BV$5,15)</f>
        <v/>
      </c>
      <c r="BI16">
        <f>INDEX($C$5:$BV$5,14)</f>
        <v/>
      </c>
      <c r="BJ16">
        <f>INDEX($C$5:$BV$5,13)</f>
        <v/>
      </c>
      <c r="BK16">
        <f>INDEX($C$5:$BV$5,12)</f>
        <v/>
      </c>
      <c r="BL16">
        <f>INDEX($C$5:$BV$5,11)</f>
        <v/>
      </c>
      <c r="BM16">
        <f>INDEX($C$5:$BV$5,10)</f>
        <v/>
      </c>
      <c r="BN16">
        <f>INDEX($C$5:$BV$5,9)</f>
        <v/>
      </c>
      <c r="BO16">
        <f>INDEX($C$5:$BV$5,8)</f>
        <v/>
      </c>
      <c r="BP16">
        <f>INDEX($C$5:$BV$5,7)</f>
        <v/>
      </c>
      <c r="BQ16">
        <f>INDEX($C$5:$BV$5,6)</f>
        <v/>
      </c>
      <c r="BR16">
        <f>INDEX($C$5:$BV$5,5)</f>
        <v/>
      </c>
      <c r="BS16">
        <f>INDEX($C$5:$BV$5,4)</f>
        <v/>
      </c>
      <c r="BT16">
        <f>INDEX($C$5:$BV$5,3)</f>
        <v/>
      </c>
      <c r="BU16">
        <f>INDEX($C$5:$BV$5,2)</f>
        <v/>
      </c>
      <c r="BV16">
        <f>INDEX($C$5:$BV$5,1)</f>
        <v/>
      </c>
    </row>
    <row r="17">
      <c r="A17" t="inlineStr">
        <is>
          <t>D_MONTHLY@0 reversed</t>
        </is>
      </c>
      <c r="C17">
        <f>INDEX($C$6:$BV$6,72)</f>
        <v/>
      </c>
      <c r="D17">
        <f>INDEX($C$6:$BV$6,71)</f>
        <v/>
      </c>
      <c r="E17">
        <f>INDEX($C$6:$BV$6,70)</f>
        <v/>
      </c>
      <c r="F17">
        <f>INDEX($C$6:$BV$6,69)</f>
        <v/>
      </c>
      <c r="G17">
        <f>INDEX($C$6:$BV$6,68)</f>
        <v/>
      </c>
      <c r="H17">
        <f>INDEX($C$6:$BV$6,67)</f>
        <v/>
      </c>
      <c r="I17">
        <f>INDEX($C$6:$BV$6,66)</f>
        <v/>
      </c>
      <c r="J17">
        <f>INDEX($C$6:$BV$6,65)</f>
        <v/>
      </c>
      <c r="K17">
        <f>INDEX($C$6:$BV$6,64)</f>
        <v/>
      </c>
      <c r="L17">
        <f>INDEX($C$6:$BV$6,63)</f>
        <v/>
      </c>
      <c r="M17">
        <f>INDEX($C$6:$BV$6,62)</f>
        <v/>
      </c>
      <c r="N17">
        <f>INDEX($C$6:$BV$6,61)</f>
        <v/>
      </c>
      <c r="O17">
        <f>INDEX($C$6:$BV$6,60)</f>
        <v/>
      </c>
      <c r="P17">
        <f>INDEX($C$6:$BV$6,59)</f>
        <v/>
      </c>
      <c r="Q17">
        <f>INDEX($C$6:$BV$6,58)</f>
        <v/>
      </c>
      <c r="R17">
        <f>INDEX($C$6:$BV$6,57)</f>
        <v/>
      </c>
      <c r="S17">
        <f>INDEX($C$6:$BV$6,56)</f>
        <v/>
      </c>
      <c r="T17">
        <f>INDEX($C$6:$BV$6,55)</f>
        <v/>
      </c>
      <c r="U17">
        <f>INDEX($C$6:$BV$6,54)</f>
        <v/>
      </c>
      <c r="V17">
        <f>INDEX($C$6:$BV$6,53)</f>
        <v/>
      </c>
      <c r="W17">
        <f>INDEX($C$6:$BV$6,52)</f>
        <v/>
      </c>
      <c r="X17">
        <f>INDEX($C$6:$BV$6,51)</f>
        <v/>
      </c>
      <c r="Y17">
        <f>INDEX($C$6:$BV$6,50)</f>
        <v/>
      </c>
      <c r="Z17">
        <f>INDEX($C$6:$BV$6,49)</f>
        <v/>
      </c>
      <c r="AA17">
        <f>INDEX($C$6:$BV$6,48)</f>
        <v/>
      </c>
      <c r="AB17">
        <f>INDEX($C$6:$BV$6,47)</f>
        <v/>
      </c>
      <c r="AC17">
        <f>INDEX($C$6:$BV$6,46)</f>
        <v/>
      </c>
      <c r="AD17">
        <f>INDEX($C$6:$BV$6,45)</f>
        <v/>
      </c>
      <c r="AE17">
        <f>INDEX($C$6:$BV$6,44)</f>
        <v/>
      </c>
      <c r="AF17">
        <f>INDEX($C$6:$BV$6,43)</f>
        <v/>
      </c>
      <c r="AG17">
        <f>INDEX($C$6:$BV$6,42)</f>
        <v/>
      </c>
      <c r="AH17">
        <f>INDEX($C$6:$BV$6,41)</f>
        <v/>
      </c>
      <c r="AI17">
        <f>INDEX($C$6:$BV$6,40)</f>
        <v/>
      </c>
      <c r="AJ17">
        <f>INDEX($C$6:$BV$6,39)</f>
        <v/>
      </c>
      <c r="AK17">
        <f>INDEX($C$6:$BV$6,38)</f>
        <v/>
      </c>
      <c r="AL17">
        <f>INDEX($C$6:$BV$6,37)</f>
        <v/>
      </c>
      <c r="AM17">
        <f>INDEX($C$6:$BV$6,36)</f>
        <v/>
      </c>
      <c r="AN17">
        <f>INDEX($C$6:$BV$6,35)</f>
        <v/>
      </c>
      <c r="AO17">
        <f>INDEX($C$6:$BV$6,34)</f>
        <v/>
      </c>
      <c r="AP17">
        <f>INDEX($C$6:$BV$6,33)</f>
        <v/>
      </c>
      <c r="AQ17">
        <f>INDEX($C$6:$BV$6,32)</f>
        <v/>
      </c>
      <c r="AR17">
        <f>INDEX($C$6:$BV$6,31)</f>
        <v/>
      </c>
      <c r="AS17">
        <f>INDEX($C$6:$BV$6,30)</f>
        <v/>
      </c>
      <c r="AT17">
        <f>INDEX($C$6:$BV$6,29)</f>
        <v/>
      </c>
      <c r="AU17">
        <f>INDEX($C$6:$BV$6,28)</f>
        <v/>
      </c>
      <c r="AV17">
        <f>INDEX($C$6:$BV$6,27)</f>
        <v/>
      </c>
      <c r="AW17">
        <f>INDEX($C$6:$BV$6,26)</f>
        <v/>
      </c>
      <c r="AX17">
        <f>INDEX($C$6:$BV$6,25)</f>
        <v/>
      </c>
      <c r="AY17">
        <f>INDEX($C$6:$BV$6,24)</f>
        <v/>
      </c>
      <c r="AZ17">
        <f>INDEX($C$6:$BV$6,23)</f>
        <v/>
      </c>
      <c r="BA17">
        <f>INDEX($C$6:$BV$6,22)</f>
        <v/>
      </c>
      <c r="BB17">
        <f>INDEX($C$6:$BV$6,21)</f>
        <v/>
      </c>
      <c r="BC17">
        <f>INDEX($C$6:$BV$6,20)</f>
        <v/>
      </c>
      <c r="BD17">
        <f>INDEX($C$6:$BV$6,19)</f>
        <v/>
      </c>
      <c r="BE17">
        <f>INDEX($C$6:$BV$6,18)</f>
        <v/>
      </c>
      <c r="BF17">
        <f>INDEX($C$6:$BV$6,17)</f>
        <v/>
      </c>
      <c r="BG17">
        <f>INDEX($C$6:$BV$6,16)</f>
        <v/>
      </c>
      <c r="BH17">
        <f>INDEX($C$6:$BV$6,15)</f>
        <v/>
      </c>
      <c r="BI17">
        <f>INDEX($C$6:$BV$6,14)</f>
        <v/>
      </c>
      <c r="BJ17">
        <f>INDEX($C$6:$BV$6,13)</f>
        <v/>
      </c>
      <c r="BK17">
        <f>INDEX($C$6:$BV$6,12)</f>
        <v/>
      </c>
      <c r="BL17">
        <f>INDEX($C$6:$BV$6,11)</f>
        <v/>
      </c>
      <c r="BM17">
        <f>INDEX($C$6:$BV$6,10)</f>
        <v/>
      </c>
      <c r="BN17">
        <f>INDEX($C$6:$BV$6,9)</f>
        <v/>
      </c>
      <c r="BO17">
        <f>INDEX($C$6:$BV$6,8)</f>
        <v/>
      </c>
      <c r="BP17">
        <f>INDEX($C$6:$BV$6,7)</f>
        <v/>
      </c>
      <c r="BQ17">
        <f>INDEX($C$6:$BV$6,6)</f>
        <v/>
      </c>
      <c r="BR17">
        <f>INDEX($C$6:$BV$6,5)</f>
        <v/>
      </c>
      <c r="BS17">
        <f>INDEX($C$6:$BV$6,4)</f>
        <v/>
      </c>
      <c r="BT17">
        <f>INDEX($C$6:$BV$6,3)</f>
        <v/>
      </c>
      <c r="BU17">
        <f>INDEX($C$6:$BV$6,2)</f>
        <v/>
      </c>
      <c r="BV17">
        <f>INDEX($C$6:$BV$6,1)</f>
        <v/>
      </c>
    </row>
    <row r="18">
      <c r="A18" t="inlineStr">
        <is>
          <t>D_ANNUAL@0 reversed</t>
        </is>
      </c>
      <c r="C18">
        <f>INDEX($C$7:$BV$7,72)</f>
        <v/>
      </c>
      <c r="D18">
        <f>INDEX($C$7:$BV$7,71)</f>
        <v/>
      </c>
      <c r="E18">
        <f>INDEX($C$7:$BV$7,70)</f>
        <v/>
      </c>
      <c r="F18">
        <f>INDEX($C$7:$BV$7,69)</f>
        <v/>
      </c>
      <c r="G18">
        <f>INDEX($C$7:$BV$7,68)</f>
        <v/>
      </c>
      <c r="H18">
        <f>INDEX($C$7:$BV$7,67)</f>
        <v/>
      </c>
      <c r="I18">
        <f>INDEX($C$7:$BV$7,66)</f>
        <v/>
      </c>
      <c r="J18">
        <f>INDEX($C$7:$BV$7,65)</f>
        <v/>
      </c>
      <c r="K18">
        <f>INDEX($C$7:$BV$7,64)</f>
        <v/>
      </c>
      <c r="L18">
        <f>INDEX($C$7:$BV$7,63)</f>
        <v/>
      </c>
      <c r="M18">
        <f>INDEX($C$7:$BV$7,62)</f>
        <v/>
      </c>
      <c r="N18">
        <f>INDEX($C$7:$BV$7,61)</f>
        <v/>
      </c>
      <c r="O18">
        <f>INDEX($C$7:$BV$7,60)</f>
        <v/>
      </c>
      <c r="P18">
        <f>INDEX($C$7:$BV$7,59)</f>
        <v/>
      </c>
      <c r="Q18">
        <f>INDEX($C$7:$BV$7,58)</f>
        <v/>
      </c>
      <c r="R18">
        <f>INDEX($C$7:$BV$7,57)</f>
        <v/>
      </c>
      <c r="S18">
        <f>INDEX($C$7:$BV$7,56)</f>
        <v/>
      </c>
      <c r="T18">
        <f>INDEX($C$7:$BV$7,55)</f>
        <v/>
      </c>
      <c r="U18">
        <f>INDEX($C$7:$BV$7,54)</f>
        <v/>
      </c>
      <c r="V18">
        <f>INDEX($C$7:$BV$7,53)</f>
        <v/>
      </c>
      <c r="W18">
        <f>INDEX($C$7:$BV$7,52)</f>
        <v/>
      </c>
      <c r="X18">
        <f>INDEX($C$7:$BV$7,51)</f>
        <v/>
      </c>
      <c r="Y18">
        <f>INDEX($C$7:$BV$7,50)</f>
        <v/>
      </c>
      <c r="Z18">
        <f>INDEX($C$7:$BV$7,49)</f>
        <v/>
      </c>
      <c r="AA18">
        <f>INDEX($C$7:$BV$7,48)</f>
        <v/>
      </c>
      <c r="AB18">
        <f>INDEX($C$7:$BV$7,47)</f>
        <v/>
      </c>
      <c r="AC18">
        <f>INDEX($C$7:$BV$7,46)</f>
        <v/>
      </c>
      <c r="AD18">
        <f>INDEX($C$7:$BV$7,45)</f>
        <v/>
      </c>
      <c r="AE18">
        <f>INDEX($C$7:$BV$7,44)</f>
        <v/>
      </c>
      <c r="AF18">
        <f>INDEX($C$7:$BV$7,43)</f>
        <v/>
      </c>
      <c r="AG18">
        <f>INDEX($C$7:$BV$7,42)</f>
        <v/>
      </c>
      <c r="AH18">
        <f>INDEX($C$7:$BV$7,41)</f>
        <v/>
      </c>
      <c r="AI18">
        <f>INDEX($C$7:$BV$7,40)</f>
        <v/>
      </c>
      <c r="AJ18">
        <f>INDEX($C$7:$BV$7,39)</f>
        <v/>
      </c>
      <c r="AK18">
        <f>INDEX($C$7:$BV$7,38)</f>
        <v/>
      </c>
      <c r="AL18">
        <f>INDEX($C$7:$BV$7,37)</f>
        <v/>
      </c>
      <c r="AM18">
        <f>INDEX($C$7:$BV$7,36)</f>
        <v/>
      </c>
      <c r="AN18">
        <f>INDEX($C$7:$BV$7,35)</f>
        <v/>
      </c>
      <c r="AO18">
        <f>INDEX($C$7:$BV$7,34)</f>
        <v/>
      </c>
      <c r="AP18">
        <f>INDEX($C$7:$BV$7,33)</f>
        <v/>
      </c>
      <c r="AQ18">
        <f>INDEX($C$7:$BV$7,32)</f>
        <v/>
      </c>
      <c r="AR18">
        <f>INDEX($C$7:$BV$7,31)</f>
        <v/>
      </c>
      <c r="AS18">
        <f>INDEX($C$7:$BV$7,30)</f>
        <v/>
      </c>
      <c r="AT18">
        <f>INDEX($C$7:$BV$7,29)</f>
        <v/>
      </c>
      <c r="AU18">
        <f>INDEX($C$7:$BV$7,28)</f>
        <v/>
      </c>
      <c r="AV18">
        <f>INDEX($C$7:$BV$7,27)</f>
        <v/>
      </c>
      <c r="AW18">
        <f>INDEX($C$7:$BV$7,26)</f>
        <v/>
      </c>
      <c r="AX18">
        <f>INDEX($C$7:$BV$7,25)</f>
        <v/>
      </c>
      <c r="AY18">
        <f>INDEX($C$7:$BV$7,24)</f>
        <v/>
      </c>
      <c r="AZ18">
        <f>INDEX($C$7:$BV$7,23)</f>
        <v/>
      </c>
      <c r="BA18">
        <f>INDEX($C$7:$BV$7,22)</f>
        <v/>
      </c>
      <c r="BB18">
        <f>INDEX($C$7:$BV$7,21)</f>
        <v/>
      </c>
      <c r="BC18">
        <f>INDEX($C$7:$BV$7,20)</f>
        <v/>
      </c>
      <c r="BD18">
        <f>INDEX($C$7:$BV$7,19)</f>
        <v/>
      </c>
      <c r="BE18">
        <f>INDEX($C$7:$BV$7,18)</f>
        <v/>
      </c>
      <c r="BF18">
        <f>INDEX($C$7:$BV$7,17)</f>
        <v/>
      </c>
      <c r="BG18">
        <f>INDEX($C$7:$BV$7,16)</f>
        <v/>
      </c>
      <c r="BH18">
        <f>INDEX($C$7:$BV$7,15)</f>
        <v/>
      </c>
      <c r="BI18">
        <f>INDEX($C$7:$BV$7,14)</f>
        <v/>
      </c>
      <c r="BJ18">
        <f>INDEX($C$7:$BV$7,13)</f>
        <v/>
      </c>
      <c r="BK18">
        <f>INDEX($C$7:$BV$7,12)</f>
        <v/>
      </c>
      <c r="BL18">
        <f>INDEX($C$7:$BV$7,11)</f>
        <v/>
      </c>
      <c r="BM18">
        <f>INDEX($C$7:$BV$7,10)</f>
        <v/>
      </c>
      <c r="BN18">
        <f>INDEX($C$7:$BV$7,9)</f>
        <v/>
      </c>
      <c r="BO18">
        <f>INDEX($C$7:$BV$7,8)</f>
        <v/>
      </c>
      <c r="BP18">
        <f>INDEX($C$7:$BV$7,7)</f>
        <v/>
      </c>
      <c r="BQ18">
        <f>INDEX($C$7:$BV$7,6)</f>
        <v/>
      </c>
      <c r="BR18">
        <f>INDEX($C$7:$BV$7,5)</f>
        <v/>
      </c>
      <c r="BS18">
        <f>INDEX($C$7:$BV$7,4)</f>
        <v/>
      </c>
      <c r="BT18">
        <f>INDEX($C$7:$BV$7,3)</f>
        <v/>
      </c>
      <c r="BU18">
        <f>INDEX($C$7:$BV$7,2)</f>
        <v/>
      </c>
      <c r="BV18">
        <f>INDEX($C$7:$BV$7,1)</f>
        <v/>
      </c>
    </row>
    <row r="19">
      <c r="A19" t="inlineStr">
        <is>
          <t>S_REACT@0 reversed</t>
        </is>
      </c>
      <c r="C19">
        <f>INDEX($C$8:$BV$8,72)</f>
        <v/>
      </c>
      <c r="D19">
        <f>INDEX($C$8:$BV$8,71)</f>
        <v/>
      </c>
      <c r="E19">
        <f>INDEX($C$8:$BV$8,70)</f>
        <v/>
      </c>
      <c r="F19">
        <f>INDEX($C$8:$BV$8,69)</f>
        <v/>
      </c>
      <c r="G19">
        <f>INDEX($C$8:$BV$8,68)</f>
        <v/>
      </c>
      <c r="H19">
        <f>INDEX($C$8:$BV$8,67)</f>
        <v/>
      </c>
      <c r="I19">
        <f>INDEX($C$8:$BV$8,66)</f>
        <v/>
      </c>
      <c r="J19">
        <f>INDEX($C$8:$BV$8,65)</f>
        <v/>
      </c>
      <c r="K19">
        <f>INDEX($C$8:$BV$8,64)</f>
        <v/>
      </c>
      <c r="L19">
        <f>INDEX($C$8:$BV$8,63)</f>
        <v/>
      </c>
      <c r="M19">
        <f>INDEX($C$8:$BV$8,62)</f>
        <v/>
      </c>
      <c r="N19">
        <f>INDEX($C$8:$BV$8,61)</f>
        <v/>
      </c>
      <c r="O19">
        <f>INDEX($C$8:$BV$8,60)</f>
        <v/>
      </c>
      <c r="P19">
        <f>INDEX($C$8:$BV$8,59)</f>
        <v/>
      </c>
      <c r="Q19">
        <f>INDEX($C$8:$BV$8,58)</f>
        <v/>
      </c>
      <c r="R19">
        <f>INDEX($C$8:$BV$8,57)</f>
        <v/>
      </c>
      <c r="S19">
        <f>INDEX($C$8:$BV$8,56)</f>
        <v/>
      </c>
      <c r="T19">
        <f>INDEX($C$8:$BV$8,55)</f>
        <v/>
      </c>
      <c r="U19">
        <f>INDEX($C$8:$BV$8,54)</f>
        <v/>
      </c>
      <c r="V19">
        <f>INDEX($C$8:$BV$8,53)</f>
        <v/>
      </c>
      <c r="W19">
        <f>INDEX($C$8:$BV$8,52)</f>
        <v/>
      </c>
      <c r="X19">
        <f>INDEX($C$8:$BV$8,51)</f>
        <v/>
      </c>
      <c r="Y19">
        <f>INDEX($C$8:$BV$8,50)</f>
        <v/>
      </c>
      <c r="Z19">
        <f>INDEX($C$8:$BV$8,49)</f>
        <v/>
      </c>
      <c r="AA19">
        <f>INDEX($C$8:$BV$8,48)</f>
        <v/>
      </c>
      <c r="AB19">
        <f>INDEX($C$8:$BV$8,47)</f>
        <v/>
      </c>
      <c r="AC19">
        <f>INDEX($C$8:$BV$8,46)</f>
        <v/>
      </c>
      <c r="AD19">
        <f>INDEX($C$8:$BV$8,45)</f>
        <v/>
      </c>
      <c r="AE19">
        <f>INDEX($C$8:$BV$8,44)</f>
        <v/>
      </c>
      <c r="AF19">
        <f>INDEX($C$8:$BV$8,43)</f>
        <v/>
      </c>
      <c r="AG19">
        <f>INDEX($C$8:$BV$8,42)</f>
        <v/>
      </c>
      <c r="AH19">
        <f>INDEX($C$8:$BV$8,41)</f>
        <v/>
      </c>
      <c r="AI19">
        <f>INDEX($C$8:$BV$8,40)</f>
        <v/>
      </c>
      <c r="AJ19">
        <f>INDEX($C$8:$BV$8,39)</f>
        <v/>
      </c>
      <c r="AK19">
        <f>INDEX($C$8:$BV$8,38)</f>
        <v/>
      </c>
      <c r="AL19">
        <f>INDEX($C$8:$BV$8,37)</f>
        <v/>
      </c>
      <c r="AM19">
        <f>INDEX($C$8:$BV$8,36)</f>
        <v/>
      </c>
      <c r="AN19">
        <f>INDEX($C$8:$BV$8,35)</f>
        <v/>
      </c>
      <c r="AO19">
        <f>INDEX($C$8:$BV$8,34)</f>
        <v/>
      </c>
      <c r="AP19">
        <f>INDEX($C$8:$BV$8,33)</f>
        <v/>
      </c>
      <c r="AQ19">
        <f>INDEX($C$8:$BV$8,32)</f>
        <v/>
      </c>
      <c r="AR19">
        <f>INDEX($C$8:$BV$8,31)</f>
        <v/>
      </c>
      <c r="AS19">
        <f>INDEX($C$8:$BV$8,30)</f>
        <v/>
      </c>
      <c r="AT19">
        <f>INDEX($C$8:$BV$8,29)</f>
        <v/>
      </c>
      <c r="AU19">
        <f>INDEX($C$8:$BV$8,28)</f>
        <v/>
      </c>
      <c r="AV19">
        <f>INDEX($C$8:$BV$8,27)</f>
        <v/>
      </c>
      <c r="AW19">
        <f>INDEX($C$8:$BV$8,26)</f>
        <v/>
      </c>
      <c r="AX19">
        <f>INDEX($C$8:$BV$8,25)</f>
        <v/>
      </c>
      <c r="AY19">
        <f>INDEX($C$8:$BV$8,24)</f>
        <v/>
      </c>
      <c r="AZ19">
        <f>INDEX($C$8:$BV$8,23)</f>
        <v/>
      </c>
      <c r="BA19">
        <f>INDEX($C$8:$BV$8,22)</f>
        <v/>
      </c>
      <c r="BB19">
        <f>INDEX($C$8:$BV$8,21)</f>
        <v/>
      </c>
      <c r="BC19">
        <f>INDEX($C$8:$BV$8,20)</f>
        <v/>
      </c>
      <c r="BD19">
        <f>INDEX($C$8:$BV$8,19)</f>
        <v/>
      </c>
      <c r="BE19">
        <f>INDEX($C$8:$BV$8,18)</f>
        <v/>
      </c>
      <c r="BF19">
        <f>INDEX($C$8:$BV$8,17)</f>
        <v/>
      </c>
      <c r="BG19">
        <f>INDEX($C$8:$BV$8,16)</f>
        <v/>
      </c>
      <c r="BH19">
        <f>INDEX($C$8:$BV$8,15)</f>
        <v/>
      </c>
      <c r="BI19">
        <f>INDEX($C$8:$BV$8,14)</f>
        <v/>
      </c>
      <c r="BJ19">
        <f>INDEX($C$8:$BV$8,13)</f>
        <v/>
      </c>
      <c r="BK19">
        <f>INDEX($C$8:$BV$8,12)</f>
        <v/>
      </c>
      <c r="BL19">
        <f>INDEX($C$8:$BV$8,11)</f>
        <v/>
      </c>
      <c r="BM19">
        <f>INDEX($C$8:$BV$8,10)</f>
        <v/>
      </c>
      <c r="BN19">
        <f>INDEX($C$8:$BV$8,9)</f>
        <v/>
      </c>
      <c r="BO19">
        <f>INDEX($C$8:$BV$8,8)</f>
        <v/>
      </c>
      <c r="BP19">
        <f>INDEX($C$8:$BV$8,7)</f>
        <v/>
      </c>
      <c r="BQ19">
        <f>INDEX($C$8:$BV$8,6)</f>
        <v/>
      </c>
      <c r="BR19">
        <f>INDEX($C$8:$BV$8,5)</f>
        <v/>
      </c>
      <c r="BS19">
        <f>INDEX($C$8:$BV$8,4)</f>
        <v/>
      </c>
      <c r="BT19">
        <f>INDEX($C$8:$BV$8,3)</f>
        <v/>
      </c>
      <c r="BU19">
        <f>INDEX($C$8:$BV$8,2)</f>
        <v/>
      </c>
      <c r="BV19">
        <f>INDEX($C$8:$BV$8,1)</f>
        <v/>
      </c>
    </row>
    <row r="20">
      <c r="A20" t="inlineStr">
        <is>
          <t>D_REACT@0 reversed</t>
        </is>
      </c>
      <c r="C20">
        <f>INDEX($C$9:$BV$9,72)</f>
        <v/>
      </c>
      <c r="D20">
        <f>INDEX($C$9:$BV$9,71)</f>
        <v/>
      </c>
      <c r="E20">
        <f>INDEX($C$9:$BV$9,70)</f>
        <v/>
      </c>
      <c r="F20">
        <f>INDEX($C$9:$BV$9,69)</f>
        <v/>
      </c>
      <c r="G20">
        <f>INDEX($C$9:$BV$9,68)</f>
        <v/>
      </c>
      <c r="H20">
        <f>INDEX($C$9:$BV$9,67)</f>
        <v/>
      </c>
      <c r="I20">
        <f>INDEX($C$9:$BV$9,66)</f>
        <v/>
      </c>
      <c r="J20">
        <f>INDEX($C$9:$BV$9,65)</f>
        <v/>
      </c>
      <c r="K20">
        <f>INDEX($C$9:$BV$9,64)</f>
        <v/>
      </c>
      <c r="L20">
        <f>INDEX($C$9:$BV$9,63)</f>
        <v/>
      </c>
      <c r="M20">
        <f>INDEX($C$9:$BV$9,62)</f>
        <v/>
      </c>
      <c r="N20">
        <f>INDEX($C$9:$BV$9,61)</f>
        <v/>
      </c>
      <c r="O20">
        <f>INDEX($C$9:$BV$9,60)</f>
        <v/>
      </c>
      <c r="P20">
        <f>INDEX($C$9:$BV$9,59)</f>
        <v/>
      </c>
      <c r="Q20">
        <f>INDEX($C$9:$BV$9,58)</f>
        <v/>
      </c>
      <c r="R20">
        <f>INDEX($C$9:$BV$9,57)</f>
        <v/>
      </c>
      <c r="S20">
        <f>INDEX($C$9:$BV$9,56)</f>
        <v/>
      </c>
      <c r="T20">
        <f>INDEX($C$9:$BV$9,55)</f>
        <v/>
      </c>
      <c r="U20">
        <f>INDEX($C$9:$BV$9,54)</f>
        <v/>
      </c>
      <c r="V20">
        <f>INDEX($C$9:$BV$9,53)</f>
        <v/>
      </c>
      <c r="W20">
        <f>INDEX($C$9:$BV$9,52)</f>
        <v/>
      </c>
      <c r="X20">
        <f>INDEX($C$9:$BV$9,51)</f>
        <v/>
      </c>
      <c r="Y20">
        <f>INDEX($C$9:$BV$9,50)</f>
        <v/>
      </c>
      <c r="Z20">
        <f>INDEX($C$9:$BV$9,49)</f>
        <v/>
      </c>
      <c r="AA20">
        <f>INDEX($C$9:$BV$9,48)</f>
        <v/>
      </c>
      <c r="AB20">
        <f>INDEX($C$9:$BV$9,47)</f>
        <v/>
      </c>
      <c r="AC20">
        <f>INDEX($C$9:$BV$9,46)</f>
        <v/>
      </c>
      <c r="AD20">
        <f>INDEX($C$9:$BV$9,45)</f>
        <v/>
      </c>
      <c r="AE20">
        <f>INDEX($C$9:$BV$9,44)</f>
        <v/>
      </c>
      <c r="AF20">
        <f>INDEX($C$9:$BV$9,43)</f>
        <v/>
      </c>
      <c r="AG20">
        <f>INDEX($C$9:$BV$9,42)</f>
        <v/>
      </c>
      <c r="AH20">
        <f>INDEX($C$9:$BV$9,41)</f>
        <v/>
      </c>
      <c r="AI20">
        <f>INDEX($C$9:$BV$9,40)</f>
        <v/>
      </c>
      <c r="AJ20">
        <f>INDEX($C$9:$BV$9,39)</f>
        <v/>
      </c>
      <c r="AK20">
        <f>INDEX($C$9:$BV$9,38)</f>
        <v/>
      </c>
      <c r="AL20">
        <f>INDEX($C$9:$BV$9,37)</f>
        <v/>
      </c>
      <c r="AM20">
        <f>INDEX($C$9:$BV$9,36)</f>
        <v/>
      </c>
      <c r="AN20">
        <f>INDEX($C$9:$BV$9,35)</f>
        <v/>
      </c>
      <c r="AO20">
        <f>INDEX($C$9:$BV$9,34)</f>
        <v/>
      </c>
      <c r="AP20">
        <f>INDEX($C$9:$BV$9,33)</f>
        <v/>
      </c>
      <c r="AQ20">
        <f>INDEX($C$9:$BV$9,32)</f>
        <v/>
      </c>
      <c r="AR20">
        <f>INDEX($C$9:$BV$9,31)</f>
        <v/>
      </c>
      <c r="AS20">
        <f>INDEX($C$9:$BV$9,30)</f>
        <v/>
      </c>
      <c r="AT20">
        <f>INDEX($C$9:$BV$9,29)</f>
        <v/>
      </c>
      <c r="AU20">
        <f>INDEX($C$9:$BV$9,28)</f>
        <v/>
      </c>
      <c r="AV20">
        <f>INDEX($C$9:$BV$9,27)</f>
        <v/>
      </c>
      <c r="AW20">
        <f>INDEX($C$9:$BV$9,26)</f>
        <v/>
      </c>
      <c r="AX20">
        <f>INDEX($C$9:$BV$9,25)</f>
        <v/>
      </c>
      <c r="AY20">
        <f>INDEX($C$9:$BV$9,24)</f>
        <v/>
      </c>
      <c r="AZ20">
        <f>INDEX($C$9:$BV$9,23)</f>
        <v/>
      </c>
      <c r="BA20">
        <f>INDEX($C$9:$BV$9,22)</f>
        <v/>
      </c>
      <c r="BB20">
        <f>INDEX($C$9:$BV$9,21)</f>
        <v/>
      </c>
      <c r="BC20">
        <f>INDEX($C$9:$BV$9,20)</f>
        <v/>
      </c>
      <c r="BD20">
        <f>INDEX($C$9:$BV$9,19)</f>
        <v/>
      </c>
      <c r="BE20">
        <f>INDEX($C$9:$BV$9,18)</f>
        <v/>
      </c>
      <c r="BF20">
        <f>INDEX($C$9:$BV$9,17)</f>
        <v/>
      </c>
      <c r="BG20">
        <f>INDEX($C$9:$BV$9,16)</f>
        <v/>
      </c>
      <c r="BH20">
        <f>INDEX($C$9:$BV$9,15)</f>
        <v/>
      </c>
      <c r="BI20">
        <f>INDEX($C$9:$BV$9,14)</f>
        <v/>
      </c>
      <c r="BJ20">
        <f>INDEX($C$9:$BV$9,13)</f>
        <v/>
      </c>
      <c r="BK20">
        <f>INDEX($C$9:$BV$9,12)</f>
        <v/>
      </c>
      <c r="BL20">
        <f>INDEX($C$9:$BV$9,11)</f>
        <v/>
      </c>
      <c r="BM20">
        <f>INDEX($C$9:$BV$9,10)</f>
        <v/>
      </c>
      <c r="BN20">
        <f>INDEX($C$9:$BV$9,9)</f>
        <v/>
      </c>
      <c r="BO20">
        <f>INDEX($C$9:$BV$9,8)</f>
        <v/>
      </c>
      <c r="BP20">
        <f>INDEX($C$9:$BV$9,7)</f>
        <v/>
      </c>
      <c r="BQ20">
        <f>INDEX($C$9:$BV$9,6)</f>
        <v/>
      </c>
      <c r="BR20">
        <f>INDEX($C$9:$BV$9,5)</f>
        <v/>
      </c>
      <c r="BS20">
        <f>INDEX($C$9:$BV$9,4)</f>
        <v/>
      </c>
      <c r="BT20">
        <f>INDEX($C$9:$BV$9,3)</f>
        <v/>
      </c>
      <c r="BU20">
        <f>INDEX($C$9:$BV$9,2)</f>
        <v/>
      </c>
      <c r="BV20">
        <f>INDEX($C$9:$BV$9,1)</f>
        <v/>
      </c>
    </row>
    <row r="21">
      <c r="A21" t="inlineStr">
        <is>
          <t>K_REACT@0 reversed</t>
        </is>
      </c>
      <c r="C21">
        <f>INDEX($C$10:$BV$10,72)</f>
        <v/>
      </c>
      <c r="D21">
        <f>INDEX($C$10:$BV$10,71)</f>
        <v/>
      </c>
      <c r="E21">
        <f>INDEX($C$10:$BV$10,70)</f>
        <v/>
      </c>
      <c r="F21">
        <f>INDEX($C$10:$BV$10,69)</f>
        <v/>
      </c>
      <c r="G21">
        <f>INDEX($C$10:$BV$10,68)</f>
        <v/>
      </c>
      <c r="H21">
        <f>INDEX($C$10:$BV$10,67)</f>
        <v/>
      </c>
      <c r="I21">
        <f>INDEX($C$10:$BV$10,66)</f>
        <v/>
      </c>
      <c r="J21">
        <f>INDEX($C$10:$BV$10,65)</f>
        <v/>
      </c>
      <c r="K21">
        <f>INDEX($C$10:$BV$10,64)</f>
        <v/>
      </c>
      <c r="L21">
        <f>INDEX($C$10:$BV$10,63)</f>
        <v/>
      </c>
      <c r="M21">
        <f>INDEX($C$10:$BV$10,62)</f>
        <v/>
      </c>
      <c r="N21">
        <f>INDEX($C$10:$BV$10,61)</f>
        <v/>
      </c>
      <c r="O21">
        <f>INDEX($C$10:$BV$10,60)</f>
        <v/>
      </c>
      <c r="P21">
        <f>INDEX($C$10:$BV$10,59)</f>
        <v/>
      </c>
      <c r="Q21">
        <f>INDEX($C$10:$BV$10,58)</f>
        <v/>
      </c>
      <c r="R21">
        <f>INDEX($C$10:$BV$10,57)</f>
        <v/>
      </c>
      <c r="S21">
        <f>INDEX($C$10:$BV$10,56)</f>
        <v/>
      </c>
      <c r="T21">
        <f>INDEX($C$10:$BV$10,55)</f>
        <v/>
      </c>
      <c r="U21">
        <f>INDEX($C$10:$BV$10,54)</f>
        <v/>
      </c>
      <c r="V21">
        <f>INDEX($C$10:$BV$10,53)</f>
        <v/>
      </c>
      <c r="W21">
        <f>INDEX($C$10:$BV$10,52)</f>
        <v/>
      </c>
      <c r="X21">
        <f>INDEX($C$10:$BV$10,51)</f>
        <v/>
      </c>
      <c r="Y21">
        <f>INDEX($C$10:$BV$10,50)</f>
        <v/>
      </c>
      <c r="Z21">
        <f>INDEX($C$10:$BV$10,49)</f>
        <v/>
      </c>
      <c r="AA21">
        <f>INDEX($C$10:$BV$10,48)</f>
        <v/>
      </c>
      <c r="AB21">
        <f>INDEX($C$10:$BV$10,47)</f>
        <v/>
      </c>
      <c r="AC21">
        <f>INDEX($C$10:$BV$10,46)</f>
        <v/>
      </c>
      <c r="AD21">
        <f>INDEX($C$10:$BV$10,45)</f>
        <v/>
      </c>
      <c r="AE21">
        <f>INDEX($C$10:$BV$10,44)</f>
        <v/>
      </c>
      <c r="AF21">
        <f>INDEX($C$10:$BV$10,43)</f>
        <v/>
      </c>
      <c r="AG21">
        <f>INDEX($C$10:$BV$10,42)</f>
        <v/>
      </c>
      <c r="AH21">
        <f>INDEX($C$10:$BV$10,41)</f>
        <v/>
      </c>
      <c r="AI21">
        <f>INDEX($C$10:$BV$10,40)</f>
        <v/>
      </c>
      <c r="AJ21">
        <f>INDEX($C$10:$BV$10,39)</f>
        <v/>
      </c>
      <c r="AK21">
        <f>INDEX($C$10:$BV$10,38)</f>
        <v/>
      </c>
      <c r="AL21">
        <f>INDEX($C$10:$BV$10,37)</f>
        <v/>
      </c>
      <c r="AM21">
        <f>INDEX($C$10:$BV$10,36)</f>
        <v/>
      </c>
      <c r="AN21">
        <f>INDEX($C$10:$BV$10,35)</f>
        <v/>
      </c>
      <c r="AO21">
        <f>INDEX($C$10:$BV$10,34)</f>
        <v/>
      </c>
      <c r="AP21">
        <f>INDEX($C$10:$BV$10,33)</f>
        <v/>
      </c>
      <c r="AQ21">
        <f>INDEX($C$10:$BV$10,32)</f>
        <v/>
      </c>
      <c r="AR21">
        <f>INDEX($C$10:$BV$10,31)</f>
        <v/>
      </c>
      <c r="AS21">
        <f>INDEX($C$10:$BV$10,30)</f>
        <v/>
      </c>
      <c r="AT21">
        <f>INDEX($C$10:$BV$10,29)</f>
        <v/>
      </c>
      <c r="AU21">
        <f>INDEX($C$10:$BV$10,28)</f>
        <v/>
      </c>
      <c r="AV21">
        <f>INDEX($C$10:$BV$10,27)</f>
        <v/>
      </c>
      <c r="AW21">
        <f>INDEX($C$10:$BV$10,26)</f>
        <v/>
      </c>
      <c r="AX21">
        <f>INDEX($C$10:$BV$10,25)</f>
        <v/>
      </c>
      <c r="AY21">
        <f>INDEX($C$10:$BV$10,24)</f>
        <v/>
      </c>
      <c r="AZ21">
        <f>INDEX($C$10:$BV$10,23)</f>
        <v/>
      </c>
      <c r="BA21">
        <f>INDEX($C$10:$BV$10,22)</f>
        <v/>
      </c>
      <c r="BB21">
        <f>INDEX($C$10:$BV$10,21)</f>
        <v/>
      </c>
      <c r="BC21">
        <f>INDEX($C$10:$BV$10,20)</f>
        <v/>
      </c>
      <c r="BD21">
        <f>INDEX($C$10:$BV$10,19)</f>
        <v/>
      </c>
      <c r="BE21">
        <f>INDEX($C$10:$BV$10,18)</f>
        <v/>
      </c>
      <c r="BF21">
        <f>INDEX($C$10:$BV$10,17)</f>
        <v/>
      </c>
      <c r="BG21">
        <f>INDEX($C$10:$BV$10,16)</f>
        <v/>
      </c>
      <c r="BH21">
        <f>INDEX($C$10:$BV$10,15)</f>
        <v/>
      </c>
      <c r="BI21">
        <f>INDEX($C$10:$BV$10,14)</f>
        <v/>
      </c>
      <c r="BJ21">
        <f>INDEX($C$10:$BV$10,13)</f>
        <v/>
      </c>
      <c r="BK21">
        <f>INDEX($C$10:$BV$10,12)</f>
        <v/>
      </c>
      <c r="BL21">
        <f>INDEX($C$10:$BV$10,11)</f>
        <v/>
      </c>
      <c r="BM21">
        <f>INDEX($C$10:$BV$10,10)</f>
        <v/>
      </c>
      <c r="BN21">
        <f>INDEX($C$10:$BV$10,9)</f>
        <v/>
      </c>
      <c r="BO21">
        <f>INDEX($C$10:$BV$10,8)</f>
        <v/>
      </c>
      <c r="BP21">
        <f>INDEX($C$10:$BV$10,7)</f>
        <v/>
      </c>
      <c r="BQ21">
        <f>INDEX($C$10:$BV$10,6)</f>
        <v/>
      </c>
      <c r="BR21">
        <f>INDEX($C$10:$BV$10,5)</f>
        <v/>
      </c>
      <c r="BS21">
        <f>INDEX($C$10:$BV$10,4)</f>
        <v/>
      </c>
      <c r="BT21">
        <f>INDEX($C$10:$BV$10,3)</f>
        <v/>
      </c>
      <c r="BU21">
        <f>INDEX($C$10:$BV$10,2)</f>
        <v/>
      </c>
      <c r="BV21">
        <f>INDEX($C$10:$BV$10,1)</f>
        <v/>
      </c>
    </row>
    <row r="22">
      <c r="A22" t="inlineStr">
        <is>
          <t>S_MONTHLY_Y1@0 reversed</t>
        </is>
      </c>
      <c r="C22">
        <f>INDEX($C$11:$BV$11,72)</f>
        <v/>
      </c>
      <c r="D22">
        <f>INDEX($C$11:$BV$11,71)</f>
        <v/>
      </c>
      <c r="E22">
        <f>INDEX($C$11:$BV$11,70)</f>
        <v/>
      </c>
      <c r="F22">
        <f>INDEX($C$11:$BV$11,69)</f>
        <v/>
      </c>
      <c r="G22">
        <f>INDEX($C$11:$BV$11,68)</f>
        <v/>
      </c>
      <c r="H22">
        <f>INDEX($C$11:$BV$11,67)</f>
        <v/>
      </c>
      <c r="I22">
        <f>INDEX($C$11:$BV$11,66)</f>
        <v/>
      </c>
      <c r="J22">
        <f>INDEX($C$11:$BV$11,65)</f>
        <v/>
      </c>
      <c r="K22">
        <f>INDEX($C$11:$BV$11,64)</f>
        <v/>
      </c>
      <c r="L22">
        <f>INDEX($C$11:$BV$11,63)</f>
        <v/>
      </c>
      <c r="M22">
        <f>INDEX($C$11:$BV$11,62)</f>
        <v/>
      </c>
      <c r="N22">
        <f>INDEX($C$11:$BV$11,61)</f>
        <v/>
      </c>
      <c r="O22">
        <f>INDEX($C$11:$BV$11,60)</f>
        <v/>
      </c>
      <c r="P22">
        <f>INDEX($C$11:$BV$11,59)</f>
        <v/>
      </c>
      <c r="Q22">
        <f>INDEX($C$11:$BV$11,58)</f>
        <v/>
      </c>
      <c r="R22">
        <f>INDEX($C$11:$BV$11,57)</f>
        <v/>
      </c>
      <c r="S22">
        <f>INDEX($C$11:$BV$11,56)</f>
        <v/>
      </c>
      <c r="T22">
        <f>INDEX($C$11:$BV$11,55)</f>
        <v/>
      </c>
      <c r="U22">
        <f>INDEX($C$11:$BV$11,54)</f>
        <v/>
      </c>
      <c r="V22">
        <f>INDEX($C$11:$BV$11,53)</f>
        <v/>
      </c>
      <c r="W22">
        <f>INDEX($C$11:$BV$11,52)</f>
        <v/>
      </c>
      <c r="X22">
        <f>INDEX($C$11:$BV$11,51)</f>
        <v/>
      </c>
      <c r="Y22">
        <f>INDEX($C$11:$BV$11,50)</f>
        <v/>
      </c>
      <c r="Z22">
        <f>INDEX($C$11:$BV$11,49)</f>
        <v/>
      </c>
      <c r="AA22">
        <f>INDEX($C$11:$BV$11,48)</f>
        <v/>
      </c>
      <c r="AB22">
        <f>INDEX($C$11:$BV$11,47)</f>
        <v/>
      </c>
      <c r="AC22">
        <f>INDEX($C$11:$BV$11,46)</f>
        <v/>
      </c>
      <c r="AD22">
        <f>INDEX($C$11:$BV$11,45)</f>
        <v/>
      </c>
      <c r="AE22">
        <f>INDEX($C$11:$BV$11,44)</f>
        <v/>
      </c>
      <c r="AF22">
        <f>INDEX($C$11:$BV$11,43)</f>
        <v/>
      </c>
      <c r="AG22">
        <f>INDEX($C$11:$BV$11,42)</f>
        <v/>
      </c>
      <c r="AH22">
        <f>INDEX($C$11:$BV$11,41)</f>
        <v/>
      </c>
      <c r="AI22">
        <f>INDEX($C$11:$BV$11,40)</f>
        <v/>
      </c>
      <c r="AJ22">
        <f>INDEX($C$11:$BV$11,39)</f>
        <v/>
      </c>
      <c r="AK22">
        <f>INDEX($C$11:$BV$11,38)</f>
        <v/>
      </c>
      <c r="AL22">
        <f>INDEX($C$11:$BV$11,37)</f>
        <v/>
      </c>
      <c r="AM22">
        <f>INDEX($C$11:$BV$11,36)</f>
        <v/>
      </c>
      <c r="AN22">
        <f>INDEX($C$11:$BV$11,35)</f>
        <v/>
      </c>
      <c r="AO22">
        <f>INDEX($C$11:$BV$11,34)</f>
        <v/>
      </c>
      <c r="AP22">
        <f>INDEX($C$11:$BV$11,33)</f>
        <v/>
      </c>
      <c r="AQ22">
        <f>INDEX($C$11:$BV$11,32)</f>
        <v/>
      </c>
      <c r="AR22">
        <f>INDEX($C$11:$BV$11,31)</f>
        <v/>
      </c>
      <c r="AS22">
        <f>INDEX($C$11:$BV$11,30)</f>
        <v/>
      </c>
      <c r="AT22">
        <f>INDEX($C$11:$BV$11,29)</f>
        <v/>
      </c>
      <c r="AU22">
        <f>INDEX($C$11:$BV$11,28)</f>
        <v/>
      </c>
      <c r="AV22">
        <f>INDEX($C$11:$BV$11,27)</f>
        <v/>
      </c>
      <c r="AW22">
        <f>INDEX($C$11:$BV$11,26)</f>
        <v/>
      </c>
      <c r="AX22">
        <f>INDEX($C$11:$BV$11,25)</f>
        <v/>
      </c>
      <c r="AY22">
        <f>INDEX($C$11:$BV$11,24)</f>
        <v/>
      </c>
      <c r="AZ22">
        <f>INDEX($C$11:$BV$11,23)</f>
        <v/>
      </c>
      <c r="BA22">
        <f>INDEX($C$11:$BV$11,22)</f>
        <v/>
      </c>
      <c r="BB22">
        <f>INDEX($C$11:$BV$11,21)</f>
        <v/>
      </c>
      <c r="BC22">
        <f>INDEX($C$11:$BV$11,20)</f>
        <v/>
      </c>
      <c r="BD22">
        <f>INDEX($C$11:$BV$11,19)</f>
        <v/>
      </c>
      <c r="BE22">
        <f>INDEX($C$11:$BV$11,18)</f>
        <v/>
      </c>
      <c r="BF22">
        <f>INDEX($C$11:$BV$11,17)</f>
        <v/>
      </c>
      <c r="BG22">
        <f>INDEX($C$11:$BV$11,16)</f>
        <v/>
      </c>
      <c r="BH22">
        <f>INDEX($C$11:$BV$11,15)</f>
        <v/>
      </c>
      <c r="BI22">
        <f>INDEX($C$11:$BV$11,14)</f>
        <v/>
      </c>
      <c r="BJ22">
        <f>INDEX($C$11:$BV$11,13)</f>
        <v/>
      </c>
      <c r="BK22">
        <f>INDEX($C$11:$BV$11,12)</f>
        <v/>
      </c>
      <c r="BL22">
        <f>INDEX($C$11:$BV$11,11)</f>
        <v/>
      </c>
      <c r="BM22">
        <f>INDEX($C$11:$BV$11,10)</f>
        <v/>
      </c>
      <c r="BN22">
        <f>INDEX($C$11:$BV$11,9)</f>
        <v/>
      </c>
      <c r="BO22">
        <f>INDEX($C$11:$BV$11,8)</f>
        <v/>
      </c>
      <c r="BP22">
        <f>INDEX($C$11:$BV$11,7)</f>
        <v/>
      </c>
      <c r="BQ22">
        <f>INDEX($C$11:$BV$11,6)</f>
        <v/>
      </c>
      <c r="BR22">
        <f>INDEX($C$11:$BV$11,5)</f>
        <v/>
      </c>
      <c r="BS22">
        <f>INDEX($C$11:$BV$11,4)</f>
        <v/>
      </c>
      <c r="BT22">
        <f>INDEX($C$11:$BV$11,3)</f>
        <v/>
      </c>
      <c r="BU22">
        <f>INDEX($C$11:$BV$11,2)</f>
        <v/>
      </c>
      <c r="BV22">
        <f>INDEX($C$11:$BV$11,1)</f>
        <v/>
      </c>
    </row>
    <row r="23">
      <c r="A23" t="inlineStr">
        <is>
          <t>S_ANNUAL_Y1@0 reversed</t>
        </is>
      </c>
      <c r="C23">
        <f>INDEX($C$12:$BV$12,72)</f>
        <v/>
      </c>
      <c r="D23">
        <f>INDEX($C$12:$BV$12,71)</f>
        <v/>
      </c>
      <c r="E23">
        <f>INDEX($C$12:$BV$12,70)</f>
        <v/>
      </c>
      <c r="F23">
        <f>INDEX($C$12:$BV$12,69)</f>
        <v/>
      </c>
      <c r="G23">
        <f>INDEX($C$12:$BV$12,68)</f>
        <v/>
      </c>
      <c r="H23">
        <f>INDEX($C$12:$BV$12,67)</f>
        <v/>
      </c>
      <c r="I23">
        <f>INDEX($C$12:$BV$12,66)</f>
        <v/>
      </c>
      <c r="J23">
        <f>INDEX($C$12:$BV$12,65)</f>
        <v/>
      </c>
      <c r="K23">
        <f>INDEX($C$12:$BV$12,64)</f>
        <v/>
      </c>
      <c r="L23">
        <f>INDEX($C$12:$BV$12,63)</f>
        <v/>
      </c>
      <c r="M23">
        <f>INDEX($C$12:$BV$12,62)</f>
        <v/>
      </c>
      <c r="N23">
        <f>INDEX($C$12:$BV$12,61)</f>
        <v/>
      </c>
      <c r="O23">
        <f>INDEX($C$12:$BV$12,60)</f>
        <v/>
      </c>
      <c r="P23">
        <f>INDEX($C$12:$BV$12,59)</f>
        <v/>
      </c>
      <c r="Q23">
        <f>INDEX($C$12:$BV$12,58)</f>
        <v/>
      </c>
      <c r="R23">
        <f>INDEX($C$12:$BV$12,57)</f>
        <v/>
      </c>
      <c r="S23">
        <f>INDEX($C$12:$BV$12,56)</f>
        <v/>
      </c>
      <c r="T23">
        <f>INDEX($C$12:$BV$12,55)</f>
        <v/>
      </c>
      <c r="U23">
        <f>INDEX($C$12:$BV$12,54)</f>
        <v/>
      </c>
      <c r="V23">
        <f>INDEX($C$12:$BV$12,53)</f>
        <v/>
      </c>
      <c r="W23">
        <f>INDEX($C$12:$BV$12,52)</f>
        <v/>
      </c>
      <c r="X23">
        <f>INDEX($C$12:$BV$12,51)</f>
        <v/>
      </c>
      <c r="Y23">
        <f>INDEX($C$12:$BV$12,50)</f>
        <v/>
      </c>
      <c r="Z23">
        <f>INDEX($C$12:$BV$12,49)</f>
        <v/>
      </c>
      <c r="AA23">
        <f>INDEX($C$12:$BV$12,48)</f>
        <v/>
      </c>
      <c r="AB23">
        <f>INDEX($C$12:$BV$12,47)</f>
        <v/>
      </c>
      <c r="AC23">
        <f>INDEX($C$12:$BV$12,46)</f>
        <v/>
      </c>
      <c r="AD23">
        <f>INDEX($C$12:$BV$12,45)</f>
        <v/>
      </c>
      <c r="AE23">
        <f>INDEX($C$12:$BV$12,44)</f>
        <v/>
      </c>
      <c r="AF23">
        <f>INDEX($C$12:$BV$12,43)</f>
        <v/>
      </c>
      <c r="AG23">
        <f>INDEX($C$12:$BV$12,42)</f>
        <v/>
      </c>
      <c r="AH23">
        <f>INDEX($C$12:$BV$12,41)</f>
        <v/>
      </c>
      <c r="AI23">
        <f>INDEX($C$12:$BV$12,40)</f>
        <v/>
      </c>
      <c r="AJ23">
        <f>INDEX($C$12:$BV$12,39)</f>
        <v/>
      </c>
      <c r="AK23">
        <f>INDEX($C$12:$BV$12,38)</f>
        <v/>
      </c>
      <c r="AL23">
        <f>INDEX($C$12:$BV$12,37)</f>
        <v/>
      </c>
      <c r="AM23">
        <f>INDEX($C$12:$BV$12,36)</f>
        <v/>
      </c>
      <c r="AN23">
        <f>INDEX($C$12:$BV$12,35)</f>
        <v/>
      </c>
      <c r="AO23">
        <f>INDEX($C$12:$BV$12,34)</f>
        <v/>
      </c>
      <c r="AP23">
        <f>INDEX($C$12:$BV$12,33)</f>
        <v/>
      </c>
      <c r="AQ23">
        <f>INDEX($C$12:$BV$12,32)</f>
        <v/>
      </c>
      <c r="AR23">
        <f>INDEX($C$12:$BV$12,31)</f>
        <v/>
      </c>
      <c r="AS23">
        <f>INDEX($C$12:$BV$12,30)</f>
        <v/>
      </c>
      <c r="AT23">
        <f>INDEX($C$12:$BV$12,29)</f>
        <v/>
      </c>
      <c r="AU23">
        <f>INDEX($C$12:$BV$12,28)</f>
        <v/>
      </c>
      <c r="AV23">
        <f>INDEX($C$12:$BV$12,27)</f>
        <v/>
      </c>
      <c r="AW23">
        <f>INDEX($C$12:$BV$12,26)</f>
        <v/>
      </c>
      <c r="AX23">
        <f>INDEX($C$12:$BV$12,25)</f>
        <v/>
      </c>
      <c r="AY23">
        <f>INDEX($C$12:$BV$12,24)</f>
        <v/>
      </c>
      <c r="AZ23">
        <f>INDEX($C$12:$BV$12,23)</f>
        <v/>
      </c>
      <c r="BA23">
        <f>INDEX($C$12:$BV$12,22)</f>
        <v/>
      </c>
      <c r="BB23">
        <f>INDEX($C$12:$BV$12,21)</f>
        <v/>
      </c>
      <c r="BC23">
        <f>INDEX($C$12:$BV$12,20)</f>
        <v/>
      </c>
      <c r="BD23">
        <f>INDEX($C$12:$BV$12,19)</f>
        <v/>
      </c>
      <c r="BE23">
        <f>INDEX($C$12:$BV$12,18)</f>
        <v/>
      </c>
      <c r="BF23">
        <f>INDEX($C$12:$BV$12,17)</f>
        <v/>
      </c>
      <c r="BG23">
        <f>INDEX($C$12:$BV$12,16)</f>
        <v/>
      </c>
      <c r="BH23">
        <f>INDEX($C$12:$BV$12,15)</f>
        <v/>
      </c>
      <c r="BI23">
        <f>INDEX($C$12:$BV$12,14)</f>
        <v/>
      </c>
      <c r="BJ23">
        <f>INDEX($C$12:$BV$12,13)</f>
        <v/>
      </c>
      <c r="BK23">
        <f>INDEX($C$12:$BV$12,12)</f>
        <v/>
      </c>
      <c r="BL23">
        <f>INDEX($C$12:$BV$12,11)</f>
        <v/>
      </c>
      <c r="BM23">
        <f>INDEX($C$12:$BV$12,10)</f>
        <v/>
      </c>
      <c r="BN23">
        <f>INDEX($C$12:$BV$12,9)</f>
        <v/>
      </c>
      <c r="BO23">
        <f>INDEX($C$12:$BV$12,8)</f>
        <v/>
      </c>
      <c r="BP23">
        <f>INDEX($C$12:$BV$12,7)</f>
        <v/>
      </c>
      <c r="BQ23">
        <f>INDEX($C$12:$BV$12,6)</f>
        <v/>
      </c>
      <c r="BR23">
        <f>INDEX($C$12:$BV$12,5)</f>
        <v/>
      </c>
      <c r="BS23">
        <f>INDEX($C$12:$BV$12,4)</f>
        <v/>
      </c>
      <c r="BT23">
        <f>INDEX($C$12:$BV$12,3)</f>
        <v/>
      </c>
      <c r="BU23">
        <f>INDEX($C$12:$BV$12,2)</f>
        <v/>
      </c>
      <c r="BV23">
        <f>INDEX($C$12:$BV$12,1)</f>
        <v/>
      </c>
    </row>
    <row r="24">
      <c r="A24" t="inlineStr">
        <is>
          <t>S_REACT_Y1@0 reversed</t>
        </is>
      </c>
      <c r="C24">
        <f>INDEX($C$13:$BV$13,72)</f>
        <v/>
      </c>
      <c r="D24">
        <f>INDEX($C$13:$BV$13,71)</f>
        <v/>
      </c>
      <c r="E24">
        <f>INDEX($C$13:$BV$13,70)</f>
        <v/>
      </c>
      <c r="F24">
        <f>INDEX($C$13:$BV$13,69)</f>
        <v/>
      </c>
      <c r="G24">
        <f>INDEX($C$13:$BV$13,68)</f>
        <v/>
      </c>
      <c r="H24">
        <f>INDEX($C$13:$BV$13,67)</f>
        <v/>
      </c>
      <c r="I24">
        <f>INDEX($C$13:$BV$13,66)</f>
        <v/>
      </c>
      <c r="J24">
        <f>INDEX($C$13:$BV$13,65)</f>
        <v/>
      </c>
      <c r="K24">
        <f>INDEX($C$13:$BV$13,64)</f>
        <v/>
      </c>
      <c r="L24">
        <f>INDEX($C$13:$BV$13,63)</f>
        <v/>
      </c>
      <c r="M24">
        <f>INDEX($C$13:$BV$13,62)</f>
        <v/>
      </c>
      <c r="N24">
        <f>INDEX($C$13:$BV$13,61)</f>
        <v/>
      </c>
      <c r="O24">
        <f>INDEX($C$13:$BV$13,60)</f>
        <v/>
      </c>
      <c r="P24">
        <f>INDEX($C$13:$BV$13,59)</f>
        <v/>
      </c>
      <c r="Q24">
        <f>INDEX($C$13:$BV$13,58)</f>
        <v/>
      </c>
      <c r="R24">
        <f>INDEX($C$13:$BV$13,57)</f>
        <v/>
      </c>
      <c r="S24">
        <f>INDEX($C$13:$BV$13,56)</f>
        <v/>
      </c>
      <c r="T24">
        <f>INDEX($C$13:$BV$13,55)</f>
        <v/>
      </c>
      <c r="U24">
        <f>INDEX($C$13:$BV$13,54)</f>
        <v/>
      </c>
      <c r="V24">
        <f>INDEX($C$13:$BV$13,53)</f>
        <v/>
      </c>
      <c r="W24">
        <f>INDEX($C$13:$BV$13,52)</f>
        <v/>
      </c>
      <c r="X24">
        <f>INDEX($C$13:$BV$13,51)</f>
        <v/>
      </c>
      <c r="Y24">
        <f>INDEX($C$13:$BV$13,50)</f>
        <v/>
      </c>
      <c r="Z24">
        <f>INDEX($C$13:$BV$13,49)</f>
        <v/>
      </c>
      <c r="AA24">
        <f>INDEX($C$13:$BV$13,48)</f>
        <v/>
      </c>
      <c r="AB24">
        <f>INDEX($C$13:$BV$13,47)</f>
        <v/>
      </c>
      <c r="AC24">
        <f>INDEX($C$13:$BV$13,46)</f>
        <v/>
      </c>
      <c r="AD24">
        <f>INDEX($C$13:$BV$13,45)</f>
        <v/>
      </c>
      <c r="AE24">
        <f>INDEX($C$13:$BV$13,44)</f>
        <v/>
      </c>
      <c r="AF24">
        <f>INDEX($C$13:$BV$13,43)</f>
        <v/>
      </c>
      <c r="AG24">
        <f>INDEX($C$13:$BV$13,42)</f>
        <v/>
      </c>
      <c r="AH24">
        <f>INDEX($C$13:$BV$13,41)</f>
        <v/>
      </c>
      <c r="AI24">
        <f>INDEX($C$13:$BV$13,40)</f>
        <v/>
      </c>
      <c r="AJ24">
        <f>INDEX($C$13:$BV$13,39)</f>
        <v/>
      </c>
      <c r="AK24">
        <f>INDEX($C$13:$BV$13,38)</f>
        <v/>
      </c>
      <c r="AL24">
        <f>INDEX($C$13:$BV$13,37)</f>
        <v/>
      </c>
      <c r="AM24">
        <f>INDEX($C$13:$BV$13,36)</f>
        <v/>
      </c>
      <c r="AN24">
        <f>INDEX($C$13:$BV$13,35)</f>
        <v/>
      </c>
      <c r="AO24">
        <f>INDEX($C$13:$BV$13,34)</f>
        <v/>
      </c>
      <c r="AP24">
        <f>INDEX($C$13:$BV$13,33)</f>
        <v/>
      </c>
      <c r="AQ24">
        <f>INDEX($C$13:$BV$13,32)</f>
        <v/>
      </c>
      <c r="AR24">
        <f>INDEX($C$13:$BV$13,31)</f>
        <v/>
      </c>
      <c r="AS24">
        <f>INDEX($C$13:$BV$13,30)</f>
        <v/>
      </c>
      <c r="AT24">
        <f>INDEX($C$13:$BV$13,29)</f>
        <v/>
      </c>
      <c r="AU24">
        <f>INDEX($C$13:$BV$13,28)</f>
        <v/>
      </c>
      <c r="AV24">
        <f>INDEX($C$13:$BV$13,27)</f>
        <v/>
      </c>
      <c r="AW24">
        <f>INDEX($C$13:$BV$13,26)</f>
        <v/>
      </c>
      <c r="AX24">
        <f>INDEX($C$13:$BV$13,25)</f>
        <v/>
      </c>
      <c r="AY24">
        <f>INDEX($C$13:$BV$13,24)</f>
        <v/>
      </c>
      <c r="AZ24">
        <f>INDEX($C$13:$BV$13,23)</f>
        <v/>
      </c>
      <c r="BA24">
        <f>INDEX($C$13:$BV$13,22)</f>
        <v/>
      </c>
      <c r="BB24">
        <f>INDEX($C$13:$BV$13,21)</f>
        <v/>
      </c>
      <c r="BC24">
        <f>INDEX($C$13:$BV$13,20)</f>
        <v/>
      </c>
      <c r="BD24">
        <f>INDEX($C$13:$BV$13,19)</f>
        <v/>
      </c>
      <c r="BE24">
        <f>INDEX($C$13:$BV$13,18)</f>
        <v/>
      </c>
      <c r="BF24">
        <f>INDEX($C$13:$BV$13,17)</f>
        <v/>
      </c>
      <c r="BG24">
        <f>INDEX($C$13:$BV$13,16)</f>
        <v/>
      </c>
      <c r="BH24">
        <f>INDEX($C$13:$BV$13,15)</f>
        <v/>
      </c>
      <c r="BI24">
        <f>INDEX($C$13:$BV$13,14)</f>
        <v/>
      </c>
      <c r="BJ24">
        <f>INDEX($C$13:$BV$13,13)</f>
        <v/>
      </c>
      <c r="BK24">
        <f>INDEX($C$13:$BV$13,12)</f>
        <v/>
      </c>
      <c r="BL24">
        <f>INDEX($C$13:$BV$13,11)</f>
        <v/>
      </c>
      <c r="BM24">
        <f>INDEX($C$13:$BV$13,10)</f>
        <v/>
      </c>
      <c r="BN24">
        <f>INDEX($C$13:$BV$13,9)</f>
        <v/>
      </c>
      <c r="BO24">
        <f>INDEX($C$13:$BV$13,8)</f>
        <v/>
      </c>
      <c r="BP24">
        <f>INDEX($C$13:$BV$13,7)</f>
        <v/>
      </c>
      <c r="BQ24">
        <f>INDEX($C$13:$BV$13,6)</f>
        <v/>
      </c>
      <c r="BR24">
        <f>INDEX($C$13:$BV$13,5)</f>
        <v/>
      </c>
      <c r="BS24">
        <f>INDEX($C$13:$BV$13,4)</f>
        <v/>
      </c>
      <c r="BT24">
        <f>INDEX($C$13:$BV$13,3)</f>
        <v/>
      </c>
      <c r="BU24">
        <f>INDEX($C$13:$BV$13,2)</f>
        <v/>
      </c>
      <c r="BV24">
        <f>INDEX($C$13:$BV$13,1)</f>
        <v/>
      </c>
    </row>
    <row r="26">
      <c r="A26" s="1" t="inlineStr">
        <is>
          <t>@1: forecast</t>
        </is>
      </c>
    </row>
    <row r="27">
      <c r="A27" t="inlineStr">
        <is>
          <t>S_MONTHLY@1</t>
        </is>
      </c>
      <c r="C27">
        <f>1</f>
        <v/>
      </c>
      <c r="D27">
        <f>C27*(1-IF(D$1=1,Params!$B$33,IF(D$1=2,Params!$B$35,IF(D$1=3,Params!$B$37,Params!$B$39))))</f>
        <v/>
      </c>
      <c r="E27">
        <f>D27*(1-IF(E$1=1,Params!$B$33,IF(E$1=2,Params!$B$35,IF(E$1=3,Params!$B$37,Params!$B$39))))</f>
        <v/>
      </c>
      <c r="F27">
        <f>E27*(1-IF(F$1=1,Params!$B$33,IF(F$1=2,Params!$B$35,IF(F$1=3,Params!$B$37,Params!$B$39))))</f>
        <v/>
      </c>
      <c r="G27">
        <f>F27*(1-IF(G$1=1,Params!$B$33,IF(G$1=2,Params!$B$35,IF(G$1=3,Params!$B$37,Params!$B$39))))</f>
        <v/>
      </c>
      <c r="H27">
        <f>G27*(1-IF(H$1=1,Params!$B$33,IF(H$1=2,Params!$B$35,IF(H$1=3,Params!$B$37,Params!$B$39))))</f>
        <v/>
      </c>
      <c r="I27">
        <f>H27*(1-IF(I$1=1,Params!$B$33,IF(I$1=2,Params!$B$35,IF(I$1=3,Params!$B$37,Params!$B$39))))</f>
        <v/>
      </c>
      <c r="J27">
        <f>I27*(1-IF(J$1=1,Params!$B$33,IF(J$1=2,Params!$B$35,IF(J$1=3,Params!$B$37,Params!$B$39))))</f>
        <v/>
      </c>
      <c r="K27">
        <f>J27*(1-IF(K$1=1,Params!$B$33,IF(K$1=2,Params!$B$35,IF(K$1=3,Params!$B$37,Params!$B$39))))</f>
        <v/>
      </c>
      <c r="L27">
        <f>K27*(1-IF(L$1=1,Params!$B$33,IF(L$1=2,Params!$B$35,IF(L$1=3,Params!$B$37,Params!$B$39))))</f>
        <v/>
      </c>
      <c r="M27">
        <f>L27*(1-IF(M$1=1,Params!$B$33,IF(M$1=2,Params!$B$35,IF(M$1=3,Params!$B$37,Params!$B$39))))</f>
        <v/>
      </c>
      <c r="N27">
        <f>M27*(1-IF(N$1=1,Params!$B$33,IF(N$1=2,Params!$B$35,IF(N$1=3,Params!$B$37,Params!$B$39))))</f>
        <v/>
      </c>
      <c r="O27">
        <f>N27*(1-IF(O$1=1,Params!$B$33,IF(O$1=2,Params!$B$35,IF(O$1=3,Params!$B$37,Params!$B$39))))</f>
        <v/>
      </c>
      <c r="P27">
        <f>O27*(1-IF(P$1=1,Params!$B$33,IF(P$1=2,Params!$B$35,IF(P$1=3,Params!$B$37,Params!$B$39))))</f>
        <v/>
      </c>
      <c r="Q27">
        <f>P27*(1-IF(Q$1=1,Params!$B$33,IF(Q$1=2,Params!$B$35,IF(Q$1=3,Params!$B$37,Params!$B$39))))</f>
        <v/>
      </c>
      <c r="R27">
        <f>Q27*(1-IF(R$1=1,Params!$B$33,IF(R$1=2,Params!$B$35,IF(R$1=3,Params!$B$37,Params!$B$39))))</f>
        <v/>
      </c>
      <c r="S27">
        <f>R27*(1-IF(S$1=1,Params!$B$33,IF(S$1=2,Params!$B$35,IF(S$1=3,Params!$B$37,Params!$B$39))))</f>
        <v/>
      </c>
      <c r="T27">
        <f>S27*(1-IF(T$1=1,Params!$B$33,IF(T$1=2,Params!$B$35,IF(T$1=3,Params!$B$37,Params!$B$39))))</f>
        <v/>
      </c>
      <c r="U27">
        <f>T27*(1-IF(U$1=1,Params!$B$33,IF(U$1=2,Params!$B$35,IF(U$1=3,Params!$B$37,Params!$B$39))))</f>
        <v/>
      </c>
      <c r="V27">
        <f>U27*(1-IF(V$1=1,Params!$B$33,IF(V$1=2,Params!$B$35,IF(V$1=3,Params!$B$37,Params!$B$39))))</f>
        <v/>
      </c>
      <c r="W27">
        <f>V27*(1-IF(W$1=1,Params!$B$33,IF(W$1=2,Params!$B$35,IF(W$1=3,Params!$B$37,Params!$B$39))))</f>
        <v/>
      </c>
      <c r="X27">
        <f>W27*(1-IF(X$1=1,Params!$B$33,IF(X$1=2,Params!$B$35,IF(X$1=3,Params!$B$37,Params!$B$39))))</f>
        <v/>
      </c>
      <c r="Y27">
        <f>X27*(1-IF(Y$1=1,Params!$B$33,IF(Y$1=2,Params!$B$35,IF(Y$1=3,Params!$B$37,Params!$B$39))))</f>
        <v/>
      </c>
      <c r="Z27">
        <f>Y27*(1-IF(Z$1=1,Params!$B$33,IF(Z$1=2,Params!$B$35,IF(Z$1=3,Params!$B$37,Params!$B$39))))</f>
        <v/>
      </c>
      <c r="AA27">
        <f>Z27*(1-IF(AA$1=1,Params!$B$33,IF(AA$1=2,Params!$B$35,IF(AA$1=3,Params!$B$37,Params!$B$39))))</f>
        <v/>
      </c>
      <c r="AB27">
        <f>AA27*(1-IF(AB$1=1,Params!$B$33,IF(AB$1=2,Params!$B$35,IF(AB$1=3,Params!$B$37,Params!$B$39))))</f>
        <v/>
      </c>
      <c r="AC27">
        <f>AB27*(1-IF(AC$1=1,Params!$B$33,IF(AC$1=2,Params!$B$35,IF(AC$1=3,Params!$B$37,Params!$B$39))))</f>
        <v/>
      </c>
      <c r="AD27">
        <f>AC27*(1-IF(AD$1=1,Params!$B$33,IF(AD$1=2,Params!$B$35,IF(AD$1=3,Params!$B$37,Params!$B$39))))</f>
        <v/>
      </c>
      <c r="AE27">
        <f>AD27*(1-IF(AE$1=1,Params!$B$33,IF(AE$1=2,Params!$B$35,IF(AE$1=3,Params!$B$37,Params!$B$39))))</f>
        <v/>
      </c>
      <c r="AF27">
        <f>AE27*(1-IF(AF$1=1,Params!$B$33,IF(AF$1=2,Params!$B$35,IF(AF$1=3,Params!$B$37,Params!$B$39))))</f>
        <v/>
      </c>
      <c r="AG27">
        <f>AF27*(1-IF(AG$1=1,Params!$B$33,IF(AG$1=2,Params!$B$35,IF(AG$1=3,Params!$B$37,Params!$B$39))))</f>
        <v/>
      </c>
      <c r="AH27">
        <f>AG27*(1-IF(AH$1=1,Params!$B$33,IF(AH$1=2,Params!$B$35,IF(AH$1=3,Params!$B$37,Params!$B$39))))</f>
        <v/>
      </c>
      <c r="AI27">
        <f>AH27*(1-IF(AI$1=1,Params!$B$33,IF(AI$1=2,Params!$B$35,IF(AI$1=3,Params!$B$37,Params!$B$39))))</f>
        <v/>
      </c>
      <c r="AJ27">
        <f>AI27*(1-IF(AJ$1=1,Params!$B$33,IF(AJ$1=2,Params!$B$35,IF(AJ$1=3,Params!$B$37,Params!$B$39))))</f>
        <v/>
      </c>
      <c r="AK27">
        <f>AJ27*(1-IF(AK$1=1,Params!$B$33,IF(AK$1=2,Params!$B$35,IF(AK$1=3,Params!$B$37,Params!$B$39))))</f>
        <v/>
      </c>
      <c r="AL27">
        <f>AK27*(1-IF(AL$1=1,Params!$B$33,IF(AL$1=2,Params!$B$35,IF(AL$1=3,Params!$B$37,Params!$B$39))))</f>
        <v/>
      </c>
      <c r="AM27">
        <f>AL27*(1-IF(AM$1=1,Params!$B$33,IF(AM$1=2,Params!$B$35,IF(AM$1=3,Params!$B$37,Params!$B$39))))</f>
        <v/>
      </c>
      <c r="AN27">
        <f>AM27*(1-IF(AN$1=1,Params!$B$33,IF(AN$1=2,Params!$B$35,IF(AN$1=3,Params!$B$37,Params!$B$39))))</f>
        <v/>
      </c>
      <c r="AO27">
        <f>AN27*(1-IF(AO$1=1,Params!$B$33,IF(AO$1=2,Params!$B$35,IF(AO$1=3,Params!$B$37,Params!$B$39))))</f>
        <v/>
      </c>
      <c r="AP27">
        <f>AO27*(1-IF(AP$1=1,Params!$B$33,IF(AP$1=2,Params!$B$35,IF(AP$1=3,Params!$B$37,Params!$B$39))))</f>
        <v/>
      </c>
      <c r="AQ27">
        <f>AP27*(1-IF(AQ$1=1,Params!$B$33,IF(AQ$1=2,Params!$B$35,IF(AQ$1=3,Params!$B$37,Params!$B$39))))</f>
        <v/>
      </c>
      <c r="AR27">
        <f>AQ27*(1-IF(AR$1=1,Params!$B$33,IF(AR$1=2,Params!$B$35,IF(AR$1=3,Params!$B$37,Params!$B$39))))</f>
        <v/>
      </c>
      <c r="AS27">
        <f>AR27*(1-IF(AS$1=1,Params!$B$33,IF(AS$1=2,Params!$B$35,IF(AS$1=3,Params!$B$37,Params!$B$39))))</f>
        <v/>
      </c>
      <c r="AT27">
        <f>AS27*(1-IF(AT$1=1,Params!$B$33,IF(AT$1=2,Params!$B$35,IF(AT$1=3,Params!$B$37,Params!$B$39))))</f>
        <v/>
      </c>
      <c r="AU27">
        <f>AT27*(1-IF(AU$1=1,Params!$B$33,IF(AU$1=2,Params!$B$35,IF(AU$1=3,Params!$B$37,Params!$B$39))))</f>
        <v/>
      </c>
      <c r="AV27">
        <f>AU27*(1-IF(AV$1=1,Params!$B$33,IF(AV$1=2,Params!$B$35,IF(AV$1=3,Params!$B$37,Params!$B$39))))</f>
        <v/>
      </c>
      <c r="AW27">
        <f>AV27*(1-IF(AW$1=1,Params!$B$33,IF(AW$1=2,Params!$B$35,IF(AW$1=3,Params!$B$37,Params!$B$39))))</f>
        <v/>
      </c>
      <c r="AX27">
        <f>AW27*(1-IF(AX$1=1,Params!$B$33,IF(AX$1=2,Params!$B$35,IF(AX$1=3,Params!$B$37,Params!$B$39))))</f>
        <v/>
      </c>
      <c r="AY27">
        <f>AX27*(1-IF(AY$1=1,Params!$B$33,IF(AY$1=2,Params!$B$35,IF(AY$1=3,Params!$B$37,Params!$B$39))))</f>
        <v/>
      </c>
      <c r="AZ27">
        <f>AY27*(1-IF(AZ$1=1,Params!$B$33,IF(AZ$1=2,Params!$B$35,IF(AZ$1=3,Params!$B$37,Params!$B$39))))</f>
        <v/>
      </c>
      <c r="BA27">
        <f>AZ27*(1-IF(BA$1=1,Params!$B$33,IF(BA$1=2,Params!$B$35,IF(BA$1=3,Params!$B$37,Params!$B$39))))</f>
        <v/>
      </c>
      <c r="BB27">
        <f>BA27*(1-IF(BB$1=1,Params!$B$33,IF(BB$1=2,Params!$B$35,IF(BB$1=3,Params!$B$37,Params!$B$39))))</f>
        <v/>
      </c>
      <c r="BC27">
        <f>BB27*(1-IF(BC$1=1,Params!$B$33,IF(BC$1=2,Params!$B$35,IF(BC$1=3,Params!$B$37,Params!$B$39))))</f>
        <v/>
      </c>
      <c r="BD27">
        <f>BC27*(1-IF(BD$1=1,Params!$B$33,IF(BD$1=2,Params!$B$35,IF(BD$1=3,Params!$B$37,Params!$B$39))))</f>
        <v/>
      </c>
      <c r="BE27">
        <f>BD27*(1-IF(BE$1=1,Params!$B$33,IF(BE$1=2,Params!$B$35,IF(BE$1=3,Params!$B$37,Params!$B$39))))</f>
        <v/>
      </c>
      <c r="BF27">
        <f>BE27*(1-IF(BF$1=1,Params!$B$33,IF(BF$1=2,Params!$B$35,IF(BF$1=3,Params!$B$37,Params!$B$39))))</f>
        <v/>
      </c>
      <c r="BG27">
        <f>BF27*(1-IF(BG$1=1,Params!$B$33,IF(BG$1=2,Params!$B$35,IF(BG$1=3,Params!$B$37,Params!$B$39))))</f>
        <v/>
      </c>
      <c r="BH27">
        <f>BG27*(1-IF(BH$1=1,Params!$B$33,IF(BH$1=2,Params!$B$35,IF(BH$1=3,Params!$B$37,Params!$B$39))))</f>
        <v/>
      </c>
      <c r="BI27">
        <f>BH27*(1-IF(BI$1=1,Params!$B$33,IF(BI$1=2,Params!$B$35,IF(BI$1=3,Params!$B$37,Params!$B$39))))</f>
        <v/>
      </c>
      <c r="BJ27">
        <f>BI27*(1-IF(BJ$1=1,Params!$B$33,IF(BJ$1=2,Params!$B$35,IF(BJ$1=3,Params!$B$37,Params!$B$39))))</f>
        <v/>
      </c>
      <c r="BK27">
        <f>BJ27*(1-IF(BK$1=1,Params!$B$33,IF(BK$1=2,Params!$B$35,IF(BK$1=3,Params!$B$37,Params!$B$39))))</f>
        <v/>
      </c>
      <c r="BL27">
        <f>BK27*(1-IF(BL$1=1,Params!$B$33,IF(BL$1=2,Params!$B$35,IF(BL$1=3,Params!$B$37,Params!$B$39))))</f>
        <v/>
      </c>
      <c r="BM27">
        <f>BL27*(1-IF(BM$1=1,Params!$B$33,IF(BM$1=2,Params!$B$35,IF(BM$1=3,Params!$B$37,Params!$B$39))))</f>
        <v/>
      </c>
      <c r="BN27">
        <f>BM27*(1-IF(BN$1=1,Params!$B$33,IF(BN$1=2,Params!$B$35,IF(BN$1=3,Params!$B$37,Params!$B$39))))</f>
        <v/>
      </c>
      <c r="BO27">
        <f>BN27*(1-IF(BO$1=1,Params!$B$33,IF(BO$1=2,Params!$B$35,IF(BO$1=3,Params!$B$37,Params!$B$39))))</f>
        <v/>
      </c>
      <c r="BP27">
        <f>BO27*(1-IF(BP$1=1,Params!$B$33,IF(BP$1=2,Params!$B$35,IF(BP$1=3,Params!$B$37,Params!$B$39))))</f>
        <v/>
      </c>
      <c r="BQ27">
        <f>BP27*(1-IF(BQ$1=1,Params!$B$33,IF(BQ$1=2,Params!$B$35,IF(BQ$1=3,Params!$B$37,Params!$B$39))))</f>
        <v/>
      </c>
      <c r="BR27">
        <f>BQ27*(1-IF(BR$1=1,Params!$B$33,IF(BR$1=2,Params!$B$35,IF(BR$1=3,Params!$B$37,Params!$B$39))))</f>
        <v/>
      </c>
      <c r="BS27">
        <f>BR27*(1-IF(BS$1=1,Params!$B$33,IF(BS$1=2,Params!$B$35,IF(BS$1=3,Params!$B$37,Params!$B$39))))</f>
        <v/>
      </c>
      <c r="BT27">
        <f>BS27*(1-IF(BT$1=1,Params!$B$33,IF(BT$1=2,Params!$B$35,IF(BT$1=3,Params!$B$37,Params!$B$39))))</f>
        <v/>
      </c>
      <c r="BU27">
        <f>BT27*(1-IF(BU$1=1,Params!$B$33,IF(BU$1=2,Params!$B$35,IF(BU$1=3,Params!$B$37,Params!$B$39))))</f>
        <v/>
      </c>
      <c r="BV27">
        <f>BU27*(1-IF(BV$1=1,Params!$B$33,IF(BV$1=2,Params!$B$35,IF(BV$1=3,Params!$B$37,Params!$B$39))))</f>
        <v/>
      </c>
    </row>
    <row r="28">
      <c r="A28" t="inlineStr">
        <is>
          <t>S_ANNUAL@1</t>
        </is>
      </c>
      <c r="C28">
        <f>IF(C$1&lt;12,1,Params!$B$41*Params!$B$43^(INT(C$1/12)-1))</f>
        <v/>
      </c>
      <c r="D28">
        <f>IF(D$1&lt;12,1,Params!$B$41*Params!$B$43^(INT(D$1/12)-1))</f>
        <v/>
      </c>
      <c r="E28">
        <f>IF(E$1&lt;12,1,Params!$B$41*Params!$B$43^(INT(E$1/12)-1))</f>
        <v/>
      </c>
      <c r="F28">
        <f>IF(F$1&lt;12,1,Params!$B$41*Params!$B$43^(INT(F$1/12)-1))</f>
        <v/>
      </c>
      <c r="G28">
        <f>IF(G$1&lt;12,1,Params!$B$41*Params!$B$43^(INT(G$1/12)-1))</f>
        <v/>
      </c>
      <c r="H28">
        <f>IF(H$1&lt;12,1,Params!$B$41*Params!$B$43^(INT(H$1/12)-1))</f>
        <v/>
      </c>
      <c r="I28">
        <f>IF(I$1&lt;12,1,Params!$B$41*Params!$B$43^(INT(I$1/12)-1))</f>
        <v/>
      </c>
      <c r="J28">
        <f>IF(J$1&lt;12,1,Params!$B$41*Params!$B$43^(INT(J$1/12)-1))</f>
        <v/>
      </c>
      <c r="K28">
        <f>IF(K$1&lt;12,1,Params!$B$41*Params!$B$43^(INT(K$1/12)-1))</f>
        <v/>
      </c>
      <c r="L28">
        <f>IF(L$1&lt;12,1,Params!$B$41*Params!$B$43^(INT(L$1/12)-1))</f>
        <v/>
      </c>
      <c r="M28">
        <f>IF(M$1&lt;12,1,Params!$B$41*Params!$B$43^(INT(M$1/12)-1))</f>
        <v/>
      </c>
      <c r="N28">
        <f>IF(N$1&lt;12,1,Params!$B$41*Params!$B$43^(INT(N$1/12)-1))</f>
        <v/>
      </c>
      <c r="O28">
        <f>IF(O$1&lt;12,1,Params!$B$41*Params!$B$43^(INT(O$1/12)-1))</f>
        <v/>
      </c>
      <c r="P28">
        <f>IF(P$1&lt;12,1,Params!$B$41*Params!$B$43^(INT(P$1/12)-1))</f>
        <v/>
      </c>
      <c r="Q28">
        <f>IF(Q$1&lt;12,1,Params!$B$41*Params!$B$43^(INT(Q$1/12)-1))</f>
        <v/>
      </c>
      <c r="R28">
        <f>IF(R$1&lt;12,1,Params!$B$41*Params!$B$43^(INT(R$1/12)-1))</f>
        <v/>
      </c>
      <c r="S28">
        <f>IF(S$1&lt;12,1,Params!$B$41*Params!$B$43^(INT(S$1/12)-1))</f>
        <v/>
      </c>
      <c r="T28">
        <f>IF(T$1&lt;12,1,Params!$B$41*Params!$B$43^(INT(T$1/12)-1))</f>
        <v/>
      </c>
      <c r="U28">
        <f>IF(U$1&lt;12,1,Params!$B$41*Params!$B$43^(INT(U$1/12)-1))</f>
        <v/>
      </c>
      <c r="V28">
        <f>IF(V$1&lt;12,1,Params!$B$41*Params!$B$43^(INT(V$1/12)-1))</f>
        <v/>
      </c>
      <c r="W28">
        <f>IF(W$1&lt;12,1,Params!$B$41*Params!$B$43^(INT(W$1/12)-1))</f>
        <v/>
      </c>
      <c r="X28">
        <f>IF(X$1&lt;12,1,Params!$B$41*Params!$B$43^(INT(X$1/12)-1))</f>
        <v/>
      </c>
      <c r="Y28">
        <f>IF(Y$1&lt;12,1,Params!$B$41*Params!$B$43^(INT(Y$1/12)-1))</f>
        <v/>
      </c>
      <c r="Z28">
        <f>IF(Z$1&lt;12,1,Params!$B$41*Params!$B$43^(INT(Z$1/12)-1))</f>
        <v/>
      </c>
      <c r="AA28">
        <f>IF(AA$1&lt;12,1,Params!$B$41*Params!$B$43^(INT(AA$1/12)-1))</f>
        <v/>
      </c>
      <c r="AB28">
        <f>IF(AB$1&lt;12,1,Params!$B$41*Params!$B$43^(INT(AB$1/12)-1))</f>
        <v/>
      </c>
      <c r="AC28">
        <f>IF(AC$1&lt;12,1,Params!$B$41*Params!$B$43^(INT(AC$1/12)-1))</f>
        <v/>
      </c>
      <c r="AD28">
        <f>IF(AD$1&lt;12,1,Params!$B$41*Params!$B$43^(INT(AD$1/12)-1))</f>
        <v/>
      </c>
      <c r="AE28">
        <f>IF(AE$1&lt;12,1,Params!$B$41*Params!$B$43^(INT(AE$1/12)-1))</f>
        <v/>
      </c>
      <c r="AF28">
        <f>IF(AF$1&lt;12,1,Params!$B$41*Params!$B$43^(INT(AF$1/12)-1))</f>
        <v/>
      </c>
      <c r="AG28">
        <f>IF(AG$1&lt;12,1,Params!$B$41*Params!$B$43^(INT(AG$1/12)-1))</f>
        <v/>
      </c>
      <c r="AH28">
        <f>IF(AH$1&lt;12,1,Params!$B$41*Params!$B$43^(INT(AH$1/12)-1))</f>
        <v/>
      </c>
      <c r="AI28">
        <f>IF(AI$1&lt;12,1,Params!$B$41*Params!$B$43^(INT(AI$1/12)-1))</f>
        <v/>
      </c>
      <c r="AJ28">
        <f>IF(AJ$1&lt;12,1,Params!$B$41*Params!$B$43^(INT(AJ$1/12)-1))</f>
        <v/>
      </c>
      <c r="AK28">
        <f>IF(AK$1&lt;12,1,Params!$B$41*Params!$B$43^(INT(AK$1/12)-1))</f>
        <v/>
      </c>
      <c r="AL28">
        <f>IF(AL$1&lt;12,1,Params!$B$41*Params!$B$43^(INT(AL$1/12)-1))</f>
        <v/>
      </c>
      <c r="AM28">
        <f>IF(AM$1&lt;12,1,Params!$B$41*Params!$B$43^(INT(AM$1/12)-1))</f>
        <v/>
      </c>
      <c r="AN28">
        <f>IF(AN$1&lt;12,1,Params!$B$41*Params!$B$43^(INT(AN$1/12)-1))</f>
        <v/>
      </c>
      <c r="AO28">
        <f>IF(AO$1&lt;12,1,Params!$B$41*Params!$B$43^(INT(AO$1/12)-1))</f>
        <v/>
      </c>
      <c r="AP28">
        <f>IF(AP$1&lt;12,1,Params!$B$41*Params!$B$43^(INT(AP$1/12)-1))</f>
        <v/>
      </c>
      <c r="AQ28">
        <f>IF(AQ$1&lt;12,1,Params!$B$41*Params!$B$43^(INT(AQ$1/12)-1))</f>
        <v/>
      </c>
      <c r="AR28">
        <f>IF(AR$1&lt;12,1,Params!$B$41*Params!$B$43^(INT(AR$1/12)-1))</f>
        <v/>
      </c>
      <c r="AS28">
        <f>IF(AS$1&lt;12,1,Params!$B$41*Params!$B$43^(INT(AS$1/12)-1))</f>
        <v/>
      </c>
      <c r="AT28">
        <f>IF(AT$1&lt;12,1,Params!$B$41*Params!$B$43^(INT(AT$1/12)-1))</f>
        <v/>
      </c>
      <c r="AU28">
        <f>IF(AU$1&lt;12,1,Params!$B$41*Params!$B$43^(INT(AU$1/12)-1))</f>
        <v/>
      </c>
      <c r="AV28">
        <f>IF(AV$1&lt;12,1,Params!$B$41*Params!$B$43^(INT(AV$1/12)-1))</f>
        <v/>
      </c>
      <c r="AW28">
        <f>IF(AW$1&lt;12,1,Params!$B$41*Params!$B$43^(INT(AW$1/12)-1))</f>
        <v/>
      </c>
      <c r="AX28">
        <f>IF(AX$1&lt;12,1,Params!$B$41*Params!$B$43^(INT(AX$1/12)-1))</f>
        <v/>
      </c>
      <c r="AY28">
        <f>IF(AY$1&lt;12,1,Params!$B$41*Params!$B$43^(INT(AY$1/12)-1))</f>
        <v/>
      </c>
      <c r="AZ28">
        <f>IF(AZ$1&lt;12,1,Params!$B$41*Params!$B$43^(INT(AZ$1/12)-1))</f>
        <v/>
      </c>
      <c r="BA28">
        <f>IF(BA$1&lt;12,1,Params!$B$41*Params!$B$43^(INT(BA$1/12)-1))</f>
        <v/>
      </c>
      <c r="BB28">
        <f>IF(BB$1&lt;12,1,Params!$B$41*Params!$B$43^(INT(BB$1/12)-1))</f>
        <v/>
      </c>
      <c r="BC28">
        <f>IF(BC$1&lt;12,1,Params!$B$41*Params!$B$43^(INT(BC$1/12)-1))</f>
        <v/>
      </c>
      <c r="BD28">
        <f>IF(BD$1&lt;12,1,Params!$B$41*Params!$B$43^(INT(BD$1/12)-1))</f>
        <v/>
      </c>
      <c r="BE28">
        <f>IF(BE$1&lt;12,1,Params!$B$41*Params!$B$43^(INT(BE$1/12)-1))</f>
        <v/>
      </c>
      <c r="BF28">
        <f>IF(BF$1&lt;12,1,Params!$B$41*Params!$B$43^(INT(BF$1/12)-1))</f>
        <v/>
      </c>
      <c r="BG28">
        <f>IF(BG$1&lt;12,1,Params!$B$41*Params!$B$43^(INT(BG$1/12)-1))</f>
        <v/>
      </c>
      <c r="BH28">
        <f>IF(BH$1&lt;12,1,Params!$B$41*Params!$B$43^(INT(BH$1/12)-1))</f>
        <v/>
      </c>
      <c r="BI28">
        <f>IF(BI$1&lt;12,1,Params!$B$41*Params!$B$43^(INT(BI$1/12)-1))</f>
        <v/>
      </c>
      <c r="BJ28">
        <f>IF(BJ$1&lt;12,1,Params!$B$41*Params!$B$43^(INT(BJ$1/12)-1))</f>
        <v/>
      </c>
      <c r="BK28">
        <f>IF(BK$1&lt;12,1,Params!$B$41*Params!$B$43^(INT(BK$1/12)-1))</f>
        <v/>
      </c>
      <c r="BL28">
        <f>IF(BL$1&lt;12,1,Params!$B$41*Params!$B$43^(INT(BL$1/12)-1))</f>
        <v/>
      </c>
      <c r="BM28">
        <f>IF(BM$1&lt;12,1,Params!$B$41*Params!$B$43^(INT(BM$1/12)-1))</f>
        <v/>
      </c>
      <c r="BN28">
        <f>IF(BN$1&lt;12,1,Params!$B$41*Params!$B$43^(INT(BN$1/12)-1))</f>
        <v/>
      </c>
      <c r="BO28">
        <f>IF(BO$1&lt;12,1,Params!$B$41*Params!$B$43^(INT(BO$1/12)-1))</f>
        <v/>
      </c>
      <c r="BP28">
        <f>IF(BP$1&lt;12,1,Params!$B$41*Params!$B$43^(INT(BP$1/12)-1))</f>
        <v/>
      </c>
      <c r="BQ28">
        <f>IF(BQ$1&lt;12,1,Params!$B$41*Params!$B$43^(INT(BQ$1/12)-1))</f>
        <v/>
      </c>
      <c r="BR28">
        <f>IF(BR$1&lt;12,1,Params!$B$41*Params!$B$43^(INT(BR$1/12)-1))</f>
        <v/>
      </c>
      <c r="BS28">
        <f>IF(BS$1&lt;12,1,Params!$B$41*Params!$B$43^(INT(BS$1/12)-1))</f>
        <v/>
      </c>
      <c r="BT28">
        <f>IF(BT$1&lt;12,1,Params!$B$41*Params!$B$43^(INT(BT$1/12)-1))</f>
        <v/>
      </c>
      <c r="BU28">
        <f>IF(BU$1&lt;12,1,Params!$B$41*Params!$B$43^(INT(BU$1/12)-1))</f>
        <v/>
      </c>
      <c r="BV28">
        <f>IF(BV$1&lt;12,1,Params!$B$41*Params!$B$43^(INT(BV$1/12)-1))</f>
        <v/>
      </c>
    </row>
    <row r="29">
      <c r="A29" t="inlineStr">
        <is>
          <t>D_MONTHLY@1</t>
        </is>
      </c>
      <c r="C29">
        <f>0</f>
        <v/>
      </c>
      <c r="D29">
        <f>C27-D27</f>
        <v/>
      </c>
      <c r="E29">
        <f>D27-E27</f>
        <v/>
      </c>
      <c r="F29">
        <f>E27-F27</f>
        <v/>
      </c>
      <c r="G29">
        <f>F27-G27</f>
        <v/>
      </c>
      <c r="H29">
        <f>G27-H27</f>
        <v/>
      </c>
      <c r="I29">
        <f>H27-I27</f>
        <v/>
      </c>
      <c r="J29">
        <f>I27-J27</f>
        <v/>
      </c>
      <c r="K29">
        <f>J27-K27</f>
        <v/>
      </c>
      <c r="L29">
        <f>K27-L27</f>
        <v/>
      </c>
      <c r="M29">
        <f>L27-M27</f>
        <v/>
      </c>
      <c r="N29">
        <f>M27-N27</f>
        <v/>
      </c>
      <c r="O29">
        <f>N27-O27</f>
        <v/>
      </c>
      <c r="P29">
        <f>O27-P27</f>
        <v/>
      </c>
      <c r="Q29">
        <f>P27-Q27</f>
        <v/>
      </c>
      <c r="R29">
        <f>Q27-R27</f>
        <v/>
      </c>
      <c r="S29">
        <f>R27-S27</f>
        <v/>
      </c>
      <c r="T29">
        <f>S27-T27</f>
        <v/>
      </c>
      <c r="U29">
        <f>T27-U27</f>
        <v/>
      </c>
      <c r="V29">
        <f>U27-V27</f>
        <v/>
      </c>
      <c r="W29">
        <f>V27-W27</f>
        <v/>
      </c>
      <c r="X29">
        <f>W27-X27</f>
        <v/>
      </c>
      <c r="Y29">
        <f>X27-Y27</f>
        <v/>
      </c>
      <c r="Z29">
        <f>Y27-Z27</f>
        <v/>
      </c>
      <c r="AA29">
        <f>Z27-AA27</f>
        <v/>
      </c>
      <c r="AB29">
        <f>AA27-AB27</f>
        <v/>
      </c>
      <c r="AC29">
        <f>AB27-AC27</f>
        <v/>
      </c>
      <c r="AD29">
        <f>AC27-AD27</f>
        <v/>
      </c>
      <c r="AE29">
        <f>AD27-AE27</f>
        <v/>
      </c>
      <c r="AF29">
        <f>AE27-AF27</f>
        <v/>
      </c>
      <c r="AG29">
        <f>AF27-AG27</f>
        <v/>
      </c>
      <c r="AH29">
        <f>AG27-AH27</f>
        <v/>
      </c>
      <c r="AI29">
        <f>AH27-AI27</f>
        <v/>
      </c>
      <c r="AJ29">
        <f>AI27-AJ27</f>
        <v/>
      </c>
      <c r="AK29">
        <f>AJ27-AK27</f>
        <v/>
      </c>
      <c r="AL29">
        <f>AK27-AL27</f>
        <v/>
      </c>
      <c r="AM29">
        <f>AL27-AM27</f>
        <v/>
      </c>
      <c r="AN29">
        <f>AM27-AN27</f>
        <v/>
      </c>
      <c r="AO29">
        <f>AN27-AO27</f>
        <v/>
      </c>
      <c r="AP29">
        <f>AO27-AP27</f>
        <v/>
      </c>
      <c r="AQ29">
        <f>AP27-AQ27</f>
        <v/>
      </c>
      <c r="AR29">
        <f>AQ27-AR27</f>
        <v/>
      </c>
      <c r="AS29">
        <f>AR27-AS27</f>
        <v/>
      </c>
      <c r="AT29">
        <f>AS27-AT27</f>
        <v/>
      </c>
      <c r="AU29">
        <f>AT27-AU27</f>
        <v/>
      </c>
      <c r="AV29">
        <f>AU27-AV27</f>
        <v/>
      </c>
      <c r="AW29">
        <f>AV27-AW27</f>
        <v/>
      </c>
      <c r="AX29">
        <f>AW27-AX27</f>
        <v/>
      </c>
      <c r="AY29">
        <f>AX27-AY27</f>
        <v/>
      </c>
      <c r="AZ29">
        <f>AY27-AZ27</f>
        <v/>
      </c>
      <c r="BA29">
        <f>AZ27-BA27</f>
        <v/>
      </c>
      <c r="BB29">
        <f>BA27-BB27</f>
        <v/>
      </c>
      <c r="BC29">
        <f>BB27-BC27</f>
        <v/>
      </c>
      <c r="BD29">
        <f>BC27-BD27</f>
        <v/>
      </c>
      <c r="BE29">
        <f>BD27-BE27</f>
        <v/>
      </c>
      <c r="BF29">
        <f>BE27-BF27</f>
        <v/>
      </c>
      <c r="BG29">
        <f>BF27-BG27</f>
        <v/>
      </c>
      <c r="BH29">
        <f>BG27-BH27</f>
        <v/>
      </c>
      <c r="BI29">
        <f>BH27-BI27</f>
        <v/>
      </c>
      <c r="BJ29">
        <f>BI27-BJ27</f>
        <v/>
      </c>
      <c r="BK29">
        <f>BJ27-BK27</f>
        <v/>
      </c>
      <c r="BL29">
        <f>BK27-BL27</f>
        <v/>
      </c>
      <c r="BM29">
        <f>BL27-BM27</f>
        <v/>
      </c>
      <c r="BN29">
        <f>BM27-BN27</f>
        <v/>
      </c>
      <c r="BO29">
        <f>BN27-BO27</f>
        <v/>
      </c>
      <c r="BP29">
        <f>BO27-BP27</f>
        <v/>
      </c>
      <c r="BQ29">
        <f>BP27-BQ27</f>
        <v/>
      </c>
      <c r="BR29">
        <f>BQ27-BR27</f>
        <v/>
      </c>
      <c r="BS29">
        <f>BR27-BS27</f>
        <v/>
      </c>
      <c r="BT29">
        <f>BS27-BT27</f>
        <v/>
      </c>
      <c r="BU29">
        <f>BT27-BU27</f>
        <v/>
      </c>
      <c r="BV29">
        <f>BU27-BV27</f>
        <v/>
      </c>
    </row>
    <row r="30">
      <c r="A30" t="inlineStr">
        <is>
          <t>D_ANNUAL@1</t>
        </is>
      </c>
      <c r="C30">
        <f>0</f>
        <v/>
      </c>
      <c r="D30">
        <f>C28-D28</f>
        <v/>
      </c>
      <c r="E30">
        <f>D28-E28</f>
        <v/>
      </c>
      <c r="F30">
        <f>E28-F28</f>
        <v/>
      </c>
      <c r="G30">
        <f>F28-G28</f>
        <v/>
      </c>
      <c r="H30">
        <f>G28-H28</f>
        <v/>
      </c>
      <c r="I30">
        <f>H28-I28</f>
        <v/>
      </c>
      <c r="J30">
        <f>I28-J28</f>
        <v/>
      </c>
      <c r="K30">
        <f>J28-K28</f>
        <v/>
      </c>
      <c r="L30">
        <f>K28-L28</f>
        <v/>
      </c>
      <c r="M30">
        <f>L28-M28</f>
        <v/>
      </c>
      <c r="N30">
        <f>M28-N28</f>
        <v/>
      </c>
      <c r="O30">
        <f>N28-O28</f>
        <v/>
      </c>
      <c r="P30">
        <f>O28-P28</f>
        <v/>
      </c>
      <c r="Q30">
        <f>P28-Q28</f>
        <v/>
      </c>
      <c r="R30">
        <f>Q28-R28</f>
        <v/>
      </c>
      <c r="S30">
        <f>R28-S28</f>
        <v/>
      </c>
      <c r="T30">
        <f>S28-T28</f>
        <v/>
      </c>
      <c r="U30">
        <f>T28-U28</f>
        <v/>
      </c>
      <c r="V30">
        <f>U28-V28</f>
        <v/>
      </c>
      <c r="W30">
        <f>V28-W28</f>
        <v/>
      </c>
      <c r="X30">
        <f>W28-X28</f>
        <v/>
      </c>
      <c r="Y30">
        <f>X28-Y28</f>
        <v/>
      </c>
      <c r="Z30">
        <f>Y28-Z28</f>
        <v/>
      </c>
      <c r="AA30">
        <f>Z28-AA28</f>
        <v/>
      </c>
      <c r="AB30">
        <f>AA28-AB28</f>
        <v/>
      </c>
      <c r="AC30">
        <f>AB28-AC28</f>
        <v/>
      </c>
      <c r="AD30">
        <f>AC28-AD28</f>
        <v/>
      </c>
      <c r="AE30">
        <f>AD28-AE28</f>
        <v/>
      </c>
      <c r="AF30">
        <f>AE28-AF28</f>
        <v/>
      </c>
      <c r="AG30">
        <f>AF28-AG28</f>
        <v/>
      </c>
      <c r="AH30">
        <f>AG28-AH28</f>
        <v/>
      </c>
      <c r="AI30">
        <f>AH28-AI28</f>
        <v/>
      </c>
      <c r="AJ30">
        <f>AI28-AJ28</f>
        <v/>
      </c>
      <c r="AK30">
        <f>AJ28-AK28</f>
        <v/>
      </c>
      <c r="AL30">
        <f>AK28-AL28</f>
        <v/>
      </c>
      <c r="AM30">
        <f>AL28-AM28</f>
        <v/>
      </c>
      <c r="AN30">
        <f>AM28-AN28</f>
        <v/>
      </c>
      <c r="AO30">
        <f>AN28-AO28</f>
        <v/>
      </c>
      <c r="AP30">
        <f>AO28-AP28</f>
        <v/>
      </c>
      <c r="AQ30">
        <f>AP28-AQ28</f>
        <v/>
      </c>
      <c r="AR30">
        <f>AQ28-AR28</f>
        <v/>
      </c>
      <c r="AS30">
        <f>AR28-AS28</f>
        <v/>
      </c>
      <c r="AT30">
        <f>AS28-AT28</f>
        <v/>
      </c>
      <c r="AU30">
        <f>AT28-AU28</f>
        <v/>
      </c>
      <c r="AV30">
        <f>AU28-AV28</f>
        <v/>
      </c>
      <c r="AW30">
        <f>AV28-AW28</f>
        <v/>
      </c>
      <c r="AX30">
        <f>AW28-AX28</f>
        <v/>
      </c>
      <c r="AY30">
        <f>AX28-AY28</f>
        <v/>
      </c>
      <c r="AZ30">
        <f>AY28-AZ28</f>
        <v/>
      </c>
      <c r="BA30">
        <f>AZ28-BA28</f>
        <v/>
      </c>
      <c r="BB30">
        <f>BA28-BB28</f>
        <v/>
      </c>
      <c r="BC30">
        <f>BB28-BC28</f>
        <v/>
      </c>
      <c r="BD30">
        <f>BC28-BD28</f>
        <v/>
      </c>
      <c r="BE30">
        <f>BD28-BE28</f>
        <v/>
      </c>
      <c r="BF30">
        <f>BE28-BF28</f>
        <v/>
      </c>
      <c r="BG30">
        <f>BF28-BG28</f>
        <v/>
      </c>
      <c r="BH30">
        <f>BG28-BH28</f>
        <v/>
      </c>
      <c r="BI30">
        <f>BH28-BI28</f>
        <v/>
      </c>
      <c r="BJ30">
        <f>BI28-BJ28</f>
        <v/>
      </c>
      <c r="BK30">
        <f>BJ28-BK28</f>
        <v/>
      </c>
      <c r="BL30">
        <f>BK28-BL28</f>
        <v/>
      </c>
      <c r="BM30">
        <f>BL28-BM28</f>
        <v/>
      </c>
      <c r="BN30">
        <f>BM28-BN28</f>
        <v/>
      </c>
      <c r="BO30">
        <f>BN28-BO28</f>
        <v/>
      </c>
      <c r="BP30">
        <f>BO28-BP28</f>
        <v/>
      </c>
      <c r="BQ30">
        <f>BP28-BQ28</f>
        <v/>
      </c>
      <c r="BR30">
        <f>BQ28-BR28</f>
        <v/>
      </c>
      <c r="BS30">
        <f>BR28-BS28</f>
        <v/>
      </c>
      <c r="BT30">
        <f>BS28-BT28</f>
        <v/>
      </c>
      <c r="BU30">
        <f>BT28-BU28</f>
        <v/>
      </c>
      <c r="BV30">
        <f>BU28-BV28</f>
        <v/>
      </c>
    </row>
    <row r="31">
      <c r="A31" t="inlineStr">
        <is>
          <t>S_REACT@1</t>
        </is>
      </c>
      <c r="C31">
        <f>(1-Params!$B$49)^C$1</f>
        <v/>
      </c>
      <c r="D31">
        <f>(1-Params!$B$49)^D$1</f>
        <v/>
      </c>
      <c r="E31">
        <f>(1-Params!$B$49)^E$1</f>
        <v/>
      </c>
      <c r="F31">
        <f>(1-Params!$B$49)^F$1</f>
        <v/>
      </c>
      <c r="G31">
        <f>(1-Params!$B$49)^G$1</f>
        <v/>
      </c>
      <c r="H31">
        <f>(1-Params!$B$49)^H$1</f>
        <v/>
      </c>
      <c r="I31">
        <f>(1-Params!$B$49)^I$1</f>
        <v/>
      </c>
      <c r="J31">
        <f>(1-Params!$B$49)^J$1</f>
        <v/>
      </c>
      <c r="K31">
        <f>(1-Params!$B$49)^K$1</f>
        <v/>
      </c>
      <c r="L31">
        <f>(1-Params!$B$49)^L$1</f>
        <v/>
      </c>
      <c r="M31">
        <f>(1-Params!$B$49)^M$1</f>
        <v/>
      </c>
      <c r="N31">
        <f>(1-Params!$B$49)^N$1</f>
        <v/>
      </c>
      <c r="O31">
        <f>(1-Params!$B$49)^O$1</f>
        <v/>
      </c>
      <c r="P31">
        <f>(1-Params!$B$49)^P$1</f>
        <v/>
      </c>
      <c r="Q31">
        <f>(1-Params!$B$49)^Q$1</f>
        <v/>
      </c>
      <c r="R31">
        <f>(1-Params!$B$49)^R$1</f>
        <v/>
      </c>
      <c r="S31">
        <f>(1-Params!$B$49)^S$1</f>
        <v/>
      </c>
      <c r="T31">
        <f>(1-Params!$B$49)^T$1</f>
        <v/>
      </c>
      <c r="U31">
        <f>(1-Params!$B$49)^U$1</f>
        <v/>
      </c>
      <c r="V31">
        <f>(1-Params!$B$49)^V$1</f>
        <v/>
      </c>
      <c r="W31">
        <f>(1-Params!$B$49)^W$1</f>
        <v/>
      </c>
      <c r="X31">
        <f>(1-Params!$B$49)^X$1</f>
        <v/>
      </c>
      <c r="Y31">
        <f>(1-Params!$B$49)^Y$1</f>
        <v/>
      </c>
      <c r="Z31">
        <f>(1-Params!$B$49)^Z$1</f>
        <v/>
      </c>
      <c r="AA31">
        <f>(1-Params!$B$49)^AA$1</f>
        <v/>
      </c>
      <c r="AB31">
        <f>(1-Params!$B$49)^AB$1</f>
        <v/>
      </c>
      <c r="AC31">
        <f>(1-Params!$B$49)^AC$1</f>
        <v/>
      </c>
      <c r="AD31">
        <f>(1-Params!$B$49)^AD$1</f>
        <v/>
      </c>
      <c r="AE31">
        <f>(1-Params!$B$49)^AE$1</f>
        <v/>
      </c>
      <c r="AF31">
        <f>(1-Params!$B$49)^AF$1</f>
        <v/>
      </c>
      <c r="AG31">
        <f>(1-Params!$B$49)^AG$1</f>
        <v/>
      </c>
      <c r="AH31">
        <f>(1-Params!$B$49)^AH$1</f>
        <v/>
      </c>
      <c r="AI31">
        <f>(1-Params!$B$49)^AI$1</f>
        <v/>
      </c>
      <c r="AJ31">
        <f>(1-Params!$B$49)^AJ$1</f>
        <v/>
      </c>
      <c r="AK31">
        <f>(1-Params!$B$49)^AK$1</f>
        <v/>
      </c>
      <c r="AL31">
        <f>(1-Params!$B$49)^AL$1</f>
        <v/>
      </c>
      <c r="AM31">
        <f>(1-Params!$B$49)^AM$1</f>
        <v/>
      </c>
      <c r="AN31">
        <f>(1-Params!$B$49)^AN$1</f>
        <v/>
      </c>
      <c r="AO31">
        <f>(1-Params!$B$49)^AO$1</f>
        <v/>
      </c>
      <c r="AP31">
        <f>(1-Params!$B$49)^AP$1</f>
        <v/>
      </c>
      <c r="AQ31">
        <f>(1-Params!$B$49)^AQ$1</f>
        <v/>
      </c>
      <c r="AR31">
        <f>(1-Params!$B$49)^AR$1</f>
        <v/>
      </c>
      <c r="AS31">
        <f>(1-Params!$B$49)^AS$1</f>
        <v/>
      </c>
      <c r="AT31">
        <f>(1-Params!$B$49)^AT$1</f>
        <v/>
      </c>
      <c r="AU31">
        <f>(1-Params!$B$49)^AU$1</f>
        <v/>
      </c>
      <c r="AV31">
        <f>(1-Params!$B$49)^AV$1</f>
        <v/>
      </c>
      <c r="AW31">
        <f>(1-Params!$B$49)^AW$1</f>
        <v/>
      </c>
      <c r="AX31">
        <f>(1-Params!$B$49)^AX$1</f>
        <v/>
      </c>
      <c r="AY31">
        <f>(1-Params!$B$49)^AY$1</f>
        <v/>
      </c>
      <c r="AZ31">
        <f>(1-Params!$B$49)^AZ$1</f>
        <v/>
      </c>
      <c r="BA31">
        <f>(1-Params!$B$49)^BA$1</f>
        <v/>
      </c>
      <c r="BB31">
        <f>(1-Params!$B$49)^BB$1</f>
        <v/>
      </c>
      <c r="BC31">
        <f>(1-Params!$B$49)^BC$1</f>
        <v/>
      </c>
      <c r="BD31">
        <f>(1-Params!$B$49)^BD$1</f>
        <v/>
      </c>
      <c r="BE31">
        <f>(1-Params!$B$49)^BE$1</f>
        <v/>
      </c>
      <c r="BF31">
        <f>(1-Params!$B$49)^BF$1</f>
        <v/>
      </c>
      <c r="BG31">
        <f>(1-Params!$B$49)^BG$1</f>
        <v/>
      </c>
      <c r="BH31">
        <f>(1-Params!$B$49)^BH$1</f>
        <v/>
      </c>
      <c r="BI31">
        <f>(1-Params!$B$49)^BI$1</f>
        <v/>
      </c>
      <c r="BJ31">
        <f>(1-Params!$B$49)^BJ$1</f>
        <v/>
      </c>
      <c r="BK31">
        <f>(1-Params!$B$49)^BK$1</f>
        <v/>
      </c>
      <c r="BL31">
        <f>(1-Params!$B$49)^BL$1</f>
        <v/>
      </c>
      <c r="BM31">
        <f>(1-Params!$B$49)^BM$1</f>
        <v/>
      </c>
      <c r="BN31">
        <f>(1-Params!$B$49)^BN$1</f>
        <v/>
      </c>
      <c r="BO31">
        <f>(1-Params!$B$49)^BO$1</f>
        <v/>
      </c>
      <c r="BP31">
        <f>(1-Params!$B$49)^BP$1</f>
        <v/>
      </c>
      <c r="BQ31">
        <f>(1-Params!$B$49)^BQ$1</f>
        <v/>
      </c>
      <c r="BR31">
        <f>(1-Params!$B$49)^BR$1</f>
        <v/>
      </c>
      <c r="BS31">
        <f>(1-Params!$B$49)^BS$1</f>
        <v/>
      </c>
      <c r="BT31">
        <f>(1-Params!$B$49)^BT$1</f>
        <v/>
      </c>
      <c r="BU31">
        <f>(1-Params!$B$49)^BU$1</f>
        <v/>
      </c>
      <c r="BV31">
        <f>(1-Params!$B$49)^BV$1</f>
        <v/>
      </c>
    </row>
    <row r="32">
      <c r="A32" t="inlineStr">
        <is>
          <t>D_REACT@1</t>
        </is>
      </c>
      <c r="C32">
        <f>0</f>
        <v/>
      </c>
      <c r="D32">
        <f>C31-D31</f>
        <v/>
      </c>
      <c r="E32">
        <f>D31-E31</f>
        <v/>
      </c>
      <c r="F32">
        <f>E31-F31</f>
        <v/>
      </c>
      <c r="G32">
        <f>F31-G31</f>
        <v/>
      </c>
      <c r="H32">
        <f>G31-H31</f>
        <v/>
      </c>
      <c r="I32">
        <f>H31-I31</f>
        <v/>
      </c>
      <c r="J32">
        <f>I31-J31</f>
        <v/>
      </c>
      <c r="K32">
        <f>J31-K31</f>
        <v/>
      </c>
      <c r="L32">
        <f>K31-L31</f>
        <v/>
      </c>
      <c r="M32">
        <f>L31-M31</f>
        <v/>
      </c>
      <c r="N32">
        <f>M31-N31</f>
        <v/>
      </c>
      <c r="O32">
        <f>N31-O31</f>
        <v/>
      </c>
      <c r="P32">
        <f>O31-P31</f>
        <v/>
      </c>
      <c r="Q32">
        <f>P31-Q31</f>
        <v/>
      </c>
      <c r="R32">
        <f>Q31-R31</f>
        <v/>
      </c>
      <c r="S32">
        <f>R31-S31</f>
        <v/>
      </c>
      <c r="T32">
        <f>S31-T31</f>
        <v/>
      </c>
      <c r="U32">
        <f>T31-U31</f>
        <v/>
      </c>
      <c r="V32">
        <f>U31-V31</f>
        <v/>
      </c>
      <c r="W32">
        <f>V31-W31</f>
        <v/>
      </c>
      <c r="X32">
        <f>W31-X31</f>
        <v/>
      </c>
      <c r="Y32">
        <f>X31-Y31</f>
        <v/>
      </c>
      <c r="Z32">
        <f>Y31-Z31</f>
        <v/>
      </c>
      <c r="AA32">
        <f>Z31-AA31</f>
        <v/>
      </c>
      <c r="AB32">
        <f>AA31-AB31</f>
        <v/>
      </c>
      <c r="AC32">
        <f>AB31-AC31</f>
        <v/>
      </c>
      <c r="AD32">
        <f>AC31-AD31</f>
        <v/>
      </c>
      <c r="AE32">
        <f>AD31-AE31</f>
        <v/>
      </c>
      <c r="AF32">
        <f>AE31-AF31</f>
        <v/>
      </c>
      <c r="AG32">
        <f>AF31-AG31</f>
        <v/>
      </c>
      <c r="AH32">
        <f>AG31-AH31</f>
        <v/>
      </c>
      <c r="AI32">
        <f>AH31-AI31</f>
        <v/>
      </c>
      <c r="AJ32">
        <f>AI31-AJ31</f>
        <v/>
      </c>
      <c r="AK32">
        <f>AJ31-AK31</f>
        <v/>
      </c>
      <c r="AL32">
        <f>AK31-AL31</f>
        <v/>
      </c>
      <c r="AM32">
        <f>AL31-AM31</f>
        <v/>
      </c>
      <c r="AN32">
        <f>AM31-AN31</f>
        <v/>
      </c>
      <c r="AO32">
        <f>AN31-AO31</f>
        <v/>
      </c>
      <c r="AP32">
        <f>AO31-AP31</f>
        <v/>
      </c>
      <c r="AQ32">
        <f>AP31-AQ31</f>
        <v/>
      </c>
      <c r="AR32">
        <f>AQ31-AR31</f>
        <v/>
      </c>
      <c r="AS32">
        <f>AR31-AS31</f>
        <v/>
      </c>
      <c r="AT32">
        <f>AS31-AT31</f>
        <v/>
      </c>
      <c r="AU32">
        <f>AT31-AU31</f>
        <v/>
      </c>
      <c r="AV32">
        <f>AU31-AV31</f>
        <v/>
      </c>
      <c r="AW32">
        <f>AV31-AW31</f>
        <v/>
      </c>
      <c r="AX32">
        <f>AW31-AX31</f>
        <v/>
      </c>
      <c r="AY32">
        <f>AX31-AY31</f>
        <v/>
      </c>
      <c r="AZ32">
        <f>AY31-AZ31</f>
        <v/>
      </c>
      <c r="BA32">
        <f>AZ31-BA31</f>
        <v/>
      </c>
      <c r="BB32">
        <f>BA31-BB31</f>
        <v/>
      </c>
      <c r="BC32">
        <f>BB31-BC31</f>
        <v/>
      </c>
      <c r="BD32">
        <f>BC31-BD31</f>
        <v/>
      </c>
      <c r="BE32">
        <f>BD31-BE31</f>
        <v/>
      </c>
      <c r="BF32">
        <f>BE31-BF31</f>
        <v/>
      </c>
      <c r="BG32">
        <f>BF31-BG31</f>
        <v/>
      </c>
      <c r="BH32">
        <f>BG31-BH31</f>
        <v/>
      </c>
      <c r="BI32">
        <f>BH31-BI31</f>
        <v/>
      </c>
      <c r="BJ32">
        <f>BI31-BJ31</f>
        <v/>
      </c>
      <c r="BK32">
        <f>BJ31-BK31</f>
        <v/>
      </c>
      <c r="BL32">
        <f>BK31-BL31</f>
        <v/>
      </c>
      <c r="BM32">
        <f>BL31-BM31</f>
        <v/>
      </c>
      <c r="BN32">
        <f>BM31-BN31</f>
        <v/>
      </c>
      <c r="BO32">
        <f>BN31-BO31</f>
        <v/>
      </c>
      <c r="BP32">
        <f>BO31-BP31</f>
        <v/>
      </c>
      <c r="BQ32">
        <f>BP31-BQ31</f>
        <v/>
      </c>
      <c r="BR32">
        <f>BQ31-BR31</f>
        <v/>
      </c>
      <c r="BS32">
        <f>BR31-BS31</f>
        <v/>
      </c>
      <c r="BT32">
        <f>BS31-BT31</f>
        <v/>
      </c>
      <c r="BU32">
        <f>BT31-BU31</f>
        <v/>
      </c>
      <c r="BV32">
        <f>BU31-BV31</f>
        <v/>
      </c>
    </row>
    <row r="33">
      <c r="A33" t="inlineStr">
        <is>
          <t>K_REACT@1</t>
        </is>
      </c>
      <c r="C33">
        <f>IF(AND(C$1&gt;=1,C$1&lt;=Params!$B$47),Params!$B$45*(1-Params!$B$45)^(C$1-1),0)</f>
        <v/>
      </c>
      <c r="D33">
        <f>IF(AND(D$1&gt;=1,D$1&lt;=Params!$B$47),Params!$B$45*(1-Params!$B$45)^(D$1-1),0)</f>
        <v/>
      </c>
      <c r="E33">
        <f>IF(AND(E$1&gt;=1,E$1&lt;=Params!$B$47),Params!$B$45*(1-Params!$B$45)^(E$1-1),0)</f>
        <v/>
      </c>
      <c r="F33">
        <f>IF(AND(F$1&gt;=1,F$1&lt;=Params!$B$47),Params!$B$45*(1-Params!$B$45)^(F$1-1),0)</f>
        <v/>
      </c>
      <c r="G33">
        <f>IF(AND(G$1&gt;=1,G$1&lt;=Params!$B$47),Params!$B$45*(1-Params!$B$45)^(G$1-1),0)</f>
        <v/>
      </c>
      <c r="H33">
        <f>IF(AND(H$1&gt;=1,H$1&lt;=Params!$B$47),Params!$B$45*(1-Params!$B$45)^(H$1-1),0)</f>
        <v/>
      </c>
      <c r="I33">
        <f>IF(AND(I$1&gt;=1,I$1&lt;=Params!$B$47),Params!$B$45*(1-Params!$B$45)^(I$1-1),0)</f>
        <v/>
      </c>
      <c r="J33">
        <f>IF(AND(J$1&gt;=1,J$1&lt;=Params!$B$47),Params!$B$45*(1-Params!$B$45)^(J$1-1),0)</f>
        <v/>
      </c>
      <c r="K33">
        <f>IF(AND(K$1&gt;=1,K$1&lt;=Params!$B$47),Params!$B$45*(1-Params!$B$45)^(K$1-1),0)</f>
        <v/>
      </c>
      <c r="L33">
        <f>IF(AND(L$1&gt;=1,L$1&lt;=Params!$B$47),Params!$B$45*(1-Params!$B$45)^(L$1-1),0)</f>
        <v/>
      </c>
      <c r="M33">
        <f>IF(AND(M$1&gt;=1,M$1&lt;=Params!$B$47),Params!$B$45*(1-Params!$B$45)^(M$1-1),0)</f>
        <v/>
      </c>
      <c r="N33">
        <f>IF(AND(N$1&gt;=1,N$1&lt;=Params!$B$47),Params!$B$45*(1-Params!$B$45)^(N$1-1),0)</f>
        <v/>
      </c>
      <c r="O33">
        <f>IF(AND(O$1&gt;=1,O$1&lt;=Params!$B$47),Params!$B$45*(1-Params!$B$45)^(O$1-1),0)</f>
        <v/>
      </c>
      <c r="P33">
        <f>IF(AND(P$1&gt;=1,P$1&lt;=Params!$B$47),Params!$B$45*(1-Params!$B$45)^(P$1-1),0)</f>
        <v/>
      </c>
      <c r="Q33">
        <f>IF(AND(Q$1&gt;=1,Q$1&lt;=Params!$B$47),Params!$B$45*(1-Params!$B$45)^(Q$1-1),0)</f>
        <v/>
      </c>
      <c r="R33">
        <f>IF(AND(R$1&gt;=1,R$1&lt;=Params!$B$47),Params!$B$45*(1-Params!$B$45)^(R$1-1),0)</f>
        <v/>
      </c>
      <c r="S33">
        <f>IF(AND(S$1&gt;=1,S$1&lt;=Params!$B$47),Params!$B$45*(1-Params!$B$45)^(S$1-1),0)</f>
        <v/>
      </c>
      <c r="T33">
        <f>IF(AND(T$1&gt;=1,T$1&lt;=Params!$B$47),Params!$B$45*(1-Params!$B$45)^(T$1-1),0)</f>
        <v/>
      </c>
      <c r="U33">
        <f>IF(AND(U$1&gt;=1,U$1&lt;=Params!$B$47),Params!$B$45*(1-Params!$B$45)^(U$1-1),0)</f>
        <v/>
      </c>
      <c r="V33">
        <f>IF(AND(V$1&gt;=1,V$1&lt;=Params!$B$47),Params!$B$45*(1-Params!$B$45)^(V$1-1),0)</f>
        <v/>
      </c>
      <c r="W33">
        <f>IF(AND(W$1&gt;=1,W$1&lt;=Params!$B$47),Params!$B$45*(1-Params!$B$45)^(W$1-1),0)</f>
        <v/>
      </c>
      <c r="X33">
        <f>IF(AND(X$1&gt;=1,X$1&lt;=Params!$B$47),Params!$B$45*(1-Params!$B$45)^(X$1-1),0)</f>
        <v/>
      </c>
      <c r="Y33">
        <f>IF(AND(Y$1&gt;=1,Y$1&lt;=Params!$B$47),Params!$B$45*(1-Params!$B$45)^(Y$1-1),0)</f>
        <v/>
      </c>
      <c r="Z33">
        <f>IF(AND(Z$1&gt;=1,Z$1&lt;=Params!$B$47),Params!$B$45*(1-Params!$B$45)^(Z$1-1),0)</f>
        <v/>
      </c>
      <c r="AA33">
        <f>IF(AND(AA$1&gt;=1,AA$1&lt;=Params!$B$47),Params!$B$45*(1-Params!$B$45)^(AA$1-1),0)</f>
        <v/>
      </c>
      <c r="AB33">
        <f>IF(AND(AB$1&gt;=1,AB$1&lt;=Params!$B$47),Params!$B$45*(1-Params!$B$45)^(AB$1-1),0)</f>
        <v/>
      </c>
      <c r="AC33">
        <f>IF(AND(AC$1&gt;=1,AC$1&lt;=Params!$B$47),Params!$B$45*(1-Params!$B$45)^(AC$1-1),0)</f>
        <v/>
      </c>
      <c r="AD33">
        <f>IF(AND(AD$1&gt;=1,AD$1&lt;=Params!$B$47),Params!$B$45*(1-Params!$B$45)^(AD$1-1),0)</f>
        <v/>
      </c>
      <c r="AE33">
        <f>IF(AND(AE$1&gt;=1,AE$1&lt;=Params!$B$47),Params!$B$45*(1-Params!$B$45)^(AE$1-1),0)</f>
        <v/>
      </c>
      <c r="AF33">
        <f>IF(AND(AF$1&gt;=1,AF$1&lt;=Params!$B$47),Params!$B$45*(1-Params!$B$45)^(AF$1-1),0)</f>
        <v/>
      </c>
      <c r="AG33">
        <f>IF(AND(AG$1&gt;=1,AG$1&lt;=Params!$B$47),Params!$B$45*(1-Params!$B$45)^(AG$1-1),0)</f>
        <v/>
      </c>
      <c r="AH33">
        <f>IF(AND(AH$1&gt;=1,AH$1&lt;=Params!$B$47),Params!$B$45*(1-Params!$B$45)^(AH$1-1),0)</f>
        <v/>
      </c>
      <c r="AI33">
        <f>IF(AND(AI$1&gt;=1,AI$1&lt;=Params!$B$47),Params!$B$45*(1-Params!$B$45)^(AI$1-1),0)</f>
        <v/>
      </c>
      <c r="AJ33">
        <f>IF(AND(AJ$1&gt;=1,AJ$1&lt;=Params!$B$47),Params!$B$45*(1-Params!$B$45)^(AJ$1-1),0)</f>
        <v/>
      </c>
      <c r="AK33">
        <f>IF(AND(AK$1&gt;=1,AK$1&lt;=Params!$B$47),Params!$B$45*(1-Params!$B$45)^(AK$1-1),0)</f>
        <v/>
      </c>
      <c r="AL33">
        <f>IF(AND(AL$1&gt;=1,AL$1&lt;=Params!$B$47),Params!$B$45*(1-Params!$B$45)^(AL$1-1),0)</f>
        <v/>
      </c>
      <c r="AM33">
        <f>IF(AND(AM$1&gt;=1,AM$1&lt;=Params!$B$47),Params!$B$45*(1-Params!$B$45)^(AM$1-1),0)</f>
        <v/>
      </c>
      <c r="AN33">
        <f>IF(AND(AN$1&gt;=1,AN$1&lt;=Params!$B$47),Params!$B$45*(1-Params!$B$45)^(AN$1-1),0)</f>
        <v/>
      </c>
      <c r="AO33">
        <f>IF(AND(AO$1&gt;=1,AO$1&lt;=Params!$B$47),Params!$B$45*(1-Params!$B$45)^(AO$1-1),0)</f>
        <v/>
      </c>
      <c r="AP33">
        <f>IF(AND(AP$1&gt;=1,AP$1&lt;=Params!$B$47),Params!$B$45*(1-Params!$B$45)^(AP$1-1),0)</f>
        <v/>
      </c>
      <c r="AQ33">
        <f>IF(AND(AQ$1&gt;=1,AQ$1&lt;=Params!$B$47),Params!$B$45*(1-Params!$B$45)^(AQ$1-1),0)</f>
        <v/>
      </c>
      <c r="AR33">
        <f>IF(AND(AR$1&gt;=1,AR$1&lt;=Params!$B$47),Params!$B$45*(1-Params!$B$45)^(AR$1-1),0)</f>
        <v/>
      </c>
      <c r="AS33">
        <f>IF(AND(AS$1&gt;=1,AS$1&lt;=Params!$B$47),Params!$B$45*(1-Params!$B$45)^(AS$1-1),0)</f>
        <v/>
      </c>
      <c r="AT33">
        <f>IF(AND(AT$1&gt;=1,AT$1&lt;=Params!$B$47),Params!$B$45*(1-Params!$B$45)^(AT$1-1),0)</f>
        <v/>
      </c>
      <c r="AU33">
        <f>IF(AND(AU$1&gt;=1,AU$1&lt;=Params!$B$47),Params!$B$45*(1-Params!$B$45)^(AU$1-1),0)</f>
        <v/>
      </c>
      <c r="AV33">
        <f>IF(AND(AV$1&gt;=1,AV$1&lt;=Params!$B$47),Params!$B$45*(1-Params!$B$45)^(AV$1-1),0)</f>
        <v/>
      </c>
      <c r="AW33">
        <f>IF(AND(AW$1&gt;=1,AW$1&lt;=Params!$B$47),Params!$B$45*(1-Params!$B$45)^(AW$1-1),0)</f>
        <v/>
      </c>
      <c r="AX33">
        <f>IF(AND(AX$1&gt;=1,AX$1&lt;=Params!$B$47),Params!$B$45*(1-Params!$B$45)^(AX$1-1),0)</f>
        <v/>
      </c>
      <c r="AY33">
        <f>IF(AND(AY$1&gt;=1,AY$1&lt;=Params!$B$47),Params!$B$45*(1-Params!$B$45)^(AY$1-1),0)</f>
        <v/>
      </c>
      <c r="AZ33">
        <f>IF(AND(AZ$1&gt;=1,AZ$1&lt;=Params!$B$47),Params!$B$45*(1-Params!$B$45)^(AZ$1-1),0)</f>
        <v/>
      </c>
      <c r="BA33">
        <f>IF(AND(BA$1&gt;=1,BA$1&lt;=Params!$B$47),Params!$B$45*(1-Params!$B$45)^(BA$1-1),0)</f>
        <v/>
      </c>
      <c r="BB33">
        <f>IF(AND(BB$1&gt;=1,BB$1&lt;=Params!$B$47),Params!$B$45*(1-Params!$B$45)^(BB$1-1),0)</f>
        <v/>
      </c>
      <c r="BC33">
        <f>IF(AND(BC$1&gt;=1,BC$1&lt;=Params!$B$47),Params!$B$45*(1-Params!$B$45)^(BC$1-1),0)</f>
        <v/>
      </c>
      <c r="BD33">
        <f>IF(AND(BD$1&gt;=1,BD$1&lt;=Params!$B$47),Params!$B$45*(1-Params!$B$45)^(BD$1-1),0)</f>
        <v/>
      </c>
      <c r="BE33">
        <f>IF(AND(BE$1&gt;=1,BE$1&lt;=Params!$B$47),Params!$B$45*(1-Params!$B$45)^(BE$1-1),0)</f>
        <v/>
      </c>
      <c r="BF33">
        <f>IF(AND(BF$1&gt;=1,BF$1&lt;=Params!$B$47),Params!$B$45*(1-Params!$B$45)^(BF$1-1),0)</f>
        <v/>
      </c>
      <c r="BG33">
        <f>IF(AND(BG$1&gt;=1,BG$1&lt;=Params!$B$47),Params!$B$45*(1-Params!$B$45)^(BG$1-1),0)</f>
        <v/>
      </c>
      <c r="BH33">
        <f>IF(AND(BH$1&gt;=1,BH$1&lt;=Params!$B$47),Params!$B$45*(1-Params!$B$45)^(BH$1-1),0)</f>
        <v/>
      </c>
      <c r="BI33">
        <f>IF(AND(BI$1&gt;=1,BI$1&lt;=Params!$B$47),Params!$B$45*(1-Params!$B$45)^(BI$1-1),0)</f>
        <v/>
      </c>
      <c r="BJ33">
        <f>IF(AND(BJ$1&gt;=1,BJ$1&lt;=Params!$B$47),Params!$B$45*(1-Params!$B$45)^(BJ$1-1),0)</f>
        <v/>
      </c>
      <c r="BK33">
        <f>IF(AND(BK$1&gt;=1,BK$1&lt;=Params!$B$47),Params!$B$45*(1-Params!$B$45)^(BK$1-1),0)</f>
        <v/>
      </c>
      <c r="BL33">
        <f>IF(AND(BL$1&gt;=1,BL$1&lt;=Params!$B$47),Params!$B$45*(1-Params!$B$45)^(BL$1-1),0)</f>
        <v/>
      </c>
      <c r="BM33">
        <f>IF(AND(BM$1&gt;=1,BM$1&lt;=Params!$B$47),Params!$B$45*(1-Params!$B$45)^(BM$1-1),0)</f>
        <v/>
      </c>
      <c r="BN33">
        <f>IF(AND(BN$1&gt;=1,BN$1&lt;=Params!$B$47),Params!$B$45*(1-Params!$B$45)^(BN$1-1),0)</f>
        <v/>
      </c>
      <c r="BO33">
        <f>IF(AND(BO$1&gt;=1,BO$1&lt;=Params!$B$47),Params!$B$45*(1-Params!$B$45)^(BO$1-1),0)</f>
        <v/>
      </c>
      <c r="BP33">
        <f>IF(AND(BP$1&gt;=1,BP$1&lt;=Params!$B$47),Params!$B$45*(1-Params!$B$45)^(BP$1-1),0)</f>
        <v/>
      </c>
      <c r="BQ33">
        <f>IF(AND(BQ$1&gt;=1,BQ$1&lt;=Params!$B$47),Params!$B$45*(1-Params!$B$45)^(BQ$1-1),0)</f>
        <v/>
      </c>
      <c r="BR33">
        <f>IF(AND(BR$1&gt;=1,BR$1&lt;=Params!$B$47),Params!$B$45*(1-Params!$B$45)^(BR$1-1),0)</f>
        <v/>
      </c>
      <c r="BS33">
        <f>IF(AND(BS$1&gt;=1,BS$1&lt;=Params!$B$47),Params!$B$45*(1-Params!$B$45)^(BS$1-1),0)</f>
        <v/>
      </c>
      <c r="BT33">
        <f>IF(AND(BT$1&gt;=1,BT$1&lt;=Params!$B$47),Params!$B$45*(1-Params!$B$45)^(BT$1-1),0)</f>
        <v/>
      </c>
      <c r="BU33">
        <f>IF(AND(BU$1&gt;=1,BU$1&lt;=Params!$B$47),Params!$B$45*(1-Params!$B$45)^(BU$1-1),0)</f>
        <v/>
      </c>
      <c r="BV33">
        <f>IF(AND(BV$1&gt;=1,BV$1&lt;=Params!$B$47),Params!$B$45*(1-Params!$B$45)^(BV$1-1),0)</f>
        <v/>
      </c>
    </row>
    <row r="34">
      <c r="A34" t="inlineStr">
        <is>
          <t>S_MONTHLY_Y1@1</t>
        </is>
      </c>
      <c r="C34">
        <f>IF(C$1&lt;12,C27,0)</f>
        <v/>
      </c>
      <c r="D34">
        <f>IF(D$1&lt;12,D27,0)</f>
        <v/>
      </c>
      <c r="E34">
        <f>IF(E$1&lt;12,E27,0)</f>
        <v/>
      </c>
      <c r="F34">
        <f>IF(F$1&lt;12,F27,0)</f>
        <v/>
      </c>
      <c r="G34">
        <f>IF(G$1&lt;12,G27,0)</f>
        <v/>
      </c>
      <c r="H34">
        <f>IF(H$1&lt;12,H27,0)</f>
        <v/>
      </c>
      <c r="I34">
        <f>IF(I$1&lt;12,I27,0)</f>
        <v/>
      </c>
      <c r="J34">
        <f>IF(J$1&lt;12,J27,0)</f>
        <v/>
      </c>
      <c r="K34">
        <f>IF(K$1&lt;12,K27,0)</f>
        <v/>
      </c>
      <c r="L34">
        <f>IF(L$1&lt;12,L27,0)</f>
        <v/>
      </c>
      <c r="M34">
        <f>IF(M$1&lt;12,M27,0)</f>
        <v/>
      </c>
      <c r="N34">
        <f>IF(N$1&lt;12,N27,0)</f>
        <v/>
      </c>
      <c r="O34">
        <f>IF(O$1&lt;12,O27,0)</f>
        <v/>
      </c>
      <c r="P34">
        <f>IF(P$1&lt;12,P27,0)</f>
        <v/>
      </c>
      <c r="Q34">
        <f>IF(Q$1&lt;12,Q27,0)</f>
        <v/>
      </c>
      <c r="R34">
        <f>IF(R$1&lt;12,R27,0)</f>
        <v/>
      </c>
      <c r="S34">
        <f>IF(S$1&lt;12,S27,0)</f>
        <v/>
      </c>
      <c r="T34">
        <f>IF(T$1&lt;12,T27,0)</f>
        <v/>
      </c>
      <c r="U34">
        <f>IF(U$1&lt;12,U27,0)</f>
        <v/>
      </c>
      <c r="V34">
        <f>IF(V$1&lt;12,V27,0)</f>
        <v/>
      </c>
      <c r="W34">
        <f>IF(W$1&lt;12,W27,0)</f>
        <v/>
      </c>
      <c r="X34">
        <f>IF(X$1&lt;12,X27,0)</f>
        <v/>
      </c>
      <c r="Y34">
        <f>IF(Y$1&lt;12,Y27,0)</f>
        <v/>
      </c>
      <c r="Z34">
        <f>IF(Z$1&lt;12,Z27,0)</f>
        <v/>
      </c>
      <c r="AA34">
        <f>IF(AA$1&lt;12,AA27,0)</f>
        <v/>
      </c>
      <c r="AB34">
        <f>IF(AB$1&lt;12,AB27,0)</f>
        <v/>
      </c>
      <c r="AC34">
        <f>IF(AC$1&lt;12,AC27,0)</f>
        <v/>
      </c>
      <c r="AD34">
        <f>IF(AD$1&lt;12,AD27,0)</f>
        <v/>
      </c>
      <c r="AE34">
        <f>IF(AE$1&lt;12,AE27,0)</f>
        <v/>
      </c>
      <c r="AF34">
        <f>IF(AF$1&lt;12,AF27,0)</f>
        <v/>
      </c>
      <c r="AG34">
        <f>IF(AG$1&lt;12,AG27,0)</f>
        <v/>
      </c>
      <c r="AH34">
        <f>IF(AH$1&lt;12,AH27,0)</f>
        <v/>
      </c>
      <c r="AI34">
        <f>IF(AI$1&lt;12,AI27,0)</f>
        <v/>
      </c>
      <c r="AJ34">
        <f>IF(AJ$1&lt;12,AJ27,0)</f>
        <v/>
      </c>
      <c r="AK34">
        <f>IF(AK$1&lt;12,AK27,0)</f>
        <v/>
      </c>
      <c r="AL34">
        <f>IF(AL$1&lt;12,AL27,0)</f>
        <v/>
      </c>
      <c r="AM34">
        <f>IF(AM$1&lt;12,AM27,0)</f>
        <v/>
      </c>
      <c r="AN34">
        <f>IF(AN$1&lt;12,AN27,0)</f>
        <v/>
      </c>
      <c r="AO34">
        <f>IF(AO$1&lt;12,AO27,0)</f>
        <v/>
      </c>
      <c r="AP34">
        <f>IF(AP$1&lt;12,AP27,0)</f>
        <v/>
      </c>
      <c r="AQ34">
        <f>IF(AQ$1&lt;12,AQ27,0)</f>
        <v/>
      </c>
      <c r="AR34">
        <f>IF(AR$1&lt;12,AR27,0)</f>
        <v/>
      </c>
      <c r="AS34">
        <f>IF(AS$1&lt;12,AS27,0)</f>
        <v/>
      </c>
      <c r="AT34">
        <f>IF(AT$1&lt;12,AT27,0)</f>
        <v/>
      </c>
      <c r="AU34">
        <f>IF(AU$1&lt;12,AU27,0)</f>
        <v/>
      </c>
      <c r="AV34">
        <f>IF(AV$1&lt;12,AV27,0)</f>
        <v/>
      </c>
      <c r="AW34">
        <f>IF(AW$1&lt;12,AW27,0)</f>
        <v/>
      </c>
      <c r="AX34">
        <f>IF(AX$1&lt;12,AX27,0)</f>
        <v/>
      </c>
      <c r="AY34">
        <f>IF(AY$1&lt;12,AY27,0)</f>
        <v/>
      </c>
      <c r="AZ34">
        <f>IF(AZ$1&lt;12,AZ27,0)</f>
        <v/>
      </c>
      <c r="BA34">
        <f>IF(BA$1&lt;12,BA27,0)</f>
        <v/>
      </c>
      <c r="BB34">
        <f>IF(BB$1&lt;12,BB27,0)</f>
        <v/>
      </c>
      <c r="BC34">
        <f>IF(BC$1&lt;12,BC27,0)</f>
        <v/>
      </c>
      <c r="BD34">
        <f>IF(BD$1&lt;12,BD27,0)</f>
        <v/>
      </c>
      <c r="BE34">
        <f>IF(BE$1&lt;12,BE27,0)</f>
        <v/>
      </c>
      <c r="BF34">
        <f>IF(BF$1&lt;12,BF27,0)</f>
        <v/>
      </c>
      <c r="BG34">
        <f>IF(BG$1&lt;12,BG27,0)</f>
        <v/>
      </c>
      <c r="BH34">
        <f>IF(BH$1&lt;12,BH27,0)</f>
        <v/>
      </c>
      <c r="BI34">
        <f>IF(BI$1&lt;12,BI27,0)</f>
        <v/>
      </c>
      <c r="BJ34">
        <f>IF(BJ$1&lt;12,BJ27,0)</f>
        <v/>
      </c>
      <c r="BK34">
        <f>IF(BK$1&lt;12,BK27,0)</f>
        <v/>
      </c>
      <c r="BL34">
        <f>IF(BL$1&lt;12,BL27,0)</f>
        <v/>
      </c>
      <c r="BM34">
        <f>IF(BM$1&lt;12,BM27,0)</f>
        <v/>
      </c>
      <c r="BN34">
        <f>IF(BN$1&lt;12,BN27,0)</f>
        <v/>
      </c>
      <c r="BO34">
        <f>IF(BO$1&lt;12,BO27,0)</f>
        <v/>
      </c>
      <c r="BP34">
        <f>IF(BP$1&lt;12,BP27,0)</f>
        <v/>
      </c>
      <c r="BQ34">
        <f>IF(BQ$1&lt;12,BQ27,0)</f>
        <v/>
      </c>
      <c r="BR34">
        <f>IF(BR$1&lt;12,BR27,0)</f>
        <v/>
      </c>
      <c r="BS34">
        <f>IF(BS$1&lt;12,BS27,0)</f>
        <v/>
      </c>
      <c r="BT34">
        <f>IF(BT$1&lt;12,BT27,0)</f>
        <v/>
      </c>
      <c r="BU34">
        <f>IF(BU$1&lt;12,BU27,0)</f>
        <v/>
      </c>
      <c r="BV34">
        <f>IF(BV$1&lt;12,BV27,0)</f>
        <v/>
      </c>
    </row>
    <row r="35">
      <c r="A35" t="inlineStr">
        <is>
          <t>S_ANNUAL_Y1@1</t>
        </is>
      </c>
      <c r="C35">
        <f>IF(C$1&lt;12,C28,0)</f>
        <v/>
      </c>
      <c r="D35">
        <f>IF(D$1&lt;12,D28,0)</f>
        <v/>
      </c>
      <c r="E35">
        <f>IF(E$1&lt;12,E28,0)</f>
        <v/>
      </c>
      <c r="F35">
        <f>IF(F$1&lt;12,F28,0)</f>
        <v/>
      </c>
      <c r="G35">
        <f>IF(G$1&lt;12,G28,0)</f>
        <v/>
      </c>
      <c r="H35">
        <f>IF(H$1&lt;12,H28,0)</f>
        <v/>
      </c>
      <c r="I35">
        <f>IF(I$1&lt;12,I28,0)</f>
        <v/>
      </c>
      <c r="J35">
        <f>IF(J$1&lt;12,J28,0)</f>
        <v/>
      </c>
      <c r="K35">
        <f>IF(K$1&lt;12,K28,0)</f>
        <v/>
      </c>
      <c r="L35">
        <f>IF(L$1&lt;12,L28,0)</f>
        <v/>
      </c>
      <c r="M35">
        <f>IF(M$1&lt;12,M28,0)</f>
        <v/>
      </c>
      <c r="N35">
        <f>IF(N$1&lt;12,N28,0)</f>
        <v/>
      </c>
      <c r="O35">
        <f>IF(O$1&lt;12,O28,0)</f>
        <v/>
      </c>
      <c r="P35">
        <f>IF(P$1&lt;12,P28,0)</f>
        <v/>
      </c>
      <c r="Q35">
        <f>IF(Q$1&lt;12,Q28,0)</f>
        <v/>
      </c>
      <c r="R35">
        <f>IF(R$1&lt;12,R28,0)</f>
        <v/>
      </c>
      <c r="S35">
        <f>IF(S$1&lt;12,S28,0)</f>
        <v/>
      </c>
      <c r="T35">
        <f>IF(T$1&lt;12,T28,0)</f>
        <v/>
      </c>
      <c r="U35">
        <f>IF(U$1&lt;12,U28,0)</f>
        <v/>
      </c>
      <c r="V35">
        <f>IF(V$1&lt;12,V28,0)</f>
        <v/>
      </c>
      <c r="W35">
        <f>IF(W$1&lt;12,W28,0)</f>
        <v/>
      </c>
      <c r="X35">
        <f>IF(X$1&lt;12,X28,0)</f>
        <v/>
      </c>
      <c r="Y35">
        <f>IF(Y$1&lt;12,Y28,0)</f>
        <v/>
      </c>
      <c r="Z35">
        <f>IF(Z$1&lt;12,Z28,0)</f>
        <v/>
      </c>
      <c r="AA35">
        <f>IF(AA$1&lt;12,AA28,0)</f>
        <v/>
      </c>
      <c r="AB35">
        <f>IF(AB$1&lt;12,AB28,0)</f>
        <v/>
      </c>
      <c r="AC35">
        <f>IF(AC$1&lt;12,AC28,0)</f>
        <v/>
      </c>
      <c r="AD35">
        <f>IF(AD$1&lt;12,AD28,0)</f>
        <v/>
      </c>
      <c r="AE35">
        <f>IF(AE$1&lt;12,AE28,0)</f>
        <v/>
      </c>
      <c r="AF35">
        <f>IF(AF$1&lt;12,AF28,0)</f>
        <v/>
      </c>
      <c r="AG35">
        <f>IF(AG$1&lt;12,AG28,0)</f>
        <v/>
      </c>
      <c r="AH35">
        <f>IF(AH$1&lt;12,AH28,0)</f>
        <v/>
      </c>
      <c r="AI35">
        <f>IF(AI$1&lt;12,AI28,0)</f>
        <v/>
      </c>
      <c r="AJ35">
        <f>IF(AJ$1&lt;12,AJ28,0)</f>
        <v/>
      </c>
      <c r="AK35">
        <f>IF(AK$1&lt;12,AK28,0)</f>
        <v/>
      </c>
      <c r="AL35">
        <f>IF(AL$1&lt;12,AL28,0)</f>
        <v/>
      </c>
      <c r="AM35">
        <f>IF(AM$1&lt;12,AM28,0)</f>
        <v/>
      </c>
      <c r="AN35">
        <f>IF(AN$1&lt;12,AN28,0)</f>
        <v/>
      </c>
      <c r="AO35">
        <f>IF(AO$1&lt;12,AO28,0)</f>
        <v/>
      </c>
      <c r="AP35">
        <f>IF(AP$1&lt;12,AP28,0)</f>
        <v/>
      </c>
      <c r="AQ35">
        <f>IF(AQ$1&lt;12,AQ28,0)</f>
        <v/>
      </c>
      <c r="AR35">
        <f>IF(AR$1&lt;12,AR28,0)</f>
        <v/>
      </c>
      <c r="AS35">
        <f>IF(AS$1&lt;12,AS28,0)</f>
        <v/>
      </c>
      <c r="AT35">
        <f>IF(AT$1&lt;12,AT28,0)</f>
        <v/>
      </c>
      <c r="AU35">
        <f>IF(AU$1&lt;12,AU28,0)</f>
        <v/>
      </c>
      <c r="AV35">
        <f>IF(AV$1&lt;12,AV28,0)</f>
        <v/>
      </c>
      <c r="AW35">
        <f>IF(AW$1&lt;12,AW28,0)</f>
        <v/>
      </c>
      <c r="AX35">
        <f>IF(AX$1&lt;12,AX28,0)</f>
        <v/>
      </c>
      <c r="AY35">
        <f>IF(AY$1&lt;12,AY28,0)</f>
        <v/>
      </c>
      <c r="AZ35">
        <f>IF(AZ$1&lt;12,AZ28,0)</f>
        <v/>
      </c>
      <c r="BA35">
        <f>IF(BA$1&lt;12,BA28,0)</f>
        <v/>
      </c>
      <c r="BB35">
        <f>IF(BB$1&lt;12,BB28,0)</f>
        <v/>
      </c>
      <c r="BC35">
        <f>IF(BC$1&lt;12,BC28,0)</f>
        <v/>
      </c>
      <c r="BD35">
        <f>IF(BD$1&lt;12,BD28,0)</f>
        <v/>
      </c>
      <c r="BE35">
        <f>IF(BE$1&lt;12,BE28,0)</f>
        <v/>
      </c>
      <c r="BF35">
        <f>IF(BF$1&lt;12,BF28,0)</f>
        <v/>
      </c>
      <c r="BG35">
        <f>IF(BG$1&lt;12,BG28,0)</f>
        <v/>
      </c>
      <c r="BH35">
        <f>IF(BH$1&lt;12,BH28,0)</f>
        <v/>
      </c>
      <c r="BI35">
        <f>IF(BI$1&lt;12,BI28,0)</f>
        <v/>
      </c>
      <c r="BJ35">
        <f>IF(BJ$1&lt;12,BJ28,0)</f>
        <v/>
      </c>
      <c r="BK35">
        <f>IF(BK$1&lt;12,BK28,0)</f>
        <v/>
      </c>
      <c r="BL35">
        <f>IF(BL$1&lt;12,BL28,0)</f>
        <v/>
      </c>
      <c r="BM35">
        <f>IF(BM$1&lt;12,BM28,0)</f>
        <v/>
      </c>
      <c r="BN35">
        <f>IF(BN$1&lt;12,BN28,0)</f>
        <v/>
      </c>
      <c r="BO35">
        <f>IF(BO$1&lt;12,BO28,0)</f>
        <v/>
      </c>
      <c r="BP35">
        <f>IF(BP$1&lt;12,BP28,0)</f>
        <v/>
      </c>
      <c r="BQ35">
        <f>IF(BQ$1&lt;12,BQ28,0)</f>
        <v/>
      </c>
      <c r="BR35">
        <f>IF(BR$1&lt;12,BR28,0)</f>
        <v/>
      </c>
      <c r="BS35">
        <f>IF(BS$1&lt;12,BS28,0)</f>
        <v/>
      </c>
      <c r="BT35">
        <f>IF(BT$1&lt;12,BT28,0)</f>
        <v/>
      </c>
      <c r="BU35">
        <f>IF(BU$1&lt;12,BU28,0)</f>
        <v/>
      </c>
      <c r="BV35">
        <f>IF(BV$1&lt;12,BV28,0)</f>
        <v/>
      </c>
    </row>
    <row r="36">
      <c r="A36" t="inlineStr">
        <is>
          <t>S_REACT_Y1@1</t>
        </is>
      </c>
      <c r="C36">
        <f>IF(C$1&lt;12,C31,0)</f>
        <v/>
      </c>
      <c r="D36">
        <f>IF(D$1&lt;12,D31,0)</f>
        <v/>
      </c>
      <c r="E36">
        <f>IF(E$1&lt;12,E31,0)</f>
        <v/>
      </c>
      <c r="F36">
        <f>IF(F$1&lt;12,F31,0)</f>
        <v/>
      </c>
      <c r="G36">
        <f>IF(G$1&lt;12,G31,0)</f>
        <v/>
      </c>
      <c r="H36">
        <f>IF(H$1&lt;12,H31,0)</f>
        <v/>
      </c>
      <c r="I36">
        <f>IF(I$1&lt;12,I31,0)</f>
        <v/>
      </c>
      <c r="J36">
        <f>IF(J$1&lt;12,J31,0)</f>
        <v/>
      </c>
      <c r="K36">
        <f>IF(K$1&lt;12,K31,0)</f>
        <v/>
      </c>
      <c r="L36">
        <f>IF(L$1&lt;12,L31,0)</f>
        <v/>
      </c>
      <c r="M36">
        <f>IF(M$1&lt;12,M31,0)</f>
        <v/>
      </c>
      <c r="N36">
        <f>IF(N$1&lt;12,N31,0)</f>
        <v/>
      </c>
      <c r="O36">
        <f>IF(O$1&lt;12,O31,0)</f>
        <v/>
      </c>
      <c r="P36">
        <f>IF(P$1&lt;12,P31,0)</f>
        <v/>
      </c>
      <c r="Q36">
        <f>IF(Q$1&lt;12,Q31,0)</f>
        <v/>
      </c>
      <c r="R36">
        <f>IF(R$1&lt;12,R31,0)</f>
        <v/>
      </c>
      <c r="S36">
        <f>IF(S$1&lt;12,S31,0)</f>
        <v/>
      </c>
      <c r="T36">
        <f>IF(T$1&lt;12,T31,0)</f>
        <v/>
      </c>
      <c r="U36">
        <f>IF(U$1&lt;12,U31,0)</f>
        <v/>
      </c>
      <c r="V36">
        <f>IF(V$1&lt;12,V31,0)</f>
        <v/>
      </c>
      <c r="W36">
        <f>IF(W$1&lt;12,W31,0)</f>
        <v/>
      </c>
      <c r="X36">
        <f>IF(X$1&lt;12,X31,0)</f>
        <v/>
      </c>
      <c r="Y36">
        <f>IF(Y$1&lt;12,Y31,0)</f>
        <v/>
      </c>
      <c r="Z36">
        <f>IF(Z$1&lt;12,Z31,0)</f>
        <v/>
      </c>
      <c r="AA36">
        <f>IF(AA$1&lt;12,AA31,0)</f>
        <v/>
      </c>
      <c r="AB36">
        <f>IF(AB$1&lt;12,AB31,0)</f>
        <v/>
      </c>
      <c r="AC36">
        <f>IF(AC$1&lt;12,AC31,0)</f>
        <v/>
      </c>
      <c r="AD36">
        <f>IF(AD$1&lt;12,AD31,0)</f>
        <v/>
      </c>
      <c r="AE36">
        <f>IF(AE$1&lt;12,AE31,0)</f>
        <v/>
      </c>
      <c r="AF36">
        <f>IF(AF$1&lt;12,AF31,0)</f>
        <v/>
      </c>
      <c r="AG36">
        <f>IF(AG$1&lt;12,AG31,0)</f>
        <v/>
      </c>
      <c r="AH36">
        <f>IF(AH$1&lt;12,AH31,0)</f>
        <v/>
      </c>
      <c r="AI36">
        <f>IF(AI$1&lt;12,AI31,0)</f>
        <v/>
      </c>
      <c r="AJ36">
        <f>IF(AJ$1&lt;12,AJ31,0)</f>
        <v/>
      </c>
      <c r="AK36">
        <f>IF(AK$1&lt;12,AK31,0)</f>
        <v/>
      </c>
      <c r="AL36">
        <f>IF(AL$1&lt;12,AL31,0)</f>
        <v/>
      </c>
      <c r="AM36">
        <f>IF(AM$1&lt;12,AM31,0)</f>
        <v/>
      </c>
      <c r="AN36">
        <f>IF(AN$1&lt;12,AN31,0)</f>
        <v/>
      </c>
      <c r="AO36">
        <f>IF(AO$1&lt;12,AO31,0)</f>
        <v/>
      </c>
      <c r="AP36">
        <f>IF(AP$1&lt;12,AP31,0)</f>
        <v/>
      </c>
      <c r="AQ36">
        <f>IF(AQ$1&lt;12,AQ31,0)</f>
        <v/>
      </c>
      <c r="AR36">
        <f>IF(AR$1&lt;12,AR31,0)</f>
        <v/>
      </c>
      <c r="AS36">
        <f>IF(AS$1&lt;12,AS31,0)</f>
        <v/>
      </c>
      <c r="AT36">
        <f>IF(AT$1&lt;12,AT31,0)</f>
        <v/>
      </c>
      <c r="AU36">
        <f>IF(AU$1&lt;12,AU31,0)</f>
        <v/>
      </c>
      <c r="AV36">
        <f>IF(AV$1&lt;12,AV31,0)</f>
        <v/>
      </c>
      <c r="AW36">
        <f>IF(AW$1&lt;12,AW31,0)</f>
        <v/>
      </c>
      <c r="AX36">
        <f>IF(AX$1&lt;12,AX31,0)</f>
        <v/>
      </c>
      <c r="AY36">
        <f>IF(AY$1&lt;12,AY31,0)</f>
        <v/>
      </c>
      <c r="AZ36">
        <f>IF(AZ$1&lt;12,AZ31,0)</f>
        <v/>
      </c>
      <c r="BA36">
        <f>IF(BA$1&lt;12,BA31,0)</f>
        <v/>
      </c>
      <c r="BB36">
        <f>IF(BB$1&lt;12,BB31,0)</f>
        <v/>
      </c>
      <c r="BC36">
        <f>IF(BC$1&lt;12,BC31,0)</f>
        <v/>
      </c>
      <c r="BD36">
        <f>IF(BD$1&lt;12,BD31,0)</f>
        <v/>
      </c>
      <c r="BE36">
        <f>IF(BE$1&lt;12,BE31,0)</f>
        <v/>
      </c>
      <c r="BF36">
        <f>IF(BF$1&lt;12,BF31,0)</f>
        <v/>
      </c>
      <c r="BG36">
        <f>IF(BG$1&lt;12,BG31,0)</f>
        <v/>
      </c>
      <c r="BH36">
        <f>IF(BH$1&lt;12,BH31,0)</f>
        <v/>
      </c>
      <c r="BI36">
        <f>IF(BI$1&lt;12,BI31,0)</f>
        <v/>
      </c>
      <c r="BJ36">
        <f>IF(BJ$1&lt;12,BJ31,0)</f>
        <v/>
      </c>
      <c r="BK36">
        <f>IF(BK$1&lt;12,BK31,0)</f>
        <v/>
      </c>
      <c r="BL36">
        <f>IF(BL$1&lt;12,BL31,0)</f>
        <v/>
      </c>
      <c r="BM36">
        <f>IF(BM$1&lt;12,BM31,0)</f>
        <v/>
      </c>
      <c r="BN36">
        <f>IF(BN$1&lt;12,BN31,0)</f>
        <v/>
      </c>
      <c r="BO36">
        <f>IF(BO$1&lt;12,BO31,0)</f>
        <v/>
      </c>
      <c r="BP36">
        <f>IF(BP$1&lt;12,BP31,0)</f>
        <v/>
      </c>
      <c r="BQ36">
        <f>IF(BQ$1&lt;12,BQ31,0)</f>
        <v/>
      </c>
      <c r="BR36">
        <f>IF(BR$1&lt;12,BR31,0)</f>
        <v/>
      </c>
      <c r="BS36">
        <f>IF(BS$1&lt;12,BS31,0)</f>
        <v/>
      </c>
      <c r="BT36">
        <f>IF(BT$1&lt;12,BT31,0)</f>
        <v/>
      </c>
      <c r="BU36">
        <f>IF(BU$1&lt;12,BU31,0)</f>
        <v/>
      </c>
      <c r="BV36">
        <f>IF(BV$1&lt;12,BV31,0)</f>
        <v/>
      </c>
    </row>
    <row r="38">
      <c r="A38" t="inlineStr">
        <is>
          <t>S_MONTHLY@1 reversed</t>
        </is>
      </c>
      <c r="C38">
        <f>INDEX($C$27:$BV$27,72)</f>
        <v/>
      </c>
      <c r="D38">
        <f>INDEX($C$27:$BV$27,71)</f>
        <v/>
      </c>
      <c r="E38">
        <f>INDEX($C$27:$BV$27,70)</f>
        <v/>
      </c>
      <c r="F38">
        <f>INDEX($C$27:$BV$27,69)</f>
        <v/>
      </c>
      <c r="G38">
        <f>INDEX($C$27:$BV$27,68)</f>
        <v/>
      </c>
      <c r="H38">
        <f>INDEX($C$27:$BV$27,67)</f>
        <v/>
      </c>
      <c r="I38">
        <f>INDEX($C$27:$BV$27,66)</f>
        <v/>
      </c>
      <c r="J38">
        <f>INDEX($C$27:$BV$27,65)</f>
        <v/>
      </c>
      <c r="K38">
        <f>INDEX($C$27:$BV$27,64)</f>
        <v/>
      </c>
      <c r="L38">
        <f>INDEX($C$27:$BV$27,63)</f>
        <v/>
      </c>
      <c r="M38">
        <f>INDEX($C$27:$BV$27,62)</f>
        <v/>
      </c>
      <c r="N38">
        <f>INDEX($C$27:$BV$27,61)</f>
        <v/>
      </c>
      <c r="O38">
        <f>INDEX($C$27:$BV$27,60)</f>
        <v/>
      </c>
      <c r="P38">
        <f>INDEX($C$27:$BV$27,59)</f>
        <v/>
      </c>
      <c r="Q38">
        <f>INDEX($C$27:$BV$27,58)</f>
        <v/>
      </c>
      <c r="R38">
        <f>INDEX($C$27:$BV$27,57)</f>
        <v/>
      </c>
      <c r="S38">
        <f>INDEX($C$27:$BV$27,56)</f>
        <v/>
      </c>
      <c r="T38">
        <f>INDEX($C$27:$BV$27,55)</f>
        <v/>
      </c>
      <c r="U38">
        <f>INDEX($C$27:$BV$27,54)</f>
        <v/>
      </c>
      <c r="V38">
        <f>INDEX($C$27:$BV$27,53)</f>
        <v/>
      </c>
      <c r="W38">
        <f>INDEX($C$27:$BV$27,52)</f>
        <v/>
      </c>
      <c r="X38">
        <f>INDEX($C$27:$BV$27,51)</f>
        <v/>
      </c>
      <c r="Y38">
        <f>INDEX($C$27:$BV$27,50)</f>
        <v/>
      </c>
      <c r="Z38">
        <f>INDEX($C$27:$BV$27,49)</f>
        <v/>
      </c>
      <c r="AA38">
        <f>INDEX($C$27:$BV$27,48)</f>
        <v/>
      </c>
      <c r="AB38">
        <f>INDEX($C$27:$BV$27,47)</f>
        <v/>
      </c>
      <c r="AC38">
        <f>INDEX($C$27:$BV$27,46)</f>
        <v/>
      </c>
      <c r="AD38">
        <f>INDEX($C$27:$BV$27,45)</f>
        <v/>
      </c>
      <c r="AE38">
        <f>INDEX($C$27:$BV$27,44)</f>
        <v/>
      </c>
      <c r="AF38">
        <f>INDEX($C$27:$BV$27,43)</f>
        <v/>
      </c>
      <c r="AG38">
        <f>INDEX($C$27:$BV$27,42)</f>
        <v/>
      </c>
      <c r="AH38">
        <f>INDEX($C$27:$BV$27,41)</f>
        <v/>
      </c>
      <c r="AI38">
        <f>INDEX($C$27:$BV$27,40)</f>
        <v/>
      </c>
      <c r="AJ38">
        <f>INDEX($C$27:$BV$27,39)</f>
        <v/>
      </c>
      <c r="AK38">
        <f>INDEX($C$27:$BV$27,38)</f>
        <v/>
      </c>
      <c r="AL38">
        <f>INDEX($C$27:$BV$27,37)</f>
        <v/>
      </c>
      <c r="AM38">
        <f>INDEX($C$27:$BV$27,36)</f>
        <v/>
      </c>
      <c r="AN38">
        <f>INDEX($C$27:$BV$27,35)</f>
        <v/>
      </c>
      <c r="AO38">
        <f>INDEX($C$27:$BV$27,34)</f>
        <v/>
      </c>
      <c r="AP38">
        <f>INDEX($C$27:$BV$27,33)</f>
        <v/>
      </c>
      <c r="AQ38">
        <f>INDEX($C$27:$BV$27,32)</f>
        <v/>
      </c>
      <c r="AR38">
        <f>INDEX($C$27:$BV$27,31)</f>
        <v/>
      </c>
      <c r="AS38">
        <f>INDEX($C$27:$BV$27,30)</f>
        <v/>
      </c>
      <c r="AT38">
        <f>INDEX($C$27:$BV$27,29)</f>
        <v/>
      </c>
      <c r="AU38">
        <f>INDEX($C$27:$BV$27,28)</f>
        <v/>
      </c>
      <c r="AV38">
        <f>INDEX($C$27:$BV$27,27)</f>
        <v/>
      </c>
      <c r="AW38">
        <f>INDEX($C$27:$BV$27,26)</f>
        <v/>
      </c>
      <c r="AX38">
        <f>INDEX($C$27:$BV$27,25)</f>
        <v/>
      </c>
      <c r="AY38">
        <f>INDEX($C$27:$BV$27,24)</f>
        <v/>
      </c>
      <c r="AZ38">
        <f>INDEX($C$27:$BV$27,23)</f>
        <v/>
      </c>
      <c r="BA38">
        <f>INDEX($C$27:$BV$27,22)</f>
        <v/>
      </c>
      <c r="BB38">
        <f>INDEX($C$27:$BV$27,21)</f>
        <v/>
      </c>
      <c r="BC38">
        <f>INDEX($C$27:$BV$27,20)</f>
        <v/>
      </c>
      <c r="BD38">
        <f>INDEX($C$27:$BV$27,19)</f>
        <v/>
      </c>
      <c r="BE38">
        <f>INDEX($C$27:$BV$27,18)</f>
        <v/>
      </c>
      <c r="BF38">
        <f>INDEX($C$27:$BV$27,17)</f>
        <v/>
      </c>
      <c r="BG38">
        <f>INDEX($C$27:$BV$27,16)</f>
        <v/>
      </c>
      <c r="BH38">
        <f>INDEX($C$27:$BV$27,15)</f>
        <v/>
      </c>
      <c r="BI38">
        <f>INDEX($C$27:$BV$27,14)</f>
        <v/>
      </c>
      <c r="BJ38">
        <f>INDEX($C$27:$BV$27,13)</f>
        <v/>
      </c>
      <c r="BK38">
        <f>INDEX($C$27:$BV$27,12)</f>
        <v/>
      </c>
      <c r="BL38">
        <f>INDEX($C$27:$BV$27,11)</f>
        <v/>
      </c>
      <c r="BM38">
        <f>INDEX($C$27:$BV$27,10)</f>
        <v/>
      </c>
      <c r="BN38">
        <f>INDEX($C$27:$BV$27,9)</f>
        <v/>
      </c>
      <c r="BO38">
        <f>INDEX($C$27:$BV$27,8)</f>
        <v/>
      </c>
      <c r="BP38">
        <f>INDEX($C$27:$BV$27,7)</f>
        <v/>
      </c>
      <c r="BQ38">
        <f>INDEX($C$27:$BV$27,6)</f>
        <v/>
      </c>
      <c r="BR38">
        <f>INDEX($C$27:$BV$27,5)</f>
        <v/>
      </c>
      <c r="BS38">
        <f>INDEX($C$27:$BV$27,4)</f>
        <v/>
      </c>
      <c r="BT38">
        <f>INDEX($C$27:$BV$27,3)</f>
        <v/>
      </c>
      <c r="BU38">
        <f>INDEX($C$27:$BV$27,2)</f>
        <v/>
      </c>
      <c r="BV38">
        <f>INDEX($C$27:$BV$27,1)</f>
        <v/>
      </c>
    </row>
    <row r="39">
      <c r="A39" t="inlineStr">
        <is>
          <t>S_ANNUAL@1 reversed</t>
        </is>
      </c>
      <c r="C39">
        <f>INDEX($C$28:$BV$28,72)</f>
        <v/>
      </c>
      <c r="D39">
        <f>INDEX($C$28:$BV$28,71)</f>
        <v/>
      </c>
      <c r="E39">
        <f>INDEX($C$28:$BV$28,70)</f>
        <v/>
      </c>
      <c r="F39">
        <f>INDEX($C$28:$BV$28,69)</f>
        <v/>
      </c>
      <c r="G39">
        <f>INDEX($C$28:$BV$28,68)</f>
        <v/>
      </c>
      <c r="H39">
        <f>INDEX($C$28:$BV$28,67)</f>
        <v/>
      </c>
      <c r="I39">
        <f>INDEX($C$28:$BV$28,66)</f>
        <v/>
      </c>
      <c r="J39">
        <f>INDEX($C$28:$BV$28,65)</f>
        <v/>
      </c>
      <c r="K39">
        <f>INDEX($C$28:$BV$28,64)</f>
        <v/>
      </c>
      <c r="L39">
        <f>INDEX($C$28:$BV$28,63)</f>
        <v/>
      </c>
      <c r="M39">
        <f>INDEX($C$28:$BV$28,62)</f>
        <v/>
      </c>
      <c r="N39">
        <f>INDEX($C$28:$BV$28,61)</f>
        <v/>
      </c>
      <c r="O39">
        <f>INDEX($C$28:$BV$28,60)</f>
        <v/>
      </c>
      <c r="P39">
        <f>INDEX($C$28:$BV$28,59)</f>
        <v/>
      </c>
      <c r="Q39">
        <f>INDEX($C$28:$BV$28,58)</f>
        <v/>
      </c>
      <c r="R39">
        <f>INDEX($C$28:$BV$28,57)</f>
        <v/>
      </c>
      <c r="S39">
        <f>INDEX($C$28:$BV$28,56)</f>
        <v/>
      </c>
      <c r="T39">
        <f>INDEX($C$28:$BV$28,55)</f>
        <v/>
      </c>
      <c r="U39">
        <f>INDEX($C$28:$BV$28,54)</f>
        <v/>
      </c>
      <c r="V39">
        <f>INDEX($C$28:$BV$28,53)</f>
        <v/>
      </c>
      <c r="W39">
        <f>INDEX($C$28:$BV$28,52)</f>
        <v/>
      </c>
      <c r="X39">
        <f>INDEX($C$28:$BV$28,51)</f>
        <v/>
      </c>
      <c r="Y39">
        <f>INDEX($C$28:$BV$28,50)</f>
        <v/>
      </c>
      <c r="Z39">
        <f>INDEX($C$28:$BV$28,49)</f>
        <v/>
      </c>
      <c r="AA39">
        <f>INDEX($C$28:$BV$28,48)</f>
        <v/>
      </c>
      <c r="AB39">
        <f>INDEX($C$28:$BV$28,47)</f>
        <v/>
      </c>
      <c r="AC39">
        <f>INDEX($C$28:$BV$28,46)</f>
        <v/>
      </c>
      <c r="AD39">
        <f>INDEX($C$28:$BV$28,45)</f>
        <v/>
      </c>
      <c r="AE39">
        <f>INDEX($C$28:$BV$28,44)</f>
        <v/>
      </c>
      <c r="AF39">
        <f>INDEX($C$28:$BV$28,43)</f>
        <v/>
      </c>
      <c r="AG39">
        <f>INDEX($C$28:$BV$28,42)</f>
        <v/>
      </c>
      <c r="AH39">
        <f>INDEX($C$28:$BV$28,41)</f>
        <v/>
      </c>
      <c r="AI39">
        <f>INDEX($C$28:$BV$28,40)</f>
        <v/>
      </c>
      <c r="AJ39">
        <f>INDEX($C$28:$BV$28,39)</f>
        <v/>
      </c>
      <c r="AK39">
        <f>INDEX($C$28:$BV$28,38)</f>
        <v/>
      </c>
      <c r="AL39">
        <f>INDEX($C$28:$BV$28,37)</f>
        <v/>
      </c>
      <c r="AM39">
        <f>INDEX($C$28:$BV$28,36)</f>
        <v/>
      </c>
      <c r="AN39">
        <f>INDEX($C$28:$BV$28,35)</f>
        <v/>
      </c>
      <c r="AO39">
        <f>INDEX($C$28:$BV$28,34)</f>
        <v/>
      </c>
      <c r="AP39">
        <f>INDEX($C$28:$BV$28,33)</f>
        <v/>
      </c>
      <c r="AQ39">
        <f>INDEX($C$28:$BV$28,32)</f>
        <v/>
      </c>
      <c r="AR39">
        <f>INDEX($C$28:$BV$28,31)</f>
        <v/>
      </c>
      <c r="AS39">
        <f>INDEX($C$28:$BV$28,30)</f>
        <v/>
      </c>
      <c r="AT39">
        <f>INDEX($C$28:$BV$28,29)</f>
        <v/>
      </c>
      <c r="AU39">
        <f>INDEX($C$28:$BV$28,28)</f>
        <v/>
      </c>
      <c r="AV39">
        <f>INDEX($C$28:$BV$28,27)</f>
        <v/>
      </c>
      <c r="AW39">
        <f>INDEX($C$28:$BV$28,26)</f>
        <v/>
      </c>
      <c r="AX39">
        <f>INDEX($C$28:$BV$28,25)</f>
        <v/>
      </c>
      <c r="AY39">
        <f>INDEX($C$28:$BV$28,24)</f>
        <v/>
      </c>
      <c r="AZ39">
        <f>INDEX($C$28:$BV$28,23)</f>
        <v/>
      </c>
      <c r="BA39">
        <f>INDEX($C$28:$BV$28,22)</f>
        <v/>
      </c>
      <c r="BB39">
        <f>INDEX($C$28:$BV$28,21)</f>
        <v/>
      </c>
      <c r="BC39">
        <f>INDEX($C$28:$BV$28,20)</f>
        <v/>
      </c>
      <c r="BD39">
        <f>INDEX($C$28:$BV$28,19)</f>
        <v/>
      </c>
      <c r="BE39">
        <f>INDEX($C$28:$BV$28,18)</f>
        <v/>
      </c>
      <c r="BF39">
        <f>INDEX($C$28:$BV$28,17)</f>
        <v/>
      </c>
      <c r="BG39">
        <f>INDEX($C$28:$BV$28,16)</f>
        <v/>
      </c>
      <c r="BH39">
        <f>INDEX($C$28:$BV$28,15)</f>
        <v/>
      </c>
      <c r="BI39">
        <f>INDEX($C$28:$BV$28,14)</f>
        <v/>
      </c>
      <c r="BJ39">
        <f>INDEX($C$28:$BV$28,13)</f>
        <v/>
      </c>
      <c r="BK39">
        <f>INDEX($C$28:$BV$28,12)</f>
        <v/>
      </c>
      <c r="BL39">
        <f>INDEX($C$28:$BV$28,11)</f>
        <v/>
      </c>
      <c r="BM39">
        <f>INDEX($C$28:$BV$28,10)</f>
        <v/>
      </c>
      <c r="BN39">
        <f>INDEX($C$28:$BV$28,9)</f>
        <v/>
      </c>
      <c r="BO39">
        <f>INDEX($C$28:$BV$28,8)</f>
        <v/>
      </c>
      <c r="BP39">
        <f>INDEX($C$28:$BV$28,7)</f>
        <v/>
      </c>
      <c r="BQ39">
        <f>INDEX($C$28:$BV$28,6)</f>
        <v/>
      </c>
      <c r="BR39">
        <f>INDEX($C$28:$BV$28,5)</f>
        <v/>
      </c>
      <c r="BS39">
        <f>INDEX($C$28:$BV$28,4)</f>
        <v/>
      </c>
      <c r="BT39">
        <f>INDEX($C$28:$BV$28,3)</f>
        <v/>
      </c>
      <c r="BU39">
        <f>INDEX($C$28:$BV$28,2)</f>
        <v/>
      </c>
      <c r="BV39">
        <f>INDEX($C$28:$BV$28,1)</f>
        <v/>
      </c>
    </row>
    <row r="40">
      <c r="A40" t="inlineStr">
        <is>
          <t>D_MONTHLY@1 reversed</t>
        </is>
      </c>
      <c r="C40">
        <f>INDEX($C$29:$BV$29,72)</f>
        <v/>
      </c>
      <c r="D40">
        <f>INDEX($C$29:$BV$29,71)</f>
        <v/>
      </c>
      <c r="E40">
        <f>INDEX($C$29:$BV$29,70)</f>
        <v/>
      </c>
      <c r="F40">
        <f>INDEX($C$29:$BV$29,69)</f>
        <v/>
      </c>
      <c r="G40">
        <f>INDEX($C$29:$BV$29,68)</f>
        <v/>
      </c>
      <c r="H40">
        <f>INDEX($C$29:$BV$29,67)</f>
        <v/>
      </c>
      <c r="I40">
        <f>INDEX($C$29:$BV$29,66)</f>
        <v/>
      </c>
      <c r="J40">
        <f>INDEX($C$29:$BV$29,65)</f>
        <v/>
      </c>
      <c r="K40">
        <f>INDEX($C$29:$BV$29,64)</f>
        <v/>
      </c>
      <c r="L40">
        <f>INDEX($C$29:$BV$29,63)</f>
        <v/>
      </c>
      <c r="M40">
        <f>INDEX($C$29:$BV$29,62)</f>
        <v/>
      </c>
      <c r="N40">
        <f>INDEX($C$29:$BV$29,61)</f>
        <v/>
      </c>
      <c r="O40">
        <f>INDEX($C$29:$BV$29,60)</f>
        <v/>
      </c>
      <c r="P40">
        <f>INDEX($C$29:$BV$29,59)</f>
        <v/>
      </c>
      <c r="Q40">
        <f>INDEX($C$29:$BV$29,58)</f>
        <v/>
      </c>
      <c r="R40">
        <f>INDEX($C$29:$BV$29,57)</f>
        <v/>
      </c>
      <c r="S40">
        <f>INDEX($C$29:$BV$29,56)</f>
        <v/>
      </c>
      <c r="T40">
        <f>INDEX($C$29:$BV$29,55)</f>
        <v/>
      </c>
      <c r="U40">
        <f>INDEX($C$29:$BV$29,54)</f>
        <v/>
      </c>
      <c r="V40">
        <f>INDEX($C$29:$BV$29,53)</f>
        <v/>
      </c>
      <c r="W40">
        <f>INDEX($C$29:$BV$29,52)</f>
        <v/>
      </c>
      <c r="X40">
        <f>INDEX($C$29:$BV$29,51)</f>
        <v/>
      </c>
      <c r="Y40">
        <f>INDEX($C$29:$BV$29,50)</f>
        <v/>
      </c>
      <c r="Z40">
        <f>INDEX($C$29:$BV$29,49)</f>
        <v/>
      </c>
      <c r="AA40">
        <f>INDEX($C$29:$BV$29,48)</f>
        <v/>
      </c>
      <c r="AB40">
        <f>INDEX($C$29:$BV$29,47)</f>
        <v/>
      </c>
      <c r="AC40">
        <f>INDEX($C$29:$BV$29,46)</f>
        <v/>
      </c>
      <c r="AD40">
        <f>INDEX($C$29:$BV$29,45)</f>
        <v/>
      </c>
      <c r="AE40">
        <f>INDEX($C$29:$BV$29,44)</f>
        <v/>
      </c>
      <c r="AF40">
        <f>INDEX($C$29:$BV$29,43)</f>
        <v/>
      </c>
      <c r="AG40">
        <f>INDEX($C$29:$BV$29,42)</f>
        <v/>
      </c>
      <c r="AH40">
        <f>INDEX($C$29:$BV$29,41)</f>
        <v/>
      </c>
      <c r="AI40">
        <f>INDEX($C$29:$BV$29,40)</f>
        <v/>
      </c>
      <c r="AJ40">
        <f>INDEX($C$29:$BV$29,39)</f>
        <v/>
      </c>
      <c r="AK40">
        <f>INDEX($C$29:$BV$29,38)</f>
        <v/>
      </c>
      <c r="AL40">
        <f>INDEX($C$29:$BV$29,37)</f>
        <v/>
      </c>
      <c r="AM40">
        <f>INDEX($C$29:$BV$29,36)</f>
        <v/>
      </c>
      <c r="AN40">
        <f>INDEX($C$29:$BV$29,35)</f>
        <v/>
      </c>
      <c r="AO40">
        <f>INDEX($C$29:$BV$29,34)</f>
        <v/>
      </c>
      <c r="AP40">
        <f>INDEX($C$29:$BV$29,33)</f>
        <v/>
      </c>
      <c r="AQ40">
        <f>INDEX($C$29:$BV$29,32)</f>
        <v/>
      </c>
      <c r="AR40">
        <f>INDEX($C$29:$BV$29,31)</f>
        <v/>
      </c>
      <c r="AS40">
        <f>INDEX($C$29:$BV$29,30)</f>
        <v/>
      </c>
      <c r="AT40">
        <f>INDEX($C$29:$BV$29,29)</f>
        <v/>
      </c>
      <c r="AU40">
        <f>INDEX($C$29:$BV$29,28)</f>
        <v/>
      </c>
      <c r="AV40">
        <f>INDEX($C$29:$BV$29,27)</f>
        <v/>
      </c>
      <c r="AW40">
        <f>INDEX($C$29:$BV$29,26)</f>
        <v/>
      </c>
      <c r="AX40">
        <f>INDEX($C$29:$BV$29,25)</f>
        <v/>
      </c>
      <c r="AY40">
        <f>INDEX($C$29:$BV$29,24)</f>
        <v/>
      </c>
      <c r="AZ40">
        <f>INDEX($C$29:$BV$29,23)</f>
        <v/>
      </c>
      <c r="BA40">
        <f>INDEX($C$29:$BV$29,22)</f>
        <v/>
      </c>
      <c r="BB40">
        <f>INDEX($C$29:$BV$29,21)</f>
        <v/>
      </c>
      <c r="BC40">
        <f>INDEX($C$29:$BV$29,20)</f>
        <v/>
      </c>
      <c r="BD40">
        <f>INDEX($C$29:$BV$29,19)</f>
        <v/>
      </c>
      <c r="BE40">
        <f>INDEX($C$29:$BV$29,18)</f>
        <v/>
      </c>
      <c r="BF40">
        <f>INDEX($C$29:$BV$29,17)</f>
        <v/>
      </c>
      <c r="BG40">
        <f>INDEX($C$29:$BV$29,16)</f>
        <v/>
      </c>
      <c r="BH40">
        <f>INDEX($C$29:$BV$29,15)</f>
        <v/>
      </c>
      <c r="BI40">
        <f>INDEX($C$29:$BV$29,14)</f>
        <v/>
      </c>
      <c r="BJ40">
        <f>INDEX($C$29:$BV$29,13)</f>
        <v/>
      </c>
      <c r="BK40">
        <f>INDEX($C$29:$BV$29,12)</f>
        <v/>
      </c>
      <c r="BL40">
        <f>INDEX($C$29:$BV$29,11)</f>
        <v/>
      </c>
      <c r="BM40">
        <f>INDEX($C$29:$BV$29,10)</f>
        <v/>
      </c>
      <c r="BN40">
        <f>INDEX($C$29:$BV$29,9)</f>
        <v/>
      </c>
      <c r="BO40">
        <f>INDEX($C$29:$BV$29,8)</f>
        <v/>
      </c>
      <c r="BP40">
        <f>INDEX($C$29:$BV$29,7)</f>
        <v/>
      </c>
      <c r="BQ40">
        <f>INDEX($C$29:$BV$29,6)</f>
        <v/>
      </c>
      <c r="BR40">
        <f>INDEX($C$29:$BV$29,5)</f>
        <v/>
      </c>
      <c r="BS40">
        <f>INDEX($C$29:$BV$29,4)</f>
        <v/>
      </c>
      <c r="BT40">
        <f>INDEX($C$29:$BV$29,3)</f>
        <v/>
      </c>
      <c r="BU40">
        <f>INDEX($C$29:$BV$29,2)</f>
        <v/>
      </c>
      <c r="BV40">
        <f>INDEX($C$29:$BV$29,1)</f>
        <v/>
      </c>
    </row>
    <row r="41">
      <c r="A41" t="inlineStr">
        <is>
          <t>D_ANNUAL@1 reversed</t>
        </is>
      </c>
      <c r="C41">
        <f>INDEX($C$30:$BV$30,72)</f>
        <v/>
      </c>
      <c r="D41">
        <f>INDEX($C$30:$BV$30,71)</f>
        <v/>
      </c>
      <c r="E41">
        <f>INDEX($C$30:$BV$30,70)</f>
        <v/>
      </c>
      <c r="F41">
        <f>INDEX($C$30:$BV$30,69)</f>
        <v/>
      </c>
      <c r="G41">
        <f>INDEX($C$30:$BV$30,68)</f>
        <v/>
      </c>
      <c r="H41">
        <f>INDEX($C$30:$BV$30,67)</f>
        <v/>
      </c>
      <c r="I41">
        <f>INDEX($C$30:$BV$30,66)</f>
        <v/>
      </c>
      <c r="J41">
        <f>INDEX($C$30:$BV$30,65)</f>
        <v/>
      </c>
      <c r="K41">
        <f>INDEX($C$30:$BV$30,64)</f>
        <v/>
      </c>
      <c r="L41">
        <f>INDEX($C$30:$BV$30,63)</f>
        <v/>
      </c>
      <c r="M41">
        <f>INDEX($C$30:$BV$30,62)</f>
        <v/>
      </c>
      <c r="N41">
        <f>INDEX($C$30:$BV$30,61)</f>
        <v/>
      </c>
      <c r="O41">
        <f>INDEX($C$30:$BV$30,60)</f>
        <v/>
      </c>
      <c r="P41">
        <f>INDEX($C$30:$BV$30,59)</f>
        <v/>
      </c>
      <c r="Q41">
        <f>INDEX($C$30:$BV$30,58)</f>
        <v/>
      </c>
      <c r="R41">
        <f>INDEX($C$30:$BV$30,57)</f>
        <v/>
      </c>
      <c r="S41">
        <f>INDEX($C$30:$BV$30,56)</f>
        <v/>
      </c>
      <c r="T41">
        <f>INDEX($C$30:$BV$30,55)</f>
        <v/>
      </c>
      <c r="U41">
        <f>INDEX($C$30:$BV$30,54)</f>
        <v/>
      </c>
      <c r="V41">
        <f>INDEX($C$30:$BV$30,53)</f>
        <v/>
      </c>
      <c r="W41">
        <f>INDEX($C$30:$BV$30,52)</f>
        <v/>
      </c>
      <c r="X41">
        <f>INDEX($C$30:$BV$30,51)</f>
        <v/>
      </c>
      <c r="Y41">
        <f>INDEX($C$30:$BV$30,50)</f>
        <v/>
      </c>
      <c r="Z41">
        <f>INDEX($C$30:$BV$30,49)</f>
        <v/>
      </c>
      <c r="AA41">
        <f>INDEX($C$30:$BV$30,48)</f>
        <v/>
      </c>
      <c r="AB41">
        <f>INDEX($C$30:$BV$30,47)</f>
        <v/>
      </c>
      <c r="AC41">
        <f>INDEX($C$30:$BV$30,46)</f>
        <v/>
      </c>
      <c r="AD41">
        <f>INDEX($C$30:$BV$30,45)</f>
        <v/>
      </c>
      <c r="AE41">
        <f>INDEX($C$30:$BV$30,44)</f>
        <v/>
      </c>
      <c r="AF41">
        <f>INDEX($C$30:$BV$30,43)</f>
        <v/>
      </c>
      <c r="AG41">
        <f>INDEX($C$30:$BV$30,42)</f>
        <v/>
      </c>
      <c r="AH41">
        <f>INDEX($C$30:$BV$30,41)</f>
        <v/>
      </c>
      <c r="AI41">
        <f>INDEX($C$30:$BV$30,40)</f>
        <v/>
      </c>
      <c r="AJ41">
        <f>INDEX($C$30:$BV$30,39)</f>
        <v/>
      </c>
      <c r="AK41">
        <f>INDEX($C$30:$BV$30,38)</f>
        <v/>
      </c>
      <c r="AL41">
        <f>INDEX($C$30:$BV$30,37)</f>
        <v/>
      </c>
      <c r="AM41">
        <f>INDEX($C$30:$BV$30,36)</f>
        <v/>
      </c>
      <c r="AN41">
        <f>INDEX($C$30:$BV$30,35)</f>
        <v/>
      </c>
      <c r="AO41">
        <f>INDEX($C$30:$BV$30,34)</f>
        <v/>
      </c>
      <c r="AP41">
        <f>INDEX($C$30:$BV$30,33)</f>
        <v/>
      </c>
      <c r="AQ41">
        <f>INDEX($C$30:$BV$30,32)</f>
        <v/>
      </c>
      <c r="AR41">
        <f>INDEX($C$30:$BV$30,31)</f>
        <v/>
      </c>
      <c r="AS41">
        <f>INDEX($C$30:$BV$30,30)</f>
        <v/>
      </c>
      <c r="AT41">
        <f>INDEX($C$30:$BV$30,29)</f>
        <v/>
      </c>
      <c r="AU41">
        <f>INDEX($C$30:$BV$30,28)</f>
        <v/>
      </c>
      <c r="AV41">
        <f>INDEX($C$30:$BV$30,27)</f>
        <v/>
      </c>
      <c r="AW41">
        <f>INDEX($C$30:$BV$30,26)</f>
        <v/>
      </c>
      <c r="AX41">
        <f>INDEX($C$30:$BV$30,25)</f>
        <v/>
      </c>
      <c r="AY41">
        <f>INDEX($C$30:$BV$30,24)</f>
        <v/>
      </c>
      <c r="AZ41">
        <f>INDEX($C$30:$BV$30,23)</f>
        <v/>
      </c>
      <c r="BA41">
        <f>INDEX($C$30:$BV$30,22)</f>
        <v/>
      </c>
      <c r="BB41">
        <f>INDEX($C$30:$BV$30,21)</f>
        <v/>
      </c>
      <c r="BC41">
        <f>INDEX($C$30:$BV$30,20)</f>
        <v/>
      </c>
      <c r="BD41">
        <f>INDEX($C$30:$BV$30,19)</f>
        <v/>
      </c>
      <c r="BE41">
        <f>INDEX($C$30:$BV$30,18)</f>
        <v/>
      </c>
      <c r="BF41">
        <f>INDEX($C$30:$BV$30,17)</f>
        <v/>
      </c>
      <c r="BG41">
        <f>INDEX($C$30:$BV$30,16)</f>
        <v/>
      </c>
      <c r="BH41">
        <f>INDEX($C$30:$BV$30,15)</f>
        <v/>
      </c>
      <c r="BI41">
        <f>INDEX($C$30:$BV$30,14)</f>
        <v/>
      </c>
      <c r="BJ41">
        <f>INDEX($C$30:$BV$30,13)</f>
        <v/>
      </c>
      <c r="BK41">
        <f>INDEX($C$30:$BV$30,12)</f>
        <v/>
      </c>
      <c r="BL41">
        <f>INDEX($C$30:$BV$30,11)</f>
        <v/>
      </c>
      <c r="BM41">
        <f>INDEX($C$30:$BV$30,10)</f>
        <v/>
      </c>
      <c r="BN41">
        <f>INDEX($C$30:$BV$30,9)</f>
        <v/>
      </c>
      <c r="BO41">
        <f>INDEX($C$30:$BV$30,8)</f>
        <v/>
      </c>
      <c r="BP41">
        <f>INDEX($C$30:$BV$30,7)</f>
        <v/>
      </c>
      <c r="BQ41">
        <f>INDEX($C$30:$BV$30,6)</f>
        <v/>
      </c>
      <c r="BR41">
        <f>INDEX($C$30:$BV$30,5)</f>
        <v/>
      </c>
      <c r="BS41">
        <f>INDEX($C$30:$BV$30,4)</f>
        <v/>
      </c>
      <c r="BT41">
        <f>INDEX($C$30:$BV$30,3)</f>
        <v/>
      </c>
      <c r="BU41">
        <f>INDEX($C$30:$BV$30,2)</f>
        <v/>
      </c>
      <c r="BV41">
        <f>INDEX($C$30:$BV$30,1)</f>
        <v/>
      </c>
    </row>
    <row r="42">
      <c r="A42" t="inlineStr">
        <is>
          <t>S_REACT@1 reversed</t>
        </is>
      </c>
      <c r="C42">
        <f>INDEX($C$31:$BV$31,72)</f>
        <v/>
      </c>
      <c r="D42">
        <f>INDEX($C$31:$BV$31,71)</f>
        <v/>
      </c>
      <c r="E42">
        <f>INDEX($C$31:$BV$31,70)</f>
        <v/>
      </c>
      <c r="F42">
        <f>INDEX($C$31:$BV$31,69)</f>
        <v/>
      </c>
      <c r="G42">
        <f>INDEX($C$31:$BV$31,68)</f>
        <v/>
      </c>
      <c r="H42">
        <f>INDEX($C$31:$BV$31,67)</f>
        <v/>
      </c>
      <c r="I42">
        <f>INDEX($C$31:$BV$31,66)</f>
        <v/>
      </c>
      <c r="J42">
        <f>INDEX($C$31:$BV$31,65)</f>
        <v/>
      </c>
      <c r="K42">
        <f>INDEX($C$31:$BV$31,64)</f>
        <v/>
      </c>
      <c r="L42">
        <f>INDEX($C$31:$BV$31,63)</f>
        <v/>
      </c>
      <c r="M42">
        <f>INDEX($C$31:$BV$31,62)</f>
        <v/>
      </c>
      <c r="N42">
        <f>INDEX($C$31:$BV$31,61)</f>
        <v/>
      </c>
      <c r="O42">
        <f>INDEX($C$31:$BV$31,60)</f>
        <v/>
      </c>
      <c r="P42">
        <f>INDEX($C$31:$BV$31,59)</f>
        <v/>
      </c>
      <c r="Q42">
        <f>INDEX($C$31:$BV$31,58)</f>
        <v/>
      </c>
      <c r="R42">
        <f>INDEX($C$31:$BV$31,57)</f>
        <v/>
      </c>
      <c r="S42">
        <f>INDEX($C$31:$BV$31,56)</f>
        <v/>
      </c>
      <c r="T42">
        <f>INDEX($C$31:$BV$31,55)</f>
        <v/>
      </c>
      <c r="U42">
        <f>INDEX($C$31:$BV$31,54)</f>
        <v/>
      </c>
      <c r="V42">
        <f>INDEX($C$31:$BV$31,53)</f>
        <v/>
      </c>
      <c r="W42">
        <f>INDEX($C$31:$BV$31,52)</f>
        <v/>
      </c>
      <c r="X42">
        <f>INDEX($C$31:$BV$31,51)</f>
        <v/>
      </c>
      <c r="Y42">
        <f>INDEX($C$31:$BV$31,50)</f>
        <v/>
      </c>
      <c r="Z42">
        <f>INDEX($C$31:$BV$31,49)</f>
        <v/>
      </c>
      <c r="AA42">
        <f>INDEX($C$31:$BV$31,48)</f>
        <v/>
      </c>
      <c r="AB42">
        <f>INDEX($C$31:$BV$31,47)</f>
        <v/>
      </c>
      <c r="AC42">
        <f>INDEX($C$31:$BV$31,46)</f>
        <v/>
      </c>
      <c r="AD42">
        <f>INDEX($C$31:$BV$31,45)</f>
        <v/>
      </c>
      <c r="AE42">
        <f>INDEX($C$31:$BV$31,44)</f>
        <v/>
      </c>
      <c r="AF42">
        <f>INDEX($C$31:$BV$31,43)</f>
        <v/>
      </c>
      <c r="AG42">
        <f>INDEX($C$31:$BV$31,42)</f>
        <v/>
      </c>
      <c r="AH42">
        <f>INDEX($C$31:$BV$31,41)</f>
        <v/>
      </c>
      <c r="AI42">
        <f>INDEX($C$31:$BV$31,40)</f>
        <v/>
      </c>
      <c r="AJ42">
        <f>INDEX($C$31:$BV$31,39)</f>
        <v/>
      </c>
      <c r="AK42">
        <f>INDEX($C$31:$BV$31,38)</f>
        <v/>
      </c>
      <c r="AL42">
        <f>INDEX($C$31:$BV$31,37)</f>
        <v/>
      </c>
      <c r="AM42">
        <f>INDEX($C$31:$BV$31,36)</f>
        <v/>
      </c>
      <c r="AN42">
        <f>INDEX($C$31:$BV$31,35)</f>
        <v/>
      </c>
      <c r="AO42">
        <f>INDEX($C$31:$BV$31,34)</f>
        <v/>
      </c>
      <c r="AP42">
        <f>INDEX($C$31:$BV$31,33)</f>
        <v/>
      </c>
      <c r="AQ42">
        <f>INDEX($C$31:$BV$31,32)</f>
        <v/>
      </c>
      <c r="AR42">
        <f>INDEX($C$31:$BV$31,31)</f>
        <v/>
      </c>
      <c r="AS42">
        <f>INDEX($C$31:$BV$31,30)</f>
        <v/>
      </c>
      <c r="AT42">
        <f>INDEX($C$31:$BV$31,29)</f>
        <v/>
      </c>
      <c r="AU42">
        <f>INDEX($C$31:$BV$31,28)</f>
        <v/>
      </c>
      <c r="AV42">
        <f>INDEX($C$31:$BV$31,27)</f>
        <v/>
      </c>
      <c r="AW42">
        <f>INDEX($C$31:$BV$31,26)</f>
        <v/>
      </c>
      <c r="AX42">
        <f>INDEX($C$31:$BV$31,25)</f>
        <v/>
      </c>
      <c r="AY42">
        <f>INDEX($C$31:$BV$31,24)</f>
        <v/>
      </c>
      <c r="AZ42">
        <f>INDEX($C$31:$BV$31,23)</f>
        <v/>
      </c>
      <c r="BA42">
        <f>INDEX($C$31:$BV$31,22)</f>
        <v/>
      </c>
      <c r="BB42">
        <f>INDEX($C$31:$BV$31,21)</f>
        <v/>
      </c>
      <c r="BC42">
        <f>INDEX($C$31:$BV$31,20)</f>
        <v/>
      </c>
      <c r="BD42">
        <f>INDEX($C$31:$BV$31,19)</f>
        <v/>
      </c>
      <c r="BE42">
        <f>INDEX($C$31:$BV$31,18)</f>
        <v/>
      </c>
      <c r="BF42">
        <f>INDEX($C$31:$BV$31,17)</f>
        <v/>
      </c>
      <c r="BG42">
        <f>INDEX($C$31:$BV$31,16)</f>
        <v/>
      </c>
      <c r="BH42">
        <f>INDEX($C$31:$BV$31,15)</f>
        <v/>
      </c>
      <c r="BI42">
        <f>INDEX($C$31:$BV$31,14)</f>
        <v/>
      </c>
      <c r="BJ42">
        <f>INDEX($C$31:$BV$31,13)</f>
        <v/>
      </c>
      <c r="BK42">
        <f>INDEX($C$31:$BV$31,12)</f>
        <v/>
      </c>
      <c r="BL42">
        <f>INDEX($C$31:$BV$31,11)</f>
        <v/>
      </c>
      <c r="BM42">
        <f>INDEX($C$31:$BV$31,10)</f>
        <v/>
      </c>
      <c r="BN42">
        <f>INDEX($C$31:$BV$31,9)</f>
        <v/>
      </c>
      <c r="BO42">
        <f>INDEX($C$31:$BV$31,8)</f>
        <v/>
      </c>
      <c r="BP42">
        <f>INDEX($C$31:$BV$31,7)</f>
        <v/>
      </c>
      <c r="BQ42">
        <f>INDEX($C$31:$BV$31,6)</f>
        <v/>
      </c>
      <c r="BR42">
        <f>INDEX($C$31:$BV$31,5)</f>
        <v/>
      </c>
      <c r="BS42">
        <f>INDEX($C$31:$BV$31,4)</f>
        <v/>
      </c>
      <c r="BT42">
        <f>INDEX($C$31:$BV$31,3)</f>
        <v/>
      </c>
      <c r="BU42">
        <f>INDEX($C$31:$BV$31,2)</f>
        <v/>
      </c>
      <c r="BV42">
        <f>INDEX($C$31:$BV$31,1)</f>
        <v/>
      </c>
    </row>
    <row r="43">
      <c r="A43" t="inlineStr">
        <is>
          <t>D_REACT@1 reversed</t>
        </is>
      </c>
      <c r="C43">
        <f>INDEX($C$32:$BV$32,72)</f>
        <v/>
      </c>
      <c r="D43">
        <f>INDEX($C$32:$BV$32,71)</f>
        <v/>
      </c>
      <c r="E43">
        <f>INDEX($C$32:$BV$32,70)</f>
        <v/>
      </c>
      <c r="F43">
        <f>INDEX($C$32:$BV$32,69)</f>
        <v/>
      </c>
      <c r="G43">
        <f>INDEX($C$32:$BV$32,68)</f>
        <v/>
      </c>
      <c r="H43">
        <f>INDEX($C$32:$BV$32,67)</f>
        <v/>
      </c>
      <c r="I43">
        <f>INDEX($C$32:$BV$32,66)</f>
        <v/>
      </c>
      <c r="J43">
        <f>INDEX($C$32:$BV$32,65)</f>
        <v/>
      </c>
      <c r="K43">
        <f>INDEX($C$32:$BV$32,64)</f>
        <v/>
      </c>
      <c r="L43">
        <f>INDEX($C$32:$BV$32,63)</f>
        <v/>
      </c>
      <c r="M43">
        <f>INDEX($C$32:$BV$32,62)</f>
        <v/>
      </c>
      <c r="N43">
        <f>INDEX($C$32:$BV$32,61)</f>
        <v/>
      </c>
      <c r="O43">
        <f>INDEX($C$32:$BV$32,60)</f>
        <v/>
      </c>
      <c r="P43">
        <f>INDEX($C$32:$BV$32,59)</f>
        <v/>
      </c>
      <c r="Q43">
        <f>INDEX($C$32:$BV$32,58)</f>
        <v/>
      </c>
      <c r="R43">
        <f>INDEX($C$32:$BV$32,57)</f>
        <v/>
      </c>
      <c r="S43">
        <f>INDEX($C$32:$BV$32,56)</f>
        <v/>
      </c>
      <c r="T43">
        <f>INDEX($C$32:$BV$32,55)</f>
        <v/>
      </c>
      <c r="U43">
        <f>INDEX($C$32:$BV$32,54)</f>
        <v/>
      </c>
      <c r="V43">
        <f>INDEX($C$32:$BV$32,53)</f>
        <v/>
      </c>
      <c r="W43">
        <f>INDEX($C$32:$BV$32,52)</f>
        <v/>
      </c>
      <c r="X43">
        <f>INDEX($C$32:$BV$32,51)</f>
        <v/>
      </c>
      <c r="Y43">
        <f>INDEX($C$32:$BV$32,50)</f>
        <v/>
      </c>
      <c r="Z43">
        <f>INDEX($C$32:$BV$32,49)</f>
        <v/>
      </c>
      <c r="AA43">
        <f>INDEX($C$32:$BV$32,48)</f>
        <v/>
      </c>
      <c r="AB43">
        <f>INDEX($C$32:$BV$32,47)</f>
        <v/>
      </c>
      <c r="AC43">
        <f>INDEX($C$32:$BV$32,46)</f>
        <v/>
      </c>
      <c r="AD43">
        <f>INDEX($C$32:$BV$32,45)</f>
        <v/>
      </c>
      <c r="AE43">
        <f>INDEX($C$32:$BV$32,44)</f>
        <v/>
      </c>
      <c r="AF43">
        <f>INDEX($C$32:$BV$32,43)</f>
        <v/>
      </c>
      <c r="AG43">
        <f>INDEX($C$32:$BV$32,42)</f>
        <v/>
      </c>
      <c r="AH43">
        <f>INDEX($C$32:$BV$32,41)</f>
        <v/>
      </c>
      <c r="AI43">
        <f>INDEX($C$32:$BV$32,40)</f>
        <v/>
      </c>
      <c r="AJ43">
        <f>INDEX($C$32:$BV$32,39)</f>
        <v/>
      </c>
      <c r="AK43">
        <f>INDEX($C$32:$BV$32,38)</f>
        <v/>
      </c>
      <c r="AL43">
        <f>INDEX($C$32:$BV$32,37)</f>
        <v/>
      </c>
      <c r="AM43">
        <f>INDEX($C$32:$BV$32,36)</f>
        <v/>
      </c>
      <c r="AN43">
        <f>INDEX($C$32:$BV$32,35)</f>
        <v/>
      </c>
      <c r="AO43">
        <f>INDEX($C$32:$BV$32,34)</f>
        <v/>
      </c>
      <c r="AP43">
        <f>INDEX($C$32:$BV$32,33)</f>
        <v/>
      </c>
      <c r="AQ43">
        <f>INDEX($C$32:$BV$32,32)</f>
        <v/>
      </c>
      <c r="AR43">
        <f>INDEX($C$32:$BV$32,31)</f>
        <v/>
      </c>
      <c r="AS43">
        <f>INDEX($C$32:$BV$32,30)</f>
        <v/>
      </c>
      <c r="AT43">
        <f>INDEX($C$32:$BV$32,29)</f>
        <v/>
      </c>
      <c r="AU43">
        <f>INDEX($C$32:$BV$32,28)</f>
        <v/>
      </c>
      <c r="AV43">
        <f>INDEX($C$32:$BV$32,27)</f>
        <v/>
      </c>
      <c r="AW43">
        <f>INDEX($C$32:$BV$32,26)</f>
        <v/>
      </c>
      <c r="AX43">
        <f>INDEX($C$32:$BV$32,25)</f>
        <v/>
      </c>
      <c r="AY43">
        <f>INDEX($C$32:$BV$32,24)</f>
        <v/>
      </c>
      <c r="AZ43">
        <f>INDEX($C$32:$BV$32,23)</f>
        <v/>
      </c>
      <c r="BA43">
        <f>INDEX($C$32:$BV$32,22)</f>
        <v/>
      </c>
      <c r="BB43">
        <f>INDEX($C$32:$BV$32,21)</f>
        <v/>
      </c>
      <c r="BC43">
        <f>INDEX($C$32:$BV$32,20)</f>
        <v/>
      </c>
      <c r="BD43">
        <f>INDEX($C$32:$BV$32,19)</f>
        <v/>
      </c>
      <c r="BE43">
        <f>INDEX($C$32:$BV$32,18)</f>
        <v/>
      </c>
      <c r="BF43">
        <f>INDEX($C$32:$BV$32,17)</f>
        <v/>
      </c>
      <c r="BG43">
        <f>INDEX($C$32:$BV$32,16)</f>
        <v/>
      </c>
      <c r="BH43">
        <f>INDEX($C$32:$BV$32,15)</f>
        <v/>
      </c>
      <c r="BI43">
        <f>INDEX($C$32:$BV$32,14)</f>
        <v/>
      </c>
      <c r="BJ43">
        <f>INDEX($C$32:$BV$32,13)</f>
        <v/>
      </c>
      <c r="BK43">
        <f>INDEX($C$32:$BV$32,12)</f>
        <v/>
      </c>
      <c r="BL43">
        <f>INDEX($C$32:$BV$32,11)</f>
        <v/>
      </c>
      <c r="BM43">
        <f>INDEX($C$32:$BV$32,10)</f>
        <v/>
      </c>
      <c r="BN43">
        <f>INDEX($C$32:$BV$32,9)</f>
        <v/>
      </c>
      <c r="BO43">
        <f>INDEX($C$32:$BV$32,8)</f>
        <v/>
      </c>
      <c r="BP43">
        <f>INDEX($C$32:$BV$32,7)</f>
        <v/>
      </c>
      <c r="BQ43">
        <f>INDEX($C$32:$BV$32,6)</f>
        <v/>
      </c>
      <c r="BR43">
        <f>INDEX($C$32:$BV$32,5)</f>
        <v/>
      </c>
      <c r="BS43">
        <f>INDEX($C$32:$BV$32,4)</f>
        <v/>
      </c>
      <c r="BT43">
        <f>INDEX($C$32:$BV$32,3)</f>
        <v/>
      </c>
      <c r="BU43">
        <f>INDEX($C$32:$BV$32,2)</f>
        <v/>
      </c>
      <c r="BV43">
        <f>INDEX($C$32:$BV$32,1)</f>
        <v/>
      </c>
    </row>
    <row r="44">
      <c r="A44" t="inlineStr">
        <is>
          <t>K_REACT@1 reversed</t>
        </is>
      </c>
      <c r="C44">
        <f>INDEX($C$33:$BV$33,72)</f>
        <v/>
      </c>
      <c r="D44">
        <f>INDEX($C$33:$BV$33,71)</f>
        <v/>
      </c>
      <c r="E44">
        <f>INDEX($C$33:$BV$33,70)</f>
        <v/>
      </c>
      <c r="F44">
        <f>INDEX($C$33:$BV$33,69)</f>
        <v/>
      </c>
      <c r="G44">
        <f>INDEX($C$33:$BV$33,68)</f>
        <v/>
      </c>
      <c r="H44">
        <f>INDEX($C$33:$BV$33,67)</f>
        <v/>
      </c>
      <c r="I44">
        <f>INDEX($C$33:$BV$33,66)</f>
        <v/>
      </c>
      <c r="J44">
        <f>INDEX($C$33:$BV$33,65)</f>
        <v/>
      </c>
      <c r="K44">
        <f>INDEX($C$33:$BV$33,64)</f>
        <v/>
      </c>
      <c r="L44">
        <f>INDEX($C$33:$BV$33,63)</f>
        <v/>
      </c>
      <c r="M44">
        <f>INDEX($C$33:$BV$33,62)</f>
        <v/>
      </c>
      <c r="N44">
        <f>INDEX($C$33:$BV$33,61)</f>
        <v/>
      </c>
      <c r="O44">
        <f>INDEX($C$33:$BV$33,60)</f>
        <v/>
      </c>
      <c r="P44">
        <f>INDEX($C$33:$BV$33,59)</f>
        <v/>
      </c>
      <c r="Q44">
        <f>INDEX($C$33:$BV$33,58)</f>
        <v/>
      </c>
      <c r="R44">
        <f>INDEX($C$33:$BV$33,57)</f>
        <v/>
      </c>
      <c r="S44">
        <f>INDEX($C$33:$BV$33,56)</f>
        <v/>
      </c>
      <c r="T44">
        <f>INDEX($C$33:$BV$33,55)</f>
        <v/>
      </c>
      <c r="U44">
        <f>INDEX($C$33:$BV$33,54)</f>
        <v/>
      </c>
      <c r="V44">
        <f>INDEX($C$33:$BV$33,53)</f>
        <v/>
      </c>
      <c r="W44">
        <f>INDEX($C$33:$BV$33,52)</f>
        <v/>
      </c>
      <c r="X44">
        <f>INDEX($C$33:$BV$33,51)</f>
        <v/>
      </c>
      <c r="Y44">
        <f>INDEX($C$33:$BV$33,50)</f>
        <v/>
      </c>
      <c r="Z44">
        <f>INDEX($C$33:$BV$33,49)</f>
        <v/>
      </c>
      <c r="AA44">
        <f>INDEX($C$33:$BV$33,48)</f>
        <v/>
      </c>
      <c r="AB44">
        <f>INDEX($C$33:$BV$33,47)</f>
        <v/>
      </c>
      <c r="AC44">
        <f>INDEX($C$33:$BV$33,46)</f>
        <v/>
      </c>
      <c r="AD44">
        <f>INDEX($C$33:$BV$33,45)</f>
        <v/>
      </c>
      <c r="AE44">
        <f>INDEX($C$33:$BV$33,44)</f>
        <v/>
      </c>
      <c r="AF44">
        <f>INDEX($C$33:$BV$33,43)</f>
        <v/>
      </c>
      <c r="AG44">
        <f>INDEX($C$33:$BV$33,42)</f>
        <v/>
      </c>
      <c r="AH44">
        <f>INDEX($C$33:$BV$33,41)</f>
        <v/>
      </c>
      <c r="AI44">
        <f>INDEX($C$33:$BV$33,40)</f>
        <v/>
      </c>
      <c r="AJ44">
        <f>INDEX($C$33:$BV$33,39)</f>
        <v/>
      </c>
      <c r="AK44">
        <f>INDEX($C$33:$BV$33,38)</f>
        <v/>
      </c>
      <c r="AL44">
        <f>INDEX($C$33:$BV$33,37)</f>
        <v/>
      </c>
      <c r="AM44">
        <f>INDEX($C$33:$BV$33,36)</f>
        <v/>
      </c>
      <c r="AN44">
        <f>INDEX($C$33:$BV$33,35)</f>
        <v/>
      </c>
      <c r="AO44">
        <f>INDEX($C$33:$BV$33,34)</f>
        <v/>
      </c>
      <c r="AP44">
        <f>INDEX($C$33:$BV$33,33)</f>
        <v/>
      </c>
      <c r="AQ44">
        <f>INDEX($C$33:$BV$33,32)</f>
        <v/>
      </c>
      <c r="AR44">
        <f>INDEX($C$33:$BV$33,31)</f>
        <v/>
      </c>
      <c r="AS44">
        <f>INDEX($C$33:$BV$33,30)</f>
        <v/>
      </c>
      <c r="AT44">
        <f>INDEX($C$33:$BV$33,29)</f>
        <v/>
      </c>
      <c r="AU44">
        <f>INDEX($C$33:$BV$33,28)</f>
        <v/>
      </c>
      <c r="AV44">
        <f>INDEX($C$33:$BV$33,27)</f>
        <v/>
      </c>
      <c r="AW44">
        <f>INDEX($C$33:$BV$33,26)</f>
        <v/>
      </c>
      <c r="AX44">
        <f>INDEX($C$33:$BV$33,25)</f>
        <v/>
      </c>
      <c r="AY44">
        <f>INDEX($C$33:$BV$33,24)</f>
        <v/>
      </c>
      <c r="AZ44">
        <f>INDEX($C$33:$BV$33,23)</f>
        <v/>
      </c>
      <c r="BA44">
        <f>INDEX($C$33:$BV$33,22)</f>
        <v/>
      </c>
      <c r="BB44">
        <f>INDEX($C$33:$BV$33,21)</f>
        <v/>
      </c>
      <c r="BC44">
        <f>INDEX($C$33:$BV$33,20)</f>
        <v/>
      </c>
      <c r="BD44">
        <f>INDEX($C$33:$BV$33,19)</f>
        <v/>
      </c>
      <c r="BE44">
        <f>INDEX($C$33:$BV$33,18)</f>
        <v/>
      </c>
      <c r="BF44">
        <f>INDEX($C$33:$BV$33,17)</f>
        <v/>
      </c>
      <c r="BG44">
        <f>INDEX($C$33:$BV$33,16)</f>
        <v/>
      </c>
      <c r="BH44">
        <f>INDEX($C$33:$BV$33,15)</f>
        <v/>
      </c>
      <c r="BI44">
        <f>INDEX($C$33:$BV$33,14)</f>
        <v/>
      </c>
      <c r="BJ44">
        <f>INDEX($C$33:$BV$33,13)</f>
        <v/>
      </c>
      <c r="BK44">
        <f>INDEX($C$33:$BV$33,12)</f>
        <v/>
      </c>
      <c r="BL44">
        <f>INDEX($C$33:$BV$33,11)</f>
        <v/>
      </c>
      <c r="BM44">
        <f>INDEX($C$33:$BV$33,10)</f>
        <v/>
      </c>
      <c r="BN44">
        <f>INDEX($C$33:$BV$33,9)</f>
        <v/>
      </c>
      <c r="BO44">
        <f>INDEX($C$33:$BV$33,8)</f>
        <v/>
      </c>
      <c r="BP44">
        <f>INDEX($C$33:$BV$33,7)</f>
        <v/>
      </c>
      <c r="BQ44">
        <f>INDEX($C$33:$BV$33,6)</f>
        <v/>
      </c>
      <c r="BR44">
        <f>INDEX($C$33:$BV$33,5)</f>
        <v/>
      </c>
      <c r="BS44">
        <f>INDEX($C$33:$BV$33,4)</f>
        <v/>
      </c>
      <c r="BT44">
        <f>INDEX($C$33:$BV$33,3)</f>
        <v/>
      </c>
      <c r="BU44">
        <f>INDEX($C$33:$BV$33,2)</f>
        <v/>
      </c>
      <c r="BV44">
        <f>INDEX($C$33:$BV$33,1)</f>
        <v/>
      </c>
    </row>
    <row r="45">
      <c r="A45" t="inlineStr">
        <is>
          <t>S_MONTHLY_Y1@1 reversed</t>
        </is>
      </c>
      <c r="C45">
        <f>INDEX($C$34:$BV$34,72)</f>
        <v/>
      </c>
      <c r="D45">
        <f>INDEX($C$34:$BV$34,71)</f>
        <v/>
      </c>
      <c r="E45">
        <f>INDEX($C$34:$BV$34,70)</f>
        <v/>
      </c>
      <c r="F45">
        <f>INDEX($C$34:$BV$34,69)</f>
        <v/>
      </c>
      <c r="G45">
        <f>INDEX($C$34:$BV$34,68)</f>
        <v/>
      </c>
      <c r="H45">
        <f>INDEX($C$34:$BV$34,67)</f>
        <v/>
      </c>
      <c r="I45">
        <f>INDEX($C$34:$BV$34,66)</f>
        <v/>
      </c>
      <c r="J45">
        <f>INDEX($C$34:$BV$34,65)</f>
        <v/>
      </c>
      <c r="K45">
        <f>INDEX($C$34:$BV$34,64)</f>
        <v/>
      </c>
      <c r="L45">
        <f>INDEX($C$34:$BV$34,63)</f>
        <v/>
      </c>
      <c r="M45">
        <f>INDEX($C$34:$BV$34,62)</f>
        <v/>
      </c>
      <c r="N45">
        <f>INDEX($C$34:$BV$34,61)</f>
        <v/>
      </c>
      <c r="O45">
        <f>INDEX($C$34:$BV$34,60)</f>
        <v/>
      </c>
      <c r="P45">
        <f>INDEX($C$34:$BV$34,59)</f>
        <v/>
      </c>
      <c r="Q45">
        <f>INDEX($C$34:$BV$34,58)</f>
        <v/>
      </c>
      <c r="R45">
        <f>INDEX($C$34:$BV$34,57)</f>
        <v/>
      </c>
      <c r="S45">
        <f>INDEX($C$34:$BV$34,56)</f>
        <v/>
      </c>
      <c r="T45">
        <f>INDEX($C$34:$BV$34,55)</f>
        <v/>
      </c>
      <c r="U45">
        <f>INDEX($C$34:$BV$34,54)</f>
        <v/>
      </c>
      <c r="V45">
        <f>INDEX($C$34:$BV$34,53)</f>
        <v/>
      </c>
      <c r="W45">
        <f>INDEX($C$34:$BV$34,52)</f>
        <v/>
      </c>
      <c r="X45">
        <f>INDEX($C$34:$BV$34,51)</f>
        <v/>
      </c>
      <c r="Y45">
        <f>INDEX($C$34:$BV$34,50)</f>
        <v/>
      </c>
      <c r="Z45">
        <f>INDEX($C$34:$BV$34,49)</f>
        <v/>
      </c>
      <c r="AA45">
        <f>INDEX($C$34:$BV$34,48)</f>
        <v/>
      </c>
      <c r="AB45">
        <f>INDEX($C$34:$BV$34,47)</f>
        <v/>
      </c>
      <c r="AC45">
        <f>INDEX($C$34:$BV$34,46)</f>
        <v/>
      </c>
      <c r="AD45">
        <f>INDEX($C$34:$BV$34,45)</f>
        <v/>
      </c>
      <c r="AE45">
        <f>INDEX($C$34:$BV$34,44)</f>
        <v/>
      </c>
      <c r="AF45">
        <f>INDEX($C$34:$BV$34,43)</f>
        <v/>
      </c>
      <c r="AG45">
        <f>INDEX($C$34:$BV$34,42)</f>
        <v/>
      </c>
      <c r="AH45">
        <f>INDEX($C$34:$BV$34,41)</f>
        <v/>
      </c>
      <c r="AI45">
        <f>INDEX($C$34:$BV$34,40)</f>
        <v/>
      </c>
      <c r="AJ45">
        <f>INDEX($C$34:$BV$34,39)</f>
        <v/>
      </c>
      <c r="AK45">
        <f>INDEX($C$34:$BV$34,38)</f>
        <v/>
      </c>
      <c r="AL45">
        <f>INDEX($C$34:$BV$34,37)</f>
        <v/>
      </c>
      <c r="AM45">
        <f>INDEX($C$34:$BV$34,36)</f>
        <v/>
      </c>
      <c r="AN45">
        <f>INDEX($C$34:$BV$34,35)</f>
        <v/>
      </c>
      <c r="AO45">
        <f>INDEX($C$34:$BV$34,34)</f>
        <v/>
      </c>
      <c r="AP45">
        <f>INDEX($C$34:$BV$34,33)</f>
        <v/>
      </c>
      <c r="AQ45">
        <f>INDEX($C$34:$BV$34,32)</f>
        <v/>
      </c>
      <c r="AR45">
        <f>INDEX($C$34:$BV$34,31)</f>
        <v/>
      </c>
      <c r="AS45">
        <f>INDEX($C$34:$BV$34,30)</f>
        <v/>
      </c>
      <c r="AT45">
        <f>INDEX($C$34:$BV$34,29)</f>
        <v/>
      </c>
      <c r="AU45">
        <f>INDEX($C$34:$BV$34,28)</f>
        <v/>
      </c>
      <c r="AV45">
        <f>INDEX($C$34:$BV$34,27)</f>
        <v/>
      </c>
      <c r="AW45">
        <f>INDEX($C$34:$BV$34,26)</f>
        <v/>
      </c>
      <c r="AX45">
        <f>INDEX($C$34:$BV$34,25)</f>
        <v/>
      </c>
      <c r="AY45">
        <f>INDEX($C$34:$BV$34,24)</f>
        <v/>
      </c>
      <c r="AZ45">
        <f>INDEX($C$34:$BV$34,23)</f>
        <v/>
      </c>
      <c r="BA45">
        <f>INDEX($C$34:$BV$34,22)</f>
        <v/>
      </c>
      <c r="BB45">
        <f>INDEX($C$34:$BV$34,21)</f>
        <v/>
      </c>
      <c r="BC45">
        <f>INDEX($C$34:$BV$34,20)</f>
        <v/>
      </c>
      <c r="BD45">
        <f>INDEX($C$34:$BV$34,19)</f>
        <v/>
      </c>
      <c r="BE45">
        <f>INDEX($C$34:$BV$34,18)</f>
        <v/>
      </c>
      <c r="BF45">
        <f>INDEX($C$34:$BV$34,17)</f>
        <v/>
      </c>
      <c r="BG45">
        <f>INDEX($C$34:$BV$34,16)</f>
        <v/>
      </c>
      <c r="BH45">
        <f>INDEX($C$34:$BV$34,15)</f>
        <v/>
      </c>
      <c r="BI45">
        <f>INDEX($C$34:$BV$34,14)</f>
        <v/>
      </c>
      <c r="BJ45">
        <f>INDEX($C$34:$BV$34,13)</f>
        <v/>
      </c>
      <c r="BK45">
        <f>INDEX($C$34:$BV$34,12)</f>
        <v/>
      </c>
      <c r="BL45">
        <f>INDEX($C$34:$BV$34,11)</f>
        <v/>
      </c>
      <c r="BM45">
        <f>INDEX($C$34:$BV$34,10)</f>
        <v/>
      </c>
      <c r="BN45">
        <f>INDEX($C$34:$BV$34,9)</f>
        <v/>
      </c>
      <c r="BO45">
        <f>INDEX($C$34:$BV$34,8)</f>
        <v/>
      </c>
      <c r="BP45">
        <f>INDEX($C$34:$BV$34,7)</f>
        <v/>
      </c>
      <c r="BQ45">
        <f>INDEX($C$34:$BV$34,6)</f>
        <v/>
      </c>
      <c r="BR45">
        <f>INDEX($C$34:$BV$34,5)</f>
        <v/>
      </c>
      <c r="BS45">
        <f>INDEX($C$34:$BV$34,4)</f>
        <v/>
      </c>
      <c r="BT45">
        <f>INDEX($C$34:$BV$34,3)</f>
        <v/>
      </c>
      <c r="BU45">
        <f>INDEX($C$34:$BV$34,2)</f>
        <v/>
      </c>
      <c r="BV45">
        <f>INDEX($C$34:$BV$34,1)</f>
        <v/>
      </c>
    </row>
    <row r="46">
      <c r="A46" t="inlineStr">
        <is>
          <t>S_ANNUAL_Y1@1 reversed</t>
        </is>
      </c>
      <c r="C46">
        <f>INDEX($C$35:$BV$35,72)</f>
        <v/>
      </c>
      <c r="D46">
        <f>INDEX($C$35:$BV$35,71)</f>
        <v/>
      </c>
      <c r="E46">
        <f>INDEX($C$35:$BV$35,70)</f>
        <v/>
      </c>
      <c r="F46">
        <f>INDEX($C$35:$BV$35,69)</f>
        <v/>
      </c>
      <c r="G46">
        <f>INDEX($C$35:$BV$35,68)</f>
        <v/>
      </c>
      <c r="H46">
        <f>INDEX($C$35:$BV$35,67)</f>
        <v/>
      </c>
      <c r="I46">
        <f>INDEX($C$35:$BV$35,66)</f>
        <v/>
      </c>
      <c r="J46">
        <f>INDEX($C$35:$BV$35,65)</f>
        <v/>
      </c>
      <c r="K46">
        <f>INDEX($C$35:$BV$35,64)</f>
        <v/>
      </c>
      <c r="L46">
        <f>INDEX($C$35:$BV$35,63)</f>
        <v/>
      </c>
      <c r="M46">
        <f>INDEX($C$35:$BV$35,62)</f>
        <v/>
      </c>
      <c r="N46">
        <f>INDEX($C$35:$BV$35,61)</f>
        <v/>
      </c>
      <c r="O46">
        <f>INDEX($C$35:$BV$35,60)</f>
        <v/>
      </c>
      <c r="P46">
        <f>INDEX($C$35:$BV$35,59)</f>
        <v/>
      </c>
      <c r="Q46">
        <f>INDEX($C$35:$BV$35,58)</f>
        <v/>
      </c>
      <c r="R46">
        <f>INDEX($C$35:$BV$35,57)</f>
        <v/>
      </c>
      <c r="S46">
        <f>INDEX($C$35:$BV$35,56)</f>
        <v/>
      </c>
      <c r="T46">
        <f>INDEX($C$35:$BV$35,55)</f>
        <v/>
      </c>
      <c r="U46">
        <f>INDEX($C$35:$BV$35,54)</f>
        <v/>
      </c>
      <c r="V46">
        <f>INDEX($C$35:$BV$35,53)</f>
        <v/>
      </c>
      <c r="W46">
        <f>INDEX($C$35:$BV$35,52)</f>
        <v/>
      </c>
      <c r="X46">
        <f>INDEX($C$35:$BV$35,51)</f>
        <v/>
      </c>
      <c r="Y46">
        <f>INDEX($C$35:$BV$35,50)</f>
        <v/>
      </c>
      <c r="Z46">
        <f>INDEX($C$35:$BV$35,49)</f>
        <v/>
      </c>
      <c r="AA46">
        <f>INDEX($C$35:$BV$35,48)</f>
        <v/>
      </c>
      <c r="AB46">
        <f>INDEX($C$35:$BV$35,47)</f>
        <v/>
      </c>
      <c r="AC46">
        <f>INDEX($C$35:$BV$35,46)</f>
        <v/>
      </c>
      <c r="AD46">
        <f>INDEX($C$35:$BV$35,45)</f>
        <v/>
      </c>
      <c r="AE46">
        <f>INDEX($C$35:$BV$35,44)</f>
        <v/>
      </c>
      <c r="AF46">
        <f>INDEX($C$35:$BV$35,43)</f>
        <v/>
      </c>
      <c r="AG46">
        <f>INDEX($C$35:$BV$35,42)</f>
        <v/>
      </c>
      <c r="AH46">
        <f>INDEX($C$35:$BV$35,41)</f>
        <v/>
      </c>
      <c r="AI46">
        <f>INDEX($C$35:$BV$35,40)</f>
        <v/>
      </c>
      <c r="AJ46">
        <f>INDEX($C$35:$BV$35,39)</f>
        <v/>
      </c>
      <c r="AK46">
        <f>INDEX($C$35:$BV$35,38)</f>
        <v/>
      </c>
      <c r="AL46">
        <f>INDEX($C$35:$BV$35,37)</f>
        <v/>
      </c>
      <c r="AM46">
        <f>INDEX($C$35:$BV$35,36)</f>
        <v/>
      </c>
      <c r="AN46">
        <f>INDEX($C$35:$BV$35,35)</f>
        <v/>
      </c>
      <c r="AO46">
        <f>INDEX($C$35:$BV$35,34)</f>
        <v/>
      </c>
      <c r="AP46">
        <f>INDEX($C$35:$BV$35,33)</f>
        <v/>
      </c>
      <c r="AQ46">
        <f>INDEX($C$35:$BV$35,32)</f>
        <v/>
      </c>
      <c r="AR46">
        <f>INDEX($C$35:$BV$35,31)</f>
        <v/>
      </c>
      <c r="AS46">
        <f>INDEX($C$35:$BV$35,30)</f>
        <v/>
      </c>
      <c r="AT46">
        <f>INDEX($C$35:$BV$35,29)</f>
        <v/>
      </c>
      <c r="AU46">
        <f>INDEX($C$35:$BV$35,28)</f>
        <v/>
      </c>
      <c r="AV46">
        <f>INDEX($C$35:$BV$35,27)</f>
        <v/>
      </c>
      <c r="AW46">
        <f>INDEX($C$35:$BV$35,26)</f>
        <v/>
      </c>
      <c r="AX46">
        <f>INDEX($C$35:$BV$35,25)</f>
        <v/>
      </c>
      <c r="AY46">
        <f>INDEX($C$35:$BV$35,24)</f>
        <v/>
      </c>
      <c r="AZ46">
        <f>INDEX($C$35:$BV$35,23)</f>
        <v/>
      </c>
      <c r="BA46">
        <f>INDEX($C$35:$BV$35,22)</f>
        <v/>
      </c>
      <c r="BB46">
        <f>INDEX($C$35:$BV$35,21)</f>
        <v/>
      </c>
      <c r="BC46">
        <f>INDEX($C$35:$BV$35,20)</f>
        <v/>
      </c>
      <c r="BD46">
        <f>INDEX($C$35:$BV$35,19)</f>
        <v/>
      </c>
      <c r="BE46">
        <f>INDEX($C$35:$BV$35,18)</f>
        <v/>
      </c>
      <c r="BF46">
        <f>INDEX($C$35:$BV$35,17)</f>
        <v/>
      </c>
      <c r="BG46">
        <f>INDEX($C$35:$BV$35,16)</f>
        <v/>
      </c>
      <c r="BH46">
        <f>INDEX($C$35:$BV$35,15)</f>
        <v/>
      </c>
      <c r="BI46">
        <f>INDEX($C$35:$BV$35,14)</f>
        <v/>
      </c>
      <c r="BJ46">
        <f>INDEX($C$35:$BV$35,13)</f>
        <v/>
      </c>
      <c r="BK46">
        <f>INDEX($C$35:$BV$35,12)</f>
        <v/>
      </c>
      <c r="BL46">
        <f>INDEX($C$35:$BV$35,11)</f>
        <v/>
      </c>
      <c r="BM46">
        <f>INDEX($C$35:$BV$35,10)</f>
        <v/>
      </c>
      <c r="BN46">
        <f>INDEX($C$35:$BV$35,9)</f>
        <v/>
      </c>
      <c r="BO46">
        <f>INDEX($C$35:$BV$35,8)</f>
        <v/>
      </c>
      <c r="BP46">
        <f>INDEX($C$35:$BV$35,7)</f>
        <v/>
      </c>
      <c r="BQ46">
        <f>INDEX($C$35:$BV$35,6)</f>
        <v/>
      </c>
      <c r="BR46">
        <f>INDEX($C$35:$BV$35,5)</f>
        <v/>
      </c>
      <c r="BS46">
        <f>INDEX($C$35:$BV$35,4)</f>
        <v/>
      </c>
      <c r="BT46">
        <f>INDEX($C$35:$BV$35,3)</f>
        <v/>
      </c>
      <c r="BU46">
        <f>INDEX($C$35:$BV$35,2)</f>
        <v/>
      </c>
      <c r="BV46">
        <f>INDEX($C$35:$BV$35,1)</f>
        <v/>
      </c>
    </row>
    <row r="47">
      <c r="A47" t="inlineStr">
        <is>
          <t>S_REACT_Y1@1 reversed</t>
        </is>
      </c>
      <c r="C47">
        <f>INDEX($C$36:$BV$36,72)</f>
        <v/>
      </c>
      <c r="D47">
        <f>INDEX($C$36:$BV$36,71)</f>
        <v/>
      </c>
      <c r="E47">
        <f>INDEX($C$36:$BV$36,70)</f>
        <v/>
      </c>
      <c r="F47">
        <f>INDEX($C$36:$BV$36,69)</f>
        <v/>
      </c>
      <c r="G47">
        <f>INDEX($C$36:$BV$36,68)</f>
        <v/>
      </c>
      <c r="H47">
        <f>INDEX($C$36:$BV$36,67)</f>
        <v/>
      </c>
      <c r="I47">
        <f>INDEX($C$36:$BV$36,66)</f>
        <v/>
      </c>
      <c r="J47">
        <f>INDEX($C$36:$BV$36,65)</f>
        <v/>
      </c>
      <c r="K47">
        <f>INDEX($C$36:$BV$36,64)</f>
        <v/>
      </c>
      <c r="L47">
        <f>INDEX($C$36:$BV$36,63)</f>
        <v/>
      </c>
      <c r="M47">
        <f>INDEX($C$36:$BV$36,62)</f>
        <v/>
      </c>
      <c r="N47">
        <f>INDEX($C$36:$BV$36,61)</f>
        <v/>
      </c>
      <c r="O47">
        <f>INDEX($C$36:$BV$36,60)</f>
        <v/>
      </c>
      <c r="P47">
        <f>INDEX($C$36:$BV$36,59)</f>
        <v/>
      </c>
      <c r="Q47">
        <f>INDEX($C$36:$BV$36,58)</f>
        <v/>
      </c>
      <c r="R47">
        <f>INDEX($C$36:$BV$36,57)</f>
        <v/>
      </c>
      <c r="S47">
        <f>INDEX($C$36:$BV$36,56)</f>
        <v/>
      </c>
      <c r="T47">
        <f>INDEX($C$36:$BV$36,55)</f>
        <v/>
      </c>
      <c r="U47">
        <f>INDEX($C$36:$BV$36,54)</f>
        <v/>
      </c>
      <c r="V47">
        <f>INDEX($C$36:$BV$36,53)</f>
        <v/>
      </c>
      <c r="W47">
        <f>INDEX($C$36:$BV$36,52)</f>
        <v/>
      </c>
      <c r="X47">
        <f>INDEX($C$36:$BV$36,51)</f>
        <v/>
      </c>
      <c r="Y47">
        <f>INDEX($C$36:$BV$36,50)</f>
        <v/>
      </c>
      <c r="Z47">
        <f>INDEX($C$36:$BV$36,49)</f>
        <v/>
      </c>
      <c r="AA47">
        <f>INDEX($C$36:$BV$36,48)</f>
        <v/>
      </c>
      <c r="AB47">
        <f>INDEX($C$36:$BV$36,47)</f>
        <v/>
      </c>
      <c r="AC47">
        <f>INDEX($C$36:$BV$36,46)</f>
        <v/>
      </c>
      <c r="AD47">
        <f>INDEX($C$36:$BV$36,45)</f>
        <v/>
      </c>
      <c r="AE47">
        <f>INDEX($C$36:$BV$36,44)</f>
        <v/>
      </c>
      <c r="AF47">
        <f>INDEX($C$36:$BV$36,43)</f>
        <v/>
      </c>
      <c r="AG47">
        <f>INDEX($C$36:$BV$36,42)</f>
        <v/>
      </c>
      <c r="AH47">
        <f>INDEX($C$36:$BV$36,41)</f>
        <v/>
      </c>
      <c r="AI47">
        <f>INDEX($C$36:$BV$36,40)</f>
        <v/>
      </c>
      <c r="AJ47">
        <f>INDEX($C$36:$BV$36,39)</f>
        <v/>
      </c>
      <c r="AK47">
        <f>INDEX($C$36:$BV$36,38)</f>
        <v/>
      </c>
      <c r="AL47">
        <f>INDEX($C$36:$BV$36,37)</f>
        <v/>
      </c>
      <c r="AM47">
        <f>INDEX($C$36:$BV$36,36)</f>
        <v/>
      </c>
      <c r="AN47">
        <f>INDEX($C$36:$BV$36,35)</f>
        <v/>
      </c>
      <c r="AO47">
        <f>INDEX($C$36:$BV$36,34)</f>
        <v/>
      </c>
      <c r="AP47">
        <f>INDEX($C$36:$BV$36,33)</f>
        <v/>
      </c>
      <c r="AQ47">
        <f>INDEX($C$36:$BV$36,32)</f>
        <v/>
      </c>
      <c r="AR47">
        <f>INDEX($C$36:$BV$36,31)</f>
        <v/>
      </c>
      <c r="AS47">
        <f>INDEX($C$36:$BV$36,30)</f>
        <v/>
      </c>
      <c r="AT47">
        <f>INDEX($C$36:$BV$36,29)</f>
        <v/>
      </c>
      <c r="AU47">
        <f>INDEX($C$36:$BV$36,28)</f>
        <v/>
      </c>
      <c r="AV47">
        <f>INDEX($C$36:$BV$36,27)</f>
        <v/>
      </c>
      <c r="AW47">
        <f>INDEX($C$36:$BV$36,26)</f>
        <v/>
      </c>
      <c r="AX47">
        <f>INDEX($C$36:$BV$36,25)</f>
        <v/>
      </c>
      <c r="AY47">
        <f>INDEX($C$36:$BV$36,24)</f>
        <v/>
      </c>
      <c r="AZ47">
        <f>INDEX($C$36:$BV$36,23)</f>
        <v/>
      </c>
      <c r="BA47">
        <f>INDEX($C$36:$BV$36,22)</f>
        <v/>
      </c>
      <c r="BB47">
        <f>INDEX($C$36:$BV$36,21)</f>
        <v/>
      </c>
      <c r="BC47">
        <f>INDEX($C$36:$BV$36,20)</f>
        <v/>
      </c>
      <c r="BD47">
        <f>INDEX($C$36:$BV$36,19)</f>
        <v/>
      </c>
      <c r="BE47">
        <f>INDEX($C$36:$BV$36,18)</f>
        <v/>
      </c>
      <c r="BF47">
        <f>INDEX($C$36:$BV$36,17)</f>
        <v/>
      </c>
      <c r="BG47">
        <f>INDEX($C$36:$BV$36,16)</f>
        <v/>
      </c>
      <c r="BH47">
        <f>INDEX($C$36:$BV$36,15)</f>
        <v/>
      </c>
      <c r="BI47">
        <f>INDEX($C$36:$BV$36,14)</f>
        <v/>
      </c>
      <c r="BJ47">
        <f>INDEX($C$36:$BV$36,13)</f>
        <v/>
      </c>
      <c r="BK47">
        <f>INDEX($C$36:$BV$36,12)</f>
        <v/>
      </c>
      <c r="BL47">
        <f>INDEX($C$36:$BV$36,11)</f>
        <v/>
      </c>
      <c r="BM47">
        <f>INDEX($C$36:$BV$36,10)</f>
        <v/>
      </c>
      <c r="BN47">
        <f>INDEX($C$36:$BV$36,9)</f>
        <v/>
      </c>
      <c r="BO47">
        <f>INDEX($C$36:$BV$36,8)</f>
        <v/>
      </c>
      <c r="BP47">
        <f>INDEX($C$36:$BV$36,7)</f>
        <v/>
      </c>
      <c r="BQ47">
        <f>INDEX($C$36:$BV$36,6)</f>
        <v/>
      </c>
      <c r="BR47">
        <f>INDEX($C$36:$BV$36,5)</f>
        <v/>
      </c>
      <c r="BS47">
        <f>INDEX($C$36:$BV$36,4)</f>
        <v/>
      </c>
      <c r="BT47">
        <f>INDEX($C$36:$BV$36,3)</f>
        <v/>
      </c>
      <c r="BU47">
        <f>INDEX($C$36:$BV$36,2)</f>
        <v/>
      </c>
      <c r="BV47">
        <f>INDEX($C$36:$BV$36,1)</f>
        <v/>
      </c>
    </row>
    <row r="49">
      <c r="A49" s="1" t="inlineStr">
        <is>
          <t>@2: experiment</t>
        </is>
      </c>
    </row>
    <row r="50">
      <c r="A50" t="inlineStr">
        <is>
          <t>S_MONTHLY@2</t>
        </is>
      </c>
      <c r="C50">
        <f>1</f>
        <v/>
      </c>
      <c r="D50">
        <f>C50*(1-IF(D$1=1,MIN(1,Params!$B$33*(1+Params!$B$12)),IF(D$1=2,MIN(1,Params!$B$35*(1+Params!$B$12)),IF(D$1=3,MIN(1,Params!$B$37*(1+Params!$B$12)),MIN(1,Params!$B$39*(1+Params!$B$12))))))</f>
        <v/>
      </c>
      <c r="E50">
        <f>D50*(1-IF(E$1=1,MIN(1,Params!$B$33*(1+Params!$B$12)),IF(E$1=2,MIN(1,Params!$B$35*(1+Params!$B$12)),IF(E$1=3,MIN(1,Params!$B$37*(1+Params!$B$12)),MIN(1,Params!$B$39*(1+Params!$B$12))))))</f>
        <v/>
      </c>
      <c r="F50">
        <f>E50*(1-IF(F$1=1,MIN(1,Params!$B$33*(1+Params!$B$12)),IF(F$1=2,MIN(1,Params!$B$35*(1+Params!$B$12)),IF(F$1=3,MIN(1,Params!$B$37*(1+Params!$B$12)),MIN(1,Params!$B$39*(1+Params!$B$12))))))</f>
        <v/>
      </c>
      <c r="G50">
        <f>F50*(1-IF(G$1=1,MIN(1,Params!$B$33*(1+Params!$B$12)),IF(G$1=2,MIN(1,Params!$B$35*(1+Params!$B$12)),IF(G$1=3,MIN(1,Params!$B$37*(1+Params!$B$12)),MIN(1,Params!$B$39*(1+Params!$B$12))))))</f>
        <v/>
      </c>
      <c r="H50">
        <f>G50*(1-IF(H$1=1,MIN(1,Params!$B$33*(1+Params!$B$12)),IF(H$1=2,MIN(1,Params!$B$35*(1+Params!$B$12)),IF(H$1=3,MIN(1,Params!$B$37*(1+Params!$B$12)),MIN(1,Params!$B$39*(1+Params!$B$12))))))</f>
        <v/>
      </c>
      <c r="I50">
        <f>H50*(1-IF(I$1=1,MIN(1,Params!$B$33*(1+Params!$B$12)),IF(I$1=2,MIN(1,Params!$B$35*(1+Params!$B$12)),IF(I$1=3,MIN(1,Params!$B$37*(1+Params!$B$12)),MIN(1,Params!$B$39*(1+Params!$B$12))))))</f>
        <v/>
      </c>
      <c r="J50">
        <f>I50*(1-IF(J$1=1,MIN(1,Params!$B$33*(1+Params!$B$12)),IF(J$1=2,MIN(1,Params!$B$35*(1+Params!$B$12)),IF(J$1=3,MIN(1,Params!$B$37*(1+Params!$B$12)),MIN(1,Params!$B$39*(1+Params!$B$12))))))</f>
        <v/>
      </c>
      <c r="K50">
        <f>J50*(1-IF(K$1=1,MIN(1,Params!$B$33*(1+Params!$B$12)),IF(K$1=2,MIN(1,Params!$B$35*(1+Params!$B$12)),IF(K$1=3,MIN(1,Params!$B$37*(1+Params!$B$12)),MIN(1,Params!$B$39*(1+Params!$B$12))))))</f>
        <v/>
      </c>
      <c r="L50">
        <f>K50*(1-IF(L$1=1,MIN(1,Params!$B$33*(1+Params!$B$12)),IF(L$1=2,MIN(1,Params!$B$35*(1+Params!$B$12)),IF(L$1=3,MIN(1,Params!$B$37*(1+Params!$B$12)),MIN(1,Params!$B$39*(1+Params!$B$12))))))</f>
        <v/>
      </c>
      <c r="M50">
        <f>L50*(1-IF(M$1=1,MIN(1,Params!$B$33*(1+Params!$B$12)),IF(M$1=2,MIN(1,Params!$B$35*(1+Params!$B$12)),IF(M$1=3,MIN(1,Params!$B$37*(1+Params!$B$12)),MIN(1,Params!$B$39*(1+Params!$B$12))))))</f>
        <v/>
      </c>
      <c r="N50">
        <f>M50*(1-IF(N$1=1,MIN(1,Params!$B$33*(1+Params!$B$12)),IF(N$1=2,MIN(1,Params!$B$35*(1+Params!$B$12)),IF(N$1=3,MIN(1,Params!$B$37*(1+Params!$B$12)),MIN(1,Params!$B$39*(1+Params!$B$12))))))</f>
        <v/>
      </c>
      <c r="O50">
        <f>N50*(1-IF(O$1=1,MIN(1,Params!$B$33*(1+Params!$B$12)),IF(O$1=2,MIN(1,Params!$B$35*(1+Params!$B$12)),IF(O$1=3,MIN(1,Params!$B$37*(1+Params!$B$12)),MIN(1,Params!$B$39*(1+Params!$B$12))))))</f>
        <v/>
      </c>
      <c r="P50">
        <f>O50*(1-IF(P$1=1,MIN(1,Params!$B$33*(1+Params!$B$12)),IF(P$1=2,MIN(1,Params!$B$35*(1+Params!$B$12)),IF(P$1=3,MIN(1,Params!$B$37*(1+Params!$B$12)),MIN(1,Params!$B$39*(1+Params!$B$12))))))</f>
        <v/>
      </c>
      <c r="Q50">
        <f>P50*(1-IF(Q$1=1,MIN(1,Params!$B$33*(1+Params!$B$12)),IF(Q$1=2,MIN(1,Params!$B$35*(1+Params!$B$12)),IF(Q$1=3,MIN(1,Params!$B$37*(1+Params!$B$12)),MIN(1,Params!$B$39*(1+Params!$B$12))))))</f>
        <v/>
      </c>
      <c r="R50">
        <f>Q50*(1-IF(R$1=1,MIN(1,Params!$B$33*(1+Params!$B$12)),IF(R$1=2,MIN(1,Params!$B$35*(1+Params!$B$12)),IF(R$1=3,MIN(1,Params!$B$37*(1+Params!$B$12)),MIN(1,Params!$B$39*(1+Params!$B$12))))))</f>
        <v/>
      </c>
      <c r="S50">
        <f>R50*(1-IF(S$1=1,MIN(1,Params!$B$33*(1+Params!$B$12)),IF(S$1=2,MIN(1,Params!$B$35*(1+Params!$B$12)),IF(S$1=3,MIN(1,Params!$B$37*(1+Params!$B$12)),MIN(1,Params!$B$39*(1+Params!$B$12))))))</f>
        <v/>
      </c>
      <c r="T50">
        <f>S50*(1-IF(T$1=1,MIN(1,Params!$B$33*(1+Params!$B$12)),IF(T$1=2,MIN(1,Params!$B$35*(1+Params!$B$12)),IF(T$1=3,MIN(1,Params!$B$37*(1+Params!$B$12)),MIN(1,Params!$B$39*(1+Params!$B$12))))))</f>
        <v/>
      </c>
      <c r="U50">
        <f>T50*(1-IF(U$1=1,MIN(1,Params!$B$33*(1+Params!$B$12)),IF(U$1=2,MIN(1,Params!$B$35*(1+Params!$B$12)),IF(U$1=3,MIN(1,Params!$B$37*(1+Params!$B$12)),MIN(1,Params!$B$39*(1+Params!$B$12))))))</f>
        <v/>
      </c>
      <c r="V50">
        <f>U50*(1-IF(V$1=1,MIN(1,Params!$B$33*(1+Params!$B$12)),IF(V$1=2,MIN(1,Params!$B$35*(1+Params!$B$12)),IF(V$1=3,MIN(1,Params!$B$37*(1+Params!$B$12)),MIN(1,Params!$B$39*(1+Params!$B$12))))))</f>
        <v/>
      </c>
      <c r="W50">
        <f>V50*(1-IF(W$1=1,MIN(1,Params!$B$33*(1+Params!$B$12)),IF(W$1=2,MIN(1,Params!$B$35*(1+Params!$B$12)),IF(W$1=3,MIN(1,Params!$B$37*(1+Params!$B$12)),MIN(1,Params!$B$39*(1+Params!$B$12))))))</f>
        <v/>
      </c>
      <c r="X50">
        <f>W50*(1-IF(X$1=1,MIN(1,Params!$B$33*(1+Params!$B$12)),IF(X$1=2,MIN(1,Params!$B$35*(1+Params!$B$12)),IF(X$1=3,MIN(1,Params!$B$37*(1+Params!$B$12)),MIN(1,Params!$B$39*(1+Params!$B$12))))))</f>
        <v/>
      </c>
      <c r="Y50">
        <f>X50*(1-IF(Y$1=1,MIN(1,Params!$B$33*(1+Params!$B$12)),IF(Y$1=2,MIN(1,Params!$B$35*(1+Params!$B$12)),IF(Y$1=3,MIN(1,Params!$B$37*(1+Params!$B$12)),MIN(1,Params!$B$39*(1+Params!$B$12))))))</f>
        <v/>
      </c>
      <c r="Z50">
        <f>Y50*(1-IF(Z$1=1,MIN(1,Params!$B$33*(1+Params!$B$12)),IF(Z$1=2,MIN(1,Params!$B$35*(1+Params!$B$12)),IF(Z$1=3,MIN(1,Params!$B$37*(1+Params!$B$12)),MIN(1,Params!$B$39*(1+Params!$B$12))))))</f>
        <v/>
      </c>
      <c r="AA50">
        <f>Z50*(1-IF(AA$1=1,MIN(1,Params!$B$33*(1+Params!$B$12)),IF(AA$1=2,MIN(1,Params!$B$35*(1+Params!$B$12)),IF(AA$1=3,MIN(1,Params!$B$37*(1+Params!$B$12)),MIN(1,Params!$B$39*(1+Params!$B$12))))))</f>
        <v/>
      </c>
      <c r="AB50">
        <f>AA50*(1-IF(AB$1=1,MIN(1,Params!$B$33*(1+Params!$B$12)),IF(AB$1=2,MIN(1,Params!$B$35*(1+Params!$B$12)),IF(AB$1=3,MIN(1,Params!$B$37*(1+Params!$B$12)),MIN(1,Params!$B$39*(1+Params!$B$12))))))</f>
        <v/>
      </c>
      <c r="AC50">
        <f>AB50*(1-IF(AC$1=1,MIN(1,Params!$B$33*(1+Params!$B$12)),IF(AC$1=2,MIN(1,Params!$B$35*(1+Params!$B$12)),IF(AC$1=3,MIN(1,Params!$B$37*(1+Params!$B$12)),MIN(1,Params!$B$39*(1+Params!$B$12))))))</f>
        <v/>
      </c>
      <c r="AD50">
        <f>AC50*(1-IF(AD$1=1,MIN(1,Params!$B$33*(1+Params!$B$12)),IF(AD$1=2,MIN(1,Params!$B$35*(1+Params!$B$12)),IF(AD$1=3,MIN(1,Params!$B$37*(1+Params!$B$12)),MIN(1,Params!$B$39*(1+Params!$B$12))))))</f>
        <v/>
      </c>
      <c r="AE50">
        <f>AD50*(1-IF(AE$1=1,MIN(1,Params!$B$33*(1+Params!$B$12)),IF(AE$1=2,MIN(1,Params!$B$35*(1+Params!$B$12)),IF(AE$1=3,MIN(1,Params!$B$37*(1+Params!$B$12)),MIN(1,Params!$B$39*(1+Params!$B$12))))))</f>
        <v/>
      </c>
      <c r="AF50">
        <f>AE50*(1-IF(AF$1=1,MIN(1,Params!$B$33*(1+Params!$B$12)),IF(AF$1=2,MIN(1,Params!$B$35*(1+Params!$B$12)),IF(AF$1=3,MIN(1,Params!$B$37*(1+Params!$B$12)),MIN(1,Params!$B$39*(1+Params!$B$12))))))</f>
        <v/>
      </c>
      <c r="AG50">
        <f>AF50*(1-IF(AG$1=1,MIN(1,Params!$B$33*(1+Params!$B$12)),IF(AG$1=2,MIN(1,Params!$B$35*(1+Params!$B$12)),IF(AG$1=3,MIN(1,Params!$B$37*(1+Params!$B$12)),MIN(1,Params!$B$39*(1+Params!$B$12))))))</f>
        <v/>
      </c>
      <c r="AH50">
        <f>AG50*(1-IF(AH$1=1,MIN(1,Params!$B$33*(1+Params!$B$12)),IF(AH$1=2,MIN(1,Params!$B$35*(1+Params!$B$12)),IF(AH$1=3,MIN(1,Params!$B$37*(1+Params!$B$12)),MIN(1,Params!$B$39*(1+Params!$B$12))))))</f>
        <v/>
      </c>
      <c r="AI50">
        <f>AH50*(1-IF(AI$1=1,MIN(1,Params!$B$33*(1+Params!$B$12)),IF(AI$1=2,MIN(1,Params!$B$35*(1+Params!$B$12)),IF(AI$1=3,MIN(1,Params!$B$37*(1+Params!$B$12)),MIN(1,Params!$B$39*(1+Params!$B$12))))))</f>
        <v/>
      </c>
      <c r="AJ50">
        <f>AI50*(1-IF(AJ$1=1,MIN(1,Params!$B$33*(1+Params!$B$12)),IF(AJ$1=2,MIN(1,Params!$B$35*(1+Params!$B$12)),IF(AJ$1=3,MIN(1,Params!$B$37*(1+Params!$B$12)),MIN(1,Params!$B$39*(1+Params!$B$12))))))</f>
        <v/>
      </c>
      <c r="AK50">
        <f>AJ50*(1-IF(AK$1=1,MIN(1,Params!$B$33*(1+Params!$B$12)),IF(AK$1=2,MIN(1,Params!$B$35*(1+Params!$B$12)),IF(AK$1=3,MIN(1,Params!$B$37*(1+Params!$B$12)),MIN(1,Params!$B$39*(1+Params!$B$12))))))</f>
        <v/>
      </c>
      <c r="AL50">
        <f>AK50*(1-IF(AL$1=1,MIN(1,Params!$B$33*(1+Params!$B$12)),IF(AL$1=2,MIN(1,Params!$B$35*(1+Params!$B$12)),IF(AL$1=3,MIN(1,Params!$B$37*(1+Params!$B$12)),MIN(1,Params!$B$39*(1+Params!$B$12))))))</f>
        <v/>
      </c>
      <c r="AM50">
        <f>AL50*(1-IF(AM$1=1,MIN(1,Params!$B$33*(1+Params!$B$12)),IF(AM$1=2,MIN(1,Params!$B$35*(1+Params!$B$12)),IF(AM$1=3,MIN(1,Params!$B$37*(1+Params!$B$12)),MIN(1,Params!$B$39*(1+Params!$B$12))))))</f>
        <v/>
      </c>
      <c r="AN50">
        <f>AM50*(1-IF(AN$1=1,MIN(1,Params!$B$33*(1+Params!$B$12)),IF(AN$1=2,MIN(1,Params!$B$35*(1+Params!$B$12)),IF(AN$1=3,MIN(1,Params!$B$37*(1+Params!$B$12)),MIN(1,Params!$B$39*(1+Params!$B$12))))))</f>
        <v/>
      </c>
      <c r="AO50">
        <f>AN50*(1-IF(AO$1=1,MIN(1,Params!$B$33*(1+Params!$B$12)),IF(AO$1=2,MIN(1,Params!$B$35*(1+Params!$B$12)),IF(AO$1=3,MIN(1,Params!$B$37*(1+Params!$B$12)),MIN(1,Params!$B$39*(1+Params!$B$12))))))</f>
        <v/>
      </c>
      <c r="AP50">
        <f>AO50*(1-IF(AP$1=1,MIN(1,Params!$B$33*(1+Params!$B$12)),IF(AP$1=2,MIN(1,Params!$B$35*(1+Params!$B$12)),IF(AP$1=3,MIN(1,Params!$B$37*(1+Params!$B$12)),MIN(1,Params!$B$39*(1+Params!$B$12))))))</f>
        <v/>
      </c>
      <c r="AQ50">
        <f>AP50*(1-IF(AQ$1=1,MIN(1,Params!$B$33*(1+Params!$B$12)),IF(AQ$1=2,MIN(1,Params!$B$35*(1+Params!$B$12)),IF(AQ$1=3,MIN(1,Params!$B$37*(1+Params!$B$12)),MIN(1,Params!$B$39*(1+Params!$B$12))))))</f>
        <v/>
      </c>
      <c r="AR50">
        <f>AQ50*(1-IF(AR$1=1,MIN(1,Params!$B$33*(1+Params!$B$12)),IF(AR$1=2,MIN(1,Params!$B$35*(1+Params!$B$12)),IF(AR$1=3,MIN(1,Params!$B$37*(1+Params!$B$12)),MIN(1,Params!$B$39*(1+Params!$B$12))))))</f>
        <v/>
      </c>
      <c r="AS50">
        <f>AR50*(1-IF(AS$1=1,MIN(1,Params!$B$33*(1+Params!$B$12)),IF(AS$1=2,MIN(1,Params!$B$35*(1+Params!$B$12)),IF(AS$1=3,MIN(1,Params!$B$37*(1+Params!$B$12)),MIN(1,Params!$B$39*(1+Params!$B$12))))))</f>
        <v/>
      </c>
      <c r="AT50">
        <f>AS50*(1-IF(AT$1=1,MIN(1,Params!$B$33*(1+Params!$B$12)),IF(AT$1=2,MIN(1,Params!$B$35*(1+Params!$B$12)),IF(AT$1=3,MIN(1,Params!$B$37*(1+Params!$B$12)),MIN(1,Params!$B$39*(1+Params!$B$12))))))</f>
        <v/>
      </c>
      <c r="AU50">
        <f>AT50*(1-IF(AU$1=1,MIN(1,Params!$B$33*(1+Params!$B$12)),IF(AU$1=2,MIN(1,Params!$B$35*(1+Params!$B$12)),IF(AU$1=3,MIN(1,Params!$B$37*(1+Params!$B$12)),MIN(1,Params!$B$39*(1+Params!$B$12))))))</f>
        <v/>
      </c>
      <c r="AV50">
        <f>AU50*(1-IF(AV$1=1,MIN(1,Params!$B$33*(1+Params!$B$12)),IF(AV$1=2,MIN(1,Params!$B$35*(1+Params!$B$12)),IF(AV$1=3,MIN(1,Params!$B$37*(1+Params!$B$12)),MIN(1,Params!$B$39*(1+Params!$B$12))))))</f>
        <v/>
      </c>
      <c r="AW50">
        <f>AV50*(1-IF(AW$1=1,MIN(1,Params!$B$33*(1+Params!$B$12)),IF(AW$1=2,MIN(1,Params!$B$35*(1+Params!$B$12)),IF(AW$1=3,MIN(1,Params!$B$37*(1+Params!$B$12)),MIN(1,Params!$B$39*(1+Params!$B$12))))))</f>
        <v/>
      </c>
      <c r="AX50">
        <f>AW50*(1-IF(AX$1=1,MIN(1,Params!$B$33*(1+Params!$B$12)),IF(AX$1=2,MIN(1,Params!$B$35*(1+Params!$B$12)),IF(AX$1=3,MIN(1,Params!$B$37*(1+Params!$B$12)),MIN(1,Params!$B$39*(1+Params!$B$12))))))</f>
        <v/>
      </c>
      <c r="AY50">
        <f>AX50*(1-IF(AY$1=1,MIN(1,Params!$B$33*(1+Params!$B$12)),IF(AY$1=2,MIN(1,Params!$B$35*(1+Params!$B$12)),IF(AY$1=3,MIN(1,Params!$B$37*(1+Params!$B$12)),MIN(1,Params!$B$39*(1+Params!$B$12))))))</f>
        <v/>
      </c>
      <c r="AZ50">
        <f>AY50*(1-IF(AZ$1=1,MIN(1,Params!$B$33*(1+Params!$B$12)),IF(AZ$1=2,MIN(1,Params!$B$35*(1+Params!$B$12)),IF(AZ$1=3,MIN(1,Params!$B$37*(1+Params!$B$12)),MIN(1,Params!$B$39*(1+Params!$B$12))))))</f>
        <v/>
      </c>
      <c r="BA50">
        <f>AZ50*(1-IF(BA$1=1,MIN(1,Params!$B$33*(1+Params!$B$12)),IF(BA$1=2,MIN(1,Params!$B$35*(1+Params!$B$12)),IF(BA$1=3,MIN(1,Params!$B$37*(1+Params!$B$12)),MIN(1,Params!$B$39*(1+Params!$B$12))))))</f>
        <v/>
      </c>
      <c r="BB50">
        <f>BA50*(1-IF(BB$1=1,MIN(1,Params!$B$33*(1+Params!$B$12)),IF(BB$1=2,MIN(1,Params!$B$35*(1+Params!$B$12)),IF(BB$1=3,MIN(1,Params!$B$37*(1+Params!$B$12)),MIN(1,Params!$B$39*(1+Params!$B$12))))))</f>
        <v/>
      </c>
      <c r="BC50">
        <f>BB50*(1-IF(BC$1=1,MIN(1,Params!$B$33*(1+Params!$B$12)),IF(BC$1=2,MIN(1,Params!$B$35*(1+Params!$B$12)),IF(BC$1=3,MIN(1,Params!$B$37*(1+Params!$B$12)),MIN(1,Params!$B$39*(1+Params!$B$12))))))</f>
        <v/>
      </c>
      <c r="BD50">
        <f>BC50*(1-IF(BD$1=1,MIN(1,Params!$B$33*(1+Params!$B$12)),IF(BD$1=2,MIN(1,Params!$B$35*(1+Params!$B$12)),IF(BD$1=3,MIN(1,Params!$B$37*(1+Params!$B$12)),MIN(1,Params!$B$39*(1+Params!$B$12))))))</f>
        <v/>
      </c>
      <c r="BE50">
        <f>BD50*(1-IF(BE$1=1,MIN(1,Params!$B$33*(1+Params!$B$12)),IF(BE$1=2,MIN(1,Params!$B$35*(1+Params!$B$12)),IF(BE$1=3,MIN(1,Params!$B$37*(1+Params!$B$12)),MIN(1,Params!$B$39*(1+Params!$B$12))))))</f>
        <v/>
      </c>
      <c r="BF50">
        <f>BE50*(1-IF(BF$1=1,MIN(1,Params!$B$33*(1+Params!$B$12)),IF(BF$1=2,MIN(1,Params!$B$35*(1+Params!$B$12)),IF(BF$1=3,MIN(1,Params!$B$37*(1+Params!$B$12)),MIN(1,Params!$B$39*(1+Params!$B$12))))))</f>
        <v/>
      </c>
      <c r="BG50">
        <f>BF50*(1-IF(BG$1=1,MIN(1,Params!$B$33*(1+Params!$B$12)),IF(BG$1=2,MIN(1,Params!$B$35*(1+Params!$B$12)),IF(BG$1=3,MIN(1,Params!$B$37*(1+Params!$B$12)),MIN(1,Params!$B$39*(1+Params!$B$12))))))</f>
        <v/>
      </c>
      <c r="BH50">
        <f>BG50*(1-IF(BH$1=1,MIN(1,Params!$B$33*(1+Params!$B$12)),IF(BH$1=2,MIN(1,Params!$B$35*(1+Params!$B$12)),IF(BH$1=3,MIN(1,Params!$B$37*(1+Params!$B$12)),MIN(1,Params!$B$39*(1+Params!$B$12))))))</f>
        <v/>
      </c>
      <c r="BI50">
        <f>BH50*(1-IF(BI$1=1,MIN(1,Params!$B$33*(1+Params!$B$12)),IF(BI$1=2,MIN(1,Params!$B$35*(1+Params!$B$12)),IF(BI$1=3,MIN(1,Params!$B$37*(1+Params!$B$12)),MIN(1,Params!$B$39*(1+Params!$B$12))))))</f>
        <v/>
      </c>
      <c r="BJ50">
        <f>BI50*(1-IF(BJ$1=1,MIN(1,Params!$B$33*(1+Params!$B$12)),IF(BJ$1=2,MIN(1,Params!$B$35*(1+Params!$B$12)),IF(BJ$1=3,MIN(1,Params!$B$37*(1+Params!$B$12)),MIN(1,Params!$B$39*(1+Params!$B$12))))))</f>
        <v/>
      </c>
      <c r="BK50">
        <f>BJ50*(1-IF(BK$1=1,MIN(1,Params!$B$33*(1+Params!$B$12)),IF(BK$1=2,MIN(1,Params!$B$35*(1+Params!$B$12)),IF(BK$1=3,MIN(1,Params!$B$37*(1+Params!$B$12)),MIN(1,Params!$B$39*(1+Params!$B$12))))))</f>
        <v/>
      </c>
      <c r="BL50">
        <f>BK50*(1-IF(BL$1=1,MIN(1,Params!$B$33*(1+Params!$B$12)),IF(BL$1=2,MIN(1,Params!$B$35*(1+Params!$B$12)),IF(BL$1=3,MIN(1,Params!$B$37*(1+Params!$B$12)),MIN(1,Params!$B$39*(1+Params!$B$12))))))</f>
        <v/>
      </c>
      <c r="BM50">
        <f>BL50*(1-IF(BM$1=1,MIN(1,Params!$B$33*(1+Params!$B$12)),IF(BM$1=2,MIN(1,Params!$B$35*(1+Params!$B$12)),IF(BM$1=3,MIN(1,Params!$B$37*(1+Params!$B$12)),MIN(1,Params!$B$39*(1+Params!$B$12))))))</f>
        <v/>
      </c>
      <c r="BN50">
        <f>BM50*(1-IF(BN$1=1,MIN(1,Params!$B$33*(1+Params!$B$12)),IF(BN$1=2,MIN(1,Params!$B$35*(1+Params!$B$12)),IF(BN$1=3,MIN(1,Params!$B$37*(1+Params!$B$12)),MIN(1,Params!$B$39*(1+Params!$B$12))))))</f>
        <v/>
      </c>
      <c r="BO50">
        <f>BN50*(1-IF(BO$1=1,MIN(1,Params!$B$33*(1+Params!$B$12)),IF(BO$1=2,MIN(1,Params!$B$35*(1+Params!$B$12)),IF(BO$1=3,MIN(1,Params!$B$37*(1+Params!$B$12)),MIN(1,Params!$B$39*(1+Params!$B$12))))))</f>
        <v/>
      </c>
      <c r="BP50">
        <f>BO50*(1-IF(BP$1=1,MIN(1,Params!$B$33*(1+Params!$B$12)),IF(BP$1=2,MIN(1,Params!$B$35*(1+Params!$B$12)),IF(BP$1=3,MIN(1,Params!$B$37*(1+Params!$B$12)),MIN(1,Params!$B$39*(1+Params!$B$12))))))</f>
        <v/>
      </c>
      <c r="BQ50">
        <f>BP50*(1-IF(BQ$1=1,MIN(1,Params!$B$33*(1+Params!$B$12)),IF(BQ$1=2,MIN(1,Params!$B$35*(1+Params!$B$12)),IF(BQ$1=3,MIN(1,Params!$B$37*(1+Params!$B$12)),MIN(1,Params!$B$39*(1+Params!$B$12))))))</f>
        <v/>
      </c>
      <c r="BR50">
        <f>BQ50*(1-IF(BR$1=1,MIN(1,Params!$B$33*(1+Params!$B$12)),IF(BR$1=2,MIN(1,Params!$B$35*(1+Params!$B$12)),IF(BR$1=3,MIN(1,Params!$B$37*(1+Params!$B$12)),MIN(1,Params!$B$39*(1+Params!$B$12))))))</f>
        <v/>
      </c>
      <c r="BS50">
        <f>BR50*(1-IF(BS$1=1,MIN(1,Params!$B$33*(1+Params!$B$12)),IF(BS$1=2,MIN(1,Params!$B$35*(1+Params!$B$12)),IF(BS$1=3,MIN(1,Params!$B$37*(1+Params!$B$12)),MIN(1,Params!$B$39*(1+Params!$B$12))))))</f>
        <v/>
      </c>
      <c r="BT50">
        <f>BS50*(1-IF(BT$1=1,MIN(1,Params!$B$33*(1+Params!$B$12)),IF(BT$1=2,MIN(1,Params!$B$35*(1+Params!$B$12)),IF(BT$1=3,MIN(1,Params!$B$37*(1+Params!$B$12)),MIN(1,Params!$B$39*(1+Params!$B$12))))))</f>
        <v/>
      </c>
      <c r="BU50">
        <f>BT50*(1-IF(BU$1=1,MIN(1,Params!$B$33*(1+Params!$B$12)),IF(BU$1=2,MIN(1,Params!$B$35*(1+Params!$B$12)),IF(BU$1=3,MIN(1,Params!$B$37*(1+Params!$B$12)),MIN(1,Params!$B$39*(1+Params!$B$12))))))</f>
        <v/>
      </c>
      <c r="BV50">
        <f>BU50*(1-IF(BV$1=1,MIN(1,Params!$B$33*(1+Params!$B$12)),IF(BV$1=2,MIN(1,Params!$B$35*(1+Params!$B$12)),IF(BV$1=3,MIN(1,Params!$B$37*(1+Params!$B$12)),MIN(1,Params!$B$39*(1+Params!$B$12))))))</f>
        <v/>
      </c>
    </row>
    <row r="51">
      <c r="A51" t="inlineStr">
        <is>
          <t>S_ANNUAL@2</t>
        </is>
      </c>
      <c r="C51">
        <f>IF(C$1&lt;12,1,(1-MIN(1,(1-Params!$B$41)*(1+Params!$B$12)))*(1-MIN(1,(1-Params!$B$43)*(1+Params!$B$12)))^(INT(C$1/12)-1))</f>
        <v/>
      </c>
      <c r="D51">
        <f>IF(D$1&lt;12,1,(1-MIN(1,(1-Params!$B$41)*(1+Params!$B$12)))*(1-MIN(1,(1-Params!$B$43)*(1+Params!$B$12)))^(INT(D$1/12)-1))</f>
        <v/>
      </c>
      <c r="E51">
        <f>IF(E$1&lt;12,1,(1-MIN(1,(1-Params!$B$41)*(1+Params!$B$12)))*(1-MIN(1,(1-Params!$B$43)*(1+Params!$B$12)))^(INT(E$1/12)-1))</f>
        <v/>
      </c>
      <c r="F51">
        <f>IF(F$1&lt;12,1,(1-MIN(1,(1-Params!$B$41)*(1+Params!$B$12)))*(1-MIN(1,(1-Params!$B$43)*(1+Params!$B$12)))^(INT(F$1/12)-1))</f>
        <v/>
      </c>
      <c r="G51">
        <f>IF(G$1&lt;12,1,(1-MIN(1,(1-Params!$B$41)*(1+Params!$B$12)))*(1-MIN(1,(1-Params!$B$43)*(1+Params!$B$12)))^(INT(G$1/12)-1))</f>
        <v/>
      </c>
      <c r="H51">
        <f>IF(H$1&lt;12,1,(1-MIN(1,(1-Params!$B$41)*(1+Params!$B$12)))*(1-MIN(1,(1-Params!$B$43)*(1+Params!$B$12)))^(INT(H$1/12)-1))</f>
        <v/>
      </c>
      <c r="I51">
        <f>IF(I$1&lt;12,1,(1-MIN(1,(1-Params!$B$41)*(1+Params!$B$12)))*(1-MIN(1,(1-Params!$B$43)*(1+Params!$B$12)))^(INT(I$1/12)-1))</f>
        <v/>
      </c>
      <c r="J51">
        <f>IF(J$1&lt;12,1,(1-MIN(1,(1-Params!$B$41)*(1+Params!$B$12)))*(1-MIN(1,(1-Params!$B$43)*(1+Params!$B$12)))^(INT(J$1/12)-1))</f>
        <v/>
      </c>
      <c r="K51">
        <f>IF(K$1&lt;12,1,(1-MIN(1,(1-Params!$B$41)*(1+Params!$B$12)))*(1-MIN(1,(1-Params!$B$43)*(1+Params!$B$12)))^(INT(K$1/12)-1))</f>
        <v/>
      </c>
      <c r="L51">
        <f>IF(L$1&lt;12,1,(1-MIN(1,(1-Params!$B$41)*(1+Params!$B$12)))*(1-MIN(1,(1-Params!$B$43)*(1+Params!$B$12)))^(INT(L$1/12)-1))</f>
        <v/>
      </c>
      <c r="M51">
        <f>IF(M$1&lt;12,1,(1-MIN(1,(1-Params!$B$41)*(1+Params!$B$12)))*(1-MIN(1,(1-Params!$B$43)*(1+Params!$B$12)))^(INT(M$1/12)-1))</f>
        <v/>
      </c>
      <c r="N51">
        <f>IF(N$1&lt;12,1,(1-MIN(1,(1-Params!$B$41)*(1+Params!$B$12)))*(1-MIN(1,(1-Params!$B$43)*(1+Params!$B$12)))^(INT(N$1/12)-1))</f>
        <v/>
      </c>
      <c r="O51">
        <f>IF(O$1&lt;12,1,(1-MIN(1,(1-Params!$B$41)*(1+Params!$B$12)))*(1-MIN(1,(1-Params!$B$43)*(1+Params!$B$12)))^(INT(O$1/12)-1))</f>
        <v/>
      </c>
      <c r="P51">
        <f>IF(P$1&lt;12,1,(1-MIN(1,(1-Params!$B$41)*(1+Params!$B$12)))*(1-MIN(1,(1-Params!$B$43)*(1+Params!$B$12)))^(INT(P$1/12)-1))</f>
        <v/>
      </c>
      <c r="Q51">
        <f>IF(Q$1&lt;12,1,(1-MIN(1,(1-Params!$B$41)*(1+Params!$B$12)))*(1-MIN(1,(1-Params!$B$43)*(1+Params!$B$12)))^(INT(Q$1/12)-1))</f>
        <v/>
      </c>
      <c r="R51">
        <f>IF(R$1&lt;12,1,(1-MIN(1,(1-Params!$B$41)*(1+Params!$B$12)))*(1-MIN(1,(1-Params!$B$43)*(1+Params!$B$12)))^(INT(R$1/12)-1))</f>
        <v/>
      </c>
      <c r="S51">
        <f>IF(S$1&lt;12,1,(1-MIN(1,(1-Params!$B$41)*(1+Params!$B$12)))*(1-MIN(1,(1-Params!$B$43)*(1+Params!$B$12)))^(INT(S$1/12)-1))</f>
        <v/>
      </c>
      <c r="T51">
        <f>IF(T$1&lt;12,1,(1-MIN(1,(1-Params!$B$41)*(1+Params!$B$12)))*(1-MIN(1,(1-Params!$B$43)*(1+Params!$B$12)))^(INT(T$1/12)-1))</f>
        <v/>
      </c>
      <c r="U51">
        <f>IF(U$1&lt;12,1,(1-MIN(1,(1-Params!$B$41)*(1+Params!$B$12)))*(1-MIN(1,(1-Params!$B$43)*(1+Params!$B$12)))^(INT(U$1/12)-1))</f>
        <v/>
      </c>
      <c r="V51">
        <f>IF(V$1&lt;12,1,(1-MIN(1,(1-Params!$B$41)*(1+Params!$B$12)))*(1-MIN(1,(1-Params!$B$43)*(1+Params!$B$12)))^(INT(V$1/12)-1))</f>
        <v/>
      </c>
      <c r="W51">
        <f>IF(W$1&lt;12,1,(1-MIN(1,(1-Params!$B$41)*(1+Params!$B$12)))*(1-MIN(1,(1-Params!$B$43)*(1+Params!$B$12)))^(INT(W$1/12)-1))</f>
        <v/>
      </c>
      <c r="X51">
        <f>IF(X$1&lt;12,1,(1-MIN(1,(1-Params!$B$41)*(1+Params!$B$12)))*(1-MIN(1,(1-Params!$B$43)*(1+Params!$B$12)))^(INT(X$1/12)-1))</f>
        <v/>
      </c>
      <c r="Y51">
        <f>IF(Y$1&lt;12,1,(1-MIN(1,(1-Params!$B$41)*(1+Params!$B$12)))*(1-MIN(1,(1-Params!$B$43)*(1+Params!$B$12)))^(INT(Y$1/12)-1))</f>
        <v/>
      </c>
      <c r="Z51">
        <f>IF(Z$1&lt;12,1,(1-MIN(1,(1-Params!$B$41)*(1+Params!$B$12)))*(1-MIN(1,(1-Params!$B$43)*(1+Params!$B$12)))^(INT(Z$1/12)-1))</f>
        <v/>
      </c>
      <c r="AA51">
        <f>IF(AA$1&lt;12,1,(1-MIN(1,(1-Params!$B$41)*(1+Params!$B$12)))*(1-MIN(1,(1-Params!$B$43)*(1+Params!$B$12)))^(INT(AA$1/12)-1))</f>
        <v/>
      </c>
      <c r="AB51">
        <f>IF(AB$1&lt;12,1,(1-MIN(1,(1-Params!$B$41)*(1+Params!$B$12)))*(1-MIN(1,(1-Params!$B$43)*(1+Params!$B$12)))^(INT(AB$1/12)-1))</f>
        <v/>
      </c>
      <c r="AC51">
        <f>IF(AC$1&lt;12,1,(1-MIN(1,(1-Params!$B$41)*(1+Params!$B$12)))*(1-MIN(1,(1-Params!$B$43)*(1+Params!$B$12)))^(INT(AC$1/12)-1))</f>
        <v/>
      </c>
      <c r="AD51">
        <f>IF(AD$1&lt;12,1,(1-MIN(1,(1-Params!$B$41)*(1+Params!$B$12)))*(1-MIN(1,(1-Params!$B$43)*(1+Params!$B$12)))^(INT(AD$1/12)-1))</f>
        <v/>
      </c>
      <c r="AE51">
        <f>IF(AE$1&lt;12,1,(1-MIN(1,(1-Params!$B$41)*(1+Params!$B$12)))*(1-MIN(1,(1-Params!$B$43)*(1+Params!$B$12)))^(INT(AE$1/12)-1))</f>
        <v/>
      </c>
      <c r="AF51">
        <f>IF(AF$1&lt;12,1,(1-MIN(1,(1-Params!$B$41)*(1+Params!$B$12)))*(1-MIN(1,(1-Params!$B$43)*(1+Params!$B$12)))^(INT(AF$1/12)-1))</f>
        <v/>
      </c>
      <c r="AG51">
        <f>IF(AG$1&lt;12,1,(1-MIN(1,(1-Params!$B$41)*(1+Params!$B$12)))*(1-MIN(1,(1-Params!$B$43)*(1+Params!$B$12)))^(INT(AG$1/12)-1))</f>
        <v/>
      </c>
      <c r="AH51">
        <f>IF(AH$1&lt;12,1,(1-MIN(1,(1-Params!$B$41)*(1+Params!$B$12)))*(1-MIN(1,(1-Params!$B$43)*(1+Params!$B$12)))^(INT(AH$1/12)-1))</f>
        <v/>
      </c>
      <c r="AI51">
        <f>IF(AI$1&lt;12,1,(1-MIN(1,(1-Params!$B$41)*(1+Params!$B$12)))*(1-MIN(1,(1-Params!$B$43)*(1+Params!$B$12)))^(INT(AI$1/12)-1))</f>
        <v/>
      </c>
      <c r="AJ51">
        <f>IF(AJ$1&lt;12,1,(1-MIN(1,(1-Params!$B$41)*(1+Params!$B$12)))*(1-MIN(1,(1-Params!$B$43)*(1+Params!$B$12)))^(INT(AJ$1/12)-1))</f>
        <v/>
      </c>
      <c r="AK51">
        <f>IF(AK$1&lt;12,1,(1-MIN(1,(1-Params!$B$41)*(1+Params!$B$12)))*(1-MIN(1,(1-Params!$B$43)*(1+Params!$B$12)))^(INT(AK$1/12)-1))</f>
        <v/>
      </c>
      <c r="AL51">
        <f>IF(AL$1&lt;12,1,(1-MIN(1,(1-Params!$B$41)*(1+Params!$B$12)))*(1-MIN(1,(1-Params!$B$43)*(1+Params!$B$12)))^(INT(AL$1/12)-1))</f>
        <v/>
      </c>
      <c r="AM51">
        <f>IF(AM$1&lt;12,1,(1-MIN(1,(1-Params!$B$41)*(1+Params!$B$12)))*(1-MIN(1,(1-Params!$B$43)*(1+Params!$B$12)))^(INT(AM$1/12)-1))</f>
        <v/>
      </c>
      <c r="AN51">
        <f>IF(AN$1&lt;12,1,(1-MIN(1,(1-Params!$B$41)*(1+Params!$B$12)))*(1-MIN(1,(1-Params!$B$43)*(1+Params!$B$12)))^(INT(AN$1/12)-1))</f>
        <v/>
      </c>
      <c r="AO51">
        <f>IF(AO$1&lt;12,1,(1-MIN(1,(1-Params!$B$41)*(1+Params!$B$12)))*(1-MIN(1,(1-Params!$B$43)*(1+Params!$B$12)))^(INT(AO$1/12)-1))</f>
        <v/>
      </c>
      <c r="AP51">
        <f>IF(AP$1&lt;12,1,(1-MIN(1,(1-Params!$B$41)*(1+Params!$B$12)))*(1-MIN(1,(1-Params!$B$43)*(1+Params!$B$12)))^(INT(AP$1/12)-1))</f>
        <v/>
      </c>
      <c r="AQ51">
        <f>IF(AQ$1&lt;12,1,(1-MIN(1,(1-Params!$B$41)*(1+Params!$B$12)))*(1-MIN(1,(1-Params!$B$43)*(1+Params!$B$12)))^(INT(AQ$1/12)-1))</f>
        <v/>
      </c>
      <c r="AR51">
        <f>IF(AR$1&lt;12,1,(1-MIN(1,(1-Params!$B$41)*(1+Params!$B$12)))*(1-MIN(1,(1-Params!$B$43)*(1+Params!$B$12)))^(INT(AR$1/12)-1))</f>
        <v/>
      </c>
      <c r="AS51">
        <f>IF(AS$1&lt;12,1,(1-MIN(1,(1-Params!$B$41)*(1+Params!$B$12)))*(1-MIN(1,(1-Params!$B$43)*(1+Params!$B$12)))^(INT(AS$1/12)-1))</f>
        <v/>
      </c>
      <c r="AT51">
        <f>IF(AT$1&lt;12,1,(1-MIN(1,(1-Params!$B$41)*(1+Params!$B$12)))*(1-MIN(1,(1-Params!$B$43)*(1+Params!$B$12)))^(INT(AT$1/12)-1))</f>
        <v/>
      </c>
      <c r="AU51">
        <f>IF(AU$1&lt;12,1,(1-MIN(1,(1-Params!$B$41)*(1+Params!$B$12)))*(1-MIN(1,(1-Params!$B$43)*(1+Params!$B$12)))^(INT(AU$1/12)-1))</f>
        <v/>
      </c>
      <c r="AV51">
        <f>IF(AV$1&lt;12,1,(1-MIN(1,(1-Params!$B$41)*(1+Params!$B$12)))*(1-MIN(1,(1-Params!$B$43)*(1+Params!$B$12)))^(INT(AV$1/12)-1))</f>
        <v/>
      </c>
      <c r="AW51">
        <f>IF(AW$1&lt;12,1,(1-MIN(1,(1-Params!$B$41)*(1+Params!$B$12)))*(1-MIN(1,(1-Params!$B$43)*(1+Params!$B$12)))^(INT(AW$1/12)-1))</f>
        <v/>
      </c>
      <c r="AX51">
        <f>IF(AX$1&lt;12,1,(1-MIN(1,(1-Params!$B$41)*(1+Params!$B$12)))*(1-MIN(1,(1-Params!$B$43)*(1+Params!$B$12)))^(INT(AX$1/12)-1))</f>
        <v/>
      </c>
      <c r="AY51">
        <f>IF(AY$1&lt;12,1,(1-MIN(1,(1-Params!$B$41)*(1+Params!$B$12)))*(1-MIN(1,(1-Params!$B$43)*(1+Params!$B$12)))^(INT(AY$1/12)-1))</f>
        <v/>
      </c>
      <c r="AZ51">
        <f>IF(AZ$1&lt;12,1,(1-MIN(1,(1-Params!$B$41)*(1+Params!$B$12)))*(1-MIN(1,(1-Params!$B$43)*(1+Params!$B$12)))^(INT(AZ$1/12)-1))</f>
        <v/>
      </c>
      <c r="BA51">
        <f>IF(BA$1&lt;12,1,(1-MIN(1,(1-Params!$B$41)*(1+Params!$B$12)))*(1-MIN(1,(1-Params!$B$43)*(1+Params!$B$12)))^(INT(BA$1/12)-1))</f>
        <v/>
      </c>
      <c r="BB51">
        <f>IF(BB$1&lt;12,1,(1-MIN(1,(1-Params!$B$41)*(1+Params!$B$12)))*(1-MIN(1,(1-Params!$B$43)*(1+Params!$B$12)))^(INT(BB$1/12)-1))</f>
        <v/>
      </c>
      <c r="BC51">
        <f>IF(BC$1&lt;12,1,(1-MIN(1,(1-Params!$B$41)*(1+Params!$B$12)))*(1-MIN(1,(1-Params!$B$43)*(1+Params!$B$12)))^(INT(BC$1/12)-1))</f>
        <v/>
      </c>
      <c r="BD51">
        <f>IF(BD$1&lt;12,1,(1-MIN(1,(1-Params!$B$41)*(1+Params!$B$12)))*(1-MIN(1,(1-Params!$B$43)*(1+Params!$B$12)))^(INT(BD$1/12)-1))</f>
        <v/>
      </c>
      <c r="BE51">
        <f>IF(BE$1&lt;12,1,(1-MIN(1,(1-Params!$B$41)*(1+Params!$B$12)))*(1-MIN(1,(1-Params!$B$43)*(1+Params!$B$12)))^(INT(BE$1/12)-1))</f>
        <v/>
      </c>
      <c r="BF51">
        <f>IF(BF$1&lt;12,1,(1-MIN(1,(1-Params!$B$41)*(1+Params!$B$12)))*(1-MIN(1,(1-Params!$B$43)*(1+Params!$B$12)))^(INT(BF$1/12)-1))</f>
        <v/>
      </c>
      <c r="BG51">
        <f>IF(BG$1&lt;12,1,(1-MIN(1,(1-Params!$B$41)*(1+Params!$B$12)))*(1-MIN(1,(1-Params!$B$43)*(1+Params!$B$12)))^(INT(BG$1/12)-1))</f>
        <v/>
      </c>
      <c r="BH51">
        <f>IF(BH$1&lt;12,1,(1-MIN(1,(1-Params!$B$41)*(1+Params!$B$12)))*(1-MIN(1,(1-Params!$B$43)*(1+Params!$B$12)))^(INT(BH$1/12)-1))</f>
        <v/>
      </c>
      <c r="BI51">
        <f>IF(BI$1&lt;12,1,(1-MIN(1,(1-Params!$B$41)*(1+Params!$B$12)))*(1-MIN(1,(1-Params!$B$43)*(1+Params!$B$12)))^(INT(BI$1/12)-1))</f>
        <v/>
      </c>
      <c r="BJ51">
        <f>IF(BJ$1&lt;12,1,(1-MIN(1,(1-Params!$B$41)*(1+Params!$B$12)))*(1-MIN(1,(1-Params!$B$43)*(1+Params!$B$12)))^(INT(BJ$1/12)-1))</f>
        <v/>
      </c>
      <c r="BK51">
        <f>IF(BK$1&lt;12,1,(1-MIN(1,(1-Params!$B$41)*(1+Params!$B$12)))*(1-MIN(1,(1-Params!$B$43)*(1+Params!$B$12)))^(INT(BK$1/12)-1))</f>
        <v/>
      </c>
      <c r="BL51">
        <f>IF(BL$1&lt;12,1,(1-MIN(1,(1-Params!$B$41)*(1+Params!$B$12)))*(1-MIN(1,(1-Params!$B$43)*(1+Params!$B$12)))^(INT(BL$1/12)-1))</f>
        <v/>
      </c>
      <c r="BM51">
        <f>IF(BM$1&lt;12,1,(1-MIN(1,(1-Params!$B$41)*(1+Params!$B$12)))*(1-MIN(1,(1-Params!$B$43)*(1+Params!$B$12)))^(INT(BM$1/12)-1))</f>
        <v/>
      </c>
      <c r="BN51">
        <f>IF(BN$1&lt;12,1,(1-MIN(1,(1-Params!$B$41)*(1+Params!$B$12)))*(1-MIN(1,(1-Params!$B$43)*(1+Params!$B$12)))^(INT(BN$1/12)-1))</f>
        <v/>
      </c>
      <c r="BO51">
        <f>IF(BO$1&lt;12,1,(1-MIN(1,(1-Params!$B$41)*(1+Params!$B$12)))*(1-MIN(1,(1-Params!$B$43)*(1+Params!$B$12)))^(INT(BO$1/12)-1))</f>
        <v/>
      </c>
      <c r="BP51">
        <f>IF(BP$1&lt;12,1,(1-MIN(1,(1-Params!$B$41)*(1+Params!$B$12)))*(1-MIN(1,(1-Params!$B$43)*(1+Params!$B$12)))^(INT(BP$1/12)-1))</f>
        <v/>
      </c>
      <c r="BQ51">
        <f>IF(BQ$1&lt;12,1,(1-MIN(1,(1-Params!$B$41)*(1+Params!$B$12)))*(1-MIN(1,(1-Params!$B$43)*(1+Params!$B$12)))^(INT(BQ$1/12)-1))</f>
        <v/>
      </c>
      <c r="BR51">
        <f>IF(BR$1&lt;12,1,(1-MIN(1,(1-Params!$B$41)*(1+Params!$B$12)))*(1-MIN(1,(1-Params!$B$43)*(1+Params!$B$12)))^(INT(BR$1/12)-1))</f>
        <v/>
      </c>
      <c r="BS51">
        <f>IF(BS$1&lt;12,1,(1-MIN(1,(1-Params!$B$41)*(1+Params!$B$12)))*(1-MIN(1,(1-Params!$B$43)*(1+Params!$B$12)))^(INT(BS$1/12)-1))</f>
        <v/>
      </c>
      <c r="BT51">
        <f>IF(BT$1&lt;12,1,(1-MIN(1,(1-Params!$B$41)*(1+Params!$B$12)))*(1-MIN(1,(1-Params!$B$43)*(1+Params!$B$12)))^(INT(BT$1/12)-1))</f>
        <v/>
      </c>
      <c r="BU51">
        <f>IF(BU$1&lt;12,1,(1-MIN(1,(1-Params!$B$41)*(1+Params!$B$12)))*(1-MIN(1,(1-Params!$B$43)*(1+Params!$B$12)))^(INT(BU$1/12)-1))</f>
        <v/>
      </c>
      <c r="BV51">
        <f>IF(BV$1&lt;12,1,(1-MIN(1,(1-Params!$B$41)*(1+Params!$B$12)))*(1-MIN(1,(1-Params!$B$43)*(1+Params!$B$12)))^(INT(BV$1/12)-1))</f>
        <v/>
      </c>
    </row>
    <row r="52">
      <c r="A52" t="inlineStr">
        <is>
          <t>D_MONTHLY@2</t>
        </is>
      </c>
      <c r="C52">
        <f>0</f>
        <v/>
      </c>
      <c r="D52">
        <f>C50-D50</f>
        <v/>
      </c>
      <c r="E52">
        <f>D50-E50</f>
        <v/>
      </c>
      <c r="F52">
        <f>E50-F50</f>
        <v/>
      </c>
      <c r="G52">
        <f>F50-G50</f>
        <v/>
      </c>
      <c r="H52">
        <f>G50-H50</f>
        <v/>
      </c>
      <c r="I52">
        <f>H50-I50</f>
        <v/>
      </c>
      <c r="J52">
        <f>I50-J50</f>
        <v/>
      </c>
      <c r="K52">
        <f>J50-K50</f>
        <v/>
      </c>
      <c r="L52">
        <f>K50-L50</f>
        <v/>
      </c>
      <c r="M52">
        <f>L50-M50</f>
        <v/>
      </c>
      <c r="N52">
        <f>M50-N50</f>
        <v/>
      </c>
      <c r="O52">
        <f>N50-O50</f>
        <v/>
      </c>
      <c r="P52">
        <f>O50-P50</f>
        <v/>
      </c>
      <c r="Q52">
        <f>P50-Q50</f>
        <v/>
      </c>
      <c r="R52">
        <f>Q50-R50</f>
        <v/>
      </c>
      <c r="S52">
        <f>R50-S50</f>
        <v/>
      </c>
      <c r="T52">
        <f>S50-T50</f>
        <v/>
      </c>
      <c r="U52">
        <f>T50-U50</f>
        <v/>
      </c>
      <c r="V52">
        <f>U50-V50</f>
        <v/>
      </c>
      <c r="W52">
        <f>V50-W50</f>
        <v/>
      </c>
      <c r="X52">
        <f>W50-X50</f>
        <v/>
      </c>
      <c r="Y52">
        <f>X50-Y50</f>
        <v/>
      </c>
      <c r="Z52">
        <f>Y50-Z50</f>
        <v/>
      </c>
      <c r="AA52">
        <f>Z50-AA50</f>
        <v/>
      </c>
      <c r="AB52">
        <f>AA50-AB50</f>
        <v/>
      </c>
      <c r="AC52">
        <f>AB50-AC50</f>
        <v/>
      </c>
      <c r="AD52">
        <f>AC50-AD50</f>
        <v/>
      </c>
      <c r="AE52">
        <f>AD50-AE50</f>
        <v/>
      </c>
      <c r="AF52">
        <f>AE50-AF50</f>
        <v/>
      </c>
      <c r="AG52">
        <f>AF50-AG50</f>
        <v/>
      </c>
      <c r="AH52">
        <f>AG50-AH50</f>
        <v/>
      </c>
      <c r="AI52">
        <f>AH50-AI50</f>
        <v/>
      </c>
      <c r="AJ52">
        <f>AI50-AJ50</f>
        <v/>
      </c>
      <c r="AK52">
        <f>AJ50-AK50</f>
        <v/>
      </c>
      <c r="AL52">
        <f>AK50-AL50</f>
        <v/>
      </c>
      <c r="AM52">
        <f>AL50-AM50</f>
        <v/>
      </c>
      <c r="AN52">
        <f>AM50-AN50</f>
        <v/>
      </c>
      <c r="AO52">
        <f>AN50-AO50</f>
        <v/>
      </c>
      <c r="AP52">
        <f>AO50-AP50</f>
        <v/>
      </c>
      <c r="AQ52">
        <f>AP50-AQ50</f>
        <v/>
      </c>
      <c r="AR52">
        <f>AQ50-AR50</f>
        <v/>
      </c>
      <c r="AS52">
        <f>AR50-AS50</f>
        <v/>
      </c>
      <c r="AT52">
        <f>AS50-AT50</f>
        <v/>
      </c>
      <c r="AU52">
        <f>AT50-AU50</f>
        <v/>
      </c>
      <c r="AV52">
        <f>AU50-AV50</f>
        <v/>
      </c>
      <c r="AW52">
        <f>AV50-AW50</f>
        <v/>
      </c>
      <c r="AX52">
        <f>AW50-AX50</f>
        <v/>
      </c>
      <c r="AY52">
        <f>AX50-AY50</f>
        <v/>
      </c>
      <c r="AZ52">
        <f>AY50-AZ50</f>
        <v/>
      </c>
      <c r="BA52">
        <f>AZ50-BA50</f>
        <v/>
      </c>
      <c r="BB52">
        <f>BA50-BB50</f>
        <v/>
      </c>
      <c r="BC52">
        <f>BB50-BC50</f>
        <v/>
      </c>
      <c r="BD52">
        <f>BC50-BD50</f>
        <v/>
      </c>
      <c r="BE52">
        <f>BD50-BE50</f>
        <v/>
      </c>
      <c r="BF52">
        <f>BE50-BF50</f>
        <v/>
      </c>
      <c r="BG52">
        <f>BF50-BG50</f>
        <v/>
      </c>
      <c r="BH52">
        <f>BG50-BH50</f>
        <v/>
      </c>
      <c r="BI52">
        <f>BH50-BI50</f>
        <v/>
      </c>
      <c r="BJ52">
        <f>BI50-BJ50</f>
        <v/>
      </c>
      <c r="BK52">
        <f>BJ50-BK50</f>
        <v/>
      </c>
      <c r="BL52">
        <f>BK50-BL50</f>
        <v/>
      </c>
      <c r="BM52">
        <f>BL50-BM50</f>
        <v/>
      </c>
      <c r="BN52">
        <f>BM50-BN50</f>
        <v/>
      </c>
      <c r="BO52">
        <f>BN50-BO50</f>
        <v/>
      </c>
      <c r="BP52">
        <f>BO50-BP50</f>
        <v/>
      </c>
      <c r="BQ52">
        <f>BP50-BQ50</f>
        <v/>
      </c>
      <c r="BR52">
        <f>BQ50-BR50</f>
        <v/>
      </c>
      <c r="BS52">
        <f>BR50-BS50</f>
        <v/>
      </c>
      <c r="BT52">
        <f>BS50-BT50</f>
        <v/>
      </c>
      <c r="BU52">
        <f>BT50-BU50</f>
        <v/>
      </c>
      <c r="BV52">
        <f>BU50-BV50</f>
        <v/>
      </c>
    </row>
    <row r="53">
      <c r="A53" t="inlineStr">
        <is>
          <t>D_ANNUAL@2</t>
        </is>
      </c>
      <c r="C53">
        <f>0</f>
        <v/>
      </c>
      <c r="D53">
        <f>C51-D51</f>
        <v/>
      </c>
      <c r="E53">
        <f>D51-E51</f>
        <v/>
      </c>
      <c r="F53">
        <f>E51-F51</f>
        <v/>
      </c>
      <c r="G53">
        <f>F51-G51</f>
        <v/>
      </c>
      <c r="H53">
        <f>G51-H51</f>
        <v/>
      </c>
      <c r="I53">
        <f>H51-I51</f>
        <v/>
      </c>
      <c r="J53">
        <f>I51-J51</f>
        <v/>
      </c>
      <c r="K53">
        <f>J51-K51</f>
        <v/>
      </c>
      <c r="L53">
        <f>K51-L51</f>
        <v/>
      </c>
      <c r="M53">
        <f>L51-M51</f>
        <v/>
      </c>
      <c r="N53">
        <f>M51-N51</f>
        <v/>
      </c>
      <c r="O53">
        <f>N51-O51</f>
        <v/>
      </c>
      <c r="P53">
        <f>O51-P51</f>
        <v/>
      </c>
      <c r="Q53">
        <f>P51-Q51</f>
        <v/>
      </c>
      <c r="R53">
        <f>Q51-R51</f>
        <v/>
      </c>
      <c r="S53">
        <f>R51-S51</f>
        <v/>
      </c>
      <c r="T53">
        <f>S51-T51</f>
        <v/>
      </c>
      <c r="U53">
        <f>T51-U51</f>
        <v/>
      </c>
      <c r="V53">
        <f>U51-V51</f>
        <v/>
      </c>
      <c r="W53">
        <f>V51-W51</f>
        <v/>
      </c>
      <c r="X53">
        <f>W51-X51</f>
        <v/>
      </c>
      <c r="Y53">
        <f>X51-Y51</f>
        <v/>
      </c>
      <c r="Z53">
        <f>Y51-Z51</f>
        <v/>
      </c>
      <c r="AA53">
        <f>Z51-AA51</f>
        <v/>
      </c>
      <c r="AB53">
        <f>AA51-AB51</f>
        <v/>
      </c>
      <c r="AC53">
        <f>AB51-AC51</f>
        <v/>
      </c>
      <c r="AD53">
        <f>AC51-AD51</f>
        <v/>
      </c>
      <c r="AE53">
        <f>AD51-AE51</f>
        <v/>
      </c>
      <c r="AF53">
        <f>AE51-AF51</f>
        <v/>
      </c>
      <c r="AG53">
        <f>AF51-AG51</f>
        <v/>
      </c>
      <c r="AH53">
        <f>AG51-AH51</f>
        <v/>
      </c>
      <c r="AI53">
        <f>AH51-AI51</f>
        <v/>
      </c>
      <c r="AJ53">
        <f>AI51-AJ51</f>
        <v/>
      </c>
      <c r="AK53">
        <f>AJ51-AK51</f>
        <v/>
      </c>
      <c r="AL53">
        <f>AK51-AL51</f>
        <v/>
      </c>
      <c r="AM53">
        <f>AL51-AM51</f>
        <v/>
      </c>
      <c r="AN53">
        <f>AM51-AN51</f>
        <v/>
      </c>
      <c r="AO53">
        <f>AN51-AO51</f>
        <v/>
      </c>
      <c r="AP53">
        <f>AO51-AP51</f>
        <v/>
      </c>
      <c r="AQ53">
        <f>AP51-AQ51</f>
        <v/>
      </c>
      <c r="AR53">
        <f>AQ51-AR51</f>
        <v/>
      </c>
      <c r="AS53">
        <f>AR51-AS51</f>
        <v/>
      </c>
      <c r="AT53">
        <f>AS51-AT51</f>
        <v/>
      </c>
      <c r="AU53">
        <f>AT51-AU51</f>
        <v/>
      </c>
      <c r="AV53">
        <f>AU51-AV51</f>
        <v/>
      </c>
      <c r="AW53">
        <f>AV51-AW51</f>
        <v/>
      </c>
      <c r="AX53">
        <f>AW51-AX51</f>
        <v/>
      </c>
      <c r="AY53">
        <f>AX51-AY51</f>
        <v/>
      </c>
      <c r="AZ53">
        <f>AY51-AZ51</f>
        <v/>
      </c>
      <c r="BA53">
        <f>AZ51-BA51</f>
        <v/>
      </c>
      <c r="BB53">
        <f>BA51-BB51</f>
        <v/>
      </c>
      <c r="BC53">
        <f>BB51-BC51</f>
        <v/>
      </c>
      <c r="BD53">
        <f>BC51-BD51</f>
        <v/>
      </c>
      <c r="BE53">
        <f>BD51-BE51</f>
        <v/>
      </c>
      <c r="BF53">
        <f>BE51-BF51</f>
        <v/>
      </c>
      <c r="BG53">
        <f>BF51-BG51</f>
        <v/>
      </c>
      <c r="BH53">
        <f>BG51-BH51</f>
        <v/>
      </c>
      <c r="BI53">
        <f>BH51-BI51</f>
        <v/>
      </c>
      <c r="BJ53">
        <f>BI51-BJ51</f>
        <v/>
      </c>
      <c r="BK53">
        <f>BJ51-BK51</f>
        <v/>
      </c>
      <c r="BL53">
        <f>BK51-BL51</f>
        <v/>
      </c>
      <c r="BM53">
        <f>BL51-BM51</f>
        <v/>
      </c>
      <c r="BN53">
        <f>BM51-BN51</f>
        <v/>
      </c>
      <c r="BO53">
        <f>BN51-BO51</f>
        <v/>
      </c>
      <c r="BP53">
        <f>BO51-BP51</f>
        <v/>
      </c>
      <c r="BQ53">
        <f>BP51-BQ51</f>
        <v/>
      </c>
      <c r="BR53">
        <f>BQ51-BR51</f>
        <v/>
      </c>
      <c r="BS53">
        <f>BR51-BS51</f>
        <v/>
      </c>
      <c r="BT53">
        <f>BS51-BT51</f>
        <v/>
      </c>
      <c r="BU53">
        <f>BT51-BU51</f>
        <v/>
      </c>
      <c r="BV53">
        <f>BU51-BV51</f>
        <v/>
      </c>
    </row>
    <row r="54">
      <c r="A54" t="inlineStr">
        <is>
          <t>S_REACT@2</t>
        </is>
      </c>
      <c r="C54">
        <f>(1-Params!$B$49)^C$1</f>
        <v/>
      </c>
      <c r="D54">
        <f>(1-Params!$B$49)^D$1</f>
        <v/>
      </c>
      <c r="E54">
        <f>(1-Params!$B$49)^E$1</f>
        <v/>
      </c>
      <c r="F54">
        <f>(1-Params!$B$49)^F$1</f>
        <v/>
      </c>
      <c r="G54">
        <f>(1-Params!$B$49)^G$1</f>
        <v/>
      </c>
      <c r="H54">
        <f>(1-Params!$B$49)^H$1</f>
        <v/>
      </c>
      <c r="I54">
        <f>(1-Params!$B$49)^I$1</f>
        <v/>
      </c>
      <c r="J54">
        <f>(1-Params!$B$49)^J$1</f>
        <v/>
      </c>
      <c r="K54">
        <f>(1-Params!$B$49)^K$1</f>
        <v/>
      </c>
      <c r="L54">
        <f>(1-Params!$B$49)^L$1</f>
        <v/>
      </c>
      <c r="M54">
        <f>(1-Params!$B$49)^M$1</f>
        <v/>
      </c>
      <c r="N54">
        <f>(1-Params!$B$49)^N$1</f>
        <v/>
      </c>
      <c r="O54">
        <f>(1-Params!$B$49)^O$1</f>
        <v/>
      </c>
      <c r="P54">
        <f>(1-Params!$B$49)^P$1</f>
        <v/>
      </c>
      <c r="Q54">
        <f>(1-Params!$B$49)^Q$1</f>
        <v/>
      </c>
      <c r="R54">
        <f>(1-Params!$B$49)^R$1</f>
        <v/>
      </c>
      <c r="S54">
        <f>(1-Params!$B$49)^S$1</f>
        <v/>
      </c>
      <c r="T54">
        <f>(1-Params!$B$49)^T$1</f>
        <v/>
      </c>
      <c r="U54">
        <f>(1-Params!$B$49)^U$1</f>
        <v/>
      </c>
      <c r="V54">
        <f>(1-Params!$B$49)^V$1</f>
        <v/>
      </c>
      <c r="W54">
        <f>(1-Params!$B$49)^W$1</f>
        <v/>
      </c>
      <c r="X54">
        <f>(1-Params!$B$49)^X$1</f>
        <v/>
      </c>
      <c r="Y54">
        <f>(1-Params!$B$49)^Y$1</f>
        <v/>
      </c>
      <c r="Z54">
        <f>(1-Params!$B$49)^Z$1</f>
        <v/>
      </c>
      <c r="AA54">
        <f>(1-Params!$B$49)^AA$1</f>
        <v/>
      </c>
      <c r="AB54">
        <f>(1-Params!$B$49)^AB$1</f>
        <v/>
      </c>
      <c r="AC54">
        <f>(1-Params!$B$49)^AC$1</f>
        <v/>
      </c>
      <c r="AD54">
        <f>(1-Params!$B$49)^AD$1</f>
        <v/>
      </c>
      <c r="AE54">
        <f>(1-Params!$B$49)^AE$1</f>
        <v/>
      </c>
      <c r="AF54">
        <f>(1-Params!$B$49)^AF$1</f>
        <v/>
      </c>
      <c r="AG54">
        <f>(1-Params!$B$49)^AG$1</f>
        <v/>
      </c>
      <c r="AH54">
        <f>(1-Params!$B$49)^AH$1</f>
        <v/>
      </c>
      <c r="AI54">
        <f>(1-Params!$B$49)^AI$1</f>
        <v/>
      </c>
      <c r="AJ54">
        <f>(1-Params!$B$49)^AJ$1</f>
        <v/>
      </c>
      <c r="AK54">
        <f>(1-Params!$B$49)^AK$1</f>
        <v/>
      </c>
      <c r="AL54">
        <f>(1-Params!$B$49)^AL$1</f>
        <v/>
      </c>
      <c r="AM54">
        <f>(1-Params!$B$49)^AM$1</f>
        <v/>
      </c>
      <c r="AN54">
        <f>(1-Params!$B$49)^AN$1</f>
        <v/>
      </c>
      <c r="AO54">
        <f>(1-Params!$B$49)^AO$1</f>
        <v/>
      </c>
      <c r="AP54">
        <f>(1-Params!$B$49)^AP$1</f>
        <v/>
      </c>
      <c r="AQ54">
        <f>(1-Params!$B$49)^AQ$1</f>
        <v/>
      </c>
      <c r="AR54">
        <f>(1-Params!$B$49)^AR$1</f>
        <v/>
      </c>
      <c r="AS54">
        <f>(1-Params!$B$49)^AS$1</f>
        <v/>
      </c>
      <c r="AT54">
        <f>(1-Params!$B$49)^AT$1</f>
        <v/>
      </c>
      <c r="AU54">
        <f>(1-Params!$B$49)^AU$1</f>
        <v/>
      </c>
      <c r="AV54">
        <f>(1-Params!$B$49)^AV$1</f>
        <v/>
      </c>
      <c r="AW54">
        <f>(1-Params!$B$49)^AW$1</f>
        <v/>
      </c>
      <c r="AX54">
        <f>(1-Params!$B$49)^AX$1</f>
        <v/>
      </c>
      <c r="AY54">
        <f>(1-Params!$B$49)^AY$1</f>
        <v/>
      </c>
      <c r="AZ54">
        <f>(1-Params!$B$49)^AZ$1</f>
        <v/>
      </c>
      <c r="BA54">
        <f>(1-Params!$B$49)^BA$1</f>
        <v/>
      </c>
      <c r="BB54">
        <f>(1-Params!$B$49)^BB$1</f>
        <v/>
      </c>
      <c r="BC54">
        <f>(1-Params!$B$49)^BC$1</f>
        <v/>
      </c>
      <c r="BD54">
        <f>(1-Params!$B$49)^BD$1</f>
        <v/>
      </c>
      <c r="BE54">
        <f>(1-Params!$B$49)^BE$1</f>
        <v/>
      </c>
      <c r="BF54">
        <f>(1-Params!$B$49)^BF$1</f>
        <v/>
      </c>
      <c r="BG54">
        <f>(1-Params!$B$49)^BG$1</f>
        <v/>
      </c>
      <c r="BH54">
        <f>(1-Params!$B$49)^BH$1</f>
        <v/>
      </c>
      <c r="BI54">
        <f>(1-Params!$B$49)^BI$1</f>
        <v/>
      </c>
      <c r="BJ54">
        <f>(1-Params!$B$49)^BJ$1</f>
        <v/>
      </c>
      <c r="BK54">
        <f>(1-Params!$B$49)^BK$1</f>
        <v/>
      </c>
      <c r="BL54">
        <f>(1-Params!$B$49)^BL$1</f>
        <v/>
      </c>
      <c r="BM54">
        <f>(1-Params!$B$49)^BM$1</f>
        <v/>
      </c>
      <c r="BN54">
        <f>(1-Params!$B$49)^BN$1</f>
        <v/>
      </c>
      <c r="BO54">
        <f>(1-Params!$B$49)^BO$1</f>
        <v/>
      </c>
      <c r="BP54">
        <f>(1-Params!$B$49)^BP$1</f>
        <v/>
      </c>
      <c r="BQ54">
        <f>(1-Params!$B$49)^BQ$1</f>
        <v/>
      </c>
      <c r="BR54">
        <f>(1-Params!$B$49)^BR$1</f>
        <v/>
      </c>
      <c r="BS54">
        <f>(1-Params!$B$49)^BS$1</f>
        <v/>
      </c>
      <c r="BT54">
        <f>(1-Params!$B$49)^BT$1</f>
        <v/>
      </c>
      <c r="BU54">
        <f>(1-Params!$B$49)^BU$1</f>
        <v/>
      </c>
      <c r="BV54">
        <f>(1-Params!$B$49)^BV$1</f>
        <v/>
      </c>
    </row>
    <row r="55">
      <c r="A55" t="inlineStr">
        <is>
          <t>D_REACT@2</t>
        </is>
      </c>
      <c r="C55">
        <f>0</f>
        <v/>
      </c>
      <c r="D55">
        <f>C54-D54</f>
        <v/>
      </c>
      <c r="E55">
        <f>D54-E54</f>
        <v/>
      </c>
      <c r="F55">
        <f>E54-F54</f>
        <v/>
      </c>
      <c r="G55">
        <f>F54-G54</f>
        <v/>
      </c>
      <c r="H55">
        <f>G54-H54</f>
        <v/>
      </c>
      <c r="I55">
        <f>H54-I54</f>
        <v/>
      </c>
      <c r="J55">
        <f>I54-J54</f>
        <v/>
      </c>
      <c r="K55">
        <f>J54-K54</f>
        <v/>
      </c>
      <c r="L55">
        <f>K54-L54</f>
        <v/>
      </c>
      <c r="M55">
        <f>L54-M54</f>
        <v/>
      </c>
      <c r="N55">
        <f>M54-N54</f>
        <v/>
      </c>
      <c r="O55">
        <f>N54-O54</f>
        <v/>
      </c>
      <c r="P55">
        <f>O54-P54</f>
        <v/>
      </c>
      <c r="Q55">
        <f>P54-Q54</f>
        <v/>
      </c>
      <c r="R55">
        <f>Q54-R54</f>
        <v/>
      </c>
      <c r="S55">
        <f>R54-S54</f>
        <v/>
      </c>
      <c r="T55">
        <f>S54-T54</f>
        <v/>
      </c>
      <c r="U55">
        <f>T54-U54</f>
        <v/>
      </c>
      <c r="V55">
        <f>U54-V54</f>
        <v/>
      </c>
      <c r="W55">
        <f>V54-W54</f>
        <v/>
      </c>
      <c r="X55">
        <f>W54-X54</f>
        <v/>
      </c>
      <c r="Y55">
        <f>X54-Y54</f>
        <v/>
      </c>
      <c r="Z55">
        <f>Y54-Z54</f>
        <v/>
      </c>
      <c r="AA55">
        <f>Z54-AA54</f>
        <v/>
      </c>
      <c r="AB55">
        <f>AA54-AB54</f>
        <v/>
      </c>
      <c r="AC55">
        <f>AB54-AC54</f>
        <v/>
      </c>
      <c r="AD55">
        <f>AC54-AD54</f>
        <v/>
      </c>
      <c r="AE55">
        <f>AD54-AE54</f>
        <v/>
      </c>
      <c r="AF55">
        <f>AE54-AF54</f>
        <v/>
      </c>
      <c r="AG55">
        <f>AF54-AG54</f>
        <v/>
      </c>
      <c r="AH55">
        <f>AG54-AH54</f>
        <v/>
      </c>
      <c r="AI55">
        <f>AH54-AI54</f>
        <v/>
      </c>
      <c r="AJ55">
        <f>AI54-AJ54</f>
        <v/>
      </c>
      <c r="AK55">
        <f>AJ54-AK54</f>
        <v/>
      </c>
      <c r="AL55">
        <f>AK54-AL54</f>
        <v/>
      </c>
      <c r="AM55">
        <f>AL54-AM54</f>
        <v/>
      </c>
      <c r="AN55">
        <f>AM54-AN54</f>
        <v/>
      </c>
      <c r="AO55">
        <f>AN54-AO54</f>
        <v/>
      </c>
      <c r="AP55">
        <f>AO54-AP54</f>
        <v/>
      </c>
      <c r="AQ55">
        <f>AP54-AQ54</f>
        <v/>
      </c>
      <c r="AR55">
        <f>AQ54-AR54</f>
        <v/>
      </c>
      <c r="AS55">
        <f>AR54-AS54</f>
        <v/>
      </c>
      <c r="AT55">
        <f>AS54-AT54</f>
        <v/>
      </c>
      <c r="AU55">
        <f>AT54-AU54</f>
        <v/>
      </c>
      <c r="AV55">
        <f>AU54-AV54</f>
        <v/>
      </c>
      <c r="AW55">
        <f>AV54-AW54</f>
        <v/>
      </c>
      <c r="AX55">
        <f>AW54-AX54</f>
        <v/>
      </c>
      <c r="AY55">
        <f>AX54-AY54</f>
        <v/>
      </c>
      <c r="AZ55">
        <f>AY54-AZ54</f>
        <v/>
      </c>
      <c r="BA55">
        <f>AZ54-BA54</f>
        <v/>
      </c>
      <c r="BB55">
        <f>BA54-BB54</f>
        <v/>
      </c>
      <c r="BC55">
        <f>BB54-BC54</f>
        <v/>
      </c>
      <c r="BD55">
        <f>BC54-BD54</f>
        <v/>
      </c>
      <c r="BE55">
        <f>BD54-BE54</f>
        <v/>
      </c>
      <c r="BF55">
        <f>BE54-BF54</f>
        <v/>
      </c>
      <c r="BG55">
        <f>BF54-BG54</f>
        <v/>
      </c>
      <c r="BH55">
        <f>BG54-BH54</f>
        <v/>
      </c>
      <c r="BI55">
        <f>BH54-BI54</f>
        <v/>
      </c>
      <c r="BJ55">
        <f>BI54-BJ54</f>
        <v/>
      </c>
      <c r="BK55">
        <f>BJ54-BK54</f>
        <v/>
      </c>
      <c r="BL55">
        <f>BK54-BL54</f>
        <v/>
      </c>
      <c r="BM55">
        <f>BL54-BM54</f>
        <v/>
      </c>
      <c r="BN55">
        <f>BM54-BN54</f>
        <v/>
      </c>
      <c r="BO55">
        <f>BN54-BO54</f>
        <v/>
      </c>
      <c r="BP55">
        <f>BO54-BP54</f>
        <v/>
      </c>
      <c r="BQ55">
        <f>BP54-BQ54</f>
        <v/>
      </c>
      <c r="BR55">
        <f>BQ54-BR54</f>
        <v/>
      </c>
      <c r="BS55">
        <f>BR54-BS54</f>
        <v/>
      </c>
      <c r="BT55">
        <f>BS54-BT54</f>
        <v/>
      </c>
      <c r="BU55">
        <f>BT54-BU54</f>
        <v/>
      </c>
      <c r="BV55">
        <f>BU54-BV54</f>
        <v/>
      </c>
    </row>
    <row r="56">
      <c r="A56" t="inlineStr">
        <is>
          <t>K_REACT@2</t>
        </is>
      </c>
      <c r="C56">
        <f>IF(AND(C$1&gt;=1,C$1&lt;=Params!$B$47),Params!$B$45*(1-Params!$B$45)^(C$1-1),0)</f>
        <v/>
      </c>
      <c r="D56">
        <f>IF(AND(D$1&gt;=1,D$1&lt;=Params!$B$47),Params!$B$45*(1-Params!$B$45)^(D$1-1),0)</f>
        <v/>
      </c>
      <c r="E56">
        <f>IF(AND(E$1&gt;=1,E$1&lt;=Params!$B$47),Params!$B$45*(1-Params!$B$45)^(E$1-1),0)</f>
        <v/>
      </c>
      <c r="F56">
        <f>IF(AND(F$1&gt;=1,F$1&lt;=Params!$B$47),Params!$B$45*(1-Params!$B$45)^(F$1-1),0)</f>
        <v/>
      </c>
      <c r="G56">
        <f>IF(AND(G$1&gt;=1,G$1&lt;=Params!$B$47),Params!$B$45*(1-Params!$B$45)^(G$1-1),0)</f>
        <v/>
      </c>
      <c r="H56">
        <f>IF(AND(H$1&gt;=1,H$1&lt;=Params!$B$47),Params!$B$45*(1-Params!$B$45)^(H$1-1),0)</f>
        <v/>
      </c>
      <c r="I56">
        <f>IF(AND(I$1&gt;=1,I$1&lt;=Params!$B$47),Params!$B$45*(1-Params!$B$45)^(I$1-1),0)</f>
        <v/>
      </c>
      <c r="J56">
        <f>IF(AND(J$1&gt;=1,J$1&lt;=Params!$B$47),Params!$B$45*(1-Params!$B$45)^(J$1-1),0)</f>
        <v/>
      </c>
      <c r="K56">
        <f>IF(AND(K$1&gt;=1,K$1&lt;=Params!$B$47),Params!$B$45*(1-Params!$B$45)^(K$1-1),0)</f>
        <v/>
      </c>
      <c r="L56">
        <f>IF(AND(L$1&gt;=1,L$1&lt;=Params!$B$47),Params!$B$45*(1-Params!$B$45)^(L$1-1),0)</f>
        <v/>
      </c>
      <c r="M56">
        <f>IF(AND(M$1&gt;=1,M$1&lt;=Params!$B$47),Params!$B$45*(1-Params!$B$45)^(M$1-1),0)</f>
        <v/>
      </c>
      <c r="N56">
        <f>IF(AND(N$1&gt;=1,N$1&lt;=Params!$B$47),Params!$B$45*(1-Params!$B$45)^(N$1-1),0)</f>
        <v/>
      </c>
      <c r="O56">
        <f>IF(AND(O$1&gt;=1,O$1&lt;=Params!$B$47),Params!$B$45*(1-Params!$B$45)^(O$1-1),0)</f>
        <v/>
      </c>
      <c r="P56">
        <f>IF(AND(P$1&gt;=1,P$1&lt;=Params!$B$47),Params!$B$45*(1-Params!$B$45)^(P$1-1),0)</f>
        <v/>
      </c>
      <c r="Q56">
        <f>IF(AND(Q$1&gt;=1,Q$1&lt;=Params!$B$47),Params!$B$45*(1-Params!$B$45)^(Q$1-1),0)</f>
        <v/>
      </c>
      <c r="R56">
        <f>IF(AND(R$1&gt;=1,R$1&lt;=Params!$B$47),Params!$B$45*(1-Params!$B$45)^(R$1-1),0)</f>
        <v/>
      </c>
      <c r="S56">
        <f>IF(AND(S$1&gt;=1,S$1&lt;=Params!$B$47),Params!$B$45*(1-Params!$B$45)^(S$1-1),0)</f>
        <v/>
      </c>
      <c r="T56">
        <f>IF(AND(T$1&gt;=1,T$1&lt;=Params!$B$47),Params!$B$45*(1-Params!$B$45)^(T$1-1),0)</f>
        <v/>
      </c>
      <c r="U56">
        <f>IF(AND(U$1&gt;=1,U$1&lt;=Params!$B$47),Params!$B$45*(1-Params!$B$45)^(U$1-1),0)</f>
        <v/>
      </c>
      <c r="V56">
        <f>IF(AND(V$1&gt;=1,V$1&lt;=Params!$B$47),Params!$B$45*(1-Params!$B$45)^(V$1-1),0)</f>
        <v/>
      </c>
      <c r="W56">
        <f>IF(AND(W$1&gt;=1,W$1&lt;=Params!$B$47),Params!$B$45*(1-Params!$B$45)^(W$1-1),0)</f>
        <v/>
      </c>
      <c r="X56">
        <f>IF(AND(X$1&gt;=1,X$1&lt;=Params!$B$47),Params!$B$45*(1-Params!$B$45)^(X$1-1),0)</f>
        <v/>
      </c>
      <c r="Y56">
        <f>IF(AND(Y$1&gt;=1,Y$1&lt;=Params!$B$47),Params!$B$45*(1-Params!$B$45)^(Y$1-1),0)</f>
        <v/>
      </c>
      <c r="Z56">
        <f>IF(AND(Z$1&gt;=1,Z$1&lt;=Params!$B$47),Params!$B$45*(1-Params!$B$45)^(Z$1-1),0)</f>
        <v/>
      </c>
      <c r="AA56">
        <f>IF(AND(AA$1&gt;=1,AA$1&lt;=Params!$B$47),Params!$B$45*(1-Params!$B$45)^(AA$1-1),0)</f>
        <v/>
      </c>
      <c r="AB56">
        <f>IF(AND(AB$1&gt;=1,AB$1&lt;=Params!$B$47),Params!$B$45*(1-Params!$B$45)^(AB$1-1),0)</f>
        <v/>
      </c>
      <c r="AC56">
        <f>IF(AND(AC$1&gt;=1,AC$1&lt;=Params!$B$47),Params!$B$45*(1-Params!$B$45)^(AC$1-1),0)</f>
        <v/>
      </c>
      <c r="AD56">
        <f>IF(AND(AD$1&gt;=1,AD$1&lt;=Params!$B$47),Params!$B$45*(1-Params!$B$45)^(AD$1-1),0)</f>
        <v/>
      </c>
      <c r="AE56">
        <f>IF(AND(AE$1&gt;=1,AE$1&lt;=Params!$B$47),Params!$B$45*(1-Params!$B$45)^(AE$1-1),0)</f>
        <v/>
      </c>
      <c r="AF56">
        <f>IF(AND(AF$1&gt;=1,AF$1&lt;=Params!$B$47),Params!$B$45*(1-Params!$B$45)^(AF$1-1),0)</f>
        <v/>
      </c>
      <c r="AG56">
        <f>IF(AND(AG$1&gt;=1,AG$1&lt;=Params!$B$47),Params!$B$45*(1-Params!$B$45)^(AG$1-1),0)</f>
        <v/>
      </c>
      <c r="AH56">
        <f>IF(AND(AH$1&gt;=1,AH$1&lt;=Params!$B$47),Params!$B$45*(1-Params!$B$45)^(AH$1-1),0)</f>
        <v/>
      </c>
      <c r="AI56">
        <f>IF(AND(AI$1&gt;=1,AI$1&lt;=Params!$B$47),Params!$B$45*(1-Params!$B$45)^(AI$1-1),0)</f>
        <v/>
      </c>
      <c r="AJ56">
        <f>IF(AND(AJ$1&gt;=1,AJ$1&lt;=Params!$B$47),Params!$B$45*(1-Params!$B$45)^(AJ$1-1),0)</f>
        <v/>
      </c>
      <c r="AK56">
        <f>IF(AND(AK$1&gt;=1,AK$1&lt;=Params!$B$47),Params!$B$45*(1-Params!$B$45)^(AK$1-1),0)</f>
        <v/>
      </c>
      <c r="AL56">
        <f>IF(AND(AL$1&gt;=1,AL$1&lt;=Params!$B$47),Params!$B$45*(1-Params!$B$45)^(AL$1-1),0)</f>
        <v/>
      </c>
      <c r="AM56">
        <f>IF(AND(AM$1&gt;=1,AM$1&lt;=Params!$B$47),Params!$B$45*(1-Params!$B$45)^(AM$1-1),0)</f>
        <v/>
      </c>
      <c r="AN56">
        <f>IF(AND(AN$1&gt;=1,AN$1&lt;=Params!$B$47),Params!$B$45*(1-Params!$B$45)^(AN$1-1),0)</f>
        <v/>
      </c>
      <c r="AO56">
        <f>IF(AND(AO$1&gt;=1,AO$1&lt;=Params!$B$47),Params!$B$45*(1-Params!$B$45)^(AO$1-1),0)</f>
        <v/>
      </c>
      <c r="AP56">
        <f>IF(AND(AP$1&gt;=1,AP$1&lt;=Params!$B$47),Params!$B$45*(1-Params!$B$45)^(AP$1-1),0)</f>
        <v/>
      </c>
      <c r="AQ56">
        <f>IF(AND(AQ$1&gt;=1,AQ$1&lt;=Params!$B$47),Params!$B$45*(1-Params!$B$45)^(AQ$1-1),0)</f>
        <v/>
      </c>
      <c r="AR56">
        <f>IF(AND(AR$1&gt;=1,AR$1&lt;=Params!$B$47),Params!$B$45*(1-Params!$B$45)^(AR$1-1),0)</f>
        <v/>
      </c>
      <c r="AS56">
        <f>IF(AND(AS$1&gt;=1,AS$1&lt;=Params!$B$47),Params!$B$45*(1-Params!$B$45)^(AS$1-1),0)</f>
        <v/>
      </c>
      <c r="AT56">
        <f>IF(AND(AT$1&gt;=1,AT$1&lt;=Params!$B$47),Params!$B$45*(1-Params!$B$45)^(AT$1-1),0)</f>
        <v/>
      </c>
      <c r="AU56">
        <f>IF(AND(AU$1&gt;=1,AU$1&lt;=Params!$B$47),Params!$B$45*(1-Params!$B$45)^(AU$1-1),0)</f>
        <v/>
      </c>
      <c r="AV56">
        <f>IF(AND(AV$1&gt;=1,AV$1&lt;=Params!$B$47),Params!$B$45*(1-Params!$B$45)^(AV$1-1),0)</f>
        <v/>
      </c>
      <c r="AW56">
        <f>IF(AND(AW$1&gt;=1,AW$1&lt;=Params!$B$47),Params!$B$45*(1-Params!$B$45)^(AW$1-1),0)</f>
        <v/>
      </c>
      <c r="AX56">
        <f>IF(AND(AX$1&gt;=1,AX$1&lt;=Params!$B$47),Params!$B$45*(1-Params!$B$45)^(AX$1-1),0)</f>
        <v/>
      </c>
      <c r="AY56">
        <f>IF(AND(AY$1&gt;=1,AY$1&lt;=Params!$B$47),Params!$B$45*(1-Params!$B$45)^(AY$1-1),0)</f>
        <v/>
      </c>
      <c r="AZ56">
        <f>IF(AND(AZ$1&gt;=1,AZ$1&lt;=Params!$B$47),Params!$B$45*(1-Params!$B$45)^(AZ$1-1),0)</f>
        <v/>
      </c>
      <c r="BA56">
        <f>IF(AND(BA$1&gt;=1,BA$1&lt;=Params!$B$47),Params!$B$45*(1-Params!$B$45)^(BA$1-1),0)</f>
        <v/>
      </c>
      <c r="BB56">
        <f>IF(AND(BB$1&gt;=1,BB$1&lt;=Params!$B$47),Params!$B$45*(1-Params!$B$45)^(BB$1-1),0)</f>
        <v/>
      </c>
      <c r="BC56">
        <f>IF(AND(BC$1&gt;=1,BC$1&lt;=Params!$B$47),Params!$B$45*(1-Params!$B$45)^(BC$1-1),0)</f>
        <v/>
      </c>
      <c r="BD56">
        <f>IF(AND(BD$1&gt;=1,BD$1&lt;=Params!$B$47),Params!$B$45*(1-Params!$B$45)^(BD$1-1),0)</f>
        <v/>
      </c>
      <c r="BE56">
        <f>IF(AND(BE$1&gt;=1,BE$1&lt;=Params!$B$47),Params!$B$45*(1-Params!$B$45)^(BE$1-1),0)</f>
        <v/>
      </c>
      <c r="BF56">
        <f>IF(AND(BF$1&gt;=1,BF$1&lt;=Params!$B$47),Params!$B$45*(1-Params!$B$45)^(BF$1-1),0)</f>
        <v/>
      </c>
      <c r="BG56">
        <f>IF(AND(BG$1&gt;=1,BG$1&lt;=Params!$B$47),Params!$B$45*(1-Params!$B$45)^(BG$1-1),0)</f>
        <v/>
      </c>
      <c r="BH56">
        <f>IF(AND(BH$1&gt;=1,BH$1&lt;=Params!$B$47),Params!$B$45*(1-Params!$B$45)^(BH$1-1),0)</f>
        <v/>
      </c>
      <c r="BI56">
        <f>IF(AND(BI$1&gt;=1,BI$1&lt;=Params!$B$47),Params!$B$45*(1-Params!$B$45)^(BI$1-1),0)</f>
        <v/>
      </c>
      <c r="BJ56">
        <f>IF(AND(BJ$1&gt;=1,BJ$1&lt;=Params!$B$47),Params!$B$45*(1-Params!$B$45)^(BJ$1-1),0)</f>
        <v/>
      </c>
      <c r="BK56">
        <f>IF(AND(BK$1&gt;=1,BK$1&lt;=Params!$B$47),Params!$B$45*(1-Params!$B$45)^(BK$1-1),0)</f>
        <v/>
      </c>
      <c r="BL56">
        <f>IF(AND(BL$1&gt;=1,BL$1&lt;=Params!$B$47),Params!$B$45*(1-Params!$B$45)^(BL$1-1),0)</f>
        <v/>
      </c>
      <c r="BM56">
        <f>IF(AND(BM$1&gt;=1,BM$1&lt;=Params!$B$47),Params!$B$45*(1-Params!$B$45)^(BM$1-1),0)</f>
        <v/>
      </c>
      <c r="BN56">
        <f>IF(AND(BN$1&gt;=1,BN$1&lt;=Params!$B$47),Params!$B$45*(1-Params!$B$45)^(BN$1-1),0)</f>
        <v/>
      </c>
      <c r="BO56">
        <f>IF(AND(BO$1&gt;=1,BO$1&lt;=Params!$B$47),Params!$B$45*(1-Params!$B$45)^(BO$1-1),0)</f>
        <v/>
      </c>
      <c r="BP56">
        <f>IF(AND(BP$1&gt;=1,BP$1&lt;=Params!$B$47),Params!$B$45*(1-Params!$B$45)^(BP$1-1),0)</f>
        <v/>
      </c>
      <c r="BQ56">
        <f>IF(AND(BQ$1&gt;=1,BQ$1&lt;=Params!$B$47),Params!$B$45*(1-Params!$B$45)^(BQ$1-1),0)</f>
        <v/>
      </c>
      <c r="BR56">
        <f>IF(AND(BR$1&gt;=1,BR$1&lt;=Params!$B$47),Params!$B$45*(1-Params!$B$45)^(BR$1-1),0)</f>
        <v/>
      </c>
      <c r="BS56">
        <f>IF(AND(BS$1&gt;=1,BS$1&lt;=Params!$B$47),Params!$B$45*(1-Params!$B$45)^(BS$1-1),0)</f>
        <v/>
      </c>
      <c r="BT56">
        <f>IF(AND(BT$1&gt;=1,BT$1&lt;=Params!$B$47),Params!$B$45*(1-Params!$B$45)^(BT$1-1),0)</f>
        <v/>
      </c>
      <c r="BU56">
        <f>IF(AND(BU$1&gt;=1,BU$1&lt;=Params!$B$47),Params!$B$45*(1-Params!$B$45)^(BU$1-1),0)</f>
        <v/>
      </c>
      <c r="BV56">
        <f>IF(AND(BV$1&gt;=1,BV$1&lt;=Params!$B$47),Params!$B$45*(1-Params!$B$45)^(BV$1-1),0)</f>
        <v/>
      </c>
    </row>
    <row r="57">
      <c r="A57" t="inlineStr">
        <is>
          <t>S_MONTHLY_Y1@2</t>
        </is>
      </c>
      <c r="C57">
        <f>IF(C$1&lt;12,C50,0)</f>
        <v/>
      </c>
      <c r="D57">
        <f>IF(D$1&lt;12,D50,0)</f>
        <v/>
      </c>
      <c r="E57">
        <f>IF(E$1&lt;12,E50,0)</f>
        <v/>
      </c>
      <c r="F57">
        <f>IF(F$1&lt;12,F50,0)</f>
        <v/>
      </c>
      <c r="G57">
        <f>IF(G$1&lt;12,G50,0)</f>
        <v/>
      </c>
      <c r="H57">
        <f>IF(H$1&lt;12,H50,0)</f>
        <v/>
      </c>
      <c r="I57">
        <f>IF(I$1&lt;12,I50,0)</f>
        <v/>
      </c>
      <c r="J57">
        <f>IF(J$1&lt;12,J50,0)</f>
        <v/>
      </c>
      <c r="K57">
        <f>IF(K$1&lt;12,K50,0)</f>
        <v/>
      </c>
      <c r="L57">
        <f>IF(L$1&lt;12,L50,0)</f>
        <v/>
      </c>
      <c r="M57">
        <f>IF(M$1&lt;12,M50,0)</f>
        <v/>
      </c>
      <c r="N57">
        <f>IF(N$1&lt;12,N50,0)</f>
        <v/>
      </c>
      <c r="O57">
        <f>IF(O$1&lt;12,O50,0)</f>
        <v/>
      </c>
      <c r="P57">
        <f>IF(P$1&lt;12,P50,0)</f>
        <v/>
      </c>
      <c r="Q57">
        <f>IF(Q$1&lt;12,Q50,0)</f>
        <v/>
      </c>
      <c r="R57">
        <f>IF(R$1&lt;12,R50,0)</f>
        <v/>
      </c>
      <c r="S57">
        <f>IF(S$1&lt;12,S50,0)</f>
        <v/>
      </c>
      <c r="T57">
        <f>IF(T$1&lt;12,T50,0)</f>
        <v/>
      </c>
      <c r="U57">
        <f>IF(U$1&lt;12,U50,0)</f>
        <v/>
      </c>
      <c r="V57">
        <f>IF(V$1&lt;12,V50,0)</f>
        <v/>
      </c>
      <c r="W57">
        <f>IF(W$1&lt;12,W50,0)</f>
        <v/>
      </c>
      <c r="X57">
        <f>IF(X$1&lt;12,X50,0)</f>
        <v/>
      </c>
      <c r="Y57">
        <f>IF(Y$1&lt;12,Y50,0)</f>
        <v/>
      </c>
      <c r="Z57">
        <f>IF(Z$1&lt;12,Z50,0)</f>
        <v/>
      </c>
      <c r="AA57">
        <f>IF(AA$1&lt;12,AA50,0)</f>
        <v/>
      </c>
      <c r="AB57">
        <f>IF(AB$1&lt;12,AB50,0)</f>
        <v/>
      </c>
      <c r="AC57">
        <f>IF(AC$1&lt;12,AC50,0)</f>
        <v/>
      </c>
      <c r="AD57">
        <f>IF(AD$1&lt;12,AD50,0)</f>
        <v/>
      </c>
      <c r="AE57">
        <f>IF(AE$1&lt;12,AE50,0)</f>
        <v/>
      </c>
      <c r="AF57">
        <f>IF(AF$1&lt;12,AF50,0)</f>
        <v/>
      </c>
      <c r="AG57">
        <f>IF(AG$1&lt;12,AG50,0)</f>
        <v/>
      </c>
      <c r="AH57">
        <f>IF(AH$1&lt;12,AH50,0)</f>
        <v/>
      </c>
      <c r="AI57">
        <f>IF(AI$1&lt;12,AI50,0)</f>
        <v/>
      </c>
      <c r="AJ57">
        <f>IF(AJ$1&lt;12,AJ50,0)</f>
        <v/>
      </c>
      <c r="AK57">
        <f>IF(AK$1&lt;12,AK50,0)</f>
        <v/>
      </c>
      <c r="AL57">
        <f>IF(AL$1&lt;12,AL50,0)</f>
        <v/>
      </c>
      <c r="AM57">
        <f>IF(AM$1&lt;12,AM50,0)</f>
        <v/>
      </c>
      <c r="AN57">
        <f>IF(AN$1&lt;12,AN50,0)</f>
        <v/>
      </c>
      <c r="AO57">
        <f>IF(AO$1&lt;12,AO50,0)</f>
        <v/>
      </c>
      <c r="AP57">
        <f>IF(AP$1&lt;12,AP50,0)</f>
        <v/>
      </c>
      <c r="AQ57">
        <f>IF(AQ$1&lt;12,AQ50,0)</f>
        <v/>
      </c>
      <c r="AR57">
        <f>IF(AR$1&lt;12,AR50,0)</f>
        <v/>
      </c>
      <c r="AS57">
        <f>IF(AS$1&lt;12,AS50,0)</f>
        <v/>
      </c>
      <c r="AT57">
        <f>IF(AT$1&lt;12,AT50,0)</f>
        <v/>
      </c>
      <c r="AU57">
        <f>IF(AU$1&lt;12,AU50,0)</f>
        <v/>
      </c>
      <c r="AV57">
        <f>IF(AV$1&lt;12,AV50,0)</f>
        <v/>
      </c>
      <c r="AW57">
        <f>IF(AW$1&lt;12,AW50,0)</f>
        <v/>
      </c>
      <c r="AX57">
        <f>IF(AX$1&lt;12,AX50,0)</f>
        <v/>
      </c>
      <c r="AY57">
        <f>IF(AY$1&lt;12,AY50,0)</f>
        <v/>
      </c>
      <c r="AZ57">
        <f>IF(AZ$1&lt;12,AZ50,0)</f>
        <v/>
      </c>
      <c r="BA57">
        <f>IF(BA$1&lt;12,BA50,0)</f>
        <v/>
      </c>
      <c r="BB57">
        <f>IF(BB$1&lt;12,BB50,0)</f>
        <v/>
      </c>
      <c r="BC57">
        <f>IF(BC$1&lt;12,BC50,0)</f>
        <v/>
      </c>
      <c r="BD57">
        <f>IF(BD$1&lt;12,BD50,0)</f>
        <v/>
      </c>
      <c r="BE57">
        <f>IF(BE$1&lt;12,BE50,0)</f>
        <v/>
      </c>
      <c r="BF57">
        <f>IF(BF$1&lt;12,BF50,0)</f>
        <v/>
      </c>
      <c r="BG57">
        <f>IF(BG$1&lt;12,BG50,0)</f>
        <v/>
      </c>
      <c r="BH57">
        <f>IF(BH$1&lt;12,BH50,0)</f>
        <v/>
      </c>
      <c r="BI57">
        <f>IF(BI$1&lt;12,BI50,0)</f>
        <v/>
      </c>
      <c r="BJ57">
        <f>IF(BJ$1&lt;12,BJ50,0)</f>
        <v/>
      </c>
      <c r="BK57">
        <f>IF(BK$1&lt;12,BK50,0)</f>
        <v/>
      </c>
      <c r="BL57">
        <f>IF(BL$1&lt;12,BL50,0)</f>
        <v/>
      </c>
      <c r="BM57">
        <f>IF(BM$1&lt;12,BM50,0)</f>
        <v/>
      </c>
      <c r="BN57">
        <f>IF(BN$1&lt;12,BN50,0)</f>
        <v/>
      </c>
      <c r="BO57">
        <f>IF(BO$1&lt;12,BO50,0)</f>
        <v/>
      </c>
      <c r="BP57">
        <f>IF(BP$1&lt;12,BP50,0)</f>
        <v/>
      </c>
      <c r="BQ57">
        <f>IF(BQ$1&lt;12,BQ50,0)</f>
        <v/>
      </c>
      <c r="BR57">
        <f>IF(BR$1&lt;12,BR50,0)</f>
        <v/>
      </c>
      <c r="BS57">
        <f>IF(BS$1&lt;12,BS50,0)</f>
        <v/>
      </c>
      <c r="BT57">
        <f>IF(BT$1&lt;12,BT50,0)</f>
        <v/>
      </c>
      <c r="BU57">
        <f>IF(BU$1&lt;12,BU50,0)</f>
        <v/>
      </c>
      <c r="BV57">
        <f>IF(BV$1&lt;12,BV50,0)</f>
        <v/>
      </c>
    </row>
    <row r="58">
      <c r="A58" t="inlineStr">
        <is>
          <t>S_ANNUAL_Y1@2</t>
        </is>
      </c>
      <c r="C58">
        <f>IF(C$1&lt;12,C51,0)</f>
        <v/>
      </c>
      <c r="D58">
        <f>IF(D$1&lt;12,D51,0)</f>
        <v/>
      </c>
      <c r="E58">
        <f>IF(E$1&lt;12,E51,0)</f>
        <v/>
      </c>
      <c r="F58">
        <f>IF(F$1&lt;12,F51,0)</f>
        <v/>
      </c>
      <c r="G58">
        <f>IF(G$1&lt;12,G51,0)</f>
        <v/>
      </c>
      <c r="H58">
        <f>IF(H$1&lt;12,H51,0)</f>
        <v/>
      </c>
      <c r="I58">
        <f>IF(I$1&lt;12,I51,0)</f>
        <v/>
      </c>
      <c r="J58">
        <f>IF(J$1&lt;12,J51,0)</f>
        <v/>
      </c>
      <c r="K58">
        <f>IF(K$1&lt;12,K51,0)</f>
        <v/>
      </c>
      <c r="L58">
        <f>IF(L$1&lt;12,L51,0)</f>
        <v/>
      </c>
      <c r="M58">
        <f>IF(M$1&lt;12,M51,0)</f>
        <v/>
      </c>
      <c r="N58">
        <f>IF(N$1&lt;12,N51,0)</f>
        <v/>
      </c>
      <c r="O58">
        <f>IF(O$1&lt;12,O51,0)</f>
        <v/>
      </c>
      <c r="P58">
        <f>IF(P$1&lt;12,P51,0)</f>
        <v/>
      </c>
      <c r="Q58">
        <f>IF(Q$1&lt;12,Q51,0)</f>
        <v/>
      </c>
      <c r="R58">
        <f>IF(R$1&lt;12,R51,0)</f>
        <v/>
      </c>
      <c r="S58">
        <f>IF(S$1&lt;12,S51,0)</f>
        <v/>
      </c>
      <c r="T58">
        <f>IF(T$1&lt;12,T51,0)</f>
        <v/>
      </c>
      <c r="U58">
        <f>IF(U$1&lt;12,U51,0)</f>
        <v/>
      </c>
      <c r="V58">
        <f>IF(V$1&lt;12,V51,0)</f>
        <v/>
      </c>
      <c r="W58">
        <f>IF(W$1&lt;12,W51,0)</f>
        <v/>
      </c>
      <c r="X58">
        <f>IF(X$1&lt;12,X51,0)</f>
        <v/>
      </c>
      <c r="Y58">
        <f>IF(Y$1&lt;12,Y51,0)</f>
        <v/>
      </c>
      <c r="Z58">
        <f>IF(Z$1&lt;12,Z51,0)</f>
        <v/>
      </c>
      <c r="AA58">
        <f>IF(AA$1&lt;12,AA51,0)</f>
        <v/>
      </c>
      <c r="AB58">
        <f>IF(AB$1&lt;12,AB51,0)</f>
        <v/>
      </c>
      <c r="AC58">
        <f>IF(AC$1&lt;12,AC51,0)</f>
        <v/>
      </c>
      <c r="AD58">
        <f>IF(AD$1&lt;12,AD51,0)</f>
        <v/>
      </c>
      <c r="AE58">
        <f>IF(AE$1&lt;12,AE51,0)</f>
        <v/>
      </c>
      <c r="AF58">
        <f>IF(AF$1&lt;12,AF51,0)</f>
        <v/>
      </c>
      <c r="AG58">
        <f>IF(AG$1&lt;12,AG51,0)</f>
        <v/>
      </c>
      <c r="AH58">
        <f>IF(AH$1&lt;12,AH51,0)</f>
        <v/>
      </c>
      <c r="AI58">
        <f>IF(AI$1&lt;12,AI51,0)</f>
        <v/>
      </c>
      <c r="AJ58">
        <f>IF(AJ$1&lt;12,AJ51,0)</f>
        <v/>
      </c>
      <c r="AK58">
        <f>IF(AK$1&lt;12,AK51,0)</f>
        <v/>
      </c>
      <c r="AL58">
        <f>IF(AL$1&lt;12,AL51,0)</f>
        <v/>
      </c>
      <c r="AM58">
        <f>IF(AM$1&lt;12,AM51,0)</f>
        <v/>
      </c>
      <c r="AN58">
        <f>IF(AN$1&lt;12,AN51,0)</f>
        <v/>
      </c>
      <c r="AO58">
        <f>IF(AO$1&lt;12,AO51,0)</f>
        <v/>
      </c>
      <c r="AP58">
        <f>IF(AP$1&lt;12,AP51,0)</f>
        <v/>
      </c>
      <c r="AQ58">
        <f>IF(AQ$1&lt;12,AQ51,0)</f>
        <v/>
      </c>
      <c r="AR58">
        <f>IF(AR$1&lt;12,AR51,0)</f>
        <v/>
      </c>
      <c r="AS58">
        <f>IF(AS$1&lt;12,AS51,0)</f>
        <v/>
      </c>
      <c r="AT58">
        <f>IF(AT$1&lt;12,AT51,0)</f>
        <v/>
      </c>
      <c r="AU58">
        <f>IF(AU$1&lt;12,AU51,0)</f>
        <v/>
      </c>
      <c r="AV58">
        <f>IF(AV$1&lt;12,AV51,0)</f>
        <v/>
      </c>
      <c r="AW58">
        <f>IF(AW$1&lt;12,AW51,0)</f>
        <v/>
      </c>
      <c r="AX58">
        <f>IF(AX$1&lt;12,AX51,0)</f>
        <v/>
      </c>
      <c r="AY58">
        <f>IF(AY$1&lt;12,AY51,0)</f>
        <v/>
      </c>
      <c r="AZ58">
        <f>IF(AZ$1&lt;12,AZ51,0)</f>
        <v/>
      </c>
      <c r="BA58">
        <f>IF(BA$1&lt;12,BA51,0)</f>
        <v/>
      </c>
      <c r="BB58">
        <f>IF(BB$1&lt;12,BB51,0)</f>
        <v/>
      </c>
      <c r="BC58">
        <f>IF(BC$1&lt;12,BC51,0)</f>
        <v/>
      </c>
      <c r="BD58">
        <f>IF(BD$1&lt;12,BD51,0)</f>
        <v/>
      </c>
      <c r="BE58">
        <f>IF(BE$1&lt;12,BE51,0)</f>
        <v/>
      </c>
      <c r="BF58">
        <f>IF(BF$1&lt;12,BF51,0)</f>
        <v/>
      </c>
      <c r="BG58">
        <f>IF(BG$1&lt;12,BG51,0)</f>
        <v/>
      </c>
      <c r="BH58">
        <f>IF(BH$1&lt;12,BH51,0)</f>
        <v/>
      </c>
      <c r="BI58">
        <f>IF(BI$1&lt;12,BI51,0)</f>
        <v/>
      </c>
      <c r="BJ58">
        <f>IF(BJ$1&lt;12,BJ51,0)</f>
        <v/>
      </c>
      <c r="BK58">
        <f>IF(BK$1&lt;12,BK51,0)</f>
        <v/>
      </c>
      <c r="BL58">
        <f>IF(BL$1&lt;12,BL51,0)</f>
        <v/>
      </c>
      <c r="BM58">
        <f>IF(BM$1&lt;12,BM51,0)</f>
        <v/>
      </c>
      <c r="BN58">
        <f>IF(BN$1&lt;12,BN51,0)</f>
        <v/>
      </c>
      <c r="BO58">
        <f>IF(BO$1&lt;12,BO51,0)</f>
        <v/>
      </c>
      <c r="BP58">
        <f>IF(BP$1&lt;12,BP51,0)</f>
        <v/>
      </c>
      <c r="BQ58">
        <f>IF(BQ$1&lt;12,BQ51,0)</f>
        <v/>
      </c>
      <c r="BR58">
        <f>IF(BR$1&lt;12,BR51,0)</f>
        <v/>
      </c>
      <c r="BS58">
        <f>IF(BS$1&lt;12,BS51,0)</f>
        <v/>
      </c>
      <c r="BT58">
        <f>IF(BT$1&lt;12,BT51,0)</f>
        <v/>
      </c>
      <c r="BU58">
        <f>IF(BU$1&lt;12,BU51,0)</f>
        <v/>
      </c>
      <c r="BV58">
        <f>IF(BV$1&lt;12,BV51,0)</f>
        <v/>
      </c>
    </row>
    <row r="59">
      <c r="A59" t="inlineStr">
        <is>
          <t>S_REACT_Y1@2</t>
        </is>
      </c>
      <c r="C59">
        <f>IF(C$1&lt;12,C54,0)</f>
        <v/>
      </c>
      <c r="D59">
        <f>IF(D$1&lt;12,D54,0)</f>
        <v/>
      </c>
      <c r="E59">
        <f>IF(E$1&lt;12,E54,0)</f>
        <v/>
      </c>
      <c r="F59">
        <f>IF(F$1&lt;12,F54,0)</f>
        <v/>
      </c>
      <c r="G59">
        <f>IF(G$1&lt;12,G54,0)</f>
        <v/>
      </c>
      <c r="H59">
        <f>IF(H$1&lt;12,H54,0)</f>
        <v/>
      </c>
      <c r="I59">
        <f>IF(I$1&lt;12,I54,0)</f>
        <v/>
      </c>
      <c r="J59">
        <f>IF(J$1&lt;12,J54,0)</f>
        <v/>
      </c>
      <c r="K59">
        <f>IF(K$1&lt;12,K54,0)</f>
        <v/>
      </c>
      <c r="L59">
        <f>IF(L$1&lt;12,L54,0)</f>
        <v/>
      </c>
      <c r="M59">
        <f>IF(M$1&lt;12,M54,0)</f>
        <v/>
      </c>
      <c r="N59">
        <f>IF(N$1&lt;12,N54,0)</f>
        <v/>
      </c>
      <c r="O59">
        <f>IF(O$1&lt;12,O54,0)</f>
        <v/>
      </c>
      <c r="P59">
        <f>IF(P$1&lt;12,P54,0)</f>
        <v/>
      </c>
      <c r="Q59">
        <f>IF(Q$1&lt;12,Q54,0)</f>
        <v/>
      </c>
      <c r="R59">
        <f>IF(R$1&lt;12,R54,0)</f>
        <v/>
      </c>
      <c r="S59">
        <f>IF(S$1&lt;12,S54,0)</f>
        <v/>
      </c>
      <c r="T59">
        <f>IF(T$1&lt;12,T54,0)</f>
        <v/>
      </c>
      <c r="U59">
        <f>IF(U$1&lt;12,U54,0)</f>
        <v/>
      </c>
      <c r="V59">
        <f>IF(V$1&lt;12,V54,0)</f>
        <v/>
      </c>
      <c r="W59">
        <f>IF(W$1&lt;12,W54,0)</f>
        <v/>
      </c>
      <c r="X59">
        <f>IF(X$1&lt;12,X54,0)</f>
        <v/>
      </c>
      <c r="Y59">
        <f>IF(Y$1&lt;12,Y54,0)</f>
        <v/>
      </c>
      <c r="Z59">
        <f>IF(Z$1&lt;12,Z54,0)</f>
        <v/>
      </c>
      <c r="AA59">
        <f>IF(AA$1&lt;12,AA54,0)</f>
        <v/>
      </c>
      <c r="AB59">
        <f>IF(AB$1&lt;12,AB54,0)</f>
        <v/>
      </c>
      <c r="AC59">
        <f>IF(AC$1&lt;12,AC54,0)</f>
        <v/>
      </c>
      <c r="AD59">
        <f>IF(AD$1&lt;12,AD54,0)</f>
        <v/>
      </c>
      <c r="AE59">
        <f>IF(AE$1&lt;12,AE54,0)</f>
        <v/>
      </c>
      <c r="AF59">
        <f>IF(AF$1&lt;12,AF54,0)</f>
        <v/>
      </c>
      <c r="AG59">
        <f>IF(AG$1&lt;12,AG54,0)</f>
        <v/>
      </c>
      <c r="AH59">
        <f>IF(AH$1&lt;12,AH54,0)</f>
        <v/>
      </c>
      <c r="AI59">
        <f>IF(AI$1&lt;12,AI54,0)</f>
        <v/>
      </c>
      <c r="AJ59">
        <f>IF(AJ$1&lt;12,AJ54,0)</f>
        <v/>
      </c>
      <c r="AK59">
        <f>IF(AK$1&lt;12,AK54,0)</f>
        <v/>
      </c>
      <c r="AL59">
        <f>IF(AL$1&lt;12,AL54,0)</f>
        <v/>
      </c>
      <c r="AM59">
        <f>IF(AM$1&lt;12,AM54,0)</f>
        <v/>
      </c>
      <c r="AN59">
        <f>IF(AN$1&lt;12,AN54,0)</f>
        <v/>
      </c>
      <c r="AO59">
        <f>IF(AO$1&lt;12,AO54,0)</f>
        <v/>
      </c>
      <c r="AP59">
        <f>IF(AP$1&lt;12,AP54,0)</f>
        <v/>
      </c>
      <c r="AQ59">
        <f>IF(AQ$1&lt;12,AQ54,0)</f>
        <v/>
      </c>
      <c r="AR59">
        <f>IF(AR$1&lt;12,AR54,0)</f>
        <v/>
      </c>
      <c r="AS59">
        <f>IF(AS$1&lt;12,AS54,0)</f>
        <v/>
      </c>
      <c r="AT59">
        <f>IF(AT$1&lt;12,AT54,0)</f>
        <v/>
      </c>
      <c r="AU59">
        <f>IF(AU$1&lt;12,AU54,0)</f>
        <v/>
      </c>
      <c r="AV59">
        <f>IF(AV$1&lt;12,AV54,0)</f>
        <v/>
      </c>
      <c r="AW59">
        <f>IF(AW$1&lt;12,AW54,0)</f>
        <v/>
      </c>
      <c r="AX59">
        <f>IF(AX$1&lt;12,AX54,0)</f>
        <v/>
      </c>
      <c r="AY59">
        <f>IF(AY$1&lt;12,AY54,0)</f>
        <v/>
      </c>
      <c r="AZ59">
        <f>IF(AZ$1&lt;12,AZ54,0)</f>
        <v/>
      </c>
      <c r="BA59">
        <f>IF(BA$1&lt;12,BA54,0)</f>
        <v/>
      </c>
      <c r="BB59">
        <f>IF(BB$1&lt;12,BB54,0)</f>
        <v/>
      </c>
      <c r="BC59">
        <f>IF(BC$1&lt;12,BC54,0)</f>
        <v/>
      </c>
      <c r="BD59">
        <f>IF(BD$1&lt;12,BD54,0)</f>
        <v/>
      </c>
      <c r="BE59">
        <f>IF(BE$1&lt;12,BE54,0)</f>
        <v/>
      </c>
      <c r="BF59">
        <f>IF(BF$1&lt;12,BF54,0)</f>
        <v/>
      </c>
      <c r="BG59">
        <f>IF(BG$1&lt;12,BG54,0)</f>
        <v/>
      </c>
      <c r="BH59">
        <f>IF(BH$1&lt;12,BH54,0)</f>
        <v/>
      </c>
      <c r="BI59">
        <f>IF(BI$1&lt;12,BI54,0)</f>
        <v/>
      </c>
      <c r="BJ59">
        <f>IF(BJ$1&lt;12,BJ54,0)</f>
        <v/>
      </c>
      <c r="BK59">
        <f>IF(BK$1&lt;12,BK54,0)</f>
        <v/>
      </c>
      <c r="BL59">
        <f>IF(BL$1&lt;12,BL54,0)</f>
        <v/>
      </c>
      <c r="BM59">
        <f>IF(BM$1&lt;12,BM54,0)</f>
        <v/>
      </c>
      <c r="BN59">
        <f>IF(BN$1&lt;12,BN54,0)</f>
        <v/>
      </c>
      <c r="BO59">
        <f>IF(BO$1&lt;12,BO54,0)</f>
        <v/>
      </c>
      <c r="BP59">
        <f>IF(BP$1&lt;12,BP54,0)</f>
        <v/>
      </c>
      <c r="BQ59">
        <f>IF(BQ$1&lt;12,BQ54,0)</f>
        <v/>
      </c>
      <c r="BR59">
        <f>IF(BR$1&lt;12,BR54,0)</f>
        <v/>
      </c>
      <c r="BS59">
        <f>IF(BS$1&lt;12,BS54,0)</f>
        <v/>
      </c>
      <c r="BT59">
        <f>IF(BT$1&lt;12,BT54,0)</f>
        <v/>
      </c>
      <c r="BU59">
        <f>IF(BU$1&lt;12,BU54,0)</f>
        <v/>
      </c>
      <c r="BV59">
        <f>IF(BV$1&lt;12,BV54,0)</f>
        <v/>
      </c>
    </row>
    <row r="61">
      <c r="A61" t="inlineStr">
        <is>
          <t>S_MONTHLY@2 reversed</t>
        </is>
      </c>
      <c r="C61">
        <f>INDEX($C$50:$BV$50,72)</f>
        <v/>
      </c>
      <c r="D61">
        <f>INDEX($C$50:$BV$50,71)</f>
        <v/>
      </c>
      <c r="E61">
        <f>INDEX($C$50:$BV$50,70)</f>
        <v/>
      </c>
      <c r="F61">
        <f>INDEX($C$50:$BV$50,69)</f>
        <v/>
      </c>
      <c r="G61">
        <f>INDEX($C$50:$BV$50,68)</f>
        <v/>
      </c>
      <c r="H61">
        <f>INDEX($C$50:$BV$50,67)</f>
        <v/>
      </c>
      <c r="I61">
        <f>INDEX($C$50:$BV$50,66)</f>
        <v/>
      </c>
      <c r="J61">
        <f>INDEX($C$50:$BV$50,65)</f>
        <v/>
      </c>
      <c r="K61">
        <f>INDEX($C$50:$BV$50,64)</f>
        <v/>
      </c>
      <c r="L61">
        <f>INDEX($C$50:$BV$50,63)</f>
        <v/>
      </c>
      <c r="M61">
        <f>INDEX($C$50:$BV$50,62)</f>
        <v/>
      </c>
      <c r="N61">
        <f>INDEX($C$50:$BV$50,61)</f>
        <v/>
      </c>
      <c r="O61">
        <f>INDEX($C$50:$BV$50,60)</f>
        <v/>
      </c>
      <c r="P61">
        <f>INDEX($C$50:$BV$50,59)</f>
        <v/>
      </c>
      <c r="Q61">
        <f>INDEX($C$50:$BV$50,58)</f>
        <v/>
      </c>
      <c r="R61">
        <f>INDEX($C$50:$BV$50,57)</f>
        <v/>
      </c>
      <c r="S61">
        <f>INDEX($C$50:$BV$50,56)</f>
        <v/>
      </c>
      <c r="T61">
        <f>INDEX($C$50:$BV$50,55)</f>
        <v/>
      </c>
      <c r="U61">
        <f>INDEX($C$50:$BV$50,54)</f>
        <v/>
      </c>
      <c r="V61">
        <f>INDEX($C$50:$BV$50,53)</f>
        <v/>
      </c>
      <c r="W61">
        <f>INDEX($C$50:$BV$50,52)</f>
        <v/>
      </c>
      <c r="X61">
        <f>INDEX($C$50:$BV$50,51)</f>
        <v/>
      </c>
      <c r="Y61">
        <f>INDEX($C$50:$BV$50,50)</f>
        <v/>
      </c>
      <c r="Z61">
        <f>INDEX($C$50:$BV$50,49)</f>
        <v/>
      </c>
      <c r="AA61">
        <f>INDEX($C$50:$BV$50,48)</f>
        <v/>
      </c>
      <c r="AB61">
        <f>INDEX($C$50:$BV$50,47)</f>
        <v/>
      </c>
      <c r="AC61">
        <f>INDEX($C$50:$BV$50,46)</f>
        <v/>
      </c>
      <c r="AD61">
        <f>INDEX($C$50:$BV$50,45)</f>
        <v/>
      </c>
      <c r="AE61">
        <f>INDEX($C$50:$BV$50,44)</f>
        <v/>
      </c>
      <c r="AF61">
        <f>INDEX($C$50:$BV$50,43)</f>
        <v/>
      </c>
      <c r="AG61">
        <f>INDEX($C$50:$BV$50,42)</f>
        <v/>
      </c>
      <c r="AH61">
        <f>INDEX($C$50:$BV$50,41)</f>
        <v/>
      </c>
      <c r="AI61">
        <f>INDEX($C$50:$BV$50,40)</f>
        <v/>
      </c>
      <c r="AJ61">
        <f>INDEX($C$50:$BV$50,39)</f>
        <v/>
      </c>
      <c r="AK61">
        <f>INDEX($C$50:$BV$50,38)</f>
        <v/>
      </c>
      <c r="AL61">
        <f>INDEX($C$50:$BV$50,37)</f>
        <v/>
      </c>
      <c r="AM61">
        <f>INDEX($C$50:$BV$50,36)</f>
        <v/>
      </c>
      <c r="AN61">
        <f>INDEX($C$50:$BV$50,35)</f>
        <v/>
      </c>
      <c r="AO61">
        <f>INDEX($C$50:$BV$50,34)</f>
        <v/>
      </c>
      <c r="AP61">
        <f>INDEX($C$50:$BV$50,33)</f>
        <v/>
      </c>
      <c r="AQ61">
        <f>INDEX($C$50:$BV$50,32)</f>
        <v/>
      </c>
      <c r="AR61">
        <f>INDEX($C$50:$BV$50,31)</f>
        <v/>
      </c>
      <c r="AS61">
        <f>INDEX($C$50:$BV$50,30)</f>
        <v/>
      </c>
      <c r="AT61">
        <f>INDEX($C$50:$BV$50,29)</f>
        <v/>
      </c>
      <c r="AU61">
        <f>INDEX($C$50:$BV$50,28)</f>
        <v/>
      </c>
      <c r="AV61">
        <f>INDEX($C$50:$BV$50,27)</f>
        <v/>
      </c>
      <c r="AW61">
        <f>INDEX($C$50:$BV$50,26)</f>
        <v/>
      </c>
      <c r="AX61">
        <f>INDEX($C$50:$BV$50,25)</f>
        <v/>
      </c>
      <c r="AY61">
        <f>INDEX($C$50:$BV$50,24)</f>
        <v/>
      </c>
      <c r="AZ61">
        <f>INDEX($C$50:$BV$50,23)</f>
        <v/>
      </c>
      <c r="BA61">
        <f>INDEX($C$50:$BV$50,22)</f>
        <v/>
      </c>
      <c r="BB61">
        <f>INDEX($C$50:$BV$50,21)</f>
        <v/>
      </c>
      <c r="BC61">
        <f>INDEX($C$50:$BV$50,20)</f>
        <v/>
      </c>
      <c r="BD61">
        <f>INDEX($C$50:$BV$50,19)</f>
        <v/>
      </c>
      <c r="BE61">
        <f>INDEX($C$50:$BV$50,18)</f>
        <v/>
      </c>
      <c r="BF61">
        <f>INDEX($C$50:$BV$50,17)</f>
        <v/>
      </c>
      <c r="BG61">
        <f>INDEX($C$50:$BV$50,16)</f>
        <v/>
      </c>
      <c r="BH61">
        <f>INDEX($C$50:$BV$50,15)</f>
        <v/>
      </c>
      <c r="BI61">
        <f>INDEX($C$50:$BV$50,14)</f>
        <v/>
      </c>
      <c r="BJ61">
        <f>INDEX($C$50:$BV$50,13)</f>
        <v/>
      </c>
      <c r="BK61">
        <f>INDEX($C$50:$BV$50,12)</f>
        <v/>
      </c>
      <c r="BL61">
        <f>INDEX($C$50:$BV$50,11)</f>
        <v/>
      </c>
      <c r="BM61">
        <f>INDEX($C$50:$BV$50,10)</f>
        <v/>
      </c>
      <c r="BN61">
        <f>INDEX($C$50:$BV$50,9)</f>
        <v/>
      </c>
      <c r="BO61">
        <f>INDEX($C$50:$BV$50,8)</f>
        <v/>
      </c>
      <c r="BP61">
        <f>INDEX($C$50:$BV$50,7)</f>
        <v/>
      </c>
      <c r="BQ61">
        <f>INDEX($C$50:$BV$50,6)</f>
        <v/>
      </c>
      <c r="BR61">
        <f>INDEX($C$50:$BV$50,5)</f>
        <v/>
      </c>
      <c r="BS61">
        <f>INDEX($C$50:$BV$50,4)</f>
        <v/>
      </c>
      <c r="BT61">
        <f>INDEX($C$50:$BV$50,3)</f>
        <v/>
      </c>
      <c r="BU61">
        <f>INDEX($C$50:$BV$50,2)</f>
        <v/>
      </c>
      <c r="BV61">
        <f>INDEX($C$50:$BV$50,1)</f>
        <v/>
      </c>
    </row>
    <row r="62">
      <c r="A62" t="inlineStr">
        <is>
          <t>S_ANNUAL@2 reversed</t>
        </is>
      </c>
      <c r="C62">
        <f>INDEX($C$51:$BV$51,72)</f>
        <v/>
      </c>
      <c r="D62">
        <f>INDEX($C$51:$BV$51,71)</f>
        <v/>
      </c>
      <c r="E62">
        <f>INDEX($C$51:$BV$51,70)</f>
        <v/>
      </c>
      <c r="F62">
        <f>INDEX($C$51:$BV$51,69)</f>
        <v/>
      </c>
      <c r="G62">
        <f>INDEX($C$51:$BV$51,68)</f>
        <v/>
      </c>
      <c r="H62">
        <f>INDEX($C$51:$BV$51,67)</f>
        <v/>
      </c>
      <c r="I62">
        <f>INDEX($C$51:$BV$51,66)</f>
        <v/>
      </c>
      <c r="J62">
        <f>INDEX($C$51:$BV$51,65)</f>
        <v/>
      </c>
      <c r="K62">
        <f>INDEX($C$51:$BV$51,64)</f>
        <v/>
      </c>
      <c r="L62">
        <f>INDEX($C$51:$BV$51,63)</f>
        <v/>
      </c>
      <c r="M62">
        <f>INDEX($C$51:$BV$51,62)</f>
        <v/>
      </c>
      <c r="N62">
        <f>INDEX($C$51:$BV$51,61)</f>
        <v/>
      </c>
      <c r="O62">
        <f>INDEX($C$51:$BV$51,60)</f>
        <v/>
      </c>
      <c r="P62">
        <f>INDEX($C$51:$BV$51,59)</f>
        <v/>
      </c>
      <c r="Q62">
        <f>INDEX($C$51:$BV$51,58)</f>
        <v/>
      </c>
      <c r="R62">
        <f>INDEX($C$51:$BV$51,57)</f>
        <v/>
      </c>
      <c r="S62">
        <f>INDEX($C$51:$BV$51,56)</f>
        <v/>
      </c>
      <c r="T62">
        <f>INDEX($C$51:$BV$51,55)</f>
        <v/>
      </c>
      <c r="U62">
        <f>INDEX($C$51:$BV$51,54)</f>
        <v/>
      </c>
      <c r="V62">
        <f>INDEX($C$51:$BV$51,53)</f>
        <v/>
      </c>
      <c r="W62">
        <f>INDEX($C$51:$BV$51,52)</f>
        <v/>
      </c>
      <c r="X62">
        <f>INDEX($C$51:$BV$51,51)</f>
        <v/>
      </c>
      <c r="Y62">
        <f>INDEX($C$51:$BV$51,50)</f>
        <v/>
      </c>
      <c r="Z62">
        <f>INDEX($C$51:$BV$51,49)</f>
        <v/>
      </c>
      <c r="AA62">
        <f>INDEX($C$51:$BV$51,48)</f>
        <v/>
      </c>
      <c r="AB62">
        <f>INDEX($C$51:$BV$51,47)</f>
        <v/>
      </c>
      <c r="AC62">
        <f>INDEX($C$51:$BV$51,46)</f>
        <v/>
      </c>
      <c r="AD62">
        <f>INDEX($C$51:$BV$51,45)</f>
        <v/>
      </c>
      <c r="AE62">
        <f>INDEX($C$51:$BV$51,44)</f>
        <v/>
      </c>
      <c r="AF62">
        <f>INDEX($C$51:$BV$51,43)</f>
        <v/>
      </c>
      <c r="AG62">
        <f>INDEX($C$51:$BV$51,42)</f>
        <v/>
      </c>
      <c r="AH62">
        <f>INDEX($C$51:$BV$51,41)</f>
        <v/>
      </c>
      <c r="AI62">
        <f>INDEX($C$51:$BV$51,40)</f>
        <v/>
      </c>
      <c r="AJ62">
        <f>INDEX($C$51:$BV$51,39)</f>
        <v/>
      </c>
      <c r="AK62">
        <f>INDEX($C$51:$BV$51,38)</f>
        <v/>
      </c>
      <c r="AL62">
        <f>INDEX($C$51:$BV$51,37)</f>
        <v/>
      </c>
      <c r="AM62">
        <f>INDEX($C$51:$BV$51,36)</f>
        <v/>
      </c>
      <c r="AN62">
        <f>INDEX($C$51:$BV$51,35)</f>
        <v/>
      </c>
      <c r="AO62">
        <f>INDEX($C$51:$BV$51,34)</f>
        <v/>
      </c>
      <c r="AP62">
        <f>INDEX($C$51:$BV$51,33)</f>
        <v/>
      </c>
      <c r="AQ62">
        <f>INDEX($C$51:$BV$51,32)</f>
        <v/>
      </c>
      <c r="AR62">
        <f>INDEX($C$51:$BV$51,31)</f>
        <v/>
      </c>
      <c r="AS62">
        <f>INDEX($C$51:$BV$51,30)</f>
        <v/>
      </c>
      <c r="AT62">
        <f>INDEX($C$51:$BV$51,29)</f>
        <v/>
      </c>
      <c r="AU62">
        <f>INDEX($C$51:$BV$51,28)</f>
        <v/>
      </c>
      <c r="AV62">
        <f>INDEX($C$51:$BV$51,27)</f>
        <v/>
      </c>
      <c r="AW62">
        <f>INDEX($C$51:$BV$51,26)</f>
        <v/>
      </c>
      <c r="AX62">
        <f>INDEX($C$51:$BV$51,25)</f>
        <v/>
      </c>
      <c r="AY62">
        <f>INDEX($C$51:$BV$51,24)</f>
        <v/>
      </c>
      <c r="AZ62">
        <f>INDEX($C$51:$BV$51,23)</f>
        <v/>
      </c>
      <c r="BA62">
        <f>INDEX($C$51:$BV$51,22)</f>
        <v/>
      </c>
      <c r="BB62">
        <f>INDEX($C$51:$BV$51,21)</f>
        <v/>
      </c>
      <c r="BC62">
        <f>INDEX($C$51:$BV$51,20)</f>
        <v/>
      </c>
      <c r="BD62">
        <f>INDEX($C$51:$BV$51,19)</f>
        <v/>
      </c>
      <c r="BE62">
        <f>INDEX($C$51:$BV$51,18)</f>
        <v/>
      </c>
      <c r="BF62">
        <f>INDEX($C$51:$BV$51,17)</f>
        <v/>
      </c>
      <c r="BG62">
        <f>INDEX($C$51:$BV$51,16)</f>
        <v/>
      </c>
      <c r="BH62">
        <f>INDEX($C$51:$BV$51,15)</f>
        <v/>
      </c>
      <c r="BI62">
        <f>INDEX($C$51:$BV$51,14)</f>
        <v/>
      </c>
      <c r="BJ62">
        <f>INDEX($C$51:$BV$51,13)</f>
        <v/>
      </c>
      <c r="BK62">
        <f>INDEX($C$51:$BV$51,12)</f>
        <v/>
      </c>
      <c r="BL62">
        <f>INDEX($C$51:$BV$51,11)</f>
        <v/>
      </c>
      <c r="BM62">
        <f>INDEX($C$51:$BV$51,10)</f>
        <v/>
      </c>
      <c r="BN62">
        <f>INDEX($C$51:$BV$51,9)</f>
        <v/>
      </c>
      <c r="BO62">
        <f>INDEX($C$51:$BV$51,8)</f>
        <v/>
      </c>
      <c r="BP62">
        <f>INDEX($C$51:$BV$51,7)</f>
        <v/>
      </c>
      <c r="BQ62">
        <f>INDEX($C$51:$BV$51,6)</f>
        <v/>
      </c>
      <c r="BR62">
        <f>INDEX($C$51:$BV$51,5)</f>
        <v/>
      </c>
      <c r="BS62">
        <f>INDEX($C$51:$BV$51,4)</f>
        <v/>
      </c>
      <c r="BT62">
        <f>INDEX($C$51:$BV$51,3)</f>
        <v/>
      </c>
      <c r="BU62">
        <f>INDEX($C$51:$BV$51,2)</f>
        <v/>
      </c>
      <c r="BV62">
        <f>INDEX($C$51:$BV$51,1)</f>
        <v/>
      </c>
    </row>
    <row r="63">
      <c r="A63" t="inlineStr">
        <is>
          <t>D_MONTHLY@2 reversed</t>
        </is>
      </c>
      <c r="C63">
        <f>INDEX($C$52:$BV$52,72)</f>
        <v/>
      </c>
      <c r="D63">
        <f>INDEX($C$52:$BV$52,71)</f>
        <v/>
      </c>
      <c r="E63">
        <f>INDEX($C$52:$BV$52,70)</f>
        <v/>
      </c>
      <c r="F63">
        <f>INDEX($C$52:$BV$52,69)</f>
        <v/>
      </c>
      <c r="G63">
        <f>INDEX($C$52:$BV$52,68)</f>
        <v/>
      </c>
      <c r="H63">
        <f>INDEX($C$52:$BV$52,67)</f>
        <v/>
      </c>
      <c r="I63">
        <f>INDEX($C$52:$BV$52,66)</f>
        <v/>
      </c>
      <c r="J63">
        <f>INDEX($C$52:$BV$52,65)</f>
        <v/>
      </c>
      <c r="K63">
        <f>INDEX($C$52:$BV$52,64)</f>
        <v/>
      </c>
      <c r="L63">
        <f>INDEX($C$52:$BV$52,63)</f>
        <v/>
      </c>
      <c r="M63">
        <f>INDEX($C$52:$BV$52,62)</f>
        <v/>
      </c>
      <c r="N63">
        <f>INDEX($C$52:$BV$52,61)</f>
        <v/>
      </c>
      <c r="O63">
        <f>INDEX($C$52:$BV$52,60)</f>
        <v/>
      </c>
      <c r="P63">
        <f>INDEX($C$52:$BV$52,59)</f>
        <v/>
      </c>
      <c r="Q63">
        <f>INDEX($C$52:$BV$52,58)</f>
        <v/>
      </c>
      <c r="R63">
        <f>INDEX($C$52:$BV$52,57)</f>
        <v/>
      </c>
      <c r="S63">
        <f>INDEX($C$52:$BV$52,56)</f>
        <v/>
      </c>
      <c r="T63">
        <f>INDEX($C$52:$BV$52,55)</f>
        <v/>
      </c>
      <c r="U63">
        <f>INDEX($C$52:$BV$52,54)</f>
        <v/>
      </c>
      <c r="V63">
        <f>INDEX($C$52:$BV$52,53)</f>
        <v/>
      </c>
      <c r="W63">
        <f>INDEX($C$52:$BV$52,52)</f>
        <v/>
      </c>
      <c r="X63">
        <f>INDEX($C$52:$BV$52,51)</f>
        <v/>
      </c>
      <c r="Y63">
        <f>INDEX($C$52:$BV$52,50)</f>
        <v/>
      </c>
      <c r="Z63">
        <f>INDEX($C$52:$BV$52,49)</f>
        <v/>
      </c>
      <c r="AA63">
        <f>INDEX($C$52:$BV$52,48)</f>
        <v/>
      </c>
      <c r="AB63">
        <f>INDEX($C$52:$BV$52,47)</f>
        <v/>
      </c>
      <c r="AC63">
        <f>INDEX($C$52:$BV$52,46)</f>
        <v/>
      </c>
      <c r="AD63">
        <f>INDEX($C$52:$BV$52,45)</f>
        <v/>
      </c>
      <c r="AE63">
        <f>INDEX($C$52:$BV$52,44)</f>
        <v/>
      </c>
      <c r="AF63">
        <f>INDEX($C$52:$BV$52,43)</f>
        <v/>
      </c>
      <c r="AG63">
        <f>INDEX($C$52:$BV$52,42)</f>
        <v/>
      </c>
      <c r="AH63">
        <f>INDEX($C$52:$BV$52,41)</f>
        <v/>
      </c>
      <c r="AI63">
        <f>INDEX($C$52:$BV$52,40)</f>
        <v/>
      </c>
      <c r="AJ63">
        <f>INDEX($C$52:$BV$52,39)</f>
        <v/>
      </c>
      <c r="AK63">
        <f>INDEX($C$52:$BV$52,38)</f>
        <v/>
      </c>
      <c r="AL63">
        <f>INDEX($C$52:$BV$52,37)</f>
        <v/>
      </c>
      <c r="AM63">
        <f>INDEX($C$52:$BV$52,36)</f>
        <v/>
      </c>
      <c r="AN63">
        <f>INDEX($C$52:$BV$52,35)</f>
        <v/>
      </c>
      <c r="AO63">
        <f>INDEX($C$52:$BV$52,34)</f>
        <v/>
      </c>
      <c r="AP63">
        <f>INDEX($C$52:$BV$52,33)</f>
        <v/>
      </c>
      <c r="AQ63">
        <f>INDEX($C$52:$BV$52,32)</f>
        <v/>
      </c>
      <c r="AR63">
        <f>INDEX($C$52:$BV$52,31)</f>
        <v/>
      </c>
      <c r="AS63">
        <f>INDEX($C$52:$BV$52,30)</f>
        <v/>
      </c>
      <c r="AT63">
        <f>INDEX($C$52:$BV$52,29)</f>
        <v/>
      </c>
      <c r="AU63">
        <f>INDEX($C$52:$BV$52,28)</f>
        <v/>
      </c>
      <c r="AV63">
        <f>INDEX($C$52:$BV$52,27)</f>
        <v/>
      </c>
      <c r="AW63">
        <f>INDEX($C$52:$BV$52,26)</f>
        <v/>
      </c>
      <c r="AX63">
        <f>INDEX($C$52:$BV$52,25)</f>
        <v/>
      </c>
      <c r="AY63">
        <f>INDEX($C$52:$BV$52,24)</f>
        <v/>
      </c>
      <c r="AZ63">
        <f>INDEX($C$52:$BV$52,23)</f>
        <v/>
      </c>
      <c r="BA63">
        <f>INDEX($C$52:$BV$52,22)</f>
        <v/>
      </c>
      <c r="BB63">
        <f>INDEX($C$52:$BV$52,21)</f>
        <v/>
      </c>
      <c r="BC63">
        <f>INDEX($C$52:$BV$52,20)</f>
        <v/>
      </c>
      <c r="BD63">
        <f>INDEX($C$52:$BV$52,19)</f>
        <v/>
      </c>
      <c r="BE63">
        <f>INDEX($C$52:$BV$52,18)</f>
        <v/>
      </c>
      <c r="BF63">
        <f>INDEX($C$52:$BV$52,17)</f>
        <v/>
      </c>
      <c r="BG63">
        <f>INDEX($C$52:$BV$52,16)</f>
        <v/>
      </c>
      <c r="BH63">
        <f>INDEX($C$52:$BV$52,15)</f>
        <v/>
      </c>
      <c r="BI63">
        <f>INDEX($C$52:$BV$52,14)</f>
        <v/>
      </c>
      <c r="BJ63">
        <f>INDEX($C$52:$BV$52,13)</f>
        <v/>
      </c>
      <c r="BK63">
        <f>INDEX($C$52:$BV$52,12)</f>
        <v/>
      </c>
      <c r="BL63">
        <f>INDEX($C$52:$BV$52,11)</f>
        <v/>
      </c>
      <c r="BM63">
        <f>INDEX($C$52:$BV$52,10)</f>
        <v/>
      </c>
      <c r="BN63">
        <f>INDEX($C$52:$BV$52,9)</f>
        <v/>
      </c>
      <c r="BO63">
        <f>INDEX($C$52:$BV$52,8)</f>
        <v/>
      </c>
      <c r="BP63">
        <f>INDEX($C$52:$BV$52,7)</f>
        <v/>
      </c>
      <c r="BQ63">
        <f>INDEX($C$52:$BV$52,6)</f>
        <v/>
      </c>
      <c r="BR63">
        <f>INDEX($C$52:$BV$52,5)</f>
        <v/>
      </c>
      <c r="BS63">
        <f>INDEX($C$52:$BV$52,4)</f>
        <v/>
      </c>
      <c r="BT63">
        <f>INDEX($C$52:$BV$52,3)</f>
        <v/>
      </c>
      <c r="BU63">
        <f>INDEX($C$52:$BV$52,2)</f>
        <v/>
      </c>
      <c r="BV63">
        <f>INDEX($C$52:$BV$52,1)</f>
        <v/>
      </c>
    </row>
    <row r="64">
      <c r="A64" t="inlineStr">
        <is>
          <t>D_ANNUAL@2 reversed</t>
        </is>
      </c>
      <c r="C64">
        <f>INDEX($C$53:$BV$53,72)</f>
        <v/>
      </c>
      <c r="D64">
        <f>INDEX($C$53:$BV$53,71)</f>
        <v/>
      </c>
      <c r="E64">
        <f>INDEX($C$53:$BV$53,70)</f>
        <v/>
      </c>
      <c r="F64">
        <f>INDEX($C$53:$BV$53,69)</f>
        <v/>
      </c>
      <c r="G64">
        <f>INDEX($C$53:$BV$53,68)</f>
        <v/>
      </c>
      <c r="H64">
        <f>INDEX($C$53:$BV$53,67)</f>
        <v/>
      </c>
      <c r="I64">
        <f>INDEX($C$53:$BV$53,66)</f>
        <v/>
      </c>
      <c r="J64">
        <f>INDEX($C$53:$BV$53,65)</f>
        <v/>
      </c>
      <c r="K64">
        <f>INDEX($C$53:$BV$53,64)</f>
        <v/>
      </c>
      <c r="L64">
        <f>INDEX($C$53:$BV$53,63)</f>
        <v/>
      </c>
      <c r="M64">
        <f>INDEX($C$53:$BV$53,62)</f>
        <v/>
      </c>
      <c r="N64">
        <f>INDEX($C$53:$BV$53,61)</f>
        <v/>
      </c>
      <c r="O64">
        <f>INDEX($C$53:$BV$53,60)</f>
        <v/>
      </c>
      <c r="P64">
        <f>INDEX($C$53:$BV$53,59)</f>
        <v/>
      </c>
      <c r="Q64">
        <f>INDEX($C$53:$BV$53,58)</f>
        <v/>
      </c>
      <c r="R64">
        <f>INDEX($C$53:$BV$53,57)</f>
        <v/>
      </c>
      <c r="S64">
        <f>INDEX($C$53:$BV$53,56)</f>
        <v/>
      </c>
      <c r="T64">
        <f>INDEX($C$53:$BV$53,55)</f>
        <v/>
      </c>
      <c r="U64">
        <f>INDEX($C$53:$BV$53,54)</f>
        <v/>
      </c>
      <c r="V64">
        <f>INDEX($C$53:$BV$53,53)</f>
        <v/>
      </c>
      <c r="W64">
        <f>INDEX($C$53:$BV$53,52)</f>
        <v/>
      </c>
      <c r="X64">
        <f>INDEX($C$53:$BV$53,51)</f>
        <v/>
      </c>
      <c r="Y64">
        <f>INDEX($C$53:$BV$53,50)</f>
        <v/>
      </c>
      <c r="Z64">
        <f>INDEX($C$53:$BV$53,49)</f>
        <v/>
      </c>
      <c r="AA64">
        <f>INDEX($C$53:$BV$53,48)</f>
        <v/>
      </c>
      <c r="AB64">
        <f>INDEX($C$53:$BV$53,47)</f>
        <v/>
      </c>
      <c r="AC64">
        <f>INDEX($C$53:$BV$53,46)</f>
        <v/>
      </c>
      <c r="AD64">
        <f>INDEX($C$53:$BV$53,45)</f>
        <v/>
      </c>
      <c r="AE64">
        <f>INDEX($C$53:$BV$53,44)</f>
        <v/>
      </c>
      <c r="AF64">
        <f>INDEX($C$53:$BV$53,43)</f>
        <v/>
      </c>
      <c r="AG64">
        <f>INDEX($C$53:$BV$53,42)</f>
        <v/>
      </c>
      <c r="AH64">
        <f>INDEX($C$53:$BV$53,41)</f>
        <v/>
      </c>
      <c r="AI64">
        <f>INDEX($C$53:$BV$53,40)</f>
        <v/>
      </c>
      <c r="AJ64">
        <f>INDEX($C$53:$BV$53,39)</f>
        <v/>
      </c>
      <c r="AK64">
        <f>INDEX($C$53:$BV$53,38)</f>
        <v/>
      </c>
      <c r="AL64">
        <f>INDEX($C$53:$BV$53,37)</f>
        <v/>
      </c>
      <c r="AM64">
        <f>INDEX($C$53:$BV$53,36)</f>
        <v/>
      </c>
      <c r="AN64">
        <f>INDEX($C$53:$BV$53,35)</f>
        <v/>
      </c>
      <c r="AO64">
        <f>INDEX($C$53:$BV$53,34)</f>
        <v/>
      </c>
      <c r="AP64">
        <f>INDEX($C$53:$BV$53,33)</f>
        <v/>
      </c>
      <c r="AQ64">
        <f>INDEX($C$53:$BV$53,32)</f>
        <v/>
      </c>
      <c r="AR64">
        <f>INDEX($C$53:$BV$53,31)</f>
        <v/>
      </c>
      <c r="AS64">
        <f>INDEX($C$53:$BV$53,30)</f>
        <v/>
      </c>
      <c r="AT64">
        <f>INDEX($C$53:$BV$53,29)</f>
        <v/>
      </c>
      <c r="AU64">
        <f>INDEX($C$53:$BV$53,28)</f>
        <v/>
      </c>
      <c r="AV64">
        <f>INDEX($C$53:$BV$53,27)</f>
        <v/>
      </c>
      <c r="AW64">
        <f>INDEX($C$53:$BV$53,26)</f>
        <v/>
      </c>
      <c r="AX64">
        <f>INDEX($C$53:$BV$53,25)</f>
        <v/>
      </c>
      <c r="AY64">
        <f>INDEX($C$53:$BV$53,24)</f>
        <v/>
      </c>
      <c r="AZ64">
        <f>INDEX($C$53:$BV$53,23)</f>
        <v/>
      </c>
      <c r="BA64">
        <f>INDEX($C$53:$BV$53,22)</f>
        <v/>
      </c>
      <c r="BB64">
        <f>INDEX($C$53:$BV$53,21)</f>
        <v/>
      </c>
      <c r="BC64">
        <f>INDEX($C$53:$BV$53,20)</f>
        <v/>
      </c>
      <c r="BD64">
        <f>INDEX($C$53:$BV$53,19)</f>
        <v/>
      </c>
      <c r="BE64">
        <f>INDEX($C$53:$BV$53,18)</f>
        <v/>
      </c>
      <c r="BF64">
        <f>INDEX($C$53:$BV$53,17)</f>
        <v/>
      </c>
      <c r="BG64">
        <f>INDEX($C$53:$BV$53,16)</f>
        <v/>
      </c>
      <c r="BH64">
        <f>INDEX($C$53:$BV$53,15)</f>
        <v/>
      </c>
      <c r="BI64">
        <f>INDEX($C$53:$BV$53,14)</f>
        <v/>
      </c>
      <c r="BJ64">
        <f>INDEX($C$53:$BV$53,13)</f>
        <v/>
      </c>
      <c r="BK64">
        <f>INDEX($C$53:$BV$53,12)</f>
        <v/>
      </c>
      <c r="BL64">
        <f>INDEX($C$53:$BV$53,11)</f>
        <v/>
      </c>
      <c r="BM64">
        <f>INDEX($C$53:$BV$53,10)</f>
        <v/>
      </c>
      <c r="BN64">
        <f>INDEX($C$53:$BV$53,9)</f>
        <v/>
      </c>
      <c r="BO64">
        <f>INDEX($C$53:$BV$53,8)</f>
        <v/>
      </c>
      <c r="BP64">
        <f>INDEX($C$53:$BV$53,7)</f>
        <v/>
      </c>
      <c r="BQ64">
        <f>INDEX($C$53:$BV$53,6)</f>
        <v/>
      </c>
      <c r="BR64">
        <f>INDEX($C$53:$BV$53,5)</f>
        <v/>
      </c>
      <c r="BS64">
        <f>INDEX($C$53:$BV$53,4)</f>
        <v/>
      </c>
      <c r="BT64">
        <f>INDEX($C$53:$BV$53,3)</f>
        <v/>
      </c>
      <c r="BU64">
        <f>INDEX($C$53:$BV$53,2)</f>
        <v/>
      </c>
      <c r="BV64">
        <f>INDEX($C$53:$BV$53,1)</f>
        <v/>
      </c>
    </row>
    <row r="65">
      <c r="A65" t="inlineStr">
        <is>
          <t>S_REACT@2 reversed</t>
        </is>
      </c>
      <c r="C65">
        <f>INDEX($C$54:$BV$54,72)</f>
        <v/>
      </c>
      <c r="D65">
        <f>INDEX($C$54:$BV$54,71)</f>
        <v/>
      </c>
      <c r="E65">
        <f>INDEX($C$54:$BV$54,70)</f>
        <v/>
      </c>
      <c r="F65">
        <f>INDEX($C$54:$BV$54,69)</f>
        <v/>
      </c>
      <c r="G65">
        <f>INDEX($C$54:$BV$54,68)</f>
        <v/>
      </c>
      <c r="H65">
        <f>INDEX($C$54:$BV$54,67)</f>
        <v/>
      </c>
      <c r="I65">
        <f>INDEX($C$54:$BV$54,66)</f>
        <v/>
      </c>
      <c r="J65">
        <f>INDEX($C$54:$BV$54,65)</f>
        <v/>
      </c>
      <c r="K65">
        <f>INDEX($C$54:$BV$54,64)</f>
        <v/>
      </c>
      <c r="L65">
        <f>INDEX($C$54:$BV$54,63)</f>
        <v/>
      </c>
      <c r="M65">
        <f>INDEX($C$54:$BV$54,62)</f>
        <v/>
      </c>
      <c r="N65">
        <f>INDEX($C$54:$BV$54,61)</f>
        <v/>
      </c>
      <c r="O65">
        <f>INDEX($C$54:$BV$54,60)</f>
        <v/>
      </c>
      <c r="P65">
        <f>INDEX($C$54:$BV$54,59)</f>
        <v/>
      </c>
      <c r="Q65">
        <f>INDEX($C$54:$BV$54,58)</f>
        <v/>
      </c>
      <c r="R65">
        <f>INDEX($C$54:$BV$54,57)</f>
        <v/>
      </c>
      <c r="S65">
        <f>INDEX($C$54:$BV$54,56)</f>
        <v/>
      </c>
      <c r="T65">
        <f>INDEX($C$54:$BV$54,55)</f>
        <v/>
      </c>
      <c r="U65">
        <f>INDEX($C$54:$BV$54,54)</f>
        <v/>
      </c>
      <c r="V65">
        <f>INDEX($C$54:$BV$54,53)</f>
        <v/>
      </c>
      <c r="W65">
        <f>INDEX($C$54:$BV$54,52)</f>
        <v/>
      </c>
      <c r="X65">
        <f>INDEX($C$54:$BV$54,51)</f>
        <v/>
      </c>
      <c r="Y65">
        <f>INDEX($C$54:$BV$54,50)</f>
        <v/>
      </c>
      <c r="Z65">
        <f>INDEX($C$54:$BV$54,49)</f>
        <v/>
      </c>
      <c r="AA65">
        <f>INDEX($C$54:$BV$54,48)</f>
        <v/>
      </c>
      <c r="AB65">
        <f>INDEX($C$54:$BV$54,47)</f>
        <v/>
      </c>
      <c r="AC65">
        <f>INDEX($C$54:$BV$54,46)</f>
        <v/>
      </c>
      <c r="AD65">
        <f>INDEX($C$54:$BV$54,45)</f>
        <v/>
      </c>
      <c r="AE65">
        <f>INDEX($C$54:$BV$54,44)</f>
        <v/>
      </c>
      <c r="AF65">
        <f>INDEX($C$54:$BV$54,43)</f>
        <v/>
      </c>
      <c r="AG65">
        <f>INDEX($C$54:$BV$54,42)</f>
        <v/>
      </c>
      <c r="AH65">
        <f>INDEX($C$54:$BV$54,41)</f>
        <v/>
      </c>
      <c r="AI65">
        <f>INDEX($C$54:$BV$54,40)</f>
        <v/>
      </c>
      <c r="AJ65">
        <f>INDEX($C$54:$BV$54,39)</f>
        <v/>
      </c>
      <c r="AK65">
        <f>INDEX($C$54:$BV$54,38)</f>
        <v/>
      </c>
      <c r="AL65">
        <f>INDEX($C$54:$BV$54,37)</f>
        <v/>
      </c>
      <c r="AM65">
        <f>INDEX($C$54:$BV$54,36)</f>
        <v/>
      </c>
      <c r="AN65">
        <f>INDEX($C$54:$BV$54,35)</f>
        <v/>
      </c>
      <c r="AO65">
        <f>INDEX($C$54:$BV$54,34)</f>
        <v/>
      </c>
      <c r="AP65">
        <f>INDEX($C$54:$BV$54,33)</f>
        <v/>
      </c>
      <c r="AQ65">
        <f>INDEX($C$54:$BV$54,32)</f>
        <v/>
      </c>
      <c r="AR65">
        <f>INDEX($C$54:$BV$54,31)</f>
        <v/>
      </c>
      <c r="AS65">
        <f>INDEX($C$54:$BV$54,30)</f>
        <v/>
      </c>
      <c r="AT65">
        <f>INDEX($C$54:$BV$54,29)</f>
        <v/>
      </c>
      <c r="AU65">
        <f>INDEX($C$54:$BV$54,28)</f>
        <v/>
      </c>
      <c r="AV65">
        <f>INDEX($C$54:$BV$54,27)</f>
        <v/>
      </c>
      <c r="AW65">
        <f>INDEX($C$54:$BV$54,26)</f>
        <v/>
      </c>
      <c r="AX65">
        <f>INDEX($C$54:$BV$54,25)</f>
        <v/>
      </c>
      <c r="AY65">
        <f>INDEX($C$54:$BV$54,24)</f>
        <v/>
      </c>
      <c r="AZ65">
        <f>INDEX($C$54:$BV$54,23)</f>
        <v/>
      </c>
      <c r="BA65">
        <f>INDEX($C$54:$BV$54,22)</f>
        <v/>
      </c>
      <c r="BB65">
        <f>INDEX($C$54:$BV$54,21)</f>
        <v/>
      </c>
      <c r="BC65">
        <f>INDEX($C$54:$BV$54,20)</f>
        <v/>
      </c>
      <c r="BD65">
        <f>INDEX($C$54:$BV$54,19)</f>
        <v/>
      </c>
      <c r="BE65">
        <f>INDEX($C$54:$BV$54,18)</f>
        <v/>
      </c>
      <c r="BF65">
        <f>INDEX($C$54:$BV$54,17)</f>
        <v/>
      </c>
      <c r="BG65">
        <f>INDEX($C$54:$BV$54,16)</f>
        <v/>
      </c>
      <c r="BH65">
        <f>INDEX($C$54:$BV$54,15)</f>
        <v/>
      </c>
      <c r="BI65">
        <f>INDEX($C$54:$BV$54,14)</f>
        <v/>
      </c>
      <c r="BJ65">
        <f>INDEX($C$54:$BV$54,13)</f>
        <v/>
      </c>
      <c r="BK65">
        <f>INDEX($C$54:$BV$54,12)</f>
        <v/>
      </c>
      <c r="BL65">
        <f>INDEX($C$54:$BV$54,11)</f>
        <v/>
      </c>
      <c r="BM65">
        <f>INDEX($C$54:$BV$54,10)</f>
        <v/>
      </c>
      <c r="BN65">
        <f>INDEX($C$54:$BV$54,9)</f>
        <v/>
      </c>
      <c r="BO65">
        <f>INDEX($C$54:$BV$54,8)</f>
        <v/>
      </c>
      <c r="BP65">
        <f>INDEX($C$54:$BV$54,7)</f>
        <v/>
      </c>
      <c r="BQ65">
        <f>INDEX($C$54:$BV$54,6)</f>
        <v/>
      </c>
      <c r="BR65">
        <f>INDEX($C$54:$BV$54,5)</f>
        <v/>
      </c>
      <c r="BS65">
        <f>INDEX($C$54:$BV$54,4)</f>
        <v/>
      </c>
      <c r="BT65">
        <f>INDEX($C$54:$BV$54,3)</f>
        <v/>
      </c>
      <c r="BU65">
        <f>INDEX($C$54:$BV$54,2)</f>
        <v/>
      </c>
      <c r="BV65">
        <f>INDEX($C$54:$BV$54,1)</f>
        <v/>
      </c>
    </row>
    <row r="66">
      <c r="A66" t="inlineStr">
        <is>
          <t>D_REACT@2 reversed</t>
        </is>
      </c>
      <c r="C66">
        <f>INDEX($C$55:$BV$55,72)</f>
        <v/>
      </c>
      <c r="D66">
        <f>INDEX($C$55:$BV$55,71)</f>
        <v/>
      </c>
      <c r="E66">
        <f>INDEX($C$55:$BV$55,70)</f>
        <v/>
      </c>
      <c r="F66">
        <f>INDEX($C$55:$BV$55,69)</f>
        <v/>
      </c>
      <c r="G66">
        <f>INDEX($C$55:$BV$55,68)</f>
        <v/>
      </c>
      <c r="H66">
        <f>INDEX($C$55:$BV$55,67)</f>
        <v/>
      </c>
      <c r="I66">
        <f>INDEX($C$55:$BV$55,66)</f>
        <v/>
      </c>
      <c r="J66">
        <f>INDEX($C$55:$BV$55,65)</f>
        <v/>
      </c>
      <c r="K66">
        <f>INDEX($C$55:$BV$55,64)</f>
        <v/>
      </c>
      <c r="L66">
        <f>INDEX($C$55:$BV$55,63)</f>
        <v/>
      </c>
      <c r="M66">
        <f>INDEX($C$55:$BV$55,62)</f>
        <v/>
      </c>
      <c r="N66">
        <f>INDEX($C$55:$BV$55,61)</f>
        <v/>
      </c>
      <c r="O66">
        <f>INDEX($C$55:$BV$55,60)</f>
        <v/>
      </c>
      <c r="P66">
        <f>INDEX($C$55:$BV$55,59)</f>
        <v/>
      </c>
      <c r="Q66">
        <f>INDEX($C$55:$BV$55,58)</f>
        <v/>
      </c>
      <c r="R66">
        <f>INDEX($C$55:$BV$55,57)</f>
        <v/>
      </c>
      <c r="S66">
        <f>INDEX($C$55:$BV$55,56)</f>
        <v/>
      </c>
      <c r="T66">
        <f>INDEX($C$55:$BV$55,55)</f>
        <v/>
      </c>
      <c r="U66">
        <f>INDEX($C$55:$BV$55,54)</f>
        <v/>
      </c>
      <c r="V66">
        <f>INDEX($C$55:$BV$55,53)</f>
        <v/>
      </c>
      <c r="W66">
        <f>INDEX($C$55:$BV$55,52)</f>
        <v/>
      </c>
      <c r="X66">
        <f>INDEX($C$55:$BV$55,51)</f>
        <v/>
      </c>
      <c r="Y66">
        <f>INDEX($C$55:$BV$55,50)</f>
        <v/>
      </c>
      <c r="Z66">
        <f>INDEX($C$55:$BV$55,49)</f>
        <v/>
      </c>
      <c r="AA66">
        <f>INDEX($C$55:$BV$55,48)</f>
        <v/>
      </c>
      <c r="AB66">
        <f>INDEX($C$55:$BV$55,47)</f>
        <v/>
      </c>
      <c r="AC66">
        <f>INDEX($C$55:$BV$55,46)</f>
        <v/>
      </c>
      <c r="AD66">
        <f>INDEX($C$55:$BV$55,45)</f>
        <v/>
      </c>
      <c r="AE66">
        <f>INDEX($C$55:$BV$55,44)</f>
        <v/>
      </c>
      <c r="AF66">
        <f>INDEX($C$55:$BV$55,43)</f>
        <v/>
      </c>
      <c r="AG66">
        <f>INDEX($C$55:$BV$55,42)</f>
        <v/>
      </c>
      <c r="AH66">
        <f>INDEX($C$55:$BV$55,41)</f>
        <v/>
      </c>
      <c r="AI66">
        <f>INDEX($C$55:$BV$55,40)</f>
        <v/>
      </c>
      <c r="AJ66">
        <f>INDEX($C$55:$BV$55,39)</f>
        <v/>
      </c>
      <c r="AK66">
        <f>INDEX($C$55:$BV$55,38)</f>
        <v/>
      </c>
      <c r="AL66">
        <f>INDEX($C$55:$BV$55,37)</f>
        <v/>
      </c>
      <c r="AM66">
        <f>INDEX($C$55:$BV$55,36)</f>
        <v/>
      </c>
      <c r="AN66">
        <f>INDEX($C$55:$BV$55,35)</f>
        <v/>
      </c>
      <c r="AO66">
        <f>INDEX($C$55:$BV$55,34)</f>
        <v/>
      </c>
      <c r="AP66">
        <f>INDEX($C$55:$BV$55,33)</f>
        <v/>
      </c>
      <c r="AQ66">
        <f>INDEX($C$55:$BV$55,32)</f>
        <v/>
      </c>
      <c r="AR66">
        <f>INDEX($C$55:$BV$55,31)</f>
        <v/>
      </c>
      <c r="AS66">
        <f>INDEX($C$55:$BV$55,30)</f>
        <v/>
      </c>
      <c r="AT66">
        <f>INDEX($C$55:$BV$55,29)</f>
        <v/>
      </c>
      <c r="AU66">
        <f>INDEX($C$55:$BV$55,28)</f>
        <v/>
      </c>
      <c r="AV66">
        <f>INDEX($C$55:$BV$55,27)</f>
        <v/>
      </c>
      <c r="AW66">
        <f>INDEX($C$55:$BV$55,26)</f>
        <v/>
      </c>
      <c r="AX66">
        <f>INDEX($C$55:$BV$55,25)</f>
        <v/>
      </c>
      <c r="AY66">
        <f>INDEX($C$55:$BV$55,24)</f>
        <v/>
      </c>
      <c r="AZ66">
        <f>INDEX($C$55:$BV$55,23)</f>
        <v/>
      </c>
      <c r="BA66">
        <f>INDEX($C$55:$BV$55,22)</f>
        <v/>
      </c>
      <c r="BB66">
        <f>INDEX($C$55:$BV$55,21)</f>
        <v/>
      </c>
      <c r="BC66">
        <f>INDEX($C$55:$BV$55,20)</f>
        <v/>
      </c>
      <c r="BD66">
        <f>INDEX($C$55:$BV$55,19)</f>
        <v/>
      </c>
      <c r="BE66">
        <f>INDEX($C$55:$BV$55,18)</f>
        <v/>
      </c>
      <c r="BF66">
        <f>INDEX($C$55:$BV$55,17)</f>
        <v/>
      </c>
      <c r="BG66">
        <f>INDEX($C$55:$BV$55,16)</f>
        <v/>
      </c>
      <c r="BH66">
        <f>INDEX($C$55:$BV$55,15)</f>
        <v/>
      </c>
      <c r="BI66">
        <f>INDEX($C$55:$BV$55,14)</f>
        <v/>
      </c>
      <c r="BJ66">
        <f>INDEX($C$55:$BV$55,13)</f>
        <v/>
      </c>
      <c r="BK66">
        <f>INDEX($C$55:$BV$55,12)</f>
        <v/>
      </c>
      <c r="BL66">
        <f>INDEX($C$55:$BV$55,11)</f>
        <v/>
      </c>
      <c r="BM66">
        <f>INDEX($C$55:$BV$55,10)</f>
        <v/>
      </c>
      <c r="BN66">
        <f>INDEX($C$55:$BV$55,9)</f>
        <v/>
      </c>
      <c r="BO66">
        <f>INDEX($C$55:$BV$55,8)</f>
        <v/>
      </c>
      <c r="BP66">
        <f>INDEX($C$55:$BV$55,7)</f>
        <v/>
      </c>
      <c r="BQ66">
        <f>INDEX($C$55:$BV$55,6)</f>
        <v/>
      </c>
      <c r="BR66">
        <f>INDEX($C$55:$BV$55,5)</f>
        <v/>
      </c>
      <c r="BS66">
        <f>INDEX($C$55:$BV$55,4)</f>
        <v/>
      </c>
      <c r="BT66">
        <f>INDEX($C$55:$BV$55,3)</f>
        <v/>
      </c>
      <c r="BU66">
        <f>INDEX($C$55:$BV$55,2)</f>
        <v/>
      </c>
      <c r="BV66">
        <f>INDEX($C$55:$BV$55,1)</f>
        <v/>
      </c>
    </row>
    <row r="67">
      <c r="A67" t="inlineStr">
        <is>
          <t>K_REACT@2 reversed</t>
        </is>
      </c>
      <c r="C67">
        <f>INDEX($C$56:$BV$56,72)</f>
        <v/>
      </c>
      <c r="D67">
        <f>INDEX($C$56:$BV$56,71)</f>
        <v/>
      </c>
      <c r="E67">
        <f>INDEX($C$56:$BV$56,70)</f>
        <v/>
      </c>
      <c r="F67">
        <f>INDEX($C$56:$BV$56,69)</f>
        <v/>
      </c>
      <c r="G67">
        <f>INDEX($C$56:$BV$56,68)</f>
        <v/>
      </c>
      <c r="H67">
        <f>INDEX($C$56:$BV$56,67)</f>
        <v/>
      </c>
      <c r="I67">
        <f>INDEX($C$56:$BV$56,66)</f>
        <v/>
      </c>
      <c r="J67">
        <f>INDEX($C$56:$BV$56,65)</f>
        <v/>
      </c>
      <c r="K67">
        <f>INDEX($C$56:$BV$56,64)</f>
        <v/>
      </c>
      <c r="L67">
        <f>INDEX($C$56:$BV$56,63)</f>
        <v/>
      </c>
      <c r="M67">
        <f>INDEX($C$56:$BV$56,62)</f>
        <v/>
      </c>
      <c r="N67">
        <f>INDEX($C$56:$BV$56,61)</f>
        <v/>
      </c>
      <c r="O67">
        <f>INDEX($C$56:$BV$56,60)</f>
        <v/>
      </c>
      <c r="P67">
        <f>INDEX($C$56:$BV$56,59)</f>
        <v/>
      </c>
      <c r="Q67">
        <f>INDEX($C$56:$BV$56,58)</f>
        <v/>
      </c>
      <c r="R67">
        <f>INDEX($C$56:$BV$56,57)</f>
        <v/>
      </c>
      <c r="S67">
        <f>INDEX($C$56:$BV$56,56)</f>
        <v/>
      </c>
      <c r="T67">
        <f>INDEX($C$56:$BV$56,55)</f>
        <v/>
      </c>
      <c r="U67">
        <f>INDEX($C$56:$BV$56,54)</f>
        <v/>
      </c>
      <c r="V67">
        <f>INDEX($C$56:$BV$56,53)</f>
        <v/>
      </c>
      <c r="W67">
        <f>INDEX($C$56:$BV$56,52)</f>
        <v/>
      </c>
      <c r="X67">
        <f>INDEX($C$56:$BV$56,51)</f>
        <v/>
      </c>
      <c r="Y67">
        <f>INDEX($C$56:$BV$56,50)</f>
        <v/>
      </c>
      <c r="Z67">
        <f>INDEX($C$56:$BV$56,49)</f>
        <v/>
      </c>
      <c r="AA67">
        <f>INDEX($C$56:$BV$56,48)</f>
        <v/>
      </c>
      <c r="AB67">
        <f>INDEX($C$56:$BV$56,47)</f>
        <v/>
      </c>
      <c r="AC67">
        <f>INDEX($C$56:$BV$56,46)</f>
        <v/>
      </c>
      <c r="AD67">
        <f>INDEX($C$56:$BV$56,45)</f>
        <v/>
      </c>
      <c r="AE67">
        <f>INDEX($C$56:$BV$56,44)</f>
        <v/>
      </c>
      <c r="AF67">
        <f>INDEX($C$56:$BV$56,43)</f>
        <v/>
      </c>
      <c r="AG67">
        <f>INDEX($C$56:$BV$56,42)</f>
        <v/>
      </c>
      <c r="AH67">
        <f>INDEX($C$56:$BV$56,41)</f>
        <v/>
      </c>
      <c r="AI67">
        <f>INDEX($C$56:$BV$56,40)</f>
        <v/>
      </c>
      <c r="AJ67">
        <f>INDEX($C$56:$BV$56,39)</f>
        <v/>
      </c>
      <c r="AK67">
        <f>INDEX($C$56:$BV$56,38)</f>
        <v/>
      </c>
      <c r="AL67">
        <f>INDEX($C$56:$BV$56,37)</f>
        <v/>
      </c>
      <c r="AM67">
        <f>INDEX($C$56:$BV$56,36)</f>
        <v/>
      </c>
      <c r="AN67">
        <f>INDEX($C$56:$BV$56,35)</f>
        <v/>
      </c>
      <c r="AO67">
        <f>INDEX($C$56:$BV$56,34)</f>
        <v/>
      </c>
      <c r="AP67">
        <f>INDEX($C$56:$BV$56,33)</f>
        <v/>
      </c>
      <c r="AQ67">
        <f>INDEX($C$56:$BV$56,32)</f>
        <v/>
      </c>
      <c r="AR67">
        <f>INDEX($C$56:$BV$56,31)</f>
        <v/>
      </c>
      <c r="AS67">
        <f>INDEX($C$56:$BV$56,30)</f>
        <v/>
      </c>
      <c r="AT67">
        <f>INDEX($C$56:$BV$56,29)</f>
        <v/>
      </c>
      <c r="AU67">
        <f>INDEX($C$56:$BV$56,28)</f>
        <v/>
      </c>
      <c r="AV67">
        <f>INDEX($C$56:$BV$56,27)</f>
        <v/>
      </c>
      <c r="AW67">
        <f>INDEX($C$56:$BV$56,26)</f>
        <v/>
      </c>
      <c r="AX67">
        <f>INDEX($C$56:$BV$56,25)</f>
        <v/>
      </c>
      <c r="AY67">
        <f>INDEX($C$56:$BV$56,24)</f>
        <v/>
      </c>
      <c r="AZ67">
        <f>INDEX($C$56:$BV$56,23)</f>
        <v/>
      </c>
      <c r="BA67">
        <f>INDEX($C$56:$BV$56,22)</f>
        <v/>
      </c>
      <c r="BB67">
        <f>INDEX($C$56:$BV$56,21)</f>
        <v/>
      </c>
      <c r="BC67">
        <f>INDEX($C$56:$BV$56,20)</f>
        <v/>
      </c>
      <c r="BD67">
        <f>INDEX($C$56:$BV$56,19)</f>
        <v/>
      </c>
      <c r="BE67">
        <f>INDEX($C$56:$BV$56,18)</f>
        <v/>
      </c>
      <c r="BF67">
        <f>INDEX($C$56:$BV$56,17)</f>
        <v/>
      </c>
      <c r="BG67">
        <f>INDEX($C$56:$BV$56,16)</f>
        <v/>
      </c>
      <c r="BH67">
        <f>INDEX($C$56:$BV$56,15)</f>
        <v/>
      </c>
      <c r="BI67">
        <f>INDEX($C$56:$BV$56,14)</f>
        <v/>
      </c>
      <c r="BJ67">
        <f>INDEX($C$56:$BV$56,13)</f>
        <v/>
      </c>
      <c r="BK67">
        <f>INDEX($C$56:$BV$56,12)</f>
        <v/>
      </c>
      <c r="BL67">
        <f>INDEX($C$56:$BV$56,11)</f>
        <v/>
      </c>
      <c r="BM67">
        <f>INDEX($C$56:$BV$56,10)</f>
        <v/>
      </c>
      <c r="BN67">
        <f>INDEX($C$56:$BV$56,9)</f>
        <v/>
      </c>
      <c r="BO67">
        <f>INDEX($C$56:$BV$56,8)</f>
        <v/>
      </c>
      <c r="BP67">
        <f>INDEX($C$56:$BV$56,7)</f>
        <v/>
      </c>
      <c r="BQ67">
        <f>INDEX($C$56:$BV$56,6)</f>
        <v/>
      </c>
      <c r="BR67">
        <f>INDEX($C$56:$BV$56,5)</f>
        <v/>
      </c>
      <c r="BS67">
        <f>INDEX($C$56:$BV$56,4)</f>
        <v/>
      </c>
      <c r="BT67">
        <f>INDEX($C$56:$BV$56,3)</f>
        <v/>
      </c>
      <c r="BU67">
        <f>INDEX($C$56:$BV$56,2)</f>
        <v/>
      </c>
      <c r="BV67">
        <f>INDEX($C$56:$BV$56,1)</f>
        <v/>
      </c>
    </row>
    <row r="68">
      <c r="A68" t="inlineStr">
        <is>
          <t>S_MONTHLY_Y1@2 reversed</t>
        </is>
      </c>
      <c r="C68">
        <f>INDEX($C$57:$BV$57,72)</f>
        <v/>
      </c>
      <c r="D68">
        <f>INDEX($C$57:$BV$57,71)</f>
        <v/>
      </c>
      <c r="E68">
        <f>INDEX($C$57:$BV$57,70)</f>
        <v/>
      </c>
      <c r="F68">
        <f>INDEX($C$57:$BV$57,69)</f>
        <v/>
      </c>
      <c r="G68">
        <f>INDEX($C$57:$BV$57,68)</f>
        <v/>
      </c>
      <c r="H68">
        <f>INDEX($C$57:$BV$57,67)</f>
        <v/>
      </c>
      <c r="I68">
        <f>INDEX($C$57:$BV$57,66)</f>
        <v/>
      </c>
      <c r="J68">
        <f>INDEX($C$57:$BV$57,65)</f>
        <v/>
      </c>
      <c r="K68">
        <f>INDEX($C$57:$BV$57,64)</f>
        <v/>
      </c>
      <c r="L68">
        <f>INDEX($C$57:$BV$57,63)</f>
        <v/>
      </c>
      <c r="M68">
        <f>INDEX($C$57:$BV$57,62)</f>
        <v/>
      </c>
      <c r="N68">
        <f>INDEX($C$57:$BV$57,61)</f>
        <v/>
      </c>
      <c r="O68">
        <f>INDEX($C$57:$BV$57,60)</f>
        <v/>
      </c>
      <c r="P68">
        <f>INDEX($C$57:$BV$57,59)</f>
        <v/>
      </c>
      <c r="Q68">
        <f>INDEX($C$57:$BV$57,58)</f>
        <v/>
      </c>
      <c r="R68">
        <f>INDEX($C$57:$BV$57,57)</f>
        <v/>
      </c>
      <c r="S68">
        <f>INDEX($C$57:$BV$57,56)</f>
        <v/>
      </c>
      <c r="T68">
        <f>INDEX($C$57:$BV$57,55)</f>
        <v/>
      </c>
      <c r="U68">
        <f>INDEX($C$57:$BV$57,54)</f>
        <v/>
      </c>
      <c r="V68">
        <f>INDEX($C$57:$BV$57,53)</f>
        <v/>
      </c>
      <c r="W68">
        <f>INDEX($C$57:$BV$57,52)</f>
        <v/>
      </c>
      <c r="X68">
        <f>INDEX($C$57:$BV$57,51)</f>
        <v/>
      </c>
      <c r="Y68">
        <f>INDEX($C$57:$BV$57,50)</f>
        <v/>
      </c>
      <c r="Z68">
        <f>INDEX($C$57:$BV$57,49)</f>
        <v/>
      </c>
      <c r="AA68">
        <f>INDEX($C$57:$BV$57,48)</f>
        <v/>
      </c>
      <c r="AB68">
        <f>INDEX($C$57:$BV$57,47)</f>
        <v/>
      </c>
      <c r="AC68">
        <f>INDEX($C$57:$BV$57,46)</f>
        <v/>
      </c>
      <c r="AD68">
        <f>INDEX($C$57:$BV$57,45)</f>
        <v/>
      </c>
      <c r="AE68">
        <f>INDEX($C$57:$BV$57,44)</f>
        <v/>
      </c>
      <c r="AF68">
        <f>INDEX($C$57:$BV$57,43)</f>
        <v/>
      </c>
      <c r="AG68">
        <f>INDEX($C$57:$BV$57,42)</f>
        <v/>
      </c>
      <c r="AH68">
        <f>INDEX($C$57:$BV$57,41)</f>
        <v/>
      </c>
      <c r="AI68">
        <f>INDEX($C$57:$BV$57,40)</f>
        <v/>
      </c>
      <c r="AJ68">
        <f>INDEX($C$57:$BV$57,39)</f>
        <v/>
      </c>
      <c r="AK68">
        <f>INDEX($C$57:$BV$57,38)</f>
        <v/>
      </c>
      <c r="AL68">
        <f>INDEX($C$57:$BV$57,37)</f>
        <v/>
      </c>
      <c r="AM68">
        <f>INDEX($C$57:$BV$57,36)</f>
        <v/>
      </c>
      <c r="AN68">
        <f>INDEX($C$57:$BV$57,35)</f>
        <v/>
      </c>
      <c r="AO68">
        <f>INDEX($C$57:$BV$57,34)</f>
        <v/>
      </c>
      <c r="AP68">
        <f>INDEX($C$57:$BV$57,33)</f>
        <v/>
      </c>
      <c r="AQ68">
        <f>INDEX($C$57:$BV$57,32)</f>
        <v/>
      </c>
      <c r="AR68">
        <f>INDEX($C$57:$BV$57,31)</f>
        <v/>
      </c>
      <c r="AS68">
        <f>INDEX($C$57:$BV$57,30)</f>
        <v/>
      </c>
      <c r="AT68">
        <f>INDEX($C$57:$BV$57,29)</f>
        <v/>
      </c>
      <c r="AU68">
        <f>INDEX($C$57:$BV$57,28)</f>
        <v/>
      </c>
      <c r="AV68">
        <f>INDEX($C$57:$BV$57,27)</f>
        <v/>
      </c>
      <c r="AW68">
        <f>INDEX($C$57:$BV$57,26)</f>
        <v/>
      </c>
      <c r="AX68">
        <f>INDEX($C$57:$BV$57,25)</f>
        <v/>
      </c>
      <c r="AY68">
        <f>INDEX($C$57:$BV$57,24)</f>
        <v/>
      </c>
      <c r="AZ68">
        <f>INDEX($C$57:$BV$57,23)</f>
        <v/>
      </c>
      <c r="BA68">
        <f>INDEX($C$57:$BV$57,22)</f>
        <v/>
      </c>
      <c r="BB68">
        <f>INDEX($C$57:$BV$57,21)</f>
        <v/>
      </c>
      <c r="BC68">
        <f>INDEX($C$57:$BV$57,20)</f>
        <v/>
      </c>
      <c r="BD68">
        <f>INDEX($C$57:$BV$57,19)</f>
        <v/>
      </c>
      <c r="BE68">
        <f>INDEX($C$57:$BV$57,18)</f>
        <v/>
      </c>
      <c r="BF68">
        <f>INDEX($C$57:$BV$57,17)</f>
        <v/>
      </c>
      <c r="BG68">
        <f>INDEX($C$57:$BV$57,16)</f>
        <v/>
      </c>
      <c r="BH68">
        <f>INDEX($C$57:$BV$57,15)</f>
        <v/>
      </c>
      <c r="BI68">
        <f>INDEX($C$57:$BV$57,14)</f>
        <v/>
      </c>
      <c r="BJ68">
        <f>INDEX($C$57:$BV$57,13)</f>
        <v/>
      </c>
      <c r="BK68">
        <f>INDEX($C$57:$BV$57,12)</f>
        <v/>
      </c>
      <c r="BL68">
        <f>INDEX($C$57:$BV$57,11)</f>
        <v/>
      </c>
      <c r="BM68">
        <f>INDEX($C$57:$BV$57,10)</f>
        <v/>
      </c>
      <c r="BN68">
        <f>INDEX($C$57:$BV$57,9)</f>
        <v/>
      </c>
      <c r="BO68">
        <f>INDEX($C$57:$BV$57,8)</f>
        <v/>
      </c>
      <c r="BP68">
        <f>INDEX($C$57:$BV$57,7)</f>
        <v/>
      </c>
      <c r="BQ68">
        <f>INDEX($C$57:$BV$57,6)</f>
        <v/>
      </c>
      <c r="BR68">
        <f>INDEX($C$57:$BV$57,5)</f>
        <v/>
      </c>
      <c r="BS68">
        <f>INDEX($C$57:$BV$57,4)</f>
        <v/>
      </c>
      <c r="BT68">
        <f>INDEX($C$57:$BV$57,3)</f>
        <v/>
      </c>
      <c r="BU68">
        <f>INDEX($C$57:$BV$57,2)</f>
        <v/>
      </c>
      <c r="BV68">
        <f>INDEX($C$57:$BV$57,1)</f>
        <v/>
      </c>
    </row>
    <row r="69">
      <c r="A69" t="inlineStr">
        <is>
          <t>S_ANNUAL_Y1@2 reversed</t>
        </is>
      </c>
      <c r="C69">
        <f>INDEX($C$58:$BV$58,72)</f>
        <v/>
      </c>
      <c r="D69">
        <f>INDEX($C$58:$BV$58,71)</f>
        <v/>
      </c>
      <c r="E69">
        <f>INDEX($C$58:$BV$58,70)</f>
        <v/>
      </c>
      <c r="F69">
        <f>INDEX($C$58:$BV$58,69)</f>
        <v/>
      </c>
      <c r="G69">
        <f>INDEX($C$58:$BV$58,68)</f>
        <v/>
      </c>
      <c r="H69">
        <f>INDEX($C$58:$BV$58,67)</f>
        <v/>
      </c>
      <c r="I69">
        <f>INDEX($C$58:$BV$58,66)</f>
        <v/>
      </c>
      <c r="J69">
        <f>INDEX($C$58:$BV$58,65)</f>
        <v/>
      </c>
      <c r="K69">
        <f>INDEX($C$58:$BV$58,64)</f>
        <v/>
      </c>
      <c r="L69">
        <f>INDEX($C$58:$BV$58,63)</f>
        <v/>
      </c>
      <c r="M69">
        <f>INDEX($C$58:$BV$58,62)</f>
        <v/>
      </c>
      <c r="N69">
        <f>INDEX($C$58:$BV$58,61)</f>
        <v/>
      </c>
      <c r="O69">
        <f>INDEX($C$58:$BV$58,60)</f>
        <v/>
      </c>
      <c r="P69">
        <f>INDEX($C$58:$BV$58,59)</f>
        <v/>
      </c>
      <c r="Q69">
        <f>INDEX($C$58:$BV$58,58)</f>
        <v/>
      </c>
      <c r="R69">
        <f>INDEX($C$58:$BV$58,57)</f>
        <v/>
      </c>
      <c r="S69">
        <f>INDEX($C$58:$BV$58,56)</f>
        <v/>
      </c>
      <c r="T69">
        <f>INDEX($C$58:$BV$58,55)</f>
        <v/>
      </c>
      <c r="U69">
        <f>INDEX($C$58:$BV$58,54)</f>
        <v/>
      </c>
      <c r="V69">
        <f>INDEX($C$58:$BV$58,53)</f>
        <v/>
      </c>
      <c r="W69">
        <f>INDEX($C$58:$BV$58,52)</f>
        <v/>
      </c>
      <c r="X69">
        <f>INDEX($C$58:$BV$58,51)</f>
        <v/>
      </c>
      <c r="Y69">
        <f>INDEX($C$58:$BV$58,50)</f>
        <v/>
      </c>
      <c r="Z69">
        <f>INDEX($C$58:$BV$58,49)</f>
        <v/>
      </c>
      <c r="AA69">
        <f>INDEX($C$58:$BV$58,48)</f>
        <v/>
      </c>
      <c r="AB69">
        <f>INDEX($C$58:$BV$58,47)</f>
        <v/>
      </c>
      <c r="AC69">
        <f>INDEX($C$58:$BV$58,46)</f>
        <v/>
      </c>
      <c r="AD69">
        <f>INDEX($C$58:$BV$58,45)</f>
        <v/>
      </c>
      <c r="AE69">
        <f>INDEX($C$58:$BV$58,44)</f>
        <v/>
      </c>
      <c r="AF69">
        <f>INDEX($C$58:$BV$58,43)</f>
        <v/>
      </c>
      <c r="AG69">
        <f>INDEX($C$58:$BV$58,42)</f>
        <v/>
      </c>
      <c r="AH69">
        <f>INDEX($C$58:$BV$58,41)</f>
        <v/>
      </c>
      <c r="AI69">
        <f>INDEX($C$58:$BV$58,40)</f>
        <v/>
      </c>
      <c r="AJ69">
        <f>INDEX($C$58:$BV$58,39)</f>
        <v/>
      </c>
      <c r="AK69">
        <f>INDEX($C$58:$BV$58,38)</f>
        <v/>
      </c>
      <c r="AL69">
        <f>INDEX($C$58:$BV$58,37)</f>
        <v/>
      </c>
      <c r="AM69">
        <f>INDEX($C$58:$BV$58,36)</f>
        <v/>
      </c>
      <c r="AN69">
        <f>INDEX($C$58:$BV$58,35)</f>
        <v/>
      </c>
      <c r="AO69">
        <f>INDEX($C$58:$BV$58,34)</f>
        <v/>
      </c>
      <c r="AP69">
        <f>INDEX($C$58:$BV$58,33)</f>
        <v/>
      </c>
      <c r="AQ69">
        <f>INDEX($C$58:$BV$58,32)</f>
        <v/>
      </c>
      <c r="AR69">
        <f>INDEX($C$58:$BV$58,31)</f>
        <v/>
      </c>
      <c r="AS69">
        <f>INDEX($C$58:$BV$58,30)</f>
        <v/>
      </c>
      <c r="AT69">
        <f>INDEX($C$58:$BV$58,29)</f>
        <v/>
      </c>
      <c r="AU69">
        <f>INDEX($C$58:$BV$58,28)</f>
        <v/>
      </c>
      <c r="AV69">
        <f>INDEX($C$58:$BV$58,27)</f>
        <v/>
      </c>
      <c r="AW69">
        <f>INDEX($C$58:$BV$58,26)</f>
        <v/>
      </c>
      <c r="AX69">
        <f>INDEX($C$58:$BV$58,25)</f>
        <v/>
      </c>
      <c r="AY69">
        <f>INDEX($C$58:$BV$58,24)</f>
        <v/>
      </c>
      <c r="AZ69">
        <f>INDEX($C$58:$BV$58,23)</f>
        <v/>
      </c>
      <c r="BA69">
        <f>INDEX($C$58:$BV$58,22)</f>
        <v/>
      </c>
      <c r="BB69">
        <f>INDEX($C$58:$BV$58,21)</f>
        <v/>
      </c>
      <c r="BC69">
        <f>INDEX($C$58:$BV$58,20)</f>
        <v/>
      </c>
      <c r="BD69">
        <f>INDEX($C$58:$BV$58,19)</f>
        <v/>
      </c>
      <c r="BE69">
        <f>INDEX($C$58:$BV$58,18)</f>
        <v/>
      </c>
      <c r="BF69">
        <f>INDEX($C$58:$BV$58,17)</f>
        <v/>
      </c>
      <c r="BG69">
        <f>INDEX($C$58:$BV$58,16)</f>
        <v/>
      </c>
      <c r="BH69">
        <f>INDEX($C$58:$BV$58,15)</f>
        <v/>
      </c>
      <c r="BI69">
        <f>INDEX($C$58:$BV$58,14)</f>
        <v/>
      </c>
      <c r="BJ69">
        <f>INDEX($C$58:$BV$58,13)</f>
        <v/>
      </c>
      <c r="BK69">
        <f>INDEX($C$58:$BV$58,12)</f>
        <v/>
      </c>
      <c r="BL69">
        <f>INDEX($C$58:$BV$58,11)</f>
        <v/>
      </c>
      <c r="BM69">
        <f>INDEX($C$58:$BV$58,10)</f>
        <v/>
      </c>
      <c r="BN69">
        <f>INDEX($C$58:$BV$58,9)</f>
        <v/>
      </c>
      <c r="BO69">
        <f>INDEX($C$58:$BV$58,8)</f>
        <v/>
      </c>
      <c r="BP69">
        <f>INDEX($C$58:$BV$58,7)</f>
        <v/>
      </c>
      <c r="BQ69">
        <f>INDEX($C$58:$BV$58,6)</f>
        <v/>
      </c>
      <c r="BR69">
        <f>INDEX($C$58:$BV$58,5)</f>
        <v/>
      </c>
      <c r="BS69">
        <f>INDEX($C$58:$BV$58,4)</f>
        <v/>
      </c>
      <c r="BT69">
        <f>INDEX($C$58:$BV$58,3)</f>
        <v/>
      </c>
      <c r="BU69">
        <f>INDEX($C$58:$BV$58,2)</f>
        <v/>
      </c>
      <c r="BV69">
        <f>INDEX($C$58:$BV$58,1)</f>
        <v/>
      </c>
    </row>
    <row r="70">
      <c r="A70" t="inlineStr">
        <is>
          <t>S_REACT_Y1@2 reversed</t>
        </is>
      </c>
      <c r="C70">
        <f>INDEX($C$59:$BV$59,72)</f>
        <v/>
      </c>
      <c r="D70">
        <f>INDEX($C$59:$BV$59,71)</f>
        <v/>
      </c>
      <c r="E70">
        <f>INDEX($C$59:$BV$59,70)</f>
        <v/>
      </c>
      <c r="F70">
        <f>INDEX($C$59:$BV$59,69)</f>
        <v/>
      </c>
      <c r="G70">
        <f>INDEX($C$59:$BV$59,68)</f>
        <v/>
      </c>
      <c r="H70">
        <f>INDEX($C$59:$BV$59,67)</f>
        <v/>
      </c>
      <c r="I70">
        <f>INDEX($C$59:$BV$59,66)</f>
        <v/>
      </c>
      <c r="J70">
        <f>INDEX($C$59:$BV$59,65)</f>
        <v/>
      </c>
      <c r="K70">
        <f>INDEX($C$59:$BV$59,64)</f>
        <v/>
      </c>
      <c r="L70">
        <f>INDEX($C$59:$BV$59,63)</f>
        <v/>
      </c>
      <c r="M70">
        <f>INDEX($C$59:$BV$59,62)</f>
        <v/>
      </c>
      <c r="N70">
        <f>INDEX($C$59:$BV$59,61)</f>
        <v/>
      </c>
      <c r="O70">
        <f>INDEX($C$59:$BV$59,60)</f>
        <v/>
      </c>
      <c r="P70">
        <f>INDEX($C$59:$BV$59,59)</f>
        <v/>
      </c>
      <c r="Q70">
        <f>INDEX($C$59:$BV$59,58)</f>
        <v/>
      </c>
      <c r="R70">
        <f>INDEX($C$59:$BV$59,57)</f>
        <v/>
      </c>
      <c r="S70">
        <f>INDEX($C$59:$BV$59,56)</f>
        <v/>
      </c>
      <c r="T70">
        <f>INDEX($C$59:$BV$59,55)</f>
        <v/>
      </c>
      <c r="U70">
        <f>INDEX($C$59:$BV$59,54)</f>
        <v/>
      </c>
      <c r="V70">
        <f>INDEX($C$59:$BV$59,53)</f>
        <v/>
      </c>
      <c r="W70">
        <f>INDEX($C$59:$BV$59,52)</f>
        <v/>
      </c>
      <c r="X70">
        <f>INDEX($C$59:$BV$59,51)</f>
        <v/>
      </c>
      <c r="Y70">
        <f>INDEX($C$59:$BV$59,50)</f>
        <v/>
      </c>
      <c r="Z70">
        <f>INDEX($C$59:$BV$59,49)</f>
        <v/>
      </c>
      <c r="AA70">
        <f>INDEX($C$59:$BV$59,48)</f>
        <v/>
      </c>
      <c r="AB70">
        <f>INDEX($C$59:$BV$59,47)</f>
        <v/>
      </c>
      <c r="AC70">
        <f>INDEX($C$59:$BV$59,46)</f>
        <v/>
      </c>
      <c r="AD70">
        <f>INDEX($C$59:$BV$59,45)</f>
        <v/>
      </c>
      <c r="AE70">
        <f>INDEX($C$59:$BV$59,44)</f>
        <v/>
      </c>
      <c r="AF70">
        <f>INDEX($C$59:$BV$59,43)</f>
        <v/>
      </c>
      <c r="AG70">
        <f>INDEX($C$59:$BV$59,42)</f>
        <v/>
      </c>
      <c r="AH70">
        <f>INDEX($C$59:$BV$59,41)</f>
        <v/>
      </c>
      <c r="AI70">
        <f>INDEX($C$59:$BV$59,40)</f>
        <v/>
      </c>
      <c r="AJ70">
        <f>INDEX($C$59:$BV$59,39)</f>
        <v/>
      </c>
      <c r="AK70">
        <f>INDEX($C$59:$BV$59,38)</f>
        <v/>
      </c>
      <c r="AL70">
        <f>INDEX($C$59:$BV$59,37)</f>
        <v/>
      </c>
      <c r="AM70">
        <f>INDEX($C$59:$BV$59,36)</f>
        <v/>
      </c>
      <c r="AN70">
        <f>INDEX($C$59:$BV$59,35)</f>
        <v/>
      </c>
      <c r="AO70">
        <f>INDEX($C$59:$BV$59,34)</f>
        <v/>
      </c>
      <c r="AP70">
        <f>INDEX($C$59:$BV$59,33)</f>
        <v/>
      </c>
      <c r="AQ70">
        <f>INDEX($C$59:$BV$59,32)</f>
        <v/>
      </c>
      <c r="AR70">
        <f>INDEX($C$59:$BV$59,31)</f>
        <v/>
      </c>
      <c r="AS70">
        <f>INDEX($C$59:$BV$59,30)</f>
        <v/>
      </c>
      <c r="AT70">
        <f>INDEX($C$59:$BV$59,29)</f>
        <v/>
      </c>
      <c r="AU70">
        <f>INDEX($C$59:$BV$59,28)</f>
        <v/>
      </c>
      <c r="AV70">
        <f>INDEX($C$59:$BV$59,27)</f>
        <v/>
      </c>
      <c r="AW70">
        <f>INDEX($C$59:$BV$59,26)</f>
        <v/>
      </c>
      <c r="AX70">
        <f>INDEX($C$59:$BV$59,25)</f>
        <v/>
      </c>
      <c r="AY70">
        <f>INDEX($C$59:$BV$59,24)</f>
        <v/>
      </c>
      <c r="AZ70">
        <f>INDEX($C$59:$BV$59,23)</f>
        <v/>
      </c>
      <c r="BA70">
        <f>INDEX($C$59:$BV$59,22)</f>
        <v/>
      </c>
      <c r="BB70">
        <f>INDEX($C$59:$BV$59,21)</f>
        <v/>
      </c>
      <c r="BC70">
        <f>INDEX($C$59:$BV$59,20)</f>
        <v/>
      </c>
      <c r="BD70">
        <f>INDEX($C$59:$BV$59,19)</f>
        <v/>
      </c>
      <c r="BE70">
        <f>INDEX($C$59:$BV$59,18)</f>
        <v/>
      </c>
      <c r="BF70">
        <f>INDEX($C$59:$BV$59,17)</f>
        <v/>
      </c>
      <c r="BG70">
        <f>INDEX($C$59:$BV$59,16)</f>
        <v/>
      </c>
      <c r="BH70">
        <f>INDEX($C$59:$BV$59,15)</f>
        <v/>
      </c>
      <c r="BI70">
        <f>INDEX($C$59:$BV$59,14)</f>
        <v/>
      </c>
      <c r="BJ70">
        <f>INDEX($C$59:$BV$59,13)</f>
        <v/>
      </c>
      <c r="BK70">
        <f>INDEX($C$59:$BV$59,12)</f>
        <v/>
      </c>
      <c r="BL70">
        <f>INDEX($C$59:$BV$59,11)</f>
        <v/>
      </c>
      <c r="BM70">
        <f>INDEX($C$59:$BV$59,10)</f>
        <v/>
      </c>
      <c r="BN70">
        <f>INDEX($C$59:$BV$59,9)</f>
        <v/>
      </c>
      <c r="BO70">
        <f>INDEX($C$59:$BV$59,8)</f>
        <v/>
      </c>
      <c r="BP70">
        <f>INDEX($C$59:$BV$59,7)</f>
        <v/>
      </c>
      <c r="BQ70">
        <f>INDEX($C$59:$BV$59,6)</f>
        <v/>
      </c>
      <c r="BR70">
        <f>INDEX($C$59:$BV$59,5)</f>
        <v/>
      </c>
      <c r="BS70">
        <f>INDEX($C$59:$BV$59,4)</f>
        <v/>
      </c>
      <c r="BT70">
        <f>INDEX($C$59:$BV$59,3)</f>
        <v/>
      </c>
      <c r="BU70">
        <f>INDEX($C$59:$BV$59,2)</f>
        <v/>
      </c>
      <c r="BV70">
        <f>INDEX($C$59:$BV$59,1)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era @0 history</t>
        </is>
      </c>
      <c r="B3" t="inlineStr">
        <is>
          <t>mask</t>
        </is>
      </c>
      <c r="C3" s="3">
        <f>IF(C$2&lt;(Params!$B$8-1),1,0)</f>
        <v/>
      </c>
      <c r="D3" s="3">
        <f>IF(D$2&lt;(Params!$B$8-1),1,0)</f>
        <v/>
      </c>
      <c r="E3" s="3">
        <f>IF(E$2&lt;(Params!$B$8-1),1,0)</f>
        <v/>
      </c>
      <c r="F3" s="3">
        <f>IF(F$2&lt;(Params!$B$8-1),1,0)</f>
        <v/>
      </c>
      <c r="G3" s="3">
        <f>IF(G$2&lt;(Params!$B$8-1),1,0)</f>
        <v/>
      </c>
      <c r="H3" s="3">
        <f>IF(H$2&lt;(Params!$B$8-1),1,0)</f>
        <v/>
      </c>
      <c r="I3" s="3">
        <f>IF(I$2&lt;(Params!$B$8-1),1,0)</f>
        <v/>
      </c>
      <c r="J3" s="3">
        <f>IF(J$2&lt;(Params!$B$8-1),1,0)</f>
        <v/>
      </c>
      <c r="K3" s="3">
        <f>IF(K$2&lt;(Params!$B$8-1),1,0)</f>
        <v/>
      </c>
      <c r="L3" s="3">
        <f>IF(L$2&lt;(Params!$B$8-1),1,0)</f>
        <v/>
      </c>
      <c r="M3" s="3">
        <f>IF(M$2&lt;(Params!$B$8-1),1,0)</f>
        <v/>
      </c>
      <c r="N3" s="3">
        <f>IF(N$2&lt;(Params!$B$8-1),1,0)</f>
        <v/>
      </c>
      <c r="O3" s="3">
        <f>IF(O$2&lt;(Params!$B$8-1),1,0)</f>
        <v/>
      </c>
      <c r="P3" s="3">
        <f>IF(P$2&lt;(Params!$B$8-1),1,0)</f>
        <v/>
      </c>
      <c r="Q3" s="3">
        <f>IF(Q$2&lt;(Params!$B$8-1),1,0)</f>
        <v/>
      </c>
      <c r="R3" s="3">
        <f>IF(R$2&lt;(Params!$B$8-1),1,0)</f>
        <v/>
      </c>
      <c r="S3" s="3">
        <f>IF(S$2&lt;(Params!$B$8-1),1,0)</f>
        <v/>
      </c>
      <c r="T3" s="3">
        <f>IF(T$2&lt;(Params!$B$8-1),1,0)</f>
        <v/>
      </c>
      <c r="U3" s="3">
        <f>IF(U$2&lt;(Params!$B$8-1),1,0)</f>
        <v/>
      </c>
      <c r="V3" s="3">
        <f>IF(V$2&lt;(Params!$B$8-1),1,0)</f>
        <v/>
      </c>
      <c r="W3" s="3">
        <f>IF(W$2&lt;(Params!$B$8-1),1,0)</f>
        <v/>
      </c>
      <c r="X3" s="3">
        <f>IF(X$2&lt;(Params!$B$8-1),1,0)</f>
        <v/>
      </c>
      <c r="Y3" s="3">
        <f>IF(Y$2&lt;(Params!$B$8-1),1,0)</f>
        <v/>
      </c>
      <c r="Z3" s="3">
        <f>IF(Z$2&lt;(Params!$B$8-1),1,0)</f>
        <v/>
      </c>
      <c r="AA3" s="3">
        <f>IF(AA$2&lt;(Params!$B$8-1),1,0)</f>
        <v/>
      </c>
      <c r="AB3" s="3">
        <f>IF(AB$2&lt;(Params!$B$8-1),1,0)</f>
        <v/>
      </c>
      <c r="AC3" s="3">
        <f>IF(AC$2&lt;(Params!$B$8-1),1,0)</f>
        <v/>
      </c>
      <c r="AD3" s="3">
        <f>IF(AD$2&lt;(Params!$B$8-1),1,0)</f>
        <v/>
      </c>
      <c r="AE3" s="3">
        <f>IF(AE$2&lt;(Params!$B$8-1),1,0)</f>
        <v/>
      </c>
      <c r="AF3" s="3">
        <f>IF(AF$2&lt;(Params!$B$8-1),1,0)</f>
        <v/>
      </c>
      <c r="AG3" s="3">
        <f>IF(AG$2&lt;(Params!$B$8-1),1,0)</f>
        <v/>
      </c>
      <c r="AH3" s="3">
        <f>IF(AH$2&lt;(Params!$B$8-1),1,0)</f>
        <v/>
      </c>
      <c r="AI3" s="3">
        <f>IF(AI$2&lt;(Params!$B$8-1),1,0)</f>
        <v/>
      </c>
      <c r="AJ3" s="3">
        <f>IF(AJ$2&lt;(Params!$B$8-1),1,0)</f>
        <v/>
      </c>
      <c r="AK3" s="3">
        <f>IF(AK$2&lt;(Params!$B$8-1),1,0)</f>
        <v/>
      </c>
      <c r="AL3" s="3">
        <f>IF(AL$2&lt;(Params!$B$8-1),1,0)</f>
        <v/>
      </c>
      <c r="AM3" s="3">
        <f>IF(AM$2&lt;(Params!$B$8-1),1,0)</f>
        <v/>
      </c>
      <c r="AN3" s="3">
        <f>IF(AN$2&lt;(Params!$B$8-1),1,0)</f>
        <v/>
      </c>
      <c r="AO3" s="3">
        <f>IF(AO$2&lt;(Params!$B$8-1),1,0)</f>
        <v/>
      </c>
      <c r="AP3" s="3">
        <f>IF(AP$2&lt;(Params!$B$8-1),1,0)</f>
        <v/>
      </c>
      <c r="AQ3" s="3">
        <f>IF(AQ$2&lt;(Params!$B$8-1),1,0)</f>
        <v/>
      </c>
      <c r="AR3" s="3">
        <f>IF(AR$2&lt;(Params!$B$8-1),1,0)</f>
        <v/>
      </c>
      <c r="AS3" s="3">
        <f>IF(AS$2&lt;(Params!$B$8-1),1,0)</f>
        <v/>
      </c>
      <c r="AT3" s="3">
        <f>IF(AT$2&lt;(Params!$B$8-1),1,0)</f>
        <v/>
      </c>
      <c r="AU3" s="3">
        <f>IF(AU$2&lt;(Params!$B$8-1),1,0)</f>
        <v/>
      </c>
      <c r="AV3" s="3">
        <f>IF(AV$2&lt;(Params!$B$8-1),1,0)</f>
        <v/>
      </c>
      <c r="AW3" s="3">
        <f>IF(AW$2&lt;(Params!$B$8-1),1,0)</f>
        <v/>
      </c>
      <c r="AX3" s="3">
        <f>IF(AX$2&lt;(Params!$B$8-1),1,0)</f>
        <v/>
      </c>
      <c r="AY3" s="3">
        <f>IF(AY$2&lt;(Params!$B$8-1),1,0)</f>
        <v/>
      </c>
      <c r="AZ3" s="3">
        <f>IF(AZ$2&lt;(Params!$B$8-1),1,0)</f>
        <v/>
      </c>
      <c r="BA3" s="3">
        <f>IF(BA$2&lt;(Params!$B$8-1),1,0)</f>
        <v/>
      </c>
      <c r="BB3" s="3">
        <f>IF(BB$2&lt;(Params!$B$8-1),1,0)</f>
        <v/>
      </c>
      <c r="BC3" s="3">
        <f>IF(BC$2&lt;(Params!$B$8-1),1,0)</f>
        <v/>
      </c>
      <c r="BD3" s="3">
        <f>IF(BD$2&lt;(Params!$B$8-1),1,0)</f>
        <v/>
      </c>
      <c r="BE3" s="3">
        <f>IF(BE$2&lt;(Params!$B$8-1),1,0)</f>
        <v/>
      </c>
      <c r="BF3" s="3">
        <f>IF(BF$2&lt;(Params!$B$8-1),1,0)</f>
        <v/>
      </c>
      <c r="BG3" s="3">
        <f>IF(BG$2&lt;(Params!$B$8-1),1,0)</f>
        <v/>
      </c>
      <c r="BH3" s="3">
        <f>IF(BH$2&lt;(Params!$B$8-1),1,0)</f>
        <v/>
      </c>
      <c r="BI3" s="3">
        <f>IF(BI$2&lt;(Params!$B$8-1),1,0)</f>
        <v/>
      </c>
      <c r="BJ3" s="3">
        <f>IF(BJ$2&lt;(Params!$B$8-1),1,0)</f>
        <v/>
      </c>
      <c r="BK3" s="3">
        <f>IF(BK$2&lt;(Params!$B$8-1),1,0)</f>
        <v/>
      </c>
      <c r="BL3" s="3">
        <f>IF(BL$2&lt;(Params!$B$8-1),1,0)</f>
        <v/>
      </c>
      <c r="BM3" s="3">
        <f>IF(BM$2&lt;(Params!$B$8-1),1,0)</f>
        <v/>
      </c>
      <c r="BN3" s="3">
        <f>IF(BN$2&lt;(Params!$B$8-1),1,0)</f>
        <v/>
      </c>
      <c r="BO3" s="3">
        <f>IF(BO$2&lt;(Params!$B$8-1),1,0)</f>
        <v/>
      </c>
      <c r="BP3" s="3">
        <f>IF(BP$2&lt;(Params!$B$8-1),1,0)</f>
        <v/>
      </c>
      <c r="BQ3" s="3">
        <f>IF(BQ$2&lt;(Params!$B$8-1),1,0)</f>
        <v/>
      </c>
      <c r="BR3" s="3">
        <f>IF(BR$2&lt;(Params!$B$8-1),1,0)</f>
        <v/>
      </c>
      <c r="BS3" s="3">
        <f>IF(BS$2&lt;(Params!$B$8-1),1,0)</f>
        <v/>
      </c>
      <c r="BT3" s="3">
        <f>IF(BT$2&lt;(Params!$B$8-1),1,0)</f>
        <v/>
      </c>
      <c r="BU3" s="3">
        <f>IF(BU$2&lt;(Params!$B$8-1),1,0)</f>
        <v/>
      </c>
      <c r="BV3" s="3">
        <f>IF(BV$2&lt;(Params!$B$8-1),1,0)</f>
        <v/>
      </c>
    </row>
    <row r="4">
      <c r="A4" t="inlineStr">
        <is>
          <t>era @1 forecast</t>
        </is>
      </c>
      <c r="B4" t="inlineStr">
        <is>
          <t>mask</t>
        </is>
      </c>
      <c r="C4" s="3">
        <f>1-C3-C5</f>
        <v/>
      </c>
      <c r="D4" s="3">
        <f>1-D3-D5</f>
        <v/>
      </c>
      <c r="E4" s="3">
        <f>1-E3-E5</f>
        <v/>
      </c>
      <c r="F4" s="3">
        <f>1-F3-F5</f>
        <v/>
      </c>
      <c r="G4" s="3">
        <f>1-G3-G5</f>
        <v/>
      </c>
      <c r="H4" s="3">
        <f>1-H3-H5</f>
        <v/>
      </c>
      <c r="I4" s="3">
        <f>1-I3-I5</f>
        <v/>
      </c>
      <c r="J4" s="3">
        <f>1-J3-J5</f>
        <v/>
      </c>
      <c r="K4" s="3">
        <f>1-K3-K5</f>
        <v/>
      </c>
      <c r="L4" s="3">
        <f>1-L3-L5</f>
        <v/>
      </c>
      <c r="M4" s="3">
        <f>1-M3-M5</f>
        <v/>
      </c>
      <c r="N4" s="3">
        <f>1-N3-N5</f>
        <v/>
      </c>
      <c r="O4" s="3">
        <f>1-O3-O5</f>
        <v/>
      </c>
      <c r="P4" s="3">
        <f>1-P3-P5</f>
        <v/>
      </c>
      <c r="Q4" s="3">
        <f>1-Q3-Q5</f>
        <v/>
      </c>
      <c r="R4" s="3">
        <f>1-R3-R5</f>
        <v/>
      </c>
      <c r="S4" s="3">
        <f>1-S3-S5</f>
        <v/>
      </c>
      <c r="T4" s="3">
        <f>1-T3-T5</f>
        <v/>
      </c>
      <c r="U4" s="3">
        <f>1-U3-U5</f>
        <v/>
      </c>
      <c r="V4" s="3">
        <f>1-V3-V5</f>
        <v/>
      </c>
      <c r="W4" s="3">
        <f>1-W3-W5</f>
        <v/>
      </c>
      <c r="X4" s="3">
        <f>1-X3-X5</f>
        <v/>
      </c>
      <c r="Y4" s="3">
        <f>1-Y3-Y5</f>
        <v/>
      </c>
      <c r="Z4" s="3">
        <f>1-Z3-Z5</f>
        <v/>
      </c>
      <c r="AA4" s="3">
        <f>1-AA3-AA5</f>
        <v/>
      </c>
      <c r="AB4" s="3">
        <f>1-AB3-AB5</f>
        <v/>
      </c>
      <c r="AC4" s="3">
        <f>1-AC3-AC5</f>
        <v/>
      </c>
      <c r="AD4" s="3">
        <f>1-AD3-AD5</f>
        <v/>
      </c>
      <c r="AE4" s="3">
        <f>1-AE3-AE5</f>
        <v/>
      </c>
      <c r="AF4" s="3">
        <f>1-AF3-AF5</f>
        <v/>
      </c>
      <c r="AG4" s="3">
        <f>1-AG3-AG5</f>
        <v/>
      </c>
      <c r="AH4" s="3">
        <f>1-AH3-AH5</f>
        <v/>
      </c>
      <c r="AI4" s="3">
        <f>1-AI3-AI5</f>
        <v/>
      </c>
      <c r="AJ4" s="3">
        <f>1-AJ3-AJ5</f>
        <v/>
      </c>
      <c r="AK4" s="3">
        <f>1-AK3-AK5</f>
        <v/>
      </c>
      <c r="AL4" s="3">
        <f>1-AL3-AL5</f>
        <v/>
      </c>
      <c r="AM4" s="3">
        <f>1-AM3-AM5</f>
        <v/>
      </c>
      <c r="AN4" s="3">
        <f>1-AN3-AN5</f>
        <v/>
      </c>
      <c r="AO4" s="3">
        <f>1-AO3-AO5</f>
        <v/>
      </c>
      <c r="AP4" s="3">
        <f>1-AP3-AP5</f>
        <v/>
      </c>
      <c r="AQ4" s="3">
        <f>1-AQ3-AQ5</f>
        <v/>
      </c>
      <c r="AR4" s="3">
        <f>1-AR3-AR5</f>
        <v/>
      </c>
      <c r="AS4" s="3">
        <f>1-AS3-AS5</f>
        <v/>
      </c>
      <c r="AT4" s="3">
        <f>1-AT3-AT5</f>
        <v/>
      </c>
      <c r="AU4" s="3">
        <f>1-AU3-AU5</f>
        <v/>
      </c>
      <c r="AV4" s="3">
        <f>1-AV3-AV5</f>
        <v/>
      </c>
      <c r="AW4" s="3">
        <f>1-AW3-AW5</f>
        <v/>
      </c>
      <c r="AX4" s="3">
        <f>1-AX3-AX5</f>
        <v/>
      </c>
      <c r="AY4" s="3">
        <f>1-AY3-AY5</f>
        <v/>
      </c>
      <c r="AZ4" s="3">
        <f>1-AZ3-AZ5</f>
        <v/>
      </c>
      <c r="BA4" s="3">
        <f>1-BA3-BA5</f>
        <v/>
      </c>
      <c r="BB4" s="3">
        <f>1-BB3-BB5</f>
        <v/>
      </c>
      <c r="BC4" s="3">
        <f>1-BC3-BC5</f>
        <v/>
      </c>
      <c r="BD4" s="3">
        <f>1-BD3-BD5</f>
        <v/>
      </c>
      <c r="BE4" s="3">
        <f>1-BE3-BE5</f>
        <v/>
      </c>
      <c r="BF4" s="3">
        <f>1-BF3-BF5</f>
        <v/>
      </c>
      <c r="BG4" s="3">
        <f>1-BG3-BG5</f>
        <v/>
      </c>
      <c r="BH4" s="3">
        <f>1-BH3-BH5</f>
        <v/>
      </c>
      <c r="BI4" s="3">
        <f>1-BI3-BI5</f>
        <v/>
      </c>
      <c r="BJ4" s="3">
        <f>1-BJ3-BJ5</f>
        <v/>
      </c>
      <c r="BK4" s="3">
        <f>1-BK3-BK5</f>
        <v/>
      </c>
      <c r="BL4" s="3">
        <f>1-BL3-BL5</f>
        <v/>
      </c>
      <c r="BM4" s="3">
        <f>1-BM3-BM5</f>
        <v/>
      </c>
      <c r="BN4" s="3">
        <f>1-BN3-BN5</f>
        <v/>
      </c>
      <c r="BO4" s="3">
        <f>1-BO3-BO5</f>
        <v/>
      </c>
      <c r="BP4" s="3">
        <f>1-BP3-BP5</f>
        <v/>
      </c>
      <c r="BQ4" s="3">
        <f>1-BQ3-BQ5</f>
        <v/>
      </c>
      <c r="BR4" s="3">
        <f>1-BR3-BR5</f>
        <v/>
      </c>
      <c r="BS4" s="3">
        <f>1-BS3-BS5</f>
        <v/>
      </c>
      <c r="BT4" s="3">
        <f>1-BT3-BT5</f>
        <v/>
      </c>
      <c r="BU4" s="3">
        <f>1-BU3-BU5</f>
        <v/>
      </c>
      <c r="BV4" s="3">
        <f>1-BV3-BV5</f>
        <v/>
      </c>
    </row>
    <row r="5">
      <c r="A5" t="inlineStr">
        <is>
          <t>era @2 experiment</t>
        </is>
      </c>
      <c r="B5" t="inlineStr">
        <is>
          <t>mask</t>
        </is>
      </c>
      <c r="C5" s="3">
        <f>IF(AND(C$2&gt;=(Params!$B$8-1),Params!$B$9=1,C$2&gt;=(Params!$B$10-1)),1,0)</f>
        <v/>
      </c>
      <c r="D5" s="3">
        <f>IF(AND(D$2&gt;=(Params!$B$8-1),Params!$B$9=1,D$2&gt;=(Params!$B$10-1)),1,0)</f>
        <v/>
      </c>
      <c r="E5" s="3">
        <f>IF(AND(E$2&gt;=(Params!$B$8-1),Params!$B$9=1,E$2&gt;=(Params!$B$10-1)),1,0)</f>
        <v/>
      </c>
      <c r="F5" s="3">
        <f>IF(AND(F$2&gt;=(Params!$B$8-1),Params!$B$9=1,F$2&gt;=(Params!$B$10-1)),1,0)</f>
        <v/>
      </c>
      <c r="G5" s="3">
        <f>IF(AND(G$2&gt;=(Params!$B$8-1),Params!$B$9=1,G$2&gt;=(Params!$B$10-1)),1,0)</f>
        <v/>
      </c>
      <c r="H5" s="3">
        <f>IF(AND(H$2&gt;=(Params!$B$8-1),Params!$B$9=1,H$2&gt;=(Params!$B$10-1)),1,0)</f>
        <v/>
      </c>
      <c r="I5" s="3">
        <f>IF(AND(I$2&gt;=(Params!$B$8-1),Params!$B$9=1,I$2&gt;=(Params!$B$10-1)),1,0)</f>
        <v/>
      </c>
      <c r="J5" s="3">
        <f>IF(AND(J$2&gt;=(Params!$B$8-1),Params!$B$9=1,J$2&gt;=(Params!$B$10-1)),1,0)</f>
        <v/>
      </c>
      <c r="K5" s="3">
        <f>IF(AND(K$2&gt;=(Params!$B$8-1),Params!$B$9=1,K$2&gt;=(Params!$B$10-1)),1,0)</f>
        <v/>
      </c>
      <c r="L5" s="3">
        <f>IF(AND(L$2&gt;=(Params!$B$8-1),Params!$B$9=1,L$2&gt;=(Params!$B$10-1)),1,0)</f>
        <v/>
      </c>
      <c r="M5" s="3">
        <f>IF(AND(M$2&gt;=(Params!$B$8-1),Params!$B$9=1,M$2&gt;=(Params!$B$10-1)),1,0)</f>
        <v/>
      </c>
      <c r="N5" s="3">
        <f>IF(AND(N$2&gt;=(Params!$B$8-1),Params!$B$9=1,N$2&gt;=(Params!$B$10-1)),1,0)</f>
        <v/>
      </c>
      <c r="O5" s="3">
        <f>IF(AND(O$2&gt;=(Params!$B$8-1),Params!$B$9=1,O$2&gt;=(Params!$B$10-1)),1,0)</f>
        <v/>
      </c>
      <c r="P5" s="3">
        <f>IF(AND(P$2&gt;=(Params!$B$8-1),Params!$B$9=1,P$2&gt;=(Params!$B$10-1)),1,0)</f>
        <v/>
      </c>
      <c r="Q5" s="3">
        <f>IF(AND(Q$2&gt;=(Params!$B$8-1),Params!$B$9=1,Q$2&gt;=(Params!$B$10-1)),1,0)</f>
        <v/>
      </c>
      <c r="R5" s="3">
        <f>IF(AND(R$2&gt;=(Params!$B$8-1),Params!$B$9=1,R$2&gt;=(Params!$B$10-1)),1,0)</f>
        <v/>
      </c>
      <c r="S5" s="3">
        <f>IF(AND(S$2&gt;=(Params!$B$8-1),Params!$B$9=1,S$2&gt;=(Params!$B$10-1)),1,0)</f>
        <v/>
      </c>
      <c r="T5" s="3">
        <f>IF(AND(T$2&gt;=(Params!$B$8-1),Params!$B$9=1,T$2&gt;=(Params!$B$10-1)),1,0)</f>
        <v/>
      </c>
      <c r="U5" s="3">
        <f>IF(AND(U$2&gt;=(Params!$B$8-1),Params!$B$9=1,U$2&gt;=(Params!$B$10-1)),1,0)</f>
        <v/>
      </c>
      <c r="V5" s="3">
        <f>IF(AND(V$2&gt;=(Params!$B$8-1),Params!$B$9=1,V$2&gt;=(Params!$B$10-1)),1,0)</f>
        <v/>
      </c>
      <c r="W5" s="3">
        <f>IF(AND(W$2&gt;=(Params!$B$8-1),Params!$B$9=1,W$2&gt;=(Params!$B$10-1)),1,0)</f>
        <v/>
      </c>
      <c r="X5" s="3">
        <f>IF(AND(X$2&gt;=(Params!$B$8-1),Params!$B$9=1,X$2&gt;=(Params!$B$10-1)),1,0)</f>
        <v/>
      </c>
      <c r="Y5" s="3">
        <f>IF(AND(Y$2&gt;=(Params!$B$8-1),Params!$B$9=1,Y$2&gt;=(Params!$B$10-1)),1,0)</f>
        <v/>
      </c>
      <c r="Z5" s="3">
        <f>IF(AND(Z$2&gt;=(Params!$B$8-1),Params!$B$9=1,Z$2&gt;=(Params!$B$10-1)),1,0)</f>
        <v/>
      </c>
      <c r="AA5" s="3">
        <f>IF(AND(AA$2&gt;=(Params!$B$8-1),Params!$B$9=1,AA$2&gt;=(Params!$B$10-1)),1,0)</f>
        <v/>
      </c>
      <c r="AB5" s="3">
        <f>IF(AND(AB$2&gt;=(Params!$B$8-1),Params!$B$9=1,AB$2&gt;=(Params!$B$10-1)),1,0)</f>
        <v/>
      </c>
      <c r="AC5" s="3">
        <f>IF(AND(AC$2&gt;=(Params!$B$8-1),Params!$B$9=1,AC$2&gt;=(Params!$B$10-1)),1,0)</f>
        <v/>
      </c>
      <c r="AD5" s="3">
        <f>IF(AND(AD$2&gt;=(Params!$B$8-1),Params!$B$9=1,AD$2&gt;=(Params!$B$10-1)),1,0)</f>
        <v/>
      </c>
      <c r="AE5" s="3">
        <f>IF(AND(AE$2&gt;=(Params!$B$8-1),Params!$B$9=1,AE$2&gt;=(Params!$B$10-1)),1,0)</f>
        <v/>
      </c>
      <c r="AF5" s="3">
        <f>IF(AND(AF$2&gt;=(Params!$B$8-1),Params!$B$9=1,AF$2&gt;=(Params!$B$10-1)),1,0)</f>
        <v/>
      </c>
      <c r="AG5" s="3">
        <f>IF(AND(AG$2&gt;=(Params!$B$8-1),Params!$B$9=1,AG$2&gt;=(Params!$B$10-1)),1,0)</f>
        <v/>
      </c>
      <c r="AH5" s="3">
        <f>IF(AND(AH$2&gt;=(Params!$B$8-1),Params!$B$9=1,AH$2&gt;=(Params!$B$10-1)),1,0)</f>
        <v/>
      </c>
      <c r="AI5" s="3">
        <f>IF(AND(AI$2&gt;=(Params!$B$8-1),Params!$B$9=1,AI$2&gt;=(Params!$B$10-1)),1,0)</f>
        <v/>
      </c>
      <c r="AJ5" s="3">
        <f>IF(AND(AJ$2&gt;=(Params!$B$8-1),Params!$B$9=1,AJ$2&gt;=(Params!$B$10-1)),1,0)</f>
        <v/>
      </c>
      <c r="AK5" s="3">
        <f>IF(AND(AK$2&gt;=(Params!$B$8-1),Params!$B$9=1,AK$2&gt;=(Params!$B$10-1)),1,0)</f>
        <v/>
      </c>
      <c r="AL5" s="3">
        <f>IF(AND(AL$2&gt;=(Params!$B$8-1),Params!$B$9=1,AL$2&gt;=(Params!$B$10-1)),1,0)</f>
        <v/>
      </c>
      <c r="AM5" s="3">
        <f>IF(AND(AM$2&gt;=(Params!$B$8-1),Params!$B$9=1,AM$2&gt;=(Params!$B$10-1)),1,0)</f>
        <v/>
      </c>
      <c r="AN5" s="3">
        <f>IF(AND(AN$2&gt;=(Params!$B$8-1),Params!$B$9=1,AN$2&gt;=(Params!$B$10-1)),1,0)</f>
        <v/>
      </c>
      <c r="AO5" s="3">
        <f>IF(AND(AO$2&gt;=(Params!$B$8-1),Params!$B$9=1,AO$2&gt;=(Params!$B$10-1)),1,0)</f>
        <v/>
      </c>
      <c r="AP5" s="3">
        <f>IF(AND(AP$2&gt;=(Params!$B$8-1),Params!$B$9=1,AP$2&gt;=(Params!$B$10-1)),1,0)</f>
        <v/>
      </c>
      <c r="AQ5" s="3">
        <f>IF(AND(AQ$2&gt;=(Params!$B$8-1),Params!$B$9=1,AQ$2&gt;=(Params!$B$10-1)),1,0)</f>
        <v/>
      </c>
      <c r="AR5" s="3">
        <f>IF(AND(AR$2&gt;=(Params!$B$8-1),Params!$B$9=1,AR$2&gt;=(Params!$B$10-1)),1,0)</f>
        <v/>
      </c>
      <c r="AS5" s="3">
        <f>IF(AND(AS$2&gt;=(Params!$B$8-1),Params!$B$9=1,AS$2&gt;=(Params!$B$10-1)),1,0)</f>
        <v/>
      </c>
      <c r="AT5" s="3">
        <f>IF(AND(AT$2&gt;=(Params!$B$8-1),Params!$B$9=1,AT$2&gt;=(Params!$B$10-1)),1,0)</f>
        <v/>
      </c>
      <c r="AU5" s="3">
        <f>IF(AND(AU$2&gt;=(Params!$B$8-1),Params!$B$9=1,AU$2&gt;=(Params!$B$10-1)),1,0)</f>
        <v/>
      </c>
      <c r="AV5" s="3">
        <f>IF(AND(AV$2&gt;=(Params!$B$8-1),Params!$B$9=1,AV$2&gt;=(Params!$B$10-1)),1,0)</f>
        <v/>
      </c>
      <c r="AW5" s="3">
        <f>IF(AND(AW$2&gt;=(Params!$B$8-1),Params!$B$9=1,AW$2&gt;=(Params!$B$10-1)),1,0)</f>
        <v/>
      </c>
      <c r="AX5" s="3">
        <f>IF(AND(AX$2&gt;=(Params!$B$8-1),Params!$B$9=1,AX$2&gt;=(Params!$B$10-1)),1,0)</f>
        <v/>
      </c>
      <c r="AY5" s="3">
        <f>IF(AND(AY$2&gt;=(Params!$B$8-1),Params!$B$9=1,AY$2&gt;=(Params!$B$10-1)),1,0)</f>
        <v/>
      </c>
      <c r="AZ5" s="3">
        <f>IF(AND(AZ$2&gt;=(Params!$B$8-1),Params!$B$9=1,AZ$2&gt;=(Params!$B$10-1)),1,0)</f>
        <v/>
      </c>
      <c r="BA5" s="3">
        <f>IF(AND(BA$2&gt;=(Params!$B$8-1),Params!$B$9=1,BA$2&gt;=(Params!$B$10-1)),1,0)</f>
        <v/>
      </c>
      <c r="BB5" s="3">
        <f>IF(AND(BB$2&gt;=(Params!$B$8-1),Params!$B$9=1,BB$2&gt;=(Params!$B$10-1)),1,0)</f>
        <v/>
      </c>
      <c r="BC5" s="3">
        <f>IF(AND(BC$2&gt;=(Params!$B$8-1),Params!$B$9=1,BC$2&gt;=(Params!$B$10-1)),1,0)</f>
        <v/>
      </c>
      <c r="BD5" s="3">
        <f>IF(AND(BD$2&gt;=(Params!$B$8-1),Params!$B$9=1,BD$2&gt;=(Params!$B$10-1)),1,0)</f>
        <v/>
      </c>
      <c r="BE5" s="3">
        <f>IF(AND(BE$2&gt;=(Params!$B$8-1),Params!$B$9=1,BE$2&gt;=(Params!$B$10-1)),1,0)</f>
        <v/>
      </c>
      <c r="BF5" s="3">
        <f>IF(AND(BF$2&gt;=(Params!$B$8-1),Params!$B$9=1,BF$2&gt;=(Params!$B$10-1)),1,0)</f>
        <v/>
      </c>
      <c r="BG5" s="3">
        <f>IF(AND(BG$2&gt;=(Params!$B$8-1),Params!$B$9=1,BG$2&gt;=(Params!$B$10-1)),1,0)</f>
        <v/>
      </c>
      <c r="BH5" s="3">
        <f>IF(AND(BH$2&gt;=(Params!$B$8-1),Params!$B$9=1,BH$2&gt;=(Params!$B$10-1)),1,0)</f>
        <v/>
      </c>
      <c r="BI5" s="3">
        <f>IF(AND(BI$2&gt;=(Params!$B$8-1),Params!$B$9=1,BI$2&gt;=(Params!$B$10-1)),1,0)</f>
        <v/>
      </c>
      <c r="BJ5" s="3">
        <f>IF(AND(BJ$2&gt;=(Params!$B$8-1),Params!$B$9=1,BJ$2&gt;=(Params!$B$10-1)),1,0)</f>
        <v/>
      </c>
      <c r="BK5" s="3">
        <f>IF(AND(BK$2&gt;=(Params!$B$8-1),Params!$B$9=1,BK$2&gt;=(Params!$B$10-1)),1,0)</f>
        <v/>
      </c>
      <c r="BL5" s="3">
        <f>IF(AND(BL$2&gt;=(Params!$B$8-1),Params!$B$9=1,BL$2&gt;=(Params!$B$10-1)),1,0)</f>
        <v/>
      </c>
      <c r="BM5" s="3">
        <f>IF(AND(BM$2&gt;=(Params!$B$8-1),Params!$B$9=1,BM$2&gt;=(Params!$B$10-1)),1,0)</f>
        <v/>
      </c>
      <c r="BN5" s="3">
        <f>IF(AND(BN$2&gt;=(Params!$B$8-1),Params!$B$9=1,BN$2&gt;=(Params!$B$10-1)),1,0)</f>
        <v/>
      </c>
      <c r="BO5" s="3">
        <f>IF(AND(BO$2&gt;=(Params!$B$8-1),Params!$B$9=1,BO$2&gt;=(Params!$B$10-1)),1,0)</f>
        <v/>
      </c>
      <c r="BP5" s="3">
        <f>IF(AND(BP$2&gt;=(Params!$B$8-1),Params!$B$9=1,BP$2&gt;=(Params!$B$10-1)),1,0)</f>
        <v/>
      </c>
      <c r="BQ5" s="3">
        <f>IF(AND(BQ$2&gt;=(Params!$B$8-1),Params!$B$9=1,BQ$2&gt;=(Params!$B$10-1)),1,0)</f>
        <v/>
      </c>
      <c r="BR5" s="3">
        <f>IF(AND(BR$2&gt;=(Params!$B$8-1),Params!$B$9=1,BR$2&gt;=(Params!$B$10-1)),1,0)</f>
        <v/>
      </c>
      <c r="BS5" s="3">
        <f>IF(AND(BS$2&gt;=(Params!$B$8-1),Params!$B$9=1,BS$2&gt;=(Params!$B$10-1)),1,0)</f>
        <v/>
      </c>
      <c r="BT5" s="3">
        <f>IF(AND(BT$2&gt;=(Params!$B$8-1),Params!$B$9=1,BT$2&gt;=(Params!$B$10-1)),1,0)</f>
        <v/>
      </c>
      <c r="BU5" s="3">
        <f>IF(AND(BU$2&gt;=(Params!$B$8-1),Params!$B$9=1,BU$2&gt;=(Params!$B$10-1)),1,0)</f>
        <v/>
      </c>
      <c r="BV5" s="3">
        <f>IF(AND(BV$2&gt;=(Params!$B$8-1),Params!$B$9=1,BV$2&gt;=(Params!$B$10-1)),1,0)</f>
        <v/>
      </c>
    </row>
    <row r="7">
      <c r="A7" t="inlineStr">
        <is>
          <t>conversion multiplier</t>
        </is>
      </c>
      <c r="B7" t="inlineStr">
        <is>
          <t>by month</t>
        </is>
      </c>
      <c r="C7" s="4">
        <f>(C3*Params!$B$26+(C4+C5)*Params!$B$27)*(1+Params!$B$11*C5)</f>
        <v/>
      </c>
      <c r="D7" s="4">
        <f>(D3*Params!$B$26+(D4+D5)*Params!$B$27)*(1+Params!$B$11*D5)</f>
        <v/>
      </c>
      <c r="E7" s="4">
        <f>(E3*Params!$B$26+(E4+E5)*Params!$B$27)*(1+Params!$B$11*E5)</f>
        <v/>
      </c>
      <c r="F7" s="4">
        <f>(F3*Params!$B$26+(F4+F5)*Params!$B$27)*(1+Params!$B$11*F5)</f>
        <v/>
      </c>
      <c r="G7" s="4">
        <f>(G3*Params!$B$26+(G4+G5)*Params!$B$27)*(1+Params!$B$11*G5)</f>
        <v/>
      </c>
      <c r="H7" s="4">
        <f>(H3*Params!$B$26+(H4+H5)*Params!$B$27)*(1+Params!$B$11*H5)</f>
        <v/>
      </c>
      <c r="I7" s="4">
        <f>(I3*Params!$B$26+(I4+I5)*Params!$B$27)*(1+Params!$B$11*I5)</f>
        <v/>
      </c>
      <c r="J7" s="4">
        <f>(J3*Params!$B$26+(J4+J5)*Params!$B$27)*(1+Params!$B$11*J5)</f>
        <v/>
      </c>
      <c r="K7" s="4">
        <f>(K3*Params!$B$26+(K4+K5)*Params!$B$27)*(1+Params!$B$11*K5)</f>
        <v/>
      </c>
      <c r="L7" s="4">
        <f>(L3*Params!$B$26+(L4+L5)*Params!$B$27)*(1+Params!$B$11*L5)</f>
        <v/>
      </c>
      <c r="M7" s="4">
        <f>(M3*Params!$B$26+(M4+M5)*Params!$B$27)*(1+Params!$B$11*M5)</f>
        <v/>
      </c>
      <c r="N7" s="4">
        <f>(N3*Params!$B$26+(N4+N5)*Params!$B$27)*(1+Params!$B$11*N5)</f>
        <v/>
      </c>
      <c r="O7" s="4">
        <f>(O3*Params!$B$26+(O4+O5)*Params!$B$27)*(1+Params!$B$11*O5)</f>
        <v/>
      </c>
      <c r="P7" s="4">
        <f>(P3*Params!$B$26+(P4+P5)*Params!$B$27)*(1+Params!$B$11*P5)</f>
        <v/>
      </c>
      <c r="Q7" s="4">
        <f>(Q3*Params!$B$26+(Q4+Q5)*Params!$B$27)*(1+Params!$B$11*Q5)</f>
        <v/>
      </c>
      <c r="R7" s="4">
        <f>(R3*Params!$B$26+(R4+R5)*Params!$B$27)*(1+Params!$B$11*R5)</f>
        <v/>
      </c>
      <c r="S7" s="4">
        <f>(S3*Params!$B$26+(S4+S5)*Params!$B$27)*(1+Params!$B$11*S5)</f>
        <v/>
      </c>
      <c r="T7" s="4">
        <f>(T3*Params!$B$26+(T4+T5)*Params!$B$27)*(1+Params!$B$11*T5)</f>
        <v/>
      </c>
      <c r="U7" s="4">
        <f>(U3*Params!$B$26+(U4+U5)*Params!$B$27)*(1+Params!$B$11*U5)</f>
        <v/>
      </c>
      <c r="V7" s="4">
        <f>(V3*Params!$B$26+(V4+V5)*Params!$B$27)*(1+Params!$B$11*V5)</f>
        <v/>
      </c>
      <c r="W7" s="4">
        <f>(W3*Params!$B$26+(W4+W5)*Params!$B$27)*(1+Params!$B$11*W5)</f>
        <v/>
      </c>
      <c r="X7" s="4">
        <f>(X3*Params!$B$26+(X4+X5)*Params!$B$27)*(1+Params!$B$11*X5)</f>
        <v/>
      </c>
      <c r="Y7" s="4">
        <f>(Y3*Params!$B$26+(Y4+Y5)*Params!$B$27)*(1+Params!$B$11*Y5)</f>
        <v/>
      </c>
      <c r="Z7" s="4">
        <f>(Z3*Params!$B$26+(Z4+Z5)*Params!$B$27)*(1+Params!$B$11*Z5)</f>
        <v/>
      </c>
      <c r="AA7" s="4">
        <f>(AA3*Params!$B$26+(AA4+AA5)*Params!$B$27)*(1+Params!$B$11*AA5)</f>
        <v/>
      </c>
      <c r="AB7" s="4">
        <f>(AB3*Params!$B$26+(AB4+AB5)*Params!$B$27)*(1+Params!$B$11*AB5)</f>
        <v/>
      </c>
      <c r="AC7" s="4">
        <f>(AC3*Params!$B$26+(AC4+AC5)*Params!$B$27)*(1+Params!$B$11*AC5)</f>
        <v/>
      </c>
      <c r="AD7" s="4">
        <f>(AD3*Params!$B$26+(AD4+AD5)*Params!$B$27)*(1+Params!$B$11*AD5)</f>
        <v/>
      </c>
      <c r="AE7" s="4">
        <f>(AE3*Params!$B$26+(AE4+AE5)*Params!$B$27)*(1+Params!$B$11*AE5)</f>
        <v/>
      </c>
      <c r="AF7" s="4">
        <f>(AF3*Params!$B$26+(AF4+AF5)*Params!$B$27)*(1+Params!$B$11*AF5)</f>
        <v/>
      </c>
      <c r="AG7" s="4">
        <f>(AG3*Params!$B$26+(AG4+AG5)*Params!$B$27)*(1+Params!$B$11*AG5)</f>
        <v/>
      </c>
      <c r="AH7" s="4">
        <f>(AH3*Params!$B$26+(AH4+AH5)*Params!$B$27)*(1+Params!$B$11*AH5)</f>
        <v/>
      </c>
      <c r="AI7" s="4">
        <f>(AI3*Params!$B$26+(AI4+AI5)*Params!$B$27)*(1+Params!$B$11*AI5)</f>
        <v/>
      </c>
      <c r="AJ7" s="4">
        <f>(AJ3*Params!$B$26+(AJ4+AJ5)*Params!$B$27)*(1+Params!$B$11*AJ5)</f>
        <v/>
      </c>
      <c r="AK7" s="4">
        <f>(AK3*Params!$B$26+(AK4+AK5)*Params!$B$27)*(1+Params!$B$11*AK5)</f>
        <v/>
      </c>
      <c r="AL7" s="4">
        <f>(AL3*Params!$B$26+(AL4+AL5)*Params!$B$27)*(1+Params!$B$11*AL5)</f>
        <v/>
      </c>
      <c r="AM7" s="4">
        <f>(AM3*Params!$B$26+(AM4+AM5)*Params!$B$27)*(1+Params!$B$11*AM5)</f>
        <v/>
      </c>
      <c r="AN7" s="4">
        <f>(AN3*Params!$B$26+(AN4+AN5)*Params!$B$27)*(1+Params!$B$11*AN5)</f>
        <v/>
      </c>
      <c r="AO7" s="4">
        <f>(AO3*Params!$B$26+(AO4+AO5)*Params!$B$27)*(1+Params!$B$11*AO5)</f>
        <v/>
      </c>
      <c r="AP7" s="4">
        <f>(AP3*Params!$B$26+(AP4+AP5)*Params!$B$27)*(1+Params!$B$11*AP5)</f>
        <v/>
      </c>
      <c r="AQ7" s="4">
        <f>(AQ3*Params!$B$26+(AQ4+AQ5)*Params!$B$27)*(1+Params!$B$11*AQ5)</f>
        <v/>
      </c>
      <c r="AR7" s="4">
        <f>(AR3*Params!$B$26+(AR4+AR5)*Params!$B$27)*(1+Params!$B$11*AR5)</f>
        <v/>
      </c>
      <c r="AS7" s="4">
        <f>(AS3*Params!$B$26+(AS4+AS5)*Params!$B$27)*(1+Params!$B$11*AS5)</f>
        <v/>
      </c>
      <c r="AT7" s="4">
        <f>(AT3*Params!$B$26+(AT4+AT5)*Params!$B$27)*(1+Params!$B$11*AT5)</f>
        <v/>
      </c>
      <c r="AU7" s="4">
        <f>(AU3*Params!$B$26+(AU4+AU5)*Params!$B$27)*(1+Params!$B$11*AU5)</f>
        <v/>
      </c>
      <c r="AV7" s="4">
        <f>(AV3*Params!$B$26+(AV4+AV5)*Params!$B$27)*(1+Params!$B$11*AV5)</f>
        <v/>
      </c>
      <c r="AW7" s="4">
        <f>(AW3*Params!$B$26+(AW4+AW5)*Params!$B$27)*(1+Params!$B$11*AW5)</f>
        <v/>
      </c>
      <c r="AX7" s="4">
        <f>(AX3*Params!$B$26+(AX4+AX5)*Params!$B$27)*(1+Params!$B$11*AX5)</f>
        <v/>
      </c>
      <c r="AY7" s="4">
        <f>(AY3*Params!$B$26+(AY4+AY5)*Params!$B$27)*(1+Params!$B$11*AY5)</f>
        <v/>
      </c>
      <c r="AZ7" s="4">
        <f>(AZ3*Params!$B$26+(AZ4+AZ5)*Params!$B$27)*(1+Params!$B$11*AZ5)</f>
        <v/>
      </c>
      <c r="BA7" s="4">
        <f>(BA3*Params!$B$26+(BA4+BA5)*Params!$B$27)*(1+Params!$B$11*BA5)</f>
        <v/>
      </c>
      <c r="BB7" s="4">
        <f>(BB3*Params!$B$26+(BB4+BB5)*Params!$B$27)*(1+Params!$B$11*BB5)</f>
        <v/>
      </c>
      <c r="BC7" s="4">
        <f>(BC3*Params!$B$26+(BC4+BC5)*Params!$B$27)*(1+Params!$B$11*BC5)</f>
        <v/>
      </c>
      <c r="BD7" s="4">
        <f>(BD3*Params!$B$26+(BD4+BD5)*Params!$B$27)*(1+Params!$B$11*BD5)</f>
        <v/>
      </c>
      <c r="BE7" s="4">
        <f>(BE3*Params!$B$26+(BE4+BE5)*Params!$B$27)*(1+Params!$B$11*BE5)</f>
        <v/>
      </c>
      <c r="BF7" s="4">
        <f>(BF3*Params!$B$26+(BF4+BF5)*Params!$B$27)*(1+Params!$B$11*BF5)</f>
        <v/>
      </c>
      <c r="BG7" s="4">
        <f>(BG3*Params!$B$26+(BG4+BG5)*Params!$B$27)*(1+Params!$B$11*BG5)</f>
        <v/>
      </c>
      <c r="BH7" s="4">
        <f>(BH3*Params!$B$26+(BH4+BH5)*Params!$B$27)*(1+Params!$B$11*BH5)</f>
        <v/>
      </c>
      <c r="BI7" s="4">
        <f>(BI3*Params!$B$26+(BI4+BI5)*Params!$B$27)*(1+Params!$B$11*BI5)</f>
        <v/>
      </c>
      <c r="BJ7" s="4">
        <f>(BJ3*Params!$B$26+(BJ4+BJ5)*Params!$B$27)*(1+Params!$B$11*BJ5)</f>
        <v/>
      </c>
      <c r="BK7" s="4">
        <f>(BK3*Params!$B$26+(BK4+BK5)*Params!$B$27)*(1+Params!$B$11*BK5)</f>
        <v/>
      </c>
      <c r="BL7" s="4">
        <f>(BL3*Params!$B$26+(BL4+BL5)*Params!$B$27)*(1+Params!$B$11*BL5)</f>
        <v/>
      </c>
      <c r="BM7" s="4">
        <f>(BM3*Params!$B$26+(BM4+BM5)*Params!$B$27)*(1+Params!$B$11*BM5)</f>
        <v/>
      </c>
      <c r="BN7" s="4">
        <f>(BN3*Params!$B$26+(BN4+BN5)*Params!$B$27)*(1+Params!$B$11*BN5)</f>
        <v/>
      </c>
      <c r="BO7" s="4">
        <f>(BO3*Params!$B$26+(BO4+BO5)*Params!$B$27)*(1+Params!$B$11*BO5)</f>
        <v/>
      </c>
      <c r="BP7" s="4">
        <f>(BP3*Params!$B$26+(BP4+BP5)*Params!$B$27)*(1+Params!$B$11*BP5)</f>
        <v/>
      </c>
      <c r="BQ7" s="4">
        <f>(BQ3*Params!$B$26+(BQ4+BQ5)*Params!$B$27)*(1+Params!$B$11*BQ5)</f>
        <v/>
      </c>
      <c r="BR7" s="4">
        <f>(BR3*Params!$B$26+(BR4+BR5)*Params!$B$27)*(1+Params!$B$11*BR5)</f>
        <v/>
      </c>
      <c r="BS7" s="4">
        <f>(BS3*Params!$B$26+(BS4+BS5)*Params!$B$27)*(1+Params!$B$11*BS5)</f>
        <v/>
      </c>
      <c r="BT7" s="4">
        <f>(BT3*Params!$B$26+(BT4+BT5)*Params!$B$27)*(1+Params!$B$11*BT5)</f>
        <v/>
      </c>
      <c r="BU7" s="4">
        <f>(BU3*Params!$B$26+(BU4+BU5)*Params!$B$27)*(1+Params!$B$11*BU5)</f>
        <v/>
      </c>
      <c r="BV7" s="4">
        <f>(BV3*Params!$B$26+(BV4+BV5)*Params!$B$27)*(1+Params!$B$11*BV5)</f>
        <v/>
      </c>
    </row>
    <row r="8">
      <c r="A8" t="inlineStr">
        <is>
          <t>trial share of sign-ups</t>
        </is>
      </c>
      <c r="B8" t="inlineStr">
        <is>
          <t>by month</t>
        </is>
      </c>
      <c r="C8" s="4">
        <f>(C3*Params!$B$28+(C4+C5)*Params!$B$29)</f>
        <v/>
      </c>
      <c r="D8" s="4">
        <f>(D3*Params!$B$28+(D4+D5)*Params!$B$29)</f>
        <v/>
      </c>
      <c r="E8" s="4">
        <f>(E3*Params!$B$28+(E4+E5)*Params!$B$29)</f>
        <v/>
      </c>
      <c r="F8" s="4">
        <f>(F3*Params!$B$28+(F4+F5)*Params!$B$29)</f>
        <v/>
      </c>
      <c r="G8" s="4">
        <f>(G3*Params!$B$28+(G4+G5)*Params!$B$29)</f>
        <v/>
      </c>
      <c r="H8" s="4">
        <f>(H3*Params!$B$28+(H4+H5)*Params!$B$29)</f>
        <v/>
      </c>
      <c r="I8" s="4">
        <f>(I3*Params!$B$28+(I4+I5)*Params!$B$29)</f>
        <v/>
      </c>
      <c r="J8" s="4">
        <f>(J3*Params!$B$28+(J4+J5)*Params!$B$29)</f>
        <v/>
      </c>
      <c r="K8" s="4">
        <f>(K3*Params!$B$28+(K4+K5)*Params!$B$29)</f>
        <v/>
      </c>
      <c r="L8" s="4">
        <f>(L3*Params!$B$28+(L4+L5)*Params!$B$29)</f>
        <v/>
      </c>
      <c r="M8" s="4">
        <f>(M3*Params!$B$28+(M4+M5)*Params!$B$29)</f>
        <v/>
      </c>
      <c r="N8" s="4">
        <f>(N3*Params!$B$28+(N4+N5)*Params!$B$29)</f>
        <v/>
      </c>
      <c r="O8" s="4">
        <f>(O3*Params!$B$28+(O4+O5)*Params!$B$29)</f>
        <v/>
      </c>
      <c r="P8" s="4">
        <f>(P3*Params!$B$28+(P4+P5)*Params!$B$29)</f>
        <v/>
      </c>
      <c r="Q8" s="4">
        <f>(Q3*Params!$B$28+(Q4+Q5)*Params!$B$29)</f>
        <v/>
      </c>
      <c r="R8" s="4">
        <f>(R3*Params!$B$28+(R4+R5)*Params!$B$29)</f>
        <v/>
      </c>
      <c r="S8" s="4">
        <f>(S3*Params!$B$28+(S4+S5)*Params!$B$29)</f>
        <v/>
      </c>
      <c r="T8" s="4">
        <f>(T3*Params!$B$28+(T4+T5)*Params!$B$29)</f>
        <v/>
      </c>
      <c r="U8" s="4">
        <f>(U3*Params!$B$28+(U4+U5)*Params!$B$29)</f>
        <v/>
      </c>
      <c r="V8" s="4">
        <f>(V3*Params!$B$28+(V4+V5)*Params!$B$29)</f>
        <v/>
      </c>
      <c r="W8" s="4">
        <f>(W3*Params!$B$28+(W4+W5)*Params!$B$29)</f>
        <v/>
      </c>
      <c r="X8" s="4">
        <f>(X3*Params!$B$28+(X4+X5)*Params!$B$29)</f>
        <v/>
      </c>
      <c r="Y8" s="4">
        <f>(Y3*Params!$B$28+(Y4+Y5)*Params!$B$29)</f>
        <v/>
      </c>
      <c r="Z8" s="4">
        <f>(Z3*Params!$B$28+(Z4+Z5)*Params!$B$29)</f>
        <v/>
      </c>
      <c r="AA8" s="4">
        <f>(AA3*Params!$B$28+(AA4+AA5)*Params!$B$29)</f>
        <v/>
      </c>
      <c r="AB8" s="4">
        <f>(AB3*Params!$B$28+(AB4+AB5)*Params!$B$29)</f>
        <v/>
      </c>
      <c r="AC8" s="4">
        <f>(AC3*Params!$B$28+(AC4+AC5)*Params!$B$29)</f>
        <v/>
      </c>
      <c r="AD8" s="4">
        <f>(AD3*Params!$B$28+(AD4+AD5)*Params!$B$29)</f>
        <v/>
      </c>
      <c r="AE8" s="4">
        <f>(AE3*Params!$B$28+(AE4+AE5)*Params!$B$29)</f>
        <v/>
      </c>
      <c r="AF8" s="4">
        <f>(AF3*Params!$B$28+(AF4+AF5)*Params!$B$29)</f>
        <v/>
      </c>
      <c r="AG8" s="4">
        <f>(AG3*Params!$B$28+(AG4+AG5)*Params!$B$29)</f>
        <v/>
      </c>
      <c r="AH8" s="4">
        <f>(AH3*Params!$B$28+(AH4+AH5)*Params!$B$29)</f>
        <v/>
      </c>
      <c r="AI8" s="4">
        <f>(AI3*Params!$B$28+(AI4+AI5)*Params!$B$29)</f>
        <v/>
      </c>
      <c r="AJ8" s="4">
        <f>(AJ3*Params!$B$28+(AJ4+AJ5)*Params!$B$29)</f>
        <v/>
      </c>
      <c r="AK8" s="4">
        <f>(AK3*Params!$B$28+(AK4+AK5)*Params!$B$29)</f>
        <v/>
      </c>
      <c r="AL8" s="4">
        <f>(AL3*Params!$B$28+(AL4+AL5)*Params!$B$29)</f>
        <v/>
      </c>
      <c r="AM8" s="4">
        <f>(AM3*Params!$B$28+(AM4+AM5)*Params!$B$29)</f>
        <v/>
      </c>
      <c r="AN8" s="4">
        <f>(AN3*Params!$B$28+(AN4+AN5)*Params!$B$29)</f>
        <v/>
      </c>
      <c r="AO8" s="4">
        <f>(AO3*Params!$B$28+(AO4+AO5)*Params!$B$29)</f>
        <v/>
      </c>
      <c r="AP8" s="4">
        <f>(AP3*Params!$B$28+(AP4+AP5)*Params!$B$29)</f>
        <v/>
      </c>
      <c r="AQ8" s="4">
        <f>(AQ3*Params!$B$28+(AQ4+AQ5)*Params!$B$29)</f>
        <v/>
      </c>
      <c r="AR8" s="4">
        <f>(AR3*Params!$B$28+(AR4+AR5)*Params!$B$29)</f>
        <v/>
      </c>
      <c r="AS8" s="4">
        <f>(AS3*Params!$B$28+(AS4+AS5)*Params!$B$29)</f>
        <v/>
      </c>
      <c r="AT8" s="4">
        <f>(AT3*Params!$B$28+(AT4+AT5)*Params!$B$29)</f>
        <v/>
      </c>
      <c r="AU8" s="4">
        <f>(AU3*Params!$B$28+(AU4+AU5)*Params!$B$29)</f>
        <v/>
      </c>
      <c r="AV8" s="4">
        <f>(AV3*Params!$B$28+(AV4+AV5)*Params!$B$29)</f>
        <v/>
      </c>
      <c r="AW8" s="4">
        <f>(AW3*Params!$B$28+(AW4+AW5)*Params!$B$29)</f>
        <v/>
      </c>
      <c r="AX8" s="4">
        <f>(AX3*Params!$B$28+(AX4+AX5)*Params!$B$29)</f>
        <v/>
      </c>
      <c r="AY8" s="4">
        <f>(AY3*Params!$B$28+(AY4+AY5)*Params!$B$29)</f>
        <v/>
      </c>
      <c r="AZ8" s="4">
        <f>(AZ3*Params!$B$28+(AZ4+AZ5)*Params!$B$29)</f>
        <v/>
      </c>
      <c r="BA8" s="4">
        <f>(BA3*Params!$B$28+(BA4+BA5)*Params!$B$29)</f>
        <v/>
      </c>
      <c r="BB8" s="4">
        <f>(BB3*Params!$B$28+(BB4+BB5)*Params!$B$29)</f>
        <v/>
      </c>
      <c r="BC8" s="4">
        <f>(BC3*Params!$B$28+(BC4+BC5)*Params!$B$29)</f>
        <v/>
      </c>
      <c r="BD8" s="4">
        <f>(BD3*Params!$B$28+(BD4+BD5)*Params!$B$29)</f>
        <v/>
      </c>
      <c r="BE8" s="4">
        <f>(BE3*Params!$B$28+(BE4+BE5)*Params!$B$29)</f>
        <v/>
      </c>
      <c r="BF8" s="4">
        <f>(BF3*Params!$B$28+(BF4+BF5)*Params!$B$29)</f>
        <v/>
      </c>
      <c r="BG8" s="4">
        <f>(BG3*Params!$B$28+(BG4+BG5)*Params!$B$29)</f>
        <v/>
      </c>
      <c r="BH8" s="4">
        <f>(BH3*Params!$B$28+(BH4+BH5)*Params!$B$29)</f>
        <v/>
      </c>
      <c r="BI8" s="4">
        <f>(BI3*Params!$B$28+(BI4+BI5)*Params!$B$29)</f>
        <v/>
      </c>
      <c r="BJ8" s="4">
        <f>(BJ3*Params!$B$28+(BJ4+BJ5)*Params!$B$29)</f>
        <v/>
      </c>
      <c r="BK8" s="4">
        <f>(BK3*Params!$B$28+(BK4+BK5)*Params!$B$29)</f>
        <v/>
      </c>
      <c r="BL8" s="4">
        <f>(BL3*Params!$B$28+(BL4+BL5)*Params!$B$29)</f>
        <v/>
      </c>
      <c r="BM8" s="4">
        <f>(BM3*Params!$B$28+(BM4+BM5)*Params!$B$29)</f>
        <v/>
      </c>
      <c r="BN8" s="4">
        <f>(BN3*Params!$B$28+(BN4+BN5)*Params!$B$29)</f>
        <v/>
      </c>
      <c r="BO8" s="4">
        <f>(BO3*Params!$B$28+(BO4+BO5)*Params!$B$29)</f>
        <v/>
      </c>
      <c r="BP8" s="4">
        <f>(BP3*Params!$B$28+(BP4+BP5)*Params!$B$29)</f>
        <v/>
      </c>
      <c r="BQ8" s="4">
        <f>(BQ3*Params!$B$28+(BQ4+BQ5)*Params!$B$29)</f>
        <v/>
      </c>
      <c r="BR8" s="4">
        <f>(BR3*Params!$B$28+(BR4+BR5)*Params!$B$29)</f>
        <v/>
      </c>
      <c r="BS8" s="4">
        <f>(BS3*Params!$B$28+(BS4+BS5)*Params!$B$29)</f>
        <v/>
      </c>
      <c r="BT8" s="4">
        <f>(BT3*Params!$B$28+(BT4+BT5)*Params!$B$29)</f>
        <v/>
      </c>
      <c r="BU8" s="4">
        <f>(BU3*Params!$B$28+(BU4+BU5)*Params!$B$29)</f>
        <v/>
      </c>
      <c r="BV8" s="4">
        <f>(BV3*Params!$B$28+(BV4+BV5)*Params!$B$29)</f>
        <v/>
      </c>
    </row>
    <row r="9">
      <c r="A9" t="inlineStr">
        <is>
          <t>trial-to-paid (by trial start)</t>
        </is>
      </c>
      <c r="B9" t="inlineStr">
        <is>
          <t>by month</t>
        </is>
      </c>
      <c r="C9" s="4">
        <f>(C3*Params!$B$30+(C4+C5)*Params!$B$31)</f>
        <v/>
      </c>
      <c r="D9" s="4">
        <f>(D3*Params!$B$30+(D4+D5)*Params!$B$31)</f>
        <v/>
      </c>
      <c r="E9" s="4">
        <f>(E3*Params!$B$30+(E4+E5)*Params!$B$31)</f>
        <v/>
      </c>
      <c r="F9" s="4">
        <f>(F3*Params!$B$30+(F4+F5)*Params!$B$31)</f>
        <v/>
      </c>
      <c r="G9" s="4">
        <f>(G3*Params!$B$30+(G4+G5)*Params!$B$31)</f>
        <v/>
      </c>
      <c r="H9" s="4">
        <f>(H3*Params!$B$30+(H4+H5)*Params!$B$31)</f>
        <v/>
      </c>
      <c r="I9" s="4">
        <f>(I3*Params!$B$30+(I4+I5)*Params!$B$31)</f>
        <v/>
      </c>
      <c r="J9" s="4">
        <f>(J3*Params!$B$30+(J4+J5)*Params!$B$31)</f>
        <v/>
      </c>
      <c r="K9" s="4">
        <f>(K3*Params!$B$30+(K4+K5)*Params!$B$31)</f>
        <v/>
      </c>
      <c r="L9" s="4">
        <f>(L3*Params!$B$30+(L4+L5)*Params!$B$31)</f>
        <v/>
      </c>
      <c r="M9" s="4">
        <f>(M3*Params!$B$30+(M4+M5)*Params!$B$31)</f>
        <v/>
      </c>
      <c r="N9" s="4">
        <f>(N3*Params!$B$30+(N4+N5)*Params!$B$31)</f>
        <v/>
      </c>
      <c r="O9" s="4">
        <f>(O3*Params!$B$30+(O4+O5)*Params!$B$31)</f>
        <v/>
      </c>
      <c r="P9" s="4">
        <f>(P3*Params!$B$30+(P4+P5)*Params!$B$31)</f>
        <v/>
      </c>
      <c r="Q9" s="4">
        <f>(Q3*Params!$B$30+(Q4+Q5)*Params!$B$31)</f>
        <v/>
      </c>
      <c r="R9" s="4">
        <f>(R3*Params!$B$30+(R4+R5)*Params!$B$31)</f>
        <v/>
      </c>
      <c r="S9" s="4">
        <f>(S3*Params!$B$30+(S4+S5)*Params!$B$31)</f>
        <v/>
      </c>
      <c r="T9" s="4">
        <f>(T3*Params!$B$30+(T4+T5)*Params!$B$31)</f>
        <v/>
      </c>
      <c r="U9" s="4">
        <f>(U3*Params!$B$30+(U4+U5)*Params!$B$31)</f>
        <v/>
      </c>
      <c r="V9" s="4">
        <f>(V3*Params!$B$30+(V4+V5)*Params!$B$31)</f>
        <v/>
      </c>
      <c r="W9" s="4">
        <f>(W3*Params!$B$30+(W4+W5)*Params!$B$31)</f>
        <v/>
      </c>
      <c r="X9" s="4">
        <f>(X3*Params!$B$30+(X4+X5)*Params!$B$31)</f>
        <v/>
      </c>
      <c r="Y9" s="4">
        <f>(Y3*Params!$B$30+(Y4+Y5)*Params!$B$31)</f>
        <v/>
      </c>
      <c r="Z9" s="4">
        <f>(Z3*Params!$B$30+(Z4+Z5)*Params!$B$31)</f>
        <v/>
      </c>
      <c r="AA9" s="4">
        <f>(AA3*Params!$B$30+(AA4+AA5)*Params!$B$31)</f>
        <v/>
      </c>
      <c r="AB9" s="4">
        <f>(AB3*Params!$B$30+(AB4+AB5)*Params!$B$31)</f>
        <v/>
      </c>
      <c r="AC9" s="4">
        <f>(AC3*Params!$B$30+(AC4+AC5)*Params!$B$31)</f>
        <v/>
      </c>
      <c r="AD9" s="4">
        <f>(AD3*Params!$B$30+(AD4+AD5)*Params!$B$31)</f>
        <v/>
      </c>
      <c r="AE9" s="4">
        <f>(AE3*Params!$B$30+(AE4+AE5)*Params!$B$31)</f>
        <v/>
      </c>
      <c r="AF9" s="4">
        <f>(AF3*Params!$B$30+(AF4+AF5)*Params!$B$31)</f>
        <v/>
      </c>
      <c r="AG9" s="4">
        <f>(AG3*Params!$B$30+(AG4+AG5)*Params!$B$31)</f>
        <v/>
      </c>
      <c r="AH9" s="4">
        <f>(AH3*Params!$B$30+(AH4+AH5)*Params!$B$31)</f>
        <v/>
      </c>
      <c r="AI9" s="4">
        <f>(AI3*Params!$B$30+(AI4+AI5)*Params!$B$31)</f>
        <v/>
      </c>
      <c r="AJ9" s="4">
        <f>(AJ3*Params!$B$30+(AJ4+AJ5)*Params!$B$31)</f>
        <v/>
      </c>
      <c r="AK9" s="4">
        <f>(AK3*Params!$B$30+(AK4+AK5)*Params!$B$31)</f>
        <v/>
      </c>
      <c r="AL9" s="4">
        <f>(AL3*Params!$B$30+(AL4+AL5)*Params!$B$31)</f>
        <v/>
      </c>
      <c r="AM9" s="4">
        <f>(AM3*Params!$B$30+(AM4+AM5)*Params!$B$31)</f>
        <v/>
      </c>
      <c r="AN9" s="4">
        <f>(AN3*Params!$B$30+(AN4+AN5)*Params!$B$31)</f>
        <v/>
      </c>
      <c r="AO9" s="4">
        <f>(AO3*Params!$B$30+(AO4+AO5)*Params!$B$31)</f>
        <v/>
      </c>
      <c r="AP9" s="4">
        <f>(AP3*Params!$B$30+(AP4+AP5)*Params!$B$31)</f>
        <v/>
      </c>
      <c r="AQ9" s="4">
        <f>(AQ3*Params!$B$30+(AQ4+AQ5)*Params!$B$31)</f>
        <v/>
      </c>
      <c r="AR9" s="4">
        <f>(AR3*Params!$B$30+(AR4+AR5)*Params!$B$31)</f>
        <v/>
      </c>
      <c r="AS9" s="4">
        <f>(AS3*Params!$B$30+(AS4+AS5)*Params!$B$31)</f>
        <v/>
      </c>
      <c r="AT9" s="4">
        <f>(AT3*Params!$B$30+(AT4+AT5)*Params!$B$31)</f>
        <v/>
      </c>
      <c r="AU9" s="4">
        <f>(AU3*Params!$B$30+(AU4+AU5)*Params!$B$31)</f>
        <v/>
      </c>
      <c r="AV9" s="4">
        <f>(AV3*Params!$B$30+(AV4+AV5)*Params!$B$31)</f>
        <v/>
      </c>
      <c r="AW9" s="4">
        <f>(AW3*Params!$B$30+(AW4+AW5)*Params!$B$31)</f>
        <v/>
      </c>
      <c r="AX9" s="4">
        <f>(AX3*Params!$B$30+(AX4+AX5)*Params!$B$31)</f>
        <v/>
      </c>
      <c r="AY9" s="4">
        <f>(AY3*Params!$B$30+(AY4+AY5)*Params!$B$31)</f>
        <v/>
      </c>
      <c r="AZ9" s="4">
        <f>(AZ3*Params!$B$30+(AZ4+AZ5)*Params!$B$31)</f>
        <v/>
      </c>
      <c r="BA9" s="4">
        <f>(BA3*Params!$B$30+(BA4+BA5)*Params!$B$31)</f>
        <v/>
      </c>
      <c r="BB9" s="4">
        <f>(BB3*Params!$B$30+(BB4+BB5)*Params!$B$31)</f>
        <v/>
      </c>
      <c r="BC9" s="4">
        <f>(BC3*Params!$B$30+(BC4+BC5)*Params!$B$31)</f>
        <v/>
      </c>
      <c r="BD9" s="4">
        <f>(BD3*Params!$B$30+(BD4+BD5)*Params!$B$31)</f>
        <v/>
      </c>
      <c r="BE9" s="4">
        <f>(BE3*Params!$B$30+(BE4+BE5)*Params!$B$31)</f>
        <v/>
      </c>
      <c r="BF9" s="4">
        <f>(BF3*Params!$B$30+(BF4+BF5)*Params!$B$31)</f>
        <v/>
      </c>
      <c r="BG9" s="4">
        <f>(BG3*Params!$B$30+(BG4+BG5)*Params!$B$31)</f>
        <v/>
      </c>
      <c r="BH9" s="4">
        <f>(BH3*Params!$B$30+(BH4+BH5)*Params!$B$31)</f>
        <v/>
      </c>
      <c r="BI9" s="4">
        <f>(BI3*Params!$B$30+(BI4+BI5)*Params!$B$31)</f>
        <v/>
      </c>
      <c r="BJ9" s="4">
        <f>(BJ3*Params!$B$30+(BJ4+BJ5)*Params!$B$31)</f>
        <v/>
      </c>
      <c r="BK9" s="4">
        <f>(BK3*Params!$B$30+(BK4+BK5)*Params!$B$31)</f>
        <v/>
      </c>
      <c r="BL9" s="4">
        <f>(BL3*Params!$B$30+(BL4+BL5)*Params!$B$31)</f>
        <v/>
      </c>
      <c r="BM9" s="4">
        <f>(BM3*Params!$B$30+(BM4+BM5)*Params!$B$31)</f>
        <v/>
      </c>
      <c r="BN9" s="4">
        <f>(BN3*Params!$B$30+(BN4+BN5)*Params!$B$31)</f>
        <v/>
      </c>
      <c r="BO9" s="4">
        <f>(BO3*Params!$B$30+(BO4+BO5)*Params!$B$31)</f>
        <v/>
      </c>
      <c r="BP9" s="4">
        <f>(BP3*Params!$B$30+(BP4+BP5)*Params!$B$31)</f>
        <v/>
      </c>
      <c r="BQ9" s="4">
        <f>(BQ3*Params!$B$30+(BQ4+BQ5)*Params!$B$31)</f>
        <v/>
      </c>
      <c r="BR9" s="4">
        <f>(BR3*Params!$B$30+(BR4+BR5)*Params!$B$31)</f>
        <v/>
      </c>
      <c r="BS9" s="4">
        <f>(BS3*Params!$B$30+(BS4+BS5)*Params!$B$31)</f>
        <v/>
      </c>
      <c r="BT9" s="4">
        <f>(BT3*Params!$B$30+(BT4+BT5)*Params!$B$31)</f>
        <v/>
      </c>
      <c r="BU9" s="4">
        <f>(BU3*Params!$B$30+(BU4+BU5)*Params!$B$31)</f>
        <v/>
      </c>
      <c r="BV9" s="4">
        <f>(BV3*Params!$B$30+(BV4+BV5)*Params!$B$31)</f>
        <v/>
      </c>
    </row>
    <row r="10">
      <c r="A10" t="inlineStr">
        <is>
          <t>price factor</t>
        </is>
      </c>
      <c r="B10" t="inlineStr">
        <is>
          <t>by month</t>
        </is>
      </c>
      <c r="C10" s="4">
        <f>1+Params!$B$13*C5</f>
        <v/>
      </c>
      <c r="D10" s="4">
        <f>1+Params!$B$13*D5</f>
        <v/>
      </c>
      <c r="E10" s="4">
        <f>1+Params!$B$13*E5</f>
        <v/>
      </c>
      <c r="F10" s="4">
        <f>1+Params!$B$13*F5</f>
        <v/>
      </c>
      <c r="G10" s="4">
        <f>1+Params!$B$13*G5</f>
        <v/>
      </c>
      <c r="H10" s="4">
        <f>1+Params!$B$13*H5</f>
        <v/>
      </c>
      <c r="I10" s="4">
        <f>1+Params!$B$13*I5</f>
        <v/>
      </c>
      <c r="J10" s="4">
        <f>1+Params!$B$13*J5</f>
        <v/>
      </c>
      <c r="K10" s="4">
        <f>1+Params!$B$13*K5</f>
        <v/>
      </c>
      <c r="L10" s="4">
        <f>1+Params!$B$13*L5</f>
        <v/>
      </c>
      <c r="M10" s="4">
        <f>1+Params!$B$13*M5</f>
        <v/>
      </c>
      <c r="N10" s="4">
        <f>1+Params!$B$13*N5</f>
        <v/>
      </c>
      <c r="O10" s="4">
        <f>1+Params!$B$13*O5</f>
        <v/>
      </c>
      <c r="P10" s="4">
        <f>1+Params!$B$13*P5</f>
        <v/>
      </c>
      <c r="Q10" s="4">
        <f>1+Params!$B$13*Q5</f>
        <v/>
      </c>
      <c r="R10" s="4">
        <f>1+Params!$B$13*R5</f>
        <v/>
      </c>
      <c r="S10" s="4">
        <f>1+Params!$B$13*S5</f>
        <v/>
      </c>
      <c r="T10" s="4">
        <f>1+Params!$B$13*T5</f>
        <v/>
      </c>
      <c r="U10" s="4">
        <f>1+Params!$B$13*U5</f>
        <v/>
      </c>
      <c r="V10" s="4">
        <f>1+Params!$B$13*V5</f>
        <v/>
      </c>
      <c r="W10" s="4">
        <f>1+Params!$B$13*W5</f>
        <v/>
      </c>
      <c r="X10" s="4">
        <f>1+Params!$B$13*X5</f>
        <v/>
      </c>
      <c r="Y10" s="4">
        <f>1+Params!$B$13*Y5</f>
        <v/>
      </c>
      <c r="Z10" s="4">
        <f>1+Params!$B$13*Z5</f>
        <v/>
      </c>
      <c r="AA10" s="4">
        <f>1+Params!$B$13*AA5</f>
        <v/>
      </c>
      <c r="AB10" s="4">
        <f>1+Params!$B$13*AB5</f>
        <v/>
      </c>
      <c r="AC10" s="4">
        <f>1+Params!$B$13*AC5</f>
        <v/>
      </c>
      <c r="AD10" s="4">
        <f>1+Params!$B$13*AD5</f>
        <v/>
      </c>
      <c r="AE10" s="4">
        <f>1+Params!$B$13*AE5</f>
        <v/>
      </c>
      <c r="AF10" s="4">
        <f>1+Params!$B$13*AF5</f>
        <v/>
      </c>
      <c r="AG10" s="4">
        <f>1+Params!$B$13*AG5</f>
        <v/>
      </c>
      <c r="AH10" s="4">
        <f>1+Params!$B$13*AH5</f>
        <v/>
      </c>
      <c r="AI10" s="4">
        <f>1+Params!$B$13*AI5</f>
        <v/>
      </c>
      <c r="AJ10" s="4">
        <f>1+Params!$B$13*AJ5</f>
        <v/>
      </c>
      <c r="AK10" s="4">
        <f>1+Params!$B$13*AK5</f>
        <v/>
      </c>
      <c r="AL10" s="4">
        <f>1+Params!$B$13*AL5</f>
        <v/>
      </c>
      <c r="AM10" s="4">
        <f>1+Params!$B$13*AM5</f>
        <v/>
      </c>
      <c r="AN10" s="4">
        <f>1+Params!$B$13*AN5</f>
        <v/>
      </c>
      <c r="AO10" s="4">
        <f>1+Params!$B$13*AO5</f>
        <v/>
      </c>
      <c r="AP10" s="4">
        <f>1+Params!$B$13*AP5</f>
        <v/>
      </c>
      <c r="AQ10" s="4">
        <f>1+Params!$B$13*AQ5</f>
        <v/>
      </c>
      <c r="AR10" s="4">
        <f>1+Params!$B$13*AR5</f>
        <v/>
      </c>
      <c r="AS10" s="4">
        <f>1+Params!$B$13*AS5</f>
        <v/>
      </c>
      <c r="AT10" s="4">
        <f>1+Params!$B$13*AT5</f>
        <v/>
      </c>
      <c r="AU10" s="4">
        <f>1+Params!$B$13*AU5</f>
        <v/>
      </c>
      <c r="AV10" s="4">
        <f>1+Params!$B$13*AV5</f>
        <v/>
      </c>
      <c r="AW10" s="4">
        <f>1+Params!$B$13*AW5</f>
        <v/>
      </c>
      <c r="AX10" s="4">
        <f>1+Params!$B$13*AX5</f>
        <v/>
      </c>
      <c r="AY10" s="4">
        <f>1+Params!$B$13*AY5</f>
        <v/>
      </c>
      <c r="AZ10" s="4">
        <f>1+Params!$B$13*AZ5</f>
        <v/>
      </c>
      <c r="BA10" s="4">
        <f>1+Params!$B$13*BA5</f>
        <v/>
      </c>
      <c r="BB10" s="4">
        <f>1+Params!$B$13*BB5</f>
        <v/>
      </c>
      <c r="BC10" s="4">
        <f>1+Params!$B$13*BC5</f>
        <v/>
      </c>
      <c r="BD10" s="4">
        <f>1+Params!$B$13*BD5</f>
        <v/>
      </c>
      <c r="BE10" s="4">
        <f>1+Params!$B$13*BE5</f>
        <v/>
      </c>
      <c r="BF10" s="4">
        <f>1+Params!$B$13*BF5</f>
        <v/>
      </c>
      <c r="BG10" s="4">
        <f>1+Params!$B$13*BG5</f>
        <v/>
      </c>
      <c r="BH10" s="4">
        <f>1+Params!$B$13*BH5</f>
        <v/>
      </c>
      <c r="BI10" s="4">
        <f>1+Params!$B$13*BI5</f>
        <v/>
      </c>
      <c r="BJ10" s="4">
        <f>1+Params!$B$13*BJ5</f>
        <v/>
      </c>
      <c r="BK10" s="4">
        <f>1+Params!$B$13*BK5</f>
        <v/>
      </c>
      <c r="BL10" s="4">
        <f>1+Params!$B$13*BL5</f>
        <v/>
      </c>
      <c r="BM10" s="4">
        <f>1+Params!$B$13*BM5</f>
        <v/>
      </c>
      <c r="BN10" s="4">
        <f>1+Params!$B$13*BN5</f>
        <v/>
      </c>
      <c r="BO10" s="4">
        <f>1+Params!$B$13*BO5</f>
        <v/>
      </c>
      <c r="BP10" s="4">
        <f>1+Params!$B$13*BP5</f>
        <v/>
      </c>
      <c r="BQ10" s="4">
        <f>1+Params!$B$13*BQ5</f>
        <v/>
      </c>
      <c r="BR10" s="4">
        <f>1+Params!$B$13*BR5</f>
        <v/>
      </c>
      <c r="BS10" s="4">
        <f>1+Params!$B$13*BS5</f>
        <v/>
      </c>
      <c r="BT10" s="4">
        <f>1+Params!$B$13*BT5</f>
        <v/>
      </c>
      <c r="BU10" s="4">
        <f>1+Params!$B$13*BU5</f>
        <v/>
      </c>
      <c r="BV10" s="4">
        <f>1+Params!$B$13*BV5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MAU total</t>
        </is>
      </c>
      <c r="B3" t="inlineStr">
        <is>
          <t>all</t>
        </is>
      </c>
      <c r="C3" s="5">
        <f>Params!$B$2</f>
        <v/>
      </c>
      <c r="D3" s="5">
        <f>C3*(1+IF(INT(D$2/12)=0,Params!$B$3,Params!$B$4+(Params!$B$5-Params!$B$4)*(INT(D$2/12)-1)/4))^(1/12)</f>
        <v/>
      </c>
      <c r="E3" s="5">
        <f>D3*(1+IF(INT(E$2/12)=0,Params!$B$3,Params!$B$4+(Params!$B$5-Params!$B$4)*(INT(E$2/12)-1)/4))^(1/12)</f>
        <v/>
      </c>
      <c r="F3" s="5">
        <f>E3*(1+IF(INT(F$2/12)=0,Params!$B$3,Params!$B$4+(Params!$B$5-Params!$B$4)*(INT(F$2/12)-1)/4))^(1/12)</f>
        <v/>
      </c>
      <c r="G3" s="5">
        <f>F3*(1+IF(INT(G$2/12)=0,Params!$B$3,Params!$B$4+(Params!$B$5-Params!$B$4)*(INT(G$2/12)-1)/4))^(1/12)</f>
        <v/>
      </c>
      <c r="H3" s="5">
        <f>G3*(1+IF(INT(H$2/12)=0,Params!$B$3,Params!$B$4+(Params!$B$5-Params!$B$4)*(INT(H$2/12)-1)/4))^(1/12)</f>
        <v/>
      </c>
      <c r="I3" s="5">
        <f>H3*(1+IF(INT(I$2/12)=0,Params!$B$3,Params!$B$4+(Params!$B$5-Params!$B$4)*(INT(I$2/12)-1)/4))^(1/12)</f>
        <v/>
      </c>
      <c r="J3" s="5">
        <f>I3*(1+IF(INT(J$2/12)=0,Params!$B$3,Params!$B$4+(Params!$B$5-Params!$B$4)*(INT(J$2/12)-1)/4))^(1/12)</f>
        <v/>
      </c>
      <c r="K3" s="5">
        <f>J3*(1+IF(INT(K$2/12)=0,Params!$B$3,Params!$B$4+(Params!$B$5-Params!$B$4)*(INT(K$2/12)-1)/4))^(1/12)</f>
        <v/>
      </c>
      <c r="L3" s="5">
        <f>K3*(1+IF(INT(L$2/12)=0,Params!$B$3,Params!$B$4+(Params!$B$5-Params!$B$4)*(INT(L$2/12)-1)/4))^(1/12)</f>
        <v/>
      </c>
      <c r="M3" s="5">
        <f>L3*(1+IF(INT(M$2/12)=0,Params!$B$3,Params!$B$4+(Params!$B$5-Params!$B$4)*(INT(M$2/12)-1)/4))^(1/12)</f>
        <v/>
      </c>
      <c r="N3" s="5">
        <f>M3*(1+IF(INT(N$2/12)=0,Params!$B$3,Params!$B$4+(Params!$B$5-Params!$B$4)*(INT(N$2/12)-1)/4))^(1/12)</f>
        <v/>
      </c>
      <c r="O3" s="5">
        <f>N3*(1+IF(INT(O$2/12)=0,Params!$B$3,Params!$B$4+(Params!$B$5-Params!$B$4)*(INT(O$2/12)-1)/4))^(1/12)</f>
        <v/>
      </c>
      <c r="P3" s="5">
        <f>O3*(1+IF(INT(P$2/12)=0,Params!$B$3,Params!$B$4+(Params!$B$5-Params!$B$4)*(INT(P$2/12)-1)/4))^(1/12)</f>
        <v/>
      </c>
      <c r="Q3" s="5">
        <f>P3*(1+IF(INT(Q$2/12)=0,Params!$B$3,Params!$B$4+(Params!$B$5-Params!$B$4)*(INT(Q$2/12)-1)/4))^(1/12)</f>
        <v/>
      </c>
      <c r="R3" s="5">
        <f>Q3*(1+IF(INT(R$2/12)=0,Params!$B$3,Params!$B$4+(Params!$B$5-Params!$B$4)*(INT(R$2/12)-1)/4))^(1/12)</f>
        <v/>
      </c>
      <c r="S3" s="5">
        <f>R3*(1+IF(INT(S$2/12)=0,Params!$B$3,Params!$B$4+(Params!$B$5-Params!$B$4)*(INT(S$2/12)-1)/4))^(1/12)</f>
        <v/>
      </c>
      <c r="T3" s="5">
        <f>S3*(1+IF(INT(T$2/12)=0,Params!$B$3,Params!$B$4+(Params!$B$5-Params!$B$4)*(INT(T$2/12)-1)/4))^(1/12)</f>
        <v/>
      </c>
      <c r="U3" s="5">
        <f>T3*(1+IF(INT(U$2/12)=0,Params!$B$3,Params!$B$4+(Params!$B$5-Params!$B$4)*(INT(U$2/12)-1)/4))^(1/12)</f>
        <v/>
      </c>
      <c r="V3" s="5">
        <f>U3*(1+IF(INT(V$2/12)=0,Params!$B$3,Params!$B$4+(Params!$B$5-Params!$B$4)*(INT(V$2/12)-1)/4))^(1/12)</f>
        <v/>
      </c>
      <c r="W3" s="5">
        <f>V3*(1+IF(INT(W$2/12)=0,Params!$B$3,Params!$B$4+(Params!$B$5-Params!$B$4)*(INT(W$2/12)-1)/4))^(1/12)</f>
        <v/>
      </c>
      <c r="X3" s="5">
        <f>W3*(1+IF(INT(X$2/12)=0,Params!$B$3,Params!$B$4+(Params!$B$5-Params!$B$4)*(INT(X$2/12)-1)/4))^(1/12)</f>
        <v/>
      </c>
      <c r="Y3" s="5">
        <f>X3*(1+IF(INT(Y$2/12)=0,Params!$B$3,Params!$B$4+(Params!$B$5-Params!$B$4)*(INT(Y$2/12)-1)/4))^(1/12)</f>
        <v/>
      </c>
      <c r="Z3" s="5">
        <f>Y3*(1+IF(INT(Z$2/12)=0,Params!$B$3,Params!$B$4+(Params!$B$5-Params!$B$4)*(INT(Z$2/12)-1)/4))^(1/12)</f>
        <v/>
      </c>
      <c r="AA3" s="5">
        <f>Z3*(1+IF(INT(AA$2/12)=0,Params!$B$3,Params!$B$4+(Params!$B$5-Params!$B$4)*(INT(AA$2/12)-1)/4))^(1/12)</f>
        <v/>
      </c>
      <c r="AB3" s="5">
        <f>AA3*(1+IF(INT(AB$2/12)=0,Params!$B$3,Params!$B$4+(Params!$B$5-Params!$B$4)*(INT(AB$2/12)-1)/4))^(1/12)</f>
        <v/>
      </c>
      <c r="AC3" s="5">
        <f>AB3*(1+IF(INT(AC$2/12)=0,Params!$B$3,Params!$B$4+(Params!$B$5-Params!$B$4)*(INT(AC$2/12)-1)/4))^(1/12)</f>
        <v/>
      </c>
      <c r="AD3" s="5">
        <f>AC3*(1+IF(INT(AD$2/12)=0,Params!$B$3,Params!$B$4+(Params!$B$5-Params!$B$4)*(INT(AD$2/12)-1)/4))^(1/12)</f>
        <v/>
      </c>
      <c r="AE3" s="5">
        <f>AD3*(1+IF(INT(AE$2/12)=0,Params!$B$3,Params!$B$4+(Params!$B$5-Params!$B$4)*(INT(AE$2/12)-1)/4))^(1/12)</f>
        <v/>
      </c>
      <c r="AF3" s="5">
        <f>AE3*(1+IF(INT(AF$2/12)=0,Params!$B$3,Params!$B$4+(Params!$B$5-Params!$B$4)*(INT(AF$2/12)-1)/4))^(1/12)</f>
        <v/>
      </c>
      <c r="AG3" s="5">
        <f>AF3*(1+IF(INT(AG$2/12)=0,Params!$B$3,Params!$B$4+(Params!$B$5-Params!$B$4)*(INT(AG$2/12)-1)/4))^(1/12)</f>
        <v/>
      </c>
      <c r="AH3" s="5">
        <f>AG3*(1+IF(INT(AH$2/12)=0,Params!$B$3,Params!$B$4+(Params!$B$5-Params!$B$4)*(INT(AH$2/12)-1)/4))^(1/12)</f>
        <v/>
      </c>
      <c r="AI3" s="5">
        <f>AH3*(1+IF(INT(AI$2/12)=0,Params!$B$3,Params!$B$4+(Params!$B$5-Params!$B$4)*(INT(AI$2/12)-1)/4))^(1/12)</f>
        <v/>
      </c>
      <c r="AJ3" s="5">
        <f>AI3*(1+IF(INT(AJ$2/12)=0,Params!$B$3,Params!$B$4+(Params!$B$5-Params!$B$4)*(INT(AJ$2/12)-1)/4))^(1/12)</f>
        <v/>
      </c>
      <c r="AK3" s="5">
        <f>AJ3*(1+IF(INT(AK$2/12)=0,Params!$B$3,Params!$B$4+(Params!$B$5-Params!$B$4)*(INT(AK$2/12)-1)/4))^(1/12)</f>
        <v/>
      </c>
      <c r="AL3" s="5">
        <f>AK3*(1+IF(INT(AL$2/12)=0,Params!$B$3,Params!$B$4+(Params!$B$5-Params!$B$4)*(INT(AL$2/12)-1)/4))^(1/12)</f>
        <v/>
      </c>
      <c r="AM3" s="5">
        <f>AL3*(1+IF(INT(AM$2/12)=0,Params!$B$3,Params!$B$4+(Params!$B$5-Params!$B$4)*(INT(AM$2/12)-1)/4))^(1/12)</f>
        <v/>
      </c>
      <c r="AN3" s="5">
        <f>AM3*(1+IF(INT(AN$2/12)=0,Params!$B$3,Params!$B$4+(Params!$B$5-Params!$B$4)*(INT(AN$2/12)-1)/4))^(1/12)</f>
        <v/>
      </c>
      <c r="AO3" s="5">
        <f>AN3*(1+IF(INT(AO$2/12)=0,Params!$B$3,Params!$B$4+(Params!$B$5-Params!$B$4)*(INT(AO$2/12)-1)/4))^(1/12)</f>
        <v/>
      </c>
      <c r="AP3" s="5">
        <f>AO3*(1+IF(INT(AP$2/12)=0,Params!$B$3,Params!$B$4+(Params!$B$5-Params!$B$4)*(INT(AP$2/12)-1)/4))^(1/12)</f>
        <v/>
      </c>
      <c r="AQ3" s="5">
        <f>AP3*(1+IF(INT(AQ$2/12)=0,Params!$B$3,Params!$B$4+(Params!$B$5-Params!$B$4)*(INT(AQ$2/12)-1)/4))^(1/12)</f>
        <v/>
      </c>
      <c r="AR3" s="5">
        <f>AQ3*(1+IF(INT(AR$2/12)=0,Params!$B$3,Params!$B$4+(Params!$B$5-Params!$B$4)*(INT(AR$2/12)-1)/4))^(1/12)</f>
        <v/>
      </c>
      <c r="AS3" s="5">
        <f>AR3*(1+IF(INT(AS$2/12)=0,Params!$B$3,Params!$B$4+(Params!$B$5-Params!$B$4)*(INT(AS$2/12)-1)/4))^(1/12)</f>
        <v/>
      </c>
      <c r="AT3" s="5">
        <f>AS3*(1+IF(INT(AT$2/12)=0,Params!$B$3,Params!$B$4+(Params!$B$5-Params!$B$4)*(INT(AT$2/12)-1)/4))^(1/12)</f>
        <v/>
      </c>
      <c r="AU3" s="5">
        <f>AT3*(1+IF(INT(AU$2/12)=0,Params!$B$3,Params!$B$4+(Params!$B$5-Params!$B$4)*(INT(AU$2/12)-1)/4))^(1/12)</f>
        <v/>
      </c>
      <c r="AV3" s="5">
        <f>AU3*(1+IF(INT(AV$2/12)=0,Params!$B$3,Params!$B$4+(Params!$B$5-Params!$B$4)*(INT(AV$2/12)-1)/4))^(1/12)</f>
        <v/>
      </c>
      <c r="AW3" s="5">
        <f>AV3*(1+IF(INT(AW$2/12)=0,Params!$B$3,Params!$B$4+(Params!$B$5-Params!$B$4)*(INT(AW$2/12)-1)/4))^(1/12)</f>
        <v/>
      </c>
      <c r="AX3" s="5">
        <f>AW3*(1+IF(INT(AX$2/12)=0,Params!$B$3,Params!$B$4+(Params!$B$5-Params!$B$4)*(INT(AX$2/12)-1)/4))^(1/12)</f>
        <v/>
      </c>
      <c r="AY3" s="5">
        <f>AX3*(1+IF(INT(AY$2/12)=0,Params!$B$3,Params!$B$4+(Params!$B$5-Params!$B$4)*(INT(AY$2/12)-1)/4))^(1/12)</f>
        <v/>
      </c>
      <c r="AZ3" s="5">
        <f>AY3*(1+IF(INT(AZ$2/12)=0,Params!$B$3,Params!$B$4+(Params!$B$5-Params!$B$4)*(INT(AZ$2/12)-1)/4))^(1/12)</f>
        <v/>
      </c>
      <c r="BA3" s="5">
        <f>AZ3*(1+IF(INT(BA$2/12)=0,Params!$B$3,Params!$B$4+(Params!$B$5-Params!$B$4)*(INT(BA$2/12)-1)/4))^(1/12)</f>
        <v/>
      </c>
      <c r="BB3" s="5">
        <f>BA3*(1+IF(INT(BB$2/12)=0,Params!$B$3,Params!$B$4+(Params!$B$5-Params!$B$4)*(INT(BB$2/12)-1)/4))^(1/12)</f>
        <v/>
      </c>
      <c r="BC3" s="5">
        <f>BB3*(1+IF(INT(BC$2/12)=0,Params!$B$3,Params!$B$4+(Params!$B$5-Params!$B$4)*(INT(BC$2/12)-1)/4))^(1/12)</f>
        <v/>
      </c>
      <c r="BD3" s="5">
        <f>BC3*(1+IF(INT(BD$2/12)=0,Params!$B$3,Params!$B$4+(Params!$B$5-Params!$B$4)*(INT(BD$2/12)-1)/4))^(1/12)</f>
        <v/>
      </c>
      <c r="BE3" s="5">
        <f>BD3*(1+IF(INT(BE$2/12)=0,Params!$B$3,Params!$B$4+(Params!$B$5-Params!$B$4)*(INT(BE$2/12)-1)/4))^(1/12)</f>
        <v/>
      </c>
      <c r="BF3" s="5">
        <f>BE3*(1+IF(INT(BF$2/12)=0,Params!$B$3,Params!$B$4+(Params!$B$5-Params!$B$4)*(INT(BF$2/12)-1)/4))^(1/12)</f>
        <v/>
      </c>
      <c r="BG3" s="5">
        <f>BF3*(1+IF(INT(BG$2/12)=0,Params!$B$3,Params!$B$4+(Params!$B$5-Params!$B$4)*(INT(BG$2/12)-1)/4))^(1/12)</f>
        <v/>
      </c>
      <c r="BH3" s="5">
        <f>BG3*(1+IF(INT(BH$2/12)=0,Params!$B$3,Params!$B$4+(Params!$B$5-Params!$B$4)*(INT(BH$2/12)-1)/4))^(1/12)</f>
        <v/>
      </c>
      <c r="BI3" s="5">
        <f>BH3*(1+IF(INT(BI$2/12)=0,Params!$B$3,Params!$B$4+(Params!$B$5-Params!$B$4)*(INT(BI$2/12)-1)/4))^(1/12)</f>
        <v/>
      </c>
      <c r="BJ3" s="5">
        <f>BI3*(1+IF(INT(BJ$2/12)=0,Params!$B$3,Params!$B$4+(Params!$B$5-Params!$B$4)*(INT(BJ$2/12)-1)/4))^(1/12)</f>
        <v/>
      </c>
      <c r="BK3" s="5">
        <f>BJ3*(1+IF(INT(BK$2/12)=0,Params!$B$3,Params!$B$4+(Params!$B$5-Params!$B$4)*(INT(BK$2/12)-1)/4))^(1/12)</f>
        <v/>
      </c>
      <c r="BL3" s="5">
        <f>BK3*(1+IF(INT(BL$2/12)=0,Params!$B$3,Params!$B$4+(Params!$B$5-Params!$B$4)*(INT(BL$2/12)-1)/4))^(1/12)</f>
        <v/>
      </c>
      <c r="BM3" s="5">
        <f>BL3*(1+IF(INT(BM$2/12)=0,Params!$B$3,Params!$B$4+(Params!$B$5-Params!$B$4)*(INT(BM$2/12)-1)/4))^(1/12)</f>
        <v/>
      </c>
      <c r="BN3" s="5">
        <f>BM3*(1+IF(INT(BN$2/12)=0,Params!$B$3,Params!$B$4+(Params!$B$5-Params!$B$4)*(INT(BN$2/12)-1)/4))^(1/12)</f>
        <v/>
      </c>
      <c r="BO3" s="5">
        <f>BN3*(1+IF(INT(BO$2/12)=0,Params!$B$3,Params!$B$4+(Params!$B$5-Params!$B$4)*(INT(BO$2/12)-1)/4))^(1/12)</f>
        <v/>
      </c>
      <c r="BP3" s="5">
        <f>BO3*(1+IF(INT(BP$2/12)=0,Params!$B$3,Params!$B$4+(Params!$B$5-Params!$B$4)*(INT(BP$2/12)-1)/4))^(1/12)</f>
        <v/>
      </c>
      <c r="BQ3" s="5">
        <f>BP3*(1+IF(INT(BQ$2/12)=0,Params!$B$3,Params!$B$4+(Params!$B$5-Params!$B$4)*(INT(BQ$2/12)-1)/4))^(1/12)</f>
        <v/>
      </c>
      <c r="BR3" s="5">
        <f>BQ3*(1+IF(INT(BR$2/12)=0,Params!$B$3,Params!$B$4+(Params!$B$5-Params!$B$4)*(INT(BR$2/12)-1)/4))^(1/12)</f>
        <v/>
      </c>
      <c r="BS3" s="5">
        <f>BR3*(1+IF(INT(BS$2/12)=0,Params!$B$3,Params!$B$4+(Params!$B$5-Params!$B$4)*(INT(BS$2/12)-1)/4))^(1/12)</f>
        <v/>
      </c>
      <c r="BT3" s="5">
        <f>BS3*(1+IF(INT(BT$2/12)=0,Params!$B$3,Params!$B$4+(Params!$B$5-Params!$B$4)*(INT(BT$2/12)-1)/4))^(1/12)</f>
        <v/>
      </c>
      <c r="BU3" s="5">
        <f>BT3*(1+IF(INT(BU$2/12)=0,Params!$B$3,Params!$B$4+(Params!$B$5-Params!$B$4)*(INT(BU$2/12)-1)/4))^(1/12)</f>
        <v/>
      </c>
      <c r="BV3" s="5">
        <f>BU3*(1+IF(INT(BV$2/12)=0,Params!$B$3,Params!$B$4+(Params!$B$5-Params!$B$4)*(INT(BV$2/12)-1)/4))^(1/12)</f>
        <v/>
      </c>
    </row>
    <row r="4">
      <c r="A4" t="inlineStr">
        <is>
          <t>MAU</t>
        </is>
      </c>
      <c r="B4" t="inlineStr">
        <is>
          <t>US_CA</t>
        </is>
      </c>
      <c r="C4" s="5">
        <f>C$3*Params!$B$52</f>
        <v/>
      </c>
      <c r="D4" s="5">
        <f>D$3*Params!$B$52</f>
        <v/>
      </c>
      <c r="E4" s="5">
        <f>E$3*Params!$B$52</f>
        <v/>
      </c>
      <c r="F4" s="5">
        <f>F$3*Params!$B$52</f>
        <v/>
      </c>
      <c r="G4" s="5">
        <f>G$3*Params!$B$52</f>
        <v/>
      </c>
      <c r="H4" s="5">
        <f>H$3*Params!$B$52</f>
        <v/>
      </c>
      <c r="I4" s="5">
        <f>I$3*Params!$B$52</f>
        <v/>
      </c>
      <c r="J4" s="5">
        <f>J$3*Params!$B$52</f>
        <v/>
      </c>
      <c r="K4" s="5">
        <f>K$3*Params!$B$52</f>
        <v/>
      </c>
      <c r="L4" s="5">
        <f>L$3*Params!$B$52</f>
        <v/>
      </c>
      <c r="M4" s="5">
        <f>M$3*Params!$B$52</f>
        <v/>
      </c>
      <c r="N4" s="5">
        <f>N$3*Params!$B$52</f>
        <v/>
      </c>
      <c r="O4" s="5">
        <f>O$3*Params!$B$52</f>
        <v/>
      </c>
      <c r="P4" s="5">
        <f>P$3*Params!$B$52</f>
        <v/>
      </c>
      <c r="Q4" s="5">
        <f>Q$3*Params!$B$52</f>
        <v/>
      </c>
      <c r="R4" s="5">
        <f>R$3*Params!$B$52</f>
        <v/>
      </c>
      <c r="S4" s="5">
        <f>S$3*Params!$B$52</f>
        <v/>
      </c>
      <c r="T4" s="5">
        <f>T$3*Params!$B$52</f>
        <v/>
      </c>
      <c r="U4" s="5">
        <f>U$3*Params!$B$52</f>
        <v/>
      </c>
      <c r="V4" s="5">
        <f>V$3*Params!$B$52</f>
        <v/>
      </c>
      <c r="W4" s="5">
        <f>W$3*Params!$B$52</f>
        <v/>
      </c>
      <c r="X4" s="5">
        <f>X$3*Params!$B$52</f>
        <v/>
      </c>
      <c r="Y4" s="5">
        <f>Y$3*Params!$B$52</f>
        <v/>
      </c>
      <c r="Z4" s="5">
        <f>Z$3*Params!$B$52</f>
        <v/>
      </c>
      <c r="AA4" s="5">
        <f>AA$3*Params!$B$52</f>
        <v/>
      </c>
      <c r="AB4" s="5">
        <f>AB$3*Params!$B$52</f>
        <v/>
      </c>
      <c r="AC4" s="5">
        <f>AC$3*Params!$B$52</f>
        <v/>
      </c>
      <c r="AD4" s="5">
        <f>AD$3*Params!$B$52</f>
        <v/>
      </c>
      <c r="AE4" s="5">
        <f>AE$3*Params!$B$52</f>
        <v/>
      </c>
      <c r="AF4" s="5">
        <f>AF$3*Params!$B$52</f>
        <v/>
      </c>
      <c r="AG4" s="5">
        <f>AG$3*Params!$B$52</f>
        <v/>
      </c>
      <c r="AH4" s="5">
        <f>AH$3*Params!$B$52</f>
        <v/>
      </c>
      <c r="AI4" s="5">
        <f>AI$3*Params!$B$52</f>
        <v/>
      </c>
      <c r="AJ4" s="5">
        <f>AJ$3*Params!$B$52</f>
        <v/>
      </c>
      <c r="AK4" s="5">
        <f>AK$3*Params!$B$52</f>
        <v/>
      </c>
      <c r="AL4" s="5">
        <f>AL$3*Params!$B$52</f>
        <v/>
      </c>
      <c r="AM4" s="5">
        <f>AM$3*Params!$B$52</f>
        <v/>
      </c>
      <c r="AN4" s="5">
        <f>AN$3*Params!$B$52</f>
        <v/>
      </c>
      <c r="AO4" s="5">
        <f>AO$3*Params!$B$52</f>
        <v/>
      </c>
      <c r="AP4" s="5">
        <f>AP$3*Params!$B$52</f>
        <v/>
      </c>
      <c r="AQ4" s="5">
        <f>AQ$3*Params!$B$52</f>
        <v/>
      </c>
      <c r="AR4" s="5">
        <f>AR$3*Params!$B$52</f>
        <v/>
      </c>
      <c r="AS4" s="5">
        <f>AS$3*Params!$B$52</f>
        <v/>
      </c>
      <c r="AT4" s="5">
        <f>AT$3*Params!$B$52</f>
        <v/>
      </c>
      <c r="AU4" s="5">
        <f>AU$3*Params!$B$52</f>
        <v/>
      </c>
      <c r="AV4" s="5">
        <f>AV$3*Params!$B$52</f>
        <v/>
      </c>
      <c r="AW4" s="5">
        <f>AW$3*Params!$B$52</f>
        <v/>
      </c>
      <c r="AX4" s="5">
        <f>AX$3*Params!$B$52</f>
        <v/>
      </c>
      <c r="AY4" s="5">
        <f>AY$3*Params!$B$52</f>
        <v/>
      </c>
      <c r="AZ4" s="5">
        <f>AZ$3*Params!$B$52</f>
        <v/>
      </c>
      <c r="BA4" s="5">
        <f>BA$3*Params!$B$52</f>
        <v/>
      </c>
      <c r="BB4" s="5">
        <f>BB$3*Params!$B$52</f>
        <v/>
      </c>
      <c r="BC4" s="5">
        <f>BC$3*Params!$B$52</f>
        <v/>
      </c>
      <c r="BD4" s="5">
        <f>BD$3*Params!$B$52</f>
        <v/>
      </c>
      <c r="BE4" s="5">
        <f>BE$3*Params!$B$52</f>
        <v/>
      </c>
      <c r="BF4" s="5">
        <f>BF$3*Params!$B$52</f>
        <v/>
      </c>
      <c r="BG4" s="5">
        <f>BG$3*Params!$B$52</f>
        <v/>
      </c>
      <c r="BH4" s="5">
        <f>BH$3*Params!$B$52</f>
        <v/>
      </c>
      <c r="BI4" s="5">
        <f>BI$3*Params!$B$52</f>
        <v/>
      </c>
      <c r="BJ4" s="5">
        <f>BJ$3*Params!$B$52</f>
        <v/>
      </c>
      <c r="BK4" s="5">
        <f>BK$3*Params!$B$52</f>
        <v/>
      </c>
      <c r="BL4" s="5">
        <f>BL$3*Params!$B$52</f>
        <v/>
      </c>
      <c r="BM4" s="5">
        <f>BM$3*Params!$B$52</f>
        <v/>
      </c>
      <c r="BN4" s="5">
        <f>BN$3*Params!$B$52</f>
        <v/>
      </c>
      <c r="BO4" s="5">
        <f>BO$3*Params!$B$52</f>
        <v/>
      </c>
      <c r="BP4" s="5">
        <f>BP$3*Params!$B$52</f>
        <v/>
      </c>
      <c r="BQ4" s="5">
        <f>BQ$3*Params!$B$52</f>
        <v/>
      </c>
      <c r="BR4" s="5">
        <f>BR$3*Params!$B$52</f>
        <v/>
      </c>
      <c r="BS4" s="5">
        <f>BS$3*Params!$B$52</f>
        <v/>
      </c>
      <c r="BT4" s="5">
        <f>BT$3*Params!$B$52</f>
        <v/>
      </c>
      <c r="BU4" s="5">
        <f>BU$3*Params!$B$52</f>
        <v/>
      </c>
      <c r="BV4" s="5">
        <f>BV$3*Params!$B$52</f>
        <v/>
      </c>
    </row>
    <row r="5">
      <c r="A5" t="inlineStr">
        <is>
          <t>MAU</t>
        </is>
      </c>
      <c r="B5" t="inlineStr">
        <is>
          <t>EUROPE</t>
        </is>
      </c>
      <c r="C5" s="5">
        <f>C$3*Params!$B$53</f>
        <v/>
      </c>
      <c r="D5" s="5">
        <f>D$3*Params!$B$53</f>
        <v/>
      </c>
      <c r="E5" s="5">
        <f>E$3*Params!$B$53</f>
        <v/>
      </c>
      <c r="F5" s="5">
        <f>F$3*Params!$B$53</f>
        <v/>
      </c>
      <c r="G5" s="5">
        <f>G$3*Params!$B$53</f>
        <v/>
      </c>
      <c r="H5" s="5">
        <f>H$3*Params!$B$53</f>
        <v/>
      </c>
      <c r="I5" s="5">
        <f>I$3*Params!$B$53</f>
        <v/>
      </c>
      <c r="J5" s="5">
        <f>J$3*Params!$B$53</f>
        <v/>
      </c>
      <c r="K5" s="5">
        <f>K$3*Params!$B$53</f>
        <v/>
      </c>
      <c r="L5" s="5">
        <f>L$3*Params!$B$53</f>
        <v/>
      </c>
      <c r="M5" s="5">
        <f>M$3*Params!$B$53</f>
        <v/>
      </c>
      <c r="N5" s="5">
        <f>N$3*Params!$B$53</f>
        <v/>
      </c>
      <c r="O5" s="5">
        <f>O$3*Params!$B$53</f>
        <v/>
      </c>
      <c r="P5" s="5">
        <f>P$3*Params!$B$53</f>
        <v/>
      </c>
      <c r="Q5" s="5">
        <f>Q$3*Params!$B$53</f>
        <v/>
      </c>
      <c r="R5" s="5">
        <f>R$3*Params!$B$53</f>
        <v/>
      </c>
      <c r="S5" s="5">
        <f>S$3*Params!$B$53</f>
        <v/>
      </c>
      <c r="T5" s="5">
        <f>T$3*Params!$B$53</f>
        <v/>
      </c>
      <c r="U5" s="5">
        <f>U$3*Params!$B$53</f>
        <v/>
      </c>
      <c r="V5" s="5">
        <f>V$3*Params!$B$53</f>
        <v/>
      </c>
      <c r="W5" s="5">
        <f>W$3*Params!$B$53</f>
        <v/>
      </c>
      <c r="X5" s="5">
        <f>X$3*Params!$B$53</f>
        <v/>
      </c>
      <c r="Y5" s="5">
        <f>Y$3*Params!$B$53</f>
        <v/>
      </c>
      <c r="Z5" s="5">
        <f>Z$3*Params!$B$53</f>
        <v/>
      </c>
      <c r="AA5" s="5">
        <f>AA$3*Params!$B$53</f>
        <v/>
      </c>
      <c r="AB5" s="5">
        <f>AB$3*Params!$B$53</f>
        <v/>
      </c>
      <c r="AC5" s="5">
        <f>AC$3*Params!$B$53</f>
        <v/>
      </c>
      <c r="AD5" s="5">
        <f>AD$3*Params!$B$53</f>
        <v/>
      </c>
      <c r="AE5" s="5">
        <f>AE$3*Params!$B$53</f>
        <v/>
      </c>
      <c r="AF5" s="5">
        <f>AF$3*Params!$B$53</f>
        <v/>
      </c>
      <c r="AG5" s="5">
        <f>AG$3*Params!$B$53</f>
        <v/>
      </c>
      <c r="AH5" s="5">
        <f>AH$3*Params!$B$53</f>
        <v/>
      </c>
      <c r="AI5" s="5">
        <f>AI$3*Params!$B$53</f>
        <v/>
      </c>
      <c r="AJ5" s="5">
        <f>AJ$3*Params!$B$53</f>
        <v/>
      </c>
      <c r="AK5" s="5">
        <f>AK$3*Params!$B$53</f>
        <v/>
      </c>
      <c r="AL5" s="5">
        <f>AL$3*Params!$B$53</f>
        <v/>
      </c>
      <c r="AM5" s="5">
        <f>AM$3*Params!$B$53</f>
        <v/>
      </c>
      <c r="AN5" s="5">
        <f>AN$3*Params!$B$53</f>
        <v/>
      </c>
      <c r="AO5" s="5">
        <f>AO$3*Params!$B$53</f>
        <v/>
      </c>
      <c r="AP5" s="5">
        <f>AP$3*Params!$B$53</f>
        <v/>
      </c>
      <c r="AQ5" s="5">
        <f>AQ$3*Params!$B$53</f>
        <v/>
      </c>
      <c r="AR5" s="5">
        <f>AR$3*Params!$B$53</f>
        <v/>
      </c>
      <c r="AS5" s="5">
        <f>AS$3*Params!$B$53</f>
        <v/>
      </c>
      <c r="AT5" s="5">
        <f>AT$3*Params!$B$53</f>
        <v/>
      </c>
      <c r="AU5" s="5">
        <f>AU$3*Params!$B$53</f>
        <v/>
      </c>
      <c r="AV5" s="5">
        <f>AV$3*Params!$B$53</f>
        <v/>
      </c>
      <c r="AW5" s="5">
        <f>AW$3*Params!$B$53</f>
        <v/>
      </c>
      <c r="AX5" s="5">
        <f>AX$3*Params!$B$53</f>
        <v/>
      </c>
      <c r="AY5" s="5">
        <f>AY$3*Params!$B$53</f>
        <v/>
      </c>
      <c r="AZ5" s="5">
        <f>AZ$3*Params!$B$53</f>
        <v/>
      </c>
      <c r="BA5" s="5">
        <f>BA$3*Params!$B$53</f>
        <v/>
      </c>
      <c r="BB5" s="5">
        <f>BB$3*Params!$B$53</f>
        <v/>
      </c>
      <c r="BC5" s="5">
        <f>BC$3*Params!$B$53</f>
        <v/>
      </c>
      <c r="BD5" s="5">
        <f>BD$3*Params!$B$53</f>
        <v/>
      </c>
      <c r="BE5" s="5">
        <f>BE$3*Params!$B$53</f>
        <v/>
      </c>
      <c r="BF5" s="5">
        <f>BF$3*Params!$B$53</f>
        <v/>
      </c>
      <c r="BG5" s="5">
        <f>BG$3*Params!$B$53</f>
        <v/>
      </c>
      <c r="BH5" s="5">
        <f>BH$3*Params!$B$53</f>
        <v/>
      </c>
      <c r="BI5" s="5">
        <f>BI$3*Params!$B$53</f>
        <v/>
      </c>
      <c r="BJ5" s="5">
        <f>BJ$3*Params!$B$53</f>
        <v/>
      </c>
      <c r="BK5" s="5">
        <f>BK$3*Params!$B$53</f>
        <v/>
      </c>
      <c r="BL5" s="5">
        <f>BL$3*Params!$B$53</f>
        <v/>
      </c>
      <c r="BM5" s="5">
        <f>BM$3*Params!$B$53</f>
        <v/>
      </c>
      <c r="BN5" s="5">
        <f>BN$3*Params!$B$53</f>
        <v/>
      </c>
      <c r="BO5" s="5">
        <f>BO$3*Params!$B$53</f>
        <v/>
      </c>
      <c r="BP5" s="5">
        <f>BP$3*Params!$B$53</f>
        <v/>
      </c>
      <c r="BQ5" s="5">
        <f>BQ$3*Params!$B$53</f>
        <v/>
      </c>
      <c r="BR5" s="5">
        <f>BR$3*Params!$B$53</f>
        <v/>
      </c>
      <c r="BS5" s="5">
        <f>BS$3*Params!$B$53</f>
        <v/>
      </c>
      <c r="BT5" s="5">
        <f>BT$3*Params!$B$53</f>
        <v/>
      </c>
      <c r="BU5" s="5">
        <f>BU$3*Params!$B$53</f>
        <v/>
      </c>
      <c r="BV5" s="5">
        <f>BV$3*Params!$B$53</f>
        <v/>
      </c>
    </row>
    <row r="6">
      <c r="A6" t="inlineStr">
        <is>
          <t>MAU</t>
        </is>
      </c>
      <c r="B6" t="inlineStr">
        <is>
          <t>LATAM</t>
        </is>
      </c>
      <c r="C6" s="5">
        <f>C$3*Params!$B$54</f>
        <v/>
      </c>
      <c r="D6" s="5">
        <f>D$3*Params!$B$54</f>
        <v/>
      </c>
      <c r="E6" s="5">
        <f>E$3*Params!$B$54</f>
        <v/>
      </c>
      <c r="F6" s="5">
        <f>F$3*Params!$B$54</f>
        <v/>
      </c>
      <c r="G6" s="5">
        <f>G$3*Params!$B$54</f>
        <v/>
      </c>
      <c r="H6" s="5">
        <f>H$3*Params!$B$54</f>
        <v/>
      </c>
      <c r="I6" s="5">
        <f>I$3*Params!$B$54</f>
        <v/>
      </c>
      <c r="J6" s="5">
        <f>J$3*Params!$B$54</f>
        <v/>
      </c>
      <c r="K6" s="5">
        <f>K$3*Params!$B$54</f>
        <v/>
      </c>
      <c r="L6" s="5">
        <f>L$3*Params!$B$54</f>
        <v/>
      </c>
      <c r="M6" s="5">
        <f>M$3*Params!$B$54</f>
        <v/>
      </c>
      <c r="N6" s="5">
        <f>N$3*Params!$B$54</f>
        <v/>
      </c>
      <c r="O6" s="5">
        <f>O$3*Params!$B$54</f>
        <v/>
      </c>
      <c r="P6" s="5">
        <f>P$3*Params!$B$54</f>
        <v/>
      </c>
      <c r="Q6" s="5">
        <f>Q$3*Params!$B$54</f>
        <v/>
      </c>
      <c r="R6" s="5">
        <f>R$3*Params!$B$54</f>
        <v/>
      </c>
      <c r="S6" s="5">
        <f>S$3*Params!$B$54</f>
        <v/>
      </c>
      <c r="T6" s="5">
        <f>T$3*Params!$B$54</f>
        <v/>
      </c>
      <c r="U6" s="5">
        <f>U$3*Params!$B$54</f>
        <v/>
      </c>
      <c r="V6" s="5">
        <f>V$3*Params!$B$54</f>
        <v/>
      </c>
      <c r="W6" s="5">
        <f>W$3*Params!$B$54</f>
        <v/>
      </c>
      <c r="X6" s="5">
        <f>X$3*Params!$B$54</f>
        <v/>
      </c>
      <c r="Y6" s="5">
        <f>Y$3*Params!$B$54</f>
        <v/>
      </c>
      <c r="Z6" s="5">
        <f>Z$3*Params!$B$54</f>
        <v/>
      </c>
      <c r="AA6" s="5">
        <f>AA$3*Params!$B$54</f>
        <v/>
      </c>
      <c r="AB6" s="5">
        <f>AB$3*Params!$B$54</f>
        <v/>
      </c>
      <c r="AC6" s="5">
        <f>AC$3*Params!$B$54</f>
        <v/>
      </c>
      <c r="AD6" s="5">
        <f>AD$3*Params!$B$54</f>
        <v/>
      </c>
      <c r="AE6" s="5">
        <f>AE$3*Params!$B$54</f>
        <v/>
      </c>
      <c r="AF6" s="5">
        <f>AF$3*Params!$B$54</f>
        <v/>
      </c>
      <c r="AG6" s="5">
        <f>AG$3*Params!$B$54</f>
        <v/>
      </c>
      <c r="AH6" s="5">
        <f>AH$3*Params!$B$54</f>
        <v/>
      </c>
      <c r="AI6" s="5">
        <f>AI$3*Params!$B$54</f>
        <v/>
      </c>
      <c r="AJ6" s="5">
        <f>AJ$3*Params!$B$54</f>
        <v/>
      </c>
      <c r="AK6" s="5">
        <f>AK$3*Params!$B$54</f>
        <v/>
      </c>
      <c r="AL6" s="5">
        <f>AL$3*Params!$B$54</f>
        <v/>
      </c>
      <c r="AM6" s="5">
        <f>AM$3*Params!$B$54</f>
        <v/>
      </c>
      <c r="AN6" s="5">
        <f>AN$3*Params!$B$54</f>
        <v/>
      </c>
      <c r="AO6" s="5">
        <f>AO$3*Params!$B$54</f>
        <v/>
      </c>
      <c r="AP6" s="5">
        <f>AP$3*Params!$B$54</f>
        <v/>
      </c>
      <c r="AQ6" s="5">
        <f>AQ$3*Params!$B$54</f>
        <v/>
      </c>
      <c r="AR6" s="5">
        <f>AR$3*Params!$B$54</f>
        <v/>
      </c>
      <c r="AS6" s="5">
        <f>AS$3*Params!$B$54</f>
        <v/>
      </c>
      <c r="AT6" s="5">
        <f>AT$3*Params!$B$54</f>
        <v/>
      </c>
      <c r="AU6" s="5">
        <f>AU$3*Params!$B$54</f>
        <v/>
      </c>
      <c r="AV6" s="5">
        <f>AV$3*Params!$B$54</f>
        <v/>
      </c>
      <c r="AW6" s="5">
        <f>AW$3*Params!$B$54</f>
        <v/>
      </c>
      <c r="AX6" s="5">
        <f>AX$3*Params!$B$54</f>
        <v/>
      </c>
      <c r="AY6" s="5">
        <f>AY$3*Params!$B$54</f>
        <v/>
      </c>
      <c r="AZ6" s="5">
        <f>AZ$3*Params!$B$54</f>
        <v/>
      </c>
      <c r="BA6" s="5">
        <f>BA$3*Params!$B$54</f>
        <v/>
      </c>
      <c r="BB6" s="5">
        <f>BB$3*Params!$B$54</f>
        <v/>
      </c>
      <c r="BC6" s="5">
        <f>BC$3*Params!$B$54</f>
        <v/>
      </c>
      <c r="BD6" s="5">
        <f>BD$3*Params!$B$54</f>
        <v/>
      </c>
      <c r="BE6" s="5">
        <f>BE$3*Params!$B$54</f>
        <v/>
      </c>
      <c r="BF6" s="5">
        <f>BF$3*Params!$B$54</f>
        <v/>
      </c>
      <c r="BG6" s="5">
        <f>BG$3*Params!$B$54</f>
        <v/>
      </c>
      <c r="BH6" s="5">
        <f>BH$3*Params!$B$54</f>
        <v/>
      </c>
      <c r="BI6" s="5">
        <f>BI$3*Params!$B$54</f>
        <v/>
      </c>
      <c r="BJ6" s="5">
        <f>BJ$3*Params!$B$54</f>
        <v/>
      </c>
      <c r="BK6" s="5">
        <f>BK$3*Params!$B$54</f>
        <v/>
      </c>
      <c r="BL6" s="5">
        <f>BL$3*Params!$B$54</f>
        <v/>
      </c>
      <c r="BM6" s="5">
        <f>BM$3*Params!$B$54</f>
        <v/>
      </c>
      <c r="BN6" s="5">
        <f>BN$3*Params!$B$54</f>
        <v/>
      </c>
      <c r="BO6" s="5">
        <f>BO$3*Params!$B$54</f>
        <v/>
      </c>
      <c r="BP6" s="5">
        <f>BP$3*Params!$B$54</f>
        <v/>
      </c>
      <c r="BQ6" s="5">
        <f>BQ$3*Params!$B$54</f>
        <v/>
      </c>
      <c r="BR6" s="5">
        <f>BR$3*Params!$B$54</f>
        <v/>
      </c>
      <c r="BS6" s="5">
        <f>BS$3*Params!$B$54</f>
        <v/>
      </c>
      <c r="BT6" s="5">
        <f>BT$3*Params!$B$54</f>
        <v/>
      </c>
      <c r="BU6" s="5">
        <f>BU$3*Params!$B$54</f>
        <v/>
      </c>
      <c r="BV6" s="5">
        <f>BV$3*Params!$B$54</f>
        <v/>
      </c>
    </row>
    <row r="7">
      <c r="A7" t="inlineStr">
        <is>
          <t>MAU</t>
        </is>
      </c>
      <c r="B7" t="inlineStr">
        <is>
          <t>APAC</t>
        </is>
      </c>
      <c r="C7" s="5">
        <f>C$3*Params!$B$55</f>
        <v/>
      </c>
      <c r="D7" s="5">
        <f>D$3*Params!$B$55</f>
        <v/>
      </c>
      <c r="E7" s="5">
        <f>E$3*Params!$B$55</f>
        <v/>
      </c>
      <c r="F7" s="5">
        <f>F$3*Params!$B$55</f>
        <v/>
      </c>
      <c r="G7" s="5">
        <f>G$3*Params!$B$55</f>
        <v/>
      </c>
      <c r="H7" s="5">
        <f>H$3*Params!$B$55</f>
        <v/>
      </c>
      <c r="I7" s="5">
        <f>I$3*Params!$B$55</f>
        <v/>
      </c>
      <c r="J7" s="5">
        <f>J$3*Params!$B$55</f>
        <v/>
      </c>
      <c r="K7" s="5">
        <f>K$3*Params!$B$55</f>
        <v/>
      </c>
      <c r="L7" s="5">
        <f>L$3*Params!$B$55</f>
        <v/>
      </c>
      <c r="M7" s="5">
        <f>M$3*Params!$B$55</f>
        <v/>
      </c>
      <c r="N7" s="5">
        <f>N$3*Params!$B$55</f>
        <v/>
      </c>
      <c r="O7" s="5">
        <f>O$3*Params!$B$55</f>
        <v/>
      </c>
      <c r="P7" s="5">
        <f>P$3*Params!$B$55</f>
        <v/>
      </c>
      <c r="Q7" s="5">
        <f>Q$3*Params!$B$55</f>
        <v/>
      </c>
      <c r="R7" s="5">
        <f>R$3*Params!$B$55</f>
        <v/>
      </c>
      <c r="S7" s="5">
        <f>S$3*Params!$B$55</f>
        <v/>
      </c>
      <c r="T7" s="5">
        <f>T$3*Params!$B$55</f>
        <v/>
      </c>
      <c r="U7" s="5">
        <f>U$3*Params!$B$55</f>
        <v/>
      </c>
      <c r="V7" s="5">
        <f>V$3*Params!$B$55</f>
        <v/>
      </c>
      <c r="W7" s="5">
        <f>W$3*Params!$B$55</f>
        <v/>
      </c>
      <c r="X7" s="5">
        <f>X$3*Params!$B$55</f>
        <v/>
      </c>
      <c r="Y7" s="5">
        <f>Y$3*Params!$B$55</f>
        <v/>
      </c>
      <c r="Z7" s="5">
        <f>Z$3*Params!$B$55</f>
        <v/>
      </c>
      <c r="AA7" s="5">
        <f>AA$3*Params!$B$55</f>
        <v/>
      </c>
      <c r="AB7" s="5">
        <f>AB$3*Params!$B$55</f>
        <v/>
      </c>
      <c r="AC7" s="5">
        <f>AC$3*Params!$B$55</f>
        <v/>
      </c>
      <c r="AD7" s="5">
        <f>AD$3*Params!$B$55</f>
        <v/>
      </c>
      <c r="AE7" s="5">
        <f>AE$3*Params!$B$55</f>
        <v/>
      </c>
      <c r="AF7" s="5">
        <f>AF$3*Params!$B$55</f>
        <v/>
      </c>
      <c r="AG7" s="5">
        <f>AG$3*Params!$B$55</f>
        <v/>
      </c>
      <c r="AH7" s="5">
        <f>AH$3*Params!$B$55</f>
        <v/>
      </c>
      <c r="AI7" s="5">
        <f>AI$3*Params!$B$55</f>
        <v/>
      </c>
      <c r="AJ7" s="5">
        <f>AJ$3*Params!$B$55</f>
        <v/>
      </c>
      <c r="AK7" s="5">
        <f>AK$3*Params!$B$55</f>
        <v/>
      </c>
      <c r="AL7" s="5">
        <f>AL$3*Params!$B$55</f>
        <v/>
      </c>
      <c r="AM7" s="5">
        <f>AM$3*Params!$B$55</f>
        <v/>
      </c>
      <c r="AN7" s="5">
        <f>AN$3*Params!$B$55</f>
        <v/>
      </c>
      <c r="AO7" s="5">
        <f>AO$3*Params!$B$55</f>
        <v/>
      </c>
      <c r="AP7" s="5">
        <f>AP$3*Params!$B$55</f>
        <v/>
      </c>
      <c r="AQ7" s="5">
        <f>AQ$3*Params!$B$55</f>
        <v/>
      </c>
      <c r="AR7" s="5">
        <f>AR$3*Params!$B$55</f>
        <v/>
      </c>
      <c r="AS7" s="5">
        <f>AS$3*Params!$B$55</f>
        <v/>
      </c>
      <c r="AT7" s="5">
        <f>AT$3*Params!$B$55</f>
        <v/>
      </c>
      <c r="AU7" s="5">
        <f>AU$3*Params!$B$55</f>
        <v/>
      </c>
      <c r="AV7" s="5">
        <f>AV$3*Params!$B$55</f>
        <v/>
      </c>
      <c r="AW7" s="5">
        <f>AW$3*Params!$B$55</f>
        <v/>
      </c>
      <c r="AX7" s="5">
        <f>AX$3*Params!$B$55</f>
        <v/>
      </c>
      <c r="AY7" s="5">
        <f>AY$3*Params!$B$55</f>
        <v/>
      </c>
      <c r="AZ7" s="5">
        <f>AZ$3*Params!$B$55</f>
        <v/>
      </c>
      <c r="BA7" s="5">
        <f>BA$3*Params!$B$55</f>
        <v/>
      </c>
      <c r="BB7" s="5">
        <f>BB$3*Params!$B$55</f>
        <v/>
      </c>
      <c r="BC7" s="5">
        <f>BC$3*Params!$B$55</f>
        <v/>
      </c>
      <c r="BD7" s="5">
        <f>BD$3*Params!$B$55</f>
        <v/>
      </c>
      <c r="BE7" s="5">
        <f>BE$3*Params!$B$55</f>
        <v/>
      </c>
      <c r="BF7" s="5">
        <f>BF$3*Params!$B$55</f>
        <v/>
      </c>
      <c r="BG7" s="5">
        <f>BG$3*Params!$B$55</f>
        <v/>
      </c>
      <c r="BH7" s="5">
        <f>BH$3*Params!$B$55</f>
        <v/>
      </c>
      <c r="BI7" s="5">
        <f>BI$3*Params!$B$55</f>
        <v/>
      </c>
      <c r="BJ7" s="5">
        <f>BJ$3*Params!$B$55</f>
        <v/>
      </c>
      <c r="BK7" s="5">
        <f>BK$3*Params!$B$55</f>
        <v/>
      </c>
      <c r="BL7" s="5">
        <f>BL$3*Params!$B$55</f>
        <v/>
      </c>
      <c r="BM7" s="5">
        <f>BM$3*Params!$B$55</f>
        <v/>
      </c>
      <c r="BN7" s="5">
        <f>BN$3*Params!$B$55</f>
        <v/>
      </c>
      <c r="BO7" s="5">
        <f>BO$3*Params!$B$55</f>
        <v/>
      </c>
      <c r="BP7" s="5">
        <f>BP$3*Params!$B$55</f>
        <v/>
      </c>
      <c r="BQ7" s="5">
        <f>BQ$3*Params!$B$55</f>
        <v/>
      </c>
      <c r="BR7" s="5">
        <f>BR$3*Params!$B$55</f>
        <v/>
      </c>
      <c r="BS7" s="5">
        <f>BS$3*Params!$B$55</f>
        <v/>
      </c>
      <c r="BT7" s="5">
        <f>BT$3*Params!$B$55</f>
        <v/>
      </c>
      <c r="BU7" s="5">
        <f>BU$3*Params!$B$55</f>
        <v/>
      </c>
      <c r="BV7" s="5">
        <f>BV$3*Params!$B$55</f>
        <v/>
      </c>
    </row>
    <row r="8">
      <c r="A8" t="inlineStr">
        <is>
          <t>MAU</t>
        </is>
      </c>
      <c r="B8" t="inlineStr">
        <is>
          <t>ROW</t>
        </is>
      </c>
      <c r="C8" s="5">
        <f>C$3*Params!$B$56</f>
        <v/>
      </c>
      <c r="D8" s="5">
        <f>D$3*Params!$B$56</f>
        <v/>
      </c>
      <c r="E8" s="5">
        <f>E$3*Params!$B$56</f>
        <v/>
      </c>
      <c r="F8" s="5">
        <f>F$3*Params!$B$56</f>
        <v/>
      </c>
      <c r="G8" s="5">
        <f>G$3*Params!$B$56</f>
        <v/>
      </c>
      <c r="H8" s="5">
        <f>H$3*Params!$B$56</f>
        <v/>
      </c>
      <c r="I8" s="5">
        <f>I$3*Params!$B$56</f>
        <v/>
      </c>
      <c r="J8" s="5">
        <f>J$3*Params!$B$56</f>
        <v/>
      </c>
      <c r="K8" s="5">
        <f>K$3*Params!$B$56</f>
        <v/>
      </c>
      <c r="L8" s="5">
        <f>L$3*Params!$B$56</f>
        <v/>
      </c>
      <c r="M8" s="5">
        <f>M$3*Params!$B$56</f>
        <v/>
      </c>
      <c r="N8" s="5">
        <f>N$3*Params!$B$56</f>
        <v/>
      </c>
      <c r="O8" s="5">
        <f>O$3*Params!$B$56</f>
        <v/>
      </c>
      <c r="P8" s="5">
        <f>P$3*Params!$B$56</f>
        <v/>
      </c>
      <c r="Q8" s="5">
        <f>Q$3*Params!$B$56</f>
        <v/>
      </c>
      <c r="R8" s="5">
        <f>R$3*Params!$B$56</f>
        <v/>
      </c>
      <c r="S8" s="5">
        <f>S$3*Params!$B$56</f>
        <v/>
      </c>
      <c r="T8" s="5">
        <f>T$3*Params!$B$56</f>
        <v/>
      </c>
      <c r="U8" s="5">
        <f>U$3*Params!$B$56</f>
        <v/>
      </c>
      <c r="V8" s="5">
        <f>V$3*Params!$B$56</f>
        <v/>
      </c>
      <c r="W8" s="5">
        <f>W$3*Params!$B$56</f>
        <v/>
      </c>
      <c r="X8" s="5">
        <f>X$3*Params!$B$56</f>
        <v/>
      </c>
      <c r="Y8" s="5">
        <f>Y$3*Params!$B$56</f>
        <v/>
      </c>
      <c r="Z8" s="5">
        <f>Z$3*Params!$B$56</f>
        <v/>
      </c>
      <c r="AA8" s="5">
        <f>AA$3*Params!$B$56</f>
        <v/>
      </c>
      <c r="AB8" s="5">
        <f>AB$3*Params!$B$56</f>
        <v/>
      </c>
      <c r="AC8" s="5">
        <f>AC$3*Params!$B$56</f>
        <v/>
      </c>
      <c r="AD8" s="5">
        <f>AD$3*Params!$B$56</f>
        <v/>
      </c>
      <c r="AE8" s="5">
        <f>AE$3*Params!$B$56</f>
        <v/>
      </c>
      <c r="AF8" s="5">
        <f>AF$3*Params!$B$56</f>
        <v/>
      </c>
      <c r="AG8" s="5">
        <f>AG$3*Params!$B$56</f>
        <v/>
      </c>
      <c r="AH8" s="5">
        <f>AH$3*Params!$B$56</f>
        <v/>
      </c>
      <c r="AI8" s="5">
        <f>AI$3*Params!$B$56</f>
        <v/>
      </c>
      <c r="AJ8" s="5">
        <f>AJ$3*Params!$B$56</f>
        <v/>
      </c>
      <c r="AK8" s="5">
        <f>AK$3*Params!$B$56</f>
        <v/>
      </c>
      <c r="AL8" s="5">
        <f>AL$3*Params!$B$56</f>
        <v/>
      </c>
      <c r="AM8" s="5">
        <f>AM$3*Params!$B$56</f>
        <v/>
      </c>
      <c r="AN8" s="5">
        <f>AN$3*Params!$B$56</f>
        <v/>
      </c>
      <c r="AO8" s="5">
        <f>AO$3*Params!$B$56</f>
        <v/>
      </c>
      <c r="AP8" s="5">
        <f>AP$3*Params!$B$56</f>
        <v/>
      </c>
      <c r="AQ8" s="5">
        <f>AQ$3*Params!$B$56</f>
        <v/>
      </c>
      <c r="AR8" s="5">
        <f>AR$3*Params!$B$56</f>
        <v/>
      </c>
      <c r="AS8" s="5">
        <f>AS$3*Params!$B$56</f>
        <v/>
      </c>
      <c r="AT8" s="5">
        <f>AT$3*Params!$B$56</f>
        <v/>
      </c>
      <c r="AU8" s="5">
        <f>AU$3*Params!$B$56</f>
        <v/>
      </c>
      <c r="AV8" s="5">
        <f>AV$3*Params!$B$56</f>
        <v/>
      </c>
      <c r="AW8" s="5">
        <f>AW$3*Params!$B$56</f>
        <v/>
      </c>
      <c r="AX8" s="5">
        <f>AX$3*Params!$B$56</f>
        <v/>
      </c>
      <c r="AY8" s="5">
        <f>AY$3*Params!$B$56</f>
        <v/>
      </c>
      <c r="AZ8" s="5">
        <f>AZ$3*Params!$B$56</f>
        <v/>
      </c>
      <c r="BA8" s="5">
        <f>BA$3*Params!$B$56</f>
        <v/>
      </c>
      <c r="BB8" s="5">
        <f>BB$3*Params!$B$56</f>
        <v/>
      </c>
      <c r="BC8" s="5">
        <f>BC$3*Params!$B$56</f>
        <v/>
      </c>
      <c r="BD8" s="5">
        <f>BD$3*Params!$B$56</f>
        <v/>
      </c>
      <c r="BE8" s="5">
        <f>BE$3*Params!$B$56</f>
        <v/>
      </c>
      <c r="BF8" s="5">
        <f>BF$3*Params!$B$56</f>
        <v/>
      </c>
      <c r="BG8" s="5">
        <f>BG$3*Params!$B$56</f>
        <v/>
      </c>
      <c r="BH8" s="5">
        <f>BH$3*Params!$B$56</f>
        <v/>
      </c>
      <c r="BI8" s="5">
        <f>BI$3*Params!$B$56</f>
        <v/>
      </c>
      <c r="BJ8" s="5">
        <f>BJ$3*Params!$B$56</f>
        <v/>
      </c>
      <c r="BK8" s="5">
        <f>BK$3*Params!$B$56</f>
        <v/>
      </c>
      <c r="BL8" s="5">
        <f>BL$3*Params!$B$56</f>
        <v/>
      </c>
      <c r="BM8" s="5">
        <f>BM$3*Params!$B$56</f>
        <v/>
      </c>
      <c r="BN8" s="5">
        <f>BN$3*Params!$B$56</f>
        <v/>
      </c>
      <c r="BO8" s="5">
        <f>BO$3*Params!$B$56</f>
        <v/>
      </c>
      <c r="BP8" s="5">
        <f>BP$3*Params!$B$56</f>
        <v/>
      </c>
      <c r="BQ8" s="5">
        <f>BQ$3*Params!$B$56</f>
        <v/>
      </c>
      <c r="BR8" s="5">
        <f>BR$3*Params!$B$56</f>
        <v/>
      </c>
      <c r="BS8" s="5">
        <f>BS$3*Params!$B$56</f>
        <v/>
      </c>
      <c r="BT8" s="5">
        <f>BT$3*Params!$B$56</f>
        <v/>
      </c>
      <c r="BU8" s="5">
        <f>BU$3*Params!$B$56</f>
        <v/>
      </c>
      <c r="BV8" s="5">
        <f>BV$3*Params!$B$56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plan</t>
        </is>
      </c>
      <c r="C1" s="1" t="inlineStr">
        <is>
          <t>list $/mo</t>
        </is>
      </c>
      <c r="D1" s="1" t="inlineStr">
        <is>
          <t>x regional index</t>
        </is>
      </c>
      <c r="E1" s="1" t="inlineStr">
        <is>
          <t>after discount &amp; VAT</t>
        </is>
      </c>
      <c r="F1" s="1" t="inlineStr">
        <is>
          <t>keep after fees (yr 1)</t>
        </is>
      </c>
      <c r="G1" s="1" t="inlineStr">
        <is>
          <t>keep after fees (later)</t>
        </is>
      </c>
      <c r="H1" s="1" t="inlineStr">
        <is>
          <t>net $/mo (yr 1)</t>
        </is>
      </c>
      <c r="I1" s="1" t="inlineStr">
        <is>
          <t>net $/mo (later)</t>
        </is>
      </c>
    </row>
    <row r="2">
      <c r="A2" t="inlineStr">
        <is>
          <t>US_CA</t>
        </is>
      </c>
      <c r="B2" t="inlineStr">
        <is>
          <t>NITRO_M</t>
        </is>
      </c>
      <c r="C2" s="6">
        <f>Params!$B$100/Params!$B$104</f>
        <v/>
      </c>
      <c r="D2" s="6">
        <f>C2*Params!$B$62</f>
        <v/>
      </c>
      <c r="E2" s="6">
        <f>D2*(1-Params!$B$17)*(1-Params!$B$67)</f>
        <v/>
      </c>
      <c r="F2" s="7">
        <f>Params!$B$77*(1-Params!$B$18)+Params!$B$78*(1-Params!$B$19)+Params!$B$79*(1-Params!$B$21)</f>
        <v/>
      </c>
      <c r="G2" s="7">
        <f>Params!$B$77*(1-Params!$B$18)+Params!$B$78*(1-Params!$B$20)+Params!$B$79*(1-Params!$B$21)</f>
        <v/>
      </c>
      <c r="H2" s="6">
        <f>E2*F2</f>
        <v/>
      </c>
      <c r="I2" s="6">
        <f>E2*G2</f>
        <v/>
      </c>
    </row>
    <row r="3">
      <c r="A3" t="inlineStr">
        <is>
          <t>US_CA</t>
        </is>
      </c>
      <c r="B3" t="inlineStr">
        <is>
          <t>NITRO_A</t>
        </is>
      </c>
      <c r="C3" s="6">
        <f>Params!$B$101/Params!$B$105</f>
        <v/>
      </c>
      <c r="D3" s="6">
        <f>C3*Params!$B$62</f>
        <v/>
      </c>
      <c r="E3" s="6">
        <f>D3*(1-Params!$B$17)*(1-Params!$B$67)</f>
        <v/>
      </c>
      <c r="F3" s="7">
        <f>Params!$B$77*(1-Params!$B$18)+Params!$B$78*(1-Params!$B$19)+Params!$B$79*(1-Params!$B$21)</f>
        <v/>
      </c>
      <c r="G3" s="7">
        <f>Params!$B$77*(1-Params!$B$18)+Params!$B$78*(1-Params!$B$20)+Params!$B$79*(1-Params!$B$21)</f>
        <v/>
      </c>
      <c r="H3" s="6">
        <f>E3*F3</f>
        <v/>
      </c>
      <c r="I3" s="6">
        <f>E3*G3</f>
        <v/>
      </c>
    </row>
    <row r="4">
      <c r="A4" t="inlineStr">
        <is>
          <t>US_CA</t>
        </is>
      </c>
      <c r="B4" t="inlineStr">
        <is>
          <t>BASIC_M</t>
        </is>
      </c>
      <c r="C4" s="6">
        <f>Params!$B$102/Params!$B$106</f>
        <v/>
      </c>
      <c r="D4" s="6">
        <f>C4*Params!$B$62</f>
        <v/>
      </c>
      <c r="E4" s="6">
        <f>D4*(1-Params!$B$17)*(1-Params!$B$67)</f>
        <v/>
      </c>
      <c r="F4" s="7">
        <f>Params!$B$77*(1-Params!$B$18)+Params!$B$78*(1-Params!$B$19)+Params!$B$79*(1-Params!$B$21)</f>
        <v/>
      </c>
      <c r="G4" s="7">
        <f>Params!$B$77*(1-Params!$B$18)+Params!$B$78*(1-Params!$B$20)+Params!$B$79*(1-Params!$B$21)</f>
        <v/>
      </c>
      <c r="H4" s="6">
        <f>E4*F4</f>
        <v/>
      </c>
      <c r="I4" s="6">
        <f>E4*G4</f>
        <v/>
      </c>
    </row>
    <row r="5">
      <c r="A5" t="inlineStr">
        <is>
          <t>US_CA</t>
        </is>
      </c>
      <c r="B5" t="inlineStr">
        <is>
          <t>BASIC_A</t>
        </is>
      </c>
      <c r="C5" s="6">
        <f>Params!$B$103/Params!$B$107</f>
        <v/>
      </c>
      <c r="D5" s="6">
        <f>C5*Params!$B$62</f>
        <v/>
      </c>
      <c r="E5" s="6">
        <f>D5*(1-Params!$B$17)*(1-Params!$B$67)</f>
        <v/>
      </c>
      <c r="F5" s="7">
        <f>Params!$B$77*(1-Params!$B$18)+Params!$B$78*(1-Params!$B$19)+Params!$B$79*(1-Params!$B$21)</f>
        <v/>
      </c>
      <c r="G5" s="7">
        <f>Params!$B$77*(1-Params!$B$18)+Params!$B$78*(1-Params!$B$20)+Params!$B$79*(1-Params!$B$21)</f>
        <v/>
      </c>
      <c r="H5" s="6">
        <f>E5*F5</f>
        <v/>
      </c>
      <c r="I5" s="6">
        <f>E5*G5</f>
        <v/>
      </c>
    </row>
    <row r="6">
      <c r="A6" t="inlineStr">
        <is>
          <t>EUROPE</t>
        </is>
      </c>
      <c r="B6" t="inlineStr">
        <is>
          <t>NITRO_M</t>
        </is>
      </c>
      <c r="C6" s="6">
        <f>Params!$B$100/Params!$B$104</f>
        <v/>
      </c>
      <c r="D6" s="6">
        <f>C6*Params!$B$63</f>
        <v/>
      </c>
      <c r="E6" s="6">
        <f>D6*(1-Params!$B$17)*(1-Params!$B$68)</f>
        <v/>
      </c>
      <c r="F6" s="7">
        <f>Params!$B$80*(1-Params!$B$18)+Params!$B$81*(1-Params!$B$19)+Params!$B$82*(1-Params!$B$21)</f>
        <v/>
      </c>
      <c r="G6" s="7">
        <f>Params!$B$80*(1-Params!$B$18)+Params!$B$81*(1-Params!$B$20)+Params!$B$82*(1-Params!$B$21)</f>
        <v/>
      </c>
      <c r="H6" s="6">
        <f>E6*F6</f>
        <v/>
      </c>
      <c r="I6" s="6">
        <f>E6*G6</f>
        <v/>
      </c>
    </row>
    <row r="7">
      <c r="A7" t="inlineStr">
        <is>
          <t>EUROPE</t>
        </is>
      </c>
      <c r="B7" t="inlineStr">
        <is>
          <t>NITRO_A</t>
        </is>
      </c>
      <c r="C7" s="6">
        <f>Params!$B$101/Params!$B$105</f>
        <v/>
      </c>
      <c r="D7" s="6">
        <f>C7*Params!$B$63</f>
        <v/>
      </c>
      <c r="E7" s="6">
        <f>D7*(1-Params!$B$17)*(1-Params!$B$68)</f>
        <v/>
      </c>
      <c r="F7" s="7">
        <f>Params!$B$80*(1-Params!$B$18)+Params!$B$81*(1-Params!$B$19)+Params!$B$82*(1-Params!$B$21)</f>
        <v/>
      </c>
      <c r="G7" s="7">
        <f>Params!$B$80*(1-Params!$B$18)+Params!$B$81*(1-Params!$B$20)+Params!$B$82*(1-Params!$B$21)</f>
        <v/>
      </c>
      <c r="H7" s="6">
        <f>E7*F7</f>
        <v/>
      </c>
      <c r="I7" s="6">
        <f>E7*G7</f>
        <v/>
      </c>
    </row>
    <row r="8">
      <c r="A8" t="inlineStr">
        <is>
          <t>EUROPE</t>
        </is>
      </c>
      <c r="B8" t="inlineStr">
        <is>
          <t>BASIC_M</t>
        </is>
      </c>
      <c r="C8" s="6">
        <f>Params!$B$102/Params!$B$106</f>
        <v/>
      </c>
      <c r="D8" s="6">
        <f>C8*Params!$B$63</f>
        <v/>
      </c>
      <c r="E8" s="6">
        <f>D8*(1-Params!$B$17)*(1-Params!$B$68)</f>
        <v/>
      </c>
      <c r="F8" s="7">
        <f>Params!$B$80*(1-Params!$B$18)+Params!$B$81*(1-Params!$B$19)+Params!$B$82*(1-Params!$B$21)</f>
        <v/>
      </c>
      <c r="G8" s="7">
        <f>Params!$B$80*(1-Params!$B$18)+Params!$B$81*(1-Params!$B$20)+Params!$B$82*(1-Params!$B$21)</f>
        <v/>
      </c>
      <c r="H8" s="6">
        <f>E8*F8</f>
        <v/>
      </c>
      <c r="I8" s="6">
        <f>E8*G8</f>
        <v/>
      </c>
    </row>
    <row r="9">
      <c r="A9" t="inlineStr">
        <is>
          <t>EUROPE</t>
        </is>
      </c>
      <c r="B9" t="inlineStr">
        <is>
          <t>BASIC_A</t>
        </is>
      </c>
      <c r="C9" s="6">
        <f>Params!$B$103/Params!$B$107</f>
        <v/>
      </c>
      <c r="D9" s="6">
        <f>C9*Params!$B$63</f>
        <v/>
      </c>
      <c r="E9" s="6">
        <f>D9*(1-Params!$B$17)*(1-Params!$B$68)</f>
        <v/>
      </c>
      <c r="F9" s="7">
        <f>Params!$B$80*(1-Params!$B$18)+Params!$B$81*(1-Params!$B$19)+Params!$B$82*(1-Params!$B$21)</f>
        <v/>
      </c>
      <c r="G9" s="7">
        <f>Params!$B$80*(1-Params!$B$18)+Params!$B$81*(1-Params!$B$20)+Params!$B$82*(1-Params!$B$21)</f>
        <v/>
      </c>
      <c r="H9" s="6">
        <f>E9*F9</f>
        <v/>
      </c>
      <c r="I9" s="6">
        <f>E9*G9</f>
        <v/>
      </c>
    </row>
    <row r="10">
      <c r="A10" t="inlineStr">
        <is>
          <t>LATAM</t>
        </is>
      </c>
      <c r="B10" t="inlineStr">
        <is>
          <t>NITRO_M</t>
        </is>
      </c>
      <c r="C10" s="6">
        <f>Params!$B$100/Params!$B$104</f>
        <v/>
      </c>
      <c r="D10" s="6">
        <f>C10*Params!$B$64</f>
        <v/>
      </c>
      <c r="E10" s="6">
        <f>D10*(1-Params!$B$17)*(1-Params!$B$69)</f>
        <v/>
      </c>
      <c r="F10" s="7">
        <f>Params!$B$83*(1-Params!$B$18)+Params!$B$84*(1-Params!$B$19)+Params!$B$85*(1-Params!$B$21)</f>
        <v/>
      </c>
      <c r="G10" s="7">
        <f>Params!$B$83*(1-Params!$B$18)+Params!$B$84*(1-Params!$B$20)+Params!$B$85*(1-Params!$B$21)</f>
        <v/>
      </c>
      <c r="H10" s="6">
        <f>E10*F10</f>
        <v/>
      </c>
      <c r="I10" s="6">
        <f>E10*G10</f>
        <v/>
      </c>
    </row>
    <row r="11">
      <c r="A11" t="inlineStr">
        <is>
          <t>LATAM</t>
        </is>
      </c>
      <c r="B11" t="inlineStr">
        <is>
          <t>NITRO_A</t>
        </is>
      </c>
      <c r="C11" s="6">
        <f>Params!$B$101/Params!$B$105</f>
        <v/>
      </c>
      <c r="D11" s="6">
        <f>C11*Params!$B$64</f>
        <v/>
      </c>
      <c r="E11" s="6">
        <f>D11*(1-Params!$B$17)*(1-Params!$B$69)</f>
        <v/>
      </c>
      <c r="F11" s="7">
        <f>Params!$B$83*(1-Params!$B$18)+Params!$B$84*(1-Params!$B$19)+Params!$B$85*(1-Params!$B$21)</f>
        <v/>
      </c>
      <c r="G11" s="7">
        <f>Params!$B$83*(1-Params!$B$18)+Params!$B$84*(1-Params!$B$20)+Params!$B$85*(1-Params!$B$21)</f>
        <v/>
      </c>
      <c r="H11" s="6">
        <f>E11*F11</f>
        <v/>
      </c>
      <c r="I11" s="6">
        <f>E11*G11</f>
        <v/>
      </c>
    </row>
    <row r="12">
      <c r="A12" t="inlineStr">
        <is>
          <t>LATAM</t>
        </is>
      </c>
      <c r="B12" t="inlineStr">
        <is>
          <t>BASIC_M</t>
        </is>
      </c>
      <c r="C12" s="6">
        <f>Params!$B$102/Params!$B$106</f>
        <v/>
      </c>
      <c r="D12" s="6">
        <f>C12*Params!$B$64</f>
        <v/>
      </c>
      <c r="E12" s="6">
        <f>D12*(1-Params!$B$17)*(1-Params!$B$69)</f>
        <v/>
      </c>
      <c r="F12" s="7">
        <f>Params!$B$83*(1-Params!$B$18)+Params!$B$84*(1-Params!$B$19)+Params!$B$85*(1-Params!$B$21)</f>
        <v/>
      </c>
      <c r="G12" s="7">
        <f>Params!$B$83*(1-Params!$B$18)+Params!$B$84*(1-Params!$B$20)+Params!$B$85*(1-Params!$B$21)</f>
        <v/>
      </c>
      <c r="H12" s="6">
        <f>E12*F12</f>
        <v/>
      </c>
      <c r="I12" s="6">
        <f>E12*G12</f>
        <v/>
      </c>
    </row>
    <row r="13">
      <c r="A13" t="inlineStr">
        <is>
          <t>LATAM</t>
        </is>
      </c>
      <c r="B13" t="inlineStr">
        <is>
          <t>BASIC_A</t>
        </is>
      </c>
      <c r="C13" s="6">
        <f>Params!$B$103/Params!$B$107</f>
        <v/>
      </c>
      <c r="D13" s="6">
        <f>C13*Params!$B$64</f>
        <v/>
      </c>
      <c r="E13" s="6">
        <f>D13*(1-Params!$B$17)*(1-Params!$B$69)</f>
        <v/>
      </c>
      <c r="F13" s="7">
        <f>Params!$B$83*(1-Params!$B$18)+Params!$B$84*(1-Params!$B$19)+Params!$B$85*(1-Params!$B$21)</f>
        <v/>
      </c>
      <c r="G13" s="7">
        <f>Params!$B$83*(1-Params!$B$18)+Params!$B$84*(1-Params!$B$20)+Params!$B$85*(1-Params!$B$21)</f>
        <v/>
      </c>
      <c r="H13" s="6">
        <f>E13*F13</f>
        <v/>
      </c>
      <c r="I13" s="6">
        <f>E13*G13</f>
        <v/>
      </c>
    </row>
    <row r="14">
      <c r="A14" t="inlineStr">
        <is>
          <t>APAC</t>
        </is>
      </c>
      <c r="B14" t="inlineStr">
        <is>
          <t>NITRO_M</t>
        </is>
      </c>
      <c r="C14" s="6">
        <f>Params!$B$100/Params!$B$104</f>
        <v/>
      </c>
      <c r="D14" s="6">
        <f>C14*Params!$B$65</f>
        <v/>
      </c>
      <c r="E14" s="6">
        <f>D14*(1-Params!$B$17)*(1-Params!$B$70)</f>
        <v/>
      </c>
      <c r="F14" s="7">
        <f>Params!$B$86*(1-Params!$B$18)+Params!$B$87*(1-Params!$B$19)+Params!$B$88*(1-Params!$B$21)</f>
        <v/>
      </c>
      <c r="G14" s="7">
        <f>Params!$B$86*(1-Params!$B$18)+Params!$B$87*(1-Params!$B$20)+Params!$B$88*(1-Params!$B$21)</f>
        <v/>
      </c>
      <c r="H14" s="6">
        <f>E14*F14</f>
        <v/>
      </c>
      <c r="I14" s="6">
        <f>E14*G14</f>
        <v/>
      </c>
    </row>
    <row r="15">
      <c r="A15" t="inlineStr">
        <is>
          <t>APAC</t>
        </is>
      </c>
      <c r="B15" t="inlineStr">
        <is>
          <t>NITRO_A</t>
        </is>
      </c>
      <c r="C15" s="6">
        <f>Params!$B$101/Params!$B$105</f>
        <v/>
      </c>
      <c r="D15" s="6">
        <f>C15*Params!$B$65</f>
        <v/>
      </c>
      <c r="E15" s="6">
        <f>D15*(1-Params!$B$17)*(1-Params!$B$70)</f>
        <v/>
      </c>
      <c r="F15" s="7">
        <f>Params!$B$86*(1-Params!$B$18)+Params!$B$87*(1-Params!$B$19)+Params!$B$88*(1-Params!$B$21)</f>
        <v/>
      </c>
      <c r="G15" s="7">
        <f>Params!$B$86*(1-Params!$B$18)+Params!$B$87*(1-Params!$B$20)+Params!$B$88*(1-Params!$B$21)</f>
        <v/>
      </c>
      <c r="H15" s="6">
        <f>E15*F15</f>
        <v/>
      </c>
      <c r="I15" s="6">
        <f>E15*G15</f>
        <v/>
      </c>
    </row>
    <row r="16">
      <c r="A16" t="inlineStr">
        <is>
          <t>APAC</t>
        </is>
      </c>
      <c r="B16" t="inlineStr">
        <is>
          <t>BASIC_M</t>
        </is>
      </c>
      <c r="C16" s="6">
        <f>Params!$B$102/Params!$B$106</f>
        <v/>
      </c>
      <c r="D16" s="6">
        <f>C16*Params!$B$65</f>
        <v/>
      </c>
      <c r="E16" s="6">
        <f>D16*(1-Params!$B$17)*(1-Params!$B$70)</f>
        <v/>
      </c>
      <c r="F16" s="7">
        <f>Params!$B$86*(1-Params!$B$18)+Params!$B$87*(1-Params!$B$19)+Params!$B$88*(1-Params!$B$21)</f>
        <v/>
      </c>
      <c r="G16" s="7">
        <f>Params!$B$86*(1-Params!$B$18)+Params!$B$87*(1-Params!$B$20)+Params!$B$88*(1-Params!$B$21)</f>
        <v/>
      </c>
      <c r="H16" s="6">
        <f>E16*F16</f>
        <v/>
      </c>
      <c r="I16" s="6">
        <f>E16*G16</f>
        <v/>
      </c>
    </row>
    <row r="17">
      <c r="A17" t="inlineStr">
        <is>
          <t>APAC</t>
        </is>
      </c>
      <c r="B17" t="inlineStr">
        <is>
          <t>BASIC_A</t>
        </is>
      </c>
      <c r="C17" s="6">
        <f>Params!$B$103/Params!$B$107</f>
        <v/>
      </c>
      <c r="D17" s="6">
        <f>C17*Params!$B$65</f>
        <v/>
      </c>
      <c r="E17" s="6">
        <f>D17*(1-Params!$B$17)*(1-Params!$B$70)</f>
        <v/>
      </c>
      <c r="F17" s="7">
        <f>Params!$B$86*(1-Params!$B$18)+Params!$B$87*(1-Params!$B$19)+Params!$B$88*(1-Params!$B$21)</f>
        <v/>
      </c>
      <c r="G17" s="7">
        <f>Params!$B$86*(1-Params!$B$18)+Params!$B$87*(1-Params!$B$20)+Params!$B$88*(1-Params!$B$21)</f>
        <v/>
      </c>
      <c r="H17" s="6">
        <f>E17*F17</f>
        <v/>
      </c>
      <c r="I17" s="6">
        <f>E17*G17</f>
        <v/>
      </c>
    </row>
    <row r="18">
      <c r="A18" t="inlineStr">
        <is>
          <t>ROW</t>
        </is>
      </c>
      <c r="B18" t="inlineStr">
        <is>
          <t>NITRO_M</t>
        </is>
      </c>
      <c r="C18" s="6">
        <f>Params!$B$100/Params!$B$104</f>
        <v/>
      </c>
      <c r="D18" s="6">
        <f>C18*Params!$B$66</f>
        <v/>
      </c>
      <c r="E18" s="6">
        <f>D18*(1-Params!$B$17)*(1-Params!$B$71)</f>
        <v/>
      </c>
      <c r="F18" s="7">
        <f>Params!$B$89*(1-Params!$B$18)+Params!$B$90*(1-Params!$B$19)+Params!$B$91*(1-Params!$B$21)</f>
        <v/>
      </c>
      <c r="G18" s="7">
        <f>Params!$B$89*(1-Params!$B$18)+Params!$B$90*(1-Params!$B$20)+Params!$B$91*(1-Params!$B$21)</f>
        <v/>
      </c>
      <c r="H18" s="6">
        <f>E18*F18</f>
        <v/>
      </c>
      <c r="I18" s="6">
        <f>E18*G18</f>
        <v/>
      </c>
    </row>
    <row r="19">
      <c r="A19" t="inlineStr">
        <is>
          <t>ROW</t>
        </is>
      </c>
      <c r="B19" t="inlineStr">
        <is>
          <t>NITRO_A</t>
        </is>
      </c>
      <c r="C19" s="6">
        <f>Params!$B$101/Params!$B$105</f>
        <v/>
      </c>
      <c r="D19" s="6">
        <f>C19*Params!$B$66</f>
        <v/>
      </c>
      <c r="E19" s="6">
        <f>D19*(1-Params!$B$17)*(1-Params!$B$71)</f>
        <v/>
      </c>
      <c r="F19" s="7">
        <f>Params!$B$89*(1-Params!$B$18)+Params!$B$90*(1-Params!$B$19)+Params!$B$91*(1-Params!$B$21)</f>
        <v/>
      </c>
      <c r="G19" s="7">
        <f>Params!$B$89*(1-Params!$B$18)+Params!$B$90*(1-Params!$B$20)+Params!$B$91*(1-Params!$B$21)</f>
        <v/>
      </c>
      <c r="H19" s="6">
        <f>E19*F19</f>
        <v/>
      </c>
      <c r="I19" s="6">
        <f>E19*G19</f>
        <v/>
      </c>
    </row>
    <row r="20">
      <c r="A20" t="inlineStr">
        <is>
          <t>ROW</t>
        </is>
      </c>
      <c r="B20" t="inlineStr">
        <is>
          <t>BASIC_M</t>
        </is>
      </c>
      <c r="C20" s="6">
        <f>Params!$B$102/Params!$B$106</f>
        <v/>
      </c>
      <c r="D20" s="6">
        <f>C20*Params!$B$66</f>
        <v/>
      </c>
      <c r="E20" s="6">
        <f>D20*(1-Params!$B$17)*(1-Params!$B$71)</f>
        <v/>
      </c>
      <c r="F20" s="7">
        <f>Params!$B$89*(1-Params!$B$18)+Params!$B$90*(1-Params!$B$19)+Params!$B$91*(1-Params!$B$21)</f>
        <v/>
      </c>
      <c r="G20" s="7">
        <f>Params!$B$89*(1-Params!$B$18)+Params!$B$90*(1-Params!$B$20)+Params!$B$91*(1-Params!$B$21)</f>
        <v/>
      </c>
      <c r="H20" s="6">
        <f>E20*F20</f>
        <v/>
      </c>
      <c r="I20" s="6">
        <f>E20*G20</f>
        <v/>
      </c>
    </row>
    <row r="21">
      <c r="A21" t="inlineStr">
        <is>
          <t>ROW</t>
        </is>
      </c>
      <c r="B21" t="inlineStr">
        <is>
          <t>BASIC_A</t>
        </is>
      </c>
      <c r="C21" s="6">
        <f>Params!$B$103/Params!$B$107</f>
        <v/>
      </c>
      <c r="D21" s="6">
        <f>C21*Params!$B$66</f>
        <v/>
      </c>
      <c r="E21" s="6">
        <f>D21*(1-Params!$B$17)*(1-Params!$B$71)</f>
        <v/>
      </c>
      <c r="F21" s="7">
        <f>Params!$B$89*(1-Params!$B$18)+Params!$B$90*(1-Params!$B$19)+Params!$B$91*(1-Params!$B$21)</f>
        <v/>
      </c>
      <c r="G21" s="7">
        <f>Params!$B$89*(1-Params!$B$18)+Params!$B$90*(1-Params!$B$20)+Params!$B$91*(1-Params!$B$21)</f>
        <v/>
      </c>
      <c r="H21" s="6">
        <f>E21*F21</f>
        <v/>
      </c>
      <c r="I21" s="6">
        <f>E21*G21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V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Rates: local currency per USD. FY2025 average to Dec 2025, linear to spot, then covered-interest-parity forwards.</t>
        </is>
      </c>
    </row>
    <row r="5">
      <c r="A5" t="inlineStr">
        <is>
          <t>rate (local per USD)</t>
        </is>
      </c>
      <c r="B5" t="inlineStr">
        <is>
          <t>USD</t>
        </is>
      </c>
      <c r="C5" s="4">
        <f>IF(C$2&lt;=11,Params!$B$108,IF(C$2&lt;=(Params!$B$25-1),Params!$B$108+(Params!$B$113-Params!$B$108)*(C$2-11)/((Params!$B$25-1)-11),Params!$B$113*((1+Params!$B$118)/(1+Params!$B$118))^((C$2-(Params!$B$25-1))/12)))</f>
        <v/>
      </c>
      <c r="D5" s="4">
        <f>IF(D$2&lt;=11,Params!$B$108,IF(D$2&lt;=(Params!$B$25-1),Params!$B$108+(Params!$B$113-Params!$B$108)*(D$2-11)/((Params!$B$25-1)-11),Params!$B$113*((1+Params!$B$118)/(1+Params!$B$118))^((D$2-(Params!$B$25-1))/12)))</f>
        <v/>
      </c>
      <c r="E5" s="4">
        <f>IF(E$2&lt;=11,Params!$B$108,IF(E$2&lt;=(Params!$B$25-1),Params!$B$108+(Params!$B$113-Params!$B$108)*(E$2-11)/((Params!$B$25-1)-11),Params!$B$113*((1+Params!$B$118)/(1+Params!$B$118))^((E$2-(Params!$B$25-1))/12)))</f>
        <v/>
      </c>
      <c r="F5" s="4">
        <f>IF(F$2&lt;=11,Params!$B$108,IF(F$2&lt;=(Params!$B$25-1),Params!$B$108+(Params!$B$113-Params!$B$108)*(F$2-11)/((Params!$B$25-1)-11),Params!$B$113*((1+Params!$B$118)/(1+Params!$B$118))^((F$2-(Params!$B$25-1))/12)))</f>
        <v/>
      </c>
      <c r="G5" s="4">
        <f>IF(G$2&lt;=11,Params!$B$108,IF(G$2&lt;=(Params!$B$25-1),Params!$B$108+(Params!$B$113-Params!$B$108)*(G$2-11)/((Params!$B$25-1)-11),Params!$B$113*((1+Params!$B$118)/(1+Params!$B$118))^((G$2-(Params!$B$25-1))/12)))</f>
        <v/>
      </c>
      <c r="H5" s="4">
        <f>IF(H$2&lt;=11,Params!$B$108,IF(H$2&lt;=(Params!$B$25-1),Params!$B$108+(Params!$B$113-Params!$B$108)*(H$2-11)/((Params!$B$25-1)-11),Params!$B$113*((1+Params!$B$118)/(1+Params!$B$118))^((H$2-(Params!$B$25-1))/12)))</f>
        <v/>
      </c>
      <c r="I5" s="4">
        <f>IF(I$2&lt;=11,Params!$B$108,IF(I$2&lt;=(Params!$B$25-1),Params!$B$108+(Params!$B$113-Params!$B$108)*(I$2-11)/((Params!$B$25-1)-11),Params!$B$113*((1+Params!$B$118)/(1+Params!$B$118))^((I$2-(Params!$B$25-1))/12)))</f>
        <v/>
      </c>
      <c r="J5" s="4">
        <f>IF(J$2&lt;=11,Params!$B$108,IF(J$2&lt;=(Params!$B$25-1),Params!$B$108+(Params!$B$113-Params!$B$108)*(J$2-11)/((Params!$B$25-1)-11),Params!$B$113*((1+Params!$B$118)/(1+Params!$B$118))^((J$2-(Params!$B$25-1))/12)))</f>
        <v/>
      </c>
      <c r="K5" s="4">
        <f>IF(K$2&lt;=11,Params!$B$108,IF(K$2&lt;=(Params!$B$25-1),Params!$B$108+(Params!$B$113-Params!$B$108)*(K$2-11)/((Params!$B$25-1)-11),Params!$B$113*((1+Params!$B$118)/(1+Params!$B$118))^((K$2-(Params!$B$25-1))/12)))</f>
        <v/>
      </c>
      <c r="L5" s="4">
        <f>IF(L$2&lt;=11,Params!$B$108,IF(L$2&lt;=(Params!$B$25-1),Params!$B$108+(Params!$B$113-Params!$B$108)*(L$2-11)/((Params!$B$25-1)-11),Params!$B$113*((1+Params!$B$118)/(1+Params!$B$118))^((L$2-(Params!$B$25-1))/12)))</f>
        <v/>
      </c>
      <c r="M5" s="4">
        <f>IF(M$2&lt;=11,Params!$B$108,IF(M$2&lt;=(Params!$B$25-1),Params!$B$108+(Params!$B$113-Params!$B$108)*(M$2-11)/((Params!$B$25-1)-11),Params!$B$113*((1+Params!$B$118)/(1+Params!$B$118))^((M$2-(Params!$B$25-1))/12)))</f>
        <v/>
      </c>
      <c r="N5" s="4">
        <f>IF(N$2&lt;=11,Params!$B$108,IF(N$2&lt;=(Params!$B$25-1),Params!$B$108+(Params!$B$113-Params!$B$108)*(N$2-11)/((Params!$B$25-1)-11),Params!$B$113*((1+Params!$B$118)/(1+Params!$B$118))^((N$2-(Params!$B$25-1))/12)))</f>
        <v/>
      </c>
      <c r="O5" s="4">
        <f>IF(O$2&lt;=11,Params!$B$108,IF(O$2&lt;=(Params!$B$25-1),Params!$B$108+(Params!$B$113-Params!$B$108)*(O$2-11)/((Params!$B$25-1)-11),Params!$B$113*((1+Params!$B$118)/(1+Params!$B$118))^((O$2-(Params!$B$25-1))/12)))</f>
        <v/>
      </c>
      <c r="P5" s="4">
        <f>IF(P$2&lt;=11,Params!$B$108,IF(P$2&lt;=(Params!$B$25-1),Params!$B$108+(Params!$B$113-Params!$B$108)*(P$2-11)/((Params!$B$25-1)-11),Params!$B$113*((1+Params!$B$118)/(1+Params!$B$118))^((P$2-(Params!$B$25-1))/12)))</f>
        <v/>
      </c>
      <c r="Q5" s="4">
        <f>IF(Q$2&lt;=11,Params!$B$108,IF(Q$2&lt;=(Params!$B$25-1),Params!$B$108+(Params!$B$113-Params!$B$108)*(Q$2-11)/((Params!$B$25-1)-11),Params!$B$113*((1+Params!$B$118)/(1+Params!$B$118))^((Q$2-(Params!$B$25-1))/12)))</f>
        <v/>
      </c>
      <c r="R5" s="4">
        <f>IF(R$2&lt;=11,Params!$B$108,IF(R$2&lt;=(Params!$B$25-1),Params!$B$108+(Params!$B$113-Params!$B$108)*(R$2-11)/((Params!$B$25-1)-11),Params!$B$113*((1+Params!$B$118)/(1+Params!$B$118))^((R$2-(Params!$B$25-1))/12)))</f>
        <v/>
      </c>
      <c r="S5" s="4">
        <f>IF(S$2&lt;=11,Params!$B$108,IF(S$2&lt;=(Params!$B$25-1),Params!$B$108+(Params!$B$113-Params!$B$108)*(S$2-11)/((Params!$B$25-1)-11),Params!$B$113*((1+Params!$B$118)/(1+Params!$B$118))^((S$2-(Params!$B$25-1))/12)))</f>
        <v/>
      </c>
      <c r="T5" s="4">
        <f>IF(T$2&lt;=11,Params!$B$108,IF(T$2&lt;=(Params!$B$25-1),Params!$B$108+(Params!$B$113-Params!$B$108)*(T$2-11)/((Params!$B$25-1)-11),Params!$B$113*((1+Params!$B$118)/(1+Params!$B$118))^((T$2-(Params!$B$25-1))/12)))</f>
        <v/>
      </c>
      <c r="U5" s="4">
        <f>IF(U$2&lt;=11,Params!$B$108,IF(U$2&lt;=(Params!$B$25-1),Params!$B$108+(Params!$B$113-Params!$B$108)*(U$2-11)/((Params!$B$25-1)-11),Params!$B$113*((1+Params!$B$118)/(1+Params!$B$118))^((U$2-(Params!$B$25-1))/12)))</f>
        <v/>
      </c>
      <c r="V5" s="4">
        <f>IF(V$2&lt;=11,Params!$B$108,IF(V$2&lt;=(Params!$B$25-1),Params!$B$108+(Params!$B$113-Params!$B$108)*(V$2-11)/((Params!$B$25-1)-11),Params!$B$113*((1+Params!$B$118)/(1+Params!$B$118))^((V$2-(Params!$B$25-1))/12)))</f>
        <v/>
      </c>
      <c r="W5" s="4">
        <f>IF(W$2&lt;=11,Params!$B$108,IF(W$2&lt;=(Params!$B$25-1),Params!$B$108+(Params!$B$113-Params!$B$108)*(W$2-11)/((Params!$B$25-1)-11),Params!$B$113*((1+Params!$B$118)/(1+Params!$B$118))^((W$2-(Params!$B$25-1))/12)))</f>
        <v/>
      </c>
      <c r="X5" s="4">
        <f>IF(X$2&lt;=11,Params!$B$108,IF(X$2&lt;=(Params!$B$25-1),Params!$B$108+(Params!$B$113-Params!$B$108)*(X$2-11)/((Params!$B$25-1)-11),Params!$B$113*((1+Params!$B$118)/(1+Params!$B$118))^((X$2-(Params!$B$25-1))/12)))</f>
        <v/>
      </c>
      <c r="Y5" s="4">
        <f>IF(Y$2&lt;=11,Params!$B$108,IF(Y$2&lt;=(Params!$B$25-1),Params!$B$108+(Params!$B$113-Params!$B$108)*(Y$2-11)/((Params!$B$25-1)-11),Params!$B$113*((1+Params!$B$118)/(1+Params!$B$118))^((Y$2-(Params!$B$25-1))/12)))</f>
        <v/>
      </c>
      <c r="Z5" s="4">
        <f>IF(Z$2&lt;=11,Params!$B$108,IF(Z$2&lt;=(Params!$B$25-1),Params!$B$108+(Params!$B$113-Params!$B$108)*(Z$2-11)/((Params!$B$25-1)-11),Params!$B$113*((1+Params!$B$118)/(1+Params!$B$118))^((Z$2-(Params!$B$25-1))/12)))</f>
        <v/>
      </c>
      <c r="AA5" s="4">
        <f>IF(AA$2&lt;=11,Params!$B$108,IF(AA$2&lt;=(Params!$B$25-1),Params!$B$108+(Params!$B$113-Params!$B$108)*(AA$2-11)/((Params!$B$25-1)-11),Params!$B$113*((1+Params!$B$118)/(1+Params!$B$118))^((AA$2-(Params!$B$25-1))/12)))</f>
        <v/>
      </c>
      <c r="AB5" s="4">
        <f>IF(AB$2&lt;=11,Params!$B$108,IF(AB$2&lt;=(Params!$B$25-1),Params!$B$108+(Params!$B$113-Params!$B$108)*(AB$2-11)/((Params!$B$25-1)-11),Params!$B$113*((1+Params!$B$118)/(1+Params!$B$118))^((AB$2-(Params!$B$25-1))/12)))</f>
        <v/>
      </c>
      <c r="AC5" s="4">
        <f>IF(AC$2&lt;=11,Params!$B$108,IF(AC$2&lt;=(Params!$B$25-1),Params!$B$108+(Params!$B$113-Params!$B$108)*(AC$2-11)/((Params!$B$25-1)-11),Params!$B$113*((1+Params!$B$118)/(1+Params!$B$118))^((AC$2-(Params!$B$25-1))/12)))</f>
        <v/>
      </c>
      <c r="AD5" s="4">
        <f>IF(AD$2&lt;=11,Params!$B$108,IF(AD$2&lt;=(Params!$B$25-1),Params!$B$108+(Params!$B$113-Params!$B$108)*(AD$2-11)/((Params!$B$25-1)-11),Params!$B$113*((1+Params!$B$118)/(1+Params!$B$118))^((AD$2-(Params!$B$25-1))/12)))</f>
        <v/>
      </c>
      <c r="AE5" s="4">
        <f>IF(AE$2&lt;=11,Params!$B$108,IF(AE$2&lt;=(Params!$B$25-1),Params!$B$108+(Params!$B$113-Params!$B$108)*(AE$2-11)/((Params!$B$25-1)-11),Params!$B$113*((1+Params!$B$118)/(1+Params!$B$118))^((AE$2-(Params!$B$25-1))/12)))</f>
        <v/>
      </c>
      <c r="AF5" s="4">
        <f>IF(AF$2&lt;=11,Params!$B$108,IF(AF$2&lt;=(Params!$B$25-1),Params!$B$108+(Params!$B$113-Params!$B$108)*(AF$2-11)/((Params!$B$25-1)-11),Params!$B$113*((1+Params!$B$118)/(1+Params!$B$118))^((AF$2-(Params!$B$25-1))/12)))</f>
        <v/>
      </c>
      <c r="AG5" s="4">
        <f>IF(AG$2&lt;=11,Params!$B$108,IF(AG$2&lt;=(Params!$B$25-1),Params!$B$108+(Params!$B$113-Params!$B$108)*(AG$2-11)/((Params!$B$25-1)-11),Params!$B$113*((1+Params!$B$118)/(1+Params!$B$118))^((AG$2-(Params!$B$25-1))/12)))</f>
        <v/>
      </c>
      <c r="AH5" s="4">
        <f>IF(AH$2&lt;=11,Params!$B$108,IF(AH$2&lt;=(Params!$B$25-1),Params!$B$108+(Params!$B$113-Params!$B$108)*(AH$2-11)/((Params!$B$25-1)-11),Params!$B$113*((1+Params!$B$118)/(1+Params!$B$118))^((AH$2-(Params!$B$25-1))/12)))</f>
        <v/>
      </c>
      <c r="AI5" s="4">
        <f>IF(AI$2&lt;=11,Params!$B$108,IF(AI$2&lt;=(Params!$B$25-1),Params!$B$108+(Params!$B$113-Params!$B$108)*(AI$2-11)/((Params!$B$25-1)-11),Params!$B$113*((1+Params!$B$118)/(1+Params!$B$118))^((AI$2-(Params!$B$25-1))/12)))</f>
        <v/>
      </c>
      <c r="AJ5" s="4">
        <f>IF(AJ$2&lt;=11,Params!$B$108,IF(AJ$2&lt;=(Params!$B$25-1),Params!$B$108+(Params!$B$113-Params!$B$108)*(AJ$2-11)/((Params!$B$25-1)-11),Params!$B$113*((1+Params!$B$118)/(1+Params!$B$118))^((AJ$2-(Params!$B$25-1))/12)))</f>
        <v/>
      </c>
      <c r="AK5" s="4">
        <f>IF(AK$2&lt;=11,Params!$B$108,IF(AK$2&lt;=(Params!$B$25-1),Params!$B$108+(Params!$B$113-Params!$B$108)*(AK$2-11)/((Params!$B$25-1)-11),Params!$B$113*((1+Params!$B$118)/(1+Params!$B$118))^((AK$2-(Params!$B$25-1))/12)))</f>
        <v/>
      </c>
      <c r="AL5" s="4">
        <f>IF(AL$2&lt;=11,Params!$B$108,IF(AL$2&lt;=(Params!$B$25-1),Params!$B$108+(Params!$B$113-Params!$B$108)*(AL$2-11)/((Params!$B$25-1)-11),Params!$B$113*((1+Params!$B$118)/(1+Params!$B$118))^((AL$2-(Params!$B$25-1))/12)))</f>
        <v/>
      </c>
      <c r="AM5" s="4">
        <f>IF(AM$2&lt;=11,Params!$B$108,IF(AM$2&lt;=(Params!$B$25-1),Params!$B$108+(Params!$B$113-Params!$B$108)*(AM$2-11)/((Params!$B$25-1)-11),Params!$B$113*((1+Params!$B$118)/(1+Params!$B$118))^((AM$2-(Params!$B$25-1))/12)))</f>
        <v/>
      </c>
      <c r="AN5" s="4">
        <f>IF(AN$2&lt;=11,Params!$B$108,IF(AN$2&lt;=(Params!$B$25-1),Params!$B$108+(Params!$B$113-Params!$B$108)*(AN$2-11)/((Params!$B$25-1)-11),Params!$B$113*((1+Params!$B$118)/(1+Params!$B$118))^((AN$2-(Params!$B$25-1))/12)))</f>
        <v/>
      </c>
      <c r="AO5" s="4">
        <f>IF(AO$2&lt;=11,Params!$B$108,IF(AO$2&lt;=(Params!$B$25-1),Params!$B$108+(Params!$B$113-Params!$B$108)*(AO$2-11)/((Params!$B$25-1)-11),Params!$B$113*((1+Params!$B$118)/(1+Params!$B$118))^((AO$2-(Params!$B$25-1))/12)))</f>
        <v/>
      </c>
      <c r="AP5" s="4">
        <f>IF(AP$2&lt;=11,Params!$B$108,IF(AP$2&lt;=(Params!$B$25-1),Params!$B$108+(Params!$B$113-Params!$B$108)*(AP$2-11)/((Params!$B$25-1)-11),Params!$B$113*((1+Params!$B$118)/(1+Params!$B$118))^((AP$2-(Params!$B$25-1))/12)))</f>
        <v/>
      </c>
      <c r="AQ5" s="4">
        <f>IF(AQ$2&lt;=11,Params!$B$108,IF(AQ$2&lt;=(Params!$B$25-1),Params!$B$108+(Params!$B$113-Params!$B$108)*(AQ$2-11)/((Params!$B$25-1)-11),Params!$B$113*((1+Params!$B$118)/(1+Params!$B$118))^((AQ$2-(Params!$B$25-1))/12)))</f>
        <v/>
      </c>
      <c r="AR5" s="4">
        <f>IF(AR$2&lt;=11,Params!$B$108,IF(AR$2&lt;=(Params!$B$25-1),Params!$B$108+(Params!$B$113-Params!$B$108)*(AR$2-11)/((Params!$B$25-1)-11),Params!$B$113*((1+Params!$B$118)/(1+Params!$B$118))^((AR$2-(Params!$B$25-1))/12)))</f>
        <v/>
      </c>
      <c r="AS5" s="4">
        <f>IF(AS$2&lt;=11,Params!$B$108,IF(AS$2&lt;=(Params!$B$25-1),Params!$B$108+(Params!$B$113-Params!$B$108)*(AS$2-11)/((Params!$B$25-1)-11),Params!$B$113*((1+Params!$B$118)/(1+Params!$B$118))^((AS$2-(Params!$B$25-1))/12)))</f>
        <v/>
      </c>
      <c r="AT5" s="4">
        <f>IF(AT$2&lt;=11,Params!$B$108,IF(AT$2&lt;=(Params!$B$25-1),Params!$B$108+(Params!$B$113-Params!$B$108)*(AT$2-11)/((Params!$B$25-1)-11),Params!$B$113*((1+Params!$B$118)/(1+Params!$B$118))^((AT$2-(Params!$B$25-1))/12)))</f>
        <v/>
      </c>
      <c r="AU5" s="4">
        <f>IF(AU$2&lt;=11,Params!$B$108,IF(AU$2&lt;=(Params!$B$25-1),Params!$B$108+(Params!$B$113-Params!$B$108)*(AU$2-11)/((Params!$B$25-1)-11),Params!$B$113*((1+Params!$B$118)/(1+Params!$B$118))^((AU$2-(Params!$B$25-1))/12)))</f>
        <v/>
      </c>
      <c r="AV5" s="4">
        <f>IF(AV$2&lt;=11,Params!$B$108,IF(AV$2&lt;=(Params!$B$25-1),Params!$B$108+(Params!$B$113-Params!$B$108)*(AV$2-11)/((Params!$B$25-1)-11),Params!$B$113*((1+Params!$B$118)/(1+Params!$B$118))^((AV$2-(Params!$B$25-1))/12)))</f>
        <v/>
      </c>
      <c r="AW5" s="4">
        <f>IF(AW$2&lt;=11,Params!$B$108,IF(AW$2&lt;=(Params!$B$25-1),Params!$B$108+(Params!$B$113-Params!$B$108)*(AW$2-11)/((Params!$B$25-1)-11),Params!$B$113*((1+Params!$B$118)/(1+Params!$B$118))^((AW$2-(Params!$B$25-1))/12)))</f>
        <v/>
      </c>
      <c r="AX5" s="4">
        <f>IF(AX$2&lt;=11,Params!$B$108,IF(AX$2&lt;=(Params!$B$25-1),Params!$B$108+(Params!$B$113-Params!$B$108)*(AX$2-11)/((Params!$B$25-1)-11),Params!$B$113*((1+Params!$B$118)/(1+Params!$B$118))^((AX$2-(Params!$B$25-1))/12)))</f>
        <v/>
      </c>
      <c r="AY5" s="4">
        <f>IF(AY$2&lt;=11,Params!$B$108,IF(AY$2&lt;=(Params!$B$25-1),Params!$B$108+(Params!$B$113-Params!$B$108)*(AY$2-11)/((Params!$B$25-1)-11),Params!$B$113*((1+Params!$B$118)/(1+Params!$B$118))^((AY$2-(Params!$B$25-1))/12)))</f>
        <v/>
      </c>
      <c r="AZ5" s="4">
        <f>IF(AZ$2&lt;=11,Params!$B$108,IF(AZ$2&lt;=(Params!$B$25-1),Params!$B$108+(Params!$B$113-Params!$B$108)*(AZ$2-11)/((Params!$B$25-1)-11),Params!$B$113*((1+Params!$B$118)/(1+Params!$B$118))^((AZ$2-(Params!$B$25-1))/12)))</f>
        <v/>
      </c>
      <c r="BA5" s="4">
        <f>IF(BA$2&lt;=11,Params!$B$108,IF(BA$2&lt;=(Params!$B$25-1),Params!$B$108+(Params!$B$113-Params!$B$108)*(BA$2-11)/((Params!$B$25-1)-11),Params!$B$113*((1+Params!$B$118)/(1+Params!$B$118))^((BA$2-(Params!$B$25-1))/12)))</f>
        <v/>
      </c>
      <c r="BB5" s="4">
        <f>IF(BB$2&lt;=11,Params!$B$108,IF(BB$2&lt;=(Params!$B$25-1),Params!$B$108+(Params!$B$113-Params!$B$108)*(BB$2-11)/((Params!$B$25-1)-11),Params!$B$113*((1+Params!$B$118)/(1+Params!$B$118))^((BB$2-(Params!$B$25-1))/12)))</f>
        <v/>
      </c>
      <c r="BC5" s="4">
        <f>IF(BC$2&lt;=11,Params!$B$108,IF(BC$2&lt;=(Params!$B$25-1),Params!$B$108+(Params!$B$113-Params!$B$108)*(BC$2-11)/((Params!$B$25-1)-11),Params!$B$113*((1+Params!$B$118)/(1+Params!$B$118))^((BC$2-(Params!$B$25-1))/12)))</f>
        <v/>
      </c>
      <c r="BD5" s="4">
        <f>IF(BD$2&lt;=11,Params!$B$108,IF(BD$2&lt;=(Params!$B$25-1),Params!$B$108+(Params!$B$113-Params!$B$108)*(BD$2-11)/((Params!$B$25-1)-11),Params!$B$113*((1+Params!$B$118)/(1+Params!$B$118))^((BD$2-(Params!$B$25-1))/12)))</f>
        <v/>
      </c>
      <c r="BE5" s="4">
        <f>IF(BE$2&lt;=11,Params!$B$108,IF(BE$2&lt;=(Params!$B$25-1),Params!$B$108+(Params!$B$113-Params!$B$108)*(BE$2-11)/((Params!$B$25-1)-11),Params!$B$113*((1+Params!$B$118)/(1+Params!$B$118))^((BE$2-(Params!$B$25-1))/12)))</f>
        <v/>
      </c>
      <c r="BF5" s="4">
        <f>IF(BF$2&lt;=11,Params!$B$108,IF(BF$2&lt;=(Params!$B$25-1),Params!$B$108+(Params!$B$113-Params!$B$108)*(BF$2-11)/((Params!$B$25-1)-11),Params!$B$113*((1+Params!$B$118)/(1+Params!$B$118))^((BF$2-(Params!$B$25-1))/12)))</f>
        <v/>
      </c>
      <c r="BG5" s="4">
        <f>IF(BG$2&lt;=11,Params!$B$108,IF(BG$2&lt;=(Params!$B$25-1),Params!$B$108+(Params!$B$113-Params!$B$108)*(BG$2-11)/((Params!$B$25-1)-11),Params!$B$113*((1+Params!$B$118)/(1+Params!$B$118))^((BG$2-(Params!$B$25-1))/12)))</f>
        <v/>
      </c>
      <c r="BH5" s="4">
        <f>IF(BH$2&lt;=11,Params!$B$108,IF(BH$2&lt;=(Params!$B$25-1),Params!$B$108+(Params!$B$113-Params!$B$108)*(BH$2-11)/((Params!$B$25-1)-11),Params!$B$113*((1+Params!$B$118)/(1+Params!$B$118))^((BH$2-(Params!$B$25-1))/12)))</f>
        <v/>
      </c>
      <c r="BI5" s="4">
        <f>IF(BI$2&lt;=11,Params!$B$108,IF(BI$2&lt;=(Params!$B$25-1),Params!$B$108+(Params!$B$113-Params!$B$108)*(BI$2-11)/((Params!$B$25-1)-11),Params!$B$113*((1+Params!$B$118)/(1+Params!$B$118))^((BI$2-(Params!$B$25-1))/12)))</f>
        <v/>
      </c>
      <c r="BJ5" s="4">
        <f>IF(BJ$2&lt;=11,Params!$B$108,IF(BJ$2&lt;=(Params!$B$25-1),Params!$B$108+(Params!$B$113-Params!$B$108)*(BJ$2-11)/((Params!$B$25-1)-11),Params!$B$113*((1+Params!$B$118)/(1+Params!$B$118))^((BJ$2-(Params!$B$25-1))/12)))</f>
        <v/>
      </c>
      <c r="BK5" s="4">
        <f>IF(BK$2&lt;=11,Params!$B$108,IF(BK$2&lt;=(Params!$B$25-1),Params!$B$108+(Params!$B$113-Params!$B$108)*(BK$2-11)/((Params!$B$25-1)-11),Params!$B$113*((1+Params!$B$118)/(1+Params!$B$118))^((BK$2-(Params!$B$25-1))/12)))</f>
        <v/>
      </c>
      <c r="BL5" s="4">
        <f>IF(BL$2&lt;=11,Params!$B$108,IF(BL$2&lt;=(Params!$B$25-1),Params!$B$108+(Params!$B$113-Params!$B$108)*(BL$2-11)/((Params!$B$25-1)-11),Params!$B$113*((1+Params!$B$118)/(1+Params!$B$118))^((BL$2-(Params!$B$25-1))/12)))</f>
        <v/>
      </c>
      <c r="BM5" s="4">
        <f>IF(BM$2&lt;=11,Params!$B$108,IF(BM$2&lt;=(Params!$B$25-1),Params!$B$108+(Params!$B$113-Params!$B$108)*(BM$2-11)/((Params!$B$25-1)-11),Params!$B$113*((1+Params!$B$118)/(1+Params!$B$118))^((BM$2-(Params!$B$25-1))/12)))</f>
        <v/>
      </c>
      <c r="BN5" s="4">
        <f>IF(BN$2&lt;=11,Params!$B$108,IF(BN$2&lt;=(Params!$B$25-1),Params!$B$108+(Params!$B$113-Params!$B$108)*(BN$2-11)/((Params!$B$25-1)-11),Params!$B$113*((1+Params!$B$118)/(1+Params!$B$118))^((BN$2-(Params!$B$25-1))/12)))</f>
        <v/>
      </c>
      <c r="BO5" s="4">
        <f>IF(BO$2&lt;=11,Params!$B$108,IF(BO$2&lt;=(Params!$B$25-1),Params!$B$108+(Params!$B$113-Params!$B$108)*(BO$2-11)/((Params!$B$25-1)-11),Params!$B$113*((1+Params!$B$118)/(1+Params!$B$118))^((BO$2-(Params!$B$25-1))/12)))</f>
        <v/>
      </c>
      <c r="BP5" s="4">
        <f>IF(BP$2&lt;=11,Params!$B$108,IF(BP$2&lt;=(Params!$B$25-1),Params!$B$108+(Params!$B$113-Params!$B$108)*(BP$2-11)/((Params!$B$25-1)-11),Params!$B$113*((1+Params!$B$118)/(1+Params!$B$118))^((BP$2-(Params!$B$25-1))/12)))</f>
        <v/>
      </c>
      <c r="BQ5" s="4">
        <f>IF(BQ$2&lt;=11,Params!$B$108,IF(BQ$2&lt;=(Params!$B$25-1),Params!$B$108+(Params!$B$113-Params!$B$108)*(BQ$2-11)/((Params!$B$25-1)-11),Params!$B$113*((1+Params!$B$118)/(1+Params!$B$118))^((BQ$2-(Params!$B$25-1))/12)))</f>
        <v/>
      </c>
      <c r="BR5" s="4">
        <f>IF(BR$2&lt;=11,Params!$B$108,IF(BR$2&lt;=(Params!$B$25-1),Params!$B$108+(Params!$B$113-Params!$B$108)*(BR$2-11)/((Params!$B$25-1)-11),Params!$B$113*((1+Params!$B$118)/(1+Params!$B$118))^((BR$2-(Params!$B$25-1))/12)))</f>
        <v/>
      </c>
      <c r="BS5" s="4">
        <f>IF(BS$2&lt;=11,Params!$B$108,IF(BS$2&lt;=(Params!$B$25-1),Params!$B$108+(Params!$B$113-Params!$B$108)*(BS$2-11)/((Params!$B$25-1)-11),Params!$B$113*((1+Params!$B$118)/(1+Params!$B$118))^((BS$2-(Params!$B$25-1))/12)))</f>
        <v/>
      </c>
      <c r="BT5" s="4">
        <f>IF(BT$2&lt;=11,Params!$B$108,IF(BT$2&lt;=(Params!$B$25-1),Params!$B$108+(Params!$B$113-Params!$B$108)*(BT$2-11)/((Params!$B$25-1)-11),Params!$B$113*((1+Params!$B$118)/(1+Params!$B$118))^((BT$2-(Params!$B$25-1))/12)))</f>
        <v/>
      </c>
      <c r="BU5" s="4">
        <f>IF(BU$2&lt;=11,Params!$B$108,IF(BU$2&lt;=(Params!$B$25-1),Params!$B$108+(Params!$B$113-Params!$B$108)*(BU$2-11)/((Params!$B$25-1)-11),Params!$B$113*((1+Params!$B$118)/(1+Params!$B$118))^((BU$2-(Params!$B$25-1))/12)))</f>
        <v/>
      </c>
      <c r="BV5" s="4">
        <f>IF(BV$2&lt;=11,Params!$B$108,IF(BV$2&lt;=(Params!$B$25-1),Params!$B$108+(Params!$B$113-Params!$B$108)*(BV$2-11)/((Params!$B$25-1)-11),Params!$B$113*((1+Params!$B$118)/(1+Params!$B$118))^((BV$2-(Params!$B$25-1))/12)))</f>
        <v/>
      </c>
    </row>
    <row r="6">
      <c r="A6" t="inlineStr">
        <is>
          <t>rate (local per USD)</t>
        </is>
      </c>
      <c r="B6" t="inlineStr">
        <is>
          <t>EUR</t>
        </is>
      </c>
      <c r="C6" s="4">
        <f>IF(C$2&lt;=11,Params!$B$109,IF(C$2&lt;=(Params!$B$25-1),Params!$B$109+(Params!$B$114-Params!$B$109)*(C$2-11)/((Params!$B$25-1)-11),Params!$B$114*((1+Params!$B$119)/(1+Params!$B$118))^((C$2-(Params!$B$25-1))/12)))*IF(C$2&gt;(Params!$B$25-1),1+Params!$B$129*Params!$B$24,1)</f>
        <v/>
      </c>
      <c r="D6" s="4">
        <f>IF(D$2&lt;=11,Params!$B$109,IF(D$2&lt;=(Params!$B$25-1),Params!$B$109+(Params!$B$114-Params!$B$109)*(D$2-11)/((Params!$B$25-1)-11),Params!$B$114*((1+Params!$B$119)/(1+Params!$B$118))^((D$2-(Params!$B$25-1))/12)))*IF(D$2&gt;(Params!$B$25-1),1+Params!$B$129*Params!$B$24,1)</f>
        <v/>
      </c>
      <c r="E6" s="4">
        <f>IF(E$2&lt;=11,Params!$B$109,IF(E$2&lt;=(Params!$B$25-1),Params!$B$109+(Params!$B$114-Params!$B$109)*(E$2-11)/((Params!$B$25-1)-11),Params!$B$114*((1+Params!$B$119)/(1+Params!$B$118))^((E$2-(Params!$B$25-1))/12)))*IF(E$2&gt;(Params!$B$25-1),1+Params!$B$129*Params!$B$24,1)</f>
        <v/>
      </c>
      <c r="F6" s="4">
        <f>IF(F$2&lt;=11,Params!$B$109,IF(F$2&lt;=(Params!$B$25-1),Params!$B$109+(Params!$B$114-Params!$B$109)*(F$2-11)/((Params!$B$25-1)-11),Params!$B$114*((1+Params!$B$119)/(1+Params!$B$118))^((F$2-(Params!$B$25-1))/12)))*IF(F$2&gt;(Params!$B$25-1),1+Params!$B$129*Params!$B$24,1)</f>
        <v/>
      </c>
      <c r="G6" s="4">
        <f>IF(G$2&lt;=11,Params!$B$109,IF(G$2&lt;=(Params!$B$25-1),Params!$B$109+(Params!$B$114-Params!$B$109)*(G$2-11)/((Params!$B$25-1)-11),Params!$B$114*((1+Params!$B$119)/(1+Params!$B$118))^((G$2-(Params!$B$25-1))/12)))*IF(G$2&gt;(Params!$B$25-1),1+Params!$B$129*Params!$B$24,1)</f>
        <v/>
      </c>
      <c r="H6" s="4">
        <f>IF(H$2&lt;=11,Params!$B$109,IF(H$2&lt;=(Params!$B$25-1),Params!$B$109+(Params!$B$114-Params!$B$109)*(H$2-11)/((Params!$B$25-1)-11),Params!$B$114*((1+Params!$B$119)/(1+Params!$B$118))^((H$2-(Params!$B$25-1))/12)))*IF(H$2&gt;(Params!$B$25-1),1+Params!$B$129*Params!$B$24,1)</f>
        <v/>
      </c>
      <c r="I6" s="4">
        <f>IF(I$2&lt;=11,Params!$B$109,IF(I$2&lt;=(Params!$B$25-1),Params!$B$109+(Params!$B$114-Params!$B$109)*(I$2-11)/((Params!$B$25-1)-11),Params!$B$114*((1+Params!$B$119)/(1+Params!$B$118))^((I$2-(Params!$B$25-1))/12)))*IF(I$2&gt;(Params!$B$25-1),1+Params!$B$129*Params!$B$24,1)</f>
        <v/>
      </c>
      <c r="J6" s="4">
        <f>IF(J$2&lt;=11,Params!$B$109,IF(J$2&lt;=(Params!$B$25-1),Params!$B$109+(Params!$B$114-Params!$B$109)*(J$2-11)/((Params!$B$25-1)-11),Params!$B$114*((1+Params!$B$119)/(1+Params!$B$118))^((J$2-(Params!$B$25-1))/12)))*IF(J$2&gt;(Params!$B$25-1),1+Params!$B$129*Params!$B$24,1)</f>
        <v/>
      </c>
      <c r="K6" s="4">
        <f>IF(K$2&lt;=11,Params!$B$109,IF(K$2&lt;=(Params!$B$25-1),Params!$B$109+(Params!$B$114-Params!$B$109)*(K$2-11)/((Params!$B$25-1)-11),Params!$B$114*((1+Params!$B$119)/(1+Params!$B$118))^((K$2-(Params!$B$25-1))/12)))*IF(K$2&gt;(Params!$B$25-1),1+Params!$B$129*Params!$B$24,1)</f>
        <v/>
      </c>
      <c r="L6" s="4">
        <f>IF(L$2&lt;=11,Params!$B$109,IF(L$2&lt;=(Params!$B$25-1),Params!$B$109+(Params!$B$114-Params!$B$109)*(L$2-11)/((Params!$B$25-1)-11),Params!$B$114*((1+Params!$B$119)/(1+Params!$B$118))^((L$2-(Params!$B$25-1))/12)))*IF(L$2&gt;(Params!$B$25-1),1+Params!$B$129*Params!$B$24,1)</f>
        <v/>
      </c>
      <c r="M6" s="4">
        <f>IF(M$2&lt;=11,Params!$B$109,IF(M$2&lt;=(Params!$B$25-1),Params!$B$109+(Params!$B$114-Params!$B$109)*(M$2-11)/((Params!$B$25-1)-11),Params!$B$114*((1+Params!$B$119)/(1+Params!$B$118))^((M$2-(Params!$B$25-1))/12)))*IF(M$2&gt;(Params!$B$25-1),1+Params!$B$129*Params!$B$24,1)</f>
        <v/>
      </c>
      <c r="N6" s="4">
        <f>IF(N$2&lt;=11,Params!$B$109,IF(N$2&lt;=(Params!$B$25-1),Params!$B$109+(Params!$B$114-Params!$B$109)*(N$2-11)/((Params!$B$25-1)-11),Params!$B$114*((1+Params!$B$119)/(1+Params!$B$118))^((N$2-(Params!$B$25-1))/12)))*IF(N$2&gt;(Params!$B$25-1),1+Params!$B$129*Params!$B$24,1)</f>
        <v/>
      </c>
      <c r="O6" s="4">
        <f>IF(O$2&lt;=11,Params!$B$109,IF(O$2&lt;=(Params!$B$25-1),Params!$B$109+(Params!$B$114-Params!$B$109)*(O$2-11)/((Params!$B$25-1)-11),Params!$B$114*((1+Params!$B$119)/(1+Params!$B$118))^((O$2-(Params!$B$25-1))/12)))*IF(O$2&gt;(Params!$B$25-1),1+Params!$B$129*Params!$B$24,1)</f>
        <v/>
      </c>
      <c r="P6" s="4">
        <f>IF(P$2&lt;=11,Params!$B$109,IF(P$2&lt;=(Params!$B$25-1),Params!$B$109+(Params!$B$114-Params!$B$109)*(P$2-11)/((Params!$B$25-1)-11),Params!$B$114*((1+Params!$B$119)/(1+Params!$B$118))^((P$2-(Params!$B$25-1))/12)))*IF(P$2&gt;(Params!$B$25-1),1+Params!$B$129*Params!$B$24,1)</f>
        <v/>
      </c>
      <c r="Q6" s="4">
        <f>IF(Q$2&lt;=11,Params!$B$109,IF(Q$2&lt;=(Params!$B$25-1),Params!$B$109+(Params!$B$114-Params!$B$109)*(Q$2-11)/((Params!$B$25-1)-11),Params!$B$114*((1+Params!$B$119)/(1+Params!$B$118))^((Q$2-(Params!$B$25-1))/12)))*IF(Q$2&gt;(Params!$B$25-1),1+Params!$B$129*Params!$B$24,1)</f>
        <v/>
      </c>
      <c r="R6" s="4">
        <f>IF(R$2&lt;=11,Params!$B$109,IF(R$2&lt;=(Params!$B$25-1),Params!$B$109+(Params!$B$114-Params!$B$109)*(R$2-11)/((Params!$B$25-1)-11),Params!$B$114*((1+Params!$B$119)/(1+Params!$B$118))^((R$2-(Params!$B$25-1))/12)))*IF(R$2&gt;(Params!$B$25-1),1+Params!$B$129*Params!$B$24,1)</f>
        <v/>
      </c>
      <c r="S6" s="4">
        <f>IF(S$2&lt;=11,Params!$B$109,IF(S$2&lt;=(Params!$B$25-1),Params!$B$109+(Params!$B$114-Params!$B$109)*(S$2-11)/((Params!$B$25-1)-11),Params!$B$114*((1+Params!$B$119)/(1+Params!$B$118))^((S$2-(Params!$B$25-1))/12)))*IF(S$2&gt;(Params!$B$25-1),1+Params!$B$129*Params!$B$24,1)</f>
        <v/>
      </c>
      <c r="T6" s="4">
        <f>IF(T$2&lt;=11,Params!$B$109,IF(T$2&lt;=(Params!$B$25-1),Params!$B$109+(Params!$B$114-Params!$B$109)*(T$2-11)/((Params!$B$25-1)-11),Params!$B$114*((1+Params!$B$119)/(1+Params!$B$118))^((T$2-(Params!$B$25-1))/12)))*IF(T$2&gt;(Params!$B$25-1),1+Params!$B$129*Params!$B$24,1)</f>
        <v/>
      </c>
      <c r="U6" s="4">
        <f>IF(U$2&lt;=11,Params!$B$109,IF(U$2&lt;=(Params!$B$25-1),Params!$B$109+(Params!$B$114-Params!$B$109)*(U$2-11)/((Params!$B$25-1)-11),Params!$B$114*((1+Params!$B$119)/(1+Params!$B$118))^((U$2-(Params!$B$25-1))/12)))*IF(U$2&gt;(Params!$B$25-1),1+Params!$B$129*Params!$B$24,1)</f>
        <v/>
      </c>
      <c r="V6" s="4">
        <f>IF(V$2&lt;=11,Params!$B$109,IF(V$2&lt;=(Params!$B$25-1),Params!$B$109+(Params!$B$114-Params!$B$109)*(V$2-11)/((Params!$B$25-1)-11),Params!$B$114*((1+Params!$B$119)/(1+Params!$B$118))^((V$2-(Params!$B$25-1))/12)))*IF(V$2&gt;(Params!$B$25-1),1+Params!$B$129*Params!$B$24,1)</f>
        <v/>
      </c>
      <c r="W6" s="4">
        <f>IF(W$2&lt;=11,Params!$B$109,IF(W$2&lt;=(Params!$B$25-1),Params!$B$109+(Params!$B$114-Params!$B$109)*(W$2-11)/((Params!$B$25-1)-11),Params!$B$114*((1+Params!$B$119)/(1+Params!$B$118))^((W$2-(Params!$B$25-1))/12)))*IF(W$2&gt;(Params!$B$25-1),1+Params!$B$129*Params!$B$24,1)</f>
        <v/>
      </c>
      <c r="X6" s="4">
        <f>IF(X$2&lt;=11,Params!$B$109,IF(X$2&lt;=(Params!$B$25-1),Params!$B$109+(Params!$B$114-Params!$B$109)*(X$2-11)/((Params!$B$25-1)-11),Params!$B$114*((1+Params!$B$119)/(1+Params!$B$118))^((X$2-(Params!$B$25-1))/12)))*IF(X$2&gt;(Params!$B$25-1),1+Params!$B$129*Params!$B$24,1)</f>
        <v/>
      </c>
      <c r="Y6" s="4">
        <f>IF(Y$2&lt;=11,Params!$B$109,IF(Y$2&lt;=(Params!$B$25-1),Params!$B$109+(Params!$B$114-Params!$B$109)*(Y$2-11)/((Params!$B$25-1)-11),Params!$B$114*((1+Params!$B$119)/(1+Params!$B$118))^((Y$2-(Params!$B$25-1))/12)))*IF(Y$2&gt;(Params!$B$25-1),1+Params!$B$129*Params!$B$24,1)</f>
        <v/>
      </c>
      <c r="Z6" s="4">
        <f>IF(Z$2&lt;=11,Params!$B$109,IF(Z$2&lt;=(Params!$B$25-1),Params!$B$109+(Params!$B$114-Params!$B$109)*(Z$2-11)/((Params!$B$25-1)-11),Params!$B$114*((1+Params!$B$119)/(1+Params!$B$118))^((Z$2-(Params!$B$25-1))/12)))*IF(Z$2&gt;(Params!$B$25-1),1+Params!$B$129*Params!$B$24,1)</f>
        <v/>
      </c>
      <c r="AA6" s="4">
        <f>IF(AA$2&lt;=11,Params!$B$109,IF(AA$2&lt;=(Params!$B$25-1),Params!$B$109+(Params!$B$114-Params!$B$109)*(AA$2-11)/((Params!$B$25-1)-11),Params!$B$114*((1+Params!$B$119)/(1+Params!$B$118))^((AA$2-(Params!$B$25-1))/12)))*IF(AA$2&gt;(Params!$B$25-1),1+Params!$B$129*Params!$B$24,1)</f>
        <v/>
      </c>
      <c r="AB6" s="4">
        <f>IF(AB$2&lt;=11,Params!$B$109,IF(AB$2&lt;=(Params!$B$25-1),Params!$B$109+(Params!$B$114-Params!$B$109)*(AB$2-11)/((Params!$B$25-1)-11),Params!$B$114*((1+Params!$B$119)/(1+Params!$B$118))^((AB$2-(Params!$B$25-1))/12)))*IF(AB$2&gt;(Params!$B$25-1),1+Params!$B$129*Params!$B$24,1)</f>
        <v/>
      </c>
      <c r="AC6" s="4">
        <f>IF(AC$2&lt;=11,Params!$B$109,IF(AC$2&lt;=(Params!$B$25-1),Params!$B$109+(Params!$B$114-Params!$B$109)*(AC$2-11)/((Params!$B$25-1)-11),Params!$B$114*((1+Params!$B$119)/(1+Params!$B$118))^((AC$2-(Params!$B$25-1))/12)))*IF(AC$2&gt;(Params!$B$25-1),1+Params!$B$129*Params!$B$24,1)</f>
        <v/>
      </c>
      <c r="AD6" s="4">
        <f>IF(AD$2&lt;=11,Params!$B$109,IF(AD$2&lt;=(Params!$B$25-1),Params!$B$109+(Params!$B$114-Params!$B$109)*(AD$2-11)/((Params!$B$25-1)-11),Params!$B$114*((1+Params!$B$119)/(1+Params!$B$118))^((AD$2-(Params!$B$25-1))/12)))*IF(AD$2&gt;(Params!$B$25-1),1+Params!$B$129*Params!$B$24,1)</f>
        <v/>
      </c>
      <c r="AE6" s="4">
        <f>IF(AE$2&lt;=11,Params!$B$109,IF(AE$2&lt;=(Params!$B$25-1),Params!$B$109+(Params!$B$114-Params!$B$109)*(AE$2-11)/((Params!$B$25-1)-11),Params!$B$114*((1+Params!$B$119)/(1+Params!$B$118))^((AE$2-(Params!$B$25-1))/12)))*IF(AE$2&gt;(Params!$B$25-1),1+Params!$B$129*Params!$B$24,1)</f>
        <v/>
      </c>
      <c r="AF6" s="4">
        <f>IF(AF$2&lt;=11,Params!$B$109,IF(AF$2&lt;=(Params!$B$25-1),Params!$B$109+(Params!$B$114-Params!$B$109)*(AF$2-11)/((Params!$B$25-1)-11),Params!$B$114*((1+Params!$B$119)/(1+Params!$B$118))^((AF$2-(Params!$B$25-1))/12)))*IF(AF$2&gt;(Params!$B$25-1),1+Params!$B$129*Params!$B$24,1)</f>
        <v/>
      </c>
      <c r="AG6" s="4">
        <f>IF(AG$2&lt;=11,Params!$B$109,IF(AG$2&lt;=(Params!$B$25-1),Params!$B$109+(Params!$B$114-Params!$B$109)*(AG$2-11)/((Params!$B$25-1)-11),Params!$B$114*((1+Params!$B$119)/(1+Params!$B$118))^((AG$2-(Params!$B$25-1))/12)))*IF(AG$2&gt;(Params!$B$25-1),1+Params!$B$129*Params!$B$24,1)</f>
        <v/>
      </c>
      <c r="AH6" s="4">
        <f>IF(AH$2&lt;=11,Params!$B$109,IF(AH$2&lt;=(Params!$B$25-1),Params!$B$109+(Params!$B$114-Params!$B$109)*(AH$2-11)/((Params!$B$25-1)-11),Params!$B$114*((1+Params!$B$119)/(1+Params!$B$118))^((AH$2-(Params!$B$25-1))/12)))*IF(AH$2&gt;(Params!$B$25-1),1+Params!$B$129*Params!$B$24,1)</f>
        <v/>
      </c>
      <c r="AI6" s="4">
        <f>IF(AI$2&lt;=11,Params!$B$109,IF(AI$2&lt;=(Params!$B$25-1),Params!$B$109+(Params!$B$114-Params!$B$109)*(AI$2-11)/((Params!$B$25-1)-11),Params!$B$114*((1+Params!$B$119)/(1+Params!$B$118))^((AI$2-(Params!$B$25-1))/12)))*IF(AI$2&gt;(Params!$B$25-1),1+Params!$B$129*Params!$B$24,1)</f>
        <v/>
      </c>
      <c r="AJ6" s="4">
        <f>IF(AJ$2&lt;=11,Params!$B$109,IF(AJ$2&lt;=(Params!$B$25-1),Params!$B$109+(Params!$B$114-Params!$B$109)*(AJ$2-11)/((Params!$B$25-1)-11),Params!$B$114*((1+Params!$B$119)/(1+Params!$B$118))^((AJ$2-(Params!$B$25-1))/12)))*IF(AJ$2&gt;(Params!$B$25-1),1+Params!$B$129*Params!$B$24,1)</f>
        <v/>
      </c>
      <c r="AK6" s="4">
        <f>IF(AK$2&lt;=11,Params!$B$109,IF(AK$2&lt;=(Params!$B$25-1),Params!$B$109+(Params!$B$114-Params!$B$109)*(AK$2-11)/((Params!$B$25-1)-11),Params!$B$114*((1+Params!$B$119)/(1+Params!$B$118))^((AK$2-(Params!$B$25-1))/12)))*IF(AK$2&gt;(Params!$B$25-1),1+Params!$B$129*Params!$B$24,1)</f>
        <v/>
      </c>
      <c r="AL6" s="4">
        <f>IF(AL$2&lt;=11,Params!$B$109,IF(AL$2&lt;=(Params!$B$25-1),Params!$B$109+(Params!$B$114-Params!$B$109)*(AL$2-11)/((Params!$B$25-1)-11),Params!$B$114*((1+Params!$B$119)/(1+Params!$B$118))^((AL$2-(Params!$B$25-1))/12)))*IF(AL$2&gt;(Params!$B$25-1),1+Params!$B$129*Params!$B$24,1)</f>
        <v/>
      </c>
      <c r="AM6" s="4">
        <f>IF(AM$2&lt;=11,Params!$B$109,IF(AM$2&lt;=(Params!$B$25-1),Params!$B$109+(Params!$B$114-Params!$B$109)*(AM$2-11)/((Params!$B$25-1)-11),Params!$B$114*((1+Params!$B$119)/(1+Params!$B$118))^((AM$2-(Params!$B$25-1))/12)))*IF(AM$2&gt;(Params!$B$25-1),1+Params!$B$129*Params!$B$24,1)</f>
        <v/>
      </c>
      <c r="AN6" s="4">
        <f>IF(AN$2&lt;=11,Params!$B$109,IF(AN$2&lt;=(Params!$B$25-1),Params!$B$109+(Params!$B$114-Params!$B$109)*(AN$2-11)/((Params!$B$25-1)-11),Params!$B$114*((1+Params!$B$119)/(1+Params!$B$118))^((AN$2-(Params!$B$25-1))/12)))*IF(AN$2&gt;(Params!$B$25-1),1+Params!$B$129*Params!$B$24,1)</f>
        <v/>
      </c>
      <c r="AO6" s="4">
        <f>IF(AO$2&lt;=11,Params!$B$109,IF(AO$2&lt;=(Params!$B$25-1),Params!$B$109+(Params!$B$114-Params!$B$109)*(AO$2-11)/((Params!$B$25-1)-11),Params!$B$114*((1+Params!$B$119)/(1+Params!$B$118))^((AO$2-(Params!$B$25-1))/12)))*IF(AO$2&gt;(Params!$B$25-1),1+Params!$B$129*Params!$B$24,1)</f>
        <v/>
      </c>
      <c r="AP6" s="4">
        <f>IF(AP$2&lt;=11,Params!$B$109,IF(AP$2&lt;=(Params!$B$25-1),Params!$B$109+(Params!$B$114-Params!$B$109)*(AP$2-11)/((Params!$B$25-1)-11),Params!$B$114*((1+Params!$B$119)/(1+Params!$B$118))^((AP$2-(Params!$B$25-1))/12)))*IF(AP$2&gt;(Params!$B$25-1),1+Params!$B$129*Params!$B$24,1)</f>
        <v/>
      </c>
      <c r="AQ6" s="4">
        <f>IF(AQ$2&lt;=11,Params!$B$109,IF(AQ$2&lt;=(Params!$B$25-1),Params!$B$109+(Params!$B$114-Params!$B$109)*(AQ$2-11)/((Params!$B$25-1)-11),Params!$B$114*((1+Params!$B$119)/(1+Params!$B$118))^((AQ$2-(Params!$B$25-1))/12)))*IF(AQ$2&gt;(Params!$B$25-1),1+Params!$B$129*Params!$B$24,1)</f>
        <v/>
      </c>
      <c r="AR6" s="4">
        <f>IF(AR$2&lt;=11,Params!$B$109,IF(AR$2&lt;=(Params!$B$25-1),Params!$B$109+(Params!$B$114-Params!$B$109)*(AR$2-11)/((Params!$B$25-1)-11),Params!$B$114*((1+Params!$B$119)/(1+Params!$B$118))^((AR$2-(Params!$B$25-1))/12)))*IF(AR$2&gt;(Params!$B$25-1),1+Params!$B$129*Params!$B$24,1)</f>
        <v/>
      </c>
      <c r="AS6" s="4">
        <f>IF(AS$2&lt;=11,Params!$B$109,IF(AS$2&lt;=(Params!$B$25-1),Params!$B$109+(Params!$B$114-Params!$B$109)*(AS$2-11)/((Params!$B$25-1)-11),Params!$B$114*((1+Params!$B$119)/(1+Params!$B$118))^((AS$2-(Params!$B$25-1))/12)))*IF(AS$2&gt;(Params!$B$25-1),1+Params!$B$129*Params!$B$24,1)</f>
        <v/>
      </c>
      <c r="AT6" s="4">
        <f>IF(AT$2&lt;=11,Params!$B$109,IF(AT$2&lt;=(Params!$B$25-1),Params!$B$109+(Params!$B$114-Params!$B$109)*(AT$2-11)/((Params!$B$25-1)-11),Params!$B$114*((1+Params!$B$119)/(1+Params!$B$118))^((AT$2-(Params!$B$25-1))/12)))*IF(AT$2&gt;(Params!$B$25-1),1+Params!$B$129*Params!$B$24,1)</f>
        <v/>
      </c>
      <c r="AU6" s="4">
        <f>IF(AU$2&lt;=11,Params!$B$109,IF(AU$2&lt;=(Params!$B$25-1),Params!$B$109+(Params!$B$114-Params!$B$109)*(AU$2-11)/((Params!$B$25-1)-11),Params!$B$114*((1+Params!$B$119)/(1+Params!$B$118))^((AU$2-(Params!$B$25-1))/12)))*IF(AU$2&gt;(Params!$B$25-1),1+Params!$B$129*Params!$B$24,1)</f>
        <v/>
      </c>
      <c r="AV6" s="4">
        <f>IF(AV$2&lt;=11,Params!$B$109,IF(AV$2&lt;=(Params!$B$25-1),Params!$B$109+(Params!$B$114-Params!$B$109)*(AV$2-11)/((Params!$B$25-1)-11),Params!$B$114*((1+Params!$B$119)/(1+Params!$B$118))^((AV$2-(Params!$B$25-1))/12)))*IF(AV$2&gt;(Params!$B$25-1),1+Params!$B$129*Params!$B$24,1)</f>
        <v/>
      </c>
      <c r="AW6" s="4">
        <f>IF(AW$2&lt;=11,Params!$B$109,IF(AW$2&lt;=(Params!$B$25-1),Params!$B$109+(Params!$B$114-Params!$B$109)*(AW$2-11)/((Params!$B$25-1)-11),Params!$B$114*((1+Params!$B$119)/(1+Params!$B$118))^((AW$2-(Params!$B$25-1))/12)))*IF(AW$2&gt;(Params!$B$25-1),1+Params!$B$129*Params!$B$24,1)</f>
        <v/>
      </c>
      <c r="AX6" s="4">
        <f>IF(AX$2&lt;=11,Params!$B$109,IF(AX$2&lt;=(Params!$B$25-1),Params!$B$109+(Params!$B$114-Params!$B$109)*(AX$2-11)/((Params!$B$25-1)-11),Params!$B$114*((1+Params!$B$119)/(1+Params!$B$118))^((AX$2-(Params!$B$25-1))/12)))*IF(AX$2&gt;(Params!$B$25-1),1+Params!$B$129*Params!$B$24,1)</f>
        <v/>
      </c>
      <c r="AY6" s="4">
        <f>IF(AY$2&lt;=11,Params!$B$109,IF(AY$2&lt;=(Params!$B$25-1),Params!$B$109+(Params!$B$114-Params!$B$109)*(AY$2-11)/((Params!$B$25-1)-11),Params!$B$114*((1+Params!$B$119)/(1+Params!$B$118))^((AY$2-(Params!$B$25-1))/12)))*IF(AY$2&gt;(Params!$B$25-1),1+Params!$B$129*Params!$B$24,1)</f>
        <v/>
      </c>
      <c r="AZ6" s="4">
        <f>IF(AZ$2&lt;=11,Params!$B$109,IF(AZ$2&lt;=(Params!$B$25-1),Params!$B$109+(Params!$B$114-Params!$B$109)*(AZ$2-11)/((Params!$B$25-1)-11),Params!$B$114*((1+Params!$B$119)/(1+Params!$B$118))^((AZ$2-(Params!$B$25-1))/12)))*IF(AZ$2&gt;(Params!$B$25-1),1+Params!$B$129*Params!$B$24,1)</f>
        <v/>
      </c>
      <c r="BA6" s="4">
        <f>IF(BA$2&lt;=11,Params!$B$109,IF(BA$2&lt;=(Params!$B$25-1),Params!$B$109+(Params!$B$114-Params!$B$109)*(BA$2-11)/((Params!$B$25-1)-11),Params!$B$114*((1+Params!$B$119)/(1+Params!$B$118))^((BA$2-(Params!$B$25-1))/12)))*IF(BA$2&gt;(Params!$B$25-1),1+Params!$B$129*Params!$B$24,1)</f>
        <v/>
      </c>
      <c r="BB6" s="4">
        <f>IF(BB$2&lt;=11,Params!$B$109,IF(BB$2&lt;=(Params!$B$25-1),Params!$B$109+(Params!$B$114-Params!$B$109)*(BB$2-11)/((Params!$B$25-1)-11),Params!$B$114*((1+Params!$B$119)/(1+Params!$B$118))^((BB$2-(Params!$B$25-1))/12)))*IF(BB$2&gt;(Params!$B$25-1),1+Params!$B$129*Params!$B$24,1)</f>
        <v/>
      </c>
      <c r="BC6" s="4">
        <f>IF(BC$2&lt;=11,Params!$B$109,IF(BC$2&lt;=(Params!$B$25-1),Params!$B$109+(Params!$B$114-Params!$B$109)*(BC$2-11)/((Params!$B$25-1)-11),Params!$B$114*((1+Params!$B$119)/(1+Params!$B$118))^((BC$2-(Params!$B$25-1))/12)))*IF(BC$2&gt;(Params!$B$25-1),1+Params!$B$129*Params!$B$24,1)</f>
        <v/>
      </c>
      <c r="BD6" s="4">
        <f>IF(BD$2&lt;=11,Params!$B$109,IF(BD$2&lt;=(Params!$B$25-1),Params!$B$109+(Params!$B$114-Params!$B$109)*(BD$2-11)/((Params!$B$25-1)-11),Params!$B$114*((1+Params!$B$119)/(1+Params!$B$118))^((BD$2-(Params!$B$25-1))/12)))*IF(BD$2&gt;(Params!$B$25-1),1+Params!$B$129*Params!$B$24,1)</f>
        <v/>
      </c>
      <c r="BE6" s="4">
        <f>IF(BE$2&lt;=11,Params!$B$109,IF(BE$2&lt;=(Params!$B$25-1),Params!$B$109+(Params!$B$114-Params!$B$109)*(BE$2-11)/((Params!$B$25-1)-11),Params!$B$114*((1+Params!$B$119)/(1+Params!$B$118))^((BE$2-(Params!$B$25-1))/12)))*IF(BE$2&gt;(Params!$B$25-1),1+Params!$B$129*Params!$B$24,1)</f>
        <v/>
      </c>
      <c r="BF6" s="4">
        <f>IF(BF$2&lt;=11,Params!$B$109,IF(BF$2&lt;=(Params!$B$25-1),Params!$B$109+(Params!$B$114-Params!$B$109)*(BF$2-11)/((Params!$B$25-1)-11),Params!$B$114*((1+Params!$B$119)/(1+Params!$B$118))^((BF$2-(Params!$B$25-1))/12)))*IF(BF$2&gt;(Params!$B$25-1),1+Params!$B$129*Params!$B$24,1)</f>
        <v/>
      </c>
      <c r="BG6" s="4">
        <f>IF(BG$2&lt;=11,Params!$B$109,IF(BG$2&lt;=(Params!$B$25-1),Params!$B$109+(Params!$B$114-Params!$B$109)*(BG$2-11)/((Params!$B$25-1)-11),Params!$B$114*((1+Params!$B$119)/(1+Params!$B$118))^((BG$2-(Params!$B$25-1))/12)))*IF(BG$2&gt;(Params!$B$25-1),1+Params!$B$129*Params!$B$24,1)</f>
        <v/>
      </c>
      <c r="BH6" s="4">
        <f>IF(BH$2&lt;=11,Params!$B$109,IF(BH$2&lt;=(Params!$B$25-1),Params!$B$109+(Params!$B$114-Params!$B$109)*(BH$2-11)/((Params!$B$25-1)-11),Params!$B$114*((1+Params!$B$119)/(1+Params!$B$118))^((BH$2-(Params!$B$25-1))/12)))*IF(BH$2&gt;(Params!$B$25-1),1+Params!$B$129*Params!$B$24,1)</f>
        <v/>
      </c>
      <c r="BI6" s="4">
        <f>IF(BI$2&lt;=11,Params!$B$109,IF(BI$2&lt;=(Params!$B$25-1),Params!$B$109+(Params!$B$114-Params!$B$109)*(BI$2-11)/((Params!$B$25-1)-11),Params!$B$114*((1+Params!$B$119)/(1+Params!$B$118))^((BI$2-(Params!$B$25-1))/12)))*IF(BI$2&gt;(Params!$B$25-1),1+Params!$B$129*Params!$B$24,1)</f>
        <v/>
      </c>
      <c r="BJ6" s="4">
        <f>IF(BJ$2&lt;=11,Params!$B$109,IF(BJ$2&lt;=(Params!$B$25-1),Params!$B$109+(Params!$B$114-Params!$B$109)*(BJ$2-11)/((Params!$B$25-1)-11),Params!$B$114*((1+Params!$B$119)/(1+Params!$B$118))^((BJ$2-(Params!$B$25-1))/12)))*IF(BJ$2&gt;(Params!$B$25-1),1+Params!$B$129*Params!$B$24,1)</f>
        <v/>
      </c>
      <c r="BK6" s="4">
        <f>IF(BK$2&lt;=11,Params!$B$109,IF(BK$2&lt;=(Params!$B$25-1),Params!$B$109+(Params!$B$114-Params!$B$109)*(BK$2-11)/((Params!$B$25-1)-11),Params!$B$114*((1+Params!$B$119)/(1+Params!$B$118))^((BK$2-(Params!$B$25-1))/12)))*IF(BK$2&gt;(Params!$B$25-1),1+Params!$B$129*Params!$B$24,1)</f>
        <v/>
      </c>
      <c r="BL6" s="4">
        <f>IF(BL$2&lt;=11,Params!$B$109,IF(BL$2&lt;=(Params!$B$25-1),Params!$B$109+(Params!$B$114-Params!$B$109)*(BL$2-11)/((Params!$B$25-1)-11),Params!$B$114*((1+Params!$B$119)/(1+Params!$B$118))^((BL$2-(Params!$B$25-1))/12)))*IF(BL$2&gt;(Params!$B$25-1),1+Params!$B$129*Params!$B$24,1)</f>
        <v/>
      </c>
      <c r="BM6" s="4">
        <f>IF(BM$2&lt;=11,Params!$B$109,IF(BM$2&lt;=(Params!$B$25-1),Params!$B$109+(Params!$B$114-Params!$B$109)*(BM$2-11)/((Params!$B$25-1)-11),Params!$B$114*((1+Params!$B$119)/(1+Params!$B$118))^((BM$2-(Params!$B$25-1))/12)))*IF(BM$2&gt;(Params!$B$25-1),1+Params!$B$129*Params!$B$24,1)</f>
        <v/>
      </c>
      <c r="BN6" s="4">
        <f>IF(BN$2&lt;=11,Params!$B$109,IF(BN$2&lt;=(Params!$B$25-1),Params!$B$109+(Params!$B$114-Params!$B$109)*(BN$2-11)/((Params!$B$25-1)-11),Params!$B$114*((1+Params!$B$119)/(1+Params!$B$118))^((BN$2-(Params!$B$25-1))/12)))*IF(BN$2&gt;(Params!$B$25-1),1+Params!$B$129*Params!$B$24,1)</f>
        <v/>
      </c>
      <c r="BO6" s="4">
        <f>IF(BO$2&lt;=11,Params!$B$109,IF(BO$2&lt;=(Params!$B$25-1),Params!$B$109+(Params!$B$114-Params!$B$109)*(BO$2-11)/((Params!$B$25-1)-11),Params!$B$114*((1+Params!$B$119)/(1+Params!$B$118))^((BO$2-(Params!$B$25-1))/12)))*IF(BO$2&gt;(Params!$B$25-1),1+Params!$B$129*Params!$B$24,1)</f>
        <v/>
      </c>
      <c r="BP6" s="4">
        <f>IF(BP$2&lt;=11,Params!$B$109,IF(BP$2&lt;=(Params!$B$25-1),Params!$B$109+(Params!$B$114-Params!$B$109)*(BP$2-11)/((Params!$B$25-1)-11),Params!$B$114*((1+Params!$B$119)/(1+Params!$B$118))^((BP$2-(Params!$B$25-1))/12)))*IF(BP$2&gt;(Params!$B$25-1),1+Params!$B$129*Params!$B$24,1)</f>
        <v/>
      </c>
      <c r="BQ6" s="4">
        <f>IF(BQ$2&lt;=11,Params!$B$109,IF(BQ$2&lt;=(Params!$B$25-1),Params!$B$109+(Params!$B$114-Params!$B$109)*(BQ$2-11)/((Params!$B$25-1)-11),Params!$B$114*((1+Params!$B$119)/(1+Params!$B$118))^((BQ$2-(Params!$B$25-1))/12)))*IF(BQ$2&gt;(Params!$B$25-1),1+Params!$B$129*Params!$B$24,1)</f>
        <v/>
      </c>
      <c r="BR6" s="4">
        <f>IF(BR$2&lt;=11,Params!$B$109,IF(BR$2&lt;=(Params!$B$25-1),Params!$B$109+(Params!$B$114-Params!$B$109)*(BR$2-11)/((Params!$B$25-1)-11),Params!$B$114*((1+Params!$B$119)/(1+Params!$B$118))^((BR$2-(Params!$B$25-1))/12)))*IF(BR$2&gt;(Params!$B$25-1),1+Params!$B$129*Params!$B$24,1)</f>
        <v/>
      </c>
      <c r="BS6" s="4">
        <f>IF(BS$2&lt;=11,Params!$B$109,IF(BS$2&lt;=(Params!$B$25-1),Params!$B$109+(Params!$B$114-Params!$B$109)*(BS$2-11)/((Params!$B$25-1)-11),Params!$B$114*((1+Params!$B$119)/(1+Params!$B$118))^((BS$2-(Params!$B$25-1))/12)))*IF(BS$2&gt;(Params!$B$25-1),1+Params!$B$129*Params!$B$24,1)</f>
        <v/>
      </c>
      <c r="BT6" s="4">
        <f>IF(BT$2&lt;=11,Params!$B$109,IF(BT$2&lt;=(Params!$B$25-1),Params!$B$109+(Params!$B$114-Params!$B$109)*(BT$2-11)/((Params!$B$25-1)-11),Params!$B$114*((1+Params!$B$119)/(1+Params!$B$118))^((BT$2-(Params!$B$25-1))/12)))*IF(BT$2&gt;(Params!$B$25-1),1+Params!$B$129*Params!$B$24,1)</f>
        <v/>
      </c>
      <c r="BU6" s="4">
        <f>IF(BU$2&lt;=11,Params!$B$109,IF(BU$2&lt;=(Params!$B$25-1),Params!$B$109+(Params!$B$114-Params!$B$109)*(BU$2-11)/((Params!$B$25-1)-11),Params!$B$114*((1+Params!$B$119)/(1+Params!$B$118))^((BU$2-(Params!$B$25-1))/12)))*IF(BU$2&gt;(Params!$B$25-1),1+Params!$B$129*Params!$B$24,1)</f>
        <v/>
      </c>
      <c r="BV6" s="4">
        <f>IF(BV$2&lt;=11,Params!$B$109,IF(BV$2&lt;=(Params!$B$25-1),Params!$B$109+(Params!$B$114-Params!$B$109)*(BV$2-11)/((Params!$B$25-1)-11),Params!$B$114*((1+Params!$B$119)/(1+Params!$B$118))^((BV$2-(Params!$B$25-1))/12)))*IF(BV$2&gt;(Params!$B$25-1),1+Params!$B$129*Params!$B$24,1)</f>
        <v/>
      </c>
    </row>
    <row r="7">
      <c r="A7" t="inlineStr">
        <is>
          <t>rate (local per USD)</t>
        </is>
      </c>
      <c r="B7" t="inlineStr">
        <is>
          <t>BRL</t>
        </is>
      </c>
      <c r="C7" s="4">
        <f>IF(C$2&lt;=11,Params!$B$110,IF(C$2&lt;=(Params!$B$25-1),Params!$B$110+(Params!$B$115-Params!$B$110)*(C$2-11)/((Params!$B$25-1)-11),Params!$B$115*((1+Params!$B$120)/(1+Params!$B$118))^((C$2-(Params!$B$25-1))/12)))*IF(C$2&gt;(Params!$B$25-1),1+Params!$B$129*Params!$B$24,1)</f>
        <v/>
      </c>
      <c r="D7" s="4">
        <f>IF(D$2&lt;=11,Params!$B$110,IF(D$2&lt;=(Params!$B$25-1),Params!$B$110+(Params!$B$115-Params!$B$110)*(D$2-11)/((Params!$B$25-1)-11),Params!$B$115*((1+Params!$B$120)/(1+Params!$B$118))^((D$2-(Params!$B$25-1))/12)))*IF(D$2&gt;(Params!$B$25-1),1+Params!$B$129*Params!$B$24,1)</f>
        <v/>
      </c>
      <c r="E7" s="4">
        <f>IF(E$2&lt;=11,Params!$B$110,IF(E$2&lt;=(Params!$B$25-1),Params!$B$110+(Params!$B$115-Params!$B$110)*(E$2-11)/((Params!$B$25-1)-11),Params!$B$115*((1+Params!$B$120)/(1+Params!$B$118))^((E$2-(Params!$B$25-1))/12)))*IF(E$2&gt;(Params!$B$25-1),1+Params!$B$129*Params!$B$24,1)</f>
        <v/>
      </c>
      <c r="F7" s="4">
        <f>IF(F$2&lt;=11,Params!$B$110,IF(F$2&lt;=(Params!$B$25-1),Params!$B$110+(Params!$B$115-Params!$B$110)*(F$2-11)/((Params!$B$25-1)-11),Params!$B$115*((1+Params!$B$120)/(1+Params!$B$118))^((F$2-(Params!$B$25-1))/12)))*IF(F$2&gt;(Params!$B$25-1),1+Params!$B$129*Params!$B$24,1)</f>
        <v/>
      </c>
      <c r="G7" s="4">
        <f>IF(G$2&lt;=11,Params!$B$110,IF(G$2&lt;=(Params!$B$25-1),Params!$B$110+(Params!$B$115-Params!$B$110)*(G$2-11)/((Params!$B$25-1)-11),Params!$B$115*((1+Params!$B$120)/(1+Params!$B$118))^((G$2-(Params!$B$25-1))/12)))*IF(G$2&gt;(Params!$B$25-1),1+Params!$B$129*Params!$B$24,1)</f>
        <v/>
      </c>
      <c r="H7" s="4">
        <f>IF(H$2&lt;=11,Params!$B$110,IF(H$2&lt;=(Params!$B$25-1),Params!$B$110+(Params!$B$115-Params!$B$110)*(H$2-11)/((Params!$B$25-1)-11),Params!$B$115*((1+Params!$B$120)/(1+Params!$B$118))^((H$2-(Params!$B$25-1))/12)))*IF(H$2&gt;(Params!$B$25-1),1+Params!$B$129*Params!$B$24,1)</f>
        <v/>
      </c>
      <c r="I7" s="4">
        <f>IF(I$2&lt;=11,Params!$B$110,IF(I$2&lt;=(Params!$B$25-1),Params!$B$110+(Params!$B$115-Params!$B$110)*(I$2-11)/((Params!$B$25-1)-11),Params!$B$115*((1+Params!$B$120)/(1+Params!$B$118))^((I$2-(Params!$B$25-1))/12)))*IF(I$2&gt;(Params!$B$25-1),1+Params!$B$129*Params!$B$24,1)</f>
        <v/>
      </c>
      <c r="J7" s="4">
        <f>IF(J$2&lt;=11,Params!$B$110,IF(J$2&lt;=(Params!$B$25-1),Params!$B$110+(Params!$B$115-Params!$B$110)*(J$2-11)/((Params!$B$25-1)-11),Params!$B$115*((1+Params!$B$120)/(1+Params!$B$118))^((J$2-(Params!$B$25-1))/12)))*IF(J$2&gt;(Params!$B$25-1),1+Params!$B$129*Params!$B$24,1)</f>
        <v/>
      </c>
      <c r="K7" s="4">
        <f>IF(K$2&lt;=11,Params!$B$110,IF(K$2&lt;=(Params!$B$25-1),Params!$B$110+(Params!$B$115-Params!$B$110)*(K$2-11)/((Params!$B$25-1)-11),Params!$B$115*((1+Params!$B$120)/(1+Params!$B$118))^((K$2-(Params!$B$25-1))/12)))*IF(K$2&gt;(Params!$B$25-1),1+Params!$B$129*Params!$B$24,1)</f>
        <v/>
      </c>
      <c r="L7" s="4">
        <f>IF(L$2&lt;=11,Params!$B$110,IF(L$2&lt;=(Params!$B$25-1),Params!$B$110+(Params!$B$115-Params!$B$110)*(L$2-11)/((Params!$B$25-1)-11),Params!$B$115*((1+Params!$B$120)/(1+Params!$B$118))^((L$2-(Params!$B$25-1))/12)))*IF(L$2&gt;(Params!$B$25-1),1+Params!$B$129*Params!$B$24,1)</f>
        <v/>
      </c>
      <c r="M7" s="4">
        <f>IF(M$2&lt;=11,Params!$B$110,IF(M$2&lt;=(Params!$B$25-1),Params!$B$110+(Params!$B$115-Params!$B$110)*(M$2-11)/((Params!$B$25-1)-11),Params!$B$115*((1+Params!$B$120)/(1+Params!$B$118))^((M$2-(Params!$B$25-1))/12)))*IF(M$2&gt;(Params!$B$25-1),1+Params!$B$129*Params!$B$24,1)</f>
        <v/>
      </c>
      <c r="N7" s="4">
        <f>IF(N$2&lt;=11,Params!$B$110,IF(N$2&lt;=(Params!$B$25-1),Params!$B$110+(Params!$B$115-Params!$B$110)*(N$2-11)/((Params!$B$25-1)-11),Params!$B$115*((1+Params!$B$120)/(1+Params!$B$118))^((N$2-(Params!$B$25-1))/12)))*IF(N$2&gt;(Params!$B$25-1),1+Params!$B$129*Params!$B$24,1)</f>
        <v/>
      </c>
      <c r="O7" s="4">
        <f>IF(O$2&lt;=11,Params!$B$110,IF(O$2&lt;=(Params!$B$25-1),Params!$B$110+(Params!$B$115-Params!$B$110)*(O$2-11)/((Params!$B$25-1)-11),Params!$B$115*((1+Params!$B$120)/(1+Params!$B$118))^((O$2-(Params!$B$25-1))/12)))*IF(O$2&gt;(Params!$B$25-1),1+Params!$B$129*Params!$B$24,1)</f>
        <v/>
      </c>
      <c r="P7" s="4">
        <f>IF(P$2&lt;=11,Params!$B$110,IF(P$2&lt;=(Params!$B$25-1),Params!$B$110+(Params!$B$115-Params!$B$110)*(P$2-11)/((Params!$B$25-1)-11),Params!$B$115*((1+Params!$B$120)/(1+Params!$B$118))^((P$2-(Params!$B$25-1))/12)))*IF(P$2&gt;(Params!$B$25-1),1+Params!$B$129*Params!$B$24,1)</f>
        <v/>
      </c>
      <c r="Q7" s="4">
        <f>IF(Q$2&lt;=11,Params!$B$110,IF(Q$2&lt;=(Params!$B$25-1),Params!$B$110+(Params!$B$115-Params!$B$110)*(Q$2-11)/((Params!$B$25-1)-11),Params!$B$115*((1+Params!$B$120)/(1+Params!$B$118))^((Q$2-(Params!$B$25-1))/12)))*IF(Q$2&gt;(Params!$B$25-1),1+Params!$B$129*Params!$B$24,1)</f>
        <v/>
      </c>
      <c r="R7" s="4">
        <f>IF(R$2&lt;=11,Params!$B$110,IF(R$2&lt;=(Params!$B$25-1),Params!$B$110+(Params!$B$115-Params!$B$110)*(R$2-11)/((Params!$B$25-1)-11),Params!$B$115*((1+Params!$B$120)/(1+Params!$B$118))^((R$2-(Params!$B$25-1))/12)))*IF(R$2&gt;(Params!$B$25-1),1+Params!$B$129*Params!$B$24,1)</f>
        <v/>
      </c>
      <c r="S7" s="4">
        <f>IF(S$2&lt;=11,Params!$B$110,IF(S$2&lt;=(Params!$B$25-1),Params!$B$110+(Params!$B$115-Params!$B$110)*(S$2-11)/((Params!$B$25-1)-11),Params!$B$115*((1+Params!$B$120)/(1+Params!$B$118))^((S$2-(Params!$B$25-1))/12)))*IF(S$2&gt;(Params!$B$25-1),1+Params!$B$129*Params!$B$24,1)</f>
        <v/>
      </c>
      <c r="T7" s="4">
        <f>IF(T$2&lt;=11,Params!$B$110,IF(T$2&lt;=(Params!$B$25-1),Params!$B$110+(Params!$B$115-Params!$B$110)*(T$2-11)/((Params!$B$25-1)-11),Params!$B$115*((1+Params!$B$120)/(1+Params!$B$118))^((T$2-(Params!$B$25-1))/12)))*IF(T$2&gt;(Params!$B$25-1),1+Params!$B$129*Params!$B$24,1)</f>
        <v/>
      </c>
      <c r="U7" s="4">
        <f>IF(U$2&lt;=11,Params!$B$110,IF(U$2&lt;=(Params!$B$25-1),Params!$B$110+(Params!$B$115-Params!$B$110)*(U$2-11)/((Params!$B$25-1)-11),Params!$B$115*((1+Params!$B$120)/(1+Params!$B$118))^((U$2-(Params!$B$25-1))/12)))*IF(U$2&gt;(Params!$B$25-1),1+Params!$B$129*Params!$B$24,1)</f>
        <v/>
      </c>
      <c r="V7" s="4">
        <f>IF(V$2&lt;=11,Params!$B$110,IF(V$2&lt;=(Params!$B$25-1),Params!$B$110+(Params!$B$115-Params!$B$110)*(V$2-11)/((Params!$B$25-1)-11),Params!$B$115*((1+Params!$B$120)/(1+Params!$B$118))^((V$2-(Params!$B$25-1))/12)))*IF(V$2&gt;(Params!$B$25-1),1+Params!$B$129*Params!$B$24,1)</f>
        <v/>
      </c>
      <c r="W7" s="4">
        <f>IF(W$2&lt;=11,Params!$B$110,IF(W$2&lt;=(Params!$B$25-1),Params!$B$110+(Params!$B$115-Params!$B$110)*(W$2-11)/((Params!$B$25-1)-11),Params!$B$115*((1+Params!$B$120)/(1+Params!$B$118))^((W$2-(Params!$B$25-1))/12)))*IF(W$2&gt;(Params!$B$25-1),1+Params!$B$129*Params!$B$24,1)</f>
        <v/>
      </c>
      <c r="X7" s="4">
        <f>IF(X$2&lt;=11,Params!$B$110,IF(X$2&lt;=(Params!$B$25-1),Params!$B$110+(Params!$B$115-Params!$B$110)*(X$2-11)/((Params!$B$25-1)-11),Params!$B$115*((1+Params!$B$120)/(1+Params!$B$118))^((X$2-(Params!$B$25-1))/12)))*IF(X$2&gt;(Params!$B$25-1),1+Params!$B$129*Params!$B$24,1)</f>
        <v/>
      </c>
      <c r="Y7" s="4">
        <f>IF(Y$2&lt;=11,Params!$B$110,IF(Y$2&lt;=(Params!$B$25-1),Params!$B$110+(Params!$B$115-Params!$B$110)*(Y$2-11)/((Params!$B$25-1)-11),Params!$B$115*((1+Params!$B$120)/(1+Params!$B$118))^((Y$2-(Params!$B$25-1))/12)))*IF(Y$2&gt;(Params!$B$25-1),1+Params!$B$129*Params!$B$24,1)</f>
        <v/>
      </c>
      <c r="Z7" s="4">
        <f>IF(Z$2&lt;=11,Params!$B$110,IF(Z$2&lt;=(Params!$B$25-1),Params!$B$110+(Params!$B$115-Params!$B$110)*(Z$2-11)/((Params!$B$25-1)-11),Params!$B$115*((1+Params!$B$120)/(1+Params!$B$118))^((Z$2-(Params!$B$25-1))/12)))*IF(Z$2&gt;(Params!$B$25-1),1+Params!$B$129*Params!$B$24,1)</f>
        <v/>
      </c>
      <c r="AA7" s="4">
        <f>IF(AA$2&lt;=11,Params!$B$110,IF(AA$2&lt;=(Params!$B$25-1),Params!$B$110+(Params!$B$115-Params!$B$110)*(AA$2-11)/((Params!$B$25-1)-11),Params!$B$115*((1+Params!$B$120)/(1+Params!$B$118))^((AA$2-(Params!$B$25-1))/12)))*IF(AA$2&gt;(Params!$B$25-1),1+Params!$B$129*Params!$B$24,1)</f>
        <v/>
      </c>
      <c r="AB7" s="4">
        <f>IF(AB$2&lt;=11,Params!$B$110,IF(AB$2&lt;=(Params!$B$25-1),Params!$B$110+(Params!$B$115-Params!$B$110)*(AB$2-11)/((Params!$B$25-1)-11),Params!$B$115*((1+Params!$B$120)/(1+Params!$B$118))^((AB$2-(Params!$B$25-1))/12)))*IF(AB$2&gt;(Params!$B$25-1),1+Params!$B$129*Params!$B$24,1)</f>
        <v/>
      </c>
      <c r="AC7" s="4">
        <f>IF(AC$2&lt;=11,Params!$B$110,IF(AC$2&lt;=(Params!$B$25-1),Params!$B$110+(Params!$B$115-Params!$B$110)*(AC$2-11)/((Params!$B$25-1)-11),Params!$B$115*((1+Params!$B$120)/(1+Params!$B$118))^((AC$2-(Params!$B$25-1))/12)))*IF(AC$2&gt;(Params!$B$25-1),1+Params!$B$129*Params!$B$24,1)</f>
        <v/>
      </c>
      <c r="AD7" s="4">
        <f>IF(AD$2&lt;=11,Params!$B$110,IF(AD$2&lt;=(Params!$B$25-1),Params!$B$110+(Params!$B$115-Params!$B$110)*(AD$2-11)/((Params!$B$25-1)-11),Params!$B$115*((1+Params!$B$120)/(1+Params!$B$118))^((AD$2-(Params!$B$25-1))/12)))*IF(AD$2&gt;(Params!$B$25-1),1+Params!$B$129*Params!$B$24,1)</f>
        <v/>
      </c>
      <c r="AE7" s="4">
        <f>IF(AE$2&lt;=11,Params!$B$110,IF(AE$2&lt;=(Params!$B$25-1),Params!$B$110+(Params!$B$115-Params!$B$110)*(AE$2-11)/((Params!$B$25-1)-11),Params!$B$115*((1+Params!$B$120)/(1+Params!$B$118))^((AE$2-(Params!$B$25-1))/12)))*IF(AE$2&gt;(Params!$B$25-1),1+Params!$B$129*Params!$B$24,1)</f>
        <v/>
      </c>
      <c r="AF7" s="4">
        <f>IF(AF$2&lt;=11,Params!$B$110,IF(AF$2&lt;=(Params!$B$25-1),Params!$B$110+(Params!$B$115-Params!$B$110)*(AF$2-11)/((Params!$B$25-1)-11),Params!$B$115*((1+Params!$B$120)/(1+Params!$B$118))^((AF$2-(Params!$B$25-1))/12)))*IF(AF$2&gt;(Params!$B$25-1),1+Params!$B$129*Params!$B$24,1)</f>
        <v/>
      </c>
      <c r="AG7" s="4">
        <f>IF(AG$2&lt;=11,Params!$B$110,IF(AG$2&lt;=(Params!$B$25-1),Params!$B$110+(Params!$B$115-Params!$B$110)*(AG$2-11)/((Params!$B$25-1)-11),Params!$B$115*((1+Params!$B$120)/(1+Params!$B$118))^((AG$2-(Params!$B$25-1))/12)))*IF(AG$2&gt;(Params!$B$25-1),1+Params!$B$129*Params!$B$24,1)</f>
        <v/>
      </c>
      <c r="AH7" s="4">
        <f>IF(AH$2&lt;=11,Params!$B$110,IF(AH$2&lt;=(Params!$B$25-1),Params!$B$110+(Params!$B$115-Params!$B$110)*(AH$2-11)/((Params!$B$25-1)-11),Params!$B$115*((1+Params!$B$120)/(1+Params!$B$118))^((AH$2-(Params!$B$25-1))/12)))*IF(AH$2&gt;(Params!$B$25-1),1+Params!$B$129*Params!$B$24,1)</f>
        <v/>
      </c>
      <c r="AI7" s="4">
        <f>IF(AI$2&lt;=11,Params!$B$110,IF(AI$2&lt;=(Params!$B$25-1),Params!$B$110+(Params!$B$115-Params!$B$110)*(AI$2-11)/((Params!$B$25-1)-11),Params!$B$115*((1+Params!$B$120)/(1+Params!$B$118))^((AI$2-(Params!$B$25-1))/12)))*IF(AI$2&gt;(Params!$B$25-1),1+Params!$B$129*Params!$B$24,1)</f>
        <v/>
      </c>
      <c r="AJ7" s="4">
        <f>IF(AJ$2&lt;=11,Params!$B$110,IF(AJ$2&lt;=(Params!$B$25-1),Params!$B$110+(Params!$B$115-Params!$B$110)*(AJ$2-11)/((Params!$B$25-1)-11),Params!$B$115*((1+Params!$B$120)/(1+Params!$B$118))^((AJ$2-(Params!$B$25-1))/12)))*IF(AJ$2&gt;(Params!$B$25-1),1+Params!$B$129*Params!$B$24,1)</f>
        <v/>
      </c>
      <c r="AK7" s="4">
        <f>IF(AK$2&lt;=11,Params!$B$110,IF(AK$2&lt;=(Params!$B$25-1),Params!$B$110+(Params!$B$115-Params!$B$110)*(AK$2-11)/((Params!$B$25-1)-11),Params!$B$115*((1+Params!$B$120)/(1+Params!$B$118))^((AK$2-(Params!$B$25-1))/12)))*IF(AK$2&gt;(Params!$B$25-1),1+Params!$B$129*Params!$B$24,1)</f>
        <v/>
      </c>
      <c r="AL7" s="4">
        <f>IF(AL$2&lt;=11,Params!$B$110,IF(AL$2&lt;=(Params!$B$25-1),Params!$B$110+(Params!$B$115-Params!$B$110)*(AL$2-11)/((Params!$B$25-1)-11),Params!$B$115*((1+Params!$B$120)/(1+Params!$B$118))^((AL$2-(Params!$B$25-1))/12)))*IF(AL$2&gt;(Params!$B$25-1),1+Params!$B$129*Params!$B$24,1)</f>
        <v/>
      </c>
      <c r="AM7" s="4">
        <f>IF(AM$2&lt;=11,Params!$B$110,IF(AM$2&lt;=(Params!$B$25-1),Params!$B$110+(Params!$B$115-Params!$B$110)*(AM$2-11)/((Params!$B$25-1)-11),Params!$B$115*((1+Params!$B$120)/(1+Params!$B$118))^((AM$2-(Params!$B$25-1))/12)))*IF(AM$2&gt;(Params!$B$25-1),1+Params!$B$129*Params!$B$24,1)</f>
        <v/>
      </c>
      <c r="AN7" s="4">
        <f>IF(AN$2&lt;=11,Params!$B$110,IF(AN$2&lt;=(Params!$B$25-1),Params!$B$110+(Params!$B$115-Params!$B$110)*(AN$2-11)/((Params!$B$25-1)-11),Params!$B$115*((1+Params!$B$120)/(1+Params!$B$118))^((AN$2-(Params!$B$25-1))/12)))*IF(AN$2&gt;(Params!$B$25-1),1+Params!$B$129*Params!$B$24,1)</f>
        <v/>
      </c>
      <c r="AO7" s="4">
        <f>IF(AO$2&lt;=11,Params!$B$110,IF(AO$2&lt;=(Params!$B$25-1),Params!$B$110+(Params!$B$115-Params!$B$110)*(AO$2-11)/((Params!$B$25-1)-11),Params!$B$115*((1+Params!$B$120)/(1+Params!$B$118))^((AO$2-(Params!$B$25-1))/12)))*IF(AO$2&gt;(Params!$B$25-1),1+Params!$B$129*Params!$B$24,1)</f>
        <v/>
      </c>
      <c r="AP7" s="4">
        <f>IF(AP$2&lt;=11,Params!$B$110,IF(AP$2&lt;=(Params!$B$25-1),Params!$B$110+(Params!$B$115-Params!$B$110)*(AP$2-11)/((Params!$B$25-1)-11),Params!$B$115*((1+Params!$B$120)/(1+Params!$B$118))^((AP$2-(Params!$B$25-1))/12)))*IF(AP$2&gt;(Params!$B$25-1),1+Params!$B$129*Params!$B$24,1)</f>
        <v/>
      </c>
      <c r="AQ7" s="4">
        <f>IF(AQ$2&lt;=11,Params!$B$110,IF(AQ$2&lt;=(Params!$B$25-1),Params!$B$110+(Params!$B$115-Params!$B$110)*(AQ$2-11)/((Params!$B$25-1)-11),Params!$B$115*((1+Params!$B$120)/(1+Params!$B$118))^((AQ$2-(Params!$B$25-1))/12)))*IF(AQ$2&gt;(Params!$B$25-1),1+Params!$B$129*Params!$B$24,1)</f>
        <v/>
      </c>
      <c r="AR7" s="4">
        <f>IF(AR$2&lt;=11,Params!$B$110,IF(AR$2&lt;=(Params!$B$25-1),Params!$B$110+(Params!$B$115-Params!$B$110)*(AR$2-11)/((Params!$B$25-1)-11),Params!$B$115*((1+Params!$B$120)/(1+Params!$B$118))^((AR$2-(Params!$B$25-1))/12)))*IF(AR$2&gt;(Params!$B$25-1),1+Params!$B$129*Params!$B$24,1)</f>
        <v/>
      </c>
      <c r="AS7" s="4">
        <f>IF(AS$2&lt;=11,Params!$B$110,IF(AS$2&lt;=(Params!$B$25-1),Params!$B$110+(Params!$B$115-Params!$B$110)*(AS$2-11)/((Params!$B$25-1)-11),Params!$B$115*((1+Params!$B$120)/(1+Params!$B$118))^((AS$2-(Params!$B$25-1))/12)))*IF(AS$2&gt;(Params!$B$25-1),1+Params!$B$129*Params!$B$24,1)</f>
        <v/>
      </c>
      <c r="AT7" s="4">
        <f>IF(AT$2&lt;=11,Params!$B$110,IF(AT$2&lt;=(Params!$B$25-1),Params!$B$110+(Params!$B$115-Params!$B$110)*(AT$2-11)/((Params!$B$25-1)-11),Params!$B$115*((1+Params!$B$120)/(1+Params!$B$118))^((AT$2-(Params!$B$25-1))/12)))*IF(AT$2&gt;(Params!$B$25-1),1+Params!$B$129*Params!$B$24,1)</f>
        <v/>
      </c>
      <c r="AU7" s="4">
        <f>IF(AU$2&lt;=11,Params!$B$110,IF(AU$2&lt;=(Params!$B$25-1),Params!$B$110+(Params!$B$115-Params!$B$110)*(AU$2-11)/((Params!$B$25-1)-11),Params!$B$115*((1+Params!$B$120)/(1+Params!$B$118))^((AU$2-(Params!$B$25-1))/12)))*IF(AU$2&gt;(Params!$B$25-1),1+Params!$B$129*Params!$B$24,1)</f>
        <v/>
      </c>
      <c r="AV7" s="4">
        <f>IF(AV$2&lt;=11,Params!$B$110,IF(AV$2&lt;=(Params!$B$25-1),Params!$B$110+(Params!$B$115-Params!$B$110)*(AV$2-11)/((Params!$B$25-1)-11),Params!$B$115*((1+Params!$B$120)/(1+Params!$B$118))^((AV$2-(Params!$B$25-1))/12)))*IF(AV$2&gt;(Params!$B$25-1),1+Params!$B$129*Params!$B$24,1)</f>
        <v/>
      </c>
      <c r="AW7" s="4">
        <f>IF(AW$2&lt;=11,Params!$B$110,IF(AW$2&lt;=(Params!$B$25-1),Params!$B$110+(Params!$B$115-Params!$B$110)*(AW$2-11)/((Params!$B$25-1)-11),Params!$B$115*((1+Params!$B$120)/(1+Params!$B$118))^((AW$2-(Params!$B$25-1))/12)))*IF(AW$2&gt;(Params!$B$25-1),1+Params!$B$129*Params!$B$24,1)</f>
        <v/>
      </c>
      <c r="AX7" s="4">
        <f>IF(AX$2&lt;=11,Params!$B$110,IF(AX$2&lt;=(Params!$B$25-1),Params!$B$110+(Params!$B$115-Params!$B$110)*(AX$2-11)/((Params!$B$25-1)-11),Params!$B$115*((1+Params!$B$120)/(1+Params!$B$118))^((AX$2-(Params!$B$25-1))/12)))*IF(AX$2&gt;(Params!$B$25-1),1+Params!$B$129*Params!$B$24,1)</f>
        <v/>
      </c>
      <c r="AY7" s="4">
        <f>IF(AY$2&lt;=11,Params!$B$110,IF(AY$2&lt;=(Params!$B$25-1),Params!$B$110+(Params!$B$115-Params!$B$110)*(AY$2-11)/((Params!$B$25-1)-11),Params!$B$115*((1+Params!$B$120)/(1+Params!$B$118))^((AY$2-(Params!$B$25-1))/12)))*IF(AY$2&gt;(Params!$B$25-1),1+Params!$B$129*Params!$B$24,1)</f>
        <v/>
      </c>
      <c r="AZ7" s="4">
        <f>IF(AZ$2&lt;=11,Params!$B$110,IF(AZ$2&lt;=(Params!$B$25-1),Params!$B$110+(Params!$B$115-Params!$B$110)*(AZ$2-11)/((Params!$B$25-1)-11),Params!$B$115*((1+Params!$B$120)/(1+Params!$B$118))^((AZ$2-(Params!$B$25-1))/12)))*IF(AZ$2&gt;(Params!$B$25-1),1+Params!$B$129*Params!$B$24,1)</f>
        <v/>
      </c>
      <c r="BA7" s="4">
        <f>IF(BA$2&lt;=11,Params!$B$110,IF(BA$2&lt;=(Params!$B$25-1),Params!$B$110+(Params!$B$115-Params!$B$110)*(BA$2-11)/((Params!$B$25-1)-11),Params!$B$115*((1+Params!$B$120)/(1+Params!$B$118))^((BA$2-(Params!$B$25-1))/12)))*IF(BA$2&gt;(Params!$B$25-1),1+Params!$B$129*Params!$B$24,1)</f>
        <v/>
      </c>
      <c r="BB7" s="4">
        <f>IF(BB$2&lt;=11,Params!$B$110,IF(BB$2&lt;=(Params!$B$25-1),Params!$B$110+(Params!$B$115-Params!$B$110)*(BB$2-11)/((Params!$B$25-1)-11),Params!$B$115*((1+Params!$B$120)/(1+Params!$B$118))^((BB$2-(Params!$B$25-1))/12)))*IF(BB$2&gt;(Params!$B$25-1),1+Params!$B$129*Params!$B$24,1)</f>
        <v/>
      </c>
      <c r="BC7" s="4">
        <f>IF(BC$2&lt;=11,Params!$B$110,IF(BC$2&lt;=(Params!$B$25-1),Params!$B$110+(Params!$B$115-Params!$B$110)*(BC$2-11)/((Params!$B$25-1)-11),Params!$B$115*((1+Params!$B$120)/(1+Params!$B$118))^((BC$2-(Params!$B$25-1))/12)))*IF(BC$2&gt;(Params!$B$25-1),1+Params!$B$129*Params!$B$24,1)</f>
        <v/>
      </c>
      <c r="BD7" s="4">
        <f>IF(BD$2&lt;=11,Params!$B$110,IF(BD$2&lt;=(Params!$B$25-1),Params!$B$110+(Params!$B$115-Params!$B$110)*(BD$2-11)/((Params!$B$25-1)-11),Params!$B$115*((1+Params!$B$120)/(1+Params!$B$118))^((BD$2-(Params!$B$25-1))/12)))*IF(BD$2&gt;(Params!$B$25-1),1+Params!$B$129*Params!$B$24,1)</f>
        <v/>
      </c>
      <c r="BE7" s="4">
        <f>IF(BE$2&lt;=11,Params!$B$110,IF(BE$2&lt;=(Params!$B$25-1),Params!$B$110+(Params!$B$115-Params!$B$110)*(BE$2-11)/((Params!$B$25-1)-11),Params!$B$115*((1+Params!$B$120)/(1+Params!$B$118))^((BE$2-(Params!$B$25-1))/12)))*IF(BE$2&gt;(Params!$B$25-1),1+Params!$B$129*Params!$B$24,1)</f>
        <v/>
      </c>
      <c r="BF7" s="4">
        <f>IF(BF$2&lt;=11,Params!$B$110,IF(BF$2&lt;=(Params!$B$25-1),Params!$B$110+(Params!$B$115-Params!$B$110)*(BF$2-11)/((Params!$B$25-1)-11),Params!$B$115*((1+Params!$B$120)/(1+Params!$B$118))^((BF$2-(Params!$B$25-1))/12)))*IF(BF$2&gt;(Params!$B$25-1),1+Params!$B$129*Params!$B$24,1)</f>
        <v/>
      </c>
      <c r="BG7" s="4">
        <f>IF(BG$2&lt;=11,Params!$B$110,IF(BG$2&lt;=(Params!$B$25-1),Params!$B$110+(Params!$B$115-Params!$B$110)*(BG$2-11)/((Params!$B$25-1)-11),Params!$B$115*((1+Params!$B$120)/(1+Params!$B$118))^((BG$2-(Params!$B$25-1))/12)))*IF(BG$2&gt;(Params!$B$25-1),1+Params!$B$129*Params!$B$24,1)</f>
        <v/>
      </c>
      <c r="BH7" s="4">
        <f>IF(BH$2&lt;=11,Params!$B$110,IF(BH$2&lt;=(Params!$B$25-1),Params!$B$110+(Params!$B$115-Params!$B$110)*(BH$2-11)/((Params!$B$25-1)-11),Params!$B$115*((1+Params!$B$120)/(1+Params!$B$118))^((BH$2-(Params!$B$25-1))/12)))*IF(BH$2&gt;(Params!$B$25-1),1+Params!$B$129*Params!$B$24,1)</f>
        <v/>
      </c>
      <c r="BI7" s="4">
        <f>IF(BI$2&lt;=11,Params!$B$110,IF(BI$2&lt;=(Params!$B$25-1),Params!$B$110+(Params!$B$115-Params!$B$110)*(BI$2-11)/((Params!$B$25-1)-11),Params!$B$115*((1+Params!$B$120)/(1+Params!$B$118))^((BI$2-(Params!$B$25-1))/12)))*IF(BI$2&gt;(Params!$B$25-1),1+Params!$B$129*Params!$B$24,1)</f>
        <v/>
      </c>
      <c r="BJ7" s="4">
        <f>IF(BJ$2&lt;=11,Params!$B$110,IF(BJ$2&lt;=(Params!$B$25-1),Params!$B$110+(Params!$B$115-Params!$B$110)*(BJ$2-11)/((Params!$B$25-1)-11),Params!$B$115*((1+Params!$B$120)/(1+Params!$B$118))^((BJ$2-(Params!$B$25-1))/12)))*IF(BJ$2&gt;(Params!$B$25-1),1+Params!$B$129*Params!$B$24,1)</f>
        <v/>
      </c>
      <c r="BK7" s="4">
        <f>IF(BK$2&lt;=11,Params!$B$110,IF(BK$2&lt;=(Params!$B$25-1),Params!$B$110+(Params!$B$115-Params!$B$110)*(BK$2-11)/((Params!$B$25-1)-11),Params!$B$115*((1+Params!$B$120)/(1+Params!$B$118))^((BK$2-(Params!$B$25-1))/12)))*IF(BK$2&gt;(Params!$B$25-1),1+Params!$B$129*Params!$B$24,1)</f>
        <v/>
      </c>
      <c r="BL7" s="4">
        <f>IF(BL$2&lt;=11,Params!$B$110,IF(BL$2&lt;=(Params!$B$25-1),Params!$B$110+(Params!$B$115-Params!$B$110)*(BL$2-11)/((Params!$B$25-1)-11),Params!$B$115*((1+Params!$B$120)/(1+Params!$B$118))^((BL$2-(Params!$B$25-1))/12)))*IF(BL$2&gt;(Params!$B$25-1),1+Params!$B$129*Params!$B$24,1)</f>
        <v/>
      </c>
      <c r="BM7" s="4">
        <f>IF(BM$2&lt;=11,Params!$B$110,IF(BM$2&lt;=(Params!$B$25-1),Params!$B$110+(Params!$B$115-Params!$B$110)*(BM$2-11)/((Params!$B$25-1)-11),Params!$B$115*((1+Params!$B$120)/(1+Params!$B$118))^((BM$2-(Params!$B$25-1))/12)))*IF(BM$2&gt;(Params!$B$25-1),1+Params!$B$129*Params!$B$24,1)</f>
        <v/>
      </c>
      <c r="BN7" s="4">
        <f>IF(BN$2&lt;=11,Params!$B$110,IF(BN$2&lt;=(Params!$B$25-1),Params!$B$110+(Params!$B$115-Params!$B$110)*(BN$2-11)/((Params!$B$25-1)-11),Params!$B$115*((1+Params!$B$120)/(1+Params!$B$118))^((BN$2-(Params!$B$25-1))/12)))*IF(BN$2&gt;(Params!$B$25-1),1+Params!$B$129*Params!$B$24,1)</f>
        <v/>
      </c>
      <c r="BO7" s="4">
        <f>IF(BO$2&lt;=11,Params!$B$110,IF(BO$2&lt;=(Params!$B$25-1),Params!$B$110+(Params!$B$115-Params!$B$110)*(BO$2-11)/((Params!$B$25-1)-11),Params!$B$115*((1+Params!$B$120)/(1+Params!$B$118))^((BO$2-(Params!$B$25-1))/12)))*IF(BO$2&gt;(Params!$B$25-1),1+Params!$B$129*Params!$B$24,1)</f>
        <v/>
      </c>
      <c r="BP7" s="4">
        <f>IF(BP$2&lt;=11,Params!$B$110,IF(BP$2&lt;=(Params!$B$25-1),Params!$B$110+(Params!$B$115-Params!$B$110)*(BP$2-11)/((Params!$B$25-1)-11),Params!$B$115*((1+Params!$B$120)/(1+Params!$B$118))^((BP$2-(Params!$B$25-1))/12)))*IF(BP$2&gt;(Params!$B$25-1),1+Params!$B$129*Params!$B$24,1)</f>
        <v/>
      </c>
      <c r="BQ7" s="4">
        <f>IF(BQ$2&lt;=11,Params!$B$110,IF(BQ$2&lt;=(Params!$B$25-1),Params!$B$110+(Params!$B$115-Params!$B$110)*(BQ$2-11)/((Params!$B$25-1)-11),Params!$B$115*((1+Params!$B$120)/(1+Params!$B$118))^((BQ$2-(Params!$B$25-1))/12)))*IF(BQ$2&gt;(Params!$B$25-1),1+Params!$B$129*Params!$B$24,1)</f>
        <v/>
      </c>
      <c r="BR7" s="4">
        <f>IF(BR$2&lt;=11,Params!$B$110,IF(BR$2&lt;=(Params!$B$25-1),Params!$B$110+(Params!$B$115-Params!$B$110)*(BR$2-11)/((Params!$B$25-1)-11),Params!$B$115*((1+Params!$B$120)/(1+Params!$B$118))^((BR$2-(Params!$B$25-1))/12)))*IF(BR$2&gt;(Params!$B$25-1),1+Params!$B$129*Params!$B$24,1)</f>
        <v/>
      </c>
      <c r="BS7" s="4">
        <f>IF(BS$2&lt;=11,Params!$B$110,IF(BS$2&lt;=(Params!$B$25-1),Params!$B$110+(Params!$B$115-Params!$B$110)*(BS$2-11)/((Params!$B$25-1)-11),Params!$B$115*((1+Params!$B$120)/(1+Params!$B$118))^((BS$2-(Params!$B$25-1))/12)))*IF(BS$2&gt;(Params!$B$25-1),1+Params!$B$129*Params!$B$24,1)</f>
        <v/>
      </c>
      <c r="BT7" s="4">
        <f>IF(BT$2&lt;=11,Params!$B$110,IF(BT$2&lt;=(Params!$B$25-1),Params!$B$110+(Params!$B$115-Params!$B$110)*(BT$2-11)/((Params!$B$25-1)-11),Params!$B$115*((1+Params!$B$120)/(1+Params!$B$118))^((BT$2-(Params!$B$25-1))/12)))*IF(BT$2&gt;(Params!$B$25-1),1+Params!$B$129*Params!$B$24,1)</f>
        <v/>
      </c>
      <c r="BU7" s="4">
        <f>IF(BU$2&lt;=11,Params!$B$110,IF(BU$2&lt;=(Params!$B$25-1),Params!$B$110+(Params!$B$115-Params!$B$110)*(BU$2-11)/((Params!$B$25-1)-11),Params!$B$115*((1+Params!$B$120)/(1+Params!$B$118))^((BU$2-(Params!$B$25-1))/12)))*IF(BU$2&gt;(Params!$B$25-1),1+Params!$B$129*Params!$B$24,1)</f>
        <v/>
      </c>
      <c r="BV7" s="4">
        <f>IF(BV$2&lt;=11,Params!$B$110,IF(BV$2&lt;=(Params!$B$25-1),Params!$B$110+(Params!$B$115-Params!$B$110)*(BV$2-11)/((Params!$B$25-1)-11),Params!$B$115*((1+Params!$B$120)/(1+Params!$B$118))^((BV$2-(Params!$B$25-1))/12)))*IF(BV$2&gt;(Params!$B$25-1),1+Params!$B$129*Params!$B$24,1)</f>
        <v/>
      </c>
    </row>
    <row r="8">
      <c r="A8" t="inlineStr">
        <is>
          <t>rate (local per USD)</t>
        </is>
      </c>
      <c r="B8" t="inlineStr">
        <is>
          <t>JPY</t>
        </is>
      </c>
      <c r="C8" s="4">
        <f>IF(C$2&lt;=11,Params!$B$111,IF(C$2&lt;=(Params!$B$25-1),Params!$B$111+(Params!$B$116-Params!$B$111)*(C$2-11)/((Params!$B$25-1)-11),Params!$B$116*((1+Params!$B$121)/(1+Params!$B$118))^((C$2-(Params!$B$25-1))/12)))*IF(C$2&gt;(Params!$B$25-1),1+Params!$B$129*Params!$B$24,1)</f>
        <v/>
      </c>
      <c r="D8" s="4">
        <f>IF(D$2&lt;=11,Params!$B$111,IF(D$2&lt;=(Params!$B$25-1),Params!$B$111+(Params!$B$116-Params!$B$111)*(D$2-11)/((Params!$B$25-1)-11),Params!$B$116*((1+Params!$B$121)/(1+Params!$B$118))^((D$2-(Params!$B$25-1))/12)))*IF(D$2&gt;(Params!$B$25-1),1+Params!$B$129*Params!$B$24,1)</f>
        <v/>
      </c>
      <c r="E8" s="4">
        <f>IF(E$2&lt;=11,Params!$B$111,IF(E$2&lt;=(Params!$B$25-1),Params!$B$111+(Params!$B$116-Params!$B$111)*(E$2-11)/((Params!$B$25-1)-11),Params!$B$116*((1+Params!$B$121)/(1+Params!$B$118))^((E$2-(Params!$B$25-1))/12)))*IF(E$2&gt;(Params!$B$25-1),1+Params!$B$129*Params!$B$24,1)</f>
        <v/>
      </c>
      <c r="F8" s="4">
        <f>IF(F$2&lt;=11,Params!$B$111,IF(F$2&lt;=(Params!$B$25-1),Params!$B$111+(Params!$B$116-Params!$B$111)*(F$2-11)/((Params!$B$25-1)-11),Params!$B$116*((1+Params!$B$121)/(1+Params!$B$118))^((F$2-(Params!$B$25-1))/12)))*IF(F$2&gt;(Params!$B$25-1),1+Params!$B$129*Params!$B$24,1)</f>
        <v/>
      </c>
      <c r="G8" s="4">
        <f>IF(G$2&lt;=11,Params!$B$111,IF(G$2&lt;=(Params!$B$25-1),Params!$B$111+(Params!$B$116-Params!$B$111)*(G$2-11)/((Params!$B$25-1)-11),Params!$B$116*((1+Params!$B$121)/(1+Params!$B$118))^((G$2-(Params!$B$25-1))/12)))*IF(G$2&gt;(Params!$B$25-1),1+Params!$B$129*Params!$B$24,1)</f>
        <v/>
      </c>
      <c r="H8" s="4">
        <f>IF(H$2&lt;=11,Params!$B$111,IF(H$2&lt;=(Params!$B$25-1),Params!$B$111+(Params!$B$116-Params!$B$111)*(H$2-11)/((Params!$B$25-1)-11),Params!$B$116*((1+Params!$B$121)/(1+Params!$B$118))^((H$2-(Params!$B$25-1))/12)))*IF(H$2&gt;(Params!$B$25-1),1+Params!$B$129*Params!$B$24,1)</f>
        <v/>
      </c>
      <c r="I8" s="4">
        <f>IF(I$2&lt;=11,Params!$B$111,IF(I$2&lt;=(Params!$B$25-1),Params!$B$111+(Params!$B$116-Params!$B$111)*(I$2-11)/((Params!$B$25-1)-11),Params!$B$116*((1+Params!$B$121)/(1+Params!$B$118))^((I$2-(Params!$B$25-1))/12)))*IF(I$2&gt;(Params!$B$25-1),1+Params!$B$129*Params!$B$24,1)</f>
        <v/>
      </c>
      <c r="J8" s="4">
        <f>IF(J$2&lt;=11,Params!$B$111,IF(J$2&lt;=(Params!$B$25-1),Params!$B$111+(Params!$B$116-Params!$B$111)*(J$2-11)/((Params!$B$25-1)-11),Params!$B$116*((1+Params!$B$121)/(1+Params!$B$118))^((J$2-(Params!$B$25-1))/12)))*IF(J$2&gt;(Params!$B$25-1),1+Params!$B$129*Params!$B$24,1)</f>
        <v/>
      </c>
      <c r="K8" s="4">
        <f>IF(K$2&lt;=11,Params!$B$111,IF(K$2&lt;=(Params!$B$25-1),Params!$B$111+(Params!$B$116-Params!$B$111)*(K$2-11)/((Params!$B$25-1)-11),Params!$B$116*((1+Params!$B$121)/(1+Params!$B$118))^((K$2-(Params!$B$25-1))/12)))*IF(K$2&gt;(Params!$B$25-1),1+Params!$B$129*Params!$B$24,1)</f>
        <v/>
      </c>
      <c r="L8" s="4">
        <f>IF(L$2&lt;=11,Params!$B$111,IF(L$2&lt;=(Params!$B$25-1),Params!$B$111+(Params!$B$116-Params!$B$111)*(L$2-11)/((Params!$B$25-1)-11),Params!$B$116*((1+Params!$B$121)/(1+Params!$B$118))^((L$2-(Params!$B$25-1))/12)))*IF(L$2&gt;(Params!$B$25-1),1+Params!$B$129*Params!$B$24,1)</f>
        <v/>
      </c>
      <c r="M8" s="4">
        <f>IF(M$2&lt;=11,Params!$B$111,IF(M$2&lt;=(Params!$B$25-1),Params!$B$111+(Params!$B$116-Params!$B$111)*(M$2-11)/((Params!$B$25-1)-11),Params!$B$116*((1+Params!$B$121)/(1+Params!$B$118))^((M$2-(Params!$B$25-1))/12)))*IF(M$2&gt;(Params!$B$25-1),1+Params!$B$129*Params!$B$24,1)</f>
        <v/>
      </c>
      <c r="N8" s="4">
        <f>IF(N$2&lt;=11,Params!$B$111,IF(N$2&lt;=(Params!$B$25-1),Params!$B$111+(Params!$B$116-Params!$B$111)*(N$2-11)/((Params!$B$25-1)-11),Params!$B$116*((1+Params!$B$121)/(1+Params!$B$118))^((N$2-(Params!$B$25-1))/12)))*IF(N$2&gt;(Params!$B$25-1),1+Params!$B$129*Params!$B$24,1)</f>
        <v/>
      </c>
      <c r="O8" s="4">
        <f>IF(O$2&lt;=11,Params!$B$111,IF(O$2&lt;=(Params!$B$25-1),Params!$B$111+(Params!$B$116-Params!$B$111)*(O$2-11)/((Params!$B$25-1)-11),Params!$B$116*((1+Params!$B$121)/(1+Params!$B$118))^((O$2-(Params!$B$25-1))/12)))*IF(O$2&gt;(Params!$B$25-1),1+Params!$B$129*Params!$B$24,1)</f>
        <v/>
      </c>
      <c r="P8" s="4">
        <f>IF(P$2&lt;=11,Params!$B$111,IF(P$2&lt;=(Params!$B$25-1),Params!$B$111+(Params!$B$116-Params!$B$111)*(P$2-11)/((Params!$B$25-1)-11),Params!$B$116*((1+Params!$B$121)/(1+Params!$B$118))^((P$2-(Params!$B$25-1))/12)))*IF(P$2&gt;(Params!$B$25-1),1+Params!$B$129*Params!$B$24,1)</f>
        <v/>
      </c>
      <c r="Q8" s="4">
        <f>IF(Q$2&lt;=11,Params!$B$111,IF(Q$2&lt;=(Params!$B$25-1),Params!$B$111+(Params!$B$116-Params!$B$111)*(Q$2-11)/((Params!$B$25-1)-11),Params!$B$116*((1+Params!$B$121)/(1+Params!$B$118))^((Q$2-(Params!$B$25-1))/12)))*IF(Q$2&gt;(Params!$B$25-1),1+Params!$B$129*Params!$B$24,1)</f>
        <v/>
      </c>
      <c r="R8" s="4">
        <f>IF(R$2&lt;=11,Params!$B$111,IF(R$2&lt;=(Params!$B$25-1),Params!$B$111+(Params!$B$116-Params!$B$111)*(R$2-11)/((Params!$B$25-1)-11),Params!$B$116*((1+Params!$B$121)/(1+Params!$B$118))^((R$2-(Params!$B$25-1))/12)))*IF(R$2&gt;(Params!$B$25-1),1+Params!$B$129*Params!$B$24,1)</f>
        <v/>
      </c>
      <c r="S8" s="4">
        <f>IF(S$2&lt;=11,Params!$B$111,IF(S$2&lt;=(Params!$B$25-1),Params!$B$111+(Params!$B$116-Params!$B$111)*(S$2-11)/((Params!$B$25-1)-11),Params!$B$116*((1+Params!$B$121)/(1+Params!$B$118))^((S$2-(Params!$B$25-1))/12)))*IF(S$2&gt;(Params!$B$25-1),1+Params!$B$129*Params!$B$24,1)</f>
        <v/>
      </c>
      <c r="T8" s="4">
        <f>IF(T$2&lt;=11,Params!$B$111,IF(T$2&lt;=(Params!$B$25-1),Params!$B$111+(Params!$B$116-Params!$B$111)*(T$2-11)/((Params!$B$25-1)-11),Params!$B$116*((1+Params!$B$121)/(1+Params!$B$118))^((T$2-(Params!$B$25-1))/12)))*IF(T$2&gt;(Params!$B$25-1),1+Params!$B$129*Params!$B$24,1)</f>
        <v/>
      </c>
      <c r="U8" s="4">
        <f>IF(U$2&lt;=11,Params!$B$111,IF(U$2&lt;=(Params!$B$25-1),Params!$B$111+(Params!$B$116-Params!$B$111)*(U$2-11)/((Params!$B$25-1)-11),Params!$B$116*((1+Params!$B$121)/(1+Params!$B$118))^((U$2-(Params!$B$25-1))/12)))*IF(U$2&gt;(Params!$B$25-1),1+Params!$B$129*Params!$B$24,1)</f>
        <v/>
      </c>
      <c r="V8" s="4">
        <f>IF(V$2&lt;=11,Params!$B$111,IF(V$2&lt;=(Params!$B$25-1),Params!$B$111+(Params!$B$116-Params!$B$111)*(V$2-11)/((Params!$B$25-1)-11),Params!$B$116*((1+Params!$B$121)/(1+Params!$B$118))^((V$2-(Params!$B$25-1))/12)))*IF(V$2&gt;(Params!$B$25-1),1+Params!$B$129*Params!$B$24,1)</f>
        <v/>
      </c>
      <c r="W8" s="4">
        <f>IF(W$2&lt;=11,Params!$B$111,IF(W$2&lt;=(Params!$B$25-1),Params!$B$111+(Params!$B$116-Params!$B$111)*(W$2-11)/((Params!$B$25-1)-11),Params!$B$116*((1+Params!$B$121)/(1+Params!$B$118))^((W$2-(Params!$B$25-1))/12)))*IF(W$2&gt;(Params!$B$25-1),1+Params!$B$129*Params!$B$24,1)</f>
        <v/>
      </c>
      <c r="X8" s="4">
        <f>IF(X$2&lt;=11,Params!$B$111,IF(X$2&lt;=(Params!$B$25-1),Params!$B$111+(Params!$B$116-Params!$B$111)*(X$2-11)/((Params!$B$25-1)-11),Params!$B$116*((1+Params!$B$121)/(1+Params!$B$118))^((X$2-(Params!$B$25-1))/12)))*IF(X$2&gt;(Params!$B$25-1),1+Params!$B$129*Params!$B$24,1)</f>
        <v/>
      </c>
      <c r="Y8" s="4">
        <f>IF(Y$2&lt;=11,Params!$B$111,IF(Y$2&lt;=(Params!$B$25-1),Params!$B$111+(Params!$B$116-Params!$B$111)*(Y$2-11)/((Params!$B$25-1)-11),Params!$B$116*((1+Params!$B$121)/(1+Params!$B$118))^((Y$2-(Params!$B$25-1))/12)))*IF(Y$2&gt;(Params!$B$25-1),1+Params!$B$129*Params!$B$24,1)</f>
        <v/>
      </c>
      <c r="Z8" s="4">
        <f>IF(Z$2&lt;=11,Params!$B$111,IF(Z$2&lt;=(Params!$B$25-1),Params!$B$111+(Params!$B$116-Params!$B$111)*(Z$2-11)/((Params!$B$25-1)-11),Params!$B$116*((1+Params!$B$121)/(1+Params!$B$118))^((Z$2-(Params!$B$25-1))/12)))*IF(Z$2&gt;(Params!$B$25-1),1+Params!$B$129*Params!$B$24,1)</f>
        <v/>
      </c>
      <c r="AA8" s="4">
        <f>IF(AA$2&lt;=11,Params!$B$111,IF(AA$2&lt;=(Params!$B$25-1),Params!$B$111+(Params!$B$116-Params!$B$111)*(AA$2-11)/((Params!$B$25-1)-11),Params!$B$116*((1+Params!$B$121)/(1+Params!$B$118))^((AA$2-(Params!$B$25-1))/12)))*IF(AA$2&gt;(Params!$B$25-1),1+Params!$B$129*Params!$B$24,1)</f>
        <v/>
      </c>
      <c r="AB8" s="4">
        <f>IF(AB$2&lt;=11,Params!$B$111,IF(AB$2&lt;=(Params!$B$25-1),Params!$B$111+(Params!$B$116-Params!$B$111)*(AB$2-11)/((Params!$B$25-1)-11),Params!$B$116*((1+Params!$B$121)/(1+Params!$B$118))^((AB$2-(Params!$B$25-1))/12)))*IF(AB$2&gt;(Params!$B$25-1),1+Params!$B$129*Params!$B$24,1)</f>
        <v/>
      </c>
      <c r="AC8" s="4">
        <f>IF(AC$2&lt;=11,Params!$B$111,IF(AC$2&lt;=(Params!$B$25-1),Params!$B$111+(Params!$B$116-Params!$B$111)*(AC$2-11)/((Params!$B$25-1)-11),Params!$B$116*((1+Params!$B$121)/(1+Params!$B$118))^((AC$2-(Params!$B$25-1))/12)))*IF(AC$2&gt;(Params!$B$25-1),1+Params!$B$129*Params!$B$24,1)</f>
        <v/>
      </c>
      <c r="AD8" s="4">
        <f>IF(AD$2&lt;=11,Params!$B$111,IF(AD$2&lt;=(Params!$B$25-1),Params!$B$111+(Params!$B$116-Params!$B$111)*(AD$2-11)/((Params!$B$25-1)-11),Params!$B$116*((1+Params!$B$121)/(1+Params!$B$118))^((AD$2-(Params!$B$25-1))/12)))*IF(AD$2&gt;(Params!$B$25-1),1+Params!$B$129*Params!$B$24,1)</f>
        <v/>
      </c>
      <c r="AE8" s="4">
        <f>IF(AE$2&lt;=11,Params!$B$111,IF(AE$2&lt;=(Params!$B$25-1),Params!$B$111+(Params!$B$116-Params!$B$111)*(AE$2-11)/((Params!$B$25-1)-11),Params!$B$116*((1+Params!$B$121)/(1+Params!$B$118))^((AE$2-(Params!$B$25-1))/12)))*IF(AE$2&gt;(Params!$B$25-1),1+Params!$B$129*Params!$B$24,1)</f>
        <v/>
      </c>
      <c r="AF8" s="4">
        <f>IF(AF$2&lt;=11,Params!$B$111,IF(AF$2&lt;=(Params!$B$25-1),Params!$B$111+(Params!$B$116-Params!$B$111)*(AF$2-11)/((Params!$B$25-1)-11),Params!$B$116*((1+Params!$B$121)/(1+Params!$B$118))^((AF$2-(Params!$B$25-1))/12)))*IF(AF$2&gt;(Params!$B$25-1),1+Params!$B$129*Params!$B$24,1)</f>
        <v/>
      </c>
      <c r="AG8" s="4">
        <f>IF(AG$2&lt;=11,Params!$B$111,IF(AG$2&lt;=(Params!$B$25-1),Params!$B$111+(Params!$B$116-Params!$B$111)*(AG$2-11)/((Params!$B$25-1)-11),Params!$B$116*((1+Params!$B$121)/(1+Params!$B$118))^((AG$2-(Params!$B$25-1))/12)))*IF(AG$2&gt;(Params!$B$25-1),1+Params!$B$129*Params!$B$24,1)</f>
        <v/>
      </c>
      <c r="AH8" s="4">
        <f>IF(AH$2&lt;=11,Params!$B$111,IF(AH$2&lt;=(Params!$B$25-1),Params!$B$111+(Params!$B$116-Params!$B$111)*(AH$2-11)/((Params!$B$25-1)-11),Params!$B$116*((1+Params!$B$121)/(1+Params!$B$118))^((AH$2-(Params!$B$25-1))/12)))*IF(AH$2&gt;(Params!$B$25-1),1+Params!$B$129*Params!$B$24,1)</f>
        <v/>
      </c>
      <c r="AI8" s="4">
        <f>IF(AI$2&lt;=11,Params!$B$111,IF(AI$2&lt;=(Params!$B$25-1),Params!$B$111+(Params!$B$116-Params!$B$111)*(AI$2-11)/((Params!$B$25-1)-11),Params!$B$116*((1+Params!$B$121)/(1+Params!$B$118))^((AI$2-(Params!$B$25-1))/12)))*IF(AI$2&gt;(Params!$B$25-1),1+Params!$B$129*Params!$B$24,1)</f>
        <v/>
      </c>
      <c r="AJ8" s="4">
        <f>IF(AJ$2&lt;=11,Params!$B$111,IF(AJ$2&lt;=(Params!$B$25-1),Params!$B$111+(Params!$B$116-Params!$B$111)*(AJ$2-11)/((Params!$B$25-1)-11),Params!$B$116*((1+Params!$B$121)/(1+Params!$B$118))^((AJ$2-(Params!$B$25-1))/12)))*IF(AJ$2&gt;(Params!$B$25-1),1+Params!$B$129*Params!$B$24,1)</f>
        <v/>
      </c>
      <c r="AK8" s="4">
        <f>IF(AK$2&lt;=11,Params!$B$111,IF(AK$2&lt;=(Params!$B$25-1),Params!$B$111+(Params!$B$116-Params!$B$111)*(AK$2-11)/((Params!$B$25-1)-11),Params!$B$116*((1+Params!$B$121)/(1+Params!$B$118))^((AK$2-(Params!$B$25-1))/12)))*IF(AK$2&gt;(Params!$B$25-1),1+Params!$B$129*Params!$B$24,1)</f>
        <v/>
      </c>
      <c r="AL8" s="4">
        <f>IF(AL$2&lt;=11,Params!$B$111,IF(AL$2&lt;=(Params!$B$25-1),Params!$B$111+(Params!$B$116-Params!$B$111)*(AL$2-11)/((Params!$B$25-1)-11),Params!$B$116*((1+Params!$B$121)/(1+Params!$B$118))^((AL$2-(Params!$B$25-1))/12)))*IF(AL$2&gt;(Params!$B$25-1),1+Params!$B$129*Params!$B$24,1)</f>
        <v/>
      </c>
      <c r="AM8" s="4">
        <f>IF(AM$2&lt;=11,Params!$B$111,IF(AM$2&lt;=(Params!$B$25-1),Params!$B$111+(Params!$B$116-Params!$B$111)*(AM$2-11)/((Params!$B$25-1)-11),Params!$B$116*((1+Params!$B$121)/(1+Params!$B$118))^((AM$2-(Params!$B$25-1))/12)))*IF(AM$2&gt;(Params!$B$25-1),1+Params!$B$129*Params!$B$24,1)</f>
        <v/>
      </c>
      <c r="AN8" s="4">
        <f>IF(AN$2&lt;=11,Params!$B$111,IF(AN$2&lt;=(Params!$B$25-1),Params!$B$111+(Params!$B$116-Params!$B$111)*(AN$2-11)/((Params!$B$25-1)-11),Params!$B$116*((1+Params!$B$121)/(1+Params!$B$118))^((AN$2-(Params!$B$25-1))/12)))*IF(AN$2&gt;(Params!$B$25-1),1+Params!$B$129*Params!$B$24,1)</f>
        <v/>
      </c>
      <c r="AO8" s="4">
        <f>IF(AO$2&lt;=11,Params!$B$111,IF(AO$2&lt;=(Params!$B$25-1),Params!$B$111+(Params!$B$116-Params!$B$111)*(AO$2-11)/((Params!$B$25-1)-11),Params!$B$116*((1+Params!$B$121)/(1+Params!$B$118))^((AO$2-(Params!$B$25-1))/12)))*IF(AO$2&gt;(Params!$B$25-1),1+Params!$B$129*Params!$B$24,1)</f>
        <v/>
      </c>
      <c r="AP8" s="4">
        <f>IF(AP$2&lt;=11,Params!$B$111,IF(AP$2&lt;=(Params!$B$25-1),Params!$B$111+(Params!$B$116-Params!$B$111)*(AP$2-11)/((Params!$B$25-1)-11),Params!$B$116*((1+Params!$B$121)/(1+Params!$B$118))^((AP$2-(Params!$B$25-1))/12)))*IF(AP$2&gt;(Params!$B$25-1),1+Params!$B$129*Params!$B$24,1)</f>
        <v/>
      </c>
      <c r="AQ8" s="4">
        <f>IF(AQ$2&lt;=11,Params!$B$111,IF(AQ$2&lt;=(Params!$B$25-1),Params!$B$111+(Params!$B$116-Params!$B$111)*(AQ$2-11)/((Params!$B$25-1)-11),Params!$B$116*((1+Params!$B$121)/(1+Params!$B$118))^((AQ$2-(Params!$B$25-1))/12)))*IF(AQ$2&gt;(Params!$B$25-1),1+Params!$B$129*Params!$B$24,1)</f>
        <v/>
      </c>
      <c r="AR8" s="4">
        <f>IF(AR$2&lt;=11,Params!$B$111,IF(AR$2&lt;=(Params!$B$25-1),Params!$B$111+(Params!$B$116-Params!$B$111)*(AR$2-11)/((Params!$B$25-1)-11),Params!$B$116*((1+Params!$B$121)/(1+Params!$B$118))^((AR$2-(Params!$B$25-1))/12)))*IF(AR$2&gt;(Params!$B$25-1),1+Params!$B$129*Params!$B$24,1)</f>
        <v/>
      </c>
      <c r="AS8" s="4">
        <f>IF(AS$2&lt;=11,Params!$B$111,IF(AS$2&lt;=(Params!$B$25-1),Params!$B$111+(Params!$B$116-Params!$B$111)*(AS$2-11)/((Params!$B$25-1)-11),Params!$B$116*((1+Params!$B$121)/(1+Params!$B$118))^((AS$2-(Params!$B$25-1))/12)))*IF(AS$2&gt;(Params!$B$25-1),1+Params!$B$129*Params!$B$24,1)</f>
        <v/>
      </c>
      <c r="AT8" s="4">
        <f>IF(AT$2&lt;=11,Params!$B$111,IF(AT$2&lt;=(Params!$B$25-1),Params!$B$111+(Params!$B$116-Params!$B$111)*(AT$2-11)/((Params!$B$25-1)-11),Params!$B$116*((1+Params!$B$121)/(1+Params!$B$118))^((AT$2-(Params!$B$25-1))/12)))*IF(AT$2&gt;(Params!$B$25-1),1+Params!$B$129*Params!$B$24,1)</f>
        <v/>
      </c>
      <c r="AU8" s="4">
        <f>IF(AU$2&lt;=11,Params!$B$111,IF(AU$2&lt;=(Params!$B$25-1),Params!$B$111+(Params!$B$116-Params!$B$111)*(AU$2-11)/((Params!$B$25-1)-11),Params!$B$116*((1+Params!$B$121)/(1+Params!$B$118))^((AU$2-(Params!$B$25-1))/12)))*IF(AU$2&gt;(Params!$B$25-1),1+Params!$B$129*Params!$B$24,1)</f>
        <v/>
      </c>
      <c r="AV8" s="4">
        <f>IF(AV$2&lt;=11,Params!$B$111,IF(AV$2&lt;=(Params!$B$25-1),Params!$B$111+(Params!$B$116-Params!$B$111)*(AV$2-11)/((Params!$B$25-1)-11),Params!$B$116*((1+Params!$B$121)/(1+Params!$B$118))^((AV$2-(Params!$B$25-1))/12)))*IF(AV$2&gt;(Params!$B$25-1),1+Params!$B$129*Params!$B$24,1)</f>
        <v/>
      </c>
      <c r="AW8" s="4">
        <f>IF(AW$2&lt;=11,Params!$B$111,IF(AW$2&lt;=(Params!$B$25-1),Params!$B$111+(Params!$B$116-Params!$B$111)*(AW$2-11)/((Params!$B$25-1)-11),Params!$B$116*((1+Params!$B$121)/(1+Params!$B$118))^((AW$2-(Params!$B$25-1))/12)))*IF(AW$2&gt;(Params!$B$25-1),1+Params!$B$129*Params!$B$24,1)</f>
        <v/>
      </c>
      <c r="AX8" s="4">
        <f>IF(AX$2&lt;=11,Params!$B$111,IF(AX$2&lt;=(Params!$B$25-1),Params!$B$111+(Params!$B$116-Params!$B$111)*(AX$2-11)/((Params!$B$25-1)-11),Params!$B$116*((1+Params!$B$121)/(1+Params!$B$118))^((AX$2-(Params!$B$25-1))/12)))*IF(AX$2&gt;(Params!$B$25-1),1+Params!$B$129*Params!$B$24,1)</f>
        <v/>
      </c>
      <c r="AY8" s="4">
        <f>IF(AY$2&lt;=11,Params!$B$111,IF(AY$2&lt;=(Params!$B$25-1),Params!$B$111+(Params!$B$116-Params!$B$111)*(AY$2-11)/((Params!$B$25-1)-11),Params!$B$116*((1+Params!$B$121)/(1+Params!$B$118))^((AY$2-(Params!$B$25-1))/12)))*IF(AY$2&gt;(Params!$B$25-1),1+Params!$B$129*Params!$B$24,1)</f>
        <v/>
      </c>
      <c r="AZ8" s="4">
        <f>IF(AZ$2&lt;=11,Params!$B$111,IF(AZ$2&lt;=(Params!$B$25-1),Params!$B$111+(Params!$B$116-Params!$B$111)*(AZ$2-11)/((Params!$B$25-1)-11),Params!$B$116*((1+Params!$B$121)/(1+Params!$B$118))^((AZ$2-(Params!$B$25-1))/12)))*IF(AZ$2&gt;(Params!$B$25-1),1+Params!$B$129*Params!$B$24,1)</f>
        <v/>
      </c>
      <c r="BA8" s="4">
        <f>IF(BA$2&lt;=11,Params!$B$111,IF(BA$2&lt;=(Params!$B$25-1),Params!$B$111+(Params!$B$116-Params!$B$111)*(BA$2-11)/((Params!$B$25-1)-11),Params!$B$116*((1+Params!$B$121)/(1+Params!$B$118))^((BA$2-(Params!$B$25-1))/12)))*IF(BA$2&gt;(Params!$B$25-1),1+Params!$B$129*Params!$B$24,1)</f>
        <v/>
      </c>
      <c r="BB8" s="4">
        <f>IF(BB$2&lt;=11,Params!$B$111,IF(BB$2&lt;=(Params!$B$25-1),Params!$B$111+(Params!$B$116-Params!$B$111)*(BB$2-11)/((Params!$B$25-1)-11),Params!$B$116*((1+Params!$B$121)/(1+Params!$B$118))^((BB$2-(Params!$B$25-1))/12)))*IF(BB$2&gt;(Params!$B$25-1),1+Params!$B$129*Params!$B$24,1)</f>
        <v/>
      </c>
      <c r="BC8" s="4">
        <f>IF(BC$2&lt;=11,Params!$B$111,IF(BC$2&lt;=(Params!$B$25-1),Params!$B$111+(Params!$B$116-Params!$B$111)*(BC$2-11)/((Params!$B$25-1)-11),Params!$B$116*((1+Params!$B$121)/(1+Params!$B$118))^((BC$2-(Params!$B$25-1))/12)))*IF(BC$2&gt;(Params!$B$25-1),1+Params!$B$129*Params!$B$24,1)</f>
        <v/>
      </c>
      <c r="BD8" s="4">
        <f>IF(BD$2&lt;=11,Params!$B$111,IF(BD$2&lt;=(Params!$B$25-1),Params!$B$111+(Params!$B$116-Params!$B$111)*(BD$2-11)/((Params!$B$25-1)-11),Params!$B$116*((1+Params!$B$121)/(1+Params!$B$118))^((BD$2-(Params!$B$25-1))/12)))*IF(BD$2&gt;(Params!$B$25-1),1+Params!$B$129*Params!$B$24,1)</f>
        <v/>
      </c>
      <c r="BE8" s="4">
        <f>IF(BE$2&lt;=11,Params!$B$111,IF(BE$2&lt;=(Params!$B$25-1),Params!$B$111+(Params!$B$116-Params!$B$111)*(BE$2-11)/((Params!$B$25-1)-11),Params!$B$116*((1+Params!$B$121)/(1+Params!$B$118))^((BE$2-(Params!$B$25-1))/12)))*IF(BE$2&gt;(Params!$B$25-1),1+Params!$B$129*Params!$B$24,1)</f>
        <v/>
      </c>
      <c r="BF8" s="4">
        <f>IF(BF$2&lt;=11,Params!$B$111,IF(BF$2&lt;=(Params!$B$25-1),Params!$B$111+(Params!$B$116-Params!$B$111)*(BF$2-11)/((Params!$B$25-1)-11),Params!$B$116*((1+Params!$B$121)/(1+Params!$B$118))^((BF$2-(Params!$B$25-1))/12)))*IF(BF$2&gt;(Params!$B$25-1),1+Params!$B$129*Params!$B$24,1)</f>
        <v/>
      </c>
      <c r="BG8" s="4">
        <f>IF(BG$2&lt;=11,Params!$B$111,IF(BG$2&lt;=(Params!$B$25-1),Params!$B$111+(Params!$B$116-Params!$B$111)*(BG$2-11)/((Params!$B$25-1)-11),Params!$B$116*((1+Params!$B$121)/(1+Params!$B$118))^((BG$2-(Params!$B$25-1))/12)))*IF(BG$2&gt;(Params!$B$25-1),1+Params!$B$129*Params!$B$24,1)</f>
        <v/>
      </c>
      <c r="BH8" s="4">
        <f>IF(BH$2&lt;=11,Params!$B$111,IF(BH$2&lt;=(Params!$B$25-1),Params!$B$111+(Params!$B$116-Params!$B$111)*(BH$2-11)/((Params!$B$25-1)-11),Params!$B$116*((1+Params!$B$121)/(1+Params!$B$118))^((BH$2-(Params!$B$25-1))/12)))*IF(BH$2&gt;(Params!$B$25-1),1+Params!$B$129*Params!$B$24,1)</f>
        <v/>
      </c>
      <c r="BI8" s="4">
        <f>IF(BI$2&lt;=11,Params!$B$111,IF(BI$2&lt;=(Params!$B$25-1),Params!$B$111+(Params!$B$116-Params!$B$111)*(BI$2-11)/((Params!$B$25-1)-11),Params!$B$116*((1+Params!$B$121)/(1+Params!$B$118))^((BI$2-(Params!$B$25-1))/12)))*IF(BI$2&gt;(Params!$B$25-1),1+Params!$B$129*Params!$B$24,1)</f>
        <v/>
      </c>
      <c r="BJ8" s="4">
        <f>IF(BJ$2&lt;=11,Params!$B$111,IF(BJ$2&lt;=(Params!$B$25-1),Params!$B$111+(Params!$B$116-Params!$B$111)*(BJ$2-11)/((Params!$B$25-1)-11),Params!$B$116*((1+Params!$B$121)/(1+Params!$B$118))^((BJ$2-(Params!$B$25-1))/12)))*IF(BJ$2&gt;(Params!$B$25-1),1+Params!$B$129*Params!$B$24,1)</f>
        <v/>
      </c>
      <c r="BK8" s="4">
        <f>IF(BK$2&lt;=11,Params!$B$111,IF(BK$2&lt;=(Params!$B$25-1),Params!$B$111+(Params!$B$116-Params!$B$111)*(BK$2-11)/((Params!$B$25-1)-11),Params!$B$116*((1+Params!$B$121)/(1+Params!$B$118))^((BK$2-(Params!$B$25-1))/12)))*IF(BK$2&gt;(Params!$B$25-1),1+Params!$B$129*Params!$B$24,1)</f>
        <v/>
      </c>
      <c r="BL8" s="4">
        <f>IF(BL$2&lt;=11,Params!$B$111,IF(BL$2&lt;=(Params!$B$25-1),Params!$B$111+(Params!$B$116-Params!$B$111)*(BL$2-11)/((Params!$B$25-1)-11),Params!$B$116*((1+Params!$B$121)/(1+Params!$B$118))^((BL$2-(Params!$B$25-1))/12)))*IF(BL$2&gt;(Params!$B$25-1),1+Params!$B$129*Params!$B$24,1)</f>
        <v/>
      </c>
      <c r="BM8" s="4">
        <f>IF(BM$2&lt;=11,Params!$B$111,IF(BM$2&lt;=(Params!$B$25-1),Params!$B$111+(Params!$B$116-Params!$B$111)*(BM$2-11)/((Params!$B$25-1)-11),Params!$B$116*((1+Params!$B$121)/(1+Params!$B$118))^((BM$2-(Params!$B$25-1))/12)))*IF(BM$2&gt;(Params!$B$25-1),1+Params!$B$129*Params!$B$24,1)</f>
        <v/>
      </c>
      <c r="BN8" s="4">
        <f>IF(BN$2&lt;=11,Params!$B$111,IF(BN$2&lt;=(Params!$B$25-1),Params!$B$111+(Params!$B$116-Params!$B$111)*(BN$2-11)/((Params!$B$25-1)-11),Params!$B$116*((1+Params!$B$121)/(1+Params!$B$118))^((BN$2-(Params!$B$25-1))/12)))*IF(BN$2&gt;(Params!$B$25-1),1+Params!$B$129*Params!$B$24,1)</f>
        <v/>
      </c>
      <c r="BO8" s="4">
        <f>IF(BO$2&lt;=11,Params!$B$111,IF(BO$2&lt;=(Params!$B$25-1),Params!$B$111+(Params!$B$116-Params!$B$111)*(BO$2-11)/((Params!$B$25-1)-11),Params!$B$116*((1+Params!$B$121)/(1+Params!$B$118))^((BO$2-(Params!$B$25-1))/12)))*IF(BO$2&gt;(Params!$B$25-1),1+Params!$B$129*Params!$B$24,1)</f>
        <v/>
      </c>
      <c r="BP8" s="4">
        <f>IF(BP$2&lt;=11,Params!$B$111,IF(BP$2&lt;=(Params!$B$25-1),Params!$B$111+(Params!$B$116-Params!$B$111)*(BP$2-11)/((Params!$B$25-1)-11),Params!$B$116*((1+Params!$B$121)/(1+Params!$B$118))^((BP$2-(Params!$B$25-1))/12)))*IF(BP$2&gt;(Params!$B$25-1),1+Params!$B$129*Params!$B$24,1)</f>
        <v/>
      </c>
      <c r="BQ8" s="4">
        <f>IF(BQ$2&lt;=11,Params!$B$111,IF(BQ$2&lt;=(Params!$B$25-1),Params!$B$111+(Params!$B$116-Params!$B$111)*(BQ$2-11)/((Params!$B$25-1)-11),Params!$B$116*((1+Params!$B$121)/(1+Params!$B$118))^((BQ$2-(Params!$B$25-1))/12)))*IF(BQ$2&gt;(Params!$B$25-1),1+Params!$B$129*Params!$B$24,1)</f>
        <v/>
      </c>
      <c r="BR8" s="4">
        <f>IF(BR$2&lt;=11,Params!$B$111,IF(BR$2&lt;=(Params!$B$25-1),Params!$B$111+(Params!$B$116-Params!$B$111)*(BR$2-11)/((Params!$B$25-1)-11),Params!$B$116*((1+Params!$B$121)/(1+Params!$B$118))^((BR$2-(Params!$B$25-1))/12)))*IF(BR$2&gt;(Params!$B$25-1),1+Params!$B$129*Params!$B$24,1)</f>
        <v/>
      </c>
      <c r="BS8" s="4">
        <f>IF(BS$2&lt;=11,Params!$B$111,IF(BS$2&lt;=(Params!$B$25-1),Params!$B$111+(Params!$B$116-Params!$B$111)*(BS$2-11)/((Params!$B$25-1)-11),Params!$B$116*((1+Params!$B$121)/(1+Params!$B$118))^((BS$2-(Params!$B$25-1))/12)))*IF(BS$2&gt;(Params!$B$25-1),1+Params!$B$129*Params!$B$24,1)</f>
        <v/>
      </c>
      <c r="BT8" s="4">
        <f>IF(BT$2&lt;=11,Params!$B$111,IF(BT$2&lt;=(Params!$B$25-1),Params!$B$111+(Params!$B$116-Params!$B$111)*(BT$2-11)/((Params!$B$25-1)-11),Params!$B$116*((1+Params!$B$121)/(1+Params!$B$118))^((BT$2-(Params!$B$25-1))/12)))*IF(BT$2&gt;(Params!$B$25-1),1+Params!$B$129*Params!$B$24,1)</f>
        <v/>
      </c>
      <c r="BU8" s="4">
        <f>IF(BU$2&lt;=11,Params!$B$111,IF(BU$2&lt;=(Params!$B$25-1),Params!$B$111+(Params!$B$116-Params!$B$111)*(BU$2-11)/((Params!$B$25-1)-11),Params!$B$116*((1+Params!$B$121)/(1+Params!$B$118))^((BU$2-(Params!$B$25-1))/12)))*IF(BU$2&gt;(Params!$B$25-1),1+Params!$B$129*Params!$B$24,1)</f>
        <v/>
      </c>
      <c r="BV8" s="4">
        <f>IF(BV$2&lt;=11,Params!$B$111,IF(BV$2&lt;=(Params!$B$25-1),Params!$B$111+(Params!$B$116-Params!$B$111)*(BV$2-11)/((Params!$B$25-1)-11),Params!$B$116*((1+Params!$B$121)/(1+Params!$B$118))^((BV$2-(Params!$B$25-1))/12)))*IF(BV$2&gt;(Params!$B$25-1),1+Params!$B$129*Params!$B$24,1)</f>
        <v/>
      </c>
    </row>
    <row r="9">
      <c r="A9" t="inlineStr">
        <is>
          <t>rate (local per USD)</t>
        </is>
      </c>
      <c r="B9" t="inlineStr">
        <is>
          <t>INR</t>
        </is>
      </c>
      <c r="C9" s="4">
        <f>IF(C$2&lt;=11,Params!$B$112,IF(C$2&lt;=(Params!$B$25-1),Params!$B$112+(Params!$B$117-Params!$B$112)*(C$2-11)/((Params!$B$25-1)-11),Params!$B$117*((1+Params!$B$122)/(1+Params!$B$118))^((C$2-(Params!$B$25-1))/12)))*IF(C$2&gt;(Params!$B$25-1),1+Params!$B$129*Params!$B$24,1)</f>
        <v/>
      </c>
      <c r="D9" s="4">
        <f>IF(D$2&lt;=11,Params!$B$112,IF(D$2&lt;=(Params!$B$25-1),Params!$B$112+(Params!$B$117-Params!$B$112)*(D$2-11)/((Params!$B$25-1)-11),Params!$B$117*((1+Params!$B$122)/(1+Params!$B$118))^((D$2-(Params!$B$25-1))/12)))*IF(D$2&gt;(Params!$B$25-1),1+Params!$B$129*Params!$B$24,1)</f>
        <v/>
      </c>
      <c r="E9" s="4">
        <f>IF(E$2&lt;=11,Params!$B$112,IF(E$2&lt;=(Params!$B$25-1),Params!$B$112+(Params!$B$117-Params!$B$112)*(E$2-11)/((Params!$B$25-1)-11),Params!$B$117*((1+Params!$B$122)/(1+Params!$B$118))^((E$2-(Params!$B$25-1))/12)))*IF(E$2&gt;(Params!$B$25-1),1+Params!$B$129*Params!$B$24,1)</f>
        <v/>
      </c>
      <c r="F9" s="4">
        <f>IF(F$2&lt;=11,Params!$B$112,IF(F$2&lt;=(Params!$B$25-1),Params!$B$112+(Params!$B$117-Params!$B$112)*(F$2-11)/((Params!$B$25-1)-11),Params!$B$117*((1+Params!$B$122)/(1+Params!$B$118))^((F$2-(Params!$B$25-1))/12)))*IF(F$2&gt;(Params!$B$25-1),1+Params!$B$129*Params!$B$24,1)</f>
        <v/>
      </c>
      <c r="G9" s="4">
        <f>IF(G$2&lt;=11,Params!$B$112,IF(G$2&lt;=(Params!$B$25-1),Params!$B$112+(Params!$B$117-Params!$B$112)*(G$2-11)/((Params!$B$25-1)-11),Params!$B$117*((1+Params!$B$122)/(1+Params!$B$118))^((G$2-(Params!$B$25-1))/12)))*IF(G$2&gt;(Params!$B$25-1),1+Params!$B$129*Params!$B$24,1)</f>
        <v/>
      </c>
      <c r="H9" s="4">
        <f>IF(H$2&lt;=11,Params!$B$112,IF(H$2&lt;=(Params!$B$25-1),Params!$B$112+(Params!$B$117-Params!$B$112)*(H$2-11)/((Params!$B$25-1)-11),Params!$B$117*((1+Params!$B$122)/(1+Params!$B$118))^((H$2-(Params!$B$25-1))/12)))*IF(H$2&gt;(Params!$B$25-1),1+Params!$B$129*Params!$B$24,1)</f>
        <v/>
      </c>
      <c r="I9" s="4">
        <f>IF(I$2&lt;=11,Params!$B$112,IF(I$2&lt;=(Params!$B$25-1),Params!$B$112+(Params!$B$117-Params!$B$112)*(I$2-11)/((Params!$B$25-1)-11),Params!$B$117*((1+Params!$B$122)/(1+Params!$B$118))^((I$2-(Params!$B$25-1))/12)))*IF(I$2&gt;(Params!$B$25-1),1+Params!$B$129*Params!$B$24,1)</f>
        <v/>
      </c>
      <c r="J9" s="4">
        <f>IF(J$2&lt;=11,Params!$B$112,IF(J$2&lt;=(Params!$B$25-1),Params!$B$112+(Params!$B$117-Params!$B$112)*(J$2-11)/((Params!$B$25-1)-11),Params!$B$117*((1+Params!$B$122)/(1+Params!$B$118))^((J$2-(Params!$B$25-1))/12)))*IF(J$2&gt;(Params!$B$25-1),1+Params!$B$129*Params!$B$24,1)</f>
        <v/>
      </c>
      <c r="K9" s="4">
        <f>IF(K$2&lt;=11,Params!$B$112,IF(K$2&lt;=(Params!$B$25-1),Params!$B$112+(Params!$B$117-Params!$B$112)*(K$2-11)/((Params!$B$25-1)-11),Params!$B$117*((1+Params!$B$122)/(1+Params!$B$118))^((K$2-(Params!$B$25-1))/12)))*IF(K$2&gt;(Params!$B$25-1),1+Params!$B$129*Params!$B$24,1)</f>
        <v/>
      </c>
      <c r="L9" s="4">
        <f>IF(L$2&lt;=11,Params!$B$112,IF(L$2&lt;=(Params!$B$25-1),Params!$B$112+(Params!$B$117-Params!$B$112)*(L$2-11)/((Params!$B$25-1)-11),Params!$B$117*((1+Params!$B$122)/(1+Params!$B$118))^((L$2-(Params!$B$25-1))/12)))*IF(L$2&gt;(Params!$B$25-1),1+Params!$B$129*Params!$B$24,1)</f>
        <v/>
      </c>
      <c r="M9" s="4">
        <f>IF(M$2&lt;=11,Params!$B$112,IF(M$2&lt;=(Params!$B$25-1),Params!$B$112+(Params!$B$117-Params!$B$112)*(M$2-11)/((Params!$B$25-1)-11),Params!$B$117*((1+Params!$B$122)/(1+Params!$B$118))^((M$2-(Params!$B$25-1))/12)))*IF(M$2&gt;(Params!$B$25-1),1+Params!$B$129*Params!$B$24,1)</f>
        <v/>
      </c>
      <c r="N9" s="4">
        <f>IF(N$2&lt;=11,Params!$B$112,IF(N$2&lt;=(Params!$B$25-1),Params!$B$112+(Params!$B$117-Params!$B$112)*(N$2-11)/((Params!$B$25-1)-11),Params!$B$117*((1+Params!$B$122)/(1+Params!$B$118))^((N$2-(Params!$B$25-1))/12)))*IF(N$2&gt;(Params!$B$25-1),1+Params!$B$129*Params!$B$24,1)</f>
        <v/>
      </c>
      <c r="O9" s="4">
        <f>IF(O$2&lt;=11,Params!$B$112,IF(O$2&lt;=(Params!$B$25-1),Params!$B$112+(Params!$B$117-Params!$B$112)*(O$2-11)/((Params!$B$25-1)-11),Params!$B$117*((1+Params!$B$122)/(1+Params!$B$118))^((O$2-(Params!$B$25-1))/12)))*IF(O$2&gt;(Params!$B$25-1),1+Params!$B$129*Params!$B$24,1)</f>
        <v/>
      </c>
      <c r="P9" s="4">
        <f>IF(P$2&lt;=11,Params!$B$112,IF(P$2&lt;=(Params!$B$25-1),Params!$B$112+(Params!$B$117-Params!$B$112)*(P$2-11)/((Params!$B$25-1)-11),Params!$B$117*((1+Params!$B$122)/(1+Params!$B$118))^((P$2-(Params!$B$25-1))/12)))*IF(P$2&gt;(Params!$B$25-1),1+Params!$B$129*Params!$B$24,1)</f>
        <v/>
      </c>
      <c r="Q9" s="4">
        <f>IF(Q$2&lt;=11,Params!$B$112,IF(Q$2&lt;=(Params!$B$25-1),Params!$B$112+(Params!$B$117-Params!$B$112)*(Q$2-11)/((Params!$B$25-1)-11),Params!$B$117*((1+Params!$B$122)/(1+Params!$B$118))^((Q$2-(Params!$B$25-1))/12)))*IF(Q$2&gt;(Params!$B$25-1),1+Params!$B$129*Params!$B$24,1)</f>
        <v/>
      </c>
      <c r="R9" s="4">
        <f>IF(R$2&lt;=11,Params!$B$112,IF(R$2&lt;=(Params!$B$25-1),Params!$B$112+(Params!$B$117-Params!$B$112)*(R$2-11)/((Params!$B$25-1)-11),Params!$B$117*((1+Params!$B$122)/(1+Params!$B$118))^((R$2-(Params!$B$25-1))/12)))*IF(R$2&gt;(Params!$B$25-1),1+Params!$B$129*Params!$B$24,1)</f>
        <v/>
      </c>
      <c r="S9" s="4">
        <f>IF(S$2&lt;=11,Params!$B$112,IF(S$2&lt;=(Params!$B$25-1),Params!$B$112+(Params!$B$117-Params!$B$112)*(S$2-11)/((Params!$B$25-1)-11),Params!$B$117*((1+Params!$B$122)/(1+Params!$B$118))^((S$2-(Params!$B$25-1))/12)))*IF(S$2&gt;(Params!$B$25-1),1+Params!$B$129*Params!$B$24,1)</f>
        <v/>
      </c>
      <c r="T9" s="4">
        <f>IF(T$2&lt;=11,Params!$B$112,IF(T$2&lt;=(Params!$B$25-1),Params!$B$112+(Params!$B$117-Params!$B$112)*(T$2-11)/((Params!$B$25-1)-11),Params!$B$117*((1+Params!$B$122)/(1+Params!$B$118))^((T$2-(Params!$B$25-1))/12)))*IF(T$2&gt;(Params!$B$25-1),1+Params!$B$129*Params!$B$24,1)</f>
        <v/>
      </c>
      <c r="U9" s="4">
        <f>IF(U$2&lt;=11,Params!$B$112,IF(U$2&lt;=(Params!$B$25-1),Params!$B$112+(Params!$B$117-Params!$B$112)*(U$2-11)/((Params!$B$25-1)-11),Params!$B$117*((1+Params!$B$122)/(1+Params!$B$118))^((U$2-(Params!$B$25-1))/12)))*IF(U$2&gt;(Params!$B$25-1),1+Params!$B$129*Params!$B$24,1)</f>
        <v/>
      </c>
      <c r="V9" s="4">
        <f>IF(V$2&lt;=11,Params!$B$112,IF(V$2&lt;=(Params!$B$25-1),Params!$B$112+(Params!$B$117-Params!$B$112)*(V$2-11)/((Params!$B$25-1)-11),Params!$B$117*((1+Params!$B$122)/(1+Params!$B$118))^((V$2-(Params!$B$25-1))/12)))*IF(V$2&gt;(Params!$B$25-1),1+Params!$B$129*Params!$B$24,1)</f>
        <v/>
      </c>
      <c r="W9" s="4">
        <f>IF(W$2&lt;=11,Params!$B$112,IF(W$2&lt;=(Params!$B$25-1),Params!$B$112+(Params!$B$117-Params!$B$112)*(W$2-11)/((Params!$B$25-1)-11),Params!$B$117*((1+Params!$B$122)/(1+Params!$B$118))^((W$2-(Params!$B$25-1))/12)))*IF(W$2&gt;(Params!$B$25-1),1+Params!$B$129*Params!$B$24,1)</f>
        <v/>
      </c>
      <c r="X9" s="4">
        <f>IF(X$2&lt;=11,Params!$B$112,IF(X$2&lt;=(Params!$B$25-1),Params!$B$112+(Params!$B$117-Params!$B$112)*(X$2-11)/((Params!$B$25-1)-11),Params!$B$117*((1+Params!$B$122)/(1+Params!$B$118))^((X$2-(Params!$B$25-1))/12)))*IF(X$2&gt;(Params!$B$25-1),1+Params!$B$129*Params!$B$24,1)</f>
        <v/>
      </c>
      <c r="Y9" s="4">
        <f>IF(Y$2&lt;=11,Params!$B$112,IF(Y$2&lt;=(Params!$B$25-1),Params!$B$112+(Params!$B$117-Params!$B$112)*(Y$2-11)/((Params!$B$25-1)-11),Params!$B$117*((1+Params!$B$122)/(1+Params!$B$118))^((Y$2-(Params!$B$25-1))/12)))*IF(Y$2&gt;(Params!$B$25-1),1+Params!$B$129*Params!$B$24,1)</f>
        <v/>
      </c>
      <c r="Z9" s="4">
        <f>IF(Z$2&lt;=11,Params!$B$112,IF(Z$2&lt;=(Params!$B$25-1),Params!$B$112+(Params!$B$117-Params!$B$112)*(Z$2-11)/((Params!$B$25-1)-11),Params!$B$117*((1+Params!$B$122)/(1+Params!$B$118))^((Z$2-(Params!$B$25-1))/12)))*IF(Z$2&gt;(Params!$B$25-1),1+Params!$B$129*Params!$B$24,1)</f>
        <v/>
      </c>
      <c r="AA9" s="4">
        <f>IF(AA$2&lt;=11,Params!$B$112,IF(AA$2&lt;=(Params!$B$25-1),Params!$B$112+(Params!$B$117-Params!$B$112)*(AA$2-11)/((Params!$B$25-1)-11),Params!$B$117*((1+Params!$B$122)/(1+Params!$B$118))^((AA$2-(Params!$B$25-1))/12)))*IF(AA$2&gt;(Params!$B$25-1),1+Params!$B$129*Params!$B$24,1)</f>
        <v/>
      </c>
      <c r="AB9" s="4">
        <f>IF(AB$2&lt;=11,Params!$B$112,IF(AB$2&lt;=(Params!$B$25-1),Params!$B$112+(Params!$B$117-Params!$B$112)*(AB$2-11)/((Params!$B$25-1)-11),Params!$B$117*((1+Params!$B$122)/(1+Params!$B$118))^((AB$2-(Params!$B$25-1))/12)))*IF(AB$2&gt;(Params!$B$25-1),1+Params!$B$129*Params!$B$24,1)</f>
        <v/>
      </c>
      <c r="AC9" s="4">
        <f>IF(AC$2&lt;=11,Params!$B$112,IF(AC$2&lt;=(Params!$B$25-1),Params!$B$112+(Params!$B$117-Params!$B$112)*(AC$2-11)/((Params!$B$25-1)-11),Params!$B$117*((1+Params!$B$122)/(1+Params!$B$118))^((AC$2-(Params!$B$25-1))/12)))*IF(AC$2&gt;(Params!$B$25-1),1+Params!$B$129*Params!$B$24,1)</f>
        <v/>
      </c>
      <c r="AD9" s="4">
        <f>IF(AD$2&lt;=11,Params!$B$112,IF(AD$2&lt;=(Params!$B$25-1),Params!$B$112+(Params!$B$117-Params!$B$112)*(AD$2-11)/((Params!$B$25-1)-11),Params!$B$117*((1+Params!$B$122)/(1+Params!$B$118))^((AD$2-(Params!$B$25-1))/12)))*IF(AD$2&gt;(Params!$B$25-1),1+Params!$B$129*Params!$B$24,1)</f>
        <v/>
      </c>
      <c r="AE9" s="4">
        <f>IF(AE$2&lt;=11,Params!$B$112,IF(AE$2&lt;=(Params!$B$25-1),Params!$B$112+(Params!$B$117-Params!$B$112)*(AE$2-11)/((Params!$B$25-1)-11),Params!$B$117*((1+Params!$B$122)/(1+Params!$B$118))^((AE$2-(Params!$B$25-1))/12)))*IF(AE$2&gt;(Params!$B$25-1),1+Params!$B$129*Params!$B$24,1)</f>
        <v/>
      </c>
      <c r="AF9" s="4">
        <f>IF(AF$2&lt;=11,Params!$B$112,IF(AF$2&lt;=(Params!$B$25-1),Params!$B$112+(Params!$B$117-Params!$B$112)*(AF$2-11)/((Params!$B$25-1)-11),Params!$B$117*((1+Params!$B$122)/(1+Params!$B$118))^((AF$2-(Params!$B$25-1))/12)))*IF(AF$2&gt;(Params!$B$25-1),1+Params!$B$129*Params!$B$24,1)</f>
        <v/>
      </c>
      <c r="AG9" s="4">
        <f>IF(AG$2&lt;=11,Params!$B$112,IF(AG$2&lt;=(Params!$B$25-1),Params!$B$112+(Params!$B$117-Params!$B$112)*(AG$2-11)/((Params!$B$25-1)-11),Params!$B$117*((1+Params!$B$122)/(1+Params!$B$118))^((AG$2-(Params!$B$25-1))/12)))*IF(AG$2&gt;(Params!$B$25-1),1+Params!$B$129*Params!$B$24,1)</f>
        <v/>
      </c>
      <c r="AH9" s="4">
        <f>IF(AH$2&lt;=11,Params!$B$112,IF(AH$2&lt;=(Params!$B$25-1),Params!$B$112+(Params!$B$117-Params!$B$112)*(AH$2-11)/((Params!$B$25-1)-11),Params!$B$117*((1+Params!$B$122)/(1+Params!$B$118))^((AH$2-(Params!$B$25-1))/12)))*IF(AH$2&gt;(Params!$B$25-1),1+Params!$B$129*Params!$B$24,1)</f>
        <v/>
      </c>
      <c r="AI9" s="4">
        <f>IF(AI$2&lt;=11,Params!$B$112,IF(AI$2&lt;=(Params!$B$25-1),Params!$B$112+(Params!$B$117-Params!$B$112)*(AI$2-11)/((Params!$B$25-1)-11),Params!$B$117*((1+Params!$B$122)/(1+Params!$B$118))^((AI$2-(Params!$B$25-1))/12)))*IF(AI$2&gt;(Params!$B$25-1),1+Params!$B$129*Params!$B$24,1)</f>
        <v/>
      </c>
      <c r="AJ9" s="4">
        <f>IF(AJ$2&lt;=11,Params!$B$112,IF(AJ$2&lt;=(Params!$B$25-1),Params!$B$112+(Params!$B$117-Params!$B$112)*(AJ$2-11)/((Params!$B$25-1)-11),Params!$B$117*((1+Params!$B$122)/(1+Params!$B$118))^((AJ$2-(Params!$B$25-1))/12)))*IF(AJ$2&gt;(Params!$B$25-1),1+Params!$B$129*Params!$B$24,1)</f>
        <v/>
      </c>
      <c r="AK9" s="4">
        <f>IF(AK$2&lt;=11,Params!$B$112,IF(AK$2&lt;=(Params!$B$25-1),Params!$B$112+(Params!$B$117-Params!$B$112)*(AK$2-11)/((Params!$B$25-1)-11),Params!$B$117*((1+Params!$B$122)/(1+Params!$B$118))^((AK$2-(Params!$B$25-1))/12)))*IF(AK$2&gt;(Params!$B$25-1),1+Params!$B$129*Params!$B$24,1)</f>
        <v/>
      </c>
      <c r="AL9" s="4">
        <f>IF(AL$2&lt;=11,Params!$B$112,IF(AL$2&lt;=(Params!$B$25-1),Params!$B$112+(Params!$B$117-Params!$B$112)*(AL$2-11)/((Params!$B$25-1)-11),Params!$B$117*((1+Params!$B$122)/(1+Params!$B$118))^((AL$2-(Params!$B$25-1))/12)))*IF(AL$2&gt;(Params!$B$25-1),1+Params!$B$129*Params!$B$24,1)</f>
        <v/>
      </c>
      <c r="AM9" s="4">
        <f>IF(AM$2&lt;=11,Params!$B$112,IF(AM$2&lt;=(Params!$B$25-1),Params!$B$112+(Params!$B$117-Params!$B$112)*(AM$2-11)/((Params!$B$25-1)-11),Params!$B$117*((1+Params!$B$122)/(1+Params!$B$118))^((AM$2-(Params!$B$25-1))/12)))*IF(AM$2&gt;(Params!$B$25-1),1+Params!$B$129*Params!$B$24,1)</f>
        <v/>
      </c>
      <c r="AN9" s="4">
        <f>IF(AN$2&lt;=11,Params!$B$112,IF(AN$2&lt;=(Params!$B$25-1),Params!$B$112+(Params!$B$117-Params!$B$112)*(AN$2-11)/((Params!$B$25-1)-11),Params!$B$117*((1+Params!$B$122)/(1+Params!$B$118))^((AN$2-(Params!$B$25-1))/12)))*IF(AN$2&gt;(Params!$B$25-1),1+Params!$B$129*Params!$B$24,1)</f>
        <v/>
      </c>
      <c r="AO9" s="4">
        <f>IF(AO$2&lt;=11,Params!$B$112,IF(AO$2&lt;=(Params!$B$25-1),Params!$B$112+(Params!$B$117-Params!$B$112)*(AO$2-11)/((Params!$B$25-1)-11),Params!$B$117*((1+Params!$B$122)/(1+Params!$B$118))^((AO$2-(Params!$B$25-1))/12)))*IF(AO$2&gt;(Params!$B$25-1),1+Params!$B$129*Params!$B$24,1)</f>
        <v/>
      </c>
      <c r="AP9" s="4">
        <f>IF(AP$2&lt;=11,Params!$B$112,IF(AP$2&lt;=(Params!$B$25-1),Params!$B$112+(Params!$B$117-Params!$B$112)*(AP$2-11)/((Params!$B$25-1)-11),Params!$B$117*((1+Params!$B$122)/(1+Params!$B$118))^((AP$2-(Params!$B$25-1))/12)))*IF(AP$2&gt;(Params!$B$25-1),1+Params!$B$129*Params!$B$24,1)</f>
        <v/>
      </c>
      <c r="AQ9" s="4">
        <f>IF(AQ$2&lt;=11,Params!$B$112,IF(AQ$2&lt;=(Params!$B$25-1),Params!$B$112+(Params!$B$117-Params!$B$112)*(AQ$2-11)/((Params!$B$25-1)-11),Params!$B$117*((1+Params!$B$122)/(1+Params!$B$118))^((AQ$2-(Params!$B$25-1))/12)))*IF(AQ$2&gt;(Params!$B$25-1),1+Params!$B$129*Params!$B$24,1)</f>
        <v/>
      </c>
      <c r="AR9" s="4">
        <f>IF(AR$2&lt;=11,Params!$B$112,IF(AR$2&lt;=(Params!$B$25-1),Params!$B$112+(Params!$B$117-Params!$B$112)*(AR$2-11)/((Params!$B$25-1)-11),Params!$B$117*((1+Params!$B$122)/(1+Params!$B$118))^((AR$2-(Params!$B$25-1))/12)))*IF(AR$2&gt;(Params!$B$25-1),1+Params!$B$129*Params!$B$24,1)</f>
        <v/>
      </c>
      <c r="AS9" s="4">
        <f>IF(AS$2&lt;=11,Params!$B$112,IF(AS$2&lt;=(Params!$B$25-1),Params!$B$112+(Params!$B$117-Params!$B$112)*(AS$2-11)/((Params!$B$25-1)-11),Params!$B$117*((1+Params!$B$122)/(1+Params!$B$118))^((AS$2-(Params!$B$25-1))/12)))*IF(AS$2&gt;(Params!$B$25-1),1+Params!$B$129*Params!$B$24,1)</f>
        <v/>
      </c>
      <c r="AT9" s="4">
        <f>IF(AT$2&lt;=11,Params!$B$112,IF(AT$2&lt;=(Params!$B$25-1),Params!$B$112+(Params!$B$117-Params!$B$112)*(AT$2-11)/((Params!$B$25-1)-11),Params!$B$117*((1+Params!$B$122)/(1+Params!$B$118))^((AT$2-(Params!$B$25-1))/12)))*IF(AT$2&gt;(Params!$B$25-1),1+Params!$B$129*Params!$B$24,1)</f>
        <v/>
      </c>
      <c r="AU9" s="4">
        <f>IF(AU$2&lt;=11,Params!$B$112,IF(AU$2&lt;=(Params!$B$25-1),Params!$B$112+(Params!$B$117-Params!$B$112)*(AU$2-11)/((Params!$B$25-1)-11),Params!$B$117*((1+Params!$B$122)/(1+Params!$B$118))^((AU$2-(Params!$B$25-1))/12)))*IF(AU$2&gt;(Params!$B$25-1),1+Params!$B$129*Params!$B$24,1)</f>
        <v/>
      </c>
      <c r="AV9" s="4">
        <f>IF(AV$2&lt;=11,Params!$B$112,IF(AV$2&lt;=(Params!$B$25-1),Params!$B$112+(Params!$B$117-Params!$B$112)*(AV$2-11)/((Params!$B$25-1)-11),Params!$B$117*((1+Params!$B$122)/(1+Params!$B$118))^((AV$2-(Params!$B$25-1))/12)))*IF(AV$2&gt;(Params!$B$25-1),1+Params!$B$129*Params!$B$24,1)</f>
        <v/>
      </c>
      <c r="AW9" s="4">
        <f>IF(AW$2&lt;=11,Params!$B$112,IF(AW$2&lt;=(Params!$B$25-1),Params!$B$112+(Params!$B$117-Params!$B$112)*(AW$2-11)/((Params!$B$25-1)-11),Params!$B$117*((1+Params!$B$122)/(1+Params!$B$118))^((AW$2-(Params!$B$25-1))/12)))*IF(AW$2&gt;(Params!$B$25-1),1+Params!$B$129*Params!$B$24,1)</f>
        <v/>
      </c>
      <c r="AX9" s="4">
        <f>IF(AX$2&lt;=11,Params!$B$112,IF(AX$2&lt;=(Params!$B$25-1),Params!$B$112+(Params!$B$117-Params!$B$112)*(AX$2-11)/((Params!$B$25-1)-11),Params!$B$117*((1+Params!$B$122)/(1+Params!$B$118))^((AX$2-(Params!$B$25-1))/12)))*IF(AX$2&gt;(Params!$B$25-1),1+Params!$B$129*Params!$B$24,1)</f>
        <v/>
      </c>
      <c r="AY9" s="4">
        <f>IF(AY$2&lt;=11,Params!$B$112,IF(AY$2&lt;=(Params!$B$25-1),Params!$B$112+(Params!$B$117-Params!$B$112)*(AY$2-11)/((Params!$B$25-1)-11),Params!$B$117*((1+Params!$B$122)/(1+Params!$B$118))^((AY$2-(Params!$B$25-1))/12)))*IF(AY$2&gt;(Params!$B$25-1),1+Params!$B$129*Params!$B$24,1)</f>
        <v/>
      </c>
      <c r="AZ9" s="4">
        <f>IF(AZ$2&lt;=11,Params!$B$112,IF(AZ$2&lt;=(Params!$B$25-1),Params!$B$112+(Params!$B$117-Params!$B$112)*(AZ$2-11)/((Params!$B$25-1)-11),Params!$B$117*((1+Params!$B$122)/(1+Params!$B$118))^((AZ$2-(Params!$B$25-1))/12)))*IF(AZ$2&gt;(Params!$B$25-1),1+Params!$B$129*Params!$B$24,1)</f>
        <v/>
      </c>
      <c r="BA9" s="4">
        <f>IF(BA$2&lt;=11,Params!$B$112,IF(BA$2&lt;=(Params!$B$25-1),Params!$B$112+(Params!$B$117-Params!$B$112)*(BA$2-11)/((Params!$B$25-1)-11),Params!$B$117*((1+Params!$B$122)/(1+Params!$B$118))^((BA$2-(Params!$B$25-1))/12)))*IF(BA$2&gt;(Params!$B$25-1),1+Params!$B$129*Params!$B$24,1)</f>
        <v/>
      </c>
      <c r="BB9" s="4">
        <f>IF(BB$2&lt;=11,Params!$B$112,IF(BB$2&lt;=(Params!$B$25-1),Params!$B$112+(Params!$B$117-Params!$B$112)*(BB$2-11)/((Params!$B$25-1)-11),Params!$B$117*((1+Params!$B$122)/(1+Params!$B$118))^((BB$2-(Params!$B$25-1))/12)))*IF(BB$2&gt;(Params!$B$25-1),1+Params!$B$129*Params!$B$24,1)</f>
        <v/>
      </c>
      <c r="BC9" s="4">
        <f>IF(BC$2&lt;=11,Params!$B$112,IF(BC$2&lt;=(Params!$B$25-1),Params!$B$112+(Params!$B$117-Params!$B$112)*(BC$2-11)/((Params!$B$25-1)-11),Params!$B$117*((1+Params!$B$122)/(1+Params!$B$118))^((BC$2-(Params!$B$25-1))/12)))*IF(BC$2&gt;(Params!$B$25-1),1+Params!$B$129*Params!$B$24,1)</f>
        <v/>
      </c>
      <c r="BD9" s="4">
        <f>IF(BD$2&lt;=11,Params!$B$112,IF(BD$2&lt;=(Params!$B$25-1),Params!$B$112+(Params!$B$117-Params!$B$112)*(BD$2-11)/((Params!$B$25-1)-11),Params!$B$117*((1+Params!$B$122)/(1+Params!$B$118))^((BD$2-(Params!$B$25-1))/12)))*IF(BD$2&gt;(Params!$B$25-1),1+Params!$B$129*Params!$B$24,1)</f>
        <v/>
      </c>
      <c r="BE9" s="4">
        <f>IF(BE$2&lt;=11,Params!$B$112,IF(BE$2&lt;=(Params!$B$25-1),Params!$B$112+(Params!$B$117-Params!$B$112)*(BE$2-11)/((Params!$B$25-1)-11),Params!$B$117*((1+Params!$B$122)/(1+Params!$B$118))^((BE$2-(Params!$B$25-1))/12)))*IF(BE$2&gt;(Params!$B$25-1),1+Params!$B$129*Params!$B$24,1)</f>
        <v/>
      </c>
      <c r="BF9" s="4">
        <f>IF(BF$2&lt;=11,Params!$B$112,IF(BF$2&lt;=(Params!$B$25-1),Params!$B$112+(Params!$B$117-Params!$B$112)*(BF$2-11)/((Params!$B$25-1)-11),Params!$B$117*((1+Params!$B$122)/(1+Params!$B$118))^((BF$2-(Params!$B$25-1))/12)))*IF(BF$2&gt;(Params!$B$25-1),1+Params!$B$129*Params!$B$24,1)</f>
        <v/>
      </c>
      <c r="BG9" s="4">
        <f>IF(BG$2&lt;=11,Params!$B$112,IF(BG$2&lt;=(Params!$B$25-1),Params!$B$112+(Params!$B$117-Params!$B$112)*(BG$2-11)/((Params!$B$25-1)-11),Params!$B$117*((1+Params!$B$122)/(1+Params!$B$118))^((BG$2-(Params!$B$25-1))/12)))*IF(BG$2&gt;(Params!$B$25-1),1+Params!$B$129*Params!$B$24,1)</f>
        <v/>
      </c>
      <c r="BH9" s="4">
        <f>IF(BH$2&lt;=11,Params!$B$112,IF(BH$2&lt;=(Params!$B$25-1),Params!$B$112+(Params!$B$117-Params!$B$112)*(BH$2-11)/((Params!$B$25-1)-11),Params!$B$117*((1+Params!$B$122)/(1+Params!$B$118))^((BH$2-(Params!$B$25-1))/12)))*IF(BH$2&gt;(Params!$B$25-1),1+Params!$B$129*Params!$B$24,1)</f>
        <v/>
      </c>
      <c r="BI9" s="4">
        <f>IF(BI$2&lt;=11,Params!$B$112,IF(BI$2&lt;=(Params!$B$25-1),Params!$B$112+(Params!$B$117-Params!$B$112)*(BI$2-11)/((Params!$B$25-1)-11),Params!$B$117*((1+Params!$B$122)/(1+Params!$B$118))^((BI$2-(Params!$B$25-1))/12)))*IF(BI$2&gt;(Params!$B$25-1),1+Params!$B$129*Params!$B$24,1)</f>
        <v/>
      </c>
      <c r="BJ9" s="4">
        <f>IF(BJ$2&lt;=11,Params!$B$112,IF(BJ$2&lt;=(Params!$B$25-1),Params!$B$112+(Params!$B$117-Params!$B$112)*(BJ$2-11)/((Params!$B$25-1)-11),Params!$B$117*((1+Params!$B$122)/(1+Params!$B$118))^((BJ$2-(Params!$B$25-1))/12)))*IF(BJ$2&gt;(Params!$B$25-1),1+Params!$B$129*Params!$B$24,1)</f>
        <v/>
      </c>
      <c r="BK9" s="4">
        <f>IF(BK$2&lt;=11,Params!$B$112,IF(BK$2&lt;=(Params!$B$25-1),Params!$B$112+(Params!$B$117-Params!$B$112)*(BK$2-11)/((Params!$B$25-1)-11),Params!$B$117*((1+Params!$B$122)/(1+Params!$B$118))^((BK$2-(Params!$B$25-1))/12)))*IF(BK$2&gt;(Params!$B$25-1),1+Params!$B$129*Params!$B$24,1)</f>
        <v/>
      </c>
      <c r="BL9" s="4">
        <f>IF(BL$2&lt;=11,Params!$B$112,IF(BL$2&lt;=(Params!$B$25-1),Params!$B$112+(Params!$B$117-Params!$B$112)*(BL$2-11)/((Params!$B$25-1)-11),Params!$B$117*((1+Params!$B$122)/(1+Params!$B$118))^((BL$2-(Params!$B$25-1))/12)))*IF(BL$2&gt;(Params!$B$25-1),1+Params!$B$129*Params!$B$24,1)</f>
        <v/>
      </c>
      <c r="BM9" s="4">
        <f>IF(BM$2&lt;=11,Params!$B$112,IF(BM$2&lt;=(Params!$B$25-1),Params!$B$112+(Params!$B$117-Params!$B$112)*(BM$2-11)/((Params!$B$25-1)-11),Params!$B$117*((1+Params!$B$122)/(1+Params!$B$118))^((BM$2-(Params!$B$25-1))/12)))*IF(BM$2&gt;(Params!$B$25-1),1+Params!$B$129*Params!$B$24,1)</f>
        <v/>
      </c>
      <c r="BN9" s="4">
        <f>IF(BN$2&lt;=11,Params!$B$112,IF(BN$2&lt;=(Params!$B$25-1),Params!$B$112+(Params!$B$117-Params!$B$112)*(BN$2-11)/((Params!$B$25-1)-11),Params!$B$117*((1+Params!$B$122)/(1+Params!$B$118))^((BN$2-(Params!$B$25-1))/12)))*IF(BN$2&gt;(Params!$B$25-1),1+Params!$B$129*Params!$B$24,1)</f>
        <v/>
      </c>
      <c r="BO9" s="4">
        <f>IF(BO$2&lt;=11,Params!$B$112,IF(BO$2&lt;=(Params!$B$25-1),Params!$B$112+(Params!$B$117-Params!$B$112)*(BO$2-11)/((Params!$B$25-1)-11),Params!$B$117*((1+Params!$B$122)/(1+Params!$B$118))^((BO$2-(Params!$B$25-1))/12)))*IF(BO$2&gt;(Params!$B$25-1),1+Params!$B$129*Params!$B$24,1)</f>
        <v/>
      </c>
      <c r="BP9" s="4">
        <f>IF(BP$2&lt;=11,Params!$B$112,IF(BP$2&lt;=(Params!$B$25-1),Params!$B$112+(Params!$B$117-Params!$B$112)*(BP$2-11)/((Params!$B$25-1)-11),Params!$B$117*((1+Params!$B$122)/(1+Params!$B$118))^((BP$2-(Params!$B$25-1))/12)))*IF(BP$2&gt;(Params!$B$25-1),1+Params!$B$129*Params!$B$24,1)</f>
        <v/>
      </c>
      <c r="BQ9" s="4">
        <f>IF(BQ$2&lt;=11,Params!$B$112,IF(BQ$2&lt;=(Params!$B$25-1),Params!$B$112+(Params!$B$117-Params!$B$112)*(BQ$2-11)/((Params!$B$25-1)-11),Params!$B$117*((1+Params!$B$122)/(1+Params!$B$118))^((BQ$2-(Params!$B$25-1))/12)))*IF(BQ$2&gt;(Params!$B$25-1),1+Params!$B$129*Params!$B$24,1)</f>
        <v/>
      </c>
      <c r="BR9" s="4">
        <f>IF(BR$2&lt;=11,Params!$B$112,IF(BR$2&lt;=(Params!$B$25-1),Params!$B$112+(Params!$B$117-Params!$B$112)*(BR$2-11)/((Params!$B$25-1)-11),Params!$B$117*((1+Params!$B$122)/(1+Params!$B$118))^((BR$2-(Params!$B$25-1))/12)))*IF(BR$2&gt;(Params!$B$25-1),1+Params!$B$129*Params!$B$24,1)</f>
        <v/>
      </c>
      <c r="BS9" s="4">
        <f>IF(BS$2&lt;=11,Params!$B$112,IF(BS$2&lt;=(Params!$B$25-1),Params!$B$112+(Params!$B$117-Params!$B$112)*(BS$2-11)/((Params!$B$25-1)-11),Params!$B$117*((1+Params!$B$122)/(1+Params!$B$118))^((BS$2-(Params!$B$25-1))/12)))*IF(BS$2&gt;(Params!$B$25-1),1+Params!$B$129*Params!$B$24,1)</f>
        <v/>
      </c>
      <c r="BT9" s="4">
        <f>IF(BT$2&lt;=11,Params!$B$112,IF(BT$2&lt;=(Params!$B$25-1),Params!$B$112+(Params!$B$117-Params!$B$112)*(BT$2-11)/((Params!$B$25-1)-11),Params!$B$117*((1+Params!$B$122)/(1+Params!$B$118))^((BT$2-(Params!$B$25-1))/12)))*IF(BT$2&gt;(Params!$B$25-1),1+Params!$B$129*Params!$B$24,1)</f>
        <v/>
      </c>
      <c r="BU9" s="4">
        <f>IF(BU$2&lt;=11,Params!$B$112,IF(BU$2&lt;=(Params!$B$25-1),Params!$B$112+(Params!$B$117-Params!$B$112)*(BU$2-11)/((Params!$B$25-1)-11),Params!$B$117*((1+Params!$B$122)/(1+Params!$B$118))^((BU$2-(Params!$B$25-1))/12)))*IF(BU$2&gt;(Params!$B$25-1),1+Params!$B$129*Params!$B$24,1)</f>
        <v/>
      </c>
      <c r="BV9" s="4">
        <f>IF(BV$2&lt;=11,Params!$B$112,IF(BV$2&lt;=(Params!$B$25-1),Params!$B$112+(Params!$B$117-Params!$B$112)*(BV$2-11)/((Params!$B$25-1)-11),Params!$B$117*((1+Params!$B$122)/(1+Params!$B$118))^((BV$2-(Params!$B$25-1))/12)))*IF(BV$2&gt;(Params!$B$25-1),1+Params!$B$129*Params!$B$24,1)</f>
        <v/>
      </c>
    </row>
    <row r="11">
      <c r="A11" t="inlineStr">
        <is>
          <t>FX index: USD value of local-currency prices vs FY2025 average (1.0 in FY2025).</t>
        </is>
      </c>
    </row>
    <row r="12">
      <c r="A12" t="inlineStr">
        <is>
          <t>FX index</t>
        </is>
      </c>
      <c r="B12" t="inlineStr">
        <is>
          <t>US_CA</t>
        </is>
      </c>
      <c r="C12" s="4">
        <f>Params!$B$123*Params!$B$108/C5</f>
        <v/>
      </c>
      <c r="D12" s="4">
        <f>Params!$B$123*Params!$B$108/D5</f>
        <v/>
      </c>
      <c r="E12" s="4">
        <f>Params!$B$123*Params!$B$108/E5</f>
        <v/>
      </c>
      <c r="F12" s="4">
        <f>Params!$B$123*Params!$B$108/F5</f>
        <v/>
      </c>
      <c r="G12" s="4">
        <f>Params!$B$123*Params!$B$108/G5</f>
        <v/>
      </c>
      <c r="H12" s="4">
        <f>Params!$B$123*Params!$B$108/H5</f>
        <v/>
      </c>
      <c r="I12" s="4">
        <f>Params!$B$123*Params!$B$108/I5</f>
        <v/>
      </c>
      <c r="J12" s="4">
        <f>Params!$B$123*Params!$B$108/J5</f>
        <v/>
      </c>
      <c r="K12" s="4">
        <f>Params!$B$123*Params!$B$108/K5</f>
        <v/>
      </c>
      <c r="L12" s="4">
        <f>Params!$B$123*Params!$B$108/L5</f>
        <v/>
      </c>
      <c r="M12" s="4">
        <f>Params!$B$123*Params!$B$108/M5</f>
        <v/>
      </c>
      <c r="N12" s="4">
        <f>Params!$B$123*Params!$B$108/N5</f>
        <v/>
      </c>
      <c r="O12" s="4">
        <f>Params!$B$123*Params!$B$108/O5</f>
        <v/>
      </c>
      <c r="P12" s="4">
        <f>Params!$B$123*Params!$B$108/P5</f>
        <v/>
      </c>
      <c r="Q12" s="4">
        <f>Params!$B$123*Params!$B$108/Q5</f>
        <v/>
      </c>
      <c r="R12" s="4">
        <f>Params!$B$123*Params!$B$108/R5</f>
        <v/>
      </c>
      <c r="S12" s="4">
        <f>Params!$B$123*Params!$B$108/S5</f>
        <v/>
      </c>
      <c r="T12" s="4">
        <f>Params!$B$123*Params!$B$108/T5</f>
        <v/>
      </c>
      <c r="U12" s="4">
        <f>Params!$B$123*Params!$B$108/U5</f>
        <v/>
      </c>
      <c r="V12" s="4">
        <f>Params!$B$123*Params!$B$108/V5</f>
        <v/>
      </c>
      <c r="W12" s="4">
        <f>Params!$B$123*Params!$B$108/W5</f>
        <v/>
      </c>
      <c r="X12" s="4">
        <f>Params!$B$123*Params!$B$108/X5</f>
        <v/>
      </c>
      <c r="Y12" s="4">
        <f>Params!$B$123*Params!$B$108/Y5</f>
        <v/>
      </c>
      <c r="Z12" s="4">
        <f>Params!$B$123*Params!$B$108/Z5</f>
        <v/>
      </c>
      <c r="AA12" s="4">
        <f>Params!$B$123*Params!$B$108/AA5</f>
        <v/>
      </c>
      <c r="AB12" s="4">
        <f>Params!$B$123*Params!$B$108/AB5</f>
        <v/>
      </c>
      <c r="AC12" s="4">
        <f>Params!$B$123*Params!$B$108/AC5</f>
        <v/>
      </c>
      <c r="AD12" s="4">
        <f>Params!$B$123*Params!$B$108/AD5</f>
        <v/>
      </c>
      <c r="AE12" s="4">
        <f>Params!$B$123*Params!$B$108/AE5</f>
        <v/>
      </c>
      <c r="AF12" s="4">
        <f>Params!$B$123*Params!$B$108/AF5</f>
        <v/>
      </c>
      <c r="AG12" s="4">
        <f>Params!$B$123*Params!$B$108/AG5</f>
        <v/>
      </c>
      <c r="AH12" s="4">
        <f>Params!$B$123*Params!$B$108/AH5</f>
        <v/>
      </c>
      <c r="AI12" s="4">
        <f>Params!$B$123*Params!$B$108/AI5</f>
        <v/>
      </c>
      <c r="AJ12" s="4">
        <f>Params!$B$123*Params!$B$108/AJ5</f>
        <v/>
      </c>
      <c r="AK12" s="4">
        <f>Params!$B$123*Params!$B$108/AK5</f>
        <v/>
      </c>
      <c r="AL12" s="4">
        <f>Params!$B$123*Params!$B$108/AL5</f>
        <v/>
      </c>
      <c r="AM12" s="4">
        <f>Params!$B$123*Params!$B$108/AM5</f>
        <v/>
      </c>
      <c r="AN12" s="4">
        <f>Params!$B$123*Params!$B$108/AN5</f>
        <v/>
      </c>
      <c r="AO12" s="4">
        <f>Params!$B$123*Params!$B$108/AO5</f>
        <v/>
      </c>
      <c r="AP12" s="4">
        <f>Params!$B$123*Params!$B$108/AP5</f>
        <v/>
      </c>
      <c r="AQ12" s="4">
        <f>Params!$B$123*Params!$B$108/AQ5</f>
        <v/>
      </c>
      <c r="AR12" s="4">
        <f>Params!$B$123*Params!$B$108/AR5</f>
        <v/>
      </c>
      <c r="AS12" s="4">
        <f>Params!$B$123*Params!$B$108/AS5</f>
        <v/>
      </c>
      <c r="AT12" s="4">
        <f>Params!$B$123*Params!$B$108/AT5</f>
        <v/>
      </c>
      <c r="AU12" s="4">
        <f>Params!$B$123*Params!$B$108/AU5</f>
        <v/>
      </c>
      <c r="AV12" s="4">
        <f>Params!$B$123*Params!$B$108/AV5</f>
        <v/>
      </c>
      <c r="AW12" s="4">
        <f>Params!$B$123*Params!$B$108/AW5</f>
        <v/>
      </c>
      <c r="AX12" s="4">
        <f>Params!$B$123*Params!$B$108/AX5</f>
        <v/>
      </c>
      <c r="AY12" s="4">
        <f>Params!$B$123*Params!$B$108/AY5</f>
        <v/>
      </c>
      <c r="AZ12" s="4">
        <f>Params!$B$123*Params!$B$108/AZ5</f>
        <v/>
      </c>
      <c r="BA12" s="4">
        <f>Params!$B$123*Params!$B$108/BA5</f>
        <v/>
      </c>
      <c r="BB12" s="4">
        <f>Params!$B$123*Params!$B$108/BB5</f>
        <v/>
      </c>
      <c r="BC12" s="4">
        <f>Params!$B$123*Params!$B$108/BC5</f>
        <v/>
      </c>
      <c r="BD12" s="4">
        <f>Params!$B$123*Params!$B$108/BD5</f>
        <v/>
      </c>
      <c r="BE12" s="4">
        <f>Params!$B$123*Params!$B$108/BE5</f>
        <v/>
      </c>
      <c r="BF12" s="4">
        <f>Params!$B$123*Params!$B$108/BF5</f>
        <v/>
      </c>
      <c r="BG12" s="4">
        <f>Params!$B$123*Params!$B$108/BG5</f>
        <v/>
      </c>
      <c r="BH12" s="4">
        <f>Params!$B$123*Params!$B$108/BH5</f>
        <v/>
      </c>
      <c r="BI12" s="4">
        <f>Params!$B$123*Params!$B$108/BI5</f>
        <v/>
      </c>
      <c r="BJ12" s="4">
        <f>Params!$B$123*Params!$B$108/BJ5</f>
        <v/>
      </c>
      <c r="BK12" s="4">
        <f>Params!$B$123*Params!$B$108/BK5</f>
        <v/>
      </c>
      <c r="BL12" s="4">
        <f>Params!$B$123*Params!$B$108/BL5</f>
        <v/>
      </c>
      <c r="BM12" s="4">
        <f>Params!$B$123*Params!$B$108/BM5</f>
        <v/>
      </c>
      <c r="BN12" s="4">
        <f>Params!$B$123*Params!$B$108/BN5</f>
        <v/>
      </c>
      <c r="BO12" s="4">
        <f>Params!$B$123*Params!$B$108/BO5</f>
        <v/>
      </c>
      <c r="BP12" s="4">
        <f>Params!$B$123*Params!$B$108/BP5</f>
        <v/>
      </c>
      <c r="BQ12" s="4">
        <f>Params!$B$123*Params!$B$108/BQ5</f>
        <v/>
      </c>
      <c r="BR12" s="4">
        <f>Params!$B$123*Params!$B$108/BR5</f>
        <v/>
      </c>
      <c r="BS12" s="4">
        <f>Params!$B$123*Params!$B$108/BS5</f>
        <v/>
      </c>
      <c r="BT12" s="4">
        <f>Params!$B$123*Params!$B$108/BT5</f>
        <v/>
      </c>
      <c r="BU12" s="4">
        <f>Params!$B$123*Params!$B$108/BU5</f>
        <v/>
      </c>
      <c r="BV12" s="4">
        <f>Params!$B$123*Params!$B$108/BV5</f>
        <v/>
      </c>
    </row>
    <row r="13">
      <c r="A13" t="inlineStr">
        <is>
          <t>FX index</t>
        </is>
      </c>
      <c r="B13" t="inlineStr">
        <is>
          <t>EUROPE</t>
        </is>
      </c>
      <c r="C13" s="4">
        <f>Params!$B$124*Params!$B$109/C6</f>
        <v/>
      </c>
      <c r="D13" s="4">
        <f>Params!$B$124*Params!$B$109/D6</f>
        <v/>
      </c>
      <c r="E13" s="4">
        <f>Params!$B$124*Params!$B$109/E6</f>
        <v/>
      </c>
      <c r="F13" s="4">
        <f>Params!$B$124*Params!$B$109/F6</f>
        <v/>
      </c>
      <c r="G13" s="4">
        <f>Params!$B$124*Params!$B$109/G6</f>
        <v/>
      </c>
      <c r="H13" s="4">
        <f>Params!$B$124*Params!$B$109/H6</f>
        <v/>
      </c>
      <c r="I13" s="4">
        <f>Params!$B$124*Params!$B$109/I6</f>
        <v/>
      </c>
      <c r="J13" s="4">
        <f>Params!$B$124*Params!$B$109/J6</f>
        <v/>
      </c>
      <c r="K13" s="4">
        <f>Params!$B$124*Params!$B$109/K6</f>
        <v/>
      </c>
      <c r="L13" s="4">
        <f>Params!$B$124*Params!$B$109/L6</f>
        <v/>
      </c>
      <c r="M13" s="4">
        <f>Params!$B$124*Params!$B$109/M6</f>
        <v/>
      </c>
      <c r="N13" s="4">
        <f>Params!$B$124*Params!$B$109/N6</f>
        <v/>
      </c>
      <c r="O13" s="4">
        <f>Params!$B$124*Params!$B$109/O6</f>
        <v/>
      </c>
      <c r="P13" s="4">
        <f>Params!$B$124*Params!$B$109/P6</f>
        <v/>
      </c>
      <c r="Q13" s="4">
        <f>Params!$B$124*Params!$B$109/Q6</f>
        <v/>
      </c>
      <c r="R13" s="4">
        <f>Params!$B$124*Params!$B$109/R6</f>
        <v/>
      </c>
      <c r="S13" s="4">
        <f>Params!$B$124*Params!$B$109/S6</f>
        <v/>
      </c>
      <c r="T13" s="4">
        <f>Params!$B$124*Params!$B$109/T6</f>
        <v/>
      </c>
      <c r="U13" s="4">
        <f>Params!$B$124*Params!$B$109/U6</f>
        <v/>
      </c>
      <c r="V13" s="4">
        <f>Params!$B$124*Params!$B$109/V6</f>
        <v/>
      </c>
      <c r="W13" s="4">
        <f>Params!$B$124*Params!$B$109/W6</f>
        <v/>
      </c>
      <c r="X13" s="4">
        <f>Params!$B$124*Params!$B$109/X6</f>
        <v/>
      </c>
      <c r="Y13" s="4">
        <f>Params!$B$124*Params!$B$109/Y6</f>
        <v/>
      </c>
      <c r="Z13" s="4">
        <f>Params!$B$124*Params!$B$109/Z6</f>
        <v/>
      </c>
      <c r="AA13" s="4">
        <f>Params!$B$124*Params!$B$109/AA6</f>
        <v/>
      </c>
      <c r="AB13" s="4">
        <f>Params!$B$124*Params!$B$109/AB6</f>
        <v/>
      </c>
      <c r="AC13" s="4">
        <f>Params!$B$124*Params!$B$109/AC6</f>
        <v/>
      </c>
      <c r="AD13" s="4">
        <f>Params!$B$124*Params!$B$109/AD6</f>
        <v/>
      </c>
      <c r="AE13" s="4">
        <f>Params!$B$124*Params!$B$109/AE6</f>
        <v/>
      </c>
      <c r="AF13" s="4">
        <f>Params!$B$124*Params!$B$109/AF6</f>
        <v/>
      </c>
      <c r="AG13" s="4">
        <f>Params!$B$124*Params!$B$109/AG6</f>
        <v/>
      </c>
      <c r="AH13" s="4">
        <f>Params!$B$124*Params!$B$109/AH6</f>
        <v/>
      </c>
      <c r="AI13" s="4">
        <f>Params!$B$124*Params!$B$109/AI6</f>
        <v/>
      </c>
      <c r="AJ13" s="4">
        <f>Params!$B$124*Params!$B$109/AJ6</f>
        <v/>
      </c>
      <c r="AK13" s="4">
        <f>Params!$B$124*Params!$B$109/AK6</f>
        <v/>
      </c>
      <c r="AL13" s="4">
        <f>Params!$B$124*Params!$B$109/AL6</f>
        <v/>
      </c>
      <c r="AM13" s="4">
        <f>Params!$B$124*Params!$B$109/AM6</f>
        <v/>
      </c>
      <c r="AN13" s="4">
        <f>Params!$B$124*Params!$B$109/AN6</f>
        <v/>
      </c>
      <c r="AO13" s="4">
        <f>Params!$B$124*Params!$B$109/AO6</f>
        <v/>
      </c>
      <c r="AP13" s="4">
        <f>Params!$B$124*Params!$B$109/AP6</f>
        <v/>
      </c>
      <c r="AQ13" s="4">
        <f>Params!$B$124*Params!$B$109/AQ6</f>
        <v/>
      </c>
      <c r="AR13" s="4">
        <f>Params!$B$124*Params!$B$109/AR6</f>
        <v/>
      </c>
      <c r="AS13" s="4">
        <f>Params!$B$124*Params!$B$109/AS6</f>
        <v/>
      </c>
      <c r="AT13" s="4">
        <f>Params!$B$124*Params!$B$109/AT6</f>
        <v/>
      </c>
      <c r="AU13" s="4">
        <f>Params!$B$124*Params!$B$109/AU6</f>
        <v/>
      </c>
      <c r="AV13" s="4">
        <f>Params!$B$124*Params!$B$109/AV6</f>
        <v/>
      </c>
      <c r="AW13" s="4">
        <f>Params!$B$124*Params!$B$109/AW6</f>
        <v/>
      </c>
      <c r="AX13" s="4">
        <f>Params!$B$124*Params!$B$109/AX6</f>
        <v/>
      </c>
      <c r="AY13" s="4">
        <f>Params!$B$124*Params!$B$109/AY6</f>
        <v/>
      </c>
      <c r="AZ13" s="4">
        <f>Params!$B$124*Params!$B$109/AZ6</f>
        <v/>
      </c>
      <c r="BA13" s="4">
        <f>Params!$B$124*Params!$B$109/BA6</f>
        <v/>
      </c>
      <c r="BB13" s="4">
        <f>Params!$B$124*Params!$B$109/BB6</f>
        <v/>
      </c>
      <c r="BC13" s="4">
        <f>Params!$B$124*Params!$B$109/BC6</f>
        <v/>
      </c>
      <c r="BD13" s="4">
        <f>Params!$B$124*Params!$B$109/BD6</f>
        <v/>
      </c>
      <c r="BE13" s="4">
        <f>Params!$B$124*Params!$B$109/BE6</f>
        <v/>
      </c>
      <c r="BF13" s="4">
        <f>Params!$B$124*Params!$B$109/BF6</f>
        <v/>
      </c>
      <c r="BG13" s="4">
        <f>Params!$B$124*Params!$B$109/BG6</f>
        <v/>
      </c>
      <c r="BH13" s="4">
        <f>Params!$B$124*Params!$B$109/BH6</f>
        <v/>
      </c>
      <c r="BI13" s="4">
        <f>Params!$B$124*Params!$B$109/BI6</f>
        <v/>
      </c>
      <c r="BJ13" s="4">
        <f>Params!$B$124*Params!$B$109/BJ6</f>
        <v/>
      </c>
      <c r="BK13" s="4">
        <f>Params!$B$124*Params!$B$109/BK6</f>
        <v/>
      </c>
      <c r="BL13" s="4">
        <f>Params!$B$124*Params!$B$109/BL6</f>
        <v/>
      </c>
      <c r="BM13" s="4">
        <f>Params!$B$124*Params!$B$109/BM6</f>
        <v/>
      </c>
      <c r="BN13" s="4">
        <f>Params!$B$124*Params!$B$109/BN6</f>
        <v/>
      </c>
      <c r="BO13" s="4">
        <f>Params!$B$124*Params!$B$109/BO6</f>
        <v/>
      </c>
      <c r="BP13" s="4">
        <f>Params!$B$124*Params!$B$109/BP6</f>
        <v/>
      </c>
      <c r="BQ13" s="4">
        <f>Params!$B$124*Params!$B$109/BQ6</f>
        <v/>
      </c>
      <c r="BR13" s="4">
        <f>Params!$B$124*Params!$B$109/BR6</f>
        <v/>
      </c>
      <c r="BS13" s="4">
        <f>Params!$B$124*Params!$B$109/BS6</f>
        <v/>
      </c>
      <c r="BT13" s="4">
        <f>Params!$B$124*Params!$B$109/BT6</f>
        <v/>
      </c>
      <c r="BU13" s="4">
        <f>Params!$B$124*Params!$B$109/BU6</f>
        <v/>
      </c>
      <c r="BV13" s="4">
        <f>Params!$B$124*Params!$B$109/BV6</f>
        <v/>
      </c>
    </row>
    <row r="14">
      <c r="A14" t="inlineStr">
        <is>
          <t>FX index</t>
        </is>
      </c>
      <c r="B14" t="inlineStr">
        <is>
          <t>LATAM</t>
        </is>
      </c>
      <c r="C14" s="4">
        <f>Params!$B$125*Params!$B$110/C7</f>
        <v/>
      </c>
      <c r="D14" s="4">
        <f>Params!$B$125*Params!$B$110/D7</f>
        <v/>
      </c>
      <c r="E14" s="4">
        <f>Params!$B$125*Params!$B$110/E7</f>
        <v/>
      </c>
      <c r="F14" s="4">
        <f>Params!$B$125*Params!$B$110/F7</f>
        <v/>
      </c>
      <c r="G14" s="4">
        <f>Params!$B$125*Params!$B$110/G7</f>
        <v/>
      </c>
      <c r="H14" s="4">
        <f>Params!$B$125*Params!$B$110/H7</f>
        <v/>
      </c>
      <c r="I14" s="4">
        <f>Params!$B$125*Params!$B$110/I7</f>
        <v/>
      </c>
      <c r="J14" s="4">
        <f>Params!$B$125*Params!$B$110/J7</f>
        <v/>
      </c>
      <c r="K14" s="4">
        <f>Params!$B$125*Params!$B$110/K7</f>
        <v/>
      </c>
      <c r="L14" s="4">
        <f>Params!$B$125*Params!$B$110/L7</f>
        <v/>
      </c>
      <c r="M14" s="4">
        <f>Params!$B$125*Params!$B$110/M7</f>
        <v/>
      </c>
      <c r="N14" s="4">
        <f>Params!$B$125*Params!$B$110/N7</f>
        <v/>
      </c>
      <c r="O14" s="4">
        <f>Params!$B$125*Params!$B$110/O7</f>
        <v/>
      </c>
      <c r="P14" s="4">
        <f>Params!$B$125*Params!$B$110/P7</f>
        <v/>
      </c>
      <c r="Q14" s="4">
        <f>Params!$B$125*Params!$B$110/Q7</f>
        <v/>
      </c>
      <c r="R14" s="4">
        <f>Params!$B$125*Params!$B$110/R7</f>
        <v/>
      </c>
      <c r="S14" s="4">
        <f>Params!$B$125*Params!$B$110/S7</f>
        <v/>
      </c>
      <c r="T14" s="4">
        <f>Params!$B$125*Params!$B$110/T7</f>
        <v/>
      </c>
      <c r="U14" s="4">
        <f>Params!$B$125*Params!$B$110/U7</f>
        <v/>
      </c>
      <c r="V14" s="4">
        <f>Params!$B$125*Params!$B$110/V7</f>
        <v/>
      </c>
      <c r="W14" s="4">
        <f>Params!$B$125*Params!$B$110/W7</f>
        <v/>
      </c>
      <c r="X14" s="4">
        <f>Params!$B$125*Params!$B$110/X7</f>
        <v/>
      </c>
      <c r="Y14" s="4">
        <f>Params!$B$125*Params!$B$110/Y7</f>
        <v/>
      </c>
      <c r="Z14" s="4">
        <f>Params!$B$125*Params!$B$110/Z7</f>
        <v/>
      </c>
      <c r="AA14" s="4">
        <f>Params!$B$125*Params!$B$110/AA7</f>
        <v/>
      </c>
      <c r="AB14" s="4">
        <f>Params!$B$125*Params!$B$110/AB7</f>
        <v/>
      </c>
      <c r="AC14" s="4">
        <f>Params!$B$125*Params!$B$110/AC7</f>
        <v/>
      </c>
      <c r="AD14" s="4">
        <f>Params!$B$125*Params!$B$110/AD7</f>
        <v/>
      </c>
      <c r="AE14" s="4">
        <f>Params!$B$125*Params!$B$110/AE7</f>
        <v/>
      </c>
      <c r="AF14" s="4">
        <f>Params!$B$125*Params!$B$110/AF7</f>
        <v/>
      </c>
      <c r="AG14" s="4">
        <f>Params!$B$125*Params!$B$110/AG7</f>
        <v/>
      </c>
      <c r="AH14" s="4">
        <f>Params!$B$125*Params!$B$110/AH7</f>
        <v/>
      </c>
      <c r="AI14" s="4">
        <f>Params!$B$125*Params!$B$110/AI7</f>
        <v/>
      </c>
      <c r="AJ14" s="4">
        <f>Params!$B$125*Params!$B$110/AJ7</f>
        <v/>
      </c>
      <c r="AK14" s="4">
        <f>Params!$B$125*Params!$B$110/AK7</f>
        <v/>
      </c>
      <c r="AL14" s="4">
        <f>Params!$B$125*Params!$B$110/AL7</f>
        <v/>
      </c>
      <c r="AM14" s="4">
        <f>Params!$B$125*Params!$B$110/AM7</f>
        <v/>
      </c>
      <c r="AN14" s="4">
        <f>Params!$B$125*Params!$B$110/AN7</f>
        <v/>
      </c>
      <c r="AO14" s="4">
        <f>Params!$B$125*Params!$B$110/AO7</f>
        <v/>
      </c>
      <c r="AP14" s="4">
        <f>Params!$B$125*Params!$B$110/AP7</f>
        <v/>
      </c>
      <c r="AQ14" s="4">
        <f>Params!$B$125*Params!$B$110/AQ7</f>
        <v/>
      </c>
      <c r="AR14" s="4">
        <f>Params!$B$125*Params!$B$110/AR7</f>
        <v/>
      </c>
      <c r="AS14" s="4">
        <f>Params!$B$125*Params!$B$110/AS7</f>
        <v/>
      </c>
      <c r="AT14" s="4">
        <f>Params!$B$125*Params!$B$110/AT7</f>
        <v/>
      </c>
      <c r="AU14" s="4">
        <f>Params!$B$125*Params!$B$110/AU7</f>
        <v/>
      </c>
      <c r="AV14" s="4">
        <f>Params!$B$125*Params!$B$110/AV7</f>
        <v/>
      </c>
      <c r="AW14" s="4">
        <f>Params!$B$125*Params!$B$110/AW7</f>
        <v/>
      </c>
      <c r="AX14" s="4">
        <f>Params!$B$125*Params!$B$110/AX7</f>
        <v/>
      </c>
      <c r="AY14" s="4">
        <f>Params!$B$125*Params!$B$110/AY7</f>
        <v/>
      </c>
      <c r="AZ14" s="4">
        <f>Params!$B$125*Params!$B$110/AZ7</f>
        <v/>
      </c>
      <c r="BA14" s="4">
        <f>Params!$B$125*Params!$B$110/BA7</f>
        <v/>
      </c>
      <c r="BB14" s="4">
        <f>Params!$B$125*Params!$B$110/BB7</f>
        <v/>
      </c>
      <c r="BC14" s="4">
        <f>Params!$B$125*Params!$B$110/BC7</f>
        <v/>
      </c>
      <c r="BD14" s="4">
        <f>Params!$B$125*Params!$B$110/BD7</f>
        <v/>
      </c>
      <c r="BE14" s="4">
        <f>Params!$B$125*Params!$B$110/BE7</f>
        <v/>
      </c>
      <c r="BF14" s="4">
        <f>Params!$B$125*Params!$B$110/BF7</f>
        <v/>
      </c>
      <c r="BG14" s="4">
        <f>Params!$B$125*Params!$B$110/BG7</f>
        <v/>
      </c>
      <c r="BH14" s="4">
        <f>Params!$B$125*Params!$B$110/BH7</f>
        <v/>
      </c>
      <c r="BI14" s="4">
        <f>Params!$B$125*Params!$B$110/BI7</f>
        <v/>
      </c>
      <c r="BJ14" s="4">
        <f>Params!$B$125*Params!$B$110/BJ7</f>
        <v/>
      </c>
      <c r="BK14" s="4">
        <f>Params!$B$125*Params!$B$110/BK7</f>
        <v/>
      </c>
      <c r="BL14" s="4">
        <f>Params!$B$125*Params!$B$110/BL7</f>
        <v/>
      </c>
      <c r="BM14" s="4">
        <f>Params!$B$125*Params!$B$110/BM7</f>
        <v/>
      </c>
      <c r="BN14" s="4">
        <f>Params!$B$125*Params!$B$110/BN7</f>
        <v/>
      </c>
      <c r="BO14" s="4">
        <f>Params!$B$125*Params!$B$110/BO7</f>
        <v/>
      </c>
      <c r="BP14" s="4">
        <f>Params!$B$125*Params!$B$110/BP7</f>
        <v/>
      </c>
      <c r="BQ14" s="4">
        <f>Params!$B$125*Params!$B$110/BQ7</f>
        <v/>
      </c>
      <c r="BR14" s="4">
        <f>Params!$B$125*Params!$B$110/BR7</f>
        <v/>
      </c>
      <c r="BS14" s="4">
        <f>Params!$B$125*Params!$B$110/BS7</f>
        <v/>
      </c>
      <c r="BT14" s="4">
        <f>Params!$B$125*Params!$B$110/BT7</f>
        <v/>
      </c>
      <c r="BU14" s="4">
        <f>Params!$B$125*Params!$B$110/BU7</f>
        <v/>
      </c>
      <c r="BV14" s="4">
        <f>Params!$B$125*Params!$B$110/BV7</f>
        <v/>
      </c>
    </row>
    <row r="15">
      <c r="A15" t="inlineStr">
        <is>
          <t>FX index</t>
        </is>
      </c>
      <c r="B15" t="inlineStr">
        <is>
          <t>APAC</t>
        </is>
      </c>
      <c r="C15" s="4">
        <f>Params!$B$126*Params!$B$111/C8+Params!$B$127*Params!$B$112/C9</f>
        <v/>
      </c>
      <c r="D15" s="4">
        <f>Params!$B$126*Params!$B$111/D8+Params!$B$127*Params!$B$112/D9</f>
        <v/>
      </c>
      <c r="E15" s="4">
        <f>Params!$B$126*Params!$B$111/E8+Params!$B$127*Params!$B$112/E9</f>
        <v/>
      </c>
      <c r="F15" s="4">
        <f>Params!$B$126*Params!$B$111/F8+Params!$B$127*Params!$B$112/F9</f>
        <v/>
      </c>
      <c r="G15" s="4">
        <f>Params!$B$126*Params!$B$111/G8+Params!$B$127*Params!$B$112/G9</f>
        <v/>
      </c>
      <c r="H15" s="4">
        <f>Params!$B$126*Params!$B$111/H8+Params!$B$127*Params!$B$112/H9</f>
        <v/>
      </c>
      <c r="I15" s="4">
        <f>Params!$B$126*Params!$B$111/I8+Params!$B$127*Params!$B$112/I9</f>
        <v/>
      </c>
      <c r="J15" s="4">
        <f>Params!$B$126*Params!$B$111/J8+Params!$B$127*Params!$B$112/J9</f>
        <v/>
      </c>
      <c r="K15" s="4">
        <f>Params!$B$126*Params!$B$111/K8+Params!$B$127*Params!$B$112/K9</f>
        <v/>
      </c>
      <c r="L15" s="4">
        <f>Params!$B$126*Params!$B$111/L8+Params!$B$127*Params!$B$112/L9</f>
        <v/>
      </c>
      <c r="M15" s="4">
        <f>Params!$B$126*Params!$B$111/M8+Params!$B$127*Params!$B$112/M9</f>
        <v/>
      </c>
      <c r="N15" s="4">
        <f>Params!$B$126*Params!$B$111/N8+Params!$B$127*Params!$B$112/N9</f>
        <v/>
      </c>
      <c r="O15" s="4">
        <f>Params!$B$126*Params!$B$111/O8+Params!$B$127*Params!$B$112/O9</f>
        <v/>
      </c>
      <c r="P15" s="4">
        <f>Params!$B$126*Params!$B$111/P8+Params!$B$127*Params!$B$112/P9</f>
        <v/>
      </c>
      <c r="Q15" s="4">
        <f>Params!$B$126*Params!$B$111/Q8+Params!$B$127*Params!$B$112/Q9</f>
        <v/>
      </c>
      <c r="R15" s="4">
        <f>Params!$B$126*Params!$B$111/R8+Params!$B$127*Params!$B$112/R9</f>
        <v/>
      </c>
      <c r="S15" s="4">
        <f>Params!$B$126*Params!$B$111/S8+Params!$B$127*Params!$B$112/S9</f>
        <v/>
      </c>
      <c r="T15" s="4">
        <f>Params!$B$126*Params!$B$111/T8+Params!$B$127*Params!$B$112/T9</f>
        <v/>
      </c>
      <c r="U15" s="4">
        <f>Params!$B$126*Params!$B$111/U8+Params!$B$127*Params!$B$112/U9</f>
        <v/>
      </c>
      <c r="V15" s="4">
        <f>Params!$B$126*Params!$B$111/V8+Params!$B$127*Params!$B$112/V9</f>
        <v/>
      </c>
      <c r="W15" s="4">
        <f>Params!$B$126*Params!$B$111/W8+Params!$B$127*Params!$B$112/W9</f>
        <v/>
      </c>
      <c r="X15" s="4">
        <f>Params!$B$126*Params!$B$111/X8+Params!$B$127*Params!$B$112/X9</f>
        <v/>
      </c>
      <c r="Y15" s="4">
        <f>Params!$B$126*Params!$B$111/Y8+Params!$B$127*Params!$B$112/Y9</f>
        <v/>
      </c>
      <c r="Z15" s="4">
        <f>Params!$B$126*Params!$B$111/Z8+Params!$B$127*Params!$B$112/Z9</f>
        <v/>
      </c>
      <c r="AA15" s="4">
        <f>Params!$B$126*Params!$B$111/AA8+Params!$B$127*Params!$B$112/AA9</f>
        <v/>
      </c>
      <c r="AB15" s="4">
        <f>Params!$B$126*Params!$B$111/AB8+Params!$B$127*Params!$B$112/AB9</f>
        <v/>
      </c>
      <c r="AC15" s="4">
        <f>Params!$B$126*Params!$B$111/AC8+Params!$B$127*Params!$B$112/AC9</f>
        <v/>
      </c>
      <c r="AD15" s="4">
        <f>Params!$B$126*Params!$B$111/AD8+Params!$B$127*Params!$B$112/AD9</f>
        <v/>
      </c>
      <c r="AE15" s="4">
        <f>Params!$B$126*Params!$B$111/AE8+Params!$B$127*Params!$B$112/AE9</f>
        <v/>
      </c>
      <c r="AF15" s="4">
        <f>Params!$B$126*Params!$B$111/AF8+Params!$B$127*Params!$B$112/AF9</f>
        <v/>
      </c>
      <c r="AG15" s="4">
        <f>Params!$B$126*Params!$B$111/AG8+Params!$B$127*Params!$B$112/AG9</f>
        <v/>
      </c>
      <c r="AH15" s="4">
        <f>Params!$B$126*Params!$B$111/AH8+Params!$B$127*Params!$B$112/AH9</f>
        <v/>
      </c>
      <c r="AI15" s="4">
        <f>Params!$B$126*Params!$B$111/AI8+Params!$B$127*Params!$B$112/AI9</f>
        <v/>
      </c>
      <c r="AJ15" s="4">
        <f>Params!$B$126*Params!$B$111/AJ8+Params!$B$127*Params!$B$112/AJ9</f>
        <v/>
      </c>
      <c r="AK15" s="4">
        <f>Params!$B$126*Params!$B$111/AK8+Params!$B$127*Params!$B$112/AK9</f>
        <v/>
      </c>
      <c r="AL15" s="4">
        <f>Params!$B$126*Params!$B$111/AL8+Params!$B$127*Params!$B$112/AL9</f>
        <v/>
      </c>
      <c r="AM15" s="4">
        <f>Params!$B$126*Params!$B$111/AM8+Params!$B$127*Params!$B$112/AM9</f>
        <v/>
      </c>
      <c r="AN15" s="4">
        <f>Params!$B$126*Params!$B$111/AN8+Params!$B$127*Params!$B$112/AN9</f>
        <v/>
      </c>
      <c r="AO15" s="4">
        <f>Params!$B$126*Params!$B$111/AO8+Params!$B$127*Params!$B$112/AO9</f>
        <v/>
      </c>
      <c r="AP15" s="4">
        <f>Params!$B$126*Params!$B$111/AP8+Params!$B$127*Params!$B$112/AP9</f>
        <v/>
      </c>
      <c r="AQ15" s="4">
        <f>Params!$B$126*Params!$B$111/AQ8+Params!$B$127*Params!$B$112/AQ9</f>
        <v/>
      </c>
      <c r="AR15" s="4">
        <f>Params!$B$126*Params!$B$111/AR8+Params!$B$127*Params!$B$112/AR9</f>
        <v/>
      </c>
      <c r="AS15" s="4">
        <f>Params!$B$126*Params!$B$111/AS8+Params!$B$127*Params!$B$112/AS9</f>
        <v/>
      </c>
      <c r="AT15" s="4">
        <f>Params!$B$126*Params!$B$111/AT8+Params!$B$127*Params!$B$112/AT9</f>
        <v/>
      </c>
      <c r="AU15" s="4">
        <f>Params!$B$126*Params!$B$111/AU8+Params!$B$127*Params!$B$112/AU9</f>
        <v/>
      </c>
      <c r="AV15" s="4">
        <f>Params!$B$126*Params!$B$111/AV8+Params!$B$127*Params!$B$112/AV9</f>
        <v/>
      </c>
      <c r="AW15" s="4">
        <f>Params!$B$126*Params!$B$111/AW8+Params!$B$127*Params!$B$112/AW9</f>
        <v/>
      </c>
      <c r="AX15" s="4">
        <f>Params!$B$126*Params!$B$111/AX8+Params!$B$127*Params!$B$112/AX9</f>
        <v/>
      </c>
      <c r="AY15" s="4">
        <f>Params!$B$126*Params!$B$111/AY8+Params!$B$127*Params!$B$112/AY9</f>
        <v/>
      </c>
      <c r="AZ15" s="4">
        <f>Params!$B$126*Params!$B$111/AZ8+Params!$B$127*Params!$B$112/AZ9</f>
        <v/>
      </c>
      <c r="BA15" s="4">
        <f>Params!$B$126*Params!$B$111/BA8+Params!$B$127*Params!$B$112/BA9</f>
        <v/>
      </c>
      <c r="BB15" s="4">
        <f>Params!$B$126*Params!$B$111/BB8+Params!$B$127*Params!$B$112/BB9</f>
        <v/>
      </c>
      <c r="BC15" s="4">
        <f>Params!$B$126*Params!$B$111/BC8+Params!$B$127*Params!$B$112/BC9</f>
        <v/>
      </c>
      <c r="BD15" s="4">
        <f>Params!$B$126*Params!$B$111/BD8+Params!$B$127*Params!$B$112/BD9</f>
        <v/>
      </c>
      <c r="BE15" s="4">
        <f>Params!$B$126*Params!$B$111/BE8+Params!$B$127*Params!$B$112/BE9</f>
        <v/>
      </c>
      <c r="BF15" s="4">
        <f>Params!$B$126*Params!$B$111/BF8+Params!$B$127*Params!$B$112/BF9</f>
        <v/>
      </c>
      <c r="BG15" s="4">
        <f>Params!$B$126*Params!$B$111/BG8+Params!$B$127*Params!$B$112/BG9</f>
        <v/>
      </c>
      <c r="BH15" s="4">
        <f>Params!$B$126*Params!$B$111/BH8+Params!$B$127*Params!$B$112/BH9</f>
        <v/>
      </c>
      <c r="BI15" s="4">
        <f>Params!$B$126*Params!$B$111/BI8+Params!$B$127*Params!$B$112/BI9</f>
        <v/>
      </c>
      <c r="BJ15" s="4">
        <f>Params!$B$126*Params!$B$111/BJ8+Params!$B$127*Params!$B$112/BJ9</f>
        <v/>
      </c>
      <c r="BK15" s="4">
        <f>Params!$B$126*Params!$B$111/BK8+Params!$B$127*Params!$B$112/BK9</f>
        <v/>
      </c>
      <c r="BL15" s="4">
        <f>Params!$B$126*Params!$B$111/BL8+Params!$B$127*Params!$B$112/BL9</f>
        <v/>
      </c>
      <c r="BM15" s="4">
        <f>Params!$B$126*Params!$B$111/BM8+Params!$B$127*Params!$B$112/BM9</f>
        <v/>
      </c>
      <c r="BN15" s="4">
        <f>Params!$B$126*Params!$B$111/BN8+Params!$B$127*Params!$B$112/BN9</f>
        <v/>
      </c>
      <c r="BO15" s="4">
        <f>Params!$B$126*Params!$B$111/BO8+Params!$B$127*Params!$B$112/BO9</f>
        <v/>
      </c>
      <c r="BP15" s="4">
        <f>Params!$B$126*Params!$B$111/BP8+Params!$B$127*Params!$B$112/BP9</f>
        <v/>
      </c>
      <c r="BQ15" s="4">
        <f>Params!$B$126*Params!$B$111/BQ8+Params!$B$127*Params!$B$112/BQ9</f>
        <v/>
      </c>
      <c r="BR15" s="4">
        <f>Params!$B$126*Params!$B$111/BR8+Params!$B$127*Params!$B$112/BR9</f>
        <v/>
      </c>
      <c r="BS15" s="4">
        <f>Params!$B$126*Params!$B$111/BS8+Params!$B$127*Params!$B$112/BS9</f>
        <v/>
      </c>
      <c r="BT15" s="4">
        <f>Params!$B$126*Params!$B$111/BT8+Params!$B$127*Params!$B$112/BT9</f>
        <v/>
      </c>
      <c r="BU15" s="4">
        <f>Params!$B$126*Params!$B$111/BU8+Params!$B$127*Params!$B$112/BU9</f>
        <v/>
      </c>
      <c r="BV15" s="4">
        <f>Params!$B$126*Params!$B$111/BV8+Params!$B$127*Params!$B$112/BV9</f>
        <v/>
      </c>
    </row>
    <row r="16">
      <c r="A16" t="inlineStr">
        <is>
          <t>FX index</t>
        </is>
      </c>
      <c r="B16" t="inlineStr">
        <is>
          <t>ROW</t>
        </is>
      </c>
      <c r="C16" s="4">
        <f>Params!$B$128*Params!$B$108/C5</f>
        <v/>
      </c>
      <c r="D16" s="4">
        <f>Params!$B$128*Params!$B$108/D5</f>
        <v/>
      </c>
      <c r="E16" s="4">
        <f>Params!$B$128*Params!$B$108/E5</f>
        <v/>
      </c>
      <c r="F16" s="4">
        <f>Params!$B$128*Params!$B$108/F5</f>
        <v/>
      </c>
      <c r="G16" s="4">
        <f>Params!$B$128*Params!$B$108/G5</f>
        <v/>
      </c>
      <c r="H16" s="4">
        <f>Params!$B$128*Params!$B$108/H5</f>
        <v/>
      </c>
      <c r="I16" s="4">
        <f>Params!$B$128*Params!$B$108/I5</f>
        <v/>
      </c>
      <c r="J16" s="4">
        <f>Params!$B$128*Params!$B$108/J5</f>
        <v/>
      </c>
      <c r="K16" s="4">
        <f>Params!$B$128*Params!$B$108/K5</f>
        <v/>
      </c>
      <c r="L16" s="4">
        <f>Params!$B$128*Params!$B$108/L5</f>
        <v/>
      </c>
      <c r="M16" s="4">
        <f>Params!$B$128*Params!$B$108/M5</f>
        <v/>
      </c>
      <c r="N16" s="4">
        <f>Params!$B$128*Params!$B$108/N5</f>
        <v/>
      </c>
      <c r="O16" s="4">
        <f>Params!$B$128*Params!$B$108/O5</f>
        <v/>
      </c>
      <c r="P16" s="4">
        <f>Params!$B$128*Params!$B$108/P5</f>
        <v/>
      </c>
      <c r="Q16" s="4">
        <f>Params!$B$128*Params!$B$108/Q5</f>
        <v/>
      </c>
      <c r="R16" s="4">
        <f>Params!$B$128*Params!$B$108/R5</f>
        <v/>
      </c>
      <c r="S16" s="4">
        <f>Params!$B$128*Params!$B$108/S5</f>
        <v/>
      </c>
      <c r="T16" s="4">
        <f>Params!$B$128*Params!$B$108/T5</f>
        <v/>
      </c>
      <c r="U16" s="4">
        <f>Params!$B$128*Params!$B$108/U5</f>
        <v/>
      </c>
      <c r="V16" s="4">
        <f>Params!$B$128*Params!$B$108/V5</f>
        <v/>
      </c>
      <c r="W16" s="4">
        <f>Params!$B$128*Params!$B$108/W5</f>
        <v/>
      </c>
      <c r="X16" s="4">
        <f>Params!$B$128*Params!$B$108/X5</f>
        <v/>
      </c>
      <c r="Y16" s="4">
        <f>Params!$B$128*Params!$B$108/Y5</f>
        <v/>
      </c>
      <c r="Z16" s="4">
        <f>Params!$B$128*Params!$B$108/Z5</f>
        <v/>
      </c>
      <c r="AA16" s="4">
        <f>Params!$B$128*Params!$B$108/AA5</f>
        <v/>
      </c>
      <c r="AB16" s="4">
        <f>Params!$B$128*Params!$B$108/AB5</f>
        <v/>
      </c>
      <c r="AC16" s="4">
        <f>Params!$B$128*Params!$B$108/AC5</f>
        <v/>
      </c>
      <c r="AD16" s="4">
        <f>Params!$B$128*Params!$B$108/AD5</f>
        <v/>
      </c>
      <c r="AE16" s="4">
        <f>Params!$B$128*Params!$B$108/AE5</f>
        <v/>
      </c>
      <c r="AF16" s="4">
        <f>Params!$B$128*Params!$B$108/AF5</f>
        <v/>
      </c>
      <c r="AG16" s="4">
        <f>Params!$B$128*Params!$B$108/AG5</f>
        <v/>
      </c>
      <c r="AH16" s="4">
        <f>Params!$B$128*Params!$B$108/AH5</f>
        <v/>
      </c>
      <c r="AI16" s="4">
        <f>Params!$B$128*Params!$B$108/AI5</f>
        <v/>
      </c>
      <c r="AJ16" s="4">
        <f>Params!$B$128*Params!$B$108/AJ5</f>
        <v/>
      </c>
      <c r="AK16" s="4">
        <f>Params!$B$128*Params!$B$108/AK5</f>
        <v/>
      </c>
      <c r="AL16" s="4">
        <f>Params!$B$128*Params!$B$108/AL5</f>
        <v/>
      </c>
      <c r="AM16" s="4">
        <f>Params!$B$128*Params!$B$108/AM5</f>
        <v/>
      </c>
      <c r="AN16" s="4">
        <f>Params!$B$128*Params!$B$108/AN5</f>
        <v/>
      </c>
      <c r="AO16" s="4">
        <f>Params!$B$128*Params!$B$108/AO5</f>
        <v/>
      </c>
      <c r="AP16" s="4">
        <f>Params!$B$128*Params!$B$108/AP5</f>
        <v/>
      </c>
      <c r="AQ16" s="4">
        <f>Params!$B$128*Params!$B$108/AQ5</f>
        <v/>
      </c>
      <c r="AR16" s="4">
        <f>Params!$B$128*Params!$B$108/AR5</f>
        <v/>
      </c>
      <c r="AS16" s="4">
        <f>Params!$B$128*Params!$B$108/AS5</f>
        <v/>
      </c>
      <c r="AT16" s="4">
        <f>Params!$B$128*Params!$B$108/AT5</f>
        <v/>
      </c>
      <c r="AU16" s="4">
        <f>Params!$B$128*Params!$B$108/AU5</f>
        <v/>
      </c>
      <c r="AV16" s="4">
        <f>Params!$B$128*Params!$B$108/AV5</f>
        <v/>
      </c>
      <c r="AW16" s="4">
        <f>Params!$B$128*Params!$B$108/AW5</f>
        <v/>
      </c>
      <c r="AX16" s="4">
        <f>Params!$B$128*Params!$B$108/AX5</f>
        <v/>
      </c>
      <c r="AY16" s="4">
        <f>Params!$B$128*Params!$B$108/AY5</f>
        <v/>
      </c>
      <c r="AZ16" s="4">
        <f>Params!$B$128*Params!$B$108/AZ5</f>
        <v/>
      </c>
      <c r="BA16" s="4">
        <f>Params!$B$128*Params!$B$108/BA5</f>
        <v/>
      </c>
      <c r="BB16" s="4">
        <f>Params!$B$128*Params!$B$108/BB5</f>
        <v/>
      </c>
      <c r="BC16" s="4">
        <f>Params!$B$128*Params!$B$108/BC5</f>
        <v/>
      </c>
      <c r="BD16" s="4">
        <f>Params!$B$128*Params!$B$108/BD5</f>
        <v/>
      </c>
      <c r="BE16" s="4">
        <f>Params!$B$128*Params!$B$108/BE5</f>
        <v/>
      </c>
      <c r="BF16" s="4">
        <f>Params!$B$128*Params!$B$108/BF5</f>
        <v/>
      </c>
      <c r="BG16" s="4">
        <f>Params!$B$128*Params!$B$108/BG5</f>
        <v/>
      </c>
      <c r="BH16" s="4">
        <f>Params!$B$128*Params!$B$108/BH5</f>
        <v/>
      </c>
      <c r="BI16" s="4">
        <f>Params!$B$128*Params!$B$108/BI5</f>
        <v/>
      </c>
      <c r="BJ16" s="4">
        <f>Params!$B$128*Params!$B$108/BJ5</f>
        <v/>
      </c>
      <c r="BK16" s="4">
        <f>Params!$B$128*Params!$B$108/BK5</f>
        <v/>
      </c>
      <c r="BL16" s="4">
        <f>Params!$B$128*Params!$B$108/BL5</f>
        <v/>
      </c>
      <c r="BM16" s="4">
        <f>Params!$B$128*Params!$B$108/BM5</f>
        <v/>
      </c>
      <c r="BN16" s="4">
        <f>Params!$B$128*Params!$B$108/BN5</f>
        <v/>
      </c>
      <c r="BO16" s="4">
        <f>Params!$B$128*Params!$B$108/BO5</f>
        <v/>
      </c>
      <c r="BP16" s="4">
        <f>Params!$B$128*Params!$B$108/BP5</f>
        <v/>
      </c>
      <c r="BQ16" s="4">
        <f>Params!$B$128*Params!$B$108/BQ5</f>
        <v/>
      </c>
      <c r="BR16" s="4">
        <f>Params!$B$128*Params!$B$108/BR5</f>
        <v/>
      </c>
      <c r="BS16" s="4">
        <f>Params!$B$128*Params!$B$108/BS5</f>
        <v/>
      </c>
      <c r="BT16" s="4">
        <f>Params!$B$128*Params!$B$108/BT5</f>
        <v/>
      </c>
      <c r="BU16" s="4">
        <f>Params!$B$128*Params!$B$108/BU5</f>
        <v/>
      </c>
      <c r="BV16" s="4">
        <f>Params!$B$128*Params!$B$108/BV5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V3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gross adds</t>
        </is>
      </c>
      <c r="B3" t="inlineStr">
        <is>
          <t>US_CA|NITRO_M</t>
        </is>
      </c>
      <c r="C3" s="5">
        <f>MAU!C4*Params!$B$57*Eras!C$7*Params!$B$130*Params!$B$92</f>
        <v/>
      </c>
      <c r="D3" s="5">
        <f>MAU!D4*Params!$B$57*Eras!D$7*Params!$B$130*Params!$B$92</f>
        <v/>
      </c>
      <c r="E3" s="5">
        <f>MAU!E4*Params!$B$57*Eras!E$7*Params!$B$130*Params!$B$92</f>
        <v/>
      </c>
      <c r="F3" s="5">
        <f>MAU!F4*Params!$B$57*Eras!F$7*Params!$B$130*Params!$B$92</f>
        <v/>
      </c>
      <c r="G3" s="5">
        <f>MAU!G4*Params!$B$57*Eras!G$7*Params!$B$130*Params!$B$92</f>
        <v/>
      </c>
      <c r="H3" s="5">
        <f>MAU!H4*Params!$B$57*Eras!H$7*Params!$B$130*Params!$B$92</f>
        <v/>
      </c>
      <c r="I3" s="5">
        <f>MAU!I4*Params!$B$57*Eras!I$7*Params!$B$130*Params!$B$92</f>
        <v/>
      </c>
      <c r="J3" s="5">
        <f>MAU!J4*Params!$B$57*Eras!J$7*Params!$B$130*Params!$B$92</f>
        <v/>
      </c>
      <c r="K3" s="5">
        <f>MAU!K4*Params!$B$57*Eras!K$7*Params!$B$130*Params!$B$92</f>
        <v/>
      </c>
      <c r="L3" s="5">
        <f>MAU!L4*Params!$B$57*Eras!L$7*Params!$B$130*Params!$B$92</f>
        <v/>
      </c>
      <c r="M3" s="5">
        <f>MAU!M4*Params!$B$57*Eras!M$7*Params!$B$130*Params!$B$92</f>
        <v/>
      </c>
      <c r="N3" s="5">
        <f>MAU!N4*Params!$B$57*Eras!N$7*Params!$B$130*Params!$B$92</f>
        <v/>
      </c>
      <c r="O3" s="5">
        <f>MAU!O4*Params!$B$57*Eras!O$7*Params!$B$130*Params!$B$92</f>
        <v/>
      </c>
      <c r="P3" s="5">
        <f>MAU!P4*Params!$B$57*Eras!P$7*Params!$B$130*Params!$B$92</f>
        <v/>
      </c>
      <c r="Q3" s="5">
        <f>MAU!Q4*Params!$B$57*Eras!Q$7*Params!$B$130*Params!$B$92</f>
        <v/>
      </c>
      <c r="R3" s="5">
        <f>MAU!R4*Params!$B$57*Eras!R$7*Params!$B$130*Params!$B$92</f>
        <v/>
      </c>
      <c r="S3" s="5">
        <f>MAU!S4*Params!$B$57*Eras!S$7*Params!$B$130*Params!$B$92</f>
        <v/>
      </c>
      <c r="T3" s="5">
        <f>MAU!T4*Params!$B$57*Eras!T$7*Params!$B$130*Params!$B$92</f>
        <v/>
      </c>
      <c r="U3" s="5">
        <f>MAU!U4*Params!$B$57*Eras!U$7*Params!$B$130*Params!$B$92</f>
        <v/>
      </c>
      <c r="V3" s="5">
        <f>MAU!V4*Params!$B$57*Eras!V$7*Params!$B$130*Params!$B$92</f>
        <v/>
      </c>
      <c r="W3" s="5">
        <f>MAU!W4*Params!$B$57*Eras!W$7*Params!$B$130*Params!$B$92</f>
        <v/>
      </c>
      <c r="X3" s="5">
        <f>MAU!X4*Params!$B$57*Eras!X$7*Params!$B$130*Params!$B$92</f>
        <v/>
      </c>
      <c r="Y3" s="5">
        <f>MAU!Y4*Params!$B$57*Eras!Y$7*Params!$B$130*Params!$B$92</f>
        <v/>
      </c>
      <c r="Z3" s="5">
        <f>MAU!Z4*Params!$B$57*Eras!Z$7*Params!$B$130*Params!$B$92</f>
        <v/>
      </c>
      <c r="AA3" s="5">
        <f>MAU!AA4*Params!$B$57*Eras!AA$7*Params!$B$130*Params!$B$92</f>
        <v/>
      </c>
      <c r="AB3" s="5">
        <f>MAU!AB4*Params!$B$57*Eras!AB$7*Params!$B$130*Params!$B$92</f>
        <v/>
      </c>
      <c r="AC3" s="5">
        <f>MAU!AC4*Params!$B$57*Eras!AC$7*Params!$B$130*Params!$B$92</f>
        <v/>
      </c>
      <c r="AD3" s="5">
        <f>MAU!AD4*Params!$B$57*Eras!AD$7*Params!$B$130*Params!$B$92</f>
        <v/>
      </c>
      <c r="AE3" s="5">
        <f>MAU!AE4*Params!$B$57*Eras!AE$7*Params!$B$130*Params!$B$92</f>
        <v/>
      </c>
      <c r="AF3" s="5">
        <f>MAU!AF4*Params!$B$57*Eras!AF$7*Params!$B$130*Params!$B$92</f>
        <v/>
      </c>
      <c r="AG3" s="5">
        <f>MAU!AG4*Params!$B$57*Eras!AG$7*Params!$B$130*Params!$B$92</f>
        <v/>
      </c>
      <c r="AH3" s="5">
        <f>MAU!AH4*Params!$B$57*Eras!AH$7*Params!$B$130*Params!$B$92</f>
        <v/>
      </c>
      <c r="AI3" s="5">
        <f>MAU!AI4*Params!$B$57*Eras!AI$7*Params!$B$130*Params!$B$92</f>
        <v/>
      </c>
      <c r="AJ3" s="5">
        <f>MAU!AJ4*Params!$B$57*Eras!AJ$7*Params!$B$130*Params!$B$92</f>
        <v/>
      </c>
      <c r="AK3" s="5">
        <f>MAU!AK4*Params!$B$57*Eras!AK$7*Params!$B$130*Params!$B$92</f>
        <v/>
      </c>
      <c r="AL3" s="5">
        <f>MAU!AL4*Params!$B$57*Eras!AL$7*Params!$B$130*Params!$B$92</f>
        <v/>
      </c>
      <c r="AM3" s="5">
        <f>MAU!AM4*Params!$B$57*Eras!AM$7*Params!$B$130*Params!$B$92</f>
        <v/>
      </c>
      <c r="AN3" s="5">
        <f>MAU!AN4*Params!$B$57*Eras!AN$7*Params!$B$130*Params!$B$92</f>
        <v/>
      </c>
      <c r="AO3" s="5">
        <f>MAU!AO4*Params!$B$57*Eras!AO$7*Params!$B$130*Params!$B$92</f>
        <v/>
      </c>
      <c r="AP3" s="5">
        <f>MAU!AP4*Params!$B$57*Eras!AP$7*Params!$B$130*Params!$B$92</f>
        <v/>
      </c>
      <c r="AQ3" s="5">
        <f>MAU!AQ4*Params!$B$57*Eras!AQ$7*Params!$B$130*Params!$B$92</f>
        <v/>
      </c>
      <c r="AR3" s="5">
        <f>MAU!AR4*Params!$B$57*Eras!AR$7*Params!$B$130*Params!$B$92</f>
        <v/>
      </c>
      <c r="AS3" s="5">
        <f>MAU!AS4*Params!$B$57*Eras!AS$7*Params!$B$130*Params!$B$92</f>
        <v/>
      </c>
      <c r="AT3" s="5">
        <f>MAU!AT4*Params!$B$57*Eras!AT$7*Params!$B$130*Params!$B$92</f>
        <v/>
      </c>
      <c r="AU3" s="5">
        <f>MAU!AU4*Params!$B$57*Eras!AU$7*Params!$B$130*Params!$B$92</f>
        <v/>
      </c>
      <c r="AV3" s="5">
        <f>MAU!AV4*Params!$B$57*Eras!AV$7*Params!$B$130*Params!$B$92</f>
        <v/>
      </c>
      <c r="AW3" s="5">
        <f>MAU!AW4*Params!$B$57*Eras!AW$7*Params!$B$130*Params!$B$92</f>
        <v/>
      </c>
      <c r="AX3" s="5">
        <f>MAU!AX4*Params!$B$57*Eras!AX$7*Params!$B$130*Params!$B$92</f>
        <v/>
      </c>
      <c r="AY3" s="5">
        <f>MAU!AY4*Params!$B$57*Eras!AY$7*Params!$B$130*Params!$B$92</f>
        <v/>
      </c>
      <c r="AZ3" s="5">
        <f>MAU!AZ4*Params!$B$57*Eras!AZ$7*Params!$B$130*Params!$B$92</f>
        <v/>
      </c>
      <c r="BA3" s="5">
        <f>MAU!BA4*Params!$B$57*Eras!BA$7*Params!$B$130*Params!$B$92</f>
        <v/>
      </c>
      <c r="BB3" s="5">
        <f>MAU!BB4*Params!$B$57*Eras!BB$7*Params!$B$130*Params!$B$92</f>
        <v/>
      </c>
      <c r="BC3" s="5">
        <f>MAU!BC4*Params!$B$57*Eras!BC$7*Params!$B$130*Params!$B$92</f>
        <v/>
      </c>
      <c r="BD3" s="5">
        <f>MAU!BD4*Params!$B$57*Eras!BD$7*Params!$B$130*Params!$B$92</f>
        <v/>
      </c>
      <c r="BE3" s="5">
        <f>MAU!BE4*Params!$B$57*Eras!BE$7*Params!$B$130*Params!$B$92</f>
        <v/>
      </c>
      <c r="BF3" s="5">
        <f>MAU!BF4*Params!$B$57*Eras!BF$7*Params!$B$130*Params!$B$92</f>
        <v/>
      </c>
      <c r="BG3" s="5">
        <f>MAU!BG4*Params!$B$57*Eras!BG$7*Params!$B$130*Params!$B$92</f>
        <v/>
      </c>
      <c r="BH3" s="5">
        <f>MAU!BH4*Params!$B$57*Eras!BH$7*Params!$B$130*Params!$B$92</f>
        <v/>
      </c>
      <c r="BI3" s="5">
        <f>MAU!BI4*Params!$B$57*Eras!BI$7*Params!$B$130*Params!$B$92</f>
        <v/>
      </c>
      <c r="BJ3" s="5">
        <f>MAU!BJ4*Params!$B$57*Eras!BJ$7*Params!$B$130*Params!$B$92</f>
        <v/>
      </c>
      <c r="BK3" s="5">
        <f>MAU!BK4*Params!$B$57*Eras!BK$7*Params!$B$130*Params!$B$92</f>
        <v/>
      </c>
      <c r="BL3" s="5">
        <f>MAU!BL4*Params!$B$57*Eras!BL$7*Params!$B$130*Params!$B$92</f>
        <v/>
      </c>
      <c r="BM3" s="5">
        <f>MAU!BM4*Params!$B$57*Eras!BM$7*Params!$B$130*Params!$B$92</f>
        <v/>
      </c>
      <c r="BN3" s="5">
        <f>MAU!BN4*Params!$B$57*Eras!BN$7*Params!$B$130*Params!$B$92</f>
        <v/>
      </c>
      <c r="BO3" s="5">
        <f>MAU!BO4*Params!$B$57*Eras!BO$7*Params!$B$130*Params!$B$92</f>
        <v/>
      </c>
      <c r="BP3" s="5">
        <f>MAU!BP4*Params!$B$57*Eras!BP$7*Params!$B$130*Params!$B$92</f>
        <v/>
      </c>
      <c r="BQ3" s="5">
        <f>MAU!BQ4*Params!$B$57*Eras!BQ$7*Params!$B$130*Params!$B$92</f>
        <v/>
      </c>
      <c r="BR3" s="5">
        <f>MAU!BR4*Params!$B$57*Eras!BR$7*Params!$B$130*Params!$B$92</f>
        <v/>
      </c>
      <c r="BS3" s="5">
        <f>MAU!BS4*Params!$B$57*Eras!BS$7*Params!$B$130*Params!$B$92</f>
        <v/>
      </c>
      <c r="BT3" s="5">
        <f>MAU!BT4*Params!$B$57*Eras!BT$7*Params!$B$130*Params!$B$92</f>
        <v/>
      </c>
      <c r="BU3" s="5">
        <f>MAU!BU4*Params!$B$57*Eras!BU$7*Params!$B$130*Params!$B$92</f>
        <v/>
      </c>
      <c r="BV3" s="5">
        <f>MAU!BV4*Params!$B$57*Eras!BV$7*Params!$B$130*Params!$B$92</f>
        <v/>
      </c>
    </row>
    <row r="4">
      <c r="A4" t="inlineStr">
        <is>
          <t>trial starts</t>
        </is>
      </c>
      <c r="B4" t="inlineStr">
        <is>
          <t>US_CA|NITRO_M</t>
        </is>
      </c>
      <c r="C4" s="5">
        <f>C3*Eras!C$8</f>
        <v/>
      </c>
      <c r="D4" s="5">
        <f>D3*Eras!D$8</f>
        <v/>
      </c>
      <c r="E4" s="5">
        <f>E3*Eras!E$8</f>
        <v/>
      </c>
      <c r="F4" s="5">
        <f>F3*Eras!F$8</f>
        <v/>
      </c>
      <c r="G4" s="5">
        <f>G3*Eras!G$8</f>
        <v/>
      </c>
      <c r="H4" s="5">
        <f>H3*Eras!H$8</f>
        <v/>
      </c>
      <c r="I4" s="5">
        <f>I3*Eras!I$8</f>
        <v/>
      </c>
      <c r="J4" s="5">
        <f>J3*Eras!J$8</f>
        <v/>
      </c>
      <c r="K4" s="5">
        <f>K3*Eras!K$8</f>
        <v/>
      </c>
      <c r="L4" s="5">
        <f>L3*Eras!L$8</f>
        <v/>
      </c>
      <c r="M4" s="5">
        <f>M3*Eras!M$8</f>
        <v/>
      </c>
      <c r="N4" s="5">
        <f>N3*Eras!N$8</f>
        <v/>
      </c>
      <c r="O4" s="5">
        <f>O3*Eras!O$8</f>
        <v/>
      </c>
      <c r="P4" s="5">
        <f>P3*Eras!P$8</f>
        <v/>
      </c>
      <c r="Q4" s="5">
        <f>Q3*Eras!Q$8</f>
        <v/>
      </c>
      <c r="R4" s="5">
        <f>R3*Eras!R$8</f>
        <v/>
      </c>
      <c r="S4" s="5">
        <f>S3*Eras!S$8</f>
        <v/>
      </c>
      <c r="T4" s="5">
        <f>T3*Eras!T$8</f>
        <v/>
      </c>
      <c r="U4" s="5">
        <f>U3*Eras!U$8</f>
        <v/>
      </c>
      <c r="V4" s="5">
        <f>V3*Eras!V$8</f>
        <v/>
      </c>
      <c r="W4" s="5">
        <f>W3*Eras!W$8</f>
        <v/>
      </c>
      <c r="X4" s="5">
        <f>X3*Eras!X$8</f>
        <v/>
      </c>
      <c r="Y4" s="5">
        <f>Y3*Eras!Y$8</f>
        <v/>
      </c>
      <c r="Z4" s="5">
        <f>Z3*Eras!Z$8</f>
        <v/>
      </c>
      <c r="AA4" s="5">
        <f>AA3*Eras!AA$8</f>
        <v/>
      </c>
      <c r="AB4" s="5">
        <f>AB3*Eras!AB$8</f>
        <v/>
      </c>
      <c r="AC4" s="5">
        <f>AC3*Eras!AC$8</f>
        <v/>
      </c>
      <c r="AD4" s="5">
        <f>AD3*Eras!AD$8</f>
        <v/>
      </c>
      <c r="AE4" s="5">
        <f>AE3*Eras!AE$8</f>
        <v/>
      </c>
      <c r="AF4" s="5">
        <f>AF3*Eras!AF$8</f>
        <v/>
      </c>
      <c r="AG4" s="5">
        <f>AG3*Eras!AG$8</f>
        <v/>
      </c>
      <c r="AH4" s="5">
        <f>AH3*Eras!AH$8</f>
        <v/>
      </c>
      <c r="AI4" s="5">
        <f>AI3*Eras!AI$8</f>
        <v/>
      </c>
      <c r="AJ4" s="5">
        <f>AJ3*Eras!AJ$8</f>
        <v/>
      </c>
      <c r="AK4" s="5">
        <f>AK3*Eras!AK$8</f>
        <v/>
      </c>
      <c r="AL4" s="5">
        <f>AL3*Eras!AL$8</f>
        <v/>
      </c>
      <c r="AM4" s="5">
        <f>AM3*Eras!AM$8</f>
        <v/>
      </c>
      <c r="AN4" s="5">
        <f>AN3*Eras!AN$8</f>
        <v/>
      </c>
      <c r="AO4" s="5">
        <f>AO3*Eras!AO$8</f>
        <v/>
      </c>
      <c r="AP4" s="5">
        <f>AP3*Eras!AP$8</f>
        <v/>
      </c>
      <c r="AQ4" s="5">
        <f>AQ3*Eras!AQ$8</f>
        <v/>
      </c>
      <c r="AR4" s="5">
        <f>AR3*Eras!AR$8</f>
        <v/>
      </c>
      <c r="AS4" s="5">
        <f>AS3*Eras!AS$8</f>
        <v/>
      </c>
      <c r="AT4" s="5">
        <f>AT3*Eras!AT$8</f>
        <v/>
      </c>
      <c r="AU4" s="5">
        <f>AU3*Eras!AU$8</f>
        <v/>
      </c>
      <c r="AV4" s="5">
        <f>AV3*Eras!AV$8</f>
        <v/>
      </c>
      <c r="AW4" s="5">
        <f>AW3*Eras!AW$8</f>
        <v/>
      </c>
      <c r="AX4" s="5">
        <f>AX3*Eras!AX$8</f>
        <v/>
      </c>
      <c r="AY4" s="5">
        <f>AY3*Eras!AY$8</f>
        <v/>
      </c>
      <c r="AZ4" s="5">
        <f>AZ3*Eras!AZ$8</f>
        <v/>
      </c>
      <c r="BA4" s="5">
        <f>BA3*Eras!BA$8</f>
        <v/>
      </c>
      <c r="BB4" s="5">
        <f>BB3*Eras!BB$8</f>
        <v/>
      </c>
      <c r="BC4" s="5">
        <f>BC3*Eras!BC$8</f>
        <v/>
      </c>
      <c r="BD4" s="5">
        <f>BD3*Eras!BD$8</f>
        <v/>
      </c>
      <c r="BE4" s="5">
        <f>BE3*Eras!BE$8</f>
        <v/>
      </c>
      <c r="BF4" s="5">
        <f>BF3*Eras!BF$8</f>
        <v/>
      </c>
      <c r="BG4" s="5">
        <f>BG3*Eras!BG$8</f>
        <v/>
      </c>
      <c r="BH4" s="5">
        <f>BH3*Eras!BH$8</f>
        <v/>
      </c>
      <c r="BI4" s="5">
        <f>BI3*Eras!BI$8</f>
        <v/>
      </c>
      <c r="BJ4" s="5">
        <f>BJ3*Eras!BJ$8</f>
        <v/>
      </c>
      <c r="BK4" s="5">
        <f>BK3*Eras!BK$8</f>
        <v/>
      </c>
      <c r="BL4" s="5">
        <f>BL3*Eras!BL$8</f>
        <v/>
      </c>
      <c r="BM4" s="5">
        <f>BM3*Eras!BM$8</f>
        <v/>
      </c>
      <c r="BN4" s="5">
        <f>BN3*Eras!BN$8</f>
        <v/>
      </c>
      <c r="BO4" s="5">
        <f>BO3*Eras!BO$8</f>
        <v/>
      </c>
      <c r="BP4" s="5">
        <f>BP3*Eras!BP$8</f>
        <v/>
      </c>
      <c r="BQ4" s="5">
        <f>BQ3*Eras!BQ$8</f>
        <v/>
      </c>
      <c r="BR4" s="5">
        <f>BR3*Eras!BR$8</f>
        <v/>
      </c>
      <c r="BS4" s="5">
        <f>BS3*Eras!BS$8</f>
        <v/>
      </c>
      <c r="BT4" s="5">
        <f>BT3*Eras!BT$8</f>
        <v/>
      </c>
      <c r="BU4" s="5">
        <f>BU3*Eras!BU$8</f>
        <v/>
      </c>
      <c r="BV4" s="5">
        <f>BV3*Eras!BV$8</f>
        <v/>
      </c>
    </row>
    <row r="5">
      <c r="A5" t="inlineStr">
        <is>
          <t>direct paid starts</t>
        </is>
      </c>
      <c r="B5" t="inlineStr">
        <is>
          <t>US_CA|NITRO_M</t>
        </is>
      </c>
      <c r="C5" s="5">
        <f>C3-C4</f>
        <v/>
      </c>
      <c r="D5" s="5">
        <f>D3-D4</f>
        <v/>
      </c>
      <c r="E5" s="5">
        <f>E3-E4</f>
        <v/>
      </c>
      <c r="F5" s="5">
        <f>F3-F4</f>
        <v/>
      </c>
      <c r="G5" s="5">
        <f>G3-G4</f>
        <v/>
      </c>
      <c r="H5" s="5">
        <f>H3-H4</f>
        <v/>
      </c>
      <c r="I5" s="5">
        <f>I3-I4</f>
        <v/>
      </c>
      <c r="J5" s="5">
        <f>J3-J4</f>
        <v/>
      </c>
      <c r="K5" s="5">
        <f>K3-K4</f>
        <v/>
      </c>
      <c r="L5" s="5">
        <f>L3-L4</f>
        <v/>
      </c>
      <c r="M5" s="5">
        <f>M3-M4</f>
        <v/>
      </c>
      <c r="N5" s="5">
        <f>N3-N4</f>
        <v/>
      </c>
      <c r="O5" s="5">
        <f>O3-O4</f>
        <v/>
      </c>
      <c r="P5" s="5">
        <f>P3-P4</f>
        <v/>
      </c>
      <c r="Q5" s="5">
        <f>Q3-Q4</f>
        <v/>
      </c>
      <c r="R5" s="5">
        <f>R3-R4</f>
        <v/>
      </c>
      <c r="S5" s="5">
        <f>S3-S4</f>
        <v/>
      </c>
      <c r="T5" s="5">
        <f>T3-T4</f>
        <v/>
      </c>
      <c r="U5" s="5">
        <f>U3-U4</f>
        <v/>
      </c>
      <c r="V5" s="5">
        <f>V3-V4</f>
        <v/>
      </c>
      <c r="W5" s="5">
        <f>W3-W4</f>
        <v/>
      </c>
      <c r="X5" s="5">
        <f>X3-X4</f>
        <v/>
      </c>
      <c r="Y5" s="5">
        <f>Y3-Y4</f>
        <v/>
      </c>
      <c r="Z5" s="5">
        <f>Z3-Z4</f>
        <v/>
      </c>
      <c r="AA5" s="5">
        <f>AA3-AA4</f>
        <v/>
      </c>
      <c r="AB5" s="5">
        <f>AB3-AB4</f>
        <v/>
      </c>
      <c r="AC5" s="5">
        <f>AC3-AC4</f>
        <v/>
      </c>
      <c r="AD5" s="5">
        <f>AD3-AD4</f>
        <v/>
      </c>
      <c r="AE5" s="5">
        <f>AE3-AE4</f>
        <v/>
      </c>
      <c r="AF5" s="5">
        <f>AF3-AF4</f>
        <v/>
      </c>
      <c r="AG5" s="5">
        <f>AG3-AG4</f>
        <v/>
      </c>
      <c r="AH5" s="5">
        <f>AH3-AH4</f>
        <v/>
      </c>
      <c r="AI5" s="5">
        <f>AI3-AI4</f>
        <v/>
      </c>
      <c r="AJ5" s="5">
        <f>AJ3-AJ4</f>
        <v/>
      </c>
      <c r="AK5" s="5">
        <f>AK3-AK4</f>
        <v/>
      </c>
      <c r="AL5" s="5">
        <f>AL3-AL4</f>
        <v/>
      </c>
      <c r="AM5" s="5">
        <f>AM3-AM4</f>
        <v/>
      </c>
      <c r="AN5" s="5">
        <f>AN3-AN4</f>
        <v/>
      </c>
      <c r="AO5" s="5">
        <f>AO3-AO4</f>
        <v/>
      </c>
      <c r="AP5" s="5">
        <f>AP3-AP4</f>
        <v/>
      </c>
      <c r="AQ5" s="5">
        <f>AQ3-AQ4</f>
        <v/>
      </c>
      <c r="AR5" s="5">
        <f>AR3-AR4</f>
        <v/>
      </c>
      <c r="AS5" s="5">
        <f>AS3-AS4</f>
        <v/>
      </c>
      <c r="AT5" s="5">
        <f>AT3-AT4</f>
        <v/>
      </c>
      <c r="AU5" s="5">
        <f>AU3-AU4</f>
        <v/>
      </c>
      <c r="AV5" s="5">
        <f>AV3-AV4</f>
        <v/>
      </c>
      <c r="AW5" s="5">
        <f>AW3-AW4</f>
        <v/>
      </c>
      <c r="AX5" s="5">
        <f>AX3-AX4</f>
        <v/>
      </c>
      <c r="AY5" s="5">
        <f>AY3-AY4</f>
        <v/>
      </c>
      <c r="AZ5" s="5">
        <f>AZ3-AZ4</f>
        <v/>
      </c>
      <c r="BA5" s="5">
        <f>BA3-BA4</f>
        <v/>
      </c>
      <c r="BB5" s="5">
        <f>BB3-BB4</f>
        <v/>
      </c>
      <c r="BC5" s="5">
        <f>BC3-BC4</f>
        <v/>
      </c>
      <c r="BD5" s="5">
        <f>BD3-BD4</f>
        <v/>
      </c>
      <c r="BE5" s="5">
        <f>BE3-BE4</f>
        <v/>
      </c>
      <c r="BF5" s="5">
        <f>BF3-BF4</f>
        <v/>
      </c>
      <c r="BG5" s="5">
        <f>BG3-BG4</f>
        <v/>
      </c>
      <c r="BH5" s="5">
        <f>BH3-BH4</f>
        <v/>
      </c>
      <c r="BI5" s="5">
        <f>BI3-BI4</f>
        <v/>
      </c>
      <c r="BJ5" s="5">
        <f>BJ3-BJ4</f>
        <v/>
      </c>
      <c r="BK5" s="5">
        <f>BK3-BK4</f>
        <v/>
      </c>
      <c r="BL5" s="5">
        <f>BL3-BL4</f>
        <v/>
      </c>
      <c r="BM5" s="5">
        <f>BM3-BM4</f>
        <v/>
      </c>
      <c r="BN5" s="5">
        <f>BN3-BN4</f>
        <v/>
      </c>
      <c r="BO5" s="5">
        <f>BO3-BO4</f>
        <v/>
      </c>
      <c r="BP5" s="5">
        <f>BP3-BP4</f>
        <v/>
      </c>
      <c r="BQ5" s="5">
        <f>BQ3-BQ4</f>
        <v/>
      </c>
      <c r="BR5" s="5">
        <f>BR3-BR4</f>
        <v/>
      </c>
      <c r="BS5" s="5">
        <f>BS3-BS4</f>
        <v/>
      </c>
      <c r="BT5" s="5">
        <f>BT3-BT4</f>
        <v/>
      </c>
      <c r="BU5" s="5">
        <f>BU3-BU4</f>
        <v/>
      </c>
      <c r="BV5" s="5">
        <f>BV3-BV4</f>
        <v/>
      </c>
    </row>
    <row r="6">
      <c r="A6" t="inlineStr">
        <is>
          <t>trials ending</t>
        </is>
      </c>
      <c r="B6" t="inlineStr">
        <is>
          <t>US_CA|NITRO_M</t>
        </is>
      </c>
      <c r="C6" s="5">
        <f>IF(C$2&gt;=Params!$B$6,INDEX($C$4:$BV$4,C$2-Params!$B$6+1),0)</f>
        <v/>
      </c>
      <c r="D6" s="5">
        <f>IF(D$2&gt;=Params!$B$6,INDEX($C$4:$BV$4,D$2-Params!$B$6+1),0)</f>
        <v/>
      </c>
      <c r="E6" s="5">
        <f>IF(E$2&gt;=Params!$B$6,INDEX($C$4:$BV$4,E$2-Params!$B$6+1),0)</f>
        <v/>
      </c>
      <c r="F6" s="5">
        <f>IF(F$2&gt;=Params!$B$6,INDEX($C$4:$BV$4,F$2-Params!$B$6+1),0)</f>
        <v/>
      </c>
      <c r="G6" s="5">
        <f>IF(G$2&gt;=Params!$B$6,INDEX($C$4:$BV$4,G$2-Params!$B$6+1),0)</f>
        <v/>
      </c>
      <c r="H6" s="5">
        <f>IF(H$2&gt;=Params!$B$6,INDEX($C$4:$BV$4,H$2-Params!$B$6+1),0)</f>
        <v/>
      </c>
      <c r="I6" s="5">
        <f>IF(I$2&gt;=Params!$B$6,INDEX($C$4:$BV$4,I$2-Params!$B$6+1),0)</f>
        <v/>
      </c>
      <c r="J6" s="5">
        <f>IF(J$2&gt;=Params!$B$6,INDEX($C$4:$BV$4,J$2-Params!$B$6+1),0)</f>
        <v/>
      </c>
      <c r="K6" s="5">
        <f>IF(K$2&gt;=Params!$B$6,INDEX($C$4:$BV$4,K$2-Params!$B$6+1),0)</f>
        <v/>
      </c>
      <c r="L6" s="5">
        <f>IF(L$2&gt;=Params!$B$6,INDEX($C$4:$BV$4,L$2-Params!$B$6+1),0)</f>
        <v/>
      </c>
      <c r="M6" s="5">
        <f>IF(M$2&gt;=Params!$B$6,INDEX($C$4:$BV$4,M$2-Params!$B$6+1),0)</f>
        <v/>
      </c>
      <c r="N6" s="5">
        <f>IF(N$2&gt;=Params!$B$6,INDEX($C$4:$BV$4,N$2-Params!$B$6+1),0)</f>
        <v/>
      </c>
      <c r="O6" s="5">
        <f>IF(O$2&gt;=Params!$B$6,INDEX($C$4:$BV$4,O$2-Params!$B$6+1),0)</f>
        <v/>
      </c>
      <c r="P6" s="5">
        <f>IF(P$2&gt;=Params!$B$6,INDEX($C$4:$BV$4,P$2-Params!$B$6+1),0)</f>
        <v/>
      </c>
      <c r="Q6" s="5">
        <f>IF(Q$2&gt;=Params!$B$6,INDEX($C$4:$BV$4,Q$2-Params!$B$6+1),0)</f>
        <v/>
      </c>
      <c r="R6" s="5">
        <f>IF(R$2&gt;=Params!$B$6,INDEX($C$4:$BV$4,R$2-Params!$B$6+1),0)</f>
        <v/>
      </c>
      <c r="S6" s="5">
        <f>IF(S$2&gt;=Params!$B$6,INDEX($C$4:$BV$4,S$2-Params!$B$6+1),0)</f>
        <v/>
      </c>
      <c r="T6" s="5">
        <f>IF(T$2&gt;=Params!$B$6,INDEX($C$4:$BV$4,T$2-Params!$B$6+1),0)</f>
        <v/>
      </c>
      <c r="U6" s="5">
        <f>IF(U$2&gt;=Params!$B$6,INDEX($C$4:$BV$4,U$2-Params!$B$6+1),0)</f>
        <v/>
      </c>
      <c r="V6" s="5">
        <f>IF(V$2&gt;=Params!$B$6,INDEX($C$4:$BV$4,V$2-Params!$B$6+1),0)</f>
        <v/>
      </c>
      <c r="W6" s="5">
        <f>IF(W$2&gt;=Params!$B$6,INDEX($C$4:$BV$4,W$2-Params!$B$6+1),0)</f>
        <v/>
      </c>
      <c r="X6" s="5">
        <f>IF(X$2&gt;=Params!$B$6,INDEX($C$4:$BV$4,X$2-Params!$B$6+1),0)</f>
        <v/>
      </c>
      <c r="Y6" s="5">
        <f>IF(Y$2&gt;=Params!$B$6,INDEX($C$4:$BV$4,Y$2-Params!$B$6+1),0)</f>
        <v/>
      </c>
      <c r="Z6" s="5">
        <f>IF(Z$2&gt;=Params!$B$6,INDEX($C$4:$BV$4,Z$2-Params!$B$6+1),0)</f>
        <v/>
      </c>
      <c r="AA6" s="5">
        <f>IF(AA$2&gt;=Params!$B$6,INDEX($C$4:$BV$4,AA$2-Params!$B$6+1),0)</f>
        <v/>
      </c>
      <c r="AB6" s="5">
        <f>IF(AB$2&gt;=Params!$B$6,INDEX($C$4:$BV$4,AB$2-Params!$B$6+1),0)</f>
        <v/>
      </c>
      <c r="AC6" s="5">
        <f>IF(AC$2&gt;=Params!$B$6,INDEX($C$4:$BV$4,AC$2-Params!$B$6+1),0)</f>
        <v/>
      </c>
      <c r="AD6" s="5">
        <f>IF(AD$2&gt;=Params!$B$6,INDEX($C$4:$BV$4,AD$2-Params!$B$6+1),0)</f>
        <v/>
      </c>
      <c r="AE6" s="5">
        <f>IF(AE$2&gt;=Params!$B$6,INDEX($C$4:$BV$4,AE$2-Params!$B$6+1),0)</f>
        <v/>
      </c>
      <c r="AF6" s="5">
        <f>IF(AF$2&gt;=Params!$B$6,INDEX($C$4:$BV$4,AF$2-Params!$B$6+1),0)</f>
        <v/>
      </c>
      <c r="AG6" s="5">
        <f>IF(AG$2&gt;=Params!$B$6,INDEX($C$4:$BV$4,AG$2-Params!$B$6+1),0)</f>
        <v/>
      </c>
      <c r="AH6" s="5">
        <f>IF(AH$2&gt;=Params!$B$6,INDEX($C$4:$BV$4,AH$2-Params!$B$6+1),0)</f>
        <v/>
      </c>
      <c r="AI6" s="5">
        <f>IF(AI$2&gt;=Params!$B$6,INDEX($C$4:$BV$4,AI$2-Params!$B$6+1),0)</f>
        <v/>
      </c>
      <c r="AJ6" s="5">
        <f>IF(AJ$2&gt;=Params!$B$6,INDEX($C$4:$BV$4,AJ$2-Params!$B$6+1),0)</f>
        <v/>
      </c>
      <c r="AK6" s="5">
        <f>IF(AK$2&gt;=Params!$B$6,INDEX($C$4:$BV$4,AK$2-Params!$B$6+1),0)</f>
        <v/>
      </c>
      <c r="AL6" s="5">
        <f>IF(AL$2&gt;=Params!$B$6,INDEX($C$4:$BV$4,AL$2-Params!$B$6+1),0)</f>
        <v/>
      </c>
      <c r="AM6" s="5">
        <f>IF(AM$2&gt;=Params!$B$6,INDEX($C$4:$BV$4,AM$2-Params!$B$6+1),0)</f>
        <v/>
      </c>
      <c r="AN6" s="5">
        <f>IF(AN$2&gt;=Params!$B$6,INDEX($C$4:$BV$4,AN$2-Params!$B$6+1),0)</f>
        <v/>
      </c>
      <c r="AO6" s="5">
        <f>IF(AO$2&gt;=Params!$B$6,INDEX($C$4:$BV$4,AO$2-Params!$B$6+1),0)</f>
        <v/>
      </c>
      <c r="AP6" s="5">
        <f>IF(AP$2&gt;=Params!$B$6,INDEX($C$4:$BV$4,AP$2-Params!$B$6+1),0)</f>
        <v/>
      </c>
      <c r="AQ6" s="5">
        <f>IF(AQ$2&gt;=Params!$B$6,INDEX($C$4:$BV$4,AQ$2-Params!$B$6+1),0)</f>
        <v/>
      </c>
      <c r="AR6" s="5">
        <f>IF(AR$2&gt;=Params!$B$6,INDEX($C$4:$BV$4,AR$2-Params!$B$6+1),0)</f>
        <v/>
      </c>
      <c r="AS6" s="5">
        <f>IF(AS$2&gt;=Params!$B$6,INDEX($C$4:$BV$4,AS$2-Params!$B$6+1),0)</f>
        <v/>
      </c>
      <c r="AT6" s="5">
        <f>IF(AT$2&gt;=Params!$B$6,INDEX($C$4:$BV$4,AT$2-Params!$B$6+1),0)</f>
        <v/>
      </c>
      <c r="AU6" s="5">
        <f>IF(AU$2&gt;=Params!$B$6,INDEX($C$4:$BV$4,AU$2-Params!$B$6+1),0)</f>
        <v/>
      </c>
      <c r="AV6" s="5">
        <f>IF(AV$2&gt;=Params!$B$6,INDEX($C$4:$BV$4,AV$2-Params!$B$6+1),0)</f>
        <v/>
      </c>
      <c r="AW6" s="5">
        <f>IF(AW$2&gt;=Params!$B$6,INDEX($C$4:$BV$4,AW$2-Params!$B$6+1),0)</f>
        <v/>
      </c>
      <c r="AX6" s="5">
        <f>IF(AX$2&gt;=Params!$B$6,INDEX($C$4:$BV$4,AX$2-Params!$B$6+1),0)</f>
        <v/>
      </c>
      <c r="AY6" s="5">
        <f>IF(AY$2&gt;=Params!$B$6,INDEX($C$4:$BV$4,AY$2-Params!$B$6+1),0)</f>
        <v/>
      </c>
      <c r="AZ6" s="5">
        <f>IF(AZ$2&gt;=Params!$B$6,INDEX($C$4:$BV$4,AZ$2-Params!$B$6+1),0)</f>
        <v/>
      </c>
      <c r="BA6" s="5">
        <f>IF(BA$2&gt;=Params!$B$6,INDEX($C$4:$BV$4,BA$2-Params!$B$6+1),0)</f>
        <v/>
      </c>
      <c r="BB6" s="5">
        <f>IF(BB$2&gt;=Params!$B$6,INDEX($C$4:$BV$4,BB$2-Params!$B$6+1),0)</f>
        <v/>
      </c>
      <c r="BC6" s="5">
        <f>IF(BC$2&gt;=Params!$B$6,INDEX($C$4:$BV$4,BC$2-Params!$B$6+1),0)</f>
        <v/>
      </c>
      <c r="BD6" s="5">
        <f>IF(BD$2&gt;=Params!$B$6,INDEX($C$4:$BV$4,BD$2-Params!$B$6+1),0)</f>
        <v/>
      </c>
      <c r="BE6" s="5">
        <f>IF(BE$2&gt;=Params!$B$6,INDEX($C$4:$BV$4,BE$2-Params!$B$6+1),0)</f>
        <v/>
      </c>
      <c r="BF6" s="5">
        <f>IF(BF$2&gt;=Params!$B$6,INDEX($C$4:$BV$4,BF$2-Params!$B$6+1),0)</f>
        <v/>
      </c>
      <c r="BG6" s="5">
        <f>IF(BG$2&gt;=Params!$B$6,INDEX($C$4:$BV$4,BG$2-Params!$B$6+1),0)</f>
        <v/>
      </c>
      <c r="BH6" s="5">
        <f>IF(BH$2&gt;=Params!$B$6,INDEX($C$4:$BV$4,BH$2-Params!$B$6+1),0)</f>
        <v/>
      </c>
      <c r="BI6" s="5">
        <f>IF(BI$2&gt;=Params!$B$6,INDEX($C$4:$BV$4,BI$2-Params!$B$6+1),0)</f>
        <v/>
      </c>
      <c r="BJ6" s="5">
        <f>IF(BJ$2&gt;=Params!$B$6,INDEX($C$4:$BV$4,BJ$2-Params!$B$6+1),0)</f>
        <v/>
      </c>
      <c r="BK6" s="5">
        <f>IF(BK$2&gt;=Params!$B$6,INDEX($C$4:$BV$4,BK$2-Params!$B$6+1),0)</f>
        <v/>
      </c>
      <c r="BL6" s="5">
        <f>IF(BL$2&gt;=Params!$B$6,INDEX($C$4:$BV$4,BL$2-Params!$B$6+1),0)</f>
        <v/>
      </c>
      <c r="BM6" s="5">
        <f>IF(BM$2&gt;=Params!$B$6,INDEX($C$4:$BV$4,BM$2-Params!$B$6+1),0)</f>
        <v/>
      </c>
      <c r="BN6" s="5">
        <f>IF(BN$2&gt;=Params!$B$6,INDEX($C$4:$BV$4,BN$2-Params!$B$6+1),0)</f>
        <v/>
      </c>
      <c r="BO6" s="5">
        <f>IF(BO$2&gt;=Params!$B$6,INDEX($C$4:$BV$4,BO$2-Params!$B$6+1),0)</f>
        <v/>
      </c>
      <c r="BP6" s="5">
        <f>IF(BP$2&gt;=Params!$B$6,INDEX($C$4:$BV$4,BP$2-Params!$B$6+1),0)</f>
        <v/>
      </c>
      <c r="BQ6" s="5">
        <f>IF(BQ$2&gt;=Params!$B$6,INDEX($C$4:$BV$4,BQ$2-Params!$B$6+1),0)</f>
        <v/>
      </c>
      <c r="BR6" s="5">
        <f>IF(BR$2&gt;=Params!$B$6,INDEX($C$4:$BV$4,BR$2-Params!$B$6+1),0)</f>
        <v/>
      </c>
      <c r="BS6" s="5">
        <f>IF(BS$2&gt;=Params!$B$6,INDEX($C$4:$BV$4,BS$2-Params!$B$6+1),0)</f>
        <v/>
      </c>
      <c r="BT6" s="5">
        <f>IF(BT$2&gt;=Params!$B$6,INDEX($C$4:$BV$4,BT$2-Params!$B$6+1),0)</f>
        <v/>
      </c>
      <c r="BU6" s="5">
        <f>IF(BU$2&gt;=Params!$B$6,INDEX($C$4:$BV$4,BU$2-Params!$B$6+1),0)</f>
        <v/>
      </c>
      <c r="BV6" s="5">
        <f>IF(BV$2&gt;=Params!$B$6,INDEX($C$4:$BV$4,BV$2-Params!$B$6+1),0)</f>
        <v/>
      </c>
    </row>
    <row r="7">
      <c r="A7" t="inlineStr">
        <is>
          <t>trial starts x conversion</t>
        </is>
      </c>
      <c r="B7" t="inlineStr">
        <is>
          <t>US_CA|NITRO_M</t>
        </is>
      </c>
      <c r="C7" s="5">
        <f>C4*Eras!C$9</f>
        <v/>
      </c>
      <c r="D7" s="5">
        <f>D4*Eras!D$9</f>
        <v/>
      </c>
      <c r="E7" s="5">
        <f>E4*Eras!E$9</f>
        <v/>
      </c>
      <c r="F7" s="5">
        <f>F4*Eras!F$9</f>
        <v/>
      </c>
      <c r="G7" s="5">
        <f>G4*Eras!G$9</f>
        <v/>
      </c>
      <c r="H7" s="5">
        <f>H4*Eras!H$9</f>
        <v/>
      </c>
      <c r="I7" s="5">
        <f>I4*Eras!I$9</f>
        <v/>
      </c>
      <c r="J7" s="5">
        <f>J4*Eras!J$9</f>
        <v/>
      </c>
      <c r="K7" s="5">
        <f>K4*Eras!K$9</f>
        <v/>
      </c>
      <c r="L7" s="5">
        <f>L4*Eras!L$9</f>
        <v/>
      </c>
      <c r="M7" s="5">
        <f>M4*Eras!M$9</f>
        <v/>
      </c>
      <c r="N7" s="5">
        <f>N4*Eras!N$9</f>
        <v/>
      </c>
      <c r="O7" s="5">
        <f>O4*Eras!O$9</f>
        <v/>
      </c>
      <c r="P7" s="5">
        <f>P4*Eras!P$9</f>
        <v/>
      </c>
      <c r="Q7" s="5">
        <f>Q4*Eras!Q$9</f>
        <v/>
      </c>
      <c r="R7" s="5">
        <f>R4*Eras!R$9</f>
        <v/>
      </c>
      <c r="S7" s="5">
        <f>S4*Eras!S$9</f>
        <v/>
      </c>
      <c r="T7" s="5">
        <f>T4*Eras!T$9</f>
        <v/>
      </c>
      <c r="U7" s="5">
        <f>U4*Eras!U$9</f>
        <v/>
      </c>
      <c r="V7" s="5">
        <f>V4*Eras!V$9</f>
        <v/>
      </c>
      <c r="W7" s="5">
        <f>W4*Eras!W$9</f>
        <v/>
      </c>
      <c r="X7" s="5">
        <f>X4*Eras!X$9</f>
        <v/>
      </c>
      <c r="Y7" s="5">
        <f>Y4*Eras!Y$9</f>
        <v/>
      </c>
      <c r="Z7" s="5">
        <f>Z4*Eras!Z$9</f>
        <v/>
      </c>
      <c r="AA7" s="5">
        <f>AA4*Eras!AA$9</f>
        <v/>
      </c>
      <c r="AB7" s="5">
        <f>AB4*Eras!AB$9</f>
        <v/>
      </c>
      <c r="AC7" s="5">
        <f>AC4*Eras!AC$9</f>
        <v/>
      </c>
      <c r="AD7" s="5">
        <f>AD4*Eras!AD$9</f>
        <v/>
      </c>
      <c r="AE7" s="5">
        <f>AE4*Eras!AE$9</f>
        <v/>
      </c>
      <c r="AF7" s="5">
        <f>AF4*Eras!AF$9</f>
        <v/>
      </c>
      <c r="AG7" s="5">
        <f>AG4*Eras!AG$9</f>
        <v/>
      </c>
      <c r="AH7" s="5">
        <f>AH4*Eras!AH$9</f>
        <v/>
      </c>
      <c r="AI7" s="5">
        <f>AI4*Eras!AI$9</f>
        <v/>
      </c>
      <c r="AJ7" s="5">
        <f>AJ4*Eras!AJ$9</f>
        <v/>
      </c>
      <c r="AK7" s="5">
        <f>AK4*Eras!AK$9</f>
        <v/>
      </c>
      <c r="AL7" s="5">
        <f>AL4*Eras!AL$9</f>
        <v/>
      </c>
      <c r="AM7" s="5">
        <f>AM4*Eras!AM$9</f>
        <v/>
      </c>
      <c r="AN7" s="5">
        <f>AN4*Eras!AN$9</f>
        <v/>
      </c>
      <c r="AO7" s="5">
        <f>AO4*Eras!AO$9</f>
        <v/>
      </c>
      <c r="AP7" s="5">
        <f>AP4*Eras!AP$9</f>
        <v/>
      </c>
      <c r="AQ7" s="5">
        <f>AQ4*Eras!AQ$9</f>
        <v/>
      </c>
      <c r="AR7" s="5">
        <f>AR4*Eras!AR$9</f>
        <v/>
      </c>
      <c r="AS7" s="5">
        <f>AS4*Eras!AS$9</f>
        <v/>
      </c>
      <c r="AT7" s="5">
        <f>AT4*Eras!AT$9</f>
        <v/>
      </c>
      <c r="AU7" s="5">
        <f>AU4*Eras!AU$9</f>
        <v/>
      </c>
      <c r="AV7" s="5">
        <f>AV4*Eras!AV$9</f>
        <v/>
      </c>
      <c r="AW7" s="5">
        <f>AW4*Eras!AW$9</f>
        <v/>
      </c>
      <c r="AX7" s="5">
        <f>AX4*Eras!AX$9</f>
        <v/>
      </c>
      <c r="AY7" s="5">
        <f>AY4*Eras!AY$9</f>
        <v/>
      </c>
      <c r="AZ7" s="5">
        <f>AZ4*Eras!AZ$9</f>
        <v/>
      </c>
      <c r="BA7" s="5">
        <f>BA4*Eras!BA$9</f>
        <v/>
      </c>
      <c r="BB7" s="5">
        <f>BB4*Eras!BB$9</f>
        <v/>
      </c>
      <c r="BC7" s="5">
        <f>BC4*Eras!BC$9</f>
        <v/>
      </c>
      <c r="BD7" s="5">
        <f>BD4*Eras!BD$9</f>
        <v/>
      </c>
      <c r="BE7" s="5">
        <f>BE4*Eras!BE$9</f>
        <v/>
      </c>
      <c r="BF7" s="5">
        <f>BF4*Eras!BF$9</f>
        <v/>
      </c>
      <c r="BG7" s="5">
        <f>BG4*Eras!BG$9</f>
        <v/>
      </c>
      <c r="BH7" s="5">
        <f>BH4*Eras!BH$9</f>
        <v/>
      </c>
      <c r="BI7" s="5">
        <f>BI4*Eras!BI$9</f>
        <v/>
      </c>
      <c r="BJ7" s="5">
        <f>BJ4*Eras!BJ$9</f>
        <v/>
      </c>
      <c r="BK7" s="5">
        <f>BK4*Eras!BK$9</f>
        <v/>
      </c>
      <c r="BL7" s="5">
        <f>BL4*Eras!BL$9</f>
        <v/>
      </c>
      <c r="BM7" s="5">
        <f>BM4*Eras!BM$9</f>
        <v/>
      </c>
      <c r="BN7" s="5">
        <f>BN4*Eras!BN$9</f>
        <v/>
      </c>
      <c r="BO7" s="5">
        <f>BO4*Eras!BO$9</f>
        <v/>
      </c>
      <c r="BP7" s="5">
        <f>BP4*Eras!BP$9</f>
        <v/>
      </c>
      <c r="BQ7" s="5">
        <f>BQ4*Eras!BQ$9</f>
        <v/>
      </c>
      <c r="BR7" s="5">
        <f>BR4*Eras!BR$9</f>
        <v/>
      </c>
      <c r="BS7" s="5">
        <f>BS4*Eras!BS$9</f>
        <v/>
      </c>
      <c r="BT7" s="5">
        <f>BT4*Eras!BT$9</f>
        <v/>
      </c>
      <c r="BU7" s="5">
        <f>BU4*Eras!BU$9</f>
        <v/>
      </c>
      <c r="BV7" s="5">
        <f>BV4*Eras!BV$9</f>
        <v/>
      </c>
    </row>
    <row r="8">
      <c r="A8" t="inlineStr">
        <is>
          <t>trials converted</t>
        </is>
      </c>
      <c r="B8" t="inlineStr">
        <is>
          <t>US_CA|NITRO_M</t>
        </is>
      </c>
      <c r="C8" s="5">
        <f>IF(C$2&gt;=Params!$B$6,INDEX($C$7:$BV$7,C$2-Params!$B$6+1),0)</f>
        <v/>
      </c>
      <c r="D8" s="5">
        <f>IF(D$2&gt;=Params!$B$6,INDEX($C$7:$BV$7,D$2-Params!$B$6+1),0)</f>
        <v/>
      </c>
      <c r="E8" s="5">
        <f>IF(E$2&gt;=Params!$B$6,INDEX($C$7:$BV$7,E$2-Params!$B$6+1),0)</f>
        <v/>
      </c>
      <c r="F8" s="5">
        <f>IF(F$2&gt;=Params!$B$6,INDEX($C$7:$BV$7,F$2-Params!$B$6+1),0)</f>
        <v/>
      </c>
      <c r="G8" s="5">
        <f>IF(G$2&gt;=Params!$B$6,INDEX($C$7:$BV$7,G$2-Params!$B$6+1),0)</f>
        <v/>
      </c>
      <c r="H8" s="5">
        <f>IF(H$2&gt;=Params!$B$6,INDEX($C$7:$BV$7,H$2-Params!$B$6+1),0)</f>
        <v/>
      </c>
      <c r="I8" s="5">
        <f>IF(I$2&gt;=Params!$B$6,INDEX($C$7:$BV$7,I$2-Params!$B$6+1),0)</f>
        <v/>
      </c>
      <c r="J8" s="5">
        <f>IF(J$2&gt;=Params!$B$6,INDEX($C$7:$BV$7,J$2-Params!$B$6+1),0)</f>
        <v/>
      </c>
      <c r="K8" s="5">
        <f>IF(K$2&gt;=Params!$B$6,INDEX($C$7:$BV$7,K$2-Params!$B$6+1),0)</f>
        <v/>
      </c>
      <c r="L8" s="5">
        <f>IF(L$2&gt;=Params!$B$6,INDEX($C$7:$BV$7,L$2-Params!$B$6+1),0)</f>
        <v/>
      </c>
      <c r="M8" s="5">
        <f>IF(M$2&gt;=Params!$B$6,INDEX($C$7:$BV$7,M$2-Params!$B$6+1),0)</f>
        <v/>
      </c>
      <c r="N8" s="5">
        <f>IF(N$2&gt;=Params!$B$6,INDEX($C$7:$BV$7,N$2-Params!$B$6+1),0)</f>
        <v/>
      </c>
      <c r="O8" s="5">
        <f>IF(O$2&gt;=Params!$B$6,INDEX($C$7:$BV$7,O$2-Params!$B$6+1),0)</f>
        <v/>
      </c>
      <c r="P8" s="5">
        <f>IF(P$2&gt;=Params!$B$6,INDEX($C$7:$BV$7,P$2-Params!$B$6+1),0)</f>
        <v/>
      </c>
      <c r="Q8" s="5">
        <f>IF(Q$2&gt;=Params!$B$6,INDEX($C$7:$BV$7,Q$2-Params!$B$6+1),0)</f>
        <v/>
      </c>
      <c r="R8" s="5">
        <f>IF(R$2&gt;=Params!$B$6,INDEX($C$7:$BV$7,R$2-Params!$B$6+1),0)</f>
        <v/>
      </c>
      <c r="S8" s="5">
        <f>IF(S$2&gt;=Params!$B$6,INDEX($C$7:$BV$7,S$2-Params!$B$6+1),0)</f>
        <v/>
      </c>
      <c r="T8" s="5">
        <f>IF(T$2&gt;=Params!$B$6,INDEX($C$7:$BV$7,T$2-Params!$B$6+1),0)</f>
        <v/>
      </c>
      <c r="U8" s="5">
        <f>IF(U$2&gt;=Params!$B$6,INDEX($C$7:$BV$7,U$2-Params!$B$6+1),0)</f>
        <v/>
      </c>
      <c r="V8" s="5">
        <f>IF(V$2&gt;=Params!$B$6,INDEX($C$7:$BV$7,V$2-Params!$B$6+1),0)</f>
        <v/>
      </c>
      <c r="W8" s="5">
        <f>IF(W$2&gt;=Params!$B$6,INDEX($C$7:$BV$7,W$2-Params!$B$6+1),0)</f>
        <v/>
      </c>
      <c r="X8" s="5">
        <f>IF(X$2&gt;=Params!$B$6,INDEX($C$7:$BV$7,X$2-Params!$B$6+1),0)</f>
        <v/>
      </c>
      <c r="Y8" s="5">
        <f>IF(Y$2&gt;=Params!$B$6,INDEX($C$7:$BV$7,Y$2-Params!$B$6+1),0)</f>
        <v/>
      </c>
      <c r="Z8" s="5">
        <f>IF(Z$2&gt;=Params!$B$6,INDEX($C$7:$BV$7,Z$2-Params!$B$6+1),0)</f>
        <v/>
      </c>
      <c r="AA8" s="5">
        <f>IF(AA$2&gt;=Params!$B$6,INDEX($C$7:$BV$7,AA$2-Params!$B$6+1),0)</f>
        <v/>
      </c>
      <c r="AB8" s="5">
        <f>IF(AB$2&gt;=Params!$B$6,INDEX($C$7:$BV$7,AB$2-Params!$B$6+1),0)</f>
        <v/>
      </c>
      <c r="AC8" s="5">
        <f>IF(AC$2&gt;=Params!$B$6,INDEX($C$7:$BV$7,AC$2-Params!$B$6+1),0)</f>
        <v/>
      </c>
      <c r="AD8" s="5">
        <f>IF(AD$2&gt;=Params!$B$6,INDEX($C$7:$BV$7,AD$2-Params!$B$6+1),0)</f>
        <v/>
      </c>
      <c r="AE8" s="5">
        <f>IF(AE$2&gt;=Params!$B$6,INDEX($C$7:$BV$7,AE$2-Params!$B$6+1),0)</f>
        <v/>
      </c>
      <c r="AF8" s="5">
        <f>IF(AF$2&gt;=Params!$B$6,INDEX($C$7:$BV$7,AF$2-Params!$B$6+1),0)</f>
        <v/>
      </c>
      <c r="AG8" s="5">
        <f>IF(AG$2&gt;=Params!$B$6,INDEX($C$7:$BV$7,AG$2-Params!$B$6+1),0)</f>
        <v/>
      </c>
      <c r="AH8" s="5">
        <f>IF(AH$2&gt;=Params!$B$6,INDEX($C$7:$BV$7,AH$2-Params!$B$6+1),0)</f>
        <v/>
      </c>
      <c r="AI8" s="5">
        <f>IF(AI$2&gt;=Params!$B$6,INDEX($C$7:$BV$7,AI$2-Params!$B$6+1),0)</f>
        <v/>
      </c>
      <c r="AJ8" s="5">
        <f>IF(AJ$2&gt;=Params!$B$6,INDEX($C$7:$BV$7,AJ$2-Params!$B$6+1),0)</f>
        <v/>
      </c>
      <c r="AK8" s="5">
        <f>IF(AK$2&gt;=Params!$B$6,INDEX($C$7:$BV$7,AK$2-Params!$B$6+1),0)</f>
        <v/>
      </c>
      <c r="AL8" s="5">
        <f>IF(AL$2&gt;=Params!$B$6,INDEX($C$7:$BV$7,AL$2-Params!$B$6+1),0)</f>
        <v/>
      </c>
      <c r="AM8" s="5">
        <f>IF(AM$2&gt;=Params!$B$6,INDEX($C$7:$BV$7,AM$2-Params!$B$6+1),0)</f>
        <v/>
      </c>
      <c r="AN8" s="5">
        <f>IF(AN$2&gt;=Params!$B$6,INDEX($C$7:$BV$7,AN$2-Params!$B$6+1),0)</f>
        <v/>
      </c>
      <c r="AO8" s="5">
        <f>IF(AO$2&gt;=Params!$B$6,INDEX($C$7:$BV$7,AO$2-Params!$B$6+1),0)</f>
        <v/>
      </c>
      <c r="AP8" s="5">
        <f>IF(AP$2&gt;=Params!$B$6,INDEX($C$7:$BV$7,AP$2-Params!$B$6+1),0)</f>
        <v/>
      </c>
      <c r="AQ8" s="5">
        <f>IF(AQ$2&gt;=Params!$B$6,INDEX($C$7:$BV$7,AQ$2-Params!$B$6+1),0)</f>
        <v/>
      </c>
      <c r="AR8" s="5">
        <f>IF(AR$2&gt;=Params!$B$6,INDEX($C$7:$BV$7,AR$2-Params!$B$6+1),0)</f>
        <v/>
      </c>
      <c r="AS8" s="5">
        <f>IF(AS$2&gt;=Params!$B$6,INDEX($C$7:$BV$7,AS$2-Params!$B$6+1),0)</f>
        <v/>
      </c>
      <c r="AT8" s="5">
        <f>IF(AT$2&gt;=Params!$B$6,INDEX($C$7:$BV$7,AT$2-Params!$B$6+1),0)</f>
        <v/>
      </c>
      <c r="AU8" s="5">
        <f>IF(AU$2&gt;=Params!$B$6,INDEX($C$7:$BV$7,AU$2-Params!$B$6+1),0)</f>
        <v/>
      </c>
      <c r="AV8" s="5">
        <f>IF(AV$2&gt;=Params!$B$6,INDEX($C$7:$BV$7,AV$2-Params!$B$6+1),0)</f>
        <v/>
      </c>
      <c r="AW8" s="5">
        <f>IF(AW$2&gt;=Params!$B$6,INDEX($C$7:$BV$7,AW$2-Params!$B$6+1),0)</f>
        <v/>
      </c>
      <c r="AX8" s="5">
        <f>IF(AX$2&gt;=Params!$B$6,INDEX($C$7:$BV$7,AX$2-Params!$B$6+1),0)</f>
        <v/>
      </c>
      <c r="AY8" s="5">
        <f>IF(AY$2&gt;=Params!$B$6,INDEX($C$7:$BV$7,AY$2-Params!$B$6+1),0)</f>
        <v/>
      </c>
      <c r="AZ8" s="5">
        <f>IF(AZ$2&gt;=Params!$B$6,INDEX($C$7:$BV$7,AZ$2-Params!$B$6+1),0)</f>
        <v/>
      </c>
      <c r="BA8" s="5">
        <f>IF(BA$2&gt;=Params!$B$6,INDEX($C$7:$BV$7,BA$2-Params!$B$6+1),0)</f>
        <v/>
      </c>
      <c r="BB8" s="5">
        <f>IF(BB$2&gt;=Params!$B$6,INDEX($C$7:$BV$7,BB$2-Params!$B$6+1),0)</f>
        <v/>
      </c>
      <c r="BC8" s="5">
        <f>IF(BC$2&gt;=Params!$B$6,INDEX($C$7:$BV$7,BC$2-Params!$B$6+1),0)</f>
        <v/>
      </c>
      <c r="BD8" s="5">
        <f>IF(BD$2&gt;=Params!$B$6,INDEX($C$7:$BV$7,BD$2-Params!$B$6+1),0)</f>
        <v/>
      </c>
      <c r="BE8" s="5">
        <f>IF(BE$2&gt;=Params!$B$6,INDEX($C$7:$BV$7,BE$2-Params!$B$6+1),0)</f>
        <v/>
      </c>
      <c r="BF8" s="5">
        <f>IF(BF$2&gt;=Params!$B$6,INDEX($C$7:$BV$7,BF$2-Params!$B$6+1),0)</f>
        <v/>
      </c>
      <c r="BG8" s="5">
        <f>IF(BG$2&gt;=Params!$B$6,INDEX($C$7:$BV$7,BG$2-Params!$B$6+1),0)</f>
        <v/>
      </c>
      <c r="BH8" s="5">
        <f>IF(BH$2&gt;=Params!$B$6,INDEX($C$7:$BV$7,BH$2-Params!$B$6+1),0)</f>
        <v/>
      </c>
      <c r="BI8" s="5">
        <f>IF(BI$2&gt;=Params!$B$6,INDEX($C$7:$BV$7,BI$2-Params!$B$6+1),0)</f>
        <v/>
      </c>
      <c r="BJ8" s="5">
        <f>IF(BJ$2&gt;=Params!$B$6,INDEX($C$7:$BV$7,BJ$2-Params!$B$6+1),0)</f>
        <v/>
      </c>
      <c r="BK8" s="5">
        <f>IF(BK$2&gt;=Params!$B$6,INDEX($C$7:$BV$7,BK$2-Params!$B$6+1),0)</f>
        <v/>
      </c>
      <c r="BL8" s="5">
        <f>IF(BL$2&gt;=Params!$B$6,INDEX($C$7:$BV$7,BL$2-Params!$B$6+1),0)</f>
        <v/>
      </c>
      <c r="BM8" s="5">
        <f>IF(BM$2&gt;=Params!$B$6,INDEX($C$7:$BV$7,BM$2-Params!$B$6+1),0)</f>
        <v/>
      </c>
      <c r="BN8" s="5">
        <f>IF(BN$2&gt;=Params!$B$6,INDEX($C$7:$BV$7,BN$2-Params!$B$6+1),0)</f>
        <v/>
      </c>
      <c r="BO8" s="5">
        <f>IF(BO$2&gt;=Params!$B$6,INDEX($C$7:$BV$7,BO$2-Params!$B$6+1),0)</f>
        <v/>
      </c>
      <c r="BP8" s="5">
        <f>IF(BP$2&gt;=Params!$B$6,INDEX($C$7:$BV$7,BP$2-Params!$B$6+1),0)</f>
        <v/>
      </c>
      <c r="BQ8" s="5">
        <f>IF(BQ$2&gt;=Params!$B$6,INDEX($C$7:$BV$7,BQ$2-Params!$B$6+1),0)</f>
        <v/>
      </c>
      <c r="BR8" s="5">
        <f>IF(BR$2&gt;=Params!$B$6,INDEX($C$7:$BV$7,BR$2-Params!$B$6+1),0)</f>
        <v/>
      </c>
      <c r="BS8" s="5">
        <f>IF(BS$2&gt;=Params!$B$6,INDEX($C$7:$BV$7,BS$2-Params!$B$6+1),0)</f>
        <v/>
      </c>
      <c r="BT8" s="5">
        <f>IF(BT$2&gt;=Params!$B$6,INDEX($C$7:$BV$7,BT$2-Params!$B$6+1),0)</f>
        <v/>
      </c>
      <c r="BU8" s="5">
        <f>IF(BU$2&gt;=Params!$B$6,INDEX($C$7:$BV$7,BU$2-Params!$B$6+1),0)</f>
        <v/>
      </c>
      <c r="BV8" s="5">
        <f>IF(BV$2&gt;=Params!$B$6,INDEX($C$7:$BV$7,BV$2-Params!$B$6+1),0)</f>
        <v/>
      </c>
    </row>
    <row r="9">
      <c r="A9" t="inlineStr">
        <is>
          <t>trials lost</t>
        </is>
      </c>
      <c r="B9" t="inlineStr">
        <is>
          <t>US_CA|NITRO_M</t>
        </is>
      </c>
      <c r="C9" s="5">
        <f>C6-C8</f>
        <v/>
      </c>
      <c r="D9" s="5">
        <f>D6-D8</f>
        <v/>
      </c>
      <c r="E9" s="5">
        <f>E6-E8</f>
        <v/>
      </c>
      <c r="F9" s="5">
        <f>F6-F8</f>
        <v/>
      </c>
      <c r="G9" s="5">
        <f>G6-G8</f>
        <v/>
      </c>
      <c r="H9" s="5">
        <f>H6-H8</f>
        <v/>
      </c>
      <c r="I9" s="5">
        <f>I6-I8</f>
        <v/>
      </c>
      <c r="J9" s="5">
        <f>J6-J8</f>
        <v/>
      </c>
      <c r="K9" s="5">
        <f>K6-K8</f>
        <v/>
      </c>
      <c r="L9" s="5">
        <f>L6-L8</f>
        <v/>
      </c>
      <c r="M9" s="5">
        <f>M6-M8</f>
        <v/>
      </c>
      <c r="N9" s="5">
        <f>N6-N8</f>
        <v/>
      </c>
      <c r="O9" s="5">
        <f>O6-O8</f>
        <v/>
      </c>
      <c r="P9" s="5">
        <f>P6-P8</f>
        <v/>
      </c>
      <c r="Q9" s="5">
        <f>Q6-Q8</f>
        <v/>
      </c>
      <c r="R9" s="5">
        <f>R6-R8</f>
        <v/>
      </c>
      <c r="S9" s="5">
        <f>S6-S8</f>
        <v/>
      </c>
      <c r="T9" s="5">
        <f>T6-T8</f>
        <v/>
      </c>
      <c r="U9" s="5">
        <f>U6-U8</f>
        <v/>
      </c>
      <c r="V9" s="5">
        <f>V6-V8</f>
        <v/>
      </c>
      <c r="W9" s="5">
        <f>W6-W8</f>
        <v/>
      </c>
      <c r="X9" s="5">
        <f>X6-X8</f>
        <v/>
      </c>
      <c r="Y9" s="5">
        <f>Y6-Y8</f>
        <v/>
      </c>
      <c r="Z9" s="5">
        <f>Z6-Z8</f>
        <v/>
      </c>
      <c r="AA9" s="5">
        <f>AA6-AA8</f>
        <v/>
      </c>
      <c r="AB9" s="5">
        <f>AB6-AB8</f>
        <v/>
      </c>
      <c r="AC9" s="5">
        <f>AC6-AC8</f>
        <v/>
      </c>
      <c r="AD9" s="5">
        <f>AD6-AD8</f>
        <v/>
      </c>
      <c r="AE9" s="5">
        <f>AE6-AE8</f>
        <v/>
      </c>
      <c r="AF9" s="5">
        <f>AF6-AF8</f>
        <v/>
      </c>
      <c r="AG9" s="5">
        <f>AG6-AG8</f>
        <v/>
      </c>
      <c r="AH9" s="5">
        <f>AH6-AH8</f>
        <v/>
      </c>
      <c r="AI9" s="5">
        <f>AI6-AI8</f>
        <v/>
      </c>
      <c r="AJ9" s="5">
        <f>AJ6-AJ8</f>
        <v/>
      </c>
      <c r="AK9" s="5">
        <f>AK6-AK8</f>
        <v/>
      </c>
      <c r="AL9" s="5">
        <f>AL6-AL8</f>
        <v/>
      </c>
      <c r="AM9" s="5">
        <f>AM6-AM8</f>
        <v/>
      </c>
      <c r="AN9" s="5">
        <f>AN6-AN8</f>
        <v/>
      </c>
      <c r="AO9" s="5">
        <f>AO6-AO8</f>
        <v/>
      </c>
      <c r="AP9" s="5">
        <f>AP6-AP8</f>
        <v/>
      </c>
      <c r="AQ9" s="5">
        <f>AQ6-AQ8</f>
        <v/>
      </c>
      <c r="AR9" s="5">
        <f>AR6-AR8</f>
        <v/>
      </c>
      <c r="AS9" s="5">
        <f>AS6-AS8</f>
        <v/>
      </c>
      <c r="AT9" s="5">
        <f>AT6-AT8</f>
        <v/>
      </c>
      <c r="AU9" s="5">
        <f>AU6-AU8</f>
        <v/>
      </c>
      <c r="AV9" s="5">
        <f>AV6-AV8</f>
        <v/>
      </c>
      <c r="AW9" s="5">
        <f>AW6-AW8</f>
        <v/>
      </c>
      <c r="AX9" s="5">
        <f>AX6-AX8</f>
        <v/>
      </c>
      <c r="AY9" s="5">
        <f>AY6-AY8</f>
        <v/>
      </c>
      <c r="AZ9" s="5">
        <f>AZ6-AZ8</f>
        <v/>
      </c>
      <c r="BA9" s="5">
        <f>BA6-BA8</f>
        <v/>
      </c>
      <c r="BB9" s="5">
        <f>BB6-BB8</f>
        <v/>
      </c>
      <c r="BC9" s="5">
        <f>BC6-BC8</f>
        <v/>
      </c>
      <c r="BD9" s="5">
        <f>BD6-BD8</f>
        <v/>
      </c>
      <c r="BE9" s="5">
        <f>BE6-BE8</f>
        <v/>
      </c>
      <c r="BF9" s="5">
        <f>BF6-BF8</f>
        <v/>
      </c>
      <c r="BG9" s="5">
        <f>BG6-BG8</f>
        <v/>
      </c>
      <c r="BH9" s="5">
        <f>BH6-BH8</f>
        <v/>
      </c>
      <c r="BI9" s="5">
        <f>BI6-BI8</f>
        <v/>
      </c>
      <c r="BJ9" s="5">
        <f>BJ6-BJ8</f>
        <v/>
      </c>
      <c r="BK9" s="5">
        <f>BK6-BK8</f>
        <v/>
      </c>
      <c r="BL9" s="5">
        <f>BL6-BL8</f>
        <v/>
      </c>
      <c r="BM9" s="5">
        <f>BM6-BM8</f>
        <v/>
      </c>
      <c r="BN9" s="5">
        <f>BN6-BN8</f>
        <v/>
      </c>
      <c r="BO9" s="5">
        <f>BO6-BO8</f>
        <v/>
      </c>
      <c r="BP9" s="5">
        <f>BP6-BP8</f>
        <v/>
      </c>
      <c r="BQ9" s="5">
        <f>BQ6-BQ8</f>
        <v/>
      </c>
      <c r="BR9" s="5">
        <f>BR6-BR8</f>
        <v/>
      </c>
      <c r="BS9" s="5">
        <f>BS6-BS8</f>
        <v/>
      </c>
      <c r="BT9" s="5">
        <f>BT6-BT8</f>
        <v/>
      </c>
      <c r="BU9" s="5">
        <f>BU6-BU8</f>
        <v/>
      </c>
      <c r="BV9" s="5">
        <f>BV6-BV8</f>
        <v/>
      </c>
    </row>
    <row r="10">
      <c r="A10" t="inlineStr">
        <is>
          <t>cum trial starts</t>
        </is>
      </c>
      <c r="B10" t="inlineStr">
        <is>
          <t>US_CA|NITRO_M</t>
        </is>
      </c>
      <c r="C10" s="5">
        <f>SUM($C4:C4)</f>
        <v/>
      </c>
      <c r="D10" s="5">
        <f>SUM($C4:D4)</f>
        <v/>
      </c>
      <c r="E10" s="5">
        <f>SUM($C4:E4)</f>
        <v/>
      </c>
      <c r="F10" s="5">
        <f>SUM($C4:F4)</f>
        <v/>
      </c>
      <c r="G10" s="5">
        <f>SUM($C4:G4)</f>
        <v/>
      </c>
      <c r="H10" s="5">
        <f>SUM($C4:H4)</f>
        <v/>
      </c>
      <c r="I10" s="5">
        <f>SUM($C4:I4)</f>
        <v/>
      </c>
      <c r="J10" s="5">
        <f>SUM($C4:J4)</f>
        <v/>
      </c>
      <c r="K10" s="5">
        <f>SUM($C4:K4)</f>
        <v/>
      </c>
      <c r="L10" s="5">
        <f>SUM($C4:L4)</f>
        <v/>
      </c>
      <c r="M10" s="5">
        <f>SUM($C4:M4)</f>
        <v/>
      </c>
      <c r="N10" s="5">
        <f>SUM($C4:N4)</f>
        <v/>
      </c>
      <c r="O10" s="5">
        <f>SUM($C4:O4)</f>
        <v/>
      </c>
      <c r="P10" s="5">
        <f>SUM($C4:P4)</f>
        <v/>
      </c>
      <c r="Q10" s="5">
        <f>SUM($C4:Q4)</f>
        <v/>
      </c>
      <c r="R10" s="5">
        <f>SUM($C4:R4)</f>
        <v/>
      </c>
      <c r="S10" s="5">
        <f>SUM($C4:S4)</f>
        <v/>
      </c>
      <c r="T10" s="5">
        <f>SUM($C4:T4)</f>
        <v/>
      </c>
      <c r="U10" s="5">
        <f>SUM($C4:U4)</f>
        <v/>
      </c>
      <c r="V10" s="5">
        <f>SUM($C4:V4)</f>
        <v/>
      </c>
      <c r="W10" s="5">
        <f>SUM($C4:W4)</f>
        <v/>
      </c>
      <c r="X10" s="5">
        <f>SUM($C4:X4)</f>
        <v/>
      </c>
      <c r="Y10" s="5">
        <f>SUM($C4:Y4)</f>
        <v/>
      </c>
      <c r="Z10" s="5">
        <f>SUM($C4:Z4)</f>
        <v/>
      </c>
      <c r="AA10" s="5">
        <f>SUM($C4:AA4)</f>
        <v/>
      </c>
      <c r="AB10" s="5">
        <f>SUM($C4:AB4)</f>
        <v/>
      </c>
      <c r="AC10" s="5">
        <f>SUM($C4:AC4)</f>
        <v/>
      </c>
      <c r="AD10" s="5">
        <f>SUM($C4:AD4)</f>
        <v/>
      </c>
      <c r="AE10" s="5">
        <f>SUM($C4:AE4)</f>
        <v/>
      </c>
      <c r="AF10" s="5">
        <f>SUM($C4:AF4)</f>
        <v/>
      </c>
      <c r="AG10" s="5">
        <f>SUM($C4:AG4)</f>
        <v/>
      </c>
      <c r="AH10" s="5">
        <f>SUM($C4:AH4)</f>
        <v/>
      </c>
      <c r="AI10" s="5">
        <f>SUM($C4:AI4)</f>
        <v/>
      </c>
      <c r="AJ10" s="5">
        <f>SUM($C4:AJ4)</f>
        <v/>
      </c>
      <c r="AK10" s="5">
        <f>SUM($C4:AK4)</f>
        <v/>
      </c>
      <c r="AL10" s="5">
        <f>SUM($C4:AL4)</f>
        <v/>
      </c>
      <c r="AM10" s="5">
        <f>SUM($C4:AM4)</f>
        <v/>
      </c>
      <c r="AN10" s="5">
        <f>SUM($C4:AN4)</f>
        <v/>
      </c>
      <c r="AO10" s="5">
        <f>SUM($C4:AO4)</f>
        <v/>
      </c>
      <c r="AP10" s="5">
        <f>SUM($C4:AP4)</f>
        <v/>
      </c>
      <c r="AQ10" s="5">
        <f>SUM($C4:AQ4)</f>
        <v/>
      </c>
      <c r="AR10" s="5">
        <f>SUM($C4:AR4)</f>
        <v/>
      </c>
      <c r="AS10" s="5">
        <f>SUM($C4:AS4)</f>
        <v/>
      </c>
      <c r="AT10" s="5">
        <f>SUM($C4:AT4)</f>
        <v/>
      </c>
      <c r="AU10" s="5">
        <f>SUM($C4:AU4)</f>
        <v/>
      </c>
      <c r="AV10" s="5">
        <f>SUM($C4:AV4)</f>
        <v/>
      </c>
      <c r="AW10" s="5">
        <f>SUM($C4:AW4)</f>
        <v/>
      </c>
      <c r="AX10" s="5">
        <f>SUM($C4:AX4)</f>
        <v/>
      </c>
      <c r="AY10" s="5">
        <f>SUM($C4:AY4)</f>
        <v/>
      </c>
      <c r="AZ10" s="5">
        <f>SUM($C4:AZ4)</f>
        <v/>
      </c>
      <c r="BA10" s="5">
        <f>SUM($C4:BA4)</f>
        <v/>
      </c>
      <c r="BB10" s="5">
        <f>SUM($C4:BB4)</f>
        <v/>
      </c>
      <c r="BC10" s="5">
        <f>SUM($C4:BC4)</f>
        <v/>
      </c>
      <c r="BD10" s="5">
        <f>SUM($C4:BD4)</f>
        <v/>
      </c>
      <c r="BE10" s="5">
        <f>SUM($C4:BE4)</f>
        <v/>
      </c>
      <c r="BF10" s="5">
        <f>SUM($C4:BF4)</f>
        <v/>
      </c>
      <c r="BG10" s="5">
        <f>SUM($C4:BG4)</f>
        <v/>
      </c>
      <c r="BH10" s="5">
        <f>SUM($C4:BH4)</f>
        <v/>
      </c>
      <c r="BI10" s="5">
        <f>SUM($C4:BI4)</f>
        <v/>
      </c>
      <c r="BJ10" s="5">
        <f>SUM($C4:BJ4)</f>
        <v/>
      </c>
      <c r="BK10" s="5">
        <f>SUM($C4:BK4)</f>
        <v/>
      </c>
      <c r="BL10" s="5">
        <f>SUM($C4:BL4)</f>
        <v/>
      </c>
      <c r="BM10" s="5">
        <f>SUM($C4:BM4)</f>
        <v/>
      </c>
      <c r="BN10" s="5">
        <f>SUM($C4:BN4)</f>
        <v/>
      </c>
      <c r="BO10" s="5">
        <f>SUM($C4:BO4)</f>
        <v/>
      </c>
      <c r="BP10" s="5">
        <f>SUM($C4:BP4)</f>
        <v/>
      </c>
      <c r="BQ10" s="5">
        <f>SUM($C4:BQ4)</f>
        <v/>
      </c>
      <c r="BR10" s="5">
        <f>SUM($C4:BR4)</f>
        <v/>
      </c>
      <c r="BS10" s="5">
        <f>SUM($C4:BS4)</f>
        <v/>
      </c>
      <c r="BT10" s="5">
        <f>SUM($C4:BT4)</f>
        <v/>
      </c>
      <c r="BU10" s="5">
        <f>SUM($C4:BU4)</f>
        <v/>
      </c>
      <c r="BV10" s="5">
        <f>SUM($C4:BV4)</f>
        <v/>
      </c>
    </row>
    <row r="11">
      <c r="A11" t="inlineStr">
        <is>
          <t>cum trials ending</t>
        </is>
      </c>
      <c r="B11" t="inlineStr">
        <is>
          <t>US_CA|NITRO_M</t>
        </is>
      </c>
      <c r="C11" s="5">
        <f>SUM($C6:C6)</f>
        <v/>
      </c>
      <c r="D11" s="5">
        <f>SUM($C6:D6)</f>
        <v/>
      </c>
      <c r="E11" s="5">
        <f>SUM($C6:E6)</f>
        <v/>
      </c>
      <c r="F11" s="5">
        <f>SUM($C6:F6)</f>
        <v/>
      </c>
      <c r="G11" s="5">
        <f>SUM($C6:G6)</f>
        <v/>
      </c>
      <c r="H11" s="5">
        <f>SUM($C6:H6)</f>
        <v/>
      </c>
      <c r="I11" s="5">
        <f>SUM($C6:I6)</f>
        <v/>
      </c>
      <c r="J11" s="5">
        <f>SUM($C6:J6)</f>
        <v/>
      </c>
      <c r="K11" s="5">
        <f>SUM($C6:K6)</f>
        <v/>
      </c>
      <c r="L11" s="5">
        <f>SUM($C6:L6)</f>
        <v/>
      </c>
      <c r="M11" s="5">
        <f>SUM($C6:M6)</f>
        <v/>
      </c>
      <c r="N11" s="5">
        <f>SUM($C6:N6)</f>
        <v/>
      </c>
      <c r="O11" s="5">
        <f>SUM($C6:O6)</f>
        <v/>
      </c>
      <c r="P11" s="5">
        <f>SUM($C6:P6)</f>
        <v/>
      </c>
      <c r="Q11" s="5">
        <f>SUM($C6:Q6)</f>
        <v/>
      </c>
      <c r="R11" s="5">
        <f>SUM($C6:R6)</f>
        <v/>
      </c>
      <c r="S11" s="5">
        <f>SUM($C6:S6)</f>
        <v/>
      </c>
      <c r="T11" s="5">
        <f>SUM($C6:T6)</f>
        <v/>
      </c>
      <c r="U11" s="5">
        <f>SUM($C6:U6)</f>
        <v/>
      </c>
      <c r="V11" s="5">
        <f>SUM($C6:V6)</f>
        <v/>
      </c>
      <c r="W11" s="5">
        <f>SUM($C6:W6)</f>
        <v/>
      </c>
      <c r="X11" s="5">
        <f>SUM($C6:X6)</f>
        <v/>
      </c>
      <c r="Y11" s="5">
        <f>SUM($C6:Y6)</f>
        <v/>
      </c>
      <c r="Z11" s="5">
        <f>SUM($C6:Z6)</f>
        <v/>
      </c>
      <c r="AA11" s="5">
        <f>SUM($C6:AA6)</f>
        <v/>
      </c>
      <c r="AB11" s="5">
        <f>SUM($C6:AB6)</f>
        <v/>
      </c>
      <c r="AC11" s="5">
        <f>SUM($C6:AC6)</f>
        <v/>
      </c>
      <c r="AD11" s="5">
        <f>SUM($C6:AD6)</f>
        <v/>
      </c>
      <c r="AE11" s="5">
        <f>SUM($C6:AE6)</f>
        <v/>
      </c>
      <c r="AF11" s="5">
        <f>SUM($C6:AF6)</f>
        <v/>
      </c>
      <c r="AG11" s="5">
        <f>SUM($C6:AG6)</f>
        <v/>
      </c>
      <c r="AH11" s="5">
        <f>SUM($C6:AH6)</f>
        <v/>
      </c>
      <c r="AI11" s="5">
        <f>SUM($C6:AI6)</f>
        <v/>
      </c>
      <c r="AJ11" s="5">
        <f>SUM($C6:AJ6)</f>
        <v/>
      </c>
      <c r="AK11" s="5">
        <f>SUM($C6:AK6)</f>
        <v/>
      </c>
      <c r="AL11" s="5">
        <f>SUM($C6:AL6)</f>
        <v/>
      </c>
      <c r="AM11" s="5">
        <f>SUM($C6:AM6)</f>
        <v/>
      </c>
      <c r="AN11" s="5">
        <f>SUM($C6:AN6)</f>
        <v/>
      </c>
      <c r="AO11" s="5">
        <f>SUM($C6:AO6)</f>
        <v/>
      </c>
      <c r="AP11" s="5">
        <f>SUM($C6:AP6)</f>
        <v/>
      </c>
      <c r="AQ11" s="5">
        <f>SUM($C6:AQ6)</f>
        <v/>
      </c>
      <c r="AR11" s="5">
        <f>SUM($C6:AR6)</f>
        <v/>
      </c>
      <c r="AS11" s="5">
        <f>SUM($C6:AS6)</f>
        <v/>
      </c>
      <c r="AT11" s="5">
        <f>SUM($C6:AT6)</f>
        <v/>
      </c>
      <c r="AU11" s="5">
        <f>SUM($C6:AU6)</f>
        <v/>
      </c>
      <c r="AV11" s="5">
        <f>SUM($C6:AV6)</f>
        <v/>
      </c>
      <c r="AW11" s="5">
        <f>SUM($C6:AW6)</f>
        <v/>
      </c>
      <c r="AX11" s="5">
        <f>SUM($C6:AX6)</f>
        <v/>
      </c>
      <c r="AY11" s="5">
        <f>SUM($C6:AY6)</f>
        <v/>
      </c>
      <c r="AZ11" s="5">
        <f>SUM($C6:AZ6)</f>
        <v/>
      </c>
      <c r="BA11" s="5">
        <f>SUM($C6:BA6)</f>
        <v/>
      </c>
      <c r="BB11" s="5">
        <f>SUM($C6:BB6)</f>
        <v/>
      </c>
      <c r="BC11" s="5">
        <f>SUM($C6:BC6)</f>
        <v/>
      </c>
      <c r="BD11" s="5">
        <f>SUM($C6:BD6)</f>
        <v/>
      </c>
      <c r="BE11" s="5">
        <f>SUM($C6:BE6)</f>
        <v/>
      </c>
      <c r="BF11" s="5">
        <f>SUM($C6:BF6)</f>
        <v/>
      </c>
      <c r="BG11" s="5">
        <f>SUM($C6:BG6)</f>
        <v/>
      </c>
      <c r="BH11" s="5">
        <f>SUM($C6:BH6)</f>
        <v/>
      </c>
      <c r="BI11" s="5">
        <f>SUM($C6:BI6)</f>
        <v/>
      </c>
      <c r="BJ11" s="5">
        <f>SUM($C6:BJ6)</f>
        <v/>
      </c>
      <c r="BK11" s="5">
        <f>SUM($C6:BK6)</f>
        <v/>
      </c>
      <c r="BL11" s="5">
        <f>SUM($C6:BL6)</f>
        <v/>
      </c>
      <c r="BM11" s="5">
        <f>SUM($C6:BM6)</f>
        <v/>
      </c>
      <c r="BN11" s="5">
        <f>SUM($C6:BN6)</f>
        <v/>
      </c>
      <c r="BO11" s="5">
        <f>SUM($C6:BO6)</f>
        <v/>
      </c>
      <c r="BP11" s="5">
        <f>SUM($C6:BP6)</f>
        <v/>
      </c>
      <c r="BQ11" s="5">
        <f>SUM($C6:BQ6)</f>
        <v/>
      </c>
      <c r="BR11" s="5">
        <f>SUM($C6:BR6)</f>
        <v/>
      </c>
      <c r="BS11" s="5">
        <f>SUM($C6:BS6)</f>
        <v/>
      </c>
      <c r="BT11" s="5">
        <f>SUM($C6:BT6)</f>
        <v/>
      </c>
      <c r="BU11" s="5">
        <f>SUM($C6:BU6)</f>
        <v/>
      </c>
      <c r="BV11" s="5">
        <f>SUM($C6:BV6)</f>
        <v/>
      </c>
    </row>
    <row r="12">
      <c r="A12" t="inlineStr">
        <is>
          <t>trials active</t>
        </is>
      </c>
      <c r="B12" t="inlineStr">
        <is>
          <t>US_CA|NITRO_M</t>
        </is>
      </c>
      <c r="C12" s="5">
        <f>C10-C11</f>
        <v/>
      </c>
      <c r="D12" s="5">
        <f>D10-D11</f>
        <v/>
      </c>
      <c r="E12" s="5">
        <f>E10-E11</f>
        <v/>
      </c>
      <c r="F12" s="5">
        <f>F10-F11</f>
        <v/>
      </c>
      <c r="G12" s="5">
        <f>G10-G11</f>
        <v/>
      </c>
      <c r="H12" s="5">
        <f>H10-H11</f>
        <v/>
      </c>
      <c r="I12" s="5">
        <f>I10-I11</f>
        <v/>
      </c>
      <c r="J12" s="5">
        <f>J10-J11</f>
        <v/>
      </c>
      <c r="K12" s="5">
        <f>K10-K11</f>
        <v/>
      </c>
      <c r="L12" s="5">
        <f>L10-L11</f>
        <v/>
      </c>
      <c r="M12" s="5">
        <f>M10-M11</f>
        <v/>
      </c>
      <c r="N12" s="5">
        <f>N10-N11</f>
        <v/>
      </c>
      <c r="O12" s="5">
        <f>O10-O11</f>
        <v/>
      </c>
      <c r="P12" s="5">
        <f>P10-P11</f>
        <v/>
      </c>
      <c r="Q12" s="5">
        <f>Q10-Q11</f>
        <v/>
      </c>
      <c r="R12" s="5">
        <f>R10-R11</f>
        <v/>
      </c>
      <c r="S12" s="5">
        <f>S10-S11</f>
        <v/>
      </c>
      <c r="T12" s="5">
        <f>T10-T11</f>
        <v/>
      </c>
      <c r="U12" s="5">
        <f>U10-U11</f>
        <v/>
      </c>
      <c r="V12" s="5">
        <f>V10-V11</f>
        <v/>
      </c>
      <c r="W12" s="5">
        <f>W10-W11</f>
        <v/>
      </c>
      <c r="X12" s="5">
        <f>X10-X11</f>
        <v/>
      </c>
      <c r="Y12" s="5">
        <f>Y10-Y11</f>
        <v/>
      </c>
      <c r="Z12" s="5">
        <f>Z10-Z11</f>
        <v/>
      </c>
      <c r="AA12" s="5">
        <f>AA10-AA11</f>
        <v/>
      </c>
      <c r="AB12" s="5">
        <f>AB10-AB11</f>
        <v/>
      </c>
      <c r="AC12" s="5">
        <f>AC10-AC11</f>
        <v/>
      </c>
      <c r="AD12" s="5">
        <f>AD10-AD11</f>
        <v/>
      </c>
      <c r="AE12" s="5">
        <f>AE10-AE11</f>
        <v/>
      </c>
      <c r="AF12" s="5">
        <f>AF10-AF11</f>
        <v/>
      </c>
      <c r="AG12" s="5">
        <f>AG10-AG11</f>
        <v/>
      </c>
      <c r="AH12" s="5">
        <f>AH10-AH11</f>
        <v/>
      </c>
      <c r="AI12" s="5">
        <f>AI10-AI11</f>
        <v/>
      </c>
      <c r="AJ12" s="5">
        <f>AJ10-AJ11</f>
        <v/>
      </c>
      <c r="AK12" s="5">
        <f>AK10-AK11</f>
        <v/>
      </c>
      <c r="AL12" s="5">
        <f>AL10-AL11</f>
        <v/>
      </c>
      <c r="AM12" s="5">
        <f>AM10-AM11</f>
        <v/>
      </c>
      <c r="AN12" s="5">
        <f>AN10-AN11</f>
        <v/>
      </c>
      <c r="AO12" s="5">
        <f>AO10-AO11</f>
        <v/>
      </c>
      <c r="AP12" s="5">
        <f>AP10-AP11</f>
        <v/>
      </c>
      <c r="AQ12" s="5">
        <f>AQ10-AQ11</f>
        <v/>
      </c>
      <c r="AR12" s="5">
        <f>AR10-AR11</f>
        <v/>
      </c>
      <c r="AS12" s="5">
        <f>AS10-AS11</f>
        <v/>
      </c>
      <c r="AT12" s="5">
        <f>AT10-AT11</f>
        <v/>
      </c>
      <c r="AU12" s="5">
        <f>AU10-AU11</f>
        <v/>
      </c>
      <c r="AV12" s="5">
        <f>AV10-AV11</f>
        <v/>
      </c>
      <c r="AW12" s="5">
        <f>AW10-AW11</f>
        <v/>
      </c>
      <c r="AX12" s="5">
        <f>AX10-AX11</f>
        <v/>
      </c>
      <c r="AY12" s="5">
        <f>AY10-AY11</f>
        <v/>
      </c>
      <c r="AZ12" s="5">
        <f>AZ10-AZ11</f>
        <v/>
      </c>
      <c r="BA12" s="5">
        <f>BA10-BA11</f>
        <v/>
      </c>
      <c r="BB12" s="5">
        <f>BB10-BB11</f>
        <v/>
      </c>
      <c r="BC12" s="5">
        <f>BC10-BC11</f>
        <v/>
      </c>
      <c r="BD12" s="5">
        <f>BD10-BD11</f>
        <v/>
      </c>
      <c r="BE12" s="5">
        <f>BE10-BE11</f>
        <v/>
      </c>
      <c r="BF12" s="5">
        <f>BF10-BF11</f>
        <v/>
      </c>
      <c r="BG12" s="5">
        <f>BG10-BG11</f>
        <v/>
      </c>
      <c r="BH12" s="5">
        <f>BH10-BH11</f>
        <v/>
      </c>
      <c r="BI12" s="5">
        <f>BI10-BI11</f>
        <v/>
      </c>
      <c r="BJ12" s="5">
        <f>BJ10-BJ11</f>
        <v/>
      </c>
      <c r="BK12" s="5">
        <f>BK10-BK11</f>
        <v/>
      </c>
      <c r="BL12" s="5">
        <f>BL10-BL11</f>
        <v/>
      </c>
      <c r="BM12" s="5">
        <f>BM10-BM11</f>
        <v/>
      </c>
      <c r="BN12" s="5">
        <f>BN10-BN11</f>
        <v/>
      </c>
      <c r="BO12" s="5">
        <f>BO10-BO11</f>
        <v/>
      </c>
      <c r="BP12" s="5">
        <f>BP10-BP11</f>
        <v/>
      </c>
      <c r="BQ12" s="5">
        <f>BQ10-BQ11</f>
        <v/>
      </c>
      <c r="BR12" s="5">
        <f>BR10-BR11</f>
        <v/>
      </c>
      <c r="BS12" s="5">
        <f>BS10-BS11</f>
        <v/>
      </c>
      <c r="BT12" s="5">
        <f>BT10-BT11</f>
        <v/>
      </c>
      <c r="BU12" s="5">
        <f>BU10-BU11</f>
        <v/>
      </c>
      <c r="BV12" s="5">
        <f>BV10-BV11</f>
        <v/>
      </c>
    </row>
    <row r="13">
      <c r="A13" t="inlineStr">
        <is>
          <t>paid starts</t>
        </is>
      </c>
      <c r="B13" t="inlineStr">
        <is>
          <t>US_CA|NITRO_M</t>
        </is>
      </c>
      <c r="C13" s="5">
        <f>C5+C8</f>
        <v/>
      </c>
      <c r="D13" s="5">
        <f>D5+D8</f>
        <v/>
      </c>
      <c r="E13" s="5">
        <f>E5+E8</f>
        <v/>
      </c>
      <c r="F13" s="5">
        <f>F5+F8</f>
        <v/>
      </c>
      <c r="G13" s="5">
        <f>G5+G8</f>
        <v/>
      </c>
      <c r="H13" s="5">
        <f>H5+H8</f>
        <v/>
      </c>
      <c r="I13" s="5">
        <f>I5+I8</f>
        <v/>
      </c>
      <c r="J13" s="5">
        <f>J5+J8</f>
        <v/>
      </c>
      <c r="K13" s="5">
        <f>K5+K8</f>
        <v/>
      </c>
      <c r="L13" s="5">
        <f>L5+L8</f>
        <v/>
      </c>
      <c r="M13" s="5">
        <f>M5+M8</f>
        <v/>
      </c>
      <c r="N13" s="5">
        <f>N5+N8</f>
        <v/>
      </c>
      <c r="O13" s="5">
        <f>O5+O8</f>
        <v/>
      </c>
      <c r="P13" s="5">
        <f>P5+P8</f>
        <v/>
      </c>
      <c r="Q13" s="5">
        <f>Q5+Q8</f>
        <v/>
      </c>
      <c r="R13" s="5">
        <f>R5+R8</f>
        <v/>
      </c>
      <c r="S13" s="5">
        <f>S5+S8</f>
        <v/>
      </c>
      <c r="T13" s="5">
        <f>T5+T8</f>
        <v/>
      </c>
      <c r="U13" s="5">
        <f>U5+U8</f>
        <v/>
      </c>
      <c r="V13" s="5">
        <f>V5+V8</f>
        <v/>
      </c>
      <c r="W13" s="5">
        <f>W5+W8</f>
        <v/>
      </c>
      <c r="X13" s="5">
        <f>X5+X8</f>
        <v/>
      </c>
      <c r="Y13" s="5">
        <f>Y5+Y8</f>
        <v/>
      </c>
      <c r="Z13" s="5">
        <f>Z5+Z8</f>
        <v/>
      </c>
      <c r="AA13" s="5">
        <f>AA5+AA8</f>
        <v/>
      </c>
      <c r="AB13" s="5">
        <f>AB5+AB8</f>
        <v/>
      </c>
      <c r="AC13" s="5">
        <f>AC5+AC8</f>
        <v/>
      </c>
      <c r="AD13" s="5">
        <f>AD5+AD8</f>
        <v/>
      </c>
      <c r="AE13" s="5">
        <f>AE5+AE8</f>
        <v/>
      </c>
      <c r="AF13" s="5">
        <f>AF5+AF8</f>
        <v/>
      </c>
      <c r="AG13" s="5">
        <f>AG5+AG8</f>
        <v/>
      </c>
      <c r="AH13" s="5">
        <f>AH5+AH8</f>
        <v/>
      </c>
      <c r="AI13" s="5">
        <f>AI5+AI8</f>
        <v/>
      </c>
      <c r="AJ13" s="5">
        <f>AJ5+AJ8</f>
        <v/>
      </c>
      <c r="AK13" s="5">
        <f>AK5+AK8</f>
        <v/>
      </c>
      <c r="AL13" s="5">
        <f>AL5+AL8</f>
        <v/>
      </c>
      <c r="AM13" s="5">
        <f>AM5+AM8</f>
        <v/>
      </c>
      <c r="AN13" s="5">
        <f>AN5+AN8</f>
        <v/>
      </c>
      <c r="AO13" s="5">
        <f>AO5+AO8</f>
        <v/>
      </c>
      <c r="AP13" s="5">
        <f>AP5+AP8</f>
        <v/>
      </c>
      <c r="AQ13" s="5">
        <f>AQ5+AQ8</f>
        <v/>
      </c>
      <c r="AR13" s="5">
        <f>AR5+AR8</f>
        <v/>
      </c>
      <c r="AS13" s="5">
        <f>AS5+AS8</f>
        <v/>
      </c>
      <c r="AT13" s="5">
        <f>AT5+AT8</f>
        <v/>
      </c>
      <c r="AU13" s="5">
        <f>AU5+AU8</f>
        <v/>
      </c>
      <c r="AV13" s="5">
        <f>AV5+AV8</f>
        <v/>
      </c>
      <c r="AW13" s="5">
        <f>AW5+AW8</f>
        <v/>
      </c>
      <c r="AX13" s="5">
        <f>AX5+AX8</f>
        <v/>
      </c>
      <c r="AY13" s="5">
        <f>AY5+AY8</f>
        <v/>
      </c>
      <c r="AZ13" s="5">
        <f>AZ5+AZ8</f>
        <v/>
      </c>
      <c r="BA13" s="5">
        <f>BA5+BA8</f>
        <v/>
      </c>
      <c r="BB13" s="5">
        <f>BB5+BB8</f>
        <v/>
      </c>
      <c r="BC13" s="5">
        <f>BC5+BC8</f>
        <v/>
      </c>
      <c r="BD13" s="5">
        <f>BD5+BD8</f>
        <v/>
      </c>
      <c r="BE13" s="5">
        <f>BE5+BE8</f>
        <v/>
      </c>
      <c r="BF13" s="5">
        <f>BF5+BF8</f>
        <v/>
      </c>
      <c r="BG13" s="5">
        <f>BG5+BG8</f>
        <v/>
      </c>
      <c r="BH13" s="5">
        <f>BH5+BH8</f>
        <v/>
      </c>
      <c r="BI13" s="5">
        <f>BI5+BI8</f>
        <v/>
      </c>
      <c r="BJ13" s="5">
        <f>BJ5+BJ8</f>
        <v/>
      </c>
      <c r="BK13" s="5">
        <f>BK5+BK8</f>
        <v/>
      </c>
      <c r="BL13" s="5">
        <f>BL5+BL8</f>
        <v/>
      </c>
      <c r="BM13" s="5">
        <f>BM5+BM8</f>
        <v/>
      </c>
      <c r="BN13" s="5">
        <f>BN5+BN8</f>
        <v/>
      </c>
      <c r="BO13" s="5">
        <f>BO5+BO8</f>
        <v/>
      </c>
      <c r="BP13" s="5">
        <f>BP5+BP8</f>
        <v/>
      </c>
      <c r="BQ13" s="5">
        <f>BQ5+BQ8</f>
        <v/>
      </c>
      <c r="BR13" s="5">
        <f>BR5+BR8</f>
        <v/>
      </c>
      <c r="BS13" s="5">
        <f>BS5+BS8</f>
        <v/>
      </c>
      <c r="BT13" s="5">
        <f>BT5+BT8</f>
        <v/>
      </c>
      <c r="BU13" s="5">
        <f>BU5+BU8</f>
        <v/>
      </c>
      <c r="BV13" s="5">
        <f>BV5+BV8</f>
        <v/>
      </c>
    </row>
    <row r="14">
      <c r="A14" t="inlineStr">
        <is>
          <t>paid starts @0</t>
        </is>
      </c>
      <c r="B14" t="inlineStr">
        <is>
          <t>US_CA|NITRO_M</t>
        </is>
      </c>
      <c r="C14" s="5">
        <f>C13*Eras!C$3</f>
        <v/>
      </c>
      <c r="D14" s="5">
        <f>D13*Eras!D$3</f>
        <v/>
      </c>
      <c r="E14" s="5">
        <f>E13*Eras!E$3</f>
        <v/>
      </c>
      <c r="F14" s="5">
        <f>F13*Eras!F$3</f>
        <v/>
      </c>
      <c r="G14" s="5">
        <f>G13*Eras!G$3</f>
        <v/>
      </c>
      <c r="H14" s="5">
        <f>H13*Eras!H$3</f>
        <v/>
      </c>
      <c r="I14" s="5">
        <f>I13*Eras!I$3</f>
        <v/>
      </c>
      <c r="J14" s="5">
        <f>J13*Eras!J$3</f>
        <v/>
      </c>
      <c r="K14" s="5">
        <f>K13*Eras!K$3</f>
        <v/>
      </c>
      <c r="L14" s="5">
        <f>L13*Eras!L$3</f>
        <v/>
      </c>
      <c r="M14" s="5">
        <f>M13*Eras!M$3</f>
        <v/>
      </c>
      <c r="N14" s="5">
        <f>N13*Eras!N$3</f>
        <v/>
      </c>
      <c r="O14" s="5">
        <f>O13*Eras!O$3</f>
        <v/>
      </c>
      <c r="P14" s="5">
        <f>P13*Eras!P$3</f>
        <v/>
      </c>
      <c r="Q14" s="5">
        <f>Q13*Eras!Q$3</f>
        <v/>
      </c>
      <c r="R14" s="5">
        <f>R13*Eras!R$3</f>
        <v/>
      </c>
      <c r="S14" s="5">
        <f>S13*Eras!S$3</f>
        <v/>
      </c>
      <c r="T14" s="5">
        <f>T13*Eras!T$3</f>
        <v/>
      </c>
      <c r="U14" s="5">
        <f>U13*Eras!U$3</f>
        <v/>
      </c>
      <c r="V14" s="5">
        <f>V13*Eras!V$3</f>
        <v/>
      </c>
      <c r="W14" s="5">
        <f>W13*Eras!W$3</f>
        <v/>
      </c>
      <c r="X14" s="5">
        <f>X13*Eras!X$3</f>
        <v/>
      </c>
      <c r="Y14" s="5">
        <f>Y13*Eras!Y$3</f>
        <v/>
      </c>
      <c r="Z14" s="5">
        <f>Z13*Eras!Z$3</f>
        <v/>
      </c>
      <c r="AA14" s="5">
        <f>AA13*Eras!AA$3</f>
        <v/>
      </c>
      <c r="AB14" s="5">
        <f>AB13*Eras!AB$3</f>
        <v/>
      </c>
      <c r="AC14" s="5">
        <f>AC13*Eras!AC$3</f>
        <v/>
      </c>
      <c r="AD14" s="5">
        <f>AD13*Eras!AD$3</f>
        <v/>
      </c>
      <c r="AE14" s="5">
        <f>AE13*Eras!AE$3</f>
        <v/>
      </c>
      <c r="AF14" s="5">
        <f>AF13*Eras!AF$3</f>
        <v/>
      </c>
      <c r="AG14" s="5">
        <f>AG13*Eras!AG$3</f>
        <v/>
      </c>
      <c r="AH14" s="5">
        <f>AH13*Eras!AH$3</f>
        <v/>
      </c>
      <c r="AI14" s="5">
        <f>AI13*Eras!AI$3</f>
        <v/>
      </c>
      <c r="AJ14" s="5">
        <f>AJ13*Eras!AJ$3</f>
        <v/>
      </c>
      <c r="AK14" s="5">
        <f>AK13*Eras!AK$3</f>
        <v/>
      </c>
      <c r="AL14" s="5">
        <f>AL13*Eras!AL$3</f>
        <v/>
      </c>
      <c r="AM14" s="5">
        <f>AM13*Eras!AM$3</f>
        <v/>
      </c>
      <c r="AN14" s="5">
        <f>AN13*Eras!AN$3</f>
        <v/>
      </c>
      <c r="AO14" s="5">
        <f>AO13*Eras!AO$3</f>
        <v/>
      </c>
      <c r="AP14" s="5">
        <f>AP13*Eras!AP$3</f>
        <v/>
      </c>
      <c r="AQ14" s="5">
        <f>AQ13*Eras!AQ$3</f>
        <v/>
      </c>
      <c r="AR14" s="5">
        <f>AR13*Eras!AR$3</f>
        <v/>
      </c>
      <c r="AS14" s="5">
        <f>AS13*Eras!AS$3</f>
        <v/>
      </c>
      <c r="AT14" s="5">
        <f>AT13*Eras!AT$3</f>
        <v/>
      </c>
      <c r="AU14" s="5">
        <f>AU13*Eras!AU$3</f>
        <v/>
      </c>
      <c r="AV14" s="5">
        <f>AV13*Eras!AV$3</f>
        <v/>
      </c>
      <c r="AW14" s="5">
        <f>AW13*Eras!AW$3</f>
        <v/>
      </c>
      <c r="AX14" s="5">
        <f>AX13*Eras!AX$3</f>
        <v/>
      </c>
      <c r="AY14" s="5">
        <f>AY13*Eras!AY$3</f>
        <v/>
      </c>
      <c r="AZ14" s="5">
        <f>AZ13*Eras!AZ$3</f>
        <v/>
      </c>
      <c r="BA14" s="5">
        <f>BA13*Eras!BA$3</f>
        <v/>
      </c>
      <c r="BB14" s="5">
        <f>BB13*Eras!BB$3</f>
        <v/>
      </c>
      <c r="BC14" s="5">
        <f>BC13*Eras!BC$3</f>
        <v/>
      </c>
      <c r="BD14" s="5">
        <f>BD13*Eras!BD$3</f>
        <v/>
      </c>
      <c r="BE14" s="5">
        <f>BE13*Eras!BE$3</f>
        <v/>
      </c>
      <c r="BF14" s="5">
        <f>BF13*Eras!BF$3</f>
        <v/>
      </c>
      <c r="BG14" s="5">
        <f>BG13*Eras!BG$3</f>
        <v/>
      </c>
      <c r="BH14" s="5">
        <f>BH13*Eras!BH$3</f>
        <v/>
      </c>
      <c r="BI14" s="5">
        <f>BI13*Eras!BI$3</f>
        <v/>
      </c>
      <c r="BJ14" s="5">
        <f>BJ13*Eras!BJ$3</f>
        <v/>
      </c>
      <c r="BK14" s="5">
        <f>BK13*Eras!BK$3</f>
        <v/>
      </c>
      <c r="BL14" s="5">
        <f>BL13*Eras!BL$3</f>
        <v/>
      </c>
      <c r="BM14" s="5">
        <f>BM13*Eras!BM$3</f>
        <v/>
      </c>
      <c r="BN14" s="5">
        <f>BN13*Eras!BN$3</f>
        <v/>
      </c>
      <c r="BO14" s="5">
        <f>BO13*Eras!BO$3</f>
        <v/>
      </c>
      <c r="BP14" s="5">
        <f>BP13*Eras!BP$3</f>
        <v/>
      </c>
      <c r="BQ14" s="5">
        <f>BQ13*Eras!BQ$3</f>
        <v/>
      </c>
      <c r="BR14" s="5">
        <f>BR13*Eras!BR$3</f>
        <v/>
      </c>
      <c r="BS14" s="5">
        <f>BS13*Eras!BS$3</f>
        <v/>
      </c>
      <c r="BT14" s="5">
        <f>BT13*Eras!BT$3</f>
        <v/>
      </c>
      <c r="BU14" s="5">
        <f>BU13*Eras!BU$3</f>
        <v/>
      </c>
      <c r="BV14" s="5">
        <f>BV13*Eras!BV$3</f>
        <v/>
      </c>
    </row>
    <row r="15">
      <c r="A15" t="inlineStr">
        <is>
          <t>paid starts @1</t>
        </is>
      </c>
      <c r="B15" t="inlineStr">
        <is>
          <t>US_CA|NITRO_M</t>
        </is>
      </c>
      <c r="C15" s="5">
        <f>C13*Eras!C$4</f>
        <v/>
      </c>
      <c r="D15" s="5">
        <f>D13*Eras!D$4</f>
        <v/>
      </c>
      <c r="E15" s="5">
        <f>E13*Eras!E$4</f>
        <v/>
      </c>
      <c r="F15" s="5">
        <f>F13*Eras!F$4</f>
        <v/>
      </c>
      <c r="G15" s="5">
        <f>G13*Eras!G$4</f>
        <v/>
      </c>
      <c r="H15" s="5">
        <f>H13*Eras!H$4</f>
        <v/>
      </c>
      <c r="I15" s="5">
        <f>I13*Eras!I$4</f>
        <v/>
      </c>
      <c r="J15" s="5">
        <f>J13*Eras!J$4</f>
        <v/>
      </c>
      <c r="K15" s="5">
        <f>K13*Eras!K$4</f>
        <v/>
      </c>
      <c r="L15" s="5">
        <f>L13*Eras!L$4</f>
        <v/>
      </c>
      <c r="M15" s="5">
        <f>M13*Eras!M$4</f>
        <v/>
      </c>
      <c r="N15" s="5">
        <f>N13*Eras!N$4</f>
        <v/>
      </c>
      <c r="O15" s="5">
        <f>O13*Eras!O$4</f>
        <v/>
      </c>
      <c r="P15" s="5">
        <f>P13*Eras!P$4</f>
        <v/>
      </c>
      <c r="Q15" s="5">
        <f>Q13*Eras!Q$4</f>
        <v/>
      </c>
      <c r="R15" s="5">
        <f>R13*Eras!R$4</f>
        <v/>
      </c>
      <c r="S15" s="5">
        <f>S13*Eras!S$4</f>
        <v/>
      </c>
      <c r="T15" s="5">
        <f>T13*Eras!T$4</f>
        <v/>
      </c>
      <c r="U15" s="5">
        <f>U13*Eras!U$4</f>
        <v/>
      </c>
      <c r="V15" s="5">
        <f>V13*Eras!V$4</f>
        <v/>
      </c>
      <c r="W15" s="5">
        <f>W13*Eras!W$4</f>
        <v/>
      </c>
      <c r="X15" s="5">
        <f>X13*Eras!X$4</f>
        <v/>
      </c>
      <c r="Y15" s="5">
        <f>Y13*Eras!Y$4</f>
        <v/>
      </c>
      <c r="Z15" s="5">
        <f>Z13*Eras!Z$4</f>
        <v/>
      </c>
      <c r="AA15" s="5">
        <f>AA13*Eras!AA$4</f>
        <v/>
      </c>
      <c r="AB15" s="5">
        <f>AB13*Eras!AB$4</f>
        <v/>
      </c>
      <c r="AC15" s="5">
        <f>AC13*Eras!AC$4</f>
        <v/>
      </c>
      <c r="AD15" s="5">
        <f>AD13*Eras!AD$4</f>
        <v/>
      </c>
      <c r="AE15" s="5">
        <f>AE13*Eras!AE$4</f>
        <v/>
      </c>
      <c r="AF15" s="5">
        <f>AF13*Eras!AF$4</f>
        <v/>
      </c>
      <c r="AG15" s="5">
        <f>AG13*Eras!AG$4</f>
        <v/>
      </c>
      <c r="AH15" s="5">
        <f>AH13*Eras!AH$4</f>
        <v/>
      </c>
      <c r="AI15" s="5">
        <f>AI13*Eras!AI$4</f>
        <v/>
      </c>
      <c r="AJ15" s="5">
        <f>AJ13*Eras!AJ$4</f>
        <v/>
      </c>
      <c r="AK15" s="5">
        <f>AK13*Eras!AK$4</f>
        <v/>
      </c>
      <c r="AL15" s="5">
        <f>AL13*Eras!AL$4</f>
        <v/>
      </c>
      <c r="AM15" s="5">
        <f>AM13*Eras!AM$4</f>
        <v/>
      </c>
      <c r="AN15" s="5">
        <f>AN13*Eras!AN$4</f>
        <v/>
      </c>
      <c r="AO15" s="5">
        <f>AO13*Eras!AO$4</f>
        <v/>
      </c>
      <c r="AP15" s="5">
        <f>AP13*Eras!AP$4</f>
        <v/>
      </c>
      <c r="AQ15" s="5">
        <f>AQ13*Eras!AQ$4</f>
        <v/>
      </c>
      <c r="AR15" s="5">
        <f>AR13*Eras!AR$4</f>
        <v/>
      </c>
      <c r="AS15" s="5">
        <f>AS13*Eras!AS$4</f>
        <v/>
      </c>
      <c r="AT15" s="5">
        <f>AT13*Eras!AT$4</f>
        <v/>
      </c>
      <c r="AU15" s="5">
        <f>AU13*Eras!AU$4</f>
        <v/>
      </c>
      <c r="AV15" s="5">
        <f>AV13*Eras!AV$4</f>
        <v/>
      </c>
      <c r="AW15" s="5">
        <f>AW13*Eras!AW$4</f>
        <v/>
      </c>
      <c r="AX15" s="5">
        <f>AX13*Eras!AX$4</f>
        <v/>
      </c>
      <c r="AY15" s="5">
        <f>AY13*Eras!AY$4</f>
        <v/>
      </c>
      <c r="AZ15" s="5">
        <f>AZ13*Eras!AZ$4</f>
        <v/>
      </c>
      <c r="BA15" s="5">
        <f>BA13*Eras!BA$4</f>
        <v/>
      </c>
      <c r="BB15" s="5">
        <f>BB13*Eras!BB$4</f>
        <v/>
      </c>
      <c r="BC15" s="5">
        <f>BC13*Eras!BC$4</f>
        <v/>
      </c>
      <c r="BD15" s="5">
        <f>BD13*Eras!BD$4</f>
        <v/>
      </c>
      <c r="BE15" s="5">
        <f>BE13*Eras!BE$4</f>
        <v/>
      </c>
      <c r="BF15" s="5">
        <f>BF13*Eras!BF$4</f>
        <v/>
      </c>
      <c r="BG15" s="5">
        <f>BG13*Eras!BG$4</f>
        <v/>
      </c>
      <c r="BH15" s="5">
        <f>BH13*Eras!BH$4</f>
        <v/>
      </c>
      <c r="BI15" s="5">
        <f>BI13*Eras!BI$4</f>
        <v/>
      </c>
      <c r="BJ15" s="5">
        <f>BJ13*Eras!BJ$4</f>
        <v/>
      </c>
      <c r="BK15" s="5">
        <f>BK13*Eras!BK$4</f>
        <v/>
      </c>
      <c r="BL15" s="5">
        <f>BL13*Eras!BL$4</f>
        <v/>
      </c>
      <c r="BM15" s="5">
        <f>BM13*Eras!BM$4</f>
        <v/>
      </c>
      <c r="BN15" s="5">
        <f>BN13*Eras!BN$4</f>
        <v/>
      </c>
      <c r="BO15" s="5">
        <f>BO13*Eras!BO$4</f>
        <v/>
      </c>
      <c r="BP15" s="5">
        <f>BP13*Eras!BP$4</f>
        <v/>
      </c>
      <c r="BQ15" s="5">
        <f>BQ13*Eras!BQ$4</f>
        <v/>
      </c>
      <c r="BR15" s="5">
        <f>BR13*Eras!BR$4</f>
        <v/>
      </c>
      <c r="BS15" s="5">
        <f>BS13*Eras!BS$4</f>
        <v/>
      </c>
      <c r="BT15" s="5">
        <f>BT13*Eras!BT$4</f>
        <v/>
      </c>
      <c r="BU15" s="5">
        <f>BU13*Eras!BU$4</f>
        <v/>
      </c>
      <c r="BV15" s="5">
        <f>BV13*Eras!BV$4</f>
        <v/>
      </c>
    </row>
    <row r="16">
      <c r="A16" t="inlineStr">
        <is>
          <t>paid starts @2</t>
        </is>
      </c>
      <c r="B16" t="inlineStr">
        <is>
          <t>US_CA|NITRO_M</t>
        </is>
      </c>
      <c r="C16" s="5">
        <f>C13*Eras!C$5</f>
        <v/>
      </c>
      <c r="D16" s="5">
        <f>D13*Eras!D$5</f>
        <v/>
      </c>
      <c r="E16" s="5">
        <f>E13*Eras!E$5</f>
        <v/>
      </c>
      <c r="F16" s="5">
        <f>F13*Eras!F$5</f>
        <v/>
      </c>
      <c r="G16" s="5">
        <f>G13*Eras!G$5</f>
        <v/>
      </c>
      <c r="H16" s="5">
        <f>H13*Eras!H$5</f>
        <v/>
      </c>
      <c r="I16" s="5">
        <f>I13*Eras!I$5</f>
        <v/>
      </c>
      <c r="J16" s="5">
        <f>J13*Eras!J$5</f>
        <v/>
      </c>
      <c r="K16" s="5">
        <f>K13*Eras!K$5</f>
        <v/>
      </c>
      <c r="L16" s="5">
        <f>L13*Eras!L$5</f>
        <v/>
      </c>
      <c r="M16" s="5">
        <f>M13*Eras!M$5</f>
        <v/>
      </c>
      <c r="N16" s="5">
        <f>N13*Eras!N$5</f>
        <v/>
      </c>
      <c r="O16" s="5">
        <f>O13*Eras!O$5</f>
        <v/>
      </c>
      <c r="P16" s="5">
        <f>P13*Eras!P$5</f>
        <v/>
      </c>
      <c r="Q16" s="5">
        <f>Q13*Eras!Q$5</f>
        <v/>
      </c>
      <c r="R16" s="5">
        <f>R13*Eras!R$5</f>
        <v/>
      </c>
      <c r="S16" s="5">
        <f>S13*Eras!S$5</f>
        <v/>
      </c>
      <c r="T16" s="5">
        <f>T13*Eras!T$5</f>
        <v/>
      </c>
      <c r="U16" s="5">
        <f>U13*Eras!U$5</f>
        <v/>
      </c>
      <c r="V16" s="5">
        <f>V13*Eras!V$5</f>
        <v/>
      </c>
      <c r="W16" s="5">
        <f>W13*Eras!W$5</f>
        <v/>
      </c>
      <c r="X16" s="5">
        <f>X13*Eras!X$5</f>
        <v/>
      </c>
      <c r="Y16" s="5">
        <f>Y13*Eras!Y$5</f>
        <v/>
      </c>
      <c r="Z16" s="5">
        <f>Z13*Eras!Z$5</f>
        <v/>
      </c>
      <c r="AA16" s="5">
        <f>AA13*Eras!AA$5</f>
        <v/>
      </c>
      <c r="AB16" s="5">
        <f>AB13*Eras!AB$5</f>
        <v/>
      </c>
      <c r="AC16" s="5">
        <f>AC13*Eras!AC$5</f>
        <v/>
      </c>
      <c r="AD16" s="5">
        <f>AD13*Eras!AD$5</f>
        <v/>
      </c>
      <c r="AE16" s="5">
        <f>AE13*Eras!AE$5</f>
        <v/>
      </c>
      <c r="AF16" s="5">
        <f>AF13*Eras!AF$5</f>
        <v/>
      </c>
      <c r="AG16" s="5">
        <f>AG13*Eras!AG$5</f>
        <v/>
      </c>
      <c r="AH16" s="5">
        <f>AH13*Eras!AH$5</f>
        <v/>
      </c>
      <c r="AI16" s="5">
        <f>AI13*Eras!AI$5</f>
        <v/>
      </c>
      <c r="AJ16" s="5">
        <f>AJ13*Eras!AJ$5</f>
        <v/>
      </c>
      <c r="AK16" s="5">
        <f>AK13*Eras!AK$5</f>
        <v/>
      </c>
      <c r="AL16" s="5">
        <f>AL13*Eras!AL$5</f>
        <v/>
      </c>
      <c r="AM16" s="5">
        <f>AM13*Eras!AM$5</f>
        <v/>
      </c>
      <c r="AN16" s="5">
        <f>AN13*Eras!AN$5</f>
        <v/>
      </c>
      <c r="AO16" s="5">
        <f>AO13*Eras!AO$5</f>
        <v/>
      </c>
      <c r="AP16" s="5">
        <f>AP13*Eras!AP$5</f>
        <v/>
      </c>
      <c r="AQ16" s="5">
        <f>AQ13*Eras!AQ$5</f>
        <v/>
      </c>
      <c r="AR16" s="5">
        <f>AR13*Eras!AR$5</f>
        <v/>
      </c>
      <c r="AS16" s="5">
        <f>AS13*Eras!AS$5</f>
        <v/>
      </c>
      <c r="AT16" s="5">
        <f>AT13*Eras!AT$5</f>
        <v/>
      </c>
      <c r="AU16" s="5">
        <f>AU13*Eras!AU$5</f>
        <v/>
      </c>
      <c r="AV16" s="5">
        <f>AV13*Eras!AV$5</f>
        <v/>
      </c>
      <c r="AW16" s="5">
        <f>AW13*Eras!AW$5</f>
        <v/>
      </c>
      <c r="AX16" s="5">
        <f>AX13*Eras!AX$5</f>
        <v/>
      </c>
      <c r="AY16" s="5">
        <f>AY13*Eras!AY$5</f>
        <v/>
      </c>
      <c r="AZ16" s="5">
        <f>AZ13*Eras!AZ$5</f>
        <v/>
      </c>
      <c r="BA16" s="5">
        <f>BA13*Eras!BA$5</f>
        <v/>
      </c>
      <c r="BB16" s="5">
        <f>BB13*Eras!BB$5</f>
        <v/>
      </c>
      <c r="BC16" s="5">
        <f>BC13*Eras!BC$5</f>
        <v/>
      </c>
      <c r="BD16" s="5">
        <f>BD13*Eras!BD$5</f>
        <v/>
      </c>
      <c r="BE16" s="5">
        <f>BE13*Eras!BE$5</f>
        <v/>
      </c>
      <c r="BF16" s="5">
        <f>BF13*Eras!BF$5</f>
        <v/>
      </c>
      <c r="BG16" s="5">
        <f>BG13*Eras!BG$5</f>
        <v/>
      </c>
      <c r="BH16" s="5">
        <f>BH13*Eras!BH$5</f>
        <v/>
      </c>
      <c r="BI16" s="5">
        <f>BI13*Eras!BI$5</f>
        <v/>
      </c>
      <c r="BJ16" s="5">
        <f>BJ13*Eras!BJ$5</f>
        <v/>
      </c>
      <c r="BK16" s="5">
        <f>BK13*Eras!BK$5</f>
        <v/>
      </c>
      <c r="BL16" s="5">
        <f>BL13*Eras!BL$5</f>
        <v/>
      </c>
      <c r="BM16" s="5">
        <f>BM13*Eras!BM$5</f>
        <v/>
      </c>
      <c r="BN16" s="5">
        <f>BN13*Eras!BN$5</f>
        <v/>
      </c>
      <c r="BO16" s="5">
        <f>BO13*Eras!BO$5</f>
        <v/>
      </c>
      <c r="BP16" s="5">
        <f>BP13*Eras!BP$5</f>
        <v/>
      </c>
      <c r="BQ16" s="5">
        <f>BQ13*Eras!BQ$5</f>
        <v/>
      </c>
      <c r="BR16" s="5">
        <f>BR13*Eras!BR$5</f>
        <v/>
      </c>
      <c r="BS16" s="5">
        <f>BS13*Eras!BS$5</f>
        <v/>
      </c>
      <c r="BT16" s="5">
        <f>BT13*Eras!BT$5</f>
        <v/>
      </c>
      <c r="BU16" s="5">
        <f>BU13*Eras!BU$5</f>
        <v/>
      </c>
      <c r="BV16" s="5">
        <f>BV13*Eras!BV$5</f>
        <v/>
      </c>
    </row>
    <row r="18">
      <c r="A18" t="inlineStr">
        <is>
          <t>gross adds</t>
        </is>
      </c>
      <c r="B18" t="inlineStr">
        <is>
          <t>US_CA|NITRO_A</t>
        </is>
      </c>
      <c r="C18" s="5">
        <f>MAU!C4*Params!$B$57*Eras!C$7*Params!$B$130*Params!$B$93</f>
        <v/>
      </c>
      <c r="D18" s="5">
        <f>MAU!D4*Params!$B$57*Eras!D$7*Params!$B$130*Params!$B$93</f>
        <v/>
      </c>
      <c r="E18" s="5">
        <f>MAU!E4*Params!$B$57*Eras!E$7*Params!$B$130*Params!$B$93</f>
        <v/>
      </c>
      <c r="F18" s="5">
        <f>MAU!F4*Params!$B$57*Eras!F$7*Params!$B$130*Params!$B$93</f>
        <v/>
      </c>
      <c r="G18" s="5">
        <f>MAU!G4*Params!$B$57*Eras!G$7*Params!$B$130*Params!$B$93</f>
        <v/>
      </c>
      <c r="H18" s="5">
        <f>MAU!H4*Params!$B$57*Eras!H$7*Params!$B$130*Params!$B$93</f>
        <v/>
      </c>
      <c r="I18" s="5">
        <f>MAU!I4*Params!$B$57*Eras!I$7*Params!$B$130*Params!$B$93</f>
        <v/>
      </c>
      <c r="J18" s="5">
        <f>MAU!J4*Params!$B$57*Eras!J$7*Params!$B$130*Params!$B$93</f>
        <v/>
      </c>
      <c r="K18" s="5">
        <f>MAU!K4*Params!$B$57*Eras!K$7*Params!$B$130*Params!$B$93</f>
        <v/>
      </c>
      <c r="L18" s="5">
        <f>MAU!L4*Params!$B$57*Eras!L$7*Params!$B$130*Params!$B$93</f>
        <v/>
      </c>
      <c r="M18" s="5">
        <f>MAU!M4*Params!$B$57*Eras!M$7*Params!$B$130*Params!$B$93</f>
        <v/>
      </c>
      <c r="N18" s="5">
        <f>MAU!N4*Params!$B$57*Eras!N$7*Params!$B$130*Params!$B$93</f>
        <v/>
      </c>
      <c r="O18" s="5">
        <f>MAU!O4*Params!$B$57*Eras!O$7*Params!$B$130*Params!$B$93</f>
        <v/>
      </c>
      <c r="P18" s="5">
        <f>MAU!P4*Params!$B$57*Eras!P$7*Params!$B$130*Params!$B$93</f>
        <v/>
      </c>
      <c r="Q18" s="5">
        <f>MAU!Q4*Params!$B$57*Eras!Q$7*Params!$B$130*Params!$B$93</f>
        <v/>
      </c>
      <c r="R18" s="5">
        <f>MAU!R4*Params!$B$57*Eras!R$7*Params!$B$130*Params!$B$93</f>
        <v/>
      </c>
      <c r="S18" s="5">
        <f>MAU!S4*Params!$B$57*Eras!S$7*Params!$B$130*Params!$B$93</f>
        <v/>
      </c>
      <c r="T18" s="5">
        <f>MAU!T4*Params!$B$57*Eras!T$7*Params!$B$130*Params!$B$93</f>
        <v/>
      </c>
      <c r="U18" s="5">
        <f>MAU!U4*Params!$B$57*Eras!U$7*Params!$B$130*Params!$B$93</f>
        <v/>
      </c>
      <c r="V18" s="5">
        <f>MAU!V4*Params!$B$57*Eras!V$7*Params!$B$130*Params!$B$93</f>
        <v/>
      </c>
      <c r="W18" s="5">
        <f>MAU!W4*Params!$B$57*Eras!W$7*Params!$B$130*Params!$B$93</f>
        <v/>
      </c>
      <c r="X18" s="5">
        <f>MAU!X4*Params!$B$57*Eras!X$7*Params!$B$130*Params!$B$93</f>
        <v/>
      </c>
      <c r="Y18" s="5">
        <f>MAU!Y4*Params!$B$57*Eras!Y$7*Params!$B$130*Params!$B$93</f>
        <v/>
      </c>
      <c r="Z18" s="5">
        <f>MAU!Z4*Params!$B$57*Eras!Z$7*Params!$B$130*Params!$B$93</f>
        <v/>
      </c>
      <c r="AA18" s="5">
        <f>MAU!AA4*Params!$B$57*Eras!AA$7*Params!$B$130*Params!$B$93</f>
        <v/>
      </c>
      <c r="AB18" s="5">
        <f>MAU!AB4*Params!$B$57*Eras!AB$7*Params!$B$130*Params!$B$93</f>
        <v/>
      </c>
      <c r="AC18" s="5">
        <f>MAU!AC4*Params!$B$57*Eras!AC$7*Params!$B$130*Params!$B$93</f>
        <v/>
      </c>
      <c r="AD18" s="5">
        <f>MAU!AD4*Params!$B$57*Eras!AD$7*Params!$B$130*Params!$B$93</f>
        <v/>
      </c>
      <c r="AE18" s="5">
        <f>MAU!AE4*Params!$B$57*Eras!AE$7*Params!$B$130*Params!$B$93</f>
        <v/>
      </c>
      <c r="AF18" s="5">
        <f>MAU!AF4*Params!$B$57*Eras!AF$7*Params!$B$130*Params!$B$93</f>
        <v/>
      </c>
      <c r="AG18" s="5">
        <f>MAU!AG4*Params!$B$57*Eras!AG$7*Params!$B$130*Params!$B$93</f>
        <v/>
      </c>
      <c r="AH18" s="5">
        <f>MAU!AH4*Params!$B$57*Eras!AH$7*Params!$B$130*Params!$B$93</f>
        <v/>
      </c>
      <c r="AI18" s="5">
        <f>MAU!AI4*Params!$B$57*Eras!AI$7*Params!$B$130*Params!$B$93</f>
        <v/>
      </c>
      <c r="AJ18" s="5">
        <f>MAU!AJ4*Params!$B$57*Eras!AJ$7*Params!$B$130*Params!$B$93</f>
        <v/>
      </c>
      <c r="AK18" s="5">
        <f>MAU!AK4*Params!$B$57*Eras!AK$7*Params!$B$130*Params!$B$93</f>
        <v/>
      </c>
      <c r="AL18" s="5">
        <f>MAU!AL4*Params!$B$57*Eras!AL$7*Params!$B$130*Params!$B$93</f>
        <v/>
      </c>
      <c r="AM18" s="5">
        <f>MAU!AM4*Params!$B$57*Eras!AM$7*Params!$B$130*Params!$B$93</f>
        <v/>
      </c>
      <c r="AN18" s="5">
        <f>MAU!AN4*Params!$B$57*Eras!AN$7*Params!$B$130*Params!$B$93</f>
        <v/>
      </c>
      <c r="AO18" s="5">
        <f>MAU!AO4*Params!$B$57*Eras!AO$7*Params!$B$130*Params!$B$93</f>
        <v/>
      </c>
      <c r="AP18" s="5">
        <f>MAU!AP4*Params!$B$57*Eras!AP$7*Params!$B$130*Params!$B$93</f>
        <v/>
      </c>
      <c r="AQ18" s="5">
        <f>MAU!AQ4*Params!$B$57*Eras!AQ$7*Params!$B$130*Params!$B$93</f>
        <v/>
      </c>
      <c r="AR18" s="5">
        <f>MAU!AR4*Params!$B$57*Eras!AR$7*Params!$B$130*Params!$B$93</f>
        <v/>
      </c>
      <c r="AS18" s="5">
        <f>MAU!AS4*Params!$B$57*Eras!AS$7*Params!$B$130*Params!$B$93</f>
        <v/>
      </c>
      <c r="AT18" s="5">
        <f>MAU!AT4*Params!$B$57*Eras!AT$7*Params!$B$130*Params!$B$93</f>
        <v/>
      </c>
      <c r="AU18" s="5">
        <f>MAU!AU4*Params!$B$57*Eras!AU$7*Params!$B$130*Params!$B$93</f>
        <v/>
      </c>
      <c r="AV18" s="5">
        <f>MAU!AV4*Params!$B$57*Eras!AV$7*Params!$B$130*Params!$B$93</f>
        <v/>
      </c>
      <c r="AW18" s="5">
        <f>MAU!AW4*Params!$B$57*Eras!AW$7*Params!$B$130*Params!$B$93</f>
        <v/>
      </c>
      <c r="AX18" s="5">
        <f>MAU!AX4*Params!$B$57*Eras!AX$7*Params!$B$130*Params!$B$93</f>
        <v/>
      </c>
      <c r="AY18" s="5">
        <f>MAU!AY4*Params!$B$57*Eras!AY$7*Params!$B$130*Params!$B$93</f>
        <v/>
      </c>
      <c r="AZ18" s="5">
        <f>MAU!AZ4*Params!$B$57*Eras!AZ$7*Params!$B$130*Params!$B$93</f>
        <v/>
      </c>
      <c r="BA18" s="5">
        <f>MAU!BA4*Params!$B$57*Eras!BA$7*Params!$B$130*Params!$B$93</f>
        <v/>
      </c>
      <c r="BB18" s="5">
        <f>MAU!BB4*Params!$B$57*Eras!BB$7*Params!$B$130*Params!$B$93</f>
        <v/>
      </c>
      <c r="BC18" s="5">
        <f>MAU!BC4*Params!$B$57*Eras!BC$7*Params!$B$130*Params!$B$93</f>
        <v/>
      </c>
      <c r="BD18" s="5">
        <f>MAU!BD4*Params!$B$57*Eras!BD$7*Params!$B$130*Params!$B$93</f>
        <v/>
      </c>
      <c r="BE18" s="5">
        <f>MAU!BE4*Params!$B$57*Eras!BE$7*Params!$B$130*Params!$B$93</f>
        <v/>
      </c>
      <c r="BF18" s="5">
        <f>MAU!BF4*Params!$B$57*Eras!BF$7*Params!$B$130*Params!$B$93</f>
        <v/>
      </c>
      <c r="BG18" s="5">
        <f>MAU!BG4*Params!$B$57*Eras!BG$7*Params!$B$130*Params!$B$93</f>
        <v/>
      </c>
      <c r="BH18" s="5">
        <f>MAU!BH4*Params!$B$57*Eras!BH$7*Params!$B$130*Params!$B$93</f>
        <v/>
      </c>
      <c r="BI18" s="5">
        <f>MAU!BI4*Params!$B$57*Eras!BI$7*Params!$B$130*Params!$B$93</f>
        <v/>
      </c>
      <c r="BJ18" s="5">
        <f>MAU!BJ4*Params!$B$57*Eras!BJ$7*Params!$B$130*Params!$B$93</f>
        <v/>
      </c>
      <c r="BK18" s="5">
        <f>MAU!BK4*Params!$B$57*Eras!BK$7*Params!$B$130*Params!$B$93</f>
        <v/>
      </c>
      <c r="BL18" s="5">
        <f>MAU!BL4*Params!$B$57*Eras!BL$7*Params!$B$130*Params!$B$93</f>
        <v/>
      </c>
      <c r="BM18" s="5">
        <f>MAU!BM4*Params!$B$57*Eras!BM$7*Params!$B$130*Params!$B$93</f>
        <v/>
      </c>
      <c r="BN18" s="5">
        <f>MAU!BN4*Params!$B$57*Eras!BN$7*Params!$B$130*Params!$B$93</f>
        <v/>
      </c>
      <c r="BO18" s="5">
        <f>MAU!BO4*Params!$B$57*Eras!BO$7*Params!$B$130*Params!$B$93</f>
        <v/>
      </c>
      <c r="BP18" s="5">
        <f>MAU!BP4*Params!$B$57*Eras!BP$7*Params!$B$130*Params!$B$93</f>
        <v/>
      </c>
      <c r="BQ18" s="5">
        <f>MAU!BQ4*Params!$B$57*Eras!BQ$7*Params!$B$130*Params!$B$93</f>
        <v/>
      </c>
      <c r="BR18" s="5">
        <f>MAU!BR4*Params!$B$57*Eras!BR$7*Params!$B$130*Params!$B$93</f>
        <v/>
      </c>
      <c r="BS18" s="5">
        <f>MAU!BS4*Params!$B$57*Eras!BS$7*Params!$B$130*Params!$B$93</f>
        <v/>
      </c>
      <c r="BT18" s="5">
        <f>MAU!BT4*Params!$B$57*Eras!BT$7*Params!$B$130*Params!$B$93</f>
        <v/>
      </c>
      <c r="BU18" s="5">
        <f>MAU!BU4*Params!$B$57*Eras!BU$7*Params!$B$130*Params!$B$93</f>
        <v/>
      </c>
      <c r="BV18" s="5">
        <f>MAU!BV4*Params!$B$57*Eras!BV$7*Params!$B$130*Params!$B$93</f>
        <v/>
      </c>
    </row>
    <row r="19">
      <c r="A19" t="inlineStr">
        <is>
          <t>trial starts</t>
        </is>
      </c>
      <c r="B19" t="inlineStr">
        <is>
          <t>US_CA|NITRO_A</t>
        </is>
      </c>
      <c r="C19" s="5">
        <f>C18*Eras!C$8</f>
        <v/>
      </c>
      <c r="D19" s="5">
        <f>D18*Eras!D$8</f>
        <v/>
      </c>
      <c r="E19" s="5">
        <f>E18*Eras!E$8</f>
        <v/>
      </c>
      <c r="F19" s="5">
        <f>F18*Eras!F$8</f>
        <v/>
      </c>
      <c r="G19" s="5">
        <f>G18*Eras!G$8</f>
        <v/>
      </c>
      <c r="H19" s="5">
        <f>H18*Eras!H$8</f>
        <v/>
      </c>
      <c r="I19" s="5">
        <f>I18*Eras!I$8</f>
        <v/>
      </c>
      <c r="J19" s="5">
        <f>J18*Eras!J$8</f>
        <v/>
      </c>
      <c r="K19" s="5">
        <f>K18*Eras!K$8</f>
        <v/>
      </c>
      <c r="L19" s="5">
        <f>L18*Eras!L$8</f>
        <v/>
      </c>
      <c r="M19" s="5">
        <f>M18*Eras!M$8</f>
        <v/>
      </c>
      <c r="N19" s="5">
        <f>N18*Eras!N$8</f>
        <v/>
      </c>
      <c r="O19" s="5">
        <f>O18*Eras!O$8</f>
        <v/>
      </c>
      <c r="P19" s="5">
        <f>P18*Eras!P$8</f>
        <v/>
      </c>
      <c r="Q19" s="5">
        <f>Q18*Eras!Q$8</f>
        <v/>
      </c>
      <c r="R19" s="5">
        <f>R18*Eras!R$8</f>
        <v/>
      </c>
      <c r="S19" s="5">
        <f>S18*Eras!S$8</f>
        <v/>
      </c>
      <c r="T19" s="5">
        <f>T18*Eras!T$8</f>
        <v/>
      </c>
      <c r="U19" s="5">
        <f>U18*Eras!U$8</f>
        <v/>
      </c>
      <c r="V19" s="5">
        <f>V18*Eras!V$8</f>
        <v/>
      </c>
      <c r="W19" s="5">
        <f>W18*Eras!W$8</f>
        <v/>
      </c>
      <c r="X19" s="5">
        <f>X18*Eras!X$8</f>
        <v/>
      </c>
      <c r="Y19" s="5">
        <f>Y18*Eras!Y$8</f>
        <v/>
      </c>
      <c r="Z19" s="5">
        <f>Z18*Eras!Z$8</f>
        <v/>
      </c>
      <c r="AA19" s="5">
        <f>AA18*Eras!AA$8</f>
        <v/>
      </c>
      <c r="AB19" s="5">
        <f>AB18*Eras!AB$8</f>
        <v/>
      </c>
      <c r="AC19" s="5">
        <f>AC18*Eras!AC$8</f>
        <v/>
      </c>
      <c r="AD19" s="5">
        <f>AD18*Eras!AD$8</f>
        <v/>
      </c>
      <c r="AE19" s="5">
        <f>AE18*Eras!AE$8</f>
        <v/>
      </c>
      <c r="AF19" s="5">
        <f>AF18*Eras!AF$8</f>
        <v/>
      </c>
      <c r="AG19" s="5">
        <f>AG18*Eras!AG$8</f>
        <v/>
      </c>
      <c r="AH19" s="5">
        <f>AH18*Eras!AH$8</f>
        <v/>
      </c>
      <c r="AI19" s="5">
        <f>AI18*Eras!AI$8</f>
        <v/>
      </c>
      <c r="AJ19" s="5">
        <f>AJ18*Eras!AJ$8</f>
        <v/>
      </c>
      <c r="AK19" s="5">
        <f>AK18*Eras!AK$8</f>
        <v/>
      </c>
      <c r="AL19" s="5">
        <f>AL18*Eras!AL$8</f>
        <v/>
      </c>
      <c r="AM19" s="5">
        <f>AM18*Eras!AM$8</f>
        <v/>
      </c>
      <c r="AN19" s="5">
        <f>AN18*Eras!AN$8</f>
        <v/>
      </c>
      <c r="AO19" s="5">
        <f>AO18*Eras!AO$8</f>
        <v/>
      </c>
      <c r="AP19" s="5">
        <f>AP18*Eras!AP$8</f>
        <v/>
      </c>
      <c r="AQ19" s="5">
        <f>AQ18*Eras!AQ$8</f>
        <v/>
      </c>
      <c r="AR19" s="5">
        <f>AR18*Eras!AR$8</f>
        <v/>
      </c>
      <c r="AS19" s="5">
        <f>AS18*Eras!AS$8</f>
        <v/>
      </c>
      <c r="AT19" s="5">
        <f>AT18*Eras!AT$8</f>
        <v/>
      </c>
      <c r="AU19" s="5">
        <f>AU18*Eras!AU$8</f>
        <v/>
      </c>
      <c r="AV19" s="5">
        <f>AV18*Eras!AV$8</f>
        <v/>
      </c>
      <c r="AW19" s="5">
        <f>AW18*Eras!AW$8</f>
        <v/>
      </c>
      <c r="AX19" s="5">
        <f>AX18*Eras!AX$8</f>
        <v/>
      </c>
      <c r="AY19" s="5">
        <f>AY18*Eras!AY$8</f>
        <v/>
      </c>
      <c r="AZ19" s="5">
        <f>AZ18*Eras!AZ$8</f>
        <v/>
      </c>
      <c r="BA19" s="5">
        <f>BA18*Eras!BA$8</f>
        <v/>
      </c>
      <c r="BB19" s="5">
        <f>BB18*Eras!BB$8</f>
        <v/>
      </c>
      <c r="BC19" s="5">
        <f>BC18*Eras!BC$8</f>
        <v/>
      </c>
      <c r="BD19" s="5">
        <f>BD18*Eras!BD$8</f>
        <v/>
      </c>
      <c r="BE19" s="5">
        <f>BE18*Eras!BE$8</f>
        <v/>
      </c>
      <c r="BF19" s="5">
        <f>BF18*Eras!BF$8</f>
        <v/>
      </c>
      <c r="BG19" s="5">
        <f>BG18*Eras!BG$8</f>
        <v/>
      </c>
      <c r="BH19" s="5">
        <f>BH18*Eras!BH$8</f>
        <v/>
      </c>
      <c r="BI19" s="5">
        <f>BI18*Eras!BI$8</f>
        <v/>
      </c>
      <c r="BJ19" s="5">
        <f>BJ18*Eras!BJ$8</f>
        <v/>
      </c>
      <c r="BK19" s="5">
        <f>BK18*Eras!BK$8</f>
        <v/>
      </c>
      <c r="BL19" s="5">
        <f>BL18*Eras!BL$8</f>
        <v/>
      </c>
      <c r="BM19" s="5">
        <f>BM18*Eras!BM$8</f>
        <v/>
      </c>
      <c r="BN19" s="5">
        <f>BN18*Eras!BN$8</f>
        <v/>
      </c>
      <c r="BO19" s="5">
        <f>BO18*Eras!BO$8</f>
        <v/>
      </c>
      <c r="BP19" s="5">
        <f>BP18*Eras!BP$8</f>
        <v/>
      </c>
      <c r="BQ19" s="5">
        <f>BQ18*Eras!BQ$8</f>
        <v/>
      </c>
      <c r="BR19" s="5">
        <f>BR18*Eras!BR$8</f>
        <v/>
      </c>
      <c r="BS19" s="5">
        <f>BS18*Eras!BS$8</f>
        <v/>
      </c>
      <c r="BT19" s="5">
        <f>BT18*Eras!BT$8</f>
        <v/>
      </c>
      <c r="BU19" s="5">
        <f>BU18*Eras!BU$8</f>
        <v/>
      </c>
      <c r="BV19" s="5">
        <f>BV18*Eras!BV$8</f>
        <v/>
      </c>
    </row>
    <row r="20">
      <c r="A20" t="inlineStr">
        <is>
          <t>direct paid starts</t>
        </is>
      </c>
      <c r="B20" t="inlineStr">
        <is>
          <t>US_CA|NITRO_A</t>
        </is>
      </c>
      <c r="C20" s="5">
        <f>C18-C19</f>
        <v/>
      </c>
      <c r="D20" s="5">
        <f>D18-D19</f>
        <v/>
      </c>
      <c r="E20" s="5">
        <f>E18-E19</f>
        <v/>
      </c>
      <c r="F20" s="5">
        <f>F18-F19</f>
        <v/>
      </c>
      <c r="G20" s="5">
        <f>G18-G19</f>
        <v/>
      </c>
      <c r="H20" s="5">
        <f>H18-H19</f>
        <v/>
      </c>
      <c r="I20" s="5">
        <f>I18-I19</f>
        <v/>
      </c>
      <c r="J20" s="5">
        <f>J18-J19</f>
        <v/>
      </c>
      <c r="K20" s="5">
        <f>K18-K19</f>
        <v/>
      </c>
      <c r="L20" s="5">
        <f>L18-L19</f>
        <v/>
      </c>
      <c r="M20" s="5">
        <f>M18-M19</f>
        <v/>
      </c>
      <c r="N20" s="5">
        <f>N18-N19</f>
        <v/>
      </c>
      <c r="O20" s="5">
        <f>O18-O19</f>
        <v/>
      </c>
      <c r="P20" s="5">
        <f>P18-P19</f>
        <v/>
      </c>
      <c r="Q20" s="5">
        <f>Q18-Q19</f>
        <v/>
      </c>
      <c r="R20" s="5">
        <f>R18-R19</f>
        <v/>
      </c>
      <c r="S20" s="5">
        <f>S18-S19</f>
        <v/>
      </c>
      <c r="T20" s="5">
        <f>T18-T19</f>
        <v/>
      </c>
      <c r="U20" s="5">
        <f>U18-U19</f>
        <v/>
      </c>
      <c r="V20" s="5">
        <f>V18-V19</f>
        <v/>
      </c>
      <c r="W20" s="5">
        <f>W18-W19</f>
        <v/>
      </c>
      <c r="X20" s="5">
        <f>X18-X19</f>
        <v/>
      </c>
      <c r="Y20" s="5">
        <f>Y18-Y19</f>
        <v/>
      </c>
      <c r="Z20" s="5">
        <f>Z18-Z19</f>
        <v/>
      </c>
      <c r="AA20" s="5">
        <f>AA18-AA19</f>
        <v/>
      </c>
      <c r="AB20" s="5">
        <f>AB18-AB19</f>
        <v/>
      </c>
      <c r="AC20" s="5">
        <f>AC18-AC19</f>
        <v/>
      </c>
      <c r="AD20" s="5">
        <f>AD18-AD19</f>
        <v/>
      </c>
      <c r="AE20" s="5">
        <f>AE18-AE19</f>
        <v/>
      </c>
      <c r="AF20" s="5">
        <f>AF18-AF19</f>
        <v/>
      </c>
      <c r="AG20" s="5">
        <f>AG18-AG19</f>
        <v/>
      </c>
      <c r="AH20" s="5">
        <f>AH18-AH19</f>
        <v/>
      </c>
      <c r="AI20" s="5">
        <f>AI18-AI19</f>
        <v/>
      </c>
      <c r="AJ20" s="5">
        <f>AJ18-AJ19</f>
        <v/>
      </c>
      <c r="AK20" s="5">
        <f>AK18-AK19</f>
        <v/>
      </c>
      <c r="AL20" s="5">
        <f>AL18-AL19</f>
        <v/>
      </c>
      <c r="AM20" s="5">
        <f>AM18-AM19</f>
        <v/>
      </c>
      <c r="AN20" s="5">
        <f>AN18-AN19</f>
        <v/>
      </c>
      <c r="AO20" s="5">
        <f>AO18-AO19</f>
        <v/>
      </c>
      <c r="AP20" s="5">
        <f>AP18-AP19</f>
        <v/>
      </c>
      <c r="AQ20" s="5">
        <f>AQ18-AQ19</f>
        <v/>
      </c>
      <c r="AR20" s="5">
        <f>AR18-AR19</f>
        <v/>
      </c>
      <c r="AS20" s="5">
        <f>AS18-AS19</f>
        <v/>
      </c>
      <c r="AT20" s="5">
        <f>AT18-AT19</f>
        <v/>
      </c>
      <c r="AU20" s="5">
        <f>AU18-AU19</f>
        <v/>
      </c>
      <c r="AV20" s="5">
        <f>AV18-AV19</f>
        <v/>
      </c>
      <c r="AW20" s="5">
        <f>AW18-AW19</f>
        <v/>
      </c>
      <c r="AX20" s="5">
        <f>AX18-AX19</f>
        <v/>
      </c>
      <c r="AY20" s="5">
        <f>AY18-AY19</f>
        <v/>
      </c>
      <c r="AZ20" s="5">
        <f>AZ18-AZ19</f>
        <v/>
      </c>
      <c r="BA20" s="5">
        <f>BA18-BA19</f>
        <v/>
      </c>
      <c r="BB20" s="5">
        <f>BB18-BB19</f>
        <v/>
      </c>
      <c r="BC20" s="5">
        <f>BC18-BC19</f>
        <v/>
      </c>
      <c r="BD20" s="5">
        <f>BD18-BD19</f>
        <v/>
      </c>
      <c r="BE20" s="5">
        <f>BE18-BE19</f>
        <v/>
      </c>
      <c r="BF20" s="5">
        <f>BF18-BF19</f>
        <v/>
      </c>
      <c r="BG20" s="5">
        <f>BG18-BG19</f>
        <v/>
      </c>
      <c r="BH20" s="5">
        <f>BH18-BH19</f>
        <v/>
      </c>
      <c r="BI20" s="5">
        <f>BI18-BI19</f>
        <v/>
      </c>
      <c r="BJ20" s="5">
        <f>BJ18-BJ19</f>
        <v/>
      </c>
      <c r="BK20" s="5">
        <f>BK18-BK19</f>
        <v/>
      </c>
      <c r="BL20" s="5">
        <f>BL18-BL19</f>
        <v/>
      </c>
      <c r="BM20" s="5">
        <f>BM18-BM19</f>
        <v/>
      </c>
      <c r="BN20" s="5">
        <f>BN18-BN19</f>
        <v/>
      </c>
      <c r="BO20" s="5">
        <f>BO18-BO19</f>
        <v/>
      </c>
      <c r="BP20" s="5">
        <f>BP18-BP19</f>
        <v/>
      </c>
      <c r="BQ20" s="5">
        <f>BQ18-BQ19</f>
        <v/>
      </c>
      <c r="BR20" s="5">
        <f>BR18-BR19</f>
        <v/>
      </c>
      <c r="BS20" s="5">
        <f>BS18-BS19</f>
        <v/>
      </c>
      <c r="BT20" s="5">
        <f>BT18-BT19</f>
        <v/>
      </c>
      <c r="BU20" s="5">
        <f>BU18-BU19</f>
        <v/>
      </c>
      <c r="BV20" s="5">
        <f>BV18-BV19</f>
        <v/>
      </c>
    </row>
    <row r="21">
      <c r="A21" t="inlineStr">
        <is>
          <t>trials ending</t>
        </is>
      </c>
      <c r="B21" t="inlineStr">
        <is>
          <t>US_CA|NITRO_A</t>
        </is>
      </c>
      <c r="C21" s="5">
        <f>IF(C$2&gt;=Params!$B$6,INDEX($C$19:$BV$19,C$2-Params!$B$6+1),0)</f>
        <v/>
      </c>
      <c r="D21" s="5">
        <f>IF(D$2&gt;=Params!$B$6,INDEX($C$19:$BV$19,D$2-Params!$B$6+1),0)</f>
        <v/>
      </c>
      <c r="E21" s="5">
        <f>IF(E$2&gt;=Params!$B$6,INDEX($C$19:$BV$19,E$2-Params!$B$6+1),0)</f>
        <v/>
      </c>
      <c r="F21" s="5">
        <f>IF(F$2&gt;=Params!$B$6,INDEX($C$19:$BV$19,F$2-Params!$B$6+1),0)</f>
        <v/>
      </c>
      <c r="G21" s="5">
        <f>IF(G$2&gt;=Params!$B$6,INDEX($C$19:$BV$19,G$2-Params!$B$6+1),0)</f>
        <v/>
      </c>
      <c r="H21" s="5">
        <f>IF(H$2&gt;=Params!$B$6,INDEX($C$19:$BV$19,H$2-Params!$B$6+1),0)</f>
        <v/>
      </c>
      <c r="I21" s="5">
        <f>IF(I$2&gt;=Params!$B$6,INDEX($C$19:$BV$19,I$2-Params!$B$6+1),0)</f>
        <v/>
      </c>
      <c r="J21" s="5">
        <f>IF(J$2&gt;=Params!$B$6,INDEX($C$19:$BV$19,J$2-Params!$B$6+1),0)</f>
        <v/>
      </c>
      <c r="K21" s="5">
        <f>IF(K$2&gt;=Params!$B$6,INDEX($C$19:$BV$19,K$2-Params!$B$6+1),0)</f>
        <v/>
      </c>
      <c r="L21" s="5">
        <f>IF(L$2&gt;=Params!$B$6,INDEX($C$19:$BV$19,L$2-Params!$B$6+1),0)</f>
        <v/>
      </c>
      <c r="M21" s="5">
        <f>IF(M$2&gt;=Params!$B$6,INDEX($C$19:$BV$19,M$2-Params!$B$6+1),0)</f>
        <v/>
      </c>
      <c r="N21" s="5">
        <f>IF(N$2&gt;=Params!$B$6,INDEX($C$19:$BV$19,N$2-Params!$B$6+1),0)</f>
        <v/>
      </c>
      <c r="O21" s="5">
        <f>IF(O$2&gt;=Params!$B$6,INDEX($C$19:$BV$19,O$2-Params!$B$6+1),0)</f>
        <v/>
      </c>
      <c r="P21" s="5">
        <f>IF(P$2&gt;=Params!$B$6,INDEX($C$19:$BV$19,P$2-Params!$B$6+1),0)</f>
        <v/>
      </c>
      <c r="Q21" s="5">
        <f>IF(Q$2&gt;=Params!$B$6,INDEX($C$19:$BV$19,Q$2-Params!$B$6+1),0)</f>
        <v/>
      </c>
      <c r="R21" s="5">
        <f>IF(R$2&gt;=Params!$B$6,INDEX($C$19:$BV$19,R$2-Params!$B$6+1),0)</f>
        <v/>
      </c>
      <c r="S21" s="5">
        <f>IF(S$2&gt;=Params!$B$6,INDEX($C$19:$BV$19,S$2-Params!$B$6+1),0)</f>
        <v/>
      </c>
      <c r="T21" s="5">
        <f>IF(T$2&gt;=Params!$B$6,INDEX($C$19:$BV$19,T$2-Params!$B$6+1),0)</f>
        <v/>
      </c>
      <c r="U21" s="5">
        <f>IF(U$2&gt;=Params!$B$6,INDEX($C$19:$BV$19,U$2-Params!$B$6+1),0)</f>
        <v/>
      </c>
      <c r="V21" s="5">
        <f>IF(V$2&gt;=Params!$B$6,INDEX($C$19:$BV$19,V$2-Params!$B$6+1),0)</f>
        <v/>
      </c>
      <c r="W21" s="5">
        <f>IF(W$2&gt;=Params!$B$6,INDEX($C$19:$BV$19,W$2-Params!$B$6+1),0)</f>
        <v/>
      </c>
      <c r="X21" s="5">
        <f>IF(X$2&gt;=Params!$B$6,INDEX($C$19:$BV$19,X$2-Params!$B$6+1),0)</f>
        <v/>
      </c>
      <c r="Y21" s="5">
        <f>IF(Y$2&gt;=Params!$B$6,INDEX($C$19:$BV$19,Y$2-Params!$B$6+1),0)</f>
        <v/>
      </c>
      <c r="Z21" s="5">
        <f>IF(Z$2&gt;=Params!$B$6,INDEX($C$19:$BV$19,Z$2-Params!$B$6+1),0)</f>
        <v/>
      </c>
      <c r="AA21" s="5">
        <f>IF(AA$2&gt;=Params!$B$6,INDEX($C$19:$BV$19,AA$2-Params!$B$6+1),0)</f>
        <v/>
      </c>
      <c r="AB21" s="5">
        <f>IF(AB$2&gt;=Params!$B$6,INDEX($C$19:$BV$19,AB$2-Params!$B$6+1),0)</f>
        <v/>
      </c>
      <c r="AC21" s="5">
        <f>IF(AC$2&gt;=Params!$B$6,INDEX($C$19:$BV$19,AC$2-Params!$B$6+1),0)</f>
        <v/>
      </c>
      <c r="AD21" s="5">
        <f>IF(AD$2&gt;=Params!$B$6,INDEX($C$19:$BV$19,AD$2-Params!$B$6+1),0)</f>
        <v/>
      </c>
      <c r="AE21" s="5">
        <f>IF(AE$2&gt;=Params!$B$6,INDEX($C$19:$BV$19,AE$2-Params!$B$6+1),0)</f>
        <v/>
      </c>
      <c r="AF21" s="5">
        <f>IF(AF$2&gt;=Params!$B$6,INDEX($C$19:$BV$19,AF$2-Params!$B$6+1),0)</f>
        <v/>
      </c>
      <c r="AG21" s="5">
        <f>IF(AG$2&gt;=Params!$B$6,INDEX($C$19:$BV$19,AG$2-Params!$B$6+1),0)</f>
        <v/>
      </c>
      <c r="AH21" s="5">
        <f>IF(AH$2&gt;=Params!$B$6,INDEX($C$19:$BV$19,AH$2-Params!$B$6+1),0)</f>
        <v/>
      </c>
      <c r="AI21" s="5">
        <f>IF(AI$2&gt;=Params!$B$6,INDEX($C$19:$BV$19,AI$2-Params!$B$6+1),0)</f>
        <v/>
      </c>
      <c r="AJ21" s="5">
        <f>IF(AJ$2&gt;=Params!$B$6,INDEX($C$19:$BV$19,AJ$2-Params!$B$6+1),0)</f>
        <v/>
      </c>
      <c r="AK21" s="5">
        <f>IF(AK$2&gt;=Params!$B$6,INDEX($C$19:$BV$19,AK$2-Params!$B$6+1),0)</f>
        <v/>
      </c>
      <c r="AL21" s="5">
        <f>IF(AL$2&gt;=Params!$B$6,INDEX($C$19:$BV$19,AL$2-Params!$B$6+1),0)</f>
        <v/>
      </c>
      <c r="AM21" s="5">
        <f>IF(AM$2&gt;=Params!$B$6,INDEX($C$19:$BV$19,AM$2-Params!$B$6+1),0)</f>
        <v/>
      </c>
      <c r="AN21" s="5">
        <f>IF(AN$2&gt;=Params!$B$6,INDEX($C$19:$BV$19,AN$2-Params!$B$6+1),0)</f>
        <v/>
      </c>
      <c r="AO21" s="5">
        <f>IF(AO$2&gt;=Params!$B$6,INDEX($C$19:$BV$19,AO$2-Params!$B$6+1),0)</f>
        <v/>
      </c>
      <c r="AP21" s="5">
        <f>IF(AP$2&gt;=Params!$B$6,INDEX($C$19:$BV$19,AP$2-Params!$B$6+1),0)</f>
        <v/>
      </c>
      <c r="AQ21" s="5">
        <f>IF(AQ$2&gt;=Params!$B$6,INDEX($C$19:$BV$19,AQ$2-Params!$B$6+1),0)</f>
        <v/>
      </c>
      <c r="AR21" s="5">
        <f>IF(AR$2&gt;=Params!$B$6,INDEX($C$19:$BV$19,AR$2-Params!$B$6+1),0)</f>
        <v/>
      </c>
      <c r="AS21" s="5">
        <f>IF(AS$2&gt;=Params!$B$6,INDEX($C$19:$BV$19,AS$2-Params!$B$6+1),0)</f>
        <v/>
      </c>
      <c r="AT21" s="5">
        <f>IF(AT$2&gt;=Params!$B$6,INDEX($C$19:$BV$19,AT$2-Params!$B$6+1),0)</f>
        <v/>
      </c>
      <c r="AU21" s="5">
        <f>IF(AU$2&gt;=Params!$B$6,INDEX($C$19:$BV$19,AU$2-Params!$B$6+1),0)</f>
        <v/>
      </c>
      <c r="AV21" s="5">
        <f>IF(AV$2&gt;=Params!$B$6,INDEX($C$19:$BV$19,AV$2-Params!$B$6+1),0)</f>
        <v/>
      </c>
      <c r="AW21" s="5">
        <f>IF(AW$2&gt;=Params!$B$6,INDEX($C$19:$BV$19,AW$2-Params!$B$6+1),0)</f>
        <v/>
      </c>
      <c r="AX21" s="5">
        <f>IF(AX$2&gt;=Params!$B$6,INDEX($C$19:$BV$19,AX$2-Params!$B$6+1),0)</f>
        <v/>
      </c>
      <c r="AY21" s="5">
        <f>IF(AY$2&gt;=Params!$B$6,INDEX($C$19:$BV$19,AY$2-Params!$B$6+1),0)</f>
        <v/>
      </c>
      <c r="AZ21" s="5">
        <f>IF(AZ$2&gt;=Params!$B$6,INDEX($C$19:$BV$19,AZ$2-Params!$B$6+1),0)</f>
        <v/>
      </c>
      <c r="BA21" s="5">
        <f>IF(BA$2&gt;=Params!$B$6,INDEX($C$19:$BV$19,BA$2-Params!$B$6+1),0)</f>
        <v/>
      </c>
      <c r="BB21" s="5">
        <f>IF(BB$2&gt;=Params!$B$6,INDEX($C$19:$BV$19,BB$2-Params!$B$6+1),0)</f>
        <v/>
      </c>
      <c r="BC21" s="5">
        <f>IF(BC$2&gt;=Params!$B$6,INDEX($C$19:$BV$19,BC$2-Params!$B$6+1),0)</f>
        <v/>
      </c>
      <c r="BD21" s="5">
        <f>IF(BD$2&gt;=Params!$B$6,INDEX($C$19:$BV$19,BD$2-Params!$B$6+1),0)</f>
        <v/>
      </c>
      <c r="BE21" s="5">
        <f>IF(BE$2&gt;=Params!$B$6,INDEX($C$19:$BV$19,BE$2-Params!$B$6+1),0)</f>
        <v/>
      </c>
      <c r="BF21" s="5">
        <f>IF(BF$2&gt;=Params!$B$6,INDEX($C$19:$BV$19,BF$2-Params!$B$6+1),0)</f>
        <v/>
      </c>
      <c r="BG21" s="5">
        <f>IF(BG$2&gt;=Params!$B$6,INDEX($C$19:$BV$19,BG$2-Params!$B$6+1),0)</f>
        <v/>
      </c>
      <c r="BH21" s="5">
        <f>IF(BH$2&gt;=Params!$B$6,INDEX($C$19:$BV$19,BH$2-Params!$B$6+1),0)</f>
        <v/>
      </c>
      <c r="BI21" s="5">
        <f>IF(BI$2&gt;=Params!$B$6,INDEX($C$19:$BV$19,BI$2-Params!$B$6+1),0)</f>
        <v/>
      </c>
      <c r="BJ21" s="5">
        <f>IF(BJ$2&gt;=Params!$B$6,INDEX($C$19:$BV$19,BJ$2-Params!$B$6+1),0)</f>
        <v/>
      </c>
      <c r="BK21" s="5">
        <f>IF(BK$2&gt;=Params!$B$6,INDEX($C$19:$BV$19,BK$2-Params!$B$6+1),0)</f>
        <v/>
      </c>
      <c r="BL21" s="5">
        <f>IF(BL$2&gt;=Params!$B$6,INDEX($C$19:$BV$19,BL$2-Params!$B$6+1),0)</f>
        <v/>
      </c>
      <c r="BM21" s="5">
        <f>IF(BM$2&gt;=Params!$B$6,INDEX($C$19:$BV$19,BM$2-Params!$B$6+1),0)</f>
        <v/>
      </c>
      <c r="BN21" s="5">
        <f>IF(BN$2&gt;=Params!$B$6,INDEX($C$19:$BV$19,BN$2-Params!$B$6+1),0)</f>
        <v/>
      </c>
      <c r="BO21" s="5">
        <f>IF(BO$2&gt;=Params!$B$6,INDEX($C$19:$BV$19,BO$2-Params!$B$6+1),0)</f>
        <v/>
      </c>
      <c r="BP21" s="5">
        <f>IF(BP$2&gt;=Params!$B$6,INDEX($C$19:$BV$19,BP$2-Params!$B$6+1),0)</f>
        <v/>
      </c>
      <c r="BQ21" s="5">
        <f>IF(BQ$2&gt;=Params!$B$6,INDEX($C$19:$BV$19,BQ$2-Params!$B$6+1),0)</f>
        <v/>
      </c>
      <c r="BR21" s="5">
        <f>IF(BR$2&gt;=Params!$B$6,INDEX($C$19:$BV$19,BR$2-Params!$B$6+1),0)</f>
        <v/>
      </c>
      <c r="BS21" s="5">
        <f>IF(BS$2&gt;=Params!$B$6,INDEX($C$19:$BV$19,BS$2-Params!$B$6+1),0)</f>
        <v/>
      </c>
      <c r="BT21" s="5">
        <f>IF(BT$2&gt;=Params!$B$6,INDEX($C$19:$BV$19,BT$2-Params!$B$6+1),0)</f>
        <v/>
      </c>
      <c r="BU21" s="5">
        <f>IF(BU$2&gt;=Params!$B$6,INDEX($C$19:$BV$19,BU$2-Params!$B$6+1),0)</f>
        <v/>
      </c>
      <c r="BV21" s="5">
        <f>IF(BV$2&gt;=Params!$B$6,INDEX($C$19:$BV$19,BV$2-Params!$B$6+1),0)</f>
        <v/>
      </c>
    </row>
    <row r="22">
      <c r="A22" t="inlineStr">
        <is>
          <t>trial starts x conversion</t>
        </is>
      </c>
      <c r="B22" t="inlineStr">
        <is>
          <t>US_CA|NITRO_A</t>
        </is>
      </c>
      <c r="C22" s="5">
        <f>C19*Eras!C$9</f>
        <v/>
      </c>
      <c r="D22" s="5">
        <f>D19*Eras!D$9</f>
        <v/>
      </c>
      <c r="E22" s="5">
        <f>E19*Eras!E$9</f>
        <v/>
      </c>
      <c r="F22" s="5">
        <f>F19*Eras!F$9</f>
        <v/>
      </c>
      <c r="G22" s="5">
        <f>G19*Eras!G$9</f>
        <v/>
      </c>
      <c r="H22" s="5">
        <f>H19*Eras!H$9</f>
        <v/>
      </c>
      <c r="I22" s="5">
        <f>I19*Eras!I$9</f>
        <v/>
      </c>
      <c r="J22" s="5">
        <f>J19*Eras!J$9</f>
        <v/>
      </c>
      <c r="K22" s="5">
        <f>K19*Eras!K$9</f>
        <v/>
      </c>
      <c r="L22" s="5">
        <f>L19*Eras!L$9</f>
        <v/>
      </c>
      <c r="M22" s="5">
        <f>M19*Eras!M$9</f>
        <v/>
      </c>
      <c r="N22" s="5">
        <f>N19*Eras!N$9</f>
        <v/>
      </c>
      <c r="O22" s="5">
        <f>O19*Eras!O$9</f>
        <v/>
      </c>
      <c r="P22" s="5">
        <f>P19*Eras!P$9</f>
        <v/>
      </c>
      <c r="Q22" s="5">
        <f>Q19*Eras!Q$9</f>
        <v/>
      </c>
      <c r="R22" s="5">
        <f>R19*Eras!R$9</f>
        <v/>
      </c>
      <c r="S22" s="5">
        <f>S19*Eras!S$9</f>
        <v/>
      </c>
      <c r="T22" s="5">
        <f>T19*Eras!T$9</f>
        <v/>
      </c>
      <c r="U22" s="5">
        <f>U19*Eras!U$9</f>
        <v/>
      </c>
      <c r="V22" s="5">
        <f>V19*Eras!V$9</f>
        <v/>
      </c>
      <c r="W22" s="5">
        <f>W19*Eras!W$9</f>
        <v/>
      </c>
      <c r="X22" s="5">
        <f>X19*Eras!X$9</f>
        <v/>
      </c>
      <c r="Y22" s="5">
        <f>Y19*Eras!Y$9</f>
        <v/>
      </c>
      <c r="Z22" s="5">
        <f>Z19*Eras!Z$9</f>
        <v/>
      </c>
      <c r="AA22" s="5">
        <f>AA19*Eras!AA$9</f>
        <v/>
      </c>
      <c r="AB22" s="5">
        <f>AB19*Eras!AB$9</f>
        <v/>
      </c>
      <c r="AC22" s="5">
        <f>AC19*Eras!AC$9</f>
        <v/>
      </c>
      <c r="AD22" s="5">
        <f>AD19*Eras!AD$9</f>
        <v/>
      </c>
      <c r="AE22" s="5">
        <f>AE19*Eras!AE$9</f>
        <v/>
      </c>
      <c r="AF22" s="5">
        <f>AF19*Eras!AF$9</f>
        <v/>
      </c>
      <c r="AG22" s="5">
        <f>AG19*Eras!AG$9</f>
        <v/>
      </c>
      <c r="AH22" s="5">
        <f>AH19*Eras!AH$9</f>
        <v/>
      </c>
      <c r="AI22" s="5">
        <f>AI19*Eras!AI$9</f>
        <v/>
      </c>
      <c r="AJ22" s="5">
        <f>AJ19*Eras!AJ$9</f>
        <v/>
      </c>
      <c r="AK22" s="5">
        <f>AK19*Eras!AK$9</f>
        <v/>
      </c>
      <c r="AL22" s="5">
        <f>AL19*Eras!AL$9</f>
        <v/>
      </c>
      <c r="AM22" s="5">
        <f>AM19*Eras!AM$9</f>
        <v/>
      </c>
      <c r="AN22" s="5">
        <f>AN19*Eras!AN$9</f>
        <v/>
      </c>
      <c r="AO22" s="5">
        <f>AO19*Eras!AO$9</f>
        <v/>
      </c>
      <c r="AP22" s="5">
        <f>AP19*Eras!AP$9</f>
        <v/>
      </c>
      <c r="AQ22" s="5">
        <f>AQ19*Eras!AQ$9</f>
        <v/>
      </c>
      <c r="AR22" s="5">
        <f>AR19*Eras!AR$9</f>
        <v/>
      </c>
      <c r="AS22" s="5">
        <f>AS19*Eras!AS$9</f>
        <v/>
      </c>
      <c r="AT22" s="5">
        <f>AT19*Eras!AT$9</f>
        <v/>
      </c>
      <c r="AU22" s="5">
        <f>AU19*Eras!AU$9</f>
        <v/>
      </c>
      <c r="AV22" s="5">
        <f>AV19*Eras!AV$9</f>
        <v/>
      </c>
      <c r="AW22" s="5">
        <f>AW19*Eras!AW$9</f>
        <v/>
      </c>
      <c r="AX22" s="5">
        <f>AX19*Eras!AX$9</f>
        <v/>
      </c>
      <c r="AY22" s="5">
        <f>AY19*Eras!AY$9</f>
        <v/>
      </c>
      <c r="AZ22" s="5">
        <f>AZ19*Eras!AZ$9</f>
        <v/>
      </c>
      <c r="BA22" s="5">
        <f>BA19*Eras!BA$9</f>
        <v/>
      </c>
      <c r="BB22" s="5">
        <f>BB19*Eras!BB$9</f>
        <v/>
      </c>
      <c r="BC22" s="5">
        <f>BC19*Eras!BC$9</f>
        <v/>
      </c>
      <c r="BD22" s="5">
        <f>BD19*Eras!BD$9</f>
        <v/>
      </c>
      <c r="BE22" s="5">
        <f>BE19*Eras!BE$9</f>
        <v/>
      </c>
      <c r="BF22" s="5">
        <f>BF19*Eras!BF$9</f>
        <v/>
      </c>
      <c r="BG22" s="5">
        <f>BG19*Eras!BG$9</f>
        <v/>
      </c>
      <c r="BH22" s="5">
        <f>BH19*Eras!BH$9</f>
        <v/>
      </c>
      <c r="BI22" s="5">
        <f>BI19*Eras!BI$9</f>
        <v/>
      </c>
      <c r="BJ22" s="5">
        <f>BJ19*Eras!BJ$9</f>
        <v/>
      </c>
      <c r="BK22" s="5">
        <f>BK19*Eras!BK$9</f>
        <v/>
      </c>
      <c r="BL22" s="5">
        <f>BL19*Eras!BL$9</f>
        <v/>
      </c>
      <c r="BM22" s="5">
        <f>BM19*Eras!BM$9</f>
        <v/>
      </c>
      <c r="BN22" s="5">
        <f>BN19*Eras!BN$9</f>
        <v/>
      </c>
      <c r="BO22" s="5">
        <f>BO19*Eras!BO$9</f>
        <v/>
      </c>
      <c r="BP22" s="5">
        <f>BP19*Eras!BP$9</f>
        <v/>
      </c>
      <c r="BQ22" s="5">
        <f>BQ19*Eras!BQ$9</f>
        <v/>
      </c>
      <c r="BR22" s="5">
        <f>BR19*Eras!BR$9</f>
        <v/>
      </c>
      <c r="BS22" s="5">
        <f>BS19*Eras!BS$9</f>
        <v/>
      </c>
      <c r="BT22" s="5">
        <f>BT19*Eras!BT$9</f>
        <v/>
      </c>
      <c r="BU22" s="5">
        <f>BU19*Eras!BU$9</f>
        <v/>
      </c>
      <c r="BV22" s="5">
        <f>BV19*Eras!BV$9</f>
        <v/>
      </c>
    </row>
    <row r="23">
      <c r="A23" t="inlineStr">
        <is>
          <t>trials converted</t>
        </is>
      </c>
      <c r="B23" t="inlineStr">
        <is>
          <t>US_CA|NITRO_A</t>
        </is>
      </c>
      <c r="C23" s="5">
        <f>IF(C$2&gt;=Params!$B$6,INDEX($C$22:$BV$22,C$2-Params!$B$6+1),0)</f>
        <v/>
      </c>
      <c r="D23" s="5">
        <f>IF(D$2&gt;=Params!$B$6,INDEX($C$22:$BV$22,D$2-Params!$B$6+1),0)</f>
        <v/>
      </c>
      <c r="E23" s="5">
        <f>IF(E$2&gt;=Params!$B$6,INDEX($C$22:$BV$22,E$2-Params!$B$6+1),0)</f>
        <v/>
      </c>
      <c r="F23" s="5">
        <f>IF(F$2&gt;=Params!$B$6,INDEX($C$22:$BV$22,F$2-Params!$B$6+1),0)</f>
        <v/>
      </c>
      <c r="G23" s="5">
        <f>IF(G$2&gt;=Params!$B$6,INDEX($C$22:$BV$22,G$2-Params!$B$6+1),0)</f>
        <v/>
      </c>
      <c r="H23" s="5">
        <f>IF(H$2&gt;=Params!$B$6,INDEX($C$22:$BV$22,H$2-Params!$B$6+1),0)</f>
        <v/>
      </c>
      <c r="I23" s="5">
        <f>IF(I$2&gt;=Params!$B$6,INDEX($C$22:$BV$22,I$2-Params!$B$6+1),0)</f>
        <v/>
      </c>
      <c r="J23" s="5">
        <f>IF(J$2&gt;=Params!$B$6,INDEX($C$22:$BV$22,J$2-Params!$B$6+1),0)</f>
        <v/>
      </c>
      <c r="K23" s="5">
        <f>IF(K$2&gt;=Params!$B$6,INDEX($C$22:$BV$22,K$2-Params!$B$6+1),0)</f>
        <v/>
      </c>
      <c r="L23" s="5">
        <f>IF(L$2&gt;=Params!$B$6,INDEX($C$22:$BV$22,L$2-Params!$B$6+1),0)</f>
        <v/>
      </c>
      <c r="M23" s="5">
        <f>IF(M$2&gt;=Params!$B$6,INDEX($C$22:$BV$22,M$2-Params!$B$6+1),0)</f>
        <v/>
      </c>
      <c r="N23" s="5">
        <f>IF(N$2&gt;=Params!$B$6,INDEX($C$22:$BV$22,N$2-Params!$B$6+1),0)</f>
        <v/>
      </c>
      <c r="O23" s="5">
        <f>IF(O$2&gt;=Params!$B$6,INDEX($C$22:$BV$22,O$2-Params!$B$6+1),0)</f>
        <v/>
      </c>
      <c r="P23" s="5">
        <f>IF(P$2&gt;=Params!$B$6,INDEX($C$22:$BV$22,P$2-Params!$B$6+1),0)</f>
        <v/>
      </c>
      <c r="Q23" s="5">
        <f>IF(Q$2&gt;=Params!$B$6,INDEX($C$22:$BV$22,Q$2-Params!$B$6+1),0)</f>
        <v/>
      </c>
      <c r="R23" s="5">
        <f>IF(R$2&gt;=Params!$B$6,INDEX($C$22:$BV$22,R$2-Params!$B$6+1),0)</f>
        <v/>
      </c>
      <c r="S23" s="5">
        <f>IF(S$2&gt;=Params!$B$6,INDEX($C$22:$BV$22,S$2-Params!$B$6+1),0)</f>
        <v/>
      </c>
      <c r="T23" s="5">
        <f>IF(T$2&gt;=Params!$B$6,INDEX($C$22:$BV$22,T$2-Params!$B$6+1),0)</f>
        <v/>
      </c>
      <c r="U23" s="5">
        <f>IF(U$2&gt;=Params!$B$6,INDEX($C$22:$BV$22,U$2-Params!$B$6+1),0)</f>
        <v/>
      </c>
      <c r="V23" s="5">
        <f>IF(V$2&gt;=Params!$B$6,INDEX($C$22:$BV$22,V$2-Params!$B$6+1),0)</f>
        <v/>
      </c>
      <c r="W23" s="5">
        <f>IF(W$2&gt;=Params!$B$6,INDEX($C$22:$BV$22,W$2-Params!$B$6+1),0)</f>
        <v/>
      </c>
      <c r="X23" s="5">
        <f>IF(X$2&gt;=Params!$B$6,INDEX($C$22:$BV$22,X$2-Params!$B$6+1),0)</f>
        <v/>
      </c>
      <c r="Y23" s="5">
        <f>IF(Y$2&gt;=Params!$B$6,INDEX($C$22:$BV$22,Y$2-Params!$B$6+1),0)</f>
        <v/>
      </c>
      <c r="Z23" s="5">
        <f>IF(Z$2&gt;=Params!$B$6,INDEX($C$22:$BV$22,Z$2-Params!$B$6+1),0)</f>
        <v/>
      </c>
      <c r="AA23" s="5">
        <f>IF(AA$2&gt;=Params!$B$6,INDEX($C$22:$BV$22,AA$2-Params!$B$6+1),0)</f>
        <v/>
      </c>
      <c r="AB23" s="5">
        <f>IF(AB$2&gt;=Params!$B$6,INDEX($C$22:$BV$22,AB$2-Params!$B$6+1),0)</f>
        <v/>
      </c>
      <c r="AC23" s="5">
        <f>IF(AC$2&gt;=Params!$B$6,INDEX($C$22:$BV$22,AC$2-Params!$B$6+1),0)</f>
        <v/>
      </c>
      <c r="AD23" s="5">
        <f>IF(AD$2&gt;=Params!$B$6,INDEX($C$22:$BV$22,AD$2-Params!$B$6+1),0)</f>
        <v/>
      </c>
      <c r="AE23" s="5">
        <f>IF(AE$2&gt;=Params!$B$6,INDEX($C$22:$BV$22,AE$2-Params!$B$6+1),0)</f>
        <v/>
      </c>
      <c r="AF23" s="5">
        <f>IF(AF$2&gt;=Params!$B$6,INDEX($C$22:$BV$22,AF$2-Params!$B$6+1),0)</f>
        <v/>
      </c>
      <c r="AG23" s="5">
        <f>IF(AG$2&gt;=Params!$B$6,INDEX($C$22:$BV$22,AG$2-Params!$B$6+1),0)</f>
        <v/>
      </c>
      <c r="AH23" s="5">
        <f>IF(AH$2&gt;=Params!$B$6,INDEX($C$22:$BV$22,AH$2-Params!$B$6+1),0)</f>
        <v/>
      </c>
      <c r="AI23" s="5">
        <f>IF(AI$2&gt;=Params!$B$6,INDEX($C$22:$BV$22,AI$2-Params!$B$6+1),0)</f>
        <v/>
      </c>
      <c r="AJ23" s="5">
        <f>IF(AJ$2&gt;=Params!$B$6,INDEX($C$22:$BV$22,AJ$2-Params!$B$6+1),0)</f>
        <v/>
      </c>
      <c r="AK23" s="5">
        <f>IF(AK$2&gt;=Params!$B$6,INDEX($C$22:$BV$22,AK$2-Params!$B$6+1),0)</f>
        <v/>
      </c>
      <c r="AL23" s="5">
        <f>IF(AL$2&gt;=Params!$B$6,INDEX($C$22:$BV$22,AL$2-Params!$B$6+1),0)</f>
        <v/>
      </c>
      <c r="AM23" s="5">
        <f>IF(AM$2&gt;=Params!$B$6,INDEX($C$22:$BV$22,AM$2-Params!$B$6+1),0)</f>
        <v/>
      </c>
      <c r="AN23" s="5">
        <f>IF(AN$2&gt;=Params!$B$6,INDEX($C$22:$BV$22,AN$2-Params!$B$6+1),0)</f>
        <v/>
      </c>
      <c r="AO23" s="5">
        <f>IF(AO$2&gt;=Params!$B$6,INDEX($C$22:$BV$22,AO$2-Params!$B$6+1),0)</f>
        <v/>
      </c>
      <c r="AP23" s="5">
        <f>IF(AP$2&gt;=Params!$B$6,INDEX($C$22:$BV$22,AP$2-Params!$B$6+1),0)</f>
        <v/>
      </c>
      <c r="AQ23" s="5">
        <f>IF(AQ$2&gt;=Params!$B$6,INDEX($C$22:$BV$22,AQ$2-Params!$B$6+1),0)</f>
        <v/>
      </c>
      <c r="AR23" s="5">
        <f>IF(AR$2&gt;=Params!$B$6,INDEX($C$22:$BV$22,AR$2-Params!$B$6+1),0)</f>
        <v/>
      </c>
      <c r="AS23" s="5">
        <f>IF(AS$2&gt;=Params!$B$6,INDEX($C$22:$BV$22,AS$2-Params!$B$6+1),0)</f>
        <v/>
      </c>
      <c r="AT23" s="5">
        <f>IF(AT$2&gt;=Params!$B$6,INDEX($C$22:$BV$22,AT$2-Params!$B$6+1),0)</f>
        <v/>
      </c>
      <c r="AU23" s="5">
        <f>IF(AU$2&gt;=Params!$B$6,INDEX($C$22:$BV$22,AU$2-Params!$B$6+1),0)</f>
        <v/>
      </c>
      <c r="AV23" s="5">
        <f>IF(AV$2&gt;=Params!$B$6,INDEX($C$22:$BV$22,AV$2-Params!$B$6+1),0)</f>
        <v/>
      </c>
      <c r="AW23" s="5">
        <f>IF(AW$2&gt;=Params!$B$6,INDEX($C$22:$BV$22,AW$2-Params!$B$6+1),0)</f>
        <v/>
      </c>
      <c r="AX23" s="5">
        <f>IF(AX$2&gt;=Params!$B$6,INDEX($C$22:$BV$22,AX$2-Params!$B$6+1),0)</f>
        <v/>
      </c>
      <c r="AY23" s="5">
        <f>IF(AY$2&gt;=Params!$B$6,INDEX($C$22:$BV$22,AY$2-Params!$B$6+1),0)</f>
        <v/>
      </c>
      <c r="AZ23" s="5">
        <f>IF(AZ$2&gt;=Params!$B$6,INDEX($C$22:$BV$22,AZ$2-Params!$B$6+1),0)</f>
        <v/>
      </c>
      <c r="BA23" s="5">
        <f>IF(BA$2&gt;=Params!$B$6,INDEX($C$22:$BV$22,BA$2-Params!$B$6+1),0)</f>
        <v/>
      </c>
      <c r="BB23" s="5">
        <f>IF(BB$2&gt;=Params!$B$6,INDEX($C$22:$BV$22,BB$2-Params!$B$6+1),0)</f>
        <v/>
      </c>
      <c r="BC23" s="5">
        <f>IF(BC$2&gt;=Params!$B$6,INDEX($C$22:$BV$22,BC$2-Params!$B$6+1),0)</f>
        <v/>
      </c>
      <c r="BD23" s="5">
        <f>IF(BD$2&gt;=Params!$B$6,INDEX($C$22:$BV$22,BD$2-Params!$B$6+1),0)</f>
        <v/>
      </c>
      <c r="BE23" s="5">
        <f>IF(BE$2&gt;=Params!$B$6,INDEX($C$22:$BV$22,BE$2-Params!$B$6+1),0)</f>
        <v/>
      </c>
      <c r="BF23" s="5">
        <f>IF(BF$2&gt;=Params!$B$6,INDEX($C$22:$BV$22,BF$2-Params!$B$6+1),0)</f>
        <v/>
      </c>
      <c r="BG23" s="5">
        <f>IF(BG$2&gt;=Params!$B$6,INDEX($C$22:$BV$22,BG$2-Params!$B$6+1),0)</f>
        <v/>
      </c>
      <c r="BH23" s="5">
        <f>IF(BH$2&gt;=Params!$B$6,INDEX($C$22:$BV$22,BH$2-Params!$B$6+1),0)</f>
        <v/>
      </c>
      <c r="BI23" s="5">
        <f>IF(BI$2&gt;=Params!$B$6,INDEX($C$22:$BV$22,BI$2-Params!$B$6+1),0)</f>
        <v/>
      </c>
      <c r="BJ23" s="5">
        <f>IF(BJ$2&gt;=Params!$B$6,INDEX($C$22:$BV$22,BJ$2-Params!$B$6+1),0)</f>
        <v/>
      </c>
      <c r="BK23" s="5">
        <f>IF(BK$2&gt;=Params!$B$6,INDEX($C$22:$BV$22,BK$2-Params!$B$6+1),0)</f>
        <v/>
      </c>
      <c r="BL23" s="5">
        <f>IF(BL$2&gt;=Params!$B$6,INDEX($C$22:$BV$22,BL$2-Params!$B$6+1),0)</f>
        <v/>
      </c>
      <c r="BM23" s="5">
        <f>IF(BM$2&gt;=Params!$B$6,INDEX($C$22:$BV$22,BM$2-Params!$B$6+1),0)</f>
        <v/>
      </c>
      <c r="BN23" s="5">
        <f>IF(BN$2&gt;=Params!$B$6,INDEX($C$22:$BV$22,BN$2-Params!$B$6+1),0)</f>
        <v/>
      </c>
      <c r="BO23" s="5">
        <f>IF(BO$2&gt;=Params!$B$6,INDEX($C$22:$BV$22,BO$2-Params!$B$6+1),0)</f>
        <v/>
      </c>
      <c r="BP23" s="5">
        <f>IF(BP$2&gt;=Params!$B$6,INDEX($C$22:$BV$22,BP$2-Params!$B$6+1),0)</f>
        <v/>
      </c>
      <c r="BQ23" s="5">
        <f>IF(BQ$2&gt;=Params!$B$6,INDEX($C$22:$BV$22,BQ$2-Params!$B$6+1),0)</f>
        <v/>
      </c>
      <c r="BR23" s="5">
        <f>IF(BR$2&gt;=Params!$B$6,INDEX($C$22:$BV$22,BR$2-Params!$B$6+1),0)</f>
        <v/>
      </c>
      <c r="BS23" s="5">
        <f>IF(BS$2&gt;=Params!$B$6,INDEX($C$22:$BV$22,BS$2-Params!$B$6+1),0)</f>
        <v/>
      </c>
      <c r="BT23" s="5">
        <f>IF(BT$2&gt;=Params!$B$6,INDEX($C$22:$BV$22,BT$2-Params!$B$6+1),0)</f>
        <v/>
      </c>
      <c r="BU23" s="5">
        <f>IF(BU$2&gt;=Params!$B$6,INDEX($C$22:$BV$22,BU$2-Params!$B$6+1),0)</f>
        <v/>
      </c>
      <c r="BV23" s="5">
        <f>IF(BV$2&gt;=Params!$B$6,INDEX($C$22:$BV$22,BV$2-Params!$B$6+1),0)</f>
        <v/>
      </c>
    </row>
    <row r="24">
      <c r="A24" t="inlineStr">
        <is>
          <t>trials lost</t>
        </is>
      </c>
      <c r="B24" t="inlineStr">
        <is>
          <t>US_CA|NITRO_A</t>
        </is>
      </c>
      <c r="C24" s="5">
        <f>C21-C23</f>
        <v/>
      </c>
      <c r="D24" s="5">
        <f>D21-D23</f>
        <v/>
      </c>
      <c r="E24" s="5">
        <f>E21-E23</f>
        <v/>
      </c>
      <c r="F24" s="5">
        <f>F21-F23</f>
        <v/>
      </c>
      <c r="G24" s="5">
        <f>G21-G23</f>
        <v/>
      </c>
      <c r="H24" s="5">
        <f>H21-H23</f>
        <v/>
      </c>
      <c r="I24" s="5">
        <f>I21-I23</f>
        <v/>
      </c>
      <c r="J24" s="5">
        <f>J21-J23</f>
        <v/>
      </c>
      <c r="K24" s="5">
        <f>K21-K23</f>
        <v/>
      </c>
      <c r="L24" s="5">
        <f>L21-L23</f>
        <v/>
      </c>
      <c r="M24" s="5">
        <f>M21-M23</f>
        <v/>
      </c>
      <c r="N24" s="5">
        <f>N21-N23</f>
        <v/>
      </c>
      <c r="O24" s="5">
        <f>O21-O23</f>
        <v/>
      </c>
      <c r="P24" s="5">
        <f>P21-P23</f>
        <v/>
      </c>
      <c r="Q24" s="5">
        <f>Q21-Q23</f>
        <v/>
      </c>
      <c r="R24" s="5">
        <f>R21-R23</f>
        <v/>
      </c>
      <c r="S24" s="5">
        <f>S21-S23</f>
        <v/>
      </c>
      <c r="T24" s="5">
        <f>T21-T23</f>
        <v/>
      </c>
      <c r="U24" s="5">
        <f>U21-U23</f>
        <v/>
      </c>
      <c r="V24" s="5">
        <f>V21-V23</f>
        <v/>
      </c>
      <c r="W24" s="5">
        <f>W21-W23</f>
        <v/>
      </c>
      <c r="X24" s="5">
        <f>X21-X23</f>
        <v/>
      </c>
      <c r="Y24" s="5">
        <f>Y21-Y23</f>
        <v/>
      </c>
      <c r="Z24" s="5">
        <f>Z21-Z23</f>
        <v/>
      </c>
      <c r="AA24" s="5">
        <f>AA21-AA23</f>
        <v/>
      </c>
      <c r="AB24" s="5">
        <f>AB21-AB23</f>
        <v/>
      </c>
      <c r="AC24" s="5">
        <f>AC21-AC23</f>
        <v/>
      </c>
      <c r="AD24" s="5">
        <f>AD21-AD23</f>
        <v/>
      </c>
      <c r="AE24" s="5">
        <f>AE21-AE23</f>
        <v/>
      </c>
      <c r="AF24" s="5">
        <f>AF21-AF23</f>
        <v/>
      </c>
      <c r="AG24" s="5">
        <f>AG21-AG23</f>
        <v/>
      </c>
      <c r="AH24" s="5">
        <f>AH21-AH23</f>
        <v/>
      </c>
      <c r="AI24" s="5">
        <f>AI21-AI23</f>
        <v/>
      </c>
      <c r="AJ24" s="5">
        <f>AJ21-AJ23</f>
        <v/>
      </c>
      <c r="AK24" s="5">
        <f>AK21-AK23</f>
        <v/>
      </c>
      <c r="AL24" s="5">
        <f>AL21-AL23</f>
        <v/>
      </c>
      <c r="AM24" s="5">
        <f>AM21-AM23</f>
        <v/>
      </c>
      <c r="AN24" s="5">
        <f>AN21-AN23</f>
        <v/>
      </c>
      <c r="AO24" s="5">
        <f>AO21-AO23</f>
        <v/>
      </c>
      <c r="AP24" s="5">
        <f>AP21-AP23</f>
        <v/>
      </c>
      <c r="AQ24" s="5">
        <f>AQ21-AQ23</f>
        <v/>
      </c>
      <c r="AR24" s="5">
        <f>AR21-AR23</f>
        <v/>
      </c>
      <c r="AS24" s="5">
        <f>AS21-AS23</f>
        <v/>
      </c>
      <c r="AT24" s="5">
        <f>AT21-AT23</f>
        <v/>
      </c>
      <c r="AU24" s="5">
        <f>AU21-AU23</f>
        <v/>
      </c>
      <c r="AV24" s="5">
        <f>AV21-AV23</f>
        <v/>
      </c>
      <c r="AW24" s="5">
        <f>AW21-AW23</f>
        <v/>
      </c>
      <c r="AX24" s="5">
        <f>AX21-AX23</f>
        <v/>
      </c>
      <c r="AY24" s="5">
        <f>AY21-AY23</f>
        <v/>
      </c>
      <c r="AZ24" s="5">
        <f>AZ21-AZ23</f>
        <v/>
      </c>
      <c r="BA24" s="5">
        <f>BA21-BA23</f>
        <v/>
      </c>
      <c r="BB24" s="5">
        <f>BB21-BB23</f>
        <v/>
      </c>
      <c r="BC24" s="5">
        <f>BC21-BC23</f>
        <v/>
      </c>
      <c r="BD24" s="5">
        <f>BD21-BD23</f>
        <v/>
      </c>
      <c r="BE24" s="5">
        <f>BE21-BE23</f>
        <v/>
      </c>
      <c r="BF24" s="5">
        <f>BF21-BF23</f>
        <v/>
      </c>
      <c r="BG24" s="5">
        <f>BG21-BG23</f>
        <v/>
      </c>
      <c r="BH24" s="5">
        <f>BH21-BH23</f>
        <v/>
      </c>
      <c r="BI24" s="5">
        <f>BI21-BI23</f>
        <v/>
      </c>
      <c r="BJ24" s="5">
        <f>BJ21-BJ23</f>
        <v/>
      </c>
      <c r="BK24" s="5">
        <f>BK21-BK23</f>
        <v/>
      </c>
      <c r="BL24" s="5">
        <f>BL21-BL23</f>
        <v/>
      </c>
      <c r="BM24" s="5">
        <f>BM21-BM23</f>
        <v/>
      </c>
      <c r="BN24" s="5">
        <f>BN21-BN23</f>
        <v/>
      </c>
      <c r="BO24" s="5">
        <f>BO21-BO23</f>
        <v/>
      </c>
      <c r="BP24" s="5">
        <f>BP21-BP23</f>
        <v/>
      </c>
      <c r="BQ24" s="5">
        <f>BQ21-BQ23</f>
        <v/>
      </c>
      <c r="BR24" s="5">
        <f>BR21-BR23</f>
        <v/>
      </c>
      <c r="BS24" s="5">
        <f>BS21-BS23</f>
        <v/>
      </c>
      <c r="BT24" s="5">
        <f>BT21-BT23</f>
        <v/>
      </c>
      <c r="BU24" s="5">
        <f>BU21-BU23</f>
        <v/>
      </c>
      <c r="BV24" s="5">
        <f>BV21-BV23</f>
        <v/>
      </c>
    </row>
    <row r="25">
      <c r="A25" t="inlineStr">
        <is>
          <t>cum trial starts</t>
        </is>
      </c>
      <c r="B25" t="inlineStr">
        <is>
          <t>US_CA|NITRO_A</t>
        </is>
      </c>
      <c r="C25" s="5">
        <f>SUM($C19:C19)</f>
        <v/>
      </c>
      <c r="D25" s="5">
        <f>SUM($C19:D19)</f>
        <v/>
      </c>
      <c r="E25" s="5">
        <f>SUM($C19:E19)</f>
        <v/>
      </c>
      <c r="F25" s="5">
        <f>SUM($C19:F19)</f>
        <v/>
      </c>
      <c r="G25" s="5">
        <f>SUM($C19:G19)</f>
        <v/>
      </c>
      <c r="H25" s="5">
        <f>SUM($C19:H19)</f>
        <v/>
      </c>
      <c r="I25" s="5">
        <f>SUM($C19:I19)</f>
        <v/>
      </c>
      <c r="J25" s="5">
        <f>SUM($C19:J19)</f>
        <v/>
      </c>
      <c r="K25" s="5">
        <f>SUM($C19:K19)</f>
        <v/>
      </c>
      <c r="L25" s="5">
        <f>SUM($C19:L19)</f>
        <v/>
      </c>
      <c r="M25" s="5">
        <f>SUM($C19:M19)</f>
        <v/>
      </c>
      <c r="N25" s="5">
        <f>SUM($C19:N19)</f>
        <v/>
      </c>
      <c r="O25" s="5">
        <f>SUM($C19:O19)</f>
        <v/>
      </c>
      <c r="P25" s="5">
        <f>SUM($C19:P19)</f>
        <v/>
      </c>
      <c r="Q25" s="5">
        <f>SUM($C19:Q19)</f>
        <v/>
      </c>
      <c r="R25" s="5">
        <f>SUM($C19:R19)</f>
        <v/>
      </c>
      <c r="S25" s="5">
        <f>SUM($C19:S19)</f>
        <v/>
      </c>
      <c r="T25" s="5">
        <f>SUM($C19:T19)</f>
        <v/>
      </c>
      <c r="U25" s="5">
        <f>SUM($C19:U19)</f>
        <v/>
      </c>
      <c r="V25" s="5">
        <f>SUM($C19:V19)</f>
        <v/>
      </c>
      <c r="W25" s="5">
        <f>SUM($C19:W19)</f>
        <v/>
      </c>
      <c r="X25" s="5">
        <f>SUM($C19:X19)</f>
        <v/>
      </c>
      <c r="Y25" s="5">
        <f>SUM($C19:Y19)</f>
        <v/>
      </c>
      <c r="Z25" s="5">
        <f>SUM($C19:Z19)</f>
        <v/>
      </c>
      <c r="AA25" s="5">
        <f>SUM($C19:AA19)</f>
        <v/>
      </c>
      <c r="AB25" s="5">
        <f>SUM($C19:AB19)</f>
        <v/>
      </c>
      <c r="AC25" s="5">
        <f>SUM($C19:AC19)</f>
        <v/>
      </c>
      <c r="AD25" s="5">
        <f>SUM($C19:AD19)</f>
        <v/>
      </c>
      <c r="AE25" s="5">
        <f>SUM($C19:AE19)</f>
        <v/>
      </c>
      <c r="AF25" s="5">
        <f>SUM($C19:AF19)</f>
        <v/>
      </c>
      <c r="AG25" s="5">
        <f>SUM($C19:AG19)</f>
        <v/>
      </c>
      <c r="AH25" s="5">
        <f>SUM($C19:AH19)</f>
        <v/>
      </c>
      <c r="AI25" s="5">
        <f>SUM($C19:AI19)</f>
        <v/>
      </c>
      <c r="AJ25" s="5">
        <f>SUM($C19:AJ19)</f>
        <v/>
      </c>
      <c r="AK25" s="5">
        <f>SUM($C19:AK19)</f>
        <v/>
      </c>
      <c r="AL25" s="5">
        <f>SUM($C19:AL19)</f>
        <v/>
      </c>
      <c r="AM25" s="5">
        <f>SUM($C19:AM19)</f>
        <v/>
      </c>
      <c r="AN25" s="5">
        <f>SUM($C19:AN19)</f>
        <v/>
      </c>
      <c r="AO25" s="5">
        <f>SUM($C19:AO19)</f>
        <v/>
      </c>
      <c r="AP25" s="5">
        <f>SUM($C19:AP19)</f>
        <v/>
      </c>
      <c r="AQ25" s="5">
        <f>SUM($C19:AQ19)</f>
        <v/>
      </c>
      <c r="AR25" s="5">
        <f>SUM($C19:AR19)</f>
        <v/>
      </c>
      <c r="AS25" s="5">
        <f>SUM($C19:AS19)</f>
        <v/>
      </c>
      <c r="AT25" s="5">
        <f>SUM($C19:AT19)</f>
        <v/>
      </c>
      <c r="AU25" s="5">
        <f>SUM($C19:AU19)</f>
        <v/>
      </c>
      <c r="AV25" s="5">
        <f>SUM($C19:AV19)</f>
        <v/>
      </c>
      <c r="AW25" s="5">
        <f>SUM($C19:AW19)</f>
        <v/>
      </c>
      <c r="AX25" s="5">
        <f>SUM($C19:AX19)</f>
        <v/>
      </c>
      <c r="AY25" s="5">
        <f>SUM($C19:AY19)</f>
        <v/>
      </c>
      <c r="AZ25" s="5">
        <f>SUM($C19:AZ19)</f>
        <v/>
      </c>
      <c r="BA25" s="5">
        <f>SUM($C19:BA19)</f>
        <v/>
      </c>
      <c r="BB25" s="5">
        <f>SUM($C19:BB19)</f>
        <v/>
      </c>
      <c r="BC25" s="5">
        <f>SUM($C19:BC19)</f>
        <v/>
      </c>
      <c r="BD25" s="5">
        <f>SUM($C19:BD19)</f>
        <v/>
      </c>
      <c r="BE25" s="5">
        <f>SUM($C19:BE19)</f>
        <v/>
      </c>
      <c r="BF25" s="5">
        <f>SUM($C19:BF19)</f>
        <v/>
      </c>
      <c r="BG25" s="5">
        <f>SUM($C19:BG19)</f>
        <v/>
      </c>
      <c r="BH25" s="5">
        <f>SUM($C19:BH19)</f>
        <v/>
      </c>
      <c r="BI25" s="5">
        <f>SUM($C19:BI19)</f>
        <v/>
      </c>
      <c r="BJ25" s="5">
        <f>SUM($C19:BJ19)</f>
        <v/>
      </c>
      <c r="BK25" s="5">
        <f>SUM($C19:BK19)</f>
        <v/>
      </c>
      <c r="BL25" s="5">
        <f>SUM($C19:BL19)</f>
        <v/>
      </c>
      <c r="BM25" s="5">
        <f>SUM($C19:BM19)</f>
        <v/>
      </c>
      <c r="BN25" s="5">
        <f>SUM($C19:BN19)</f>
        <v/>
      </c>
      <c r="BO25" s="5">
        <f>SUM($C19:BO19)</f>
        <v/>
      </c>
      <c r="BP25" s="5">
        <f>SUM($C19:BP19)</f>
        <v/>
      </c>
      <c r="BQ25" s="5">
        <f>SUM($C19:BQ19)</f>
        <v/>
      </c>
      <c r="BR25" s="5">
        <f>SUM($C19:BR19)</f>
        <v/>
      </c>
      <c r="BS25" s="5">
        <f>SUM($C19:BS19)</f>
        <v/>
      </c>
      <c r="BT25" s="5">
        <f>SUM($C19:BT19)</f>
        <v/>
      </c>
      <c r="BU25" s="5">
        <f>SUM($C19:BU19)</f>
        <v/>
      </c>
      <c r="BV25" s="5">
        <f>SUM($C19:BV19)</f>
        <v/>
      </c>
    </row>
    <row r="26">
      <c r="A26" t="inlineStr">
        <is>
          <t>cum trials ending</t>
        </is>
      </c>
      <c r="B26" t="inlineStr">
        <is>
          <t>US_CA|NITRO_A</t>
        </is>
      </c>
      <c r="C26" s="5">
        <f>SUM($C21:C21)</f>
        <v/>
      </c>
      <c r="D26" s="5">
        <f>SUM($C21:D21)</f>
        <v/>
      </c>
      <c r="E26" s="5">
        <f>SUM($C21:E21)</f>
        <v/>
      </c>
      <c r="F26" s="5">
        <f>SUM($C21:F21)</f>
        <v/>
      </c>
      <c r="G26" s="5">
        <f>SUM($C21:G21)</f>
        <v/>
      </c>
      <c r="H26" s="5">
        <f>SUM($C21:H21)</f>
        <v/>
      </c>
      <c r="I26" s="5">
        <f>SUM($C21:I21)</f>
        <v/>
      </c>
      <c r="J26" s="5">
        <f>SUM($C21:J21)</f>
        <v/>
      </c>
      <c r="K26" s="5">
        <f>SUM($C21:K21)</f>
        <v/>
      </c>
      <c r="L26" s="5">
        <f>SUM($C21:L21)</f>
        <v/>
      </c>
      <c r="M26" s="5">
        <f>SUM($C21:M21)</f>
        <v/>
      </c>
      <c r="N26" s="5">
        <f>SUM($C21:N21)</f>
        <v/>
      </c>
      <c r="O26" s="5">
        <f>SUM($C21:O21)</f>
        <v/>
      </c>
      <c r="P26" s="5">
        <f>SUM($C21:P21)</f>
        <v/>
      </c>
      <c r="Q26" s="5">
        <f>SUM($C21:Q21)</f>
        <v/>
      </c>
      <c r="R26" s="5">
        <f>SUM($C21:R21)</f>
        <v/>
      </c>
      <c r="S26" s="5">
        <f>SUM($C21:S21)</f>
        <v/>
      </c>
      <c r="T26" s="5">
        <f>SUM($C21:T21)</f>
        <v/>
      </c>
      <c r="U26" s="5">
        <f>SUM($C21:U21)</f>
        <v/>
      </c>
      <c r="V26" s="5">
        <f>SUM($C21:V21)</f>
        <v/>
      </c>
      <c r="W26" s="5">
        <f>SUM($C21:W21)</f>
        <v/>
      </c>
      <c r="X26" s="5">
        <f>SUM($C21:X21)</f>
        <v/>
      </c>
      <c r="Y26" s="5">
        <f>SUM($C21:Y21)</f>
        <v/>
      </c>
      <c r="Z26" s="5">
        <f>SUM($C21:Z21)</f>
        <v/>
      </c>
      <c r="AA26" s="5">
        <f>SUM($C21:AA21)</f>
        <v/>
      </c>
      <c r="AB26" s="5">
        <f>SUM($C21:AB21)</f>
        <v/>
      </c>
      <c r="AC26" s="5">
        <f>SUM($C21:AC21)</f>
        <v/>
      </c>
      <c r="AD26" s="5">
        <f>SUM($C21:AD21)</f>
        <v/>
      </c>
      <c r="AE26" s="5">
        <f>SUM($C21:AE21)</f>
        <v/>
      </c>
      <c r="AF26" s="5">
        <f>SUM($C21:AF21)</f>
        <v/>
      </c>
      <c r="AG26" s="5">
        <f>SUM($C21:AG21)</f>
        <v/>
      </c>
      <c r="AH26" s="5">
        <f>SUM($C21:AH21)</f>
        <v/>
      </c>
      <c r="AI26" s="5">
        <f>SUM($C21:AI21)</f>
        <v/>
      </c>
      <c r="AJ26" s="5">
        <f>SUM($C21:AJ21)</f>
        <v/>
      </c>
      <c r="AK26" s="5">
        <f>SUM($C21:AK21)</f>
        <v/>
      </c>
      <c r="AL26" s="5">
        <f>SUM($C21:AL21)</f>
        <v/>
      </c>
      <c r="AM26" s="5">
        <f>SUM($C21:AM21)</f>
        <v/>
      </c>
      <c r="AN26" s="5">
        <f>SUM($C21:AN21)</f>
        <v/>
      </c>
      <c r="AO26" s="5">
        <f>SUM($C21:AO21)</f>
        <v/>
      </c>
      <c r="AP26" s="5">
        <f>SUM($C21:AP21)</f>
        <v/>
      </c>
      <c r="AQ26" s="5">
        <f>SUM($C21:AQ21)</f>
        <v/>
      </c>
      <c r="AR26" s="5">
        <f>SUM($C21:AR21)</f>
        <v/>
      </c>
      <c r="AS26" s="5">
        <f>SUM($C21:AS21)</f>
        <v/>
      </c>
      <c r="AT26" s="5">
        <f>SUM($C21:AT21)</f>
        <v/>
      </c>
      <c r="AU26" s="5">
        <f>SUM($C21:AU21)</f>
        <v/>
      </c>
      <c r="AV26" s="5">
        <f>SUM($C21:AV21)</f>
        <v/>
      </c>
      <c r="AW26" s="5">
        <f>SUM($C21:AW21)</f>
        <v/>
      </c>
      <c r="AX26" s="5">
        <f>SUM($C21:AX21)</f>
        <v/>
      </c>
      <c r="AY26" s="5">
        <f>SUM($C21:AY21)</f>
        <v/>
      </c>
      <c r="AZ26" s="5">
        <f>SUM($C21:AZ21)</f>
        <v/>
      </c>
      <c r="BA26" s="5">
        <f>SUM($C21:BA21)</f>
        <v/>
      </c>
      <c r="BB26" s="5">
        <f>SUM($C21:BB21)</f>
        <v/>
      </c>
      <c r="BC26" s="5">
        <f>SUM($C21:BC21)</f>
        <v/>
      </c>
      <c r="BD26" s="5">
        <f>SUM($C21:BD21)</f>
        <v/>
      </c>
      <c r="BE26" s="5">
        <f>SUM($C21:BE21)</f>
        <v/>
      </c>
      <c r="BF26" s="5">
        <f>SUM($C21:BF21)</f>
        <v/>
      </c>
      <c r="BG26" s="5">
        <f>SUM($C21:BG21)</f>
        <v/>
      </c>
      <c r="BH26" s="5">
        <f>SUM($C21:BH21)</f>
        <v/>
      </c>
      <c r="BI26" s="5">
        <f>SUM($C21:BI21)</f>
        <v/>
      </c>
      <c r="BJ26" s="5">
        <f>SUM($C21:BJ21)</f>
        <v/>
      </c>
      <c r="BK26" s="5">
        <f>SUM($C21:BK21)</f>
        <v/>
      </c>
      <c r="BL26" s="5">
        <f>SUM($C21:BL21)</f>
        <v/>
      </c>
      <c r="BM26" s="5">
        <f>SUM($C21:BM21)</f>
        <v/>
      </c>
      <c r="BN26" s="5">
        <f>SUM($C21:BN21)</f>
        <v/>
      </c>
      <c r="BO26" s="5">
        <f>SUM($C21:BO21)</f>
        <v/>
      </c>
      <c r="BP26" s="5">
        <f>SUM($C21:BP21)</f>
        <v/>
      </c>
      <c r="BQ26" s="5">
        <f>SUM($C21:BQ21)</f>
        <v/>
      </c>
      <c r="BR26" s="5">
        <f>SUM($C21:BR21)</f>
        <v/>
      </c>
      <c r="BS26" s="5">
        <f>SUM($C21:BS21)</f>
        <v/>
      </c>
      <c r="BT26" s="5">
        <f>SUM($C21:BT21)</f>
        <v/>
      </c>
      <c r="BU26" s="5">
        <f>SUM($C21:BU21)</f>
        <v/>
      </c>
      <c r="BV26" s="5">
        <f>SUM($C21:BV21)</f>
        <v/>
      </c>
    </row>
    <row r="27">
      <c r="A27" t="inlineStr">
        <is>
          <t>trials active</t>
        </is>
      </c>
      <c r="B27" t="inlineStr">
        <is>
          <t>US_CA|NITRO_A</t>
        </is>
      </c>
      <c r="C27" s="5">
        <f>C25-C26</f>
        <v/>
      </c>
      <c r="D27" s="5">
        <f>D25-D26</f>
        <v/>
      </c>
      <c r="E27" s="5">
        <f>E25-E26</f>
        <v/>
      </c>
      <c r="F27" s="5">
        <f>F25-F26</f>
        <v/>
      </c>
      <c r="G27" s="5">
        <f>G25-G26</f>
        <v/>
      </c>
      <c r="H27" s="5">
        <f>H25-H26</f>
        <v/>
      </c>
      <c r="I27" s="5">
        <f>I25-I26</f>
        <v/>
      </c>
      <c r="J27" s="5">
        <f>J25-J26</f>
        <v/>
      </c>
      <c r="K27" s="5">
        <f>K25-K26</f>
        <v/>
      </c>
      <c r="L27" s="5">
        <f>L25-L26</f>
        <v/>
      </c>
      <c r="M27" s="5">
        <f>M25-M26</f>
        <v/>
      </c>
      <c r="N27" s="5">
        <f>N25-N26</f>
        <v/>
      </c>
      <c r="O27" s="5">
        <f>O25-O26</f>
        <v/>
      </c>
      <c r="P27" s="5">
        <f>P25-P26</f>
        <v/>
      </c>
      <c r="Q27" s="5">
        <f>Q25-Q26</f>
        <v/>
      </c>
      <c r="R27" s="5">
        <f>R25-R26</f>
        <v/>
      </c>
      <c r="S27" s="5">
        <f>S25-S26</f>
        <v/>
      </c>
      <c r="T27" s="5">
        <f>T25-T26</f>
        <v/>
      </c>
      <c r="U27" s="5">
        <f>U25-U26</f>
        <v/>
      </c>
      <c r="V27" s="5">
        <f>V25-V26</f>
        <v/>
      </c>
      <c r="W27" s="5">
        <f>W25-W26</f>
        <v/>
      </c>
      <c r="X27" s="5">
        <f>X25-X26</f>
        <v/>
      </c>
      <c r="Y27" s="5">
        <f>Y25-Y26</f>
        <v/>
      </c>
      <c r="Z27" s="5">
        <f>Z25-Z26</f>
        <v/>
      </c>
      <c r="AA27" s="5">
        <f>AA25-AA26</f>
        <v/>
      </c>
      <c r="AB27" s="5">
        <f>AB25-AB26</f>
        <v/>
      </c>
      <c r="AC27" s="5">
        <f>AC25-AC26</f>
        <v/>
      </c>
      <c r="AD27" s="5">
        <f>AD25-AD26</f>
        <v/>
      </c>
      <c r="AE27" s="5">
        <f>AE25-AE26</f>
        <v/>
      </c>
      <c r="AF27" s="5">
        <f>AF25-AF26</f>
        <v/>
      </c>
      <c r="AG27" s="5">
        <f>AG25-AG26</f>
        <v/>
      </c>
      <c r="AH27" s="5">
        <f>AH25-AH26</f>
        <v/>
      </c>
      <c r="AI27" s="5">
        <f>AI25-AI26</f>
        <v/>
      </c>
      <c r="AJ27" s="5">
        <f>AJ25-AJ26</f>
        <v/>
      </c>
      <c r="AK27" s="5">
        <f>AK25-AK26</f>
        <v/>
      </c>
      <c r="AL27" s="5">
        <f>AL25-AL26</f>
        <v/>
      </c>
      <c r="AM27" s="5">
        <f>AM25-AM26</f>
        <v/>
      </c>
      <c r="AN27" s="5">
        <f>AN25-AN26</f>
        <v/>
      </c>
      <c r="AO27" s="5">
        <f>AO25-AO26</f>
        <v/>
      </c>
      <c r="AP27" s="5">
        <f>AP25-AP26</f>
        <v/>
      </c>
      <c r="AQ27" s="5">
        <f>AQ25-AQ26</f>
        <v/>
      </c>
      <c r="AR27" s="5">
        <f>AR25-AR26</f>
        <v/>
      </c>
      <c r="AS27" s="5">
        <f>AS25-AS26</f>
        <v/>
      </c>
      <c r="AT27" s="5">
        <f>AT25-AT26</f>
        <v/>
      </c>
      <c r="AU27" s="5">
        <f>AU25-AU26</f>
        <v/>
      </c>
      <c r="AV27" s="5">
        <f>AV25-AV26</f>
        <v/>
      </c>
      <c r="AW27" s="5">
        <f>AW25-AW26</f>
        <v/>
      </c>
      <c r="AX27" s="5">
        <f>AX25-AX26</f>
        <v/>
      </c>
      <c r="AY27" s="5">
        <f>AY25-AY26</f>
        <v/>
      </c>
      <c r="AZ27" s="5">
        <f>AZ25-AZ26</f>
        <v/>
      </c>
      <c r="BA27" s="5">
        <f>BA25-BA26</f>
        <v/>
      </c>
      <c r="BB27" s="5">
        <f>BB25-BB26</f>
        <v/>
      </c>
      <c r="BC27" s="5">
        <f>BC25-BC26</f>
        <v/>
      </c>
      <c r="BD27" s="5">
        <f>BD25-BD26</f>
        <v/>
      </c>
      <c r="BE27" s="5">
        <f>BE25-BE26</f>
        <v/>
      </c>
      <c r="BF27" s="5">
        <f>BF25-BF26</f>
        <v/>
      </c>
      <c r="BG27" s="5">
        <f>BG25-BG26</f>
        <v/>
      </c>
      <c r="BH27" s="5">
        <f>BH25-BH26</f>
        <v/>
      </c>
      <c r="BI27" s="5">
        <f>BI25-BI26</f>
        <v/>
      </c>
      <c r="BJ27" s="5">
        <f>BJ25-BJ26</f>
        <v/>
      </c>
      <c r="BK27" s="5">
        <f>BK25-BK26</f>
        <v/>
      </c>
      <c r="BL27" s="5">
        <f>BL25-BL26</f>
        <v/>
      </c>
      <c r="BM27" s="5">
        <f>BM25-BM26</f>
        <v/>
      </c>
      <c r="BN27" s="5">
        <f>BN25-BN26</f>
        <v/>
      </c>
      <c r="BO27" s="5">
        <f>BO25-BO26</f>
        <v/>
      </c>
      <c r="BP27" s="5">
        <f>BP25-BP26</f>
        <v/>
      </c>
      <c r="BQ27" s="5">
        <f>BQ25-BQ26</f>
        <v/>
      </c>
      <c r="BR27" s="5">
        <f>BR25-BR26</f>
        <v/>
      </c>
      <c r="BS27" s="5">
        <f>BS25-BS26</f>
        <v/>
      </c>
      <c r="BT27" s="5">
        <f>BT25-BT26</f>
        <v/>
      </c>
      <c r="BU27" s="5">
        <f>BU25-BU26</f>
        <v/>
      </c>
      <c r="BV27" s="5">
        <f>BV25-BV26</f>
        <v/>
      </c>
    </row>
    <row r="28">
      <c r="A28" t="inlineStr">
        <is>
          <t>paid starts</t>
        </is>
      </c>
      <c r="B28" t="inlineStr">
        <is>
          <t>US_CA|NITRO_A</t>
        </is>
      </c>
      <c r="C28" s="5">
        <f>C20+C23</f>
        <v/>
      </c>
      <c r="D28" s="5">
        <f>D20+D23</f>
        <v/>
      </c>
      <c r="E28" s="5">
        <f>E20+E23</f>
        <v/>
      </c>
      <c r="F28" s="5">
        <f>F20+F23</f>
        <v/>
      </c>
      <c r="G28" s="5">
        <f>G20+G23</f>
        <v/>
      </c>
      <c r="H28" s="5">
        <f>H20+H23</f>
        <v/>
      </c>
      <c r="I28" s="5">
        <f>I20+I23</f>
        <v/>
      </c>
      <c r="J28" s="5">
        <f>J20+J23</f>
        <v/>
      </c>
      <c r="K28" s="5">
        <f>K20+K23</f>
        <v/>
      </c>
      <c r="L28" s="5">
        <f>L20+L23</f>
        <v/>
      </c>
      <c r="M28" s="5">
        <f>M20+M23</f>
        <v/>
      </c>
      <c r="N28" s="5">
        <f>N20+N23</f>
        <v/>
      </c>
      <c r="O28" s="5">
        <f>O20+O23</f>
        <v/>
      </c>
      <c r="P28" s="5">
        <f>P20+P23</f>
        <v/>
      </c>
      <c r="Q28" s="5">
        <f>Q20+Q23</f>
        <v/>
      </c>
      <c r="R28" s="5">
        <f>R20+R23</f>
        <v/>
      </c>
      <c r="S28" s="5">
        <f>S20+S23</f>
        <v/>
      </c>
      <c r="T28" s="5">
        <f>T20+T23</f>
        <v/>
      </c>
      <c r="U28" s="5">
        <f>U20+U23</f>
        <v/>
      </c>
      <c r="V28" s="5">
        <f>V20+V23</f>
        <v/>
      </c>
      <c r="W28" s="5">
        <f>W20+W23</f>
        <v/>
      </c>
      <c r="X28" s="5">
        <f>X20+X23</f>
        <v/>
      </c>
      <c r="Y28" s="5">
        <f>Y20+Y23</f>
        <v/>
      </c>
      <c r="Z28" s="5">
        <f>Z20+Z23</f>
        <v/>
      </c>
      <c r="AA28" s="5">
        <f>AA20+AA23</f>
        <v/>
      </c>
      <c r="AB28" s="5">
        <f>AB20+AB23</f>
        <v/>
      </c>
      <c r="AC28" s="5">
        <f>AC20+AC23</f>
        <v/>
      </c>
      <c r="AD28" s="5">
        <f>AD20+AD23</f>
        <v/>
      </c>
      <c r="AE28" s="5">
        <f>AE20+AE23</f>
        <v/>
      </c>
      <c r="AF28" s="5">
        <f>AF20+AF23</f>
        <v/>
      </c>
      <c r="AG28" s="5">
        <f>AG20+AG23</f>
        <v/>
      </c>
      <c r="AH28" s="5">
        <f>AH20+AH23</f>
        <v/>
      </c>
      <c r="AI28" s="5">
        <f>AI20+AI23</f>
        <v/>
      </c>
      <c r="AJ28" s="5">
        <f>AJ20+AJ23</f>
        <v/>
      </c>
      <c r="AK28" s="5">
        <f>AK20+AK23</f>
        <v/>
      </c>
      <c r="AL28" s="5">
        <f>AL20+AL23</f>
        <v/>
      </c>
      <c r="AM28" s="5">
        <f>AM20+AM23</f>
        <v/>
      </c>
      <c r="AN28" s="5">
        <f>AN20+AN23</f>
        <v/>
      </c>
      <c r="AO28" s="5">
        <f>AO20+AO23</f>
        <v/>
      </c>
      <c r="AP28" s="5">
        <f>AP20+AP23</f>
        <v/>
      </c>
      <c r="AQ28" s="5">
        <f>AQ20+AQ23</f>
        <v/>
      </c>
      <c r="AR28" s="5">
        <f>AR20+AR23</f>
        <v/>
      </c>
      <c r="AS28" s="5">
        <f>AS20+AS23</f>
        <v/>
      </c>
      <c r="AT28" s="5">
        <f>AT20+AT23</f>
        <v/>
      </c>
      <c r="AU28" s="5">
        <f>AU20+AU23</f>
        <v/>
      </c>
      <c r="AV28" s="5">
        <f>AV20+AV23</f>
        <v/>
      </c>
      <c r="AW28" s="5">
        <f>AW20+AW23</f>
        <v/>
      </c>
      <c r="AX28" s="5">
        <f>AX20+AX23</f>
        <v/>
      </c>
      <c r="AY28" s="5">
        <f>AY20+AY23</f>
        <v/>
      </c>
      <c r="AZ28" s="5">
        <f>AZ20+AZ23</f>
        <v/>
      </c>
      <c r="BA28" s="5">
        <f>BA20+BA23</f>
        <v/>
      </c>
      <c r="BB28" s="5">
        <f>BB20+BB23</f>
        <v/>
      </c>
      <c r="BC28" s="5">
        <f>BC20+BC23</f>
        <v/>
      </c>
      <c r="BD28" s="5">
        <f>BD20+BD23</f>
        <v/>
      </c>
      <c r="BE28" s="5">
        <f>BE20+BE23</f>
        <v/>
      </c>
      <c r="BF28" s="5">
        <f>BF20+BF23</f>
        <v/>
      </c>
      <c r="BG28" s="5">
        <f>BG20+BG23</f>
        <v/>
      </c>
      <c r="BH28" s="5">
        <f>BH20+BH23</f>
        <v/>
      </c>
      <c r="BI28" s="5">
        <f>BI20+BI23</f>
        <v/>
      </c>
      <c r="BJ28" s="5">
        <f>BJ20+BJ23</f>
        <v/>
      </c>
      <c r="BK28" s="5">
        <f>BK20+BK23</f>
        <v/>
      </c>
      <c r="BL28" s="5">
        <f>BL20+BL23</f>
        <v/>
      </c>
      <c r="BM28" s="5">
        <f>BM20+BM23</f>
        <v/>
      </c>
      <c r="BN28" s="5">
        <f>BN20+BN23</f>
        <v/>
      </c>
      <c r="BO28" s="5">
        <f>BO20+BO23</f>
        <v/>
      </c>
      <c r="BP28" s="5">
        <f>BP20+BP23</f>
        <v/>
      </c>
      <c r="BQ28" s="5">
        <f>BQ20+BQ23</f>
        <v/>
      </c>
      <c r="BR28" s="5">
        <f>BR20+BR23</f>
        <v/>
      </c>
      <c r="BS28" s="5">
        <f>BS20+BS23</f>
        <v/>
      </c>
      <c r="BT28" s="5">
        <f>BT20+BT23</f>
        <v/>
      </c>
      <c r="BU28" s="5">
        <f>BU20+BU23</f>
        <v/>
      </c>
      <c r="BV28" s="5">
        <f>BV20+BV23</f>
        <v/>
      </c>
    </row>
    <row r="29">
      <c r="A29" t="inlineStr">
        <is>
          <t>paid starts @0</t>
        </is>
      </c>
      <c r="B29" t="inlineStr">
        <is>
          <t>US_CA|NITRO_A</t>
        </is>
      </c>
      <c r="C29" s="5">
        <f>C28*Eras!C$3</f>
        <v/>
      </c>
      <c r="D29" s="5">
        <f>D28*Eras!D$3</f>
        <v/>
      </c>
      <c r="E29" s="5">
        <f>E28*Eras!E$3</f>
        <v/>
      </c>
      <c r="F29" s="5">
        <f>F28*Eras!F$3</f>
        <v/>
      </c>
      <c r="G29" s="5">
        <f>G28*Eras!G$3</f>
        <v/>
      </c>
      <c r="H29" s="5">
        <f>H28*Eras!H$3</f>
        <v/>
      </c>
      <c r="I29" s="5">
        <f>I28*Eras!I$3</f>
        <v/>
      </c>
      <c r="J29" s="5">
        <f>J28*Eras!J$3</f>
        <v/>
      </c>
      <c r="K29" s="5">
        <f>K28*Eras!K$3</f>
        <v/>
      </c>
      <c r="L29" s="5">
        <f>L28*Eras!L$3</f>
        <v/>
      </c>
      <c r="M29" s="5">
        <f>M28*Eras!M$3</f>
        <v/>
      </c>
      <c r="N29" s="5">
        <f>N28*Eras!N$3</f>
        <v/>
      </c>
      <c r="O29" s="5">
        <f>O28*Eras!O$3</f>
        <v/>
      </c>
      <c r="P29" s="5">
        <f>P28*Eras!P$3</f>
        <v/>
      </c>
      <c r="Q29" s="5">
        <f>Q28*Eras!Q$3</f>
        <v/>
      </c>
      <c r="R29" s="5">
        <f>R28*Eras!R$3</f>
        <v/>
      </c>
      <c r="S29" s="5">
        <f>S28*Eras!S$3</f>
        <v/>
      </c>
      <c r="T29" s="5">
        <f>T28*Eras!T$3</f>
        <v/>
      </c>
      <c r="U29" s="5">
        <f>U28*Eras!U$3</f>
        <v/>
      </c>
      <c r="V29" s="5">
        <f>V28*Eras!V$3</f>
        <v/>
      </c>
      <c r="W29" s="5">
        <f>W28*Eras!W$3</f>
        <v/>
      </c>
      <c r="X29" s="5">
        <f>X28*Eras!X$3</f>
        <v/>
      </c>
      <c r="Y29" s="5">
        <f>Y28*Eras!Y$3</f>
        <v/>
      </c>
      <c r="Z29" s="5">
        <f>Z28*Eras!Z$3</f>
        <v/>
      </c>
      <c r="AA29" s="5">
        <f>AA28*Eras!AA$3</f>
        <v/>
      </c>
      <c r="AB29" s="5">
        <f>AB28*Eras!AB$3</f>
        <v/>
      </c>
      <c r="AC29" s="5">
        <f>AC28*Eras!AC$3</f>
        <v/>
      </c>
      <c r="AD29" s="5">
        <f>AD28*Eras!AD$3</f>
        <v/>
      </c>
      <c r="AE29" s="5">
        <f>AE28*Eras!AE$3</f>
        <v/>
      </c>
      <c r="AF29" s="5">
        <f>AF28*Eras!AF$3</f>
        <v/>
      </c>
      <c r="AG29" s="5">
        <f>AG28*Eras!AG$3</f>
        <v/>
      </c>
      <c r="AH29" s="5">
        <f>AH28*Eras!AH$3</f>
        <v/>
      </c>
      <c r="AI29" s="5">
        <f>AI28*Eras!AI$3</f>
        <v/>
      </c>
      <c r="AJ29" s="5">
        <f>AJ28*Eras!AJ$3</f>
        <v/>
      </c>
      <c r="AK29" s="5">
        <f>AK28*Eras!AK$3</f>
        <v/>
      </c>
      <c r="AL29" s="5">
        <f>AL28*Eras!AL$3</f>
        <v/>
      </c>
      <c r="AM29" s="5">
        <f>AM28*Eras!AM$3</f>
        <v/>
      </c>
      <c r="AN29" s="5">
        <f>AN28*Eras!AN$3</f>
        <v/>
      </c>
      <c r="AO29" s="5">
        <f>AO28*Eras!AO$3</f>
        <v/>
      </c>
      <c r="AP29" s="5">
        <f>AP28*Eras!AP$3</f>
        <v/>
      </c>
      <c r="AQ29" s="5">
        <f>AQ28*Eras!AQ$3</f>
        <v/>
      </c>
      <c r="AR29" s="5">
        <f>AR28*Eras!AR$3</f>
        <v/>
      </c>
      <c r="AS29" s="5">
        <f>AS28*Eras!AS$3</f>
        <v/>
      </c>
      <c r="AT29" s="5">
        <f>AT28*Eras!AT$3</f>
        <v/>
      </c>
      <c r="AU29" s="5">
        <f>AU28*Eras!AU$3</f>
        <v/>
      </c>
      <c r="AV29" s="5">
        <f>AV28*Eras!AV$3</f>
        <v/>
      </c>
      <c r="AW29" s="5">
        <f>AW28*Eras!AW$3</f>
        <v/>
      </c>
      <c r="AX29" s="5">
        <f>AX28*Eras!AX$3</f>
        <v/>
      </c>
      <c r="AY29" s="5">
        <f>AY28*Eras!AY$3</f>
        <v/>
      </c>
      <c r="AZ29" s="5">
        <f>AZ28*Eras!AZ$3</f>
        <v/>
      </c>
      <c r="BA29" s="5">
        <f>BA28*Eras!BA$3</f>
        <v/>
      </c>
      <c r="BB29" s="5">
        <f>BB28*Eras!BB$3</f>
        <v/>
      </c>
      <c r="BC29" s="5">
        <f>BC28*Eras!BC$3</f>
        <v/>
      </c>
      <c r="BD29" s="5">
        <f>BD28*Eras!BD$3</f>
        <v/>
      </c>
      <c r="BE29" s="5">
        <f>BE28*Eras!BE$3</f>
        <v/>
      </c>
      <c r="BF29" s="5">
        <f>BF28*Eras!BF$3</f>
        <v/>
      </c>
      <c r="BG29" s="5">
        <f>BG28*Eras!BG$3</f>
        <v/>
      </c>
      <c r="BH29" s="5">
        <f>BH28*Eras!BH$3</f>
        <v/>
      </c>
      <c r="BI29" s="5">
        <f>BI28*Eras!BI$3</f>
        <v/>
      </c>
      <c r="BJ29" s="5">
        <f>BJ28*Eras!BJ$3</f>
        <v/>
      </c>
      <c r="BK29" s="5">
        <f>BK28*Eras!BK$3</f>
        <v/>
      </c>
      <c r="BL29" s="5">
        <f>BL28*Eras!BL$3</f>
        <v/>
      </c>
      <c r="BM29" s="5">
        <f>BM28*Eras!BM$3</f>
        <v/>
      </c>
      <c r="BN29" s="5">
        <f>BN28*Eras!BN$3</f>
        <v/>
      </c>
      <c r="BO29" s="5">
        <f>BO28*Eras!BO$3</f>
        <v/>
      </c>
      <c r="BP29" s="5">
        <f>BP28*Eras!BP$3</f>
        <v/>
      </c>
      <c r="BQ29" s="5">
        <f>BQ28*Eras!BQ$3</f>
        <v/>
      </c>
      <c r="BR29" s="5">
        <f>BR28*Eras!BR$3</f>
        <v/>
      </c>
      <c r="BS29" s="5">
        <f>BS28*Eras!BS$3</f>
        <v/>
      </c>
      <c r="BT29" s="5">
        <f>BT28*Eras!BT$3</f>
        <v/>
      </c>
      <c r="BU29" s="5">
        <f>BU28*Eras!BU$3</f>
        <v/>
      </c>
      <c r="BV29" s="5">
        <f>BV28*Eras!BV$3</f>
        <v/>
      </c>
    </row>
    <row r="30">
      <c r="A30" t="inlineStr">
        <is>
          <t>paid starts @1</t>
        </is>
      </c>
      <c r="B30" t="inlineStr">
        <is>
          <t>US_CA|NITRO_A</t>
        </is>
      </c>
      <c r="C30" s="5">
        <f>C28*Eras!C$4</f>
        <v/>
      </c>
      <c r="D30" s="5">
        <f>D28*Eras!D$4</f>
        <v/>
      </c>
      <c r="E30" s="5">
        <f>E28*Eras!E$4</f>
        <v/>
      </c>
      <c r="F30" s="5">
        <f>F28*Eras!F$4</f>
        <v/>
      </c>
      <c r="G30" s="5">
        <f>G28*Eras!G$4</f>
        <v/>
      </c>
      <c r="H30" s="5">
        <f>H28*Eras!H$4</f>
        <v/>
      </c>
      <c r="I30" s="5">
        <f>I28*Eras!I$4</f>
        <v/>
      </c>
      <c r="J30" s="5">
        <f>J28*Eras!J$4</f>
        <v/>
      </c>
      <c r="K30" s="5">
        <f>K28*Eras!K$4</f>
        <v/>
      </c>
      <c r="L30" s="5">
        <f>L28*Eras!L$4</f>
        <v/>
      </c>
      <c r="M30" s="5">
        <f>M28*Eras!M$4</f>
        <v/>
      </c>
      <c r="N30" s="5">
        <f>N28*Eras!N$4</f>
        <v/>
      </c>
      <c r="O30" s="5">
        <f>O28*Eras!O$4</f>
        <v/>
      </c>
      <c r="P30" s="5">
        <f>P28*Eras!P$4</f>
        <v/>
      </c>
      <c r="Q30" s="5">
        <f>Q28*Eras!Q$4</f>
        <v/>
      </c>
      <c r="R30" s="5">
        <f>R28*Eras!R$4</f>
        <v/>
      </c>
      <c r="S30" s="5">
        <f>S28*Eras!S$4</f>
        <v/>
      </c>
      <c r="T30" s="5">
        <f>T28*Eras!T$4</f>
        <v/>
      </c>
      <c r="U30" s="5">
        <f>U28*Eras!U$4</f>
        <v/>
      </c>
      <c r="V30" s="5">
        <f>V28*Eras!V$4</f>
        <v/>
      </c>
      <c r="W30" s="5">
        <f>W28*Eras!W$4</f>
        <v/>
      </c>
      <c r="X30" s="5">
        <f>X28*Eras!X$4</f>
        <v/>
      </c>
      <c r="Y30" s="5">
        <f>Y28*Eras!Y$4</f>
        <v/>
      </c>
      <c r="Z30" s="5">
        <f>Z28*Eras!Z$4</f>
        <v/>
      </c>
      <c r="AA30" s="5">
        <f>AA28*Eras!AA$4</f>
        <v/>
      </c>
      <c r="AB30" s="5">
        <f>AB28*Eras!AB$4</f>
        <v/>
      </c>
      <c r="AC30" s="5">
        <f>AC28*Eras!AC$4</f>
        <v/>
      </c>
      <c r="AD30" s="5">
        <f>AD28*Eras!AD$4</f>
        <v/>
      </c>
      <c r="AE30" s="5">
        <f>AE28*Eras!AE$4</f>
        <v/>
      </c>
      <c r="AF30" s="5">
        <f>AF28*Eras!AF$4</f>
        <v/>
      </c>
      <c r="AG30" s="5">
        <f>AG28*Eras!AG$4</f>
        <v/>
      </c>
      <c r="AH30" s="5">
        <f>AH28*Eras!AH$4</f>
        <v/>
      </c>
      <c r="AI30" s="5">
        <f>AI28*Eras!AI$4</f>
        <v/>
      </c>
      <c r="AJ30" s="5">
        <f>AJ28*Eras!AJ$4</f>
        <v/>
      </c>
      <c r="AK30" s="5">
        <f>AK28*Eras!AK$4</f>
        <v/>
      </c>
      <c r="AL30" s="5">
        <f>AL28*Eras!AL$4</f>
        <v/>
      </c>
      <c r="AM30" s="5">
        <f>AM28*Eras!AM$4</f>
        <v/>
      </c>
      <c r="AN30" s="5">
        <f>AN28*Eras!AN$4</f>
        <v/>
      </c>
      <c r="AO30" s="5">
        <f>AO28*Eras!AO$4</f>
        <v/>
      </c>
      <c r="AP30" s="5">
        <f>AP28*Eras!AP$4</f>
        <v/>
      </c>
      <c r="AQ30" s="5">
        <f>AQ28*Eras!AQ$4</f>
        <v/>
      </c>
      <c r="AR30" s="5">
        <f>AR28*Eras!AR$4</f>
        <v/>
      </c>
      <c r="AS30" s="5">
        <f>AS28*Eras!AS$4</f>
        <v/>
      </c>
      <c r="AT30" s="5">
        <f>AT28*Eras!AT$4</f>
        <v/>
      </c>
      <c r="AU30" s="5">
        <f>AU28*Eras!AU$4</f>
        <v/>
      </c>
      <c r="AV30" s="5">
        <f>AV28*Eras!AV$4</f>
        <v/>
      </c>
      <c r="AW30" s="5">
        <f>AW28*Eras!AW$4</f>
        <v/>
      </c>
      <c r="AX30" s="5">
        <f>AX28*Eras!AX$4</f>
        <v/>
      </c>
      <c r="AY30" s="5">
        <f>AY28*Eras!AY$4</f>
        <v/>
      </c>
      <c r="AZ30" s="5">
        <f>AZ28*Eras!AZ$4</f>
        <v/>
      </c>
      <c r="BA30" s="5">
        <f>BA28*Eras!BA$4</f>
        <v/>
      </c>
      <c r="BB30" s="5">
        <f>BB28*Eras!BB$4</f>
        <v/>
      </c>
      <c r="BC30" s="5">
        <f>BC28*Eras!BC$4</f>
        <v/>
      </c>
      <c r="BD30" s="5">
        <f>BD28*Eras!BD$4</f>
        <v/>
      </c>
      <c r="BE30" s="5">
        <f>BE28*Eras!BE$4</f>
        <v/>
      </c>
      <c r="BF30" s="5">
        <f>BF28*Eras!BF$4</f>
        <v/>
      </c>
      <c r="BG30" s="5">
        <f>BG28*Eras!BG$4</f>
        <v/>
      </c>
      <c r="BH30" s="5">
        <f>BH28*Eras!BH$4</f>
        <v/>
      </c>
      <c r="BI30" s="5">
        <f>BI28*Eras!BI$4</f>
        <v/>
      </c>
      <c r="BJ30" s="5">
        <f>BJ28*Eras!BJ$4</f>
        <v/>
      </c>
      <c r="BK30" s="5">
        <f>BK28*Eras!BK$4</f>
        <v/>
      </c>
      <c r="BL30" s="5">
        <f>BL28*Eras!BL$4</f>
        <v/>
      </c>
      <c r="BM30" s="5">
        <f>BM28*Eras!BM$4</f>
        <v/>
      </c>
      <c r="BN30" s="5">
        <f>BN28*Eras!BN$4</f>
        <v/>
      </c>
      <c r="BO30" s="5">
        <f>BO28*Eras!BO$4</f>
        <v/>
      </c>
      <c r="BP30" s="5">
        <f>BP28*Eras!BP$4</f>
        <v/>
      </c>
      <c r="BQ30" s="5">
        <f>BQ28*Eras!BQ$4</f>
        <v/>
      </c>
      <c r="BR30" s="5">
        <f>BR28*Eras!BR$4</f>
        <v/>
      </c>
      <c r="BS30" s="5">
        <f>BS28*Eras!BS$4</f>
        <v/>
      </c>
      <c r="BT30" s="5">
        <f>BT28*Eras!BT$4</f>
        <v/>
      </c>
      <c r="BU30" s="5">
        <f>BU28*Eras!BU$4</f>
        <v/>
      </c>
      <c r="BV30" s="5">
        <f>BV28*Eras!BV$4</f>
        <v/>
      </c>
    </row>
    <row r="31">
      <c r="A31" t="inlineStr">
        <is>
          <t>paid starts @2</t>
        </is>
      </c>
      <c r="B31" t="inlineStr">
        <is>
          <t>US_CA|NITRO_A</t>
        </is>
      </c>
      <c r="C31" s="5">
        <f>C28*Eras!C$5</f>
        <v/>
      </c>
      <c r="D31" s="5">
        <f>D28*Eras!D$5</f>
        <v/>
      </c>
      <c r="E31" s="5">
        <f>E28*Eras!E$5</f>
        <v/>
      </c>
      <c r="F31" s="5">
        <f>F28*Eras!F$5</f>
        <v/>
      </c>
      <c r="G31" s="5">
        <f>G28*Eras!G$5</f>
        <v/>
      </c>
      <c r="H31" s="5">
        <f>H28*Eras!H$5</f>
        <v/>
      </c>
      <c r="I31" s="5">
        <f>I28*Eras!I$5</f>
        <v/>
      </c>
      <c r="J31" s="5">
        <f>J28*Eras!J$5</f>
        <v/>
      </c>
      <c r="K31" s="5">
        <f>K28*Eras!K$5</f>
        <v/>
      </c>
      <c r="L31" s="5">
        <f>L28*Eras!L$5</f>
        <v/>
      </c>
      <c r="M31" s="5">
        <f>M28*Eras!M$5</f>
        <v/>
      </c>
      <c r="N31" s="5">
        <f>N28*Eras!N$5</f>
        <v/>
      </c>
      <c r="O31" s="5">
        <f>O28*Eras!O$5</f>
        <v/>
      </c>
      <c r="P31" s="5">
        <f>P28*Eras!P$5</f>
        <v/>
      </c>
      <c r="Q31" s="5">
        <f>Q28*Eras!Q$5</f>
        <v/>
      </c>
      <c r="R31" s="5">
        <f>R28*Eras!R$5</f>
        <v/>
      </c>
      <c r="S31" s="5">
        <f>S28*Eras!S$5</f>
        <v/>
      </c>
      <c r="T31" s="5">
        <f>T28*Eras!T$5</f>
        <v/>
      </c>
      <c r="U31" s="5">
        <f>U28*Eras!U$5</f>
        <v/>
      </c>
      <c r="V31" s="5">
        <f>V28*Eras!V$5</f>
        <v/>
      </c>
      <c r="W31" s="5">
        <f>W28*Eras!W$5</f>
        <v/>
      </c>
      <c r="X31" s="5">
        <f>X28*Eras!X$5</f>
        <v/>
      </c>
      <c r="Y31" s="5">
        <f>Y28*Eras!Y$5</f>
        <v/>
      </c>
      <c r="Z31" s="5">
        <f>Z28*Eras!Z$5</f>
        <v/>
      </c>
      <c r="AA31" s="5">
        <f>AA28*Eras!AA$5</f>
        <v/>
      </c>
      <c r="AB31" s="5">
        <f>AB28*Eras!AB$5</f>
        <v/>
      </c>
      <c r="AC31" s="5">
        <f>AC28*Eras!AC$5</f>
        <v/>
      </c>
      <c r="AD31" s="5">
        <f>AD28*Eras!AD$5</f>
        <v/>
      </c>
      <c r="AE31" s="5">
        <f>AE28*Eras!AE$5</f>
        <v/>
      </c>
      <c r="AF31" s="5">
        <f>AF28*Eras!AF$5</f>
        <v/>
      </c>
      <c r="AG31" s="5">
        <f>AG28*Eras!AG$5</f>
        <v/>
      </c>
      <c r="AH31" s="5">
        <f>AH28*Eras!AH$5</f>
        <v/>
      </c>
      <c r="AI31" s="5">
        <f>AI28*Eras!AI$5</f>
        <v/>
      </c>
      <c r="AJ31" s="5">
        <f>AJ28*Eras!AJ$5</f>
        <v/>
      </c>
      <c r="AK31" s="5">
        <f>AK28*Eras!AK$5</f>
        <v/>
      </c>
      <c r="AL31" s="5">
        <f>AL28*Eras!AL$5</f>
        <v/>
      </c>
      <c r="AM31" s="5">
        <f>AM28*Eras!AM$5</f>
        <v/>
      </c>
      <c r="AN31" s="5">
        <f>AN28*Eras!AN$5</f>
        <v/>
      </c>
      <c r="AO31" s="5">
        <f>AO28*Eras!AO$5</f>
        <v/>
      </c>
      <c r="AP31" s="5">
        <f>AP28*Eras!AP$5</f>
        <v/>
      </c>
      <c r="AQ31" s="5">
        <f>AQ28*Eras!AQ$5</f>
        <v/>
      </c>
      <c r="AR31" s="5">
        <f>AR28*Eras!AR$5</f>
        <v/>
      </c>
      <c r="AS31" s="5">
        <f>AS28*Eras!AS$5</f>
        <v/>
      </c>
      <c r="AT31" s="5">
        <f>AT28*Eras!AT$5</f>
        <v/>
      </c>
      <c r="AU31" s="5">
        <f>AU28*Eras!AU$5</f>
        <v/>
      </c>
      <c r="AV31" s="5">
        <f>AV28*Eras!AV$5</f>
        <v/>
      </c>
      <c r="AW31" s="5">
        <f>AW28*Eras!AW$5</f>
        <v/>
      </c>
      <c r="AX31" s="5">
        <f>AX28*Eras!AX$5</f>
        <v/>
      </c>
      <c r="AY31" s="5">
        <f>AY28*Eras!AY$5</f>
        <v/>
      </c>
      <c r="AZ31" s="5">
        <f>AZ28*Eras!AZ$5</f>
        <v/>
      </c>
      <c r="BA31" s="5">
        <f>BA28*Eras!BA$5</f>
        <v/>
      </c>
      <c r="BB31" s="5">
        <f>BB28*Eras!BB$5</f>
        <v/>
      </c>
      <c r="BC31" s="5">
        <f>BC28*Eras!BC$5</f>
        <v/>
      </c>
      <c r="BD31" s="5">
        <f>BD28*Eras!BD$5</f>
        <v/>
      </c>
      <c r="BE31" s="5">
        <f>BE28*Eras!BE$5</f>
        <v/>
      </c>
      <c r="BF31" s="5">
        <f>BF28*Eras!BF$5</f>
        <v/>
      </c>
      <c r="BG31" s="5">
        <f>BG28*Eras!BG$5</f>
        <v/>
      </c>
      <c r="BH31" s="5">
        <f>BH28*Eras!BH$5</f>
        <v/>
      </c>
      <c r="BI31" s="5">
        <f>BI28*Eras!BI$5</f>
        <v/>
      </c>
      <c r="BJ31" s="5">
        <f>BJ28*Eras!BJ$5</f>
        <v/>
      </c>
      <c r="BK31" s="5">
        <f>BK28*Eras!BK$5</f>
        <v/>
      </c>
      <c r="BL31" s="5">
        <f>BL28*Eras!BL$5</f>
        <v/>
      </c>
      <c r="BM31" s="5">
        <f>BM28*Eras!BM$5</f>
        <v/>
      </c>
      <c r="BN31" s="5">
        <f>BN28*Eras!BN$5</f>
        <v/>
      </c>
      <c r="BO31" s="5">
        <f>BO28*Eras!BO$5</f>
        <v/>
      </c>
      <c r="BP31" s="5">
        <f>BP28*Eras!BP$5</f>
        <v/>
      </c>
      <c r="BQ31" s="5">
        <f>BQ28*Eras!BQ$5</f>
        <v/>
      </c>
      <c r="BR31" s="5">
        <f>BR28*Eras!BR$5</f>
        <v/>
      </c>
      <c r="BS31" s="5">
        <f>BS28*Eras!BS$5</f>
        <v/>
      </c>
      <c r="BT31" s="5">
        <f>BT28*Eras!BT$5</f>
        <v/>
      </c>
      <c r="BU31" s="5">
        <f>BU28*Eras!BU$5</f>
        <v/>
      </c>
      <c r="BV31" s="5">
        <f>BV28*Eras!BV$5</f>
        <v/>
      </c>
    </row>
    <row r="33">
      <c r="A33" t="inlineStr">
        <is>
          <t>gross adds</t>
        </is>
      </c>
      <c r="B33" t="inlineStr">
        <is>
          <t>US_CA|BASIC_M</t>
        </is>
      </c>
      <c r="C33" s="5">
        <f>MAU!C4*Params!$B$57*Eras!C$7*Params!$B$130*Params!$B$94</f>
        <v/>
      </c>
      <c r="D33" s="5">
        <f>MAU!D4*Params!$B$57*Eras!D$7*Params!$B$130*Params!$B$94</f>
        <v/>
      </c>
      <c r="E33" s="5">
        <f>MAU!E4*Params!$B$57*Eras!E$7*Params!$B$130*Params!$B$94</f>
        <v/>
      </c>
      <c r="F33" s="5">
        <f>MAU!F4*Params!$B$57*Eras!F$7*Params!$B$130*Params!$B$94</f>
        <v/>
      </c>
      <c r="G33" s="5">
        <f>MAU!G4*Params!$B$57*Eras!G$7*Params!$B$130*Params!$B$94</f>
        <v/>
      </c>
      <c r="H33" s="5">
        <f>MAU!H4*Params!$B$57*Eras!H$7*Params!$B$130*Params!$B$94</f>
        <v/>
      </c>
      <c r="I33" s="5">
        <f>MAU!I4*Params!$B$57*Eras!I$7*Params!$B$130*Params!$B$94</f>
        <v/>
      </c>
      <c r="J33" s="5">
        <f>MAU!J4*Params!$B$57*Eras!J$7*Params!$B$130*Params!$B$94</f>
        <v/>
      </c>
      <c r="K33" s="5">
        <f>MAU!K4*Params!$B$57*Eras!K$7*Params!$B$130*Params!$B$94</f>
        <v/>
      </c>
      <c r="L33" s="5">
        <f>MAU!L4*Params!$B$57*Eras!L$7*Params!$B$130*Params!$B$94</f>
        <v/>
      </c>
      <c r="M33" s="5">
        <f>MAU!M4*Params!$B$57*Eras!M$7*Params!$B$130*Params!$B$94</f>
        <v/>
      </c>
      <c r="N33" s="5">
        <f>MAU!N4*Params!$B$57*Eras!N$7*Params!$B$130*Params!$B$94</f>
        <v/>
      </c>
      <c r="O33" s="5">
        <f>MAU!O4*Params!$B$57*Eras!O$7*Params!$B$130*Params!$B$94</f>
        <v/>
      </c>
      <c r="P33" s="5">
        <f>MAU!P4*Params!$B$57*Eras!P$7*Params!$B$130*Params!$B$94</f>
        <v/>
      </c>
      <c r="Q33" s="5">
        <f>MAU!Q4*Params!$B$57*Eras!Q$7*Params!$B$130*Params!$B$94</f>
        <v/>
      </c>
      <c r="R33" s="5">
        <f>MAU!R4*Params!$B$57*Eras!R$7*Params!$B$130*Params!$B$94</f>
        <v/>
      </c>
      <c r="S33" s="5">
        <f>MAU!S4*Params!$B$57*Eras!S$7*Params!$B$130*Params!$B$94</f>
        <v/>
      </c>
      <c r="T33" s="5">
        <f>MAU!T4*Params!$B$57*Eras!T$7*Params!$B$130*Params!$B$94</f>
        <v/>
      </c>
      <c r="U33" s="5">
        <f>MAU!U4*Params!$B$57*Eras!U$7*Params!$B$130*Params!$B$94</f>
        <v/>
      </c>
      <c r="V33" s="5">
        <f>MAU!V4*Params!$B$57*Eras!V$7*Params!$B$130*Params!$B$94</f>
        <v/>
      </c>
      <c r="W33" s="5">
        <f>MAU!W4*Params!$B$57*Eras!W$7*Params!$B$130*Params!$B$94</f>
        <v/>
      </c>
      <c r="X33" s="5">
        <f>MAU!X4*Params!$B$57*Eras!X$7*Params!$B$130*Params!$B$94</f>
        <v/>
      </c>
      <c r="Y33" s="5">
        <f>MAU!Y4*Params!$B$57*Eras!Y$7*Params!$B$130*Params!$B$94</f>
        <v/>
      </c>
      <c r="Z33" s="5">
        <f>MAU!Z4*Params!$B$57*Eras!Z$7*Params!$B$130*Params!$B$94</f>
        <v/>
      </c>
      <c r="AA33" s="5">
        <f>MAU!AA4*Params!$B$57*Eras!AA$7*Params!$B$130*Params!$B$94</f>
        <v/>
      </c>
      <c r="AB33" s="5">
        <f>MAU!AB4*Params!$B$57*Eras!AB$7*Params!$B$130*Params!$B$94</f>
        <v/>
      </c>
      <c r="AC33" s="5">
        <f>MAU!AC4*Params!$B$57*Eras!AC$7*Params!$B$130*Params!$B$94</f>
        <v/>
      </c>
      <c r="AD33" s="5">
        <f>MAU!AD4*Params!$B$57*Eras!AD$7*Params!$B$130*Params!$B$94</f>
        <v/>
      </c>
      <c r="AE33" s="5">
        <f>MAU!AE4*Params!$B$57*Eras!AE$7*Params!$B$130*Params!$B$94</f>
        <v/>
      </c>
      <c r="AF33" s="5">
        <f>MAU!AF4*Params!$B$57*Eras!AF$7*Params!$B$130*Params!$B$94</f>
        <v/>
      </c>
      <c r="AG33" s="5">
        <f>MAU!AG4*Params!$B$57*Eras!AG$7*Params!$B$130*Params!$B$94</f>
        <v/>
      </c>
      <c r="AH33" s="5">
        <f>MAU!AH4*Params!$B$57*Eras!AH$7*Params!$B$130*Params!$B$94</f>
        <v/>
      </c>
      <c r="AI33" s="5">
        <f>MAU!AI4*Params!$B$57*Eras!AI$7*Params!$B$130*Params!$B$94</f>
        <v/>
      </c>
      <c r="AJ33" s="5">
        <f>MAU!AJ4*Params!$B$57*Eras!AJ$7*Params!$B$130*Params!$B$94</f>
        <v/>
      </c>
      <c r="AK33" s="5">
        <f>MAU!AK4*Params!$B$57*Eras!AK$7*Params!$B$130*Params!$B$94</f>
        <v/>
      </c>
      <c r="AL33" s="5">
        <f>MAU!AL4*Params!$B$57*Eras!AL$7*Params!$B$130*Params!$B$94</f>
        <v/>
      </c>
      <c r="AM33" s="5">
        <f>MAU!AM4*Params!$B$57*Eras!AM$7*Params!$B$130*Params!$B$94</f>
        <v/>
      </c>
      <c r="AN33" s="5">
        <f>MAU!AN4*Params!$B$57*Eras!AN$7*Params!$B$130*Params!$B$94</f>
        <v/>
      </c>
      <c r="AO33" s="5">
        <f>MAU!AO4*Params!$B$57*Eras!AO$7*Params!$B$130*Params!$B$94</f>
        <v/>
      </c>
      <c r="AP33" s="5">
        <f>MAU!AP4*Params!$B$57*Eras!AP$7*Params!$B$130*Params!$B$94</f>
        <v/>
      </c>
      <c r="AQ33" s="5">
        <f>MAU!AQ4*Params!$B$57*Eras!AQ$7*Params!$B$130*Params!$B$94</f>
        <v/>
      </c>
      <c r="AR33" s="5">
        <f>MAU!AR4*Params!$B$57*Eras!AR$7*Params!$B$130*Params!$B$94</f>
        <v/>
      </c>
      <c r="AS33" s="5">
        <f>MAU!AS4*Params!$B$57*Eras!AS$7*Params!$B$130*Params!$B$94</f>
        <v/>
      </c>
      <c r="AT33" s="5">
        <f>MAU!AT4*Params!$B$57*Eras!AT$7*Params!$B$130*Params!$B$94</f>
        <v/>
      </c>
      <c r="AU33" s="5">
        <f>MAU!AU4*Params!$B$57*Eras!AU$7*Params!$B$130*Params!$B$94</f>
        <v/>
      </c>
      <c r="AV33" s="5">
        <f>MAU!AV4*Params!$B$57*Eras!AV$7*Params!$B$130*Params!$B$94</f>
        <v/>
      </c>
      <c r="AW33" s="5">
        <f>MAU!AW4*Params!$B$57*Eras!AW$7*Params!$B$130*Params!$B$94</f>
        <v/>
      </c>
      <c r="AX33" s="5">
        <f>MAU!AX4*Params!$B$57*Eras!AX$7*Params!$B$130*Params!$B$94</f>
        <v/>
      </c>
      <c r="AY33" s="5">
        <f>MAU!AY4*Params!$B$57*Eras!AY$7*Params!$B$130*Params!$B$94</f>
        <v/>
      </c>
      <c r="AZ33" s="5">
        <f>MAU!AZ4*Params!$B$57*Eras!AZ$7*Params!$B$130*Params!$B$94</f>
        <v/>
      </c>
      <c r="BA33" s="5">
        <f>MAU!BA4*Params!$B$57*Eras!BA$7*Params!$B$130*Params!$B$94</f>
        <v/>
      </c>
      <c r="BB33" s="5">
        <f>MAU!BB4*Params!$B$57*Eras!BB$7*Params!$B$130*Params!$B$94</f>
        <v/>
      </c>
      <c r="BC33" s="5">
        <f>MAU!BC4*Params!$B$57*Eras!BC$7*Params!$B$130*Params!$B$94</f>
        <v/>
      </c>
      <c r="BD33" s="5">
        <f>MAU!BD4*Params!$B$57*Eras!BD$7*Params!$B$130*Params!$B$94</f>
        <v/>
      </c>
      <c r="BE33" s="5">
        <f>MAU!BE4*Params!$B$57*Eras!BE$7*Params!$B$130*Params!$B$94</f>
        <v/>
      </c>
      <c r="BF33" s="5">
        <f>MAU!BF4*Params!$B$57*Eras!BF$7*Params!$B$130*Params!$B$94</f>
        <v/>
      </c>
      <c r="BG33" s="5">
        <f>MAU!BG4*Params!$B$57*Eras!BG$7*Params!$B$130*Params!$B$94</f>
        <v/>
      </c>
      <c r="BH33" s="5">
        <f>MAU!BH4*Params!$B$57*Eras!BH$7*Params!$B$130*Params!$B$94</f>
        <v/>
      </c>
      <c r="BI33" s="5">
        <f>MAU!BI4*Params!$B$57*Eras!BI$7*Params!$B$130*Params!$B$94</f>
        <v/>
      </c>
      <c r="BJ33" s="5">
        <f>MAU!BJ4*Params!$B$57*Eras!BJ$7*Params!$B$130*Params!$B$94</f>
        <v/>
      </c>
      <c r="BK33" s="5">
        <f>MAU!BK4*Params!$B$57*Eras!BK$7*Params!$B$130*Params!$B$94</f>
        <v/>
      </c>
      <c r="BL33" s="5">
        <f>MAU!BL4*Params!$B$57*Eras!BL$7*Params!$B$130*Params!$B$94</f>
        <v/>
      </c>
      <c r="BM33" s="5">
        <f>MAU!BM4*Params!$B$57*Eras!BM$7*Params!$B$130*Params!$B$94</f>
        <v/>
      </c>
      <c r="BN33" s="5">
        <f>MAU!BN4*Params!$B$57*Eras!BN$7*Params!$B$130*Params!$B$94</f>
        <v/>
      </c>
      <c r="BO33" s="5">
        <f>MAU!BO4*Params!$B$57*Eras!BO$7*Params!$B$130*Params!$B$94</f>
        <v/>
      </c>
      <c r="BP33" s="5">
        <f>MAU!BP4*Params!$B$57*Eras!BP$7*Params!$B$130*Params!$B$94</f>
        <v/>
      </c>
      <c r="BQ33" s="5">
        <f>MAU!BQ4*Params!$B$57*Eras!BQ$7*Params!$B$130*Params!$B$94</f>
        <v/>
      </c>
      <c r="BR33" s="5">
        <f>MAU!BR4*Params!$B$57*Eras!BR$7*Params!$B$130*Params!$B$94</f>
        <v/>
      </c>
      <c r="BS33" s="5">
        <f>MAU!BS4*Params!$B$57*Eras!BS$7*Params!$B$130*Params!$B$94</f>
        <v/>
      </c>
      <c r="BT33" s="5">
        <f>MAU!BT4*Params!$B$57*Eras!BT$7*Params!$B$130*Params!$B$94</f>
        <v/>
      </c>
      <c r="BU33" s="5">
        <f>MAU!BU4*Params!$B$57*Eras!BU$7*Params!$B$130*Params!$B$94</f>
        <v/>
      </c>
      <c r="BV33" s="5">
        <f>MAU!BV4*Params!$B$57*Eras!BV$7*Params!$B$130*Params!$B$94</f>
        <v/>
      </c>
    </row>
    <row r="34">
      <c r="A34" t="inlineStr">
        <is>
          <t>trial starts</t>
        </is>
      </c>
      <c r="B34" t="inlineStr">
        <is>
          <t>US_CA|BASIC_M</t>
        </is>
      </c>
      <c r="C34" s="5">
        <f>C33*Eras!C$8</f>
        <v/>
      </c>
      <c r="D34" s="5">
        <f>D33*Eras!D$8</f>
        <v/>
      </c>
      <c r="E34" s="5">
        <f>E33*Eras!E$8</f>
        <v/>
      </c>
      <c r="F34" s="5">
        <f>F33*Eras!F$8</f>
        <v/>
      </c>
      <c r="G34" s="5">
        <f>G33*Eras!G$8</f>
        <v/>
      </c>
      <c r="H34" s="5">
        <f>H33*Eras!H$8</f>
        <v/>
      </c>
      <c r="I34" s="5">
        <f>I33*Eras!I$8</f>
        <v/>
      </c>
      <c r="J34" s="5">
        <f>J33*Eras!J$8</f>
        <v/>
      </c>
      <c r="K34" s="5">
        <f>K33*Eras!K$8</f>
        <v/>
      </c>
      <c r="L34" s="5">
        <f>L33*Eras!L$8</f>
        <v/>
      </c>
      <c r="M34" s="5">
        <f>M33*Eras!M$8</f>
        <v/>
      </c>
      <c r="N34" s="5">
        <f>N33*Eras!N$8</f>
        <v/>
      </c>
      <c r="O34" s="5">
        <f>O33*Eras!O$8</f>
        <v/>
      </c>
      <c r="P34" s="5">
        <f>P33*Eras!P$8</f>
        <v/>
      </c>
      <c r="Q34" s="5">
        <f>Q33*Eras!Q$8</f>
        <v/>
      </c>
      <c r="R34" s="5">
        <f>R33*Eras!R$8</f>
        <v/>
      </c>
      <c r="S34" s="5">
        <f>S33*Eras!S$8</f>
        <v/>
      </c>
      <c r="T34" s="5">
        <f>T33*Eras!T$8</f>
        <v/>
      </c>
      <c r="U34" s="5">
        <f>U33*Eras!U$8</f>
        <v/>
      </c>
      <c r="V34" s="5">
        <f>V33*Eras!V$8</f>
        <v/>
      </c>
      <c r="W34" s="5">
        <f>W33*Eras!W$8</f>
        <v/>
      </c>
      <c r="X34" s="5">
        <f>X33*Eras!X$8</f>
        <v/>
      </c>
      <c r="Y34" s="5">
        <f>Y33*Eras!Y$8</f>
        <v/>
      </c>
      <c r="Z34" s="5">
        <f>Z33*Eras!Z$8</f>
        <v/>
      </c>
      <c r="AA34" s="5">
        <f>AA33*Eras!AA$8</f>
        <v/>
      </c>
      <c r="AB34" s="5">
        <f>AB33*Eras!AB$8</f>
        <v/>
      </c>
      <c r="AC34" s="5">
        <f>AC33*Eras!AC$8</f>
        <v/>
      </c>
      <c r="AD34" s="5">
        <f>AD33*Eras!AD$8</f>
        <v/>
      </c>
      <c r="AE34" s="5">
        <f>AE33*Eras!AE$8</f>
        <v/>
      </c>
      <c r="AF34" s="5">
        <f>AF33*Eras!AF$8</f>
        <v/>
      </c>
      <c r="AG34" s="5">
        <f>AG33*Eras!AG$8</f>
        <v/>
      </c>
      <c r="AH34" s="5">
        <f>AH33*Eras!AH$8</f>
        <v/>
      </c>
      <c r="AI34" s="5">
        <f>AI33*Eras!AI$8</f>
        <v/>
      </c>
      <c r="AJ34" s="5">
        <f>AJ33*Eras!AJ$8</f>
        <v/>
      </c>
      <c r="AK34" s="5">
        <f>AK33*Eras!AK$8</f>
        <v/>
      </c>
      <c r="AL34" s="5">
        <f>AL33*Eras!AL$8</f>
        <v/>
      </c>
      <c r="AM34" s="5">
        <f>AM33*Eras!AM$8</f>
        <v/>
      </c>
      <c r="AN34" s="5">
        <f>AN33*Eras!AN$8</f>
        <v/>
      </c>
      <c r="AO34" s="5">
        <f>AO33*Eras!AO$8</f>
        <v/>
      </c>
      <c r="AP34" s="5">
        <f>AP33*Eras!AP$8</f>
        <v/>
      </c>
      <c r="AQ34" s="5">
        <f>AQ33*Eras!AQ$8</f>
        <v/>
      </c>
      <c r="AR34" s="5">
        <f>AR33*Eras!AR$8</f>
        <v/>
      </c>
      <c r="AS34" s="5">
        <f>AS33*Eras!AS$8</f>
        <v/>
      </c>
      <c r="AT34" s="5">
        <f>AT33*Eras!AT$8</f>
        <v/>
      </c>
      <c r="AU34" s="5">
        <f>AU33*Eras!AU$8</f>
        <v/>
      </c>
      <c r="AV34" s="5">
        <f>AV33*Eras!AV$8</f>
        <v/>
      </c>
      <c r="AW34" s="5">
        <f>AW33*Eras!AW$8</f>
        <v/>
      </c>
      <c r="AX34" s="5">
        <f>AX33*Eras!AX$8</f>
        <v/>
      </c>
      <c r="AY34" s="5">
        <f>AY33*Eras!AY$8</f>
        <v/>
      </c>
      <c r="AZ34" s="5">
        <f>AZ33*Eras!AZ$8</f>
        <v/>
      </c>
      <c r="BA34" s="5">
        <f>BA33*Eras!BA$8</f>
        <v/>
      </c>
      <c r="BB34" s="5">
        <f>BB33*Eras!BB$8</f>
        <v/>
      </c>
      <c r="BC34" s="5">
        <f>BC33*Eras!BC$8</f>
        <v/>
      </c>
      <c r="BD34" s="5">
        <f>BD33*Eras!BD$8</f>
        <v/>
      </c>
      <c r="BE34" s="5">
        <f>BE33*Eras!BE$8</f>
        <v/>
      </c>
      <c r="BF34" s="5">
        <f>BF33*Eras!BF$8</f>
        <v/>
      </c>
      <c r="BG34" s="5">
        <f>BG33*Eras!BG$8</f>
        <v/>
      </c>
      <c r="BH34" s="5">
        <f>BH33*Eras!BH$8</f>
        <v/>
      </c>
      <c r="BI34" s="5">
        <f>BI33*Eras!BI$8</f>
        <v/>
      </c>
      <c r="BJ34" s="5">
        <f>BJ33*Eras!BJ$8</f>
        <v/>
      </c>
      <c r="BK34" s="5">
        <f>BK33*Eras!BK$8</f>
        <v/>
      </c>
      <c r="BL34" s="5">
        <f>BL33*Eras!BL$8</f>
        <v/>
      </c>
      <c r="BM34" s="5">
        <f>BM33*Eras!BM$8</f>
        <v/>
      </c>
      <c r="BN34" s="5">
        <f>BN33*Eras!BN$8</f>
        <v/>
      </c>
      <c r="BO34" s="5">
        <f>BO33*Eras!BO$8</f>
        <v/>
      </c>
      <c r="BP34" s="5">
        <f>BP33*Eras!BP$8</f>
        <v/>
      </c>
      <c r="BQ34" s="5">
        <f>BQ33*Eras!BQ$8</f>
        <v/>
      </c>
      <c r="BR34" s="5">
        <f>BR33*Eras!BR$8</f>
        <v/>
      </c>
      <c r="BS34" s="5">
        <f>BS33*Eras!BS$8</f>
        <v/>
      </c>
      <c r="BT34" s="5">
        <f>BT33*Eras!BT$8</f>
        <v/>
      </c>
      <c r="BU34" s="5">
        <f>BU33*Eras!BU$8</f>
        <v/>
      </c>
      <c r="BV34" s="5">
        <f>BV33*Eras!BV$8</f>
        <v/>
      </c>
    </row>
    <row r="35">
      <c r="A35" t="inlineStr">
        <is>
          <t>direct paid starts</t>
        </is>
      </c>
      <c r="B35" t="inlineStr">
        <is>
          <t>US_CA|BASIC_M</t>
        </is>
      </c>
      <c r="C35" s="5">
        <f>C33-C34</f>
        <v/>
      </c>
      <c r="D35" s="5">
        <f>D33-D34</f>
        <v/>
      </c>
      <c r="E35" s="5">
        <f>E33-E34</f>
        <v/>
      </c>
      <c r="F35" s="5">
        <f>F33-F34</f>
        <v/>
      </c>
      <c r="G35" s="5">
        <f>G33-G34</f>
        <v/>
      </c>
      <c r="H35" s="5">
        <f>H33-H34</f>
        <v/>
      </c>
      <c r="I35" s="5">
        <f>I33-I34</f>
        <v/>
      </c>
      <c r="J35" s="5">
        <f>J33-J34</f>
        <v/>
      </c>
      <c r="K35" s="5">
        <f>K33-K34</f>
        <v/>
      </c>
      <c r="L35" s="5">
        <f>L33-L34</f>
        <v/>
      </c>
      <c r="M35" s="5">
        <f>M33-M34</f>
        <v/>
      </c>
      <c r="N35" s="5">
        <f>N33-N34</f>
        <v/>
      </c>
      <c r="O35" s="5">
        <f>O33-O34</f>
        <v/>
      </c>
      <c r="P35" s="5">
        <f>P33-P34</f>
        <v/>
      </c>
      <c r="Q35" s="5">
        <f>Q33-Q34</f>
        <v/>
      </c>
      <c r="R35" s="5">
        <f>R33-R34</f>
        <v/>
      </c>
      <c r="S35" s="5">
        <f>S33-S34</f>
        <v/>
      </c>
      <c r="T35" s="5">
        <f>T33-T34</f>
        <v/>
      </c>
      <c r="U35" s="5">
        <f>U33-U34</f>
        <v/>
      </c>
      <c r="V35" s="5">
        <f>V33-V34</f>
        <v/>
      </c>
      <c r="W35" s="5">
        <f>W33-W34</f>
        <v/>
      </c>
      <c r="X35" s="5">
        <f>X33-X34</f>
        <v/>
      </c>
      <c r="Y35" s="5">
        <f>Y33-Y34</f>
        <v/>
      </c>
      <c r="Z35" s="5">
        <f>Z33-Z34</f>
        <v/>
      </c>
      <c r="AA35" s="5">
        <f>AA33-AA34</f>
        <v/>
      </c>
      <c r="AB35" s="5">
        <f>AB33-AB34</f>
        <v/>
      </c>
      <c r="AC35" s="5">
        <f>AC33-AC34</f>
        <v/>
      </c>
      <c r="AD35" s="5">
        <f>AD33-AD34</f>
        <v/>
      </c>
      <c r="AE35" s="5">
        <f>AE33-AE34</f>
        <v/>
      </c>
      <c r="AF35" s="5">
        <f>AF33-AF34</f>
        <v/>
      </c>
      <c r="AG35" s="5">
        <f>AG33-AG34</f>
        <v/>
      </c>
      <c r="AH35" s="5">
        <f>AH33-AH34</f>
        <v/>
      </c>
      <c r="AI35" s="5">
        <f>AI33-AI34</f>
        <v/>
      </c>
      <c r="AJ35" s="5">
        <f>AJ33-AJ34</f>
        <v/>
      </c>
      <c r="AK35" s="5">
        <f>AK33-AK34</f>
        <v/>
      </c>
      <c r="AL35" s="5">
        <f>AL33-AL34</f>
        <v/>
      </c>
      <c r="AM35" s="5">
        <f>AM33-AM34</f>
        <v/>
      </c>
      <c r="AN35" s="5">
        <f>AN33-AN34</f>
        <v/>
      </c>
      <c r="AO35" s="5">
        <f>AO33-AO34</f>
        <v/>
      </c>
      <c r="AP35" s="5">
        <f>AP33-AP34</f>
        <v/>
      </c>
      <c r="AQ35" s="5">
        <f>AQ33-AQ34</f>
        <v/>
      </c>
      <c r="AR35" s="5">
        <f>AR33-AR34</f>
        <v/>
      </c>
      <c r="AS35" s="5">
        <f>AS33-AS34</f>
        <v/>
      </c>
      <c r="AT35" s="5">
        <f>AT33-AT34</f>
        <v/>
      </c>
      <c r="AU35" s="5">
        <f>AU33-AU34</f>
        <v/>
      </c>
      <c r="AV35" s="5">
        <f>AV33-AV34</f>
        <v/>
      </c>
      <c r="AW35" s="5">
        <f>AW33-AW34</f>
        <v/>
      </c>
      <c r="AX35" s="5">
        <f>AX33-AX34</f>
        <v/>
      </c>
      <c r="AY35" s="5">
        <f>AY33-AY34</f>
        <v/>
      </c>
      <c r="AZ35" s="5">
        <f>AZ33-AZ34</f>
        <v/>
      </c>
      <c r="BA35" s="5">
        <f>BA33-BA34</f>
        <v/>
      </c>
      <c r="BB35" s="5">
        <f>BB33-BB34</f>
        <v/>
      </c>
      <c r="BC35" s="5">
        <f>BC33-BC34</f>
        <v/>
      </c>
      <c r="BD35" s="5">
        <f>BD33-BD34</f>
        <v/>
      </c>
      <c r="BE35" s="5">
        <f>BE33-BE34</f>
        <v/>
      </c>
      <c r="BF35" s="5">
        <f>BF33-BF34</f>
        <v/>
      </c>
      <c r="BG35" s="5">
        <f>BG33-BG34</f>
        <v/>
      </c>
      <c r="BH35" s="5">
        <f>BH33-BH34</f>
        <v/>
      </c>
      <c r="BI35" s="5">
        <f>BI33-BI34</f>
        <v/>
      </c>
      <c r="BJ35" s="5">
        <f>BJ33-BJ34</f>
        <v/>
      </c>
      <c r="BK35" s="5">
        <f>BK33-BK34</f>
        <v/>
      </c>
      <c r="BL35" s="5">
        <f>BL33-BL34</f>
        <v/>
      </c>
      <c r="BM35" s="5">
        <f>BM33-BM34</f>
        <v/>
      </c>
      <c r="BN35" s="5">
        <f>BN33-BN34</f>
        <v/>
      </c>
      <c r="BO35" s="5">
        <f>BO33-BO34</f>
        <v/>
      </c>
      <c r="BP35" s="5">
        <f>BP33-BP34</f>
        <v/>
      </c>
      <c r="BQ35" s="5">
        <f>BQ33-BQ34</f>
        <v/>
      </c>
      <c r="BR35" s="5">
        <f>BR33-BR34</f>
        <v/>
      </c>
      <c r="BS35" s="5">
        <f>BS33-BS34</f>
        <v/>
      </c>
      <c r="BT35" s="5">
        <f>BT33-BT34</f>
        <v/>
      </c>
      <c r="BU35" s="5">
        <f>BU33-BU34</f>
        <v/>
      </c>
      <c r="BV35" s="5">
        <f>BV33-BV34</f>
        <v/>
      </c>
    </row>
    <row r="36">
      <c r="A36" t="inlineStr">
        <is>
          <t>trials ending</t>
        </is>
      </c>
      <c r="B36" t="inlineStr">
        <is>
          <t>US_CA|BASIC_M</t>
        </is>
      </c>
      <c r="C36" s="5">
        <f>IF(C$2&gt;=Params!$B$6,INDEX($C$34:$BV$34,C$2-Params!$B$6+1),0)</f>
        <v/>
      </c>
      <c r="D36" s="5">
        <f>IF(D$2&gt;=Params!$B$6,INDEX($C$34:$BV$34,D$2-Params!$B$6+1),0)</f>
        <v/>
      </c>
      <c r="E36" s="5">
        <f>IF(E$2&gt;=Params!$B$6,INDEX($C$34:$BV$34,E$2-Params!$B$6+1),0)</f>
        <v/>
      </c>
      <c r="F36" s="5">
        <f>IF(F$2&gt;=Params!$B$6,INDEX($C$34:$BV$34,F$2-Params!$B$6+1),0)</f>
        <v/>
      </c>
      <c r="G36" s="5">
        <f>IF(G$2&gt;=Params!$B$6,INDEX($C$34:$BV$34,G$2-Params!$B$6+1),0)</f>
        <v/>
      </c>
      <c r="H36" s="5">
        <f>IF(H$2&gt;=Params!$B$6,INDEX($C$34:$BV$34,H$2-Params!$B$6+1),0)</f>
        <v/>
      </c>
      <c r="I36" s="5">
        <f>IF(I$2&gt;=Params!$B$6,INDEX($C$34:$BV$34,I$2-Params!$B$6+1),0)</f>
        <v/>
      </c>
      <c r="J36" s="5">
        <f>IF(J$2&gt;=Params!$B$6,INDEX($C$34:$BV$34,J$2-Params!$B$6+1),0)</f>
        <v/>
      </c>
      <c r="K36" s="5">
        <f>IF(K$2&gt;=Params!$B$6,INDEX($C$34:$BV$34,K$2-Params!$B$6+1),0)</f>
        <v/>
      </c>
      <c r="L36" s="5">
        <f>IF(L$2&gt;=Params!$B$6,INDEX($C$34:$BV$34,L$2-Params!$B$6+1),0)</f>
        <v/>
      </c>
      <c r="M36" s="5">
        <f>IF(M$2&gt;=Params!$B$6,INDEX($C$34:$BV$34,M$2-Params!$B$6+1),0)</f>
        <v/>
      </c>
      <c r="N36" s="5">
        <f>IF(N$2&gt;=Params!$B$6,INDEX($C$34:$BV$34,N$2-Params!$B$6+1),0)</f>
        <v/>
      </c>
      <c r="O36" s="5">
        <f>IF(O$2&gt;=Params!$B$6,INDEX($C$34:$BV$34,O$2-Params!$B$6+1),0)</f>
        <v/>
      </c>
      <c r="P36" s="5">
        <f>IF(P$2&gt;=Params!$B$6,INDEX($C$34:$BV$34,P$2-Params!$B$6+1),0)</f>
        <v/>
      </c>
      <c r="Q36" s="5">
        <f>IF(Q$2&gt;=Params!$B$6,INDEX($C$34:$BV$34,Q$2-Params!$B$6+1),0)</f>
        <v/>
      </c>
      <c r="R36" s="5">
        <f>IF(R$2&gt;=Params!$B$6,INDEX($C$34:$BV$34,R$2-Params!$B$6+1),0)</f>
        <v/>
      </c>
      <c r="S36" s="5">
        <f>IF(S$2&gt;=Params!$B$6,INDEX($C$34:$BV$34,S$2-Params!$B$6+1),0)</f>
        <v/>
      </c>
      <c r="T36" s="5">
        <f>IF(T$2&gt;=Params!$B$6,INDEX($C$34:$BV$34,T$2-Params!$B$6+1),0)</f>
        <v/>
      </c>
      <c r="U36" s="5">
        <f>IF(U$2&gt;=Params!$B$6,INDEX($C$34:$BV$34,U$2-Params!$B$6+1),0)</f>
        <v/>
      </c>
      <c r="V36" s="5">
        <f>IF(V$2&gt;=Params!$B$6,INDEX($C$34:$BV$34,V$2-Params!$B$6+1),0)</f>
        <v/>
      </c>
      <c r="W36" s="5">
        <f>IF(W$2&gt;=Params!$B$6,INDEX($C$34:$BV$34,W$2-Params!$B$6+1),0)</f>
        <v/>
      </c>
      <c r="X36" s="5">
        <f>IF(X$2&gt;=Params!$B$6,INDEX($C$34:$BV$34,X$2-Params!$B$6+1),0)</f>
        <v/>
      </c>
      <c r="Y36" s="5">
        <f>IF(Y$2&gt;=Params!$B$6,INDEX($C$34:$BV$34,Y$2-Params!$B$6+1),0)</f>
        <v/>
      </c>
      <c r="Z36" s="5">
        <f>IF(Z$2&gt;=Params!$B$6,INDEX($C$34:$BV$34,Z$2-Params!$B$6+1),0)</f>
        <v/>
      </c>
      <c r="AA36" s="5">
        <f>IF(AA$2&gt;=Params!$B$6,INDEX($C$34:$BV$34,AA$2-Params!$B$6+1),0)</f>
        <v/>
      </c>
      <c r="AB36" s="5">
        <f>IF(AB$2&gt;=Params!$B$6,INDEX($C$34:$BV$34,AB$2-Params!$B$6+1),0)</f>
        <v/>
      </c>
      <c r="AC36" s="5">
        <f>IF(AC$2&gt;=Params!$B$6,INDEX($C$34:$BV$34,AC$2-Params!$B$6+1),0)</f>
        <v/>
      </c>
      <c r="AD36" s="5">
        <f>IF(AD$2&gt;=Params!$B$6,INDEX($C$34:$BV$34,AD$2-Params!$B$6+1),0)</f>
        <v/>
      </c>
      <c r="AE36" s="5">
        <f>IF(AE$2&gt;=Params!$B$6,INDEX($C$34:$BV$34,AE$2-Params!$B$6+1),0)</f>
        <v/>
      </c>
      <c r="AF36" s="5">
        <f>IF(AF$2&gt;=Params!$B$6,INDEX($C$34:$BV$34,AF$2-Params!$B$6+1),0)</f>
        <v/>
      </c>
      <c r="AG36" s="5">
        <f>IF(AG$2&gt;=Params!$B$6,INDEX($C$34:$BV$34,AG$2-Params!$B$6+1),0)</f>
        <v/>
      </c>
      <c r="AH36" s="5">
        <f>IF(AH$2&gt;=Params!$B$6,INDEX($C$34:$BV$34,AH$2-Params!$B$6+1),0)</f>
        <v/>
      </c>
      <c r="AI36" s="5">
        <f>IF(AI$2&gt;=Params!$B$6,INDEX($C$34:$BV$34,AI$2-Params!$B$6+1),0)</f>
        <v/>
      </c>
      <c r="AJ36" s="5">
        <f>IF(AJ$2&gt;=Params!$B$6,INDEX($C$34:$BV$34,AJ$2-Params!$B$6+1),0)</f>
        <v/>
      </c>
      <c r="AK36" s="5">
        <f>IF(AK$2&gt;=Params!$B$6,INDEX($C$34:$BV$34,AK$2-Params!$B$6+1),0)</f>
        <v/>
      </c>
      <c r="AL36" s="5">
        <f>IF(AL$2&gt;=Params!$B$6,INDEX($C$34:$BV$34,AL$2-Params!$B$6+1),0)</f>
        <v/>
      </c>
      <c r="AM36" s="5">
        <f>IF(AM$2&gt;=Params!$B$6,INDEX($C$34:$BV$34,AM$2-Params!$B$6+1),0)</f>
        <v/>
      </c>
      <c r="AN36" s="5">
        <f>IF(AN$2&gt;=Params!$B$6,INDEX($C$34:$BV$34,AN$2-Params!$B$6+1),0)</f>
        <v/>
      </c>
      <c r="AO36" s="5">
        <f>IF(AO$2&gt;=Params!$B$6,INDEX($C$34:$BV$34,AO$2-Params!$B$6+1),0)</f>
        <v/>
      </c>
      <c r="AP36" s="5">
        <f>IF(AP$2&gt;=Params!$B$6,INDEX($C$34:$BV$34,AP$2-Params!$B$6+1),0)</f>
        <v/>
      </c>
      <c r="AQ36" s="5">
        <f>IF(AQ$2&gt;=Params!$B$6,INDEX($C$34:$BV$34,AQ$2-Params!$B$6+1),0)</f>
        <v/>
      </c>
      <c r="AR36" s="5">
        <f>IF(AR$2&gt;=Params!$B$6,INDEX($C$34:$BV$34,AR$2-Params!$B$6+1),0)</f>
        <v/>
      </c>
      <c r="AS36" s="5">
        <f>IF(AS$2&gt;=Params!$B$6,INDEX($C$34:$BV$34,AS$2-Params!$B$6+1),0)</f>
        <v/>
      </c>
      <c r="AT36" s="5">
        <f>IF(AT$2&gt;=Params!$B$6,INDEX($C$34:$BV$34,AT$2-Params!$B$6+1),0)</f>
        <v/>
      </c>
      <c r="AU36" s="5">
        <f>IF(AU$2&gt;=Params!$B$6,INDEX($C$34:$BV$34,AU$2-Params!$B$6+1),0)</f>
        <v/>
      </c>
      <c r="AV36" s="5">
        <f>IF(AV$2&gt;=Params!$B$6,INDEX($C$34:$BV$34,AV$2-Params!$B$6+1),0)</f>
        <v/>
      </c>
      <c r="AW36" s="5">
        <f>IF(AW$2&gt;=Params!$B$6,INDEX($C$34:$BV$34,AW$2-Params!$B$6+1),0)</f>
        <v/>
      </c>
      <c r="AX36" s="5">
        <f>IF(AX$2&gt;=Params!$B$6,INDEX($C$34:$BV$34,AX$2-Params!$B$6+1),0)</f>
        <v/>
      </c>
      <c r="AY36" s="5">
        <f>IF(AY$2&gt;=Params!$B$6,INDEX($C$34:$BV$34,AY$2-Params!$B$6+1),0)</f>
        <v/>
      </c>
      <c r="AZ36" s="5">
        <f>IF(AZ$2&gt;=Params!$B$6,INDEX($C$34:$BV$34,AZ$2-Params!$B$6+1),0)</f>
        <v/>
      </c>
      <c r="BA36" s="5">
        <f>IF(BA$2&gt;=Params!$B$6,INDEX($C$34:$BV$34,BA$2-Params!$B$6+1),0)</f>
        <v/>
      </c>
      <c r="BB36" s="5">
        <f>IF(BB$2&gt;=Params!$B$6,INDEX($C$34:$BV$34,BB$2-Params!$B$6+1),0)</f>
        <v/>
      </c>
      <c r="BC36" s="5">
        <f>IF(BC$2&gt;=Params!$B$6,INDEX($C$34:$BV$34,BC$2-Params!$B$6+1),0)</f>
        <v/>
      </c>
      <c r="BD36" s="5">
        <f>IF(BD$2&gt;=Params!$B$6,INDEX($C$34:$BV$34,BD$2-Params!$B$6+1),0)</f>
        <v/>
      </c>
      <c r="BE36" s="5">
        <f>IF(BE$2&gt;=Params!$B$6,INDEX($C$34:$BV$34,BE$2-Params!$B$6+1),0)</f>
        <v/>
      </c>
      <c r="BF36" s="5">
        <f>IF(BF$2&gt;=Params!$B$6,INDEX($C$34:$BV$34,BF$2-Params!$B$6+1),0)</f>
        <v/>
      </c>
      <c r="BG36" s="5">
        <f>IF(BG$2&gt;=Params!$B$6,INDEX($C$34:$BV$34,BG$2-Params!$B$6+1),0)</f>
        <v/>
      </c>
      <c r="BH36" s="5">
        <f>IF(BH$2&gt;=Params!$B$6,INDEX($C$34:$BV$34,BH$2-Params!$B$6+1),0)</f>
        <v/>
      </c>
      <c r="BI36" s="5">
        <f>IF(BI$2&gt;=Params!$B$6,INDEX($C$34:$BV$34,BI$2-Params!$B$6+1),0)</f>
        <v/>
      </c>
      <c r="BJ36" s="5">
        <f>IF(BJ$2&gt;=Params!$B$6,INDEX($C$34:$BV$34,BJ$2-Params!$B$6+1),0)</f>
        <v/>
      </c>
      <c r="BK36" s="5">
        <f>IF(BK$2&gt;=Params!$B$6,INDEX($C$34:$BV$34,BK$2-Params!$B$6+1),0)</f>
        <v/>
      </c>
      <c r="BL36" s="5">
        <f>IF(BL$2&gt;=Params!$B$6,INDEX($C$34:$BV$34,BL$2-Params!$B$6+1),0)</f>
        <v/>
      </c>
      <c r="BM36" s="5">
        <f>IF(BM$2&gt;=Params!$B$6,INDEX($C$34:$BV$34,BM$2-Params!$B$6+1),0)</f>
        <v/>
      </c>
      <c r="BN36" s="5">
        <f>IF(BN$2&gt;=Params!$B$6,INDEX($C$34:$BV$34,BN$2-Params!$B$6+1),0)</f>
        <v/>
      </c>
      <c r="BO36" s="5">
        <f>IF(BO$2&gt;=Params!$B$6,INDEX($C$34:$BV$34,BO$2-Params!$B$6+1),0)</f>
        <v/>
      </c>
      <c r="BP36" s="5">
        <f>IF(BP$2&gt;=Params!$B$6,INDEX($C$34:$BV$34,BP$2-Params!$B$6+1),0)</f>
        <v/>
      </c>
      <c r="BQ36" s="5">
        <f>IF(BQ$2&gt;=Params!$B$6,INDEX($C$34:$BV$34,BQ$2-Params!$B$6+1),0)</f>
        <v/>
      </c>
      <c r="BR36" s="5">
        <f>IF(BR$2&gt;=Params!$B$6,INDEX($C$34:$BV$34,BR$2-Params!$B$6+1),0)</f>
        <v/>
      </c>
      <c r="BS36" s="5">
        <f>IF(BS$2&gt;=Params!$B$6,INDEX($C$34:$BV$34,BS$2-Params!$B$6+1),0)</f>
        <v/>
      </c>
      <c r="BT36" s="5">
        <f>IF(BT$2&gt;=Params!$B$6,INDEX($C$34:$BV$34,BT$2-Params!$B$6+1),0)</f>
        <v/>
      </c>
      <c r="BU36" s="5">
        <f>IF(BU$2&gt;=Params!$B$6,INDEX($C$34:$BV$34,BU$2-Params!$B$6+1),0)</f>
        <v/>
      </c>
      <c r="BV36" s="5">
        <f>IF(BV$2&gt;=Params!$B$6,INDEX($C$34:$BV$34,BV$2-Params!$B$6+1),0)</f>
        <v/>
      </c>
    </row>
    <row r="37">
      <c r="A37" t="inlineStr">
        <is>
          <t>trial starts x conversion</t>
        </is>
      </c>
      <c r="B37" t="inlineStr">
        <is>
          <t>US_CA|BASIC_M</t>
        </is>
      </c>
      <c r="C37" s="5">
        <f>C34*Eras!C$9</f>
        <v/>
      </c>
      <c r="D37" s="5">
        <f>D34*Eras!D$9</f>
        <v/>
      </c>
      <c r="E37" s="5">
        <f>E34*Eras!E$9</f>
        <v/>
      </c>
      <c r="F37" s="5">
        <f>F34*Eras!F$9</f>
        <v/>
      </c>
      <c r="G37" s="5">
        <f>G34*Eras!G$9</f>
        <v/>
      </c>
      <c r="H37" s="5">
        <f>H34*Eras!H$9</f>
        <v/>
      </c>
      <c r="I37" s="5">
        <f>I34*Eras!I$9</f>
        <v/>
      </c>
      <c r="J37" s="5">
        <f>J34*Eras!J$9</f>
        <v/>
      </c>
      <c r="K37" s="5">
        <f>K34*Eras!K$9</f>
        <v/>
      </c>
      <c r="L37" s="5">
        <f>L34*Eras!L$9</f>
        <v/>
      </c>
      <c r="M37" s="5">
        <f>M34*Eras!M$9</f>
        <v/>
      </c>
      <c r="N37" s="5">
        <f>N34*Eras!N$9</f>
        <v/>
      </c>
      <c r="O37" s="5">
        <f>O34*Eras!O$9</f>
        <v/>
      </c>
      <c r="P37" s="5">
        <f>P34*Eras!P$9</f>
        <v/>
      </c>
      <c r="Q37" s="5">
        <f>Q34*Eras!Q$9</f>
        <v/>
      </c>
      <c r="R37" s="5">
        <f>R34*Eras!R$9</f>
        <v/>
      </c>
      <c r="S37" s="5">
        <f>S34*Eras!S$9</f>
        <v/>
      </c>
      <c r="T37" s="5">
        <f>T34*Eras!T$9</f>
        <v/>
      </c>
      <c r="U37" s="5">
        <f>U34*Eras!U$9</f>
        <v/>
      </c>
      <c r="V37" s="5">
        <f>V34*Eras!V$9</f>
        <v/>
      </c>
      <c r="W37" s="5">
        <f>W34*Eras!W$9</f>
        <v/>
      </c>
      <c r="X37" s="5">
        <f>X34*Eras!X$9</f>
        <v/>
      </c>
      <c r="Y37" s="5">
        <f>Y34*Eras!Y$9</f>
        <v/>
      </c>
      <c r="Z37" s="5">
        <f>Z34*Eras!Z$9</f>
        <v/>
      </c>
      <c r="AA37" s="5">
        <f>AA34*Eras!AA$9</f>
        <v/>
      </c>
      <c r="AB37" s="5">
        <f>AB34*Eras!AB$9</f>
        <v/>
      </c>
      <c r="AC37" s="5">
        <f>AC34*Eras!AC$9</f>
        <v/>
      </c>
      <c r="AD37" s="5">
        <f>AD34*Eras!AD$9</f>
        <v/>
      </c>
      <c r="AE37" s="5">
        <f>AE34*Eras!AE$9</f>
        <v/>
      </c>
      <c r="AF37" s="5">
        <f>AF34*Eras!AF$9</f>
        <v/>
      </c>
      <c r="AG37" s="5">
        <f>AG34*Eras!AG$9</f>
        <v/>
      </c>
      <c r="AH37" s="5">
        <f>AH34*Eras!AH$9</f>
        <v/>
      </c>
      <c r="AI37" s="5">
        <f>AI34*Eras!AI$9</f>
        <v/>
      </c>
      <c r="AJ37" s="5">
        <f>AJ34*Eras!AJ$9</f>
        <v/>
      </c>
      <c r="AK37" s="5">
        <f>AK34*Eras!AK$9</f>
        <v/>
      </c>
      <c r="AL37" s="5">
        <f>AL34*Eras!AL$9</f>
        <v/>
      </c>
      <c r="AM37" s="5">
        <f>AM34*Eras!AM$9</f>
        <v/>
      </c>
      <c r="AN37" s="5">
        <f>AN34*Eras!AN$9</f>
        <v/>
      </c>
      <c r="AO37" s="5">
        <f>AO34*Eras!AO$9</f>
        <v/>
      </c>
      <c r="AP37" s="5">
        <f>AP34*Eras!AP$9</f>
        <v/>
      </c>
      <c r="AQ37" s="5">
        <f>AQ34*Eras!AQ$9</f>
        <v/>
      </c>
      <c r="AR37" s="5">
        <f>AR34*Eras!AR$9</f>
        <v/>
      </c>
      <c r="AS37" s="5">
        <f>AS34*Eras!AS$9</f>
        <v/>
      </c>
      <c r="AT37" s="5">
        <f>AT34*Eras!AT$9</f>
        <v/>
      </c>
      <c r="AU37" s="5">
        <f>AU34*Eras!AU$9</f>
        <v/>
      </c>
      <c r="AV37" s="5">
        <f>AV34*Eras!AV$9</f>
        <v/>
      </c>
      <c r="AW37" s="5">
        <f>AW34*Eras!AW$9</f>
        <v/>
      </c>
      <c r="AX37" s="5">
        <f>AX34*Eras!AX$9</f>
        <v/>
      </c>
      <c r="AY37" s="5">
        <f>AY34*Eras!AY$9</f>
        <v/>
      </c>
      <c r="AZ37" s="5">
        <f>AZ34*Eras!AZ$9</f>
        <v/>
      </c>
      <c r="BA37" s="5">
        <f>BA34*Eras!BA$9</f>
        <v/>
      </c>
      <c r="BB37" s="5">
        <f>BB34*Eras!BB$9</f>
        <v/>
      </c>
      <c r="BC37" s="5">
        <f>BC34*Eras!BC$9</f>
        <v/>
      </c>
      <c r="BD37" s="5">
        <f>BD34*Eras!BD$9</f>
        <v/>
      </c>
      <c r="BE37" s="5">
        <f>BE34*Eras!BE$9</f>
        <v/>
      </c>
      <c r="BF37" s="5">
        <f>BF34*Eras!BF$9</f>
        <v/>
      </c>
      <c r="BG37" s="5">
        <f>BG34*Eras!BG$9</f>
        <v/>
      </c>
      <c r="BH37" s="5">
        <f>BH34*Eras!BH$9</f>
        <v/>
      </c>
      <c r="BI37" s="5">
        <f>BI34*Eras!BI$9</f>
        <v/>
      </c>
      <c r="BJ37" s="5">
        <f>BJ34*Eras!BJ$9</f>
        <v/>
      </c>
      <c r="BK37" s="5">
        <f>BK34*Eras!BK$9</f>
        <v/>
      </c>
      <c r="BL37" s="5">
        <f>BL34*Eras!BL$9</f>
        <v/>
      </c>
      <c r="BM37" s="5">
        <f>BM34*Eras!BM$9</f>
        <v/>
      </c>
      <c r="BN37" s="5">
        <f>BN34*Eras!BN$9</f>
        <v/>
      </c>
      <c r="BO37" s="5">
        <f>BO34*Eras!BO$9</f>
        <v/>
      </c>
      <c r="BP37" s="5">
        <f>BP34*Eras!BP$9</f>
        <v/>
      </c>
      <c r="BQ37" s="5">
        <f>BQ34*Eras!BQ$9</f>
        <v/>
      </c>
      <c r="BR37" s="5">
        <f>BR34*Eras!BR$9</f>
        <v/>
      </c>
      <c r="BS37" s="5">
        <f>BS34*Eras!BS$9</f>
        <v/>
      </c>
      <c r="BT37" s="5">
        <f>BT34*Eras!BT$9</f>
        <v/>
      </c>
      <c r="BU37" s="5">
        <f>BU34*Eras!BU$9</f>
        <v/>
      </c>
      <c r="BV37" s="5">
        <f>BV34*Eras!BV$9</f>
        <v/>
      </c>
    </row>
    <row r="38">
      <c r="A38" t="inlineStr">
        <is>
          <t>trials converted</t>
        </is>
      </c>
      <c r="B38" t="inlineStr">
        <is>
          <t>US_CA|BASIC_M</t>
        </is>
      </c>
      <c r="C38" s="5">
        <f>IF(C$2&gt;=Params!$B$6,INDEX($C$37:$BV$37,C$2-Params!$B$6+1),0)</f>
        <v/>
      </c>
      <c r="D38" s="5">
        <f>IF(D$2&gt;=Params!$B$6,INDEX($C$37:$BV$37,D$2-Params!$B$6+1),0)</f>
        <v/>
      </c>
      <c r="E38" s="5">
        <f>IF(E$2&gt;=Params!$B$6,INDEX($C$37:$BV$37,E$2-Params!$B$6+1),0)</f>
        <v/>
      </c>
      <c r="F38" s="5">
        <f>IF(F$2&gt;=Params!$B$6,INDEX($C$37:$BV$37,F$2-Params!$B$6+1),0)</f>
        <v/>
      </c>
      <c r="G38" s="5">
        <f>IF(G$2&gt;=Params!$B$6,INDEX($C$37:$BV$37,G$2-Params!$B$6+1),0)</f>
        <v/>
      </c>
      <c r="H38" s="5">
        <f>IF(H$2&gt;=Params!$B$6,INDEX($C$37:$BV$37,H$2-Params!$B$6+1),0)</f>
        <v/>
      </c>
      <c r="I38" s="5">
        <f>IF(I$2&gt;=Params!$B$6,INDEX($C$37:$BV$37,I$2-Params!$B$6+1),0)</f>
        <v/>
      </c>
      <c r="J38" s="5">
        <f>IF(J$2&gt;=Params!$B$6,INDEX($C$37:$BV$37,J$2-Params!$B$6+1),0)</f>
        <v/>
      </c>
      <c r="K38" s="5">
        <f>IF(K$2&gt;=Params!$B$6,INDEX($C$37:$BV$37,K$2-Params!$B$6+1),0)</f>
        <v/>
      </c>
      <c r="L38" s="5">
        <f>IF(L$2&gt;=Params!$B$6,INDEX($C$37:$BV$37,L$2-Params!$B$6+1),0)</f>
        <v/>
      </c>
      <c r="M38" s="5">
        <f>IF(M$2&gt;=Params!$B$6,INDEX($C$37:$BV$37,M$2-Params!$B$6+1),0)</f>
        <v/>
      </c>
      <c r="N38" s="5">
        <f>IF(N$2&gt;=Params!$B$6,INDEX($C$37:$BV$37,N$2-Params!$B$6+1),0)</f>
        <v/>
      </c>
      <c r="O38" s="5">
        <f>IF(O$2&gt;=Params!$B$6,INDEX($C$37:$BV$37,O$2-Params!$B$6+1),0)</f>
        <v/>
      </c>
      <c r="P38" s="5">
        <f>IF(P$2&gt;=Params!$B$6,INDEX($C$37:$BV$37,P$2-Params!$B$6+1),0)</f>
        <v/>
      </c>
      <c r="Q38" s="5">
        <f>IF(Q$2&gt;=Params!$B$6,INDEX($C$37:$BV$37,Q$2-Params!$B$6+1),0)</f>
        <v/>
      </c>
      <c r="R38" s="5">
        <f>IF(R$2&gt;=Params!$B$6,INDEX($C$37:$BV$37,R$2-Params!$B$6+1),0)</f>
        <v/>
      </c>
      <c r="S38" s="5">
        <f>IF(S$2&gt;=Params!$B$6,INDEX($C$37:$BV$37,S$2-Params!$B$6+1),0)</f>
        <v/>
      </c>
      <c r="T38" s="5">
        <f>IF(T$2&gt;=Params!$B$6,INDEX($C$37:$BV$37,T$2-Params!$B$6+1),0)</f>
        <v/>
      </c>
      <c r="U38" s="5">
        <f>IF(U$2&gt;=Params!$B$6,INDEX($C$37:$BV$37,U$2-Params!$B$6+1),0)</f>
        <v/>
      </c>
      <c r="V38" s="5">
        <f>IF(V$2&gt;=Params!$B$6,INDEX($C$37:$BV$37,V$2-Params!$B$6+1),0)</f>
        <v/>
      </c>
      <c r="W38" s="5">
        <f>IF(W$2&gt;=Params!$B$6,INDEX($C$37:$BV$37,W$2-Params!$B$6+1),0)</f>
        <v/>
      </c>
      <c r="X38" s="5">
        <f>IF(X$2&gt;=Params!$B$6,INDEX($C$37:$BV$37,X$2-Params!$B$6+1),0)</f>
        <v/>
      </c>
      <c r="Y38" s="5">
        <f>IF(Y$2&gt;=Params!$B$6,INDEX($C$37:$BV$37,Y$2-Params!$B$6+1),0)</f>
        <v/>
      </c>
      <c r="Z38" s="5">
        <f>IF(Z$2&gt;=Params!$B$6,INDEX($C$37:$BV$37,Z$2-Params!$B$6+1),0)</f>
        <v/>
      </c>
      <c r="AA38" s="5">
        <f>IF(AA$2&gt;=Params!$B$6,INDEX($C$37:$BV$37,AA$2-Params!$B$6+1),0)</f>
        <v/>
      </c>
      <c r="AB38" s="5">
        <f>IF(AB$2&gt;=Params!$B$6,INDEX($C$37:$BV$37,AB$2-Params!$B$6+1),0)</f>
        <v/>
      </c>
      <c r="AC38" s="5">
        <f>IF(AC$2&gt;=Params!$B$6,INDEX($C$37:$BV$37,AC$2-Params!$B$6+1),0)</f>
        <v/>
      </c>
      <c r="AD38" s="5">
        <f>IF(AD$2&gt;=Params!$B$6,INDEX($C$37:$BV$37,AD$2-Params!$B$6+1),0)</f>
        <v/>
      </c>
      <c r="AE38" s="5">
        <f>IF(AE$2&gt;=Params!$B$6,INDEX($C$37:$BV$37,AE$2-Params!$B$6+1),0)</f>
        <v/>
      </c>
      <c r="AF38" s="5">
        <f>IF(AF$2&gt;=Params!$B$6,INDEX($C$37:$BV$37,AF$2-Params!$B$6+1),0)</f>
        <v/>
      </c>
      <c r="AG38" s="5">
        <f>IF(AG$2&gt;=Params!$B$6,INDEX($C$37:$BV$37,AG$2-Params!$B$6+1),0)</f>
        <v/>
      </c>
      <c r="AH38" s="5">
        <f>IF(AH$2&gt;=Params!$B$6,INDEX($C$37:$BV$37,AH$2-Params!$B$6+1),0)</f>
        <v/>
      </c>
      <c r="AI38" s="5">
        <f>IF(AI$2&gt;=Params!$B$6,INDEX($C$37:$BV$37,AI$2-Params!$B$6+1),0)</f>
        <v/>
      </c>
      <c r="AJ38" s="5">
        <f>IF(AJ$2&gt;=Params!$B$6,INDEX($C$37:$BV$37,AJ$2-Params!$B$6+1),0)</f>
        <v/>
      </c>
      <c r="AK38" s="5">
        <f>IF(AK$2&gt;=Params!$B$6,INDEX($C$37:$BV$37,AK$2-Params!$B$6+1),0)</f>
        <v/>
      </c>
      <c r="AL38" s="5">
        <f>IF(AL$2&gt;=Params!$B$6,INDEX($C$37:$BV$37,AL$2-Params!$B$6+1),0)</f>
        <v/>
      </c>
      <c r="AM38" s="5">
        <f>IF(AM$2&gt;=Params!$B$6,INDEX($C$37:$BV$37,AM$2-Params!$B$6+1),0)</f>
        <v/>
      </c>
      <c r="AN38" s="5">
        <f>IF(AN$2&gt;=Params!$B$6,INDEX($C$37:$BV$37,AN$2-Params!$B$6+1),0)</f>
        <v/>
      </c>
      <c r="AO38" s="5">
        <f>IF(AO$2&gt;=Params!$B$6,INDEX($C$37:$BV$37,AO$2-Params!$B$6+1),0)</f>
        <v/>
      </c>
      <c r="AP38" s="5">
        <f>IF(AP$2&gt;=Params!$B$6,INDEX($C$37:$BV$37,AP$2-Params!$B$6+1),0)</f>
        <v/>
      </c>
      <c r="AQ38" s="5">
        <f>IF(AQ$2&gt;=Params!$B$6,INDEX($C$37:$BV$37,AQ$2-Params!$B$6+1),0)</f>
        <v/>
      </c>
      <c r="AR38" s="5">
        <f>IF(AR$2&gt;=Params!$B$6,INDEX($C$37:$BV$37,AR$2-Params!$B$6+1),0)</f>
        <v/>
      </c>
      <c r="AS38" s="5">
        <f>IF(AS$2&gt;=Params!$B$6,INDEX($C$37:$BV$37,AS$2-Params!$B$6+1),0)</f>
        <v/>
      </c>
      <c r="AT38" s="5">
        <f>IF(AT$2&gt;=Params!$B$6,INDEX($C$37:$BV$37,AT$2-Params!$B$6+1),0)</f>
        <v/>
      </c>
      <c r="AU38" s="5">
        <f>IF(AU$2&gt;=Params!$B$6,INDEX($C$37:$BV$37,AU$2-Params!$B$6+1),0)</f>
        <v/>
      </c>
      <c r="AV38" s="5">
        <f>IF(AV$2&gt;=Params!$B$6,INDEX($C$37:$BV$37,AV$2-Params!$B$6+1),0)</f>
        <v/>
      </c>
      <c r="AW38" s="5">
        <f>IF(AW$2&gt;=Params!$B$6,INDEX($C$37:$BV$37,AW$2-Params!$B$6+1),0)</f>
        <v/>
      </c>
      <c r="AX38" s="5">
        <f>IF(AX$2&gt;=Params!$B$6,INDEX($C$37:$BV$37,AX$2-Params!$B$6+1),0)</f>
        <v/>
      </c>
      <c r="AY38" s="5">
        <f>IF(AY$2&gt;=Params!$B$6,INDEX($C$37:$BV$37,AY$2-Params!$B$6+1),0)</f>
        <v/>
      </c>
      <c r="AZ38" s="5">
        <f>IF(AZ$2&gt;=Params!$B$6,INDEX($C$37:$BV$37,AZ$2-Params!$B$6+1),0)</f>
        <v/>
      </c>
      <c r="BA38" s="5">
        <f>IF(BA$2&gt;=Params!$B$6,INDEX($C$37:$BV$37,BA$2-Params!$B$6+1),0)</f>
        <v/>
      </c>
      <c r="BB38" s="5">
        <f>IF(BB$2&gt;=Params!$B$6,INDEX($C$37:$BV$37,BB$2-Params!$B$6+1),0)</f>
        <v/>
      </c>
      <c r="BC38" s="5">
        <f>IF(BC$2&gt;=Params!$B$6,INDEX($C$37:$BV$37,BC$2-Params!$B$6+1),0)</f>
        <v/>
      </c>
      <c r="BD38" s="5">
        <f>IF(BD$2&gt;=Params!$B$6,INDEX($C$37:$BV$37,BD$2-Params!$B$6+1),0)</f>
        <v/>
      </c>
      <c r="BE38" s="5">
        <f>IF(BE$2&gt;=Params!$B$6,INDEX($C$37:$BV$37,BE$2-Params!$B$6+1),0)</f>
        <v/>
      </c>
      <c r="BF38" s="5">
        <f>IF(BF$2&gt;=Params!$B$6,INDEX($C$37:$BV$37,BF$2-Params!$B$6+1),0)</f>
        <v/>
      </c>
      <c r="BG38" s="5">
        <f>IF(BG$2&gt;=Params!$B$6,INDEX($C$37:$BV$37,BG$2-Params!$B$6+1),0)</f>
        <v/>
      </c>
      <c r="BH38" s="5">
        <f>IF(BH$2&gt;=Params!$B$6,INDEX($C$37:$BV$37,BH$2-Params!$B$6+1),0)</f>
        <v/>
      </c>
      <c r="BI38" s="5">
        <f>IF(BI$2&gt;=Params!$B$6,INDEX($C$37:$BV$37,BI$2-Params!$B$6+1),0)</f>
        <v/>
      </c>
      <c r="BJ38" s="5">
        <f>IF(BJ$2&gt;=Params!$B$6,INDEX($C$37:$BV$37,BJ$2-Params!$B$6+1),0)</f>
        <v/>
      </c>
      <c r="BK38" s="5">
        <f>IF(BK$2&gt;=Params!$B$6,INDEX($C$37:$BV$37,BK$2-Params!$B$6+1),0)</f>
        <v/>
      </c>
      <c r="BL38" s="5">
        <f>IF(BL$2&gt;=Params!$B$6,INDEX($C$37:$BV$37,BL$2-Params!$B$6+1),0)</f>
        <v/>
      </c>
      <c r="BM38" s="5">
        <f>IF(BM$2&gt;=Params!$B$6,INDEX($C$37:$BV$37,BM$2-Params!$B$6+1),0)</f>
        <v/>
      </c>
      <c r="BN38" s="5">
        <f>IF(BN$2&gt;=Params!$B$6,INDEX($C$37:$BV$37,BN$2-Params!$B$6+1),0)</f>
        <v/>
      </c>
      <c r="BO38" s="5">
        <f>IF(BO$2&gt;=Params!$B$6,INDEX($C$37:$BV$37,BO$2-Params!$B$6+1),0)</f>
        <v/>
      </c>
      <c r="BP38" s="5">
        <f>IF(BP$2&gt;=Params!$B$6,INDEX($C$37:$BV$37,BP$2-Params!$B$6+1),0)</f>
        <v/>
      </c>
      <c r="BQ38" s="5">
        <f>IF(BQ$2&gt;=Params!$B$6,INDEX($C$37:$BV$37,BQ$2-Params!$B$6+1),0)</f>
        <v/>
      </c>
      <c r="BR38" s="5">
        <f>IF(BR$2&gt;=Params!$B$6,INDEX($C$37:$BV$37,BR$2-Params!$B$6+1),0)</f>
        <v/>
      </c>
      <c r="BS38" s="5">
        <f>IF(BS$2&gt;=Params!$B$6,INDEX($C$37:$BV$37,BS$2-Params!$B$6+1),0)</f>
        <v/>
      </c>
      <c r="BT38" s="5">
        <f>IF(BT$2&gt;=Params!$B$6,INDEX($C$37:$BV$37,BT$2-Params!$B$6+1),0)</f>
        <v/>
      </c>
      <c r="BU38" s="5">
        <f>IF(BU$2&gt;=Params!$B$6,INDEX($C$37:$BV$37,BU$2-Params!$B$6+1),0)</f>
        <v/>
      </c>
      <c r="BV38" s="5">
        <f>IF(BV$2&gt;=Params!$B$6,INDEX($C$37:$BV$37,BV$2-Params!$B$6+1),0)</f>
        <v/>
      </c>
    </row>
    <row r="39">
      <c r="A39" t="inlineStr">
        <is>
          <t>trials lost</t>
        </is>
      </c>
      <c r="B39" t="inlineStr">
        <is>
          <t>US_CA|BASIC_M</t>
        </is>
      </c>
      <c r="C39" s="5">
        <f>C36-C38</f>
        <v/>
      </c>
      <c r="D39" s="5">
        <f>D36-D38</f>
        <v/>
      </c>
      <c r="E39" s="5">
        <f>E36-E38</f>
        <v/>
      </c>
      <c r="F39" s="5">
        <f>F36-F38</f>
        <v/>
      </c>
      <c r="G39" s="5">
        <f>G36-G38</f>
        <v/>
      </c>
      <c r="H39" s="5">
        <f>H36-H38</f>
        <v/>
      </c>
      <c r="I39" s="5">
        <f>I36-I38</f>
        <v/>
      </c>
      <c r="J39" s="5">
        <f>J36-J38</f>
        <v/>
      </c>
      <c r="K39" s="5">
        <f>K36-K38</f>
        <v/>
      </c>
      <c r="L39" s="5">
        <f>L36-L38</f>
        <v/>
      </c>
      <c r="M39" s="5">
        <f>M36-M38</f>
        <v/>
      </c>
      <c r="N39" s="5">
        <f>N36-N38</f>
        <v/>
      </c>
      <c r="O39" s="5">
        <f>O36-O38</f>
        <v/>
      </c>
      <c r="P39" s="5">
        <f>P36-P38</f>
        <v/>
      </c>
      <c r="Q39" s="5">
        <f>Q36-Q38</f>
        <v/>
      </c>
      <c r="R39" s="5">
        <f>R36-R38</f>
        <v/>
      </c>
      <c r="S39" s="5">
        <f>S36-S38</f>
        <v/>
      </c>
      <c r="T39" s="5">
        <f>T36-T38</f>
        <v/>
      </c>
      <c r="U39" s="5">
        <f>U36-U38</f>
        <v/>
      </c>
      <c r="V39" s="5">
        <f>V36-V38</f>
        <v/>
      </c>
      <c r="W39" s="5">
        <f>W36-W38</f>
        <v/>
      </c>
      <c r="X39" s="5">
        <f>X36-X38</f>
        <v/>
      </c>
      <c r="Y39" s="5">
        <f>Y36-Y38</f>
        <v/>
      </c>
      <c r="Z39" s="5">
        <f>Z36-Z38</f>
        <v/>
      </c>
      <c r="AA39" s="5">
        <f>AA36-AA38</f>
        <v/>
      </c>
      <c r="AB39" s="5">
        <f>AB36-AB38</f>
        <v/>
      </c>
      <c r="AC39" s="5">
        <f>AC36-AC38</f>
        <v/>
      </c>
      <c r="AD39" s="5">
        <f>AD36-AD38</f>
        <v/>
      </c>
      <c r="AE39" s="5">
        <f>AE36-AE38</f>
        <v/>
      </c>
      <c r="AF39" s="5">
        <f>AF36-AF38</f>
        <v/>
      </c>
      <c r="AG39" s="5">
        <f>AG36-AG38</f>
        <v/>
      </c>
      <c r="AH39" s="5">
        <f>AH36-AH38</f>
        <v/>
      </c>
      <c r="AI39" s="5">
        <f>AI36-AI38</f>
        <v/>
      </c>
      <c r="AJ39" s="5">
        <f>AJ36-AJ38</f>
        <v/>
      </c>
      <c r="AK39" s="5">
        <f>AK36-AK38</f>
        <v/>
      </c>
      <c r="AL39" s="5">
        <f>AL36-AL38</f>
        <v/>
      </c>
      <c r="AM39" s="5">
        <f>AM36-AM38</f>
        <v/>
      </c>
      <c r="AN39" s="5">
        <f>AN36-AN38</f>
        <v/>
      </c>
      <c r="AO39" s="5">
        <f>AO36-AO38</f>
        <v/>
      </c>
      <c r="AP39" s="5">
        <f>AP36-AP38</f>
        <v/>
      </c>
      <c r="AQ39" s="5">
        <f>AQ36-AQ38</f>
        <v/>
      </c>
      <c r="AR39" s="5">
        <f>AR36-AR38</f>
        <v/>
      </c>
      <c r="AS39" s="5">
        <f>AS36-AS38</f>
        <v/>
      </c>
      <c r="AT39" s="5">
        <f>AT36-AT38</f>
        <v/>
      </c>
      <c r="AU39" s="5">
        <f>AU36-AU38</f>
        <v/>
      </c>
      <c r="AV39" s="5">
        <f>AV36-AV38</f>
        <v/>
      </c>
      <c r="AW39" s="5">
        <f>AW36-AW38</f>
        <v/>
      </c>
      <c r="AX39" s="5">
        <f>AX36-AX38</f>
        <v/>
      </c>
      <c r="AY39" s="5">
        <f>AY36-AY38</f>
        <v/>
      </c>
      <c r="AZ39" s="5">
        <f>AZ36-AZ38</f>
        <v/>
      </c>
      <c r="BA39" s="5">
        <f>BA36-BA38</f>
        <v/>
      </c>
      <c r="BB39" s="5">
        <f>BB36-BB38</f>
        <v/>
      </c>
      <c r="BC39" s="5">
        <f>BC36-BC38</f>
        <v/>
      </c>
      <c r="BD39" s="5">
        <f>BD36-BD38</f>
        <v/>
      </c>
      <c r="BE39" s="5">
        <f>BE36-BE38</f>
        <v/>
      </c>
      <c r="BF39" s="5">
        <f>BF36-BF38</f>
        <v/>
      </c>
      <c r="BG39" s="5">
        <f>BG36-BG38</f>
        <v/>
      </c>
      <c r="BH39" s="5">
        <f>BH36-BH38</f>
        <v/>
      </c>
      <c r="BI39" s="5">
        <f>BI36-BI38</f>
        <v/>
      </c>
      <c r="BJ39" s="5">
        <f>BJ36-BJ38</f>
        <v/>
      </c>
      <c r="BK39" s="5">
        <f>BK36-BK38</f>
        <v/>
      </c>
      <c r="BL39" s="5">
        <f>BL36-BL38</f>
        <v/>
      </c>
      <c r="BM39" s="5">
        <f>BM36-BM38</f>
        <v/>
      </c>
      <c r="BN39" s="5">
        <f>BN36-BN38</f>
        <v/>
      </c>
      <c r="BO39" s="5">
        <f>BO36-BO38</f>
        <v/>
      </c>
      <c r="BP39" s="5">
        <f>BP36-BP38</f>
        <v/>
      </c>
      <c r="BQ39" s="5">
        <f>BQ36-BQ38</f>
        <v/>
      </c>
      <c r="BR39" s="5">
        <f>BR36-BR38</f>
        <v/>
      </c>
      <c r="BS39" s="5">
        <f>BS36-BS38</f>
        <v/>
      </c>
      <c r="BT39" s="5">
        <f>BT36-BT38</f>
        <v/>
      </c>
      <c r="BU39" s="5">
        <f>BU36-BU38</f>
        <v/>
      </c>
      <c r="BV39" s="5">
        <f>BV36-BV38</f>
        <v/>
      </c>
    </row>
    <row r="40">
      <c r="A40" t="inlineStr">
        <is>
          <t>cum trial starts</t>
        </is>
      </c>
      <c r="B40" t="inlineStr">
        <is>
          <t>US_CA|BASIC_M</t>
        </is>
      </c>
      <c r="C40" s="5">
        <f>SUM($C34:C34)</f>
        <v/>
      </c>
      <c r="D40" s="5">
        <f>SUM($C34:D34)</f>
        <v/>
      </c>
      <c r="E40" s="5">
        <f>SUM($C34:E34)</f>
        <v/>
      </c>
      <c r="F40" s="5">
        <f>SUM($C34:F34)</f>
        <v/>
      </c>
      <c r="G40" s="5">
        <f>SUM($C34:G34)</f>
        <v/>
      </c>
      <c r="H40" s="5">
        <f>SUM($C34:H34)</f>
        <v/>
      </c>
      <c r="I40" s="5">
        <f>SUM($C34:I34)</f>
        <v/>
      </c>
      <c r="J40" s="5">
        <f>SUM($C34:J34)</f>
        <v/>
      </c>
      <c r="K40" s="5">
        <f>SUM($C34:K34)</f>
        <v/>
      </c>
      <c r="L40" s="5">
        <f>SUM($C34:L34)</f>
        <v/>
      </c>
      <c r="M40" s="5">
        <f>SUM($C34:M34)</f>
        <v/>
      </c>
      <c r="N40" s="5">
        <f>SUM($C34:N34)</f>
        <v/>
      </c>
      <c r="O40" s="5">
        <f>SUM($C34:O34)</f>
        <v/>
      </c>
      <c r="P40" s="5">
        <f>SUM($C34:P34)</f>
        <v/>
      </c>
      <c r="Q40" s="5">
        <f>SUM($C34:Q34)</f>
        <v/>
      </c>
      <c r="R40" s="5">
        <f>SUM($C34:R34)</f>
        <v/>
      </c>
      <c r="S40" s="5">
        <f>SUM($C34:S34)</f>
        <v/>
      </c>
      <c r="T40" s="5">
        <f>SUM($C34:T34)</f>
        <v/>
      </c>
      <c r="U40" s="5">
        <f>SUM($C34:U34)</f>
        <v/>
      </c>
      <c r="V40" s="5">
        <f>SUM($C34:V34)</f>
        <v/>
      </c>
      <c r="W40" s="5">
        <f>SUM($C34:W34)</f>
        <v/>
      </c>
      <c r="X40" s="5">
        <f>SUM($C34:X34)</f>
        <v/>
      </c>
      <c r="Y40" s="5">
        <f>SUM($C34:Y34)</f>
        <v/>
      </c>
      <c r="Z40" s="5">
        <f>SUM($C34:Z34)</f>
        <v/>
      </c>
      <c r="AA40" s="5">
        <f>SUM($C34:AA34)</f>
        <v/>
      </c>
      <c r="AB40" s="5">
        <f>SUM($C34:AB34)</f>
        <v/>
      </c>
      <c r="AC40" s="5">
        <f>SUM($C34:AC34)</f>
        <v/>
      </c>
      <c r="AD40" s="5">
        <f>SUM($C34:AD34)</f>
        <v/>
      </c>
      <c r="AE40" s="5">
        <f>SUM($C34:AE34)</f>
        <v/>
      </c>
      <c r="AF40" s="5">
        <f>SUM($C34:AF34)</f>
        <v/>
      </c>
      <c r="AG40" s="5">
        <f>SUM($C34:AG34)</f>
        <v/>
      </c>
      <c r="AH40" s="5">
        <f>SUM($C34:AH34)</f>
        <v/>
      </c>
      <c r="AI40" s="5">
        <f>SUM($C34:AI34)</f>
        <v/>
      </c>
      <c r="AJ40" s="5">
        <f>SUM($C34:AJ34)</f>
        <v/>
      </c>
      <c r="AK40" s="5">
        <f>SUM($C34:AK34)</f>
        <v/>
      </c>
      <c r="AL40" s="5">
        <f>SUM($C34:AL34)</f>
        <v/>
      </c>
      <c r="AM40" s="5">
        <f>SUM($C34:AM34)</f>
        <v/>
      </c>
      <c r="AN40" s="5">
        <f>SUM($C34:AN34)</f>
        <v/>
      </c>
      <c r="AO40" s="5">
        <f>SUM($C34:AO34)</f>
        <v/>
      </c>
      <c r="AP40" s="5">
        <f>SUM($C34:AP34)</f>
        <v/>
      </c>
      <c r="AQ40" s="5">
        <f>SUM($C34:AQ34)</f>
        <v/>
      </c>
      <c r="AR40" s="5">
        <f>SUM($C34:AR34)</f>
        <v/>
      </c>
      <c r="AS40" s="5">
        <f>SUM($C34:AS34)</f>
        <v/>
      </c>
      <c r="AT40" s="5">
        <f>SUM($C34:AT34)</f>
        <v/>
      </c>
      <c r="AU40" s="5">
        <f>SUM($C34:AU34)</f>
        <v/>
      </c>
      <c r="AV40" s="5">
        <f>SUM($C34:AV34)</f>
        <v/>
      </c>
      <c r="AW40" s="5">
        <f>SUM($C34:AW34)</f>
        <v/>
      </c>
      <c r="AX40" s="5">
        <f>SUM($C34:AX34)</f>
        <v/>
      </c>
      <c r="AY40" s="5">
        <f>SUM($C34:AY34)</f>
        <v/>
      </c>
      <c r="AZ40" s="5">
        <f>SUM($C34:AZ34)</f>
        <v/>
      </c>
      <c r="BA40" s="5">
        <f>SUM($C34:BA34)</f>
        <v/>
      </c>
      <c r="BB40" s="5">
        <f>SUM($C34:BB34)</f>
        <v/>
      </c>
      <c r="BC40" s="5">
        <f>SUM($C34:BC34)</f>
        <v/>
      </c>
      <c r="BD40" s="5">
        <f>SUM($C34:BD34)</f>
        <v/>
      </c>
      <c r="BE40" s="5">
        <f>SUM($C34:BE34)</f>
        <v/>
      </c>
      <c r="BF40" s="5">
        <f>SUM($C34:BF34)</f>
        <v/>
      </c>
      <c r="BG40" s="5">
        <f>SUM($C34:BG34)</f>
        <v/>
      </c>
      <c r="BH40" s="5">
        <f>SUM($C34:BH34)</f>
        <v/>
      </c>
      <c r="BI40" s="5">
        <f>SUM($C34:BI34)</f>
        <v/>
      </c>
      <c r="BJ40" s="5">
        <f>SUM($C34:BJ34)</f>
        <v/>
      </c>
      <c r="BK40" s="5">
        <f>SUM($C34:BK34)</f>
        <v/>
      </c>
      <c r="BL40" s="5">
        <f>SUM($C34:BL34)</f>
        <v/>
      </c>
      <c r="BM40" s="5">
        <f>SUM($C34:BM34)</f>
        <v/>
      </c>
      <c r="BN40" s="5">
        <f>SUM($C34:BN34)</f>
        <v/>
      </c>
      <c r="BO40" s="5">
        <f>SUM($C34:BO34)</f>
        <v/>
      </c>
      <c r="BP40" s="5">
        <f>SUM($C34:BP34)</f>
        <v/>
      </c>
      <c r="BQ40" s="5">
        <f>SUM($C34:BQ34)</f>
        <v/>
      </c>
      <c r="BR40" s="5">
        <f>SUM($C34:BR34)</f>
        <v/>
      </c>
      <c r="BS40" s="5">
        <f>SUM($C34:BS34)</f>
        <v/>
      </c>
      <c r="BT40" s="5">
        <f>SUM($C34:BT34)</f>
        <v/>
      </c>
      <c r="BU40" s="5">
        <f>SUM($C34:BU34)</f>
        <v/>
      </c>
      <c r="BV40" s="5">
        <f>SUM($C34:BV34)</f>
        <v/>
      </c>
    </row>
    <row r="41">
      <c r="A41" t="inlineStr">
        <is>
          <t>cum trials ending</t>
        </is>
      </c>
      <c r="B41" t="inlineStr">
        <is>
          <t>US_CA|BASIC_M</t>
        </is>
      </c>
      <c r="C41" s="5">
        <f>SUM($C36:C36)</f>
        <v/>
      </c>
      <c r="D41" s="5">
        <f>SUM($C36:D36)</f>
        <v/>
      </c>
      <c r="E41" s="5">
        <f>SUM($C36:E36)</f>
        <v/>
      </c>
      <c r="F41" s="5">
        <f>SUM($C36:F36)</f>
        <v/>
      </c>
      <c r="G41" s="5">
        <f>SUM($C36:G36)</f>
        <v/>
      </c>
      <c r="H41" s="5">
        <f>SUM($C36:H36)</f>
        <v/>
      </c>
      <c r="I41" s="5">
        <f>SUM($C36:I36)</f>
        <v/>
      </c>
      <c r="J41" s="5">
        <f>SUM($C36:J36)</f>
        <v/>
      </c>
      <c r="K41" s="5">
        <f>SUM($C36:K36)</f>
        <v/>
      </c>
      <c r="L41" s="5">
        <f>SUM($C36:L36)</f>
        <v/>
      </c>
      <c r="M41" s="5">
        <f>SUM($C36:M36)</f>
        <v/>
      </c>
      <c r="N41" s="5">
        <f>SUM($C36:N36)</f>
        <v/>
      </c>
      <c r="O41" s="5">
        <f>SUM($C36:O36)</f>
        <v/>
      </c>
      <c r="P41" s="5">
        <f>SUM($C36:P36)</f>
        <v/>
      </c>
      <c r="Q41" s="5">
        <f>SUM($C36:Q36)</f>
        <v/>
      </c>
      <c r="R41" s="5">
        <f>SUM($C36:R36)</f>
        <v/>
      </c>
      <c r="S41" s="5">
        <f>SUM($C36:S36)</f>
        <v/>
      </c>
      <c r="T41" s="5">
        <f>SUM($C36:T36)</f>
        <v/>
      </c>
      <c r="U41" s="5">
        <f>SUM($C36:U36)</f>
        <v/>
      </c>
      <c r="V41" s="5">
        <f>SUM($C36:V36)</f>
        <v/>
      </c>
      <c r="W41" s="5">
        <f>SUM($C36:W36)</f>
        <v/>
      </c>
      <c r="X41" s="5">
        <f>SUM($C36:X36)</f>
        <v/>
      </c>
      <c r="Y41" s="5">
        <f>SUM($C36:Y36)</f>
        <v/>
      </c>
      <c r="Z41" s="5">
        <f>SUM($C36:Z36)</f>
        <v/>
      </c>
      <c r="AA41" s="5">
        <f>SUM($C36:AA36)</f>
        <v/>
      </c>
      <c r="AB41" s="5">
        <f>SUM($C36:AB36)</f>
        <v/>
      </c>
      <c r="AC41" s="5">
        <f>SUM($C36:AC36)</f>
        <v/>
      </c>
      <c r="AD41" s="5">
        <f>SUM($C36:AD36)</f>
        <v/>
      </c>
      <c r="AE41" s="5">
        <f>SUM($C36:AE36)</f>
        <v/>
      </c>
      <c r="AF41" s="5">
        <f>SUM($C36:AF36)</f>
        <v/>
      </c>
      <c r="AG41" s="5">
        <f>SUM($C36:AG36)</f>
        <v/>
      </c>
      <c r="AH41" s="5">
        <f>SUM($C36:AH36)</f>
        <v/>
      </c>
      <c r="AI41" s="5">
        <f>SUM($C36:AI36)</f>
        <v/>
      </c>
      <c r="AJ41" s="5">
        <f>SUM($C36:AJ36)</f>
        <v/>
      </c>
      <c r="AK41" s="5">
        <f>SUM($C36:AK36)</f>
        <v/>
      </c>
      <c r="AL41" s="5">
        <f>SUM($C36:AL36)</f>
        <v/>
      </c>
      <c r="AM41" s="5">
        <f>SUM($C36:AM36)</f>
        <v/>
      </c>
      <c r="AN41" s="5">
        <f>SUM($C36:AN36)</f>
        <v/>
      </c>
      <c r="AO41" s="5">
        <f>SUM($C36:AO36)</f>
        <v/>
      </c>
      <c r="AP41" s="5">
        <f>SUM($C36:AP36)</f>
        <v/>
      </c>
      <c r="AQ41" s="5">
        <f>SUM($C36:AQ36)</f>
        <v/>
      </c>
      <c r="AR41" s="5">
        <f>SUM($C36:AR36)</f>
        <v/>
      </c>
      <c r="AS41" s="5">
        <f>SUM($C36:AS36)</f>
        <v/>
      </c>
      <c r="AT41" s="5">
        <f>SUM($C36:AT36)</f>
        <v/>
      </c>
      <c r="AU41" s="5">
        <f>SUM($C36:AU36)</f>
        <v/>
      </c>
      <c r="AV41" s="5">
        <f>SUM($C36:AV36)</f>
        <v/>
      </c>
      <c r="AW41" s="5">
        <f>SUM($C36:AW36)</f>
        <v/>
      </c>
      <c r="AX41" s="5">
        <f>SUM($C36:AX36)</f>
        <v/>
      </c>
      <c r="AY41" s="5">
        <f>SUM($C36:AY36)</f>
        <v/>
      </c>
      <c r="AZ41" s="5">
        <f>SUM($C36:AZ36)</f>
        <v/>
      </c>
      <c r="BA41" s="5">
        <f>SUM($C36:BA36)</f>
        <v/>
      </c>
      <c r="BB41" s="5">
        <f>SUM($C36:BB36)</f>
        <v/>
      </c>
      <c r="BC41" s="5">
        <f>SUM($C36:BC36)</f>
        <v/>
      </c>
      <c r="BD41" s="5">
        <f>SUM($C36:BD36)</f>
        <v/>
      </c>
      <c r="BE41" s="5">
        <f>SUM($C36:BE36)</f>
        <v/>
      </c>
      <c r="BF41" s="5">
        <f>SUM($C36:BF36)</f>
        <v/>
      </c>
      <c r="BG41" s="5">
        <f>SUM($C36:BG36)</f>
        <v/>
      </c>
      <c r="BH41" s="5">
        <f>SUM($C36:BH36)</f>
        <v/>
      </c>
      <c r="BI41" s="5">
        <f>SUM($C36:BI36)</f>
        <v/>
      </c>
      <c r="BJ41" s="5">
        <f>SUM($C36:BJ36)</f>
        <v/>
      </c>
      <c r="BK41" s="5">
        <f>SUM($C36:BK36)</f>
        <v/>
      </c>
      <c r="BL41" s="5">
        <f>SUM($C36:BL36)</f>
        <v/>
      </c>
      <c r="BM41" s="5">
        <f>SUM($C36:BM36)</f>
        <v/>
      </c>
      <c r="BN41" s="5">
        <f>SUM($C36:BN36)</f>
        <v/>
      </c>
      <c r="BO41" s="5">
        <f>SUM($C36:BO36)</f>
        <v/>
      </c>
      <c r="BP41" s="5">
        <f>SUM($C36:BP36)</f>
        <v/>
      </c>
      <c r="BQ41" s="5">
        <f>SUM($C36:BQ36)</f>
        <v/>
      </c>
      <c r="BR41" s="5">
        <f>SUM($C36:BR36)</f>
        <v/>
      </c>
      <c r="BS41" s="5">
        <f>SUM($C36:BS36)</f>
        <v/>
      </c>
      <c r="BT41" s="5">
        <f>SUM($C36:BT36)</f>
        <v/>
      </c>
      <c r="BU41" s="5">
        <f>SUM($C36:BU36)</f>
        <v/>
      </c>
      <c r="BV41" s="5">
        <f>SUM($C36:BV36)</f>
        <v/>
      </c>
    </row>
    <row r="42">
      <c r="A42" t="inlineStr">
        <is>
          <t>trials active</t>
        </is>
      </c>
      <c r="B42" t="inlineStr">
        <is>
          <t>US_CA|BASIC_M</t>
        </is>
      </c>
      <c r="C42" s="5">
        <f>C40-C41</f>
        <v/>
      </c>
      <c r="D42" s="5">
        <f>D40-D41</f>
        <v/>
      </c>
      <c r="E42" s="5">
        <f>E40-E41</f>
        <v/>
      </c>
      <c r="F42" s="5">
        <f>F40-F41</f>
        <v/>
      </c>
      <c r="G42" s="5">
        <f>G40-G41</f>
        <v/>
      </c>
      <c r="H42" s="5">
        <f>H40-H41</f>
        <v/>
      </c>
      <c r="I42" s="5">
        <f>I40-I41</f>
        <v/>
      </c>
      <c r="J42" s="5">
        <f>J40-J41</f>
        <v/>
      </c>
      <c r="K42" s="5">
        <f>K40-K41</f>
        <v/>
      </c>
      <c r="L42" s="5">
        <f>L40-L41</f>
        <v/>
      </c>
      <c r="M42" s="5">
        <f>M40-M41</f>
        <v/>
      </c>
      <c r="N42" s="5">
        <f>N40-N41</f>
        <v/>
      </c>
      <c r="O42" s="5">
        <f>O40-O41</f>
        <v/>
      </c>
      <c r="P42" s="5">
        <f>P40-P41</f>
        <v/>
      </c>
      <c r="Q42" s="5">
        <f>Q40-Q41</f>
        <v/>
      </c>
      <c r="R42" s="5">
        <f>R40-R41</f>
        <v/>
      </c>
      <c r="S42" s="5">
        <f>S40-S41</f>
        <v/>
      </c>
      <c r="T42" s="5">
        <f>T40-T41</f>
        <v/>
      </c>
      <c r="U42" s="5">
        <f>U40-U41</f>
        <v/>
      </c>
      <c r="V42" s="5">
        <f>V40-V41</f>
        <v/>
      </c>
      <c r="W42" s="5">
        <f>W40-W41</f>
        <v/>
      </c>
      <c r="X42" s="5">
        <f>X40-X41</f>
        <v/>
      </c>
      <c r="Y42" s="5">
        <f>Y40-Y41</f>
        <v/>
      </c>
      <c r="Z42" s="5">
        <f>Z40-Z41</f>
        <v/>
      </c>
      <c r="AA42" s="5">
        <f>AA40-AA41</f>
        <v/>
      </c>
      <c r="AB42" s="5">
        <f>AB40-AB41</f>
        <v/>
      </c>
      <c r="AC42" s="5">
        <f>AC40-AC41</f>
        <v/>
      </c>
      <c r="AD42" s="5">
        <f>AD40-AD41</f>
        <v/>
      </c>
      <c r="AE42" s="5">
        <f>AE40-AE41</f>
        <v/>
      </c>
      <c r="AF42" s="5">
        <f>AF40-AF41</f>
        <v/>
      </c>
      <c r="AG42" s="5">
        <f>AG40-AG41</f>
        <v/>
      </c>
      <c r="AH42" s="5">
        <f>AH40-AH41</f>
        <v/>
      </c>
      <c r="AI42" s="5">
        <f>AI40-AI41</f>
        <v/>
      </c>
      <c r="AJ42" s="5">
        <f>AJ40-AJ41</f>
        <v/>
      </c>
      <c r="AK42" s="5">
        <f>AK40-AK41</f>
        <v/>
      </c>
      <c r="AL42" s="5">
        <f>AL40-AL41</f>
        <v/>
      </c>
      <c r="AM42" s="5">
        <f>AM40-AM41</f>
        <v/>
      </c>
      <c r="AN42" s="5">
        <f>AN40-AN41</f>
        <v/>
      </c>
      <c r="AO42" s="5">
        <f>AO40-AO41</f>
        <v/>
      </c>
      <c r="AP42" s="5">
        <f>AP40-AP41</f>
        <v/>
      </c>
      <c r="AQ42" s="5">
        <f>AQ40-AQ41</f>
        <v/>
      </c>
      <c r="AR42" s="5">
        <f>AR40-AR41</f>
        <v/>
      </c>
      <c r="AS42" s="5">
        <f>AS40-AS41</f>
        <v/>
      </c>
      <c r="AT42" s="5">
        <f>AT40-AT41</f>
        <v/>
      </c>
      <c r="AU42" s="5">
        <f>AU40-AU41</f>
        <v/>
      </c>
      <c r="AV42" s="5">
        <f>AV40-AV41</f>
        <v/>
      </c>
      <c r="AW42" s="5">
        <f>AW40-AW41</f>
        <v/>
      </c>
      <c r="AX42" s="5">
        <f>AX40-AX41</f>
        <v/>
      </c>
      <c r="AY42" s="5">
        <f>AY40-AY41</f>
        <v/>
      </c>
      <c r="AZ42" s="5">
        <f>AZ40-AZ41</f>
        <v/>
      </c>
      <c r="BA42" s="5">
        <f>BA40-BA41</f>
        <v/>
      </c>
      <c r="BB42" s="5">
        <f>BB40-BB41</f>
        <v/>
      </c>
      <c r="BC42" s="5">
        <f>BC40-BC41</f>
        <v/>
      </c>
      <c r="BD42" s="5">
        <f>BD40-BD41</f>
        <v/>
      </c>
      <c r="BE42" s="5">
        <f>BE40-BE41</f>
        <v/>
      </c>
      <c r="BF42" s="5">
        <f>BF40-BF41</f>
        <v/>
      </c>
      <c r="BG42" s="5">
        <f>BG40-BG41</f>
        <v/>
      </c>
      <c r="BH42" s="5">
        <f>BH40-BH41</f>
        <v/>
      </c>
      <c r="BI42" s="5">
        <f>BI40-BI41</f>
        <v/>
      </c>
      <c r="BJ42" s="5">
        <f>BJ40-BJ41</f>
        <v/>
      </c>
      <c r="BK42" s="5">
        <f>BK40-BK41</f>
        <v/>
      </c>
      <c r="BL42" s="5">
        <f>BL40-BL41</f>
        <v/>
      </c>
      <c r="BM42" s="5">
        <f>BM40-BM41</f>
        <v/>
      </c>
      <c r="BN42" s="5">
        <f>BN40-BN41</f>
        <v/>
      </c>
      <c r="BO42" s="5">
        <f>BO40-BO41</f>
        <v/>
      </c>
      <c r="BP42" s="5">
        <f>BP40-BP41</f>
        <v/>
      </c>
      <c r="BQ42" s="5">
        <f>BQ40-BQ41</f>
        <v/>
      </c>
      <c r="BR42" s="5">
        <f>BR40-BR41</f>
        <v/>
      </c>
      <c r="BS42" s="5">
        <f>BS40-BS41</f>
        <v/>
      </c>
      <c r="BT42" s="5">
        <f>BT40-BT41</f>
        <v/>
      </c>
      <c r="BU42" s="5">
        <f>BU40-BU41</f>
        <v/>
      </c>
      <c r="BV42" s="5">
        <f>BV40-BV41</f>
        <v/>
      </c>
    </row>
    <row r="43">
      <c r="A43" t="inlineStr">
        <is>
          <t>paid starts</t>
        </is>
      </c>
      <c r="B43" t="inlineStr">
        <is>
          <t>US_CA|BASIC_M</t>
        </is>
      </c>
      <c r="C43" s="5">
        <f>C35+C38</f>
        <v/>
      </c>
      <c r="D43" s="5">
        <f>D35+D38</f>
        <v/>
      </c>
      <c r="E43" s="5">
        <f>E35+E38</f>
        <v/>
      </c>
      <c r="F43" s="5">
        <f>F35+F38</f>
        <v/>
      </c>
      <c r="G43" s="5">
        <f>G35+G38</f>
        <v/>
      </c>
      <c r="H43" s="5">
        <f>H35+H38</f>
        <v/>
      </c>
      <c r="I43" s="5">
        <f>I35+I38</f>
        <v/>
      </c>
      <c r="J43" s="5">
        <f>J35+J38</f>
        <v/>
      </c>
      <c r="K43" s="5">
        <f>K35+K38</f>
        <v/>
      </c>
      <c r="L43" s="5">
        <f>L35+L38</f>
        <v/>
      </c>
      <c r="M43" s="5">
        <f>M35+M38</f>
        <v/>
      </c>
      <c r="N43" s="5">
        <f>N35+N38</f>
        <v/>
      </c>
      <c r="O43" s="5">
        <f>O35+O38</f>
        <v/>
      </c>
      <c r="P43" s="5">
        <f>P35+P38</f>
        <v/>
      </c>
      <c r="Q43" s="5">
        <f>Q35+Q38</f>
        <v/>
      </c>
      <c r="R43" s="5">
        <f>R35+R38</f>
        <v/>
      </c>
      <c r="S43" s="5">
        <f>S35+S38</f>
        <v/>
      </c>
      <c r="T43" s="5">
        <f>T35+T38</f>
        <v/>
      </c>
      <c r="U43" s="5">
        <f>U35+U38</f>
        <v/>
      </c>
      <c r="V43" s="5">
        <f>V35+V38</f>
        <v/>
      </c>
      <c r="W43" s="5">
        <f>W35+W38</f>
        <v/>
      </c>
      <c r="X43" s="5">
        <f>X35+X38</f>
        <v/>
      </c>
      <c r="Y43" s="5">
        <f>Y35+Y38</f>
        <v/>
      </c>
      <c r="Z43" s="5">
        <f>Z35+Z38</f>
        <v/>
      </c>
      <c r="AA43" s="5">
        <f>AA35+AA38</f>
        <v/>
      </c>
      <c r="AB43" s="5">
        <f>AB35+AB38</f>
        <v/>
      </c>
      <c r="AC43" s="5">
        <f>AC35+AC38</f>
        <v/>
      </c>
      <c r="AD43" s="5">
        <f>AD35+AD38</f>
        <v/>
      </c>
      <c r="AE43" s="5">
        <f>AE35+AE38</f>
        <v/>
      </c>
      <c r="AF43" s="5">
        <f>AF35+AF38</f>
        <v/>
      </c>
      <c r="AG43" s="5">
        <f>AG35+AG38</f>
        <v/>
      </c>
      <c r="AH43" s="5">
        <f>AH35+AH38</f>
        <v/>
      </c>
      <c r="AI43" s="5">
        <f>AI35+AI38</f>
        <v/>
      </c>
      <c r="AJ43" s="5">
        <f>AJ35+AJ38</f>
        <v/>
      </c>
      <c r="AK43" s="5">
        <f>AK35+AK38</f>
        <v/>
      </c>
      <c r="AL43" s="5">
        <f>AL35+AL38</f>
        <v/>
      </c>
      <c r="AM43" s="5">
        <f>AM35+AM38</f>
        <v/>
      </c>
      <c r="AN43" s="5">
        <f>AN35+AN38</f>
        <v/>
      </c>
      <c r="AO43" s="5">
        <f>AO35+AO38</f>
        <v/>
      </c>
      <c r="AP43" s="5">
        <f>AP35+AP38</f>
        <v/>
      </c>
      <c r="AQ43" s="5">
        <f>AQ35+AQ38</f>
        <v/>
      </c>
      <c r="AR43" s="5">
        <f>AR35+AR38</f>
        <v/>
      </c>
      <c r="AS43" s="5">
        <f>AS35+AS38</f>
        <v/>
      </c>
      <c r="AT43" s="5">
        <f>AT35+AT38</f>
        <v/>
      </c>
      <c r="AU43" s="5">
        <f>AU35+AU38</f>
        <v/>
      </c>
      <c r="AV43" s="5">
        <f>AV35+AV38</f>
        <v/>
      </c>
      <c r="AW43" s="5">
        <f>AW35+AW38</f>
        <v/>
      </c>
      <c r="AX43" s="5">
        <f>AX35+AX38</f>
        <v/>
      </c>
      <c r="AY43" s="5">
        <f>AY35+AY38</f>
        <v/>
      </c>
      <c r="AZ43" s="5">
        <f>AZ35+AZ38</f>
        <v/>
      </c>
      <c r="BA43" s="5">
        <f>BA35+BA38</f>
        <v/>
      </c>
      <c r="BB43" s="5">
        <f>BB35+BB38</f>
        <v/>
      </c>
      <c r="BC43" s="5">
        <f>BC35+BC38</f>
        <v/>
      </c>
      <c r="BD43" s="5">
        <f>BD35+BD38</f>
        <v/>
      </c>
      <c r="BE43" s="5">
        <f>BE35+BE38</f>
        <v/>
      </c>
      <c r="BF43" s="5">
        <f>BF35+BF38</f>
        <v/>
      </c>
      <c r="BG43" s="5">
        <f>BG35+BG38</f>
        <v/>
      </c>
      <c r="BH43" s="5">
        <f>BH35+BH38</f>
        <v/>
      </c>
      <c r="BI43" s="5">
        <f>BI35+BI38</f>
        <v/>
      </c>
      <c r="BJ43" s="5">
        <f>BJ35+BJ38</f>
        <v/>
      </c>
      <c r="BK43" s="5">
        <f>BK35+BK38</f>
        <v/>
      </c>
      <c r="BL43" s="5">
        <f>BL35+BL38</f>
        <v/>
      </c>
      <c r="BM43" s="5">
        <f>BM35+BM38</f>
        <v/>
      </c>
      <c r="BN43" s="5">
        <f>BN35+BN38</f>
        <v/>
      </c>
      <c r="BO43" s="5">
        <f>BO35+BO38</f>
        <v/>
      </c>
      <c r="BP43" s="5">
        <f>BP35+BP38</f>
        <v/>
      </c>
      <c r="BQ43" s="5">
        <f>BQ35+BQ38</f>
        <v/>
      </c>
      <c r="BR43" s="5">
        <f>BR35+BR38</f>
        <v/>
      </c>
      <c r="BS43" s="5">
        <f>BS35+BS38</f>
        <v/>
      </c>
      <c r="BT43" s="5">
        <f>BT35+BT38</f>
        <v/>
      </c>
      <c r="BU43" s="5">
        <f>BU35+BU38</f>
        <v/>
      </c>
      <c r="BV43" s="5">
        <f>BV35+BV38</f>
        <v/>
      </c>
    </row>
    <row r="44">
      <c r="A44" t="inlineStr">
        <is>
          <t>paid starts @0</t>
        </is>
      </c>
      <c r="B44" t="inlineStr">
        <is>
          <t>US_CA|BASIC_M</t>
        </is>
      </c>
      <c r="C44" s="5">
        <f>C43*Eras!C$3</f>
        <v/>
      </c>
      <c r="D44" s="5">
        <f>D43*Eras!D$3</f>
        <v/>
      </c>
      <c r="E44" s="5">
        <f>E43*Eras!E$3</f>
        <v/>
      </c>
      <c r="F44" s="5">
        <f>F43*Eras!F$3</f>
        <v/>
      </c>
      <c r="G44" s="5">
        <f>G43*Eras!G$3</f>
        <v/>
      </c>
      <c r="H44" s="5">
        <f>H43*Eras!H$3</f>
        <v/>
      </c>
      <c r="I44" s="5">
        <f>I43*Eras!I$3</f>
        <v/>
      </c>
      <c r="J44" s="5">
        <f>J43*Eras!J$3</f>
        <v/>
      </c>
      <c r="K44" s="5">
        <f>K43*Eras!K$3</f>
        <v/>
      </c>
      <c r="L44" s="5">
        <f>L43*Eras!L$3</f>
        <v/>
      </c>
      <c r="M44" s="5">
        <f>M43*Eras!M$3</f>
        <v/>
      </c>
      <c r="N44" s="5">
        <f>N43*Eras!N$3</f>
        <v/>
      </c>
      <c r="O44" s="5">
        <f>O43*Eras!O$3</f>
        <v/>
      </c>
      <c r="P44" s="5">
        <f>P43*Eras!P$3</f>
        <v/>
      </c>
      <c r="Q44" s="5">
        <f>Q43*Eras!Q$3</f>
        <v/>
      </c>
      <c r="R44" s="5">
        <f>R43*Eras!R$3</f>
        <v/>
      </c>
      <c r="S44" s="5">
        <f>S43*Eras!S$3</f>
        <v/>
      </c>
      <c r="T44" s="5">
        <f>T43*Eras!T$3</f>
        <v/>
      </c>
      <c r="U44" s="5">
        <f>U43*Eras!U$3</f>
        <v/>
      </c>
      <c r="V44" s="5">
        <f>V43*Eras!V$3</f>
        <v/>
      </c>
      <c r="W44" s="5">
        <f>W43*Eras!W$3</f>
        <v/>
      </c>
      <c r="X44" s="5">
        <f>X43*Eras!X$3</f>
        <v/>
      </c>
      <c r="Y44" s="5">
        <f>Y43*Eras!Y$3</f>
        <v/>
      </c>
      <c r="Z44" s="5">
        <f>Z43*Eras!Z$3</f>
        <v/>
      </c>
      <c r="AA44" s="5">
        <f>AA43*Eras!AA$3</f>
        <v/>
      </c>
      <c r="AB44" s="5">
        <f>AB43*Eras!AB$3</f>
        <v/>
      </c>
      <c r="AC44" s="5">
        <f>AC43*Eras!AC$3</f>
        <v/>
      </c>
      <c r="AD44" s="5">
        <f>AD43*Eras!AD$3</f>
        <v/>
      </c>
      <c r="AE44" s="5">
        <f>AE43*Eras!AE$3</f>
        <v/>
      </c>
      <c r="AF44" s="5">
        <f>AF43*Eras!AF$3</f>
        <v/>
      </c>
      <c r="AG44" s="5">
        <f>AG43*Eras!AG$3</f>
        <v/>
      </c>
      <c r="AH44" s="5">
        <f>AH43*Eras!AH$3</f>
        <v/>
      </c>
      <c r="AI44" s="5">
        <f>AI43*Eras!AI$3</f>
        <v/>
      </c>
      <c r="AJ44" s="5">
        <f>AJ43*Eras!AJ$3</f>
        <v/>
      </c>
      <c r="AK44" s="5">
        <f>AK43*Eras!AK$3</f>
        <v/>
      </c>
      <c r="AL44" s="5">
        <f>AL43*Eras!AL$3</f>
        <v/>
      </c>
      <c r="AM44" s="5">
        <f>AM43*Eras!AM$3</f>
        <v/>
      </c>
      <c r="AN44" s="5">
        <f>AN43*Eras!AN$3</f>
        <v/>
      </c>
      <c r="AO44" s="5">
        <f>AO43*Eras!AO$3</f>
        <v/>
      </c>
      <c r="AP44" s="5">
        <f>AP43*Eras!AP$3</f>
        <v/>
      </c>
      <c r="AQ44" s="5">
        <f>AQ43*Eras!AQ$3</f>
        <v/>
      </c>
      <c r="AR44" s="5">
        <f>AR43*Eras!AR$3</f>
        <v/>
      </c>
      <c r="AS44" s="5">
        <f>AS43*Eras!AS$3</f>
        <v/>
      </c>
      <c r="AT44" s="5">
        <f>AT43*Eras!AT$3</f>
        <v/>
      </c>
      <c r="AU44" s="5">
        <f>AU43*Eras!AU$3</f>
        <v/>
      </c>
      <c r="AV44" s="5">
        <f>AV43*Eras!AV$3</f>
        <v/>
      </c>
      <c r="AW44" s="5">
        <f>AW43*Eras!AW$3</f>
        <v/>
      </c>
      <c r="AX44" s="5">
        <f>AX43*Eras!AX$3</f>
        <v/>
      </c>
      <c r="AY44" s="5">
        <f>AY43*Eras!AY$3</f>
        <v/>
      </c>
      <c r="AZ44" s="5">
        <f>AZ43*Eras!AZ$3</f>
        <v/>
      </c>
      <c r="BA44" s="5">
        <f>BA43*Eras!BA$3</f>
        <v/>
      </c>
      <c r="BB44" s="5">
        <f>BB43*Eras!BB$3</f>
        <v/>
      </c>
      <c r="BC44" s="5">
        <f>BC43*Eras!BC$3</f>
        <v/>
      </c>
      <c r="BD44" s="5">
        <f>BD43*Eras!BD$3</f>
        <v/>
      </c>
      <c r="BE44" s="5">
        <f>BE43*Eras!BE$3</f>
        <v/>
      </c>
      <c r="BF44" s="5">
        <f>BF43*Eras!BF$3</f>
        <v/>
      </c>
      <c r="BG44" s="5">
        <f>BG43*Eras!BG$3</f>
        <v/>
      </c>
      <c r="BH44" s="5">
        <f>BH43*Eras!BH$3</f>
        <v/>
      </c>
      <c r="BI44" s="5">
        <f>BI43*Eras!BI$3</f>
        <v/>
      </c>
      <c r="BJ44" s="5">
        <f>BJ43*Eras!BJ$3</f>
        <v/>
      </c>
      <c r="BK44" s="5">
        <f>BK43*Eras!BK$3</f>
        <v/>
      </c>
      <c r="BL44" s="5">
        <f>BL43*Eras!BL$3</f>
        <v/>
      </c>
      <c r="BM44" s="5">
        <f>BM43*Eras!BM$3</f>
        <v/>
      </c>
      <c r="BN44" s="5">
        <f>BN43*Eras!BN$3</f>
        <v/>
      </c>
      <c r="BO44" s="5">
        <f>BO43*Eras!BO$3</f>
        <v/>
      </c>
      <c r="BP44" s="5">
        <f>BP43*Eras!BP$3</f>
        <v/>
      </c>
      <c r="BQ44" s="5">
        <f>BQ43*Eras!BQ$3</f>
        <v/>
      </c>
      <c r="BR44" s="5">
        <f>BR43*Eras!BR$3</f>
        <v/>
      </c>
      <c r="BS44" s="5">
        <f>BS43*Eras!BS$3</f>
        <v/>
      </c>
      <c r="BT44" s="5">
        <f>BT43*Eras!BT$3</f>
        <v/>
      </c>
      <c r="BU44" s="5">
        <f>BU43*Eras!BU$3</f>
        <v/>
      </c>
      <c r="BV44" s="5">
        <f>BV43*Eras!BV$3</f>
        <v/>
      </c>
    </row>
    <row r="45">
      <c r="A45" t="inlineStr">
        <is>
          <t>paid starts @1</t>
        </is>
      </c>
      <c r="B45" t="inlineStr">
        <is>
          <t>US_CA|BASIC_M</t>
        </is>
      </c>
      <c r="C45" s="5">
        <f>C43*Eras!C$4</f>
        <v/>
      </c>
      <c r="D45" s="5">
        <f>D43*Eras!D$4</f>
        <v/>
      </c>
      <c r="E45" s="5">
        <f>E43*Eras!E$4</f>
        <v/>
      </c>
      <c r="F45" s="5">
        <f>F43*Eras!F$4</f>
        <v/>
      </c>
      <c r="G45" s="5">
        <f>G43*Eras!G$4</f>
        <v/>
      </c>
      <c r="H45" s="5">
        <f>H43*Eras!H$4</f>
        <v/>
      </c>
      <c r="I45" s="5">
        <f>I43*Eras!I$4</f>
        <v/>
      </c>
      <c r="J45" s="5">
        <f>J43*Eras!J$4</f>
        <v/>
      </c>
      <c r="K45" s="5">
        <f>K43*Eras!K$4</f>
        <v/>
      </c>
      <c r="L45" s="5">
        <f>L43*Eras!L$4</f>
        <v/>
      </c>
      <c r="M45" s="5">
        <f>M43*Eras!M$4</f>
        <v/>
      </c>
      <c r="N45" s="5">
        <f>N43*Eras!N$4</f>
        <v/>
      </c>
      <c r="O45" s="5">
        <f>O43*Eras!O$4</f>
        <v/>
      </c>
      <c r="P45" s="5">
        <f>P43*Eras!P$4</f>
        <v/>
      </c>
      <c r="Q45" s="5">
        <f>Q43*Eras!Q$4</f>
        <v/>
      </c>
      <c r="R45" s="5">
        <f>R43*Eras!R$4</f>
        <v/>
      </c>
      <c r="S45" s="5">
        <f>S43*Eras!S$4</f>
        <v/>
      </c>
      <c r="T45" s="5">
        <f>T43*Eras!T$4</f>
        <v/>
      </c>
      <c r="U45" s="5">
        <f>U43*Eras!U$4</f>
        <v/>
      </c>
      <c r="V45" s="5">
        <f>V43*Eras!V$4</f>
        <v/>
      </c>
      <c r="W45" s="5">
        <f>W43*Eras!W$4</f>
        <v/>
      </c>
      <c r="X45" s="5">
        <f>X43*Eras!X$4</f>
        <v/>
      </c>
      <c r="Y45" s="5">
        <f>Y43*Eras!Y$4</f>
        <v/>
      </c>
      <c r="Z45" s="5">
        <f>Z43*Eras!Z$4</f>
        <v/>
      </c>
      <c r="AA45" s="5">
        <f>AA43*Eras!AA$4</f>
        <v/>
      </c>
      <c r="AB45" s="5">
        <f>AB43*Eras!AB$4</f>
        <v/>
      </c>
      <c r="AC45" s="5">
        <f>AC43*Eras!AC$4</f>
        <v/>
      </c>
      <c r="AD45" s="5">
        <f>AD43*Eras!AD$4</f>
        <v/>
      </c>
      <c r="AE45" s="5">
        <f>AE43*Eras!AE$4</f>
        <v/>
      </c>
      <c r="AF45" s="5">
        <f>AF43*Eras!AF$4</f>
        <v/>
      </c>
      <c r="AG45" s="5">
        <f>AG43*Eras!AG$4</f>
        <v/>
      </c>
      <c r="AH45" s="5">
        <f>AH43*Eras!AH$4</f>
        <v/>
      </c>
      <c r="AI45" s="5">
        <f>AI43*Eras!AI$4</f>
        <v/>
      </c>
      <c r="AJ45" s="5">
        <f>AJ43*Eras!AJ$4</f>
        <v/>
      </c>
      <c r="AK45" s="5">
        <f>AK43*Eras!AK$4</f>
        <v/>
      </c>
      <c r="AL45" s="5">
        <f>AL43*Eras!AL$4</f>
        <v/>
      </c>
      <c r="AM45" s="5">
        <f>AM43*Eras!AM$4</f>
        <v/>
      </c>
      <c r="AN45" s="5">
        <f>AN43*Eras!AN$4</f>
        <v/>
      </c>
      <c r="AO45" s="5">
        <f>AO43*Eras!AO$4</f>
        <v/>
      </c>
      <c r="AP45" s="5">
        <f>AP43*Eras!AP$4</f>
        <v/>
      </c>
      <c r="AQ45" s="5">
        <f>AQ43*Eras!AQ$4</f>
        <v/>
      </c>
      <c r="AR45" s="5">
        <f>AR43*Eras!AR$4</f>
        <v/>
      </c>
      <c r="AS45" s="5">
        <f>AS43*Eras!AS$4</f>
        <v/>
      </c>
      <c r="AT45" s="5">
        <f>AT43*Eras!AT$4</f>
        <v/>
      </c>
      <c r="AU45" s="5">
        <f>AU43*Eras!AU$4</f>
        <v/>
      </c>
      <c r="AV45" s="5">
        <f>AV43*Eras!AV$4</f>
        <v/>
      </c>
      <c r="AW45" s="5">
        <f>AW43*Eras!AW$4</f>
        <v/>
      </c>
      <c r="AX45" s="5">
        <f>AX43*Eras!AX$4</f>
        <v/>
      </c>
      <c r="AY45" s="5">
        <f>AY43*Eras!AY$4</f>
        <v/>
      </c>
      <c r="AZ45" s="5">
        <f>AZ43*Eras!AZ$4</f>
        <v/>
      </c>
      <c r="BA45" s="5">
        <f>BA43*Eras!BA$4</f>
        <v/>
      </c>
      <c r="BB45" s="5">
        <f>BB43*Eras!BB$4</f>
        <v/>
      </c>
      <c r="BC45" s="5">
        <f>BC43*Eras!BC$4</f>
        <v/>
      </c>
      <c r="BD45" s="5">
        <f>BD43*Eras!BD$4</f>
        <v/>
      </c>
      <c r="BE45" s="5">
        <f>BE43*Eras!BE$4</f>
        <v/>
      </c>
      <c r="BF45" s="5">
        <f>BF43*Eras!BF$4</f>
        <v/>
      </c>
      <c r="BG45" s="5">
        <f>BG43*Eras!BG$4</f>
        <v/>
      </c>
      <c r="BH45" s="5">
        <f>BH43*Eras!BH$4</f>
        <v/>
      </c>
      <c r="BI45" s="5">
        <f>BI43*Eras!BI$4</f>
        <v/>
      </c>
      <c r="BJ45" s="5">
        <f>BJ43*Eras!BJ$4</f>
        <v/>
      </c>
      <c r="BK45" s="5">
        <f>BK43*Eras!BK$4</f>
        <v/>
      </c>
      <c r="BL45" s="5">
        <f>BL43*Eras!BL$4</f>
        <v/>
      </c>
      <c r="BM45" s="5">
        <f>BM43*Eras!BM$4</f>
        <v/>
      </c>
      <c r="BN45" s="5">
        <f>BN43*Eras!BN$4</f>
        <v/>
      </c>
      <c r="BO45" s="5">
        <f>BO43*Eras!BO$4</f>
        <v/>
      </c>
      <c r="BP45" s="5">
        <f>BP43*Eras!BP$4</f>
        <v/>
      </c>
      <c r="BQ45" s="5">
        <f>BQ43*Eras!BQ$4</f>
        <v/>
      </c>
      <c r="BR45" s="5">
        <f>BR43*Eras!BR$4</f>
        <v/>
      </c>
      <c r="BS45" s="5">
        <f>BS43*Eras!BS$4</f>
        <v/>
      </c>
      <c r="BT45" s="5">
        <f>BT43*Eras!BT$4</f>
        <v/>
      </c>
      <c r="BU45" s="5">
        <f>BU43*Eras!BU$4</f>
        <v/>
      </c>
      <c r="BV45" s="5">
        <f>BV43*Eras!BV$4</f>
        <v/>
      </c>
    </row>
    <row r="46">
      <c r="A46" t="inlineStr">
        <is>
          <t>paid starts @2</t>
        </is>
      </c>
      <c r="B46" t="inlineStr">
        <is>
          <t>US_CA|BASIC_M</t>
        </is>
      </c>
      <c r="C46" s="5">
        <f>C43*Eras!C$5</f>
        <v/>
      </c>
      <c r="D46" s="5">
        <f>D43*Eras!D$5</f>
        <v/>
      </c>
      <c r="E46" s="5">
        <f>E43*Eras!E$5</f>
        <v/>
      </c>
      <c r="F46" s="5">
        <f>F43*Eras!F$5</f>
        <v/>
      </c>
      <c r="G46" s="5">
        <f>G43*Eras!G$5</f>
        <v/>
      </c>
      <c r="H46" s="5">
        <f>H43*Eras!H$5</f>
        <v/>
      </c>
      <c r="I46" s="5">
        <f>I43*Eras!I$5</f>
        <v/>
      </c>
      <c r="J46" s="5">
        <f>J43*Eras!J$5</f>
        <v/>
      </c>
      <c r="K46" s="5">
        <f>K43*Eras!K$5</f>
        <v/>
      </c>
      <c r="L46" s="5">
        <f>L43*Eras!L$5</f>
        <v/>
      </c>
      <c r="M46" s="5">
        <f>M43*Eras!M$5</f>
        <v/>
      </c>
      <c r="N46" s="5">
        <f>N43*Eras!N$5</f>
        <v/>
      </c>
      <c r="O46" s="5">
        <f>O43*Eras!O$5</f>
        <v/>
      </c>
      <c r="P46" s="5">
        <f>P43*Eras!P$5</f>
        <v/>
      </c>
      <c r="Q46" s="5">
        <f>Q43*Eras!Q$5</f>
        <v/>
      </c>
      <c r="R46" s="5">
        <f>R43*Eras!R$5</f>
        <v/>
      </c>
      <c r="S46" s="5">
        <f>S43*Eras!S$5</f>
        <v/>
      </c>
      <c r="T46" s="5">
        <f>T43*Eras!T$5</f>
        <v/>
      </c>
      <c r="U46" s="5">
        <f>U43*Eras!U$5</f>
        <v/>
      </c>
      <c r="V46" s="5">
        <f>V43*Eras!V$5</f>
        <v/>
      </c>
      <c r="W46" s="5">
        <f>W43*Eras!W$5</f>
        <v/>
      </c>
      <c r="X46" s="5">
        <f>X43*Eras!X$5</f>
        <v/>
      </c>
      <c r="Y46" s="5">
        <f>Y43*Eras!Y$5</f>
        <v/>
      </c>
      <c r="Z46" s="5">
        <f>Z43*Eras!Z$5</f>
        <v/>
      </c>
      <c r="AA46" s="5">
        <f>AA43*Eras!AA$5</f>
        <v/>
      </c>
      <c r="AB46" s="5">
        <f>AB43*Eras!AB$5</f>
        <v/>
      </c>
      <c r="AC46" s="5">
        <f>AC43*Eras!AC$5</f>
        <v/>
      </c>
      <c r="AD46" s="5">
        <f>AD43*Eras!AD$5</f>
        <v/>
      </c>
      <c r="AE46" s="5">
        <f>AE43*Eras!AE$5</f>
        <v/>
      </c>
      <c r="AF46" s="5">
        <f>AF43*Eras!AF$5</f>
        <v/>
      </c>
      <c r="AG46" s="5">
        <f>AG43*Eras!AG$5</f>
        <v/>
      </c>
      <c r="AH46" s="5">
        <f>AH43*Eras!AH$5</f>
        <v/>
      </c>
      <c r="AI46" s="5">
        <f>AI43*Eras!AI$5</f>
        <v/>
      </c>
      <c r="AJ46" s="5">
        <f>AJ43*Eras!AJ$5</f>
        <v/>
      </c>
      <c r="AK46" s="5">
        <f>AK43*Eras!AK$5</f>
        <v/>
      </c>
      <c r="AL46" s="5">
        <f>AL43*Eras!AL$5</f>
        <v/>
      </c>
      <c r="AM46" s="5">
        <f>AM43*Eras!AM$5</f>
        <v/>
      </c>
      <c r="AN46" s="5">
        <f>AN43*Eras!AN$5</f>
        <v/>
      </c>
      <c r="AO46" s="5">
        <f>AO43*Eras!AO$5</f>
        <v/>
      </c>
      <c r="AP46" s="5">
        <f>AP43*Eras!AP$5</f>
        <v/>
      </c>
      <c r="AQ46" s="5">
        <f>AQ43*Eras!AQ$5</f>
        <v/>
      </c>
      <c r="AR46" s="5">
        <f>AR43*Eras!AR$5</f>
        <v/>
      </c>
      <c r="AS46" s="5">
        <f>AS43*Eras!AS$5</f>
        <v/>
      </c>
      <c r="AT46" s="5">
        <f>AT43*Eras!AT$5</f>
        <v/>
      </c>
      <c r="AU46" s="5">
        <f>AU43*Eras!AU$5</f>
        <v/>
      </c>
      <c r="AV46" s="5">
        <f>AV43*Eras!AV$5</f>
        <v/>
      </c>
      <c r="AW46" s="5">
        <f>AW43*Eras!AW$5</f>
        <v/>
      </c>
      <c r="AX46" s="5">
        <f>AX43*Eras!AX$5</f>
        <v/>
      </c>
      <c r="AY46" s="5">
        <f>AY43*Eras!AY$5</f>
        <v/>
      </c>
      <c r="AZ46" s="5">
        <f>AZ43*Eras!AZ$5</f>
        <v/>
      </c>
      <c r="BA46" s="5">
        <f>BA43*Eras!BA$5</f>
        <v/>
      </c>
      <c r="BB46" s="5">
        <f>BB43*Eras!BB$5</f>
        <v/>
      </c>
      <c r="BC46" s="5">
        <f>BC43*Eras!BC$5</f>
        <v/>
      </c>
      <c r="BD46" s="5">
        <f>BD43*Eras!BD$5</f>
        <v/>
      </c>
      <c r="BE46" s="5">
        <f>BE43*Eras!BE$5</f>
        <v/>
      </c>
      <c r="BF46" s="5">
        <f>BF43*Eras!BF$5</f>
        <v/>
      </c>
      <c r="BG46" s="5">
        <f>BG43*Eras!BG$5</f>
        <v/>
      </c>
      <c r="BH46" s="5">
        <f>BH43*Eras!BH$5</f>
        <v/>
      </c>
      <c r="BI46" s="5">
        <f>BI43*Eras!BI$5</f>
        <v/>
      </c>
      <c r="BJ46" s="5">
        <f>BJ43*Eras!BJ$5</f>
        <v/>
      </c>
      <c r="BK46" s="5">
        <f>BK43*Eras!BK$5</f>
        <v/>
      </c>
      <c r="BL46" s="5">
        <f>BL43*Eras!BL$5</f>
        <v/>
      </c>
      <c r="BM46" s="5">
        <f>BM43*Eras!BM$5</f>
        <v/>
      </c>
      <c r="BN46" s="5">
        <f>BN43*Eras!BN$5</f>
        <v/>
      </c>
      <c r="BO46" s="5">
        <f>BO43*Eras!BO$5</f>
        <v/>
      </c>
      <c r="BP46" s="5">
        <f>BP43*Eras!BP$5</f>
        <v/>
      </c>
      <c r="BQ46" s="5">
        <f>BQ43*Eras!BQ$5</f>
        <v/>
      </c>
      <c r="BR46" s="5">
        <f>BR43*Eras!BR$5</f>
        <v/>
      </c>
      <c r="BS46" s="5">
        <f>BS43*Eras!BS$5</f>
        <v/>
      </c>
      <c r="BT46" s="5">
        <f>BT43*Eras!BT$5</f>
        <v/>
      </c>
      <c r="BU46" s="5">
        <f>BU43*Eras!BU$5</f>
        <v/>
      </c>
      <c r="BV46" s="5">
        <f>BV43*Eras!BV$5</f>
        <v/>
      </c>
    </row>
    <row r="48">
      <c r="A48" t="inlineStr">
        <is>
          <t>gross adds</t>
        </is>
      </c>
      <c r="B48" t="inlineStr">
        <is>
          <t>US_CA|BASIC_A</t>
        </is>
      </c>
      <c r="C48" s="5">
        <f>MAU!C4*Params!$B$57*Eras!C$7*Params!$B$130*Params!$B$95</f>
        <v/>
      </c>
      <c r="D48" s="5">
        <f>MAU!D4*Params!$B$57*Eras!D$7*Params!$B$130*Params!$B$95</f>
        <v/>
      </c>
      <c r="E48" s="5">
        <f>MAU!E4*Params!$B$57*Eras!E$7*Params!$B$130*Params!$B$95</f>
        <v/>
      </c>
      <c r="F48" s="5">
        <f>MAU!F4*Params!$B$57*Eras!F$7*Params!$B$130*Params!$B$95</f>
        <v/>
      </c>
      <c r="G48" s="5">
        <f>MAU!G4*Params!$B$57*Eras!G$7*Params!$B$130*Params!$B$95</f>
        <v/>
      </c>
      <c r="H48" s="5">
        <f>MAU!H4*Params!$B$57*Eras!H$7*Params!$B$130*Params!$B$95</f>
        <v/>
      </c>
      <c r="I48" s="5">
        <f>MAU!I4*Params!$B$57*Eras!I$7*Params!$B$130*Params!$B$95</f>
        <v/>
      </c>
      <c r="J48" s="5">
        <f>MAU!J4*Params!$B$57*Eras!J$7*Params!$B$130*Params!$B$95</f>
        <v/>
      </c>
      <c r="K48" s="5">
        <f>MAU!K4*Params!$B$57*Eras!K$7*Params!$B$130*Params!$B$95</f>
        <v/>
      </c>
      <c r="L48" s="5">
        <f>MAU!L4*Params!$B$57*Eras!L$7*Params!$B$130*Params!$B$95</f>
        <v/>
      </c>
      <c r="M48" s="5">
        <f>MAU!M4*Params!$B$57*Eras!M$7*Params!$B$130*Params!$B$95</f>
        <v/>
      </c>
      <c r="N48" s="5">
        <f>MAU!N4*Params!$B$57*Eras!N$7*Params!$B$130*Params!$B$95</f>
        <v/>
      </c>
      <c r="O48" s="5">
        <f>MAU!O4*Params!$B$57*Eras!O$7*Params!$B$130*Params!$B$95</f>
        <v/>
      </c>
      <c r="P48" s="5">
        <f>MAU!P4*Params!$B$57*Eras!P$7*Params!$B$130*Params!$B$95</f>
        <v/>
      </c>
      <c r="Q48" s="5">
        <f>MAU!Q4*Params!$B$57*Eras!Q$7*Params!$B$130*Params!$B$95</f>
        <v/>
      </c>
      <c r="R48" s="5">
        <f>MAU!R4*Params!$B$57*Eras!R$7*Params!$B$130*Params!$B$95</f>
        <v/>
      </c>
      <c r="S48" s="5">
        <f>MAU!S4*Params!$B$57*Eras!S$7*Params!$B$130*Params!$B$95</f>
        <v/>
      </c>
      <c r="T48" s="5">
        <f>MAU!T4*Params!$B$57*Eras!T$7*Params!$B$130*Params!$B$95</f>
        <v/>
      </c>
      <c r="U48" s="5">
        <f>MAU!U4*Params!$B$57*Eras!U$7*Params!$B$130*Params!$B$95</f>
        <v/>
      </c>
      <c r="V48" s="5">
        <f>MAU!V4*Params!$B$57*Eras!V$7*Params!$B$130*Params!$B$95</f>
        <v/>
      </c>
      <c r="W48" s="5">
        <f>MAU!W4*Params!$B$57*Eras!W$7*Params!$B$130*Params!$B$95</f>
        <v/>
      </c>
      <c r="X48" s="5">
        <f>MAU!X4*Params!$B$57*Eras!X$7*Params!$B$130*Params!$B$95</f>
        <v/>
      </c>
      <c r="Y48" s="5">
        <f>MAU!Y4*Params!$B$57*Eras!Y$7*Params!$B$130*Params!$B$95</f>
        <v/>
      </c>
      <c r="Z48" s="5">
        <f>MAU!Z4*Params!$B$57*Eras!Z$7*Params!$B$130*Params!$B$95</f>
        <v/>
      </c>
      <c r="AA48" s="5">
        <f>MAU!AA4*Params!$B$57*Eras!AA$7*Params!$B$130*Params!$B$95</f>
        <v/>
      </c>
      <c r="AB48" s="5">
        <f>MAU!AB4*Params!$B$57*Eras!AB$7*Params!$B$130*Params!$B$95</f>
        <v/>
      </c>
      <c r="AC48" s="5">
        <f>MAU!AC4*Params!$B$57*Eras!AC$7*Params!$B$130*Params!$B$95</f>
        <v/>
      </c>
      <c r="AD48" s="5">
        <f>MAU!AD4*Params!$B$57*Eras!AD$7*Params!$B$130*Params!$B$95</f>
        <v/>
      </c>
      <c r="AE48" s="5">
        <f>MAU!AE4*Params!$B$57*Eras!AE$7*Params!$B$130*Params!$B$95</f>
        <v/>
      </c>
      <c r="AF48" s="5">
        <f>MAU!AF4*Params!$B$57*Eras!AF$7*Params!$B$130*Params!$B$95</f>
        <v/>
      </c>
      <c r="AG48" s="5">
        <f>MAU!AG4*Params!$B$57*Eras!AG$7*Params!$B$130*Params!$B$95</f>
        <v/>
      </c>
      <c r="AH48" s="5">
        <f>MAU!AH4*Params!$B$57*Eras!AH$7*Params!$B$130*Params!$B$95</f>
        <v/>
      </c>
      <c r="AI48" s="5">
        <f>MAU!AI4*Params!$B$57*Eras!AI$7*Params!$B$130*Params!$B$95</f>
        <v/>
      </c>
      <c r="AJ48" s="5">
        <f>MAU!AJ4*Params!$B$57*Eras!AJ$7*Params!$B$130*Params!$B$95</f>
        <v/>
      </c>
      <c r="AK48" s="5">
        <f>MAU!AK4*Params!$B$57*Eras!AK$7*Params!$B$130*Params!$B$95</f>
        <v/>
      </c>
      <c r="AL48" s="5">
        <f>MAU!AL4*Params!$B$57*Eras!AL$7*Params!$B$130*Params!$B$95</f>
        <v/>
      </c>
      <c r="AM48" s="5">
        <f>MAU!AM4*Params!$B$57*Eras!AM$7*Params!$B$130*Params!$B$95</f>
        <v/>
      </c>
      <c r="AN48" s="5">
        <f>MAU!AN4*Params!$B$57*Eras!AN$7*Params!$B$130*Params!$B$95</f>
        <v/>
      </c>
      <c r="AO48" s="5">
        <f>MAU!AO4*Params!$B$57*Eras!AO$7*Params!$B$130*Params!$B$95</f>
        <v/>
      </c>
      <c r="AP48" s="5">
        <f>MAU!AP4*Params!$B$57*Eras!AP$7*Params!$B$130*Params!$B$95</f>
        <v/>
      </c>
      <c r="AQ48" s="5">
        <f>MAU!AQ4*Params!$B$57*Eras!AQ$7*Params!$B$130*Params!$B$95</f>
        <v/>
      </c>
      <c r="AR48" s="5">
        <f>MAU!AR4*Params!$B$57*Eras!AR$7*Params!$B$130*Params!$B$95</f>
        <v/>
      </c>
      <c r="AS48" s="5">
        <f>MAU!AS4*Params!$B$57*Eras!AS$7*Params!$B$130*Params!$B$95</f>
        <v/>
      </c>
      <c r="AT48" s="5">
        <f>MAU!AT4*Params!$B$57*Eras!AT$7*Params!$B$130*Params!$B$95</f>
        <v/>
      </c>
      <c r="AU48" s="5">
        <f>MAU!AU4*Params!$B$57*Eras!AU$7*Params!$B$130*Params!$B$95</f>
        <v/>
      </c>
      <c r="AV48" s="5">
        <f>MAU!AV4*Params!$B$57*Eras!AV$7*Params!$B$130*Params!$B$95</f>
        <v/>
      </c>
      <c r="AW48" s="5">
        <f>MAU!AW4*Params!$B$57*Eras!AW$7*Params!$B$130*Params!$B$95</f>
        <v/>
      </c>
      <c r="AX48" s="5">
        <f>MAU!AX4*Params!$B$57*Eras!AX$7*Params!$B$130*Params!$B$95</f>
        <v/>
      </c>
      <c r="AY48" s="5">
        <f>MAU!AY4*Params!$B$57*Eras!AY$7*Params!$B$130*Params!$B$95</f>
        <v/>
      </c>
      <c r="AZ48" s="5">
        <f>MAU!AZ4*Params!$B$57*Eras!AZ$7*Params!$B$130*Params!$B$95</f>
        <v/>
      </c>
      <c r="BA48" s="5">
        <f>MAU!BA4*Params!$B$57*Eras!BA$7*Params!$B$130*Params!$B$95</f>
        <v/>
      </c>
      <c r="BB48" s="5">
        <f>MAU!BB4*Params!$B$57*Eras!BB$7*Params!$B$130*Params!$B$95</f>
        <v/>
      </c>
      <c r="BC48" s="5">
        <f>MAU!BC4*Params!$B$57*Eras!BC$7*Params!$B$130*Params!$B$95</f>
        <v/>
      </c>
      <c r="BD48" s="5">
        <f>MAU!BD4*Params!$B$57*Eras!BD$7*Params!$B$130*Params!$B$95</f>
        <v/>
      </c>
      <c r="BE48" s="5">
        <f>MAU!BE4*Params!$B$57*Eras!BE$7*Params!$B$130*Params!$B$95</f>
        <v/>
      </c>
      <c r="BF48" s="5">
        <f>MAU!BF4*Params!$B$57*Eras!BF$7*Params!$B$130*Params!$B$95</f>
        <v/>
      </c>
      <c r="BG48" s="5">
        <f>MAU!BG4*Params!$B$57*Eras!BG$7*Params!$B$130*Params!$B$95</f>
        <v/>
      </c>
      <c r="BH48" s="5">
        <f>MAU!BH4*Params!$B$57*Eras!BH$7*Params!$B$130*Params!$B$95</f>
        <v/>
      </c>
      <c r="BI48" s="5">
        <f>MAU!BI4*Params!$B$57*Eras!BI$7*Params!$B$130*Params!$B$95</f>
        <v/>
      </c>
      <c r="BJ48" s="5">
        <f>MAU!BJ4*Params!$B$57*Eras!BJ$7*Params!$B$130*Params!$B$95</f>
        <v/>
      </c>
      <c r="BK48" s="5">
        <f>MAU!BK4*Params!$B$57*Eras!BK$7*Params!$B$130*Params!$B$95</f>
        <v/>
      </c>
      <c r="BL48" s="5">
        <f>MAU!BL4*Params!$B$57*Eras!BL$7*Params!$B$130*Params!$B$95</f>
        <v/>
      </c>
      <c r="BM48" s="5">
        <f>MAU!BM4*Params!$B$57*Eras!BM$7*Params!$B$130*Params!$B$95</f>
        <v/>
      </c>
      <c r="BN48" s="5">
        <f>MAU!BN4*Params!$B$57*Eras!BN$7*Params!$B$130*Params!$B$95</f>
        <v/>
      </c>
      <c r="BO48" s="5">
        <f>MAU!BO4*Params!$B$57*Eras!BO$7*Params!$B$130*Params!$B$95</f>
        <v/>
      </c>
      <c r="BP48" s="5">
        <f>MAU!BP4*Params!$B$57*Eras!BP$7*Params!$B$130*Params!$B$95</f>
        <v/>
      </c>
      <c r="BQ48" s="5">
        <f>MAU!BQ4*Params!$B$57*Eras!BQ$7*Params!$B$130*Params!$B$95</f>
        <v/>
      </c>
      <c r="BR48" s="5">
        <f>MAU!BR4*Params!$B$57*Eras!BR$7*Params!$B$130*Params!$B$95</f>
        <v/>
      </c>
      <c r="BS48" s="5">
        <f>MAU!BS4*Params!$B$57*Eras!BS$7*Params!$B$130*Params!$B$95</f>
        <v/>
      </c>
      <c r="BT48" s="5">
        <f>MAU!BT4*Params!$B$57*Eras!BT$7*Params!$B$130*Params!$B$95</f>
        <v/>
      </c>
      <c r="BU48" s="5">
        <f>MAU!BU4*Params!$B$57*Eras!BU$7*Params!$B$130*Params!$B$95</f>
        <v/>
      </c>
      <c r="BV48" s="5">
        <f>MAU!BV4*Params!$B$57*Eras!BV$7*Params!$B$130*Params!$B$95</f>
        <v/>
      </c>
    </row>
    <row r="49">
      <c r="A49" t="inlineStr">
        <is>
          <t>trial starts</t>
        </is>
      </c>
      <c r="B49" t="inlineStr">
        <is>
          <t>US_CA|BASIC_A</t>
        </is>
      </c>
      <c r="C49" s="5">
        <f>C48*Eras!C$8</f>
        <v/>
      </c>
      <c r="D49" s="5">
        <f>D48*Eras!D$8</f>
        <v/>
      </c>
      <c r="E49" s="5">
        <f>E48*Eras!E$8</f>
        <v/>
      </c>
      <c r="F49" s="5">
        <f>F48*Eras!F$8</f>
        <v/>
      </c>
      <c r="G49" s="5">
        <f>G48*Eras!G$8</f>
        <v/>
      </c>
      <c r="H49" s="5">
        <f>H48*Eras!H$8</f>
        <v/>
      </c>
      <c r="I49" s="5">
        <f>I48*Eras!I$8</f>
        <v/>
      </c>
      <c r="J49" s="5">
        <f>J48*Eras!J$8</f>
        <v/>
      </c>
      <c r="K49" s="5">
        <f>K48*Eras!K$8</f>
        <v/>
      </c>
      <c r="L49" s="5">
        <f>L48*Eras!L$8</f>
        <v/>
      </c>
      <c r="M49" s="5">
        <f>M48*Eras!M$8</f>
        <v/>
      </c>
      <c r="N49" s="5">
        <f>N48*Eras!N$8</f>
        <v/>
      </c>
      <c r="O49" s="5">
        <f>O48*Eras!O$8</f>
        <v/>
      </c>
      <c r="P49" s="5">
        <f>P48*Eras!P$8</f>
        <v/>
      </c>
      <c r="Q49" s="5">
        <f>Q48*Eras!Q$8</f>
        <v/>
      </c>
      <c r="R49" s="5">
        <f>R48*Eras!R$8</f>
        <v/>
      </c>
      <c r="S49" s="5">
        <f>S48*Eras!S$8</f>
        <v/>
      </c>
      <c r="T49" s="5">
        <f>T48*Eras!T$8</f>
        <v/>
      </c>
      <c r="U49" s="5">
        <f>U48*Eras!U$8</f>
        <v/>
      </c>
      <c r="V49" s="5">
        <f>V48*Eras!V$8</f>
        <v/>
      </c>
      <c r="W49" s="5">
        <f>W48*Eras!W$8</f>
        <v/>
      </c>
      <c r="X49" s="5">
        <f>X48*Eras!X$8</f>
        <v/>
      </c>
      <c r="Y49" s="5">
        <f>Y48*Eras!Y$8</f>
        <v/>
      </c>
      <c r="Z49" s="5">
        <f>Z48*Eras!Z$8</f>
        <v/>
      </c>
      <c r="AA49" s="5">
        <f>AA48*Eras!AA$8</f>
        <v/>
      </c>
      <c r="AB49" s="5">
        <f>AB48*Eras!AB$8</f>
        <v/>
      </c>
      <c r="AC49" s="5">
        <f>AC48*Eras!AC$8</f>
        <v/>
      </c>
      <c r="AD49" s="5">
        <f>AD48*Eras!AD$8</f>
        <v/>
      </c>
      <c r="AE49" s="5">
        <f>AE48*Eras!AE$8</f>
        <v/>
      </c>
      <c r="AF49" s="5">
        <f>AF48*Eras!AF$8</f>
        <v/>
      </c>
      <c r="AG49" s="5">
        <f>AG48*Eras!AG$8</f>
        <v/>
      </c>
      <c r="AH49" s="5">
        <f>AH48*Eras!AH$8</f>
        <v/>
      </c>
      <c r="AI49" s="5">
        <f>AI48*Eras!AI$8</f>
        <v/>
      </c>
      <c r="AJ49" s="5">
        <f>AJ48*Eras!AJ$8</f>
        <v/>
      </c>
      <c r="AK49" s="5">
        <f>AK48*Eras!AK$8</f>
        <v/>
      </c>
      <c r="AL49" s="5">
        <f>AL48*Eras!AL$8</f>
        <v/>
      </c>
      <c r="AM49" s="5">
        <f>AM48*Eras!AM$8</f>
        <v/>
      </c>
      <c r="AN49" s="5">
        <f>AN48*Eras!AN$8</f>
        <v/>
      </c>
      <c r="AO49" s="5">
        <f>AO48*Eras!AO$8</f>
        <v/>
      </c>
      <c r="AP49" s="5">
        <f>AP48*Eras!AP$8</f>
        <v/>
      </c>
      <c r="AQ49" s="5">
        <f>AQ48*Eras!AQ$8</f>
        <v/>
      </c>
      <c r="AR49" s="5">
        <f>AR48*Eras!AR$8</f>
        <v/>
      </c>
      <c r="AS49" s="5">
        <f>AS48*Eras!AS$8</f>
        <v/>
      </c>
      <c r="AT49" s="5">
        <f>AT48*Eras!AT$8</f>
        <v/>
      </c>
      <c r="AU49" s="5">
        <f>AU48*Eras!AU$8</f>
        <v/>
      </c>
      <c r="AV49" s="5">
        <f>AV48*Eras!AV$8</f>
        <v/>
      </c>
      <c r="AW49" s="5">
        <f>AW48*Eras!AW$8</f>
        <v/>
      </c>
      <c r="AX49" s="5">
        <f>AX48*Eras!AX$8</f>
        <v/>
      </c>
      <c r="AY49" s="5">
        <f>AY48*Eras!AY$8</f>
        <v/>
      </c>
      <c r="AZ49" s="5">
        <f>AZ48*Eras!AZ$8</f>
        <v/>
      </c>
      <c r="BA49" s="5">
        <f>BA48*Eras!BA$8</f>
        <v/>
      </c>
      <c r="BB49" s="5">
        <f>BB48*Eras!BB$8</f>
        <v/>
      </c>
      <c r="BC49" s="5">
        <f>BC48*Eras!BC$8</f>
        <v/>
      </c>
      <c r="BD49" s="5">
        <f>BD48*Eras!BD$8</f>
        <v/>
      </c>
      <c r="BE49" s="5">
        <f>BE48*Eras!BE$8</f>
        <v/>
      </c>
      <c r="BF49" s="5">
        <f>BF48*Eras!BF$8</f>
        <v/>
      </c>
      <c r="BG49" s="5">
        <f>BG48*Eras!BG$8</f>
        <v/>
      </c>
      <c r="BH49" s="5">
        <f>BH48*Eras!BH$8</f>
        <v/>
      </c>
      <c r="BI49" s="5">
        <f>BI48*Eras!BI$8</f>
        <v/>
      </c>
      <c r="BJ49" s="5">
        <f>BJ48*Eras!BJ$8</f>
        <v/>
      </c>
      <c r="BK49" s="5">
        <f>BK48*Eras!BK$8</f>
        <v/>
      </c>
      <c r="BL49" s="5">
        <f>BL48*Eras!BL$8</f>
        <v/>
      </c>
      <c r="BM49" s="5">
        <f>BM48*Eras!BM$8</f>
        <v/>
      </c>
      <c r="BN49" s="5">
        <f>BN48*Eras!BN$8</f>
        <v/>
      </c>
      <c r="BO49" s="5">
        <f>BO48*Eras!BO$8</f>
        <v/>
      </c>
      <c r="BP49" s="5">
        <f>BP48*Eras!BP$8</f>
        <v/>
      </c>
      <c r="BQ49" s="5">
        <f>BQ48*Eras!BQ$8</f>
        <v/>
      </c>
      <c r="BR49" s="5">
        <f>BR48*Eras!BR$8</f>
        <v/>
      </c>
      <c r="BS49" s="5">
        <f>BS48*Eras!BS$8</f>
        <v/>
      </c>
      <c r="BT49" s="5">
        <f>BT48*Eras!BT$8</f>
        <v/>
      </c>
      <c r="BU49" s="5">
        <f>BU48*Eras!BU$8</f>
        <v/>
      </c>
      <c r="BV49" s="5">
        <f>BV48*Eras!BV$8</f>
        <v/>
      </c>
    </row>
    <row r="50">
      <c r="A50" t="inlineStr">
        <is>
          <t>direct paid starts</t>
        </is>
      </c>
      <c r="B50" t="inlineStr">
        <is>
          <t>US_CA|BASIC_A</t>
        </is>
      </c>
      <c r="C50" s="5">
        <f>C48-C49</f>
        <v/>
      </c>
      <c r="D50" s="5">
        <f>D48-D49</f>
        <v/>
      </c>
      <c r="E50" s="5">
        <f>E48-E49</f>
        <v/>
      </c>
      <c r="F50" s="5">
        <f>F48-F49</f>
        <v/>
      </c>
      <c r="G50" s="5">
        <f>G48-G49</f>
        <v/>
      </c>
      <c r="H50" s="5">
        <f>H48-H49</f>
        <v/>
      </c>
      <c r="I50" s="5">
        <f>I48-I49</f>
        <v/>
      </c>
      <c r="J50" s="5">
        <f>J48-J49</f>
        <v/>
      </c>
      <c r="K50" s="5">
        <f>K48-K49</f>
        <v/>
      </c>
      <c r="L50" s="5">
        <f>L48-L49</f>
        <v/>
      </c>
      <c r="M50" s="5">
        <f>M48-M49</f>
        <v/>
      </c>
      <c r="N50" s="5">
        <f>N48-N49</f>
        <v/>
      </c>
      <c r="O50" s="5">
        <f>O48-O49</f>
        <v/>
      </c>
      <c r="P50" s="5">
        <f>P48-P49</f>
        <v/>
      </c>
      <c r="Q50" s="5">
        <f>Q48-Q49</f>
        <v/>
      </c>
      <c r="R50" s="5">
        <f>R48-R49</f>
        <v/>
      </c>
      <c r="S50" s="5">
        <f>S48-S49</f>
        <v/>
      </c>
      <c r="T50" s="5">
        <f>T48-T49</f>
        <v/>
      </c>
      <c r="U50" s="5">
        <f>U48-U49</f>
        <v/>
      </c>
      <c r="V50" s="5">
        <f>V48-V49</f>
        <v/>
      </c>
      <c r="W50" s="5">
        <f>W48-W49</f>
        <v/>
      </c>
      <c r="X50" s="5">
        <f>X48-X49</f>
        <v/>
      </c>
      <c r="Y50" s="5">
        <f>Y48-Y49</f>
        <v/>
      </c>
      <c r="Z50" s="5">
        <f>Z48-Z49</f>
        <v/>
      </c>
      <c r="AA50" s="5">
        <f>AA48-AA49</f>
        <v/>
      </c>
      <c r="AB50" s="5">
        <f>AB48-AB49</f>
        <v/>
      </c>
      <c r="AC50" s="5">
        <f>AC48-AC49</f>
        <v/>
      </c>
      <c r="AD50" s="5">
        <f>AD48-AD49</f>
        <v/>
      </c>
      <c r="AE50" s="5">
        <f>AE48-AE49</f>
        <v/>
      </c>
      <c r="AF50" s="5">
        <f>AF48-AF49</f>
        <v/>
      </c>
      <c r="AG50" s="5">
        <f>AG48-AG49</f>
        <v/>
      </c>
      <c r="AH50" s="5">
        <f>AH48-AH49</f>
        <v/>
      </c>
      <c r="AI50" s="5">
        <f>AI48-AI49</f>
        <v/>
      </c>
      <c r="AJ50" s="5">
        <f>AJ48-AJ49</f>
        <v/>
      </c>
      <c r="AK50" s="5">
        <f>AK48-AK49</f>
        <v/>
      </c>
      <c r="AL50" s="5">
        <f>AL48-AL49</f>
        <v/>
      </c>
      <c r="AM50" s="5">
        <f>AM48-AM49</f>
        <v/>
      </c>
      <c r="AN50" s="5">
        <f>AN48-AN49</f>
        <v/>
      </c>
      <c r="AO50" s="5">
        <f>AO48-AO49</f>
        <v/>
      </c>
      <c r="AP50" s="5">
        <f>AP48-AP49</f>
        <v/>
      </c>
      <c r="AQ50" s="5">
        <f>AQ48-AQ49</f>
        <v/>
      </c>
      <c r="AR50" s="5">
        <f>AR48-AR49</f>
        <v/>
      </c>
      <c r="AS50" s="5">
        <f>AS48-AS49</f>
        <v/>
      </c>
      <c r="AT50" s="5">
        <f>AT48-AT49</f>
        <v/>
      </c>
      <c r="AU50" s="5">
        <f>AU48-AU49</f>
        <v/>
      </c>
      <c r="AV50" s="5">
        <f>AV48-AV49</f>
        <v/>
      </c>
      <c r="AW50" s="5">
        <f>AW48-AW49</f>
        <v/>
      </c>
      <c r="AX50" s="5">
        <f>AX48-AX49</f>
        <v/>
      </c>
      <c r="AY50" s="5">
        <f>AY48-AY49</f>
        <v/>
      </c>
      <c r="AZ50" s="5">
        <f>AZ48-AZ49</f>
        <v/>
      </c>
      <c r="BA50" s="5">
        <f>BA48-BA49</f>
        <v/>
      </c>
      <c r="BB50" s="5">
        <f>BB48-BB49</f>
        <v/>
      </c>
      <c r="BC50" s="5">
        <f>BC48-BC49</f>
        <v/>
      </c>
      <c r="BD50" s="5">
        <f>BD48-BD49</f>
        <v/>
      </c>
      <c r="BE50" s="5">
        <f>BE48-BE49</f>
        <v/>
      </c>
      <c r="BF50" s="5">
        <f>BF48-BF49</f>
        <v/>
      </c>
      <c r="BG50" s="5">
        <f>BG48-BG49</f>
        <v/>
      </c>
      <c r="BH50" s="5">
        <f>BH48-BH49</f>
        <v/>
      </c>
      <c r="BI50" s="5">
        <f>BI48-BI49</f>
        <v/>
      </c>
      <c r="BJ50" s="5">
        <f>BJ48-BJ49</f>
        <v/>
      </c>
      <c r="BK50" s="5">
        <f>BK48-BK49</f>
        <v/>
      </c>
      <c r="BL50" s="5">
        <f>BL48-BL49</f>
        <v/>
      </c>
      <c r="BM50" s="5">
        <f>BM48-BM49</f>
        <v/>
      </c>
      <c r="BN50" s="5">
        <f>BN48-BN49</f>
        <v/>
      </c>
      <c r="BO50" s="5">
        <f>BO48-BO49</f>
        <v/>
      </c>
      <c r="BP50" s="5">
        <f>BP48-BP49</f>
        <v/>
      </c>
      <c r="BQ50" s="5">
        <f>BQ48-BQ49</f>
        <v/>
      </c>
      <c r="BR50" s="5">
        <f>BR48-BR49</f>
        <v/>
      </c>
      <c r="BS50" s="5">
        <f>BS48-BS49</f>
        <v/>
      </c>
      <c r="BT50" s="5">
        <f>BT48-BT49</f>
        <v/>
      </c>
      <c r="BU50" s="5">
        <f>BU48-BU49</f>
        <v/>
      </c>
      <c r="BV50" s="5">
        <f>BV48-BV49</f>
        <v/>
      </c>
    </row>
    <row r="51">
      <c r="A51" t="inlineStr">
        <is>
          <t>trials ending</t>
        </is>
      </c>
      <c r="B51" t="inlineStr">
        <is>
          <t>US_CA|BASIC_A</t>
        </is>
      </c>
      <c r="C51" s="5">
        <f>IF(C$2&gt;=Params!$B$6,INDEX($C$49:$BV$49,C$2-Params!$B$6+1),0)</f>
        <v/>
      </c>
      <c r="D51" s="5">
        <f>IF(D$2&gt;=Params!$B$6,INDEX($C$49:$BV$49,D$2-Params!$B$6+1),0)</f>
        <v/>
      </c>
      <c r="E51" s="5">
        <f>IF(E$2&gt;=Params!$B$6,INDEX($C$49:$BV$49,E$2-Params!$B$6+1),0)</f>
        <v/>
      </c>
      <c r="F51" s="5">
        <f>IF(F$2&gt;=Params!$B$6,INDEX($C$49:$BV$49,F$2-Params!$B$6+1),0)</f>
        <v/>
      </c>
      <c r="G51" s="5">
        <f>IF(G$2&gt;=Params!$B$6,INDEX($C$49:$BV$49,G$2-Params!$B$6+1),0)</f>
        <v/>
      </c>
      <c r="H51" s="5">
        <f>IF(H$2&gt;=Params!$B$6,INDEX($C$49:$BV$49,H$2-Params!$B$6+1),0)</f>
        <v/>
      </c>
      <c r="I51" s="5">
        <f>IF(I$2&gt;=Params!$B$6,INDEX($C$49:$BV$49,I$2-Params!$B$6+1),0)</f>
        <v/>
      </c>
      <c r="J51" s="5">
        <f>IF(J$2&gt;=Params!$B$6,INDEX($C$49:$BV$49,J$2-Params!$B$6+1),0)</f>
        <v/>
      </c>
      <c r="K51" s="5">
        <f>IF(K$2&gt;=Params!$B$6,INDEX($C$49:$BV$49,K$2-Params!$B$6+1),0)</f>
        <v/>
      </c>
      <c r="L51" s="5">
        <f>IF(L$2&gt;=Params!$B$6,INDEX($C$49:$BV$49,L$2-Params!$B$6+1),0)</f>
        <v/>
      </c>
      <c r="M51" s="5">
        <f>IF(M$2&gt;=Params!$B$6,INDEX($C$49:$BV$49,M$2-Params!$B$6+1),0)</f>
        <v/>
      </c>
      <c r="N51" s="5">
        <f>IF(N$2&gt;=Params!$B$6,INDEX($C$49:$BV$49,N$2-Params!$B$6+1),0)</f>
        <v/>
      </c>
      <c r="O51" s="5">
        <f>IF(O$2&gt;=Params!$B$6,INDEX($C$49:$BV$49,O$2-Params!$B$6+1),0)</f>
        <v/>
      </c>
      <c r="P51" s="5">
        <f>IF(P$2&gt;=Params!$B$6,INDEX($C$49:$BV$49,P$2-Params!$B$6+1),0)</f>
        <v/>
      </c>
      <c r="Q51" s="5">
        <f>IF(Q$2&gt;=Params!$B$6,INDEX($C$49:$BV$49,Q$2-Params!$B$6+1),0)</f>
        <v/>
      </c>
      <c r="R51" s="5">
        <f>IF(R$2&gt;=Params!$B$6,INDEX($C$49:$BV$49,R$2-Params!$B$6+1),0)</f>
        <v/>
      </c>
      <c r="S51" s="5">
        <f>IF(S$2&gt;=Params!$B$6,INDEX($C$49:$BV$49,S$2-Params!$B$6+1),0)</f>
        <v/>
      </c>
      <c r="T51" s="5">
        <f>IF(T$2&gt;=Params!$B$6,INDEX($C$49:$BV$49,T$2-Params!$B$6+1),0)</f>
        <v/>
      </c>
      <c r="U51" s="5">
        <f>IF(U$2&gt;=Params!$B$6,INDEX($C$49:$BV$49,U$2-Params!$B$6+1),0)</f>
        <v/>
      </c>
      <c r="V51" s="5">
        <f>IF(V$2&gt;=Params!$B$6,INDEX($C$49:$BV$49,V$2-Params!$B$6+1),0)</f>
        <v/>
      </c>
      <c r="W51" s="5">
        <f>IF(W$2&gt;=Params!$B$6,INDEX($C$49:$BV$49,W$2-Params!$B$6+1),0)</f>
        <v/>
      </c>
      <c r="X51" s="5">
        <f>IF(X$2&gt;=Params!$B$6,INDEX($C$49:$BV$49,X$2-Params!$B$6+1),0)</f>
        <v/>
      </c>
      <c r="Y51" s="5">
        <f>IF(Y$2&gt;=Params!$B$6,INDEX($C$49:$BV$49,Y$2-Params!$B$6+1),0)</f>
        <v/>
      </c>
      <c r="Z51" s="5">
        <f>IF(Z$2&gt;=Params!$B$6,INDEX($C$49:$BV$49,Z$2-Params!$B$6+1),0)</f>
        <v/>
      </c>
      <c r="AA51" s="5">
        <f>IF(AA$2&gt;=Params!$B$6,INDEX($C$49:$BV$49,AA$2-Params!$B$6+1),0)</f>
        <v/>
      </c>
      <c r="AB51" s="5">
        <f>IF(AB$2&gt;=Params!$B$6,INDEX($C$49:$BV$49,AB$2-Params!$B$6+1),0)</f>
        <v/>
      </c>
      <c r="AC51" s="5">
        <f>IF(AC$2&gt;=Params!$B$6,INDEX($C$49:$BV$49,AC$2-Params!$B$6+1),0)</f>
        <v/>
      </c>
      <c r="AD51" s="5">
        <f>IF(AD$2&gt;=Params!$B$6,INDEX($C$49:$BV$49,AD$2-Params!$B$6+1),0)</f>
        <v/>
      </c>
      <c r="AE51" s="5">
        <f>IF(AE$2&gt;=Params!$B$6,INDEX($C$49:$BV$49,AE$2-Params!$B$6+1),0)</f>
        <v/>
      </c>
      <c r="AF51" s="5">
        <f>IF(AF$2&gt;=Params!$B$6,INDEX($C$49:$BV$49,AF$2-Params!$B$6+1),0)</f>
        <v/>
      </c>
      <c r="AG51" s="5">
        <f>IF(AG$2&gt;=Params!$B$6,INDEX($C$49:$BV$49,AG$2-Params!$B$6+1),0)</f>
        <v/>
      </c>
      <c r="AH51" s="5">
        <f>IF(AH$2&gt;=Params!$B$6,INDEX($C$49:$BV$49,AH$2-Params!$B$6+1),0)</f>
        <v/>
      </c>
      <c r="AI51" s="5">
        <f>IF(AI$2&gt;=Params!$B$6,INDEX($C$49:$BV$49,AI$2-Params!$B$6+1),0)</f>
        <v/>
      </c>
      <c r="AJ51" s="5">
        <f>IF(AJ$2&gt;=Params!$B$6,INDEX($C$49:$BV$49,AJ$2-Params!$B$6+1),0)</f>
        <v/>
      </c>
      <c r="AK51" s="5">
        <f>IF(AK$2&gt;=Params!$B$6,INDEX($C$49:$BV$49,AK$2-Params!$B$6+1),0)</f>
        <v/>
      </c>
      <c r="AL51" s="5">
        <f>IF(AL$2&gt;=Params!$B$6,INDEX($C$49:$BV$49,AL$2-Params!$B$6+1),0)</f>
        <v/>
      </c>
      <c r="AM51" s="5">
        <f>IF(AM$2&gt;=Params!$B$6,INDEX($C$49:$BV$49,AM$2-Params!$B$6+1),0)</f>
        <v/>
      </c>
      <c r="AN51" s="5">
        <f>IF(AN$2&gt;=Params!$B$6,INDEX($C$49:$BV$49,AN$2-Params!$B$6+1),0)</f>
        <v/>
      </c>
      <c r="AO51" s="5">
        <f>IF(AO$2&gt;=Params!$B$6,INDEX($C$49:$BV$49,AO$2-Params!$B$6+1),0)</f>
        <v/>
      </c>
      <c r="AP51" s="5">
        <f>IF(AP$2&gt;=Params!$B$6,INDEX($C$49:$BV$49,AP$2-Params!$B$6+1),0)</f>
        <v/>
      </c>
      <c r="AQ51" s="5">
        <f>IF(AQ$2&gt;=Params!$B$6,INDEX($C$49:$BV$49,AQ$2-Params!$B$6+1),0)</f>
        <v/>
      </c>
      <c r="AR51" s="5">
        <f>IF(AR$2&gt;=Params!$B$6,INDEX($C$49:$BV$49,AR$2-Params!$B$6+1),0)</f>
        <v/>
      </c>
      <c r="AS51" s="5">
        <f>IF(AS$2&gt;=Params!$B$6,INDEX($C$49:$BV$49,AS$2-Params!$B$6+1),0)</f>
        <v/>
      </c>
      <c r="AT51" s="5">
        <f>IF(AT$2&gt;=Params!$B$6,INDEX($C$49:$BV$49,AT$2-Params!$B$6+1),0)</f>
        <v/>
      </c>
      <c r="AU51" s="5">
        <f>IF(AU$2&gt;=Params!$B$6,INDEX($C$49:$BV$49,AU$2-Params!$B$6+1),0)</f>
        <v/>
      </c>
      <c r="AV51" s="5">
        <f>IF(AV$2&gt;=Params!$B$6,INDEX($C$49:$BV$49,AV$2-Params!$B$6+1),0)</f>
        <v/>
      </c>
      <c r="AW51" s="5">
        <f>IF(AW$2&gt;=Params!$B$6,INDEX($C$49:$BV$49,AW$2-Params!$B$6+1),0)</f>
        <v/>
      </c>
      <c r="AX51" s="5">
        <f>IF(AX$2&gt;=Params!$B$6,INDEX($C$49:$BV$49,AX$2-Params!$B$6+1),0)</f>
        <v/>
      </c>
      <c r="AY51" s="5">
        <f>IF(AY$2&gt;=Params!$B$6,INDEX($C$49:$BV$49,AY$2-Params!$B$6+1),0)</f>
        <v/>
      </c>
      <c r="AZ51" s="5">
        <f>IF(AZ$2&gt;=Params!$B$6,INDEX($C$49:$BV$49,AZ$2-Params!$B$6+1),0)</f>
        <v/>
      </c>
      <c r="BA51" s="5">
        <f>IF(BA$2&gt;=Params!$B$6,INDEX($C$49:$BV$49,BA$2-Params!$B$6+1),0)</f>
        <v/>
      </c>
      <c r="BB51" s="5">
        <f>IF(BB$2&gt;=Params!$B$6,INDEX($C$49:$BV$49,BB$2-Params!$B$6+1),0)</f>
        <v/>
      </c>
      <c r="BC51" s="5">
        <f>IF(BC$2&gt;=Params!$B$6,INDEX($C$49:$BV$49,BC$2-Params!$B$6+1),0)</f>
        <v/>
      </c>
      <c r="BD51" s="5">
        <f>IF(BD$2&gt;=Params!$B$6,INDEX($C$49:$BV$49,BD$2-Params!$B$6+1),0)</f>
        <v/>
      </c>
      <c r="BE51" s="5">
        <f>IF(BE$2&gt;=Params!$B$6,INDEX($C$49:$BV$49,BE$2-Params!$B$6+1),0)</f>
        <v/>
      </c>
      <c r="BF51" s="5">
        <f>IF(BF$2&gt;=Params!$B$6,INDEX($C$49:$BV$49,BF$2-Params!$B$6+1),0)</f>
        <v/>
      </c>
      <c r="BG51" s="5">
        <f>IF(BG$2&gt;=Params!$B$6,INDEX($C$49:$BV$49,BG$2-Params!$B$6+1),0)</f>
        <v/>
      </c>
      <c r="BH51" s="5">
        <f>IF(BH$2&gt;=Params!$B$6,INDEX($C$49:$BV$49,BH$2-Params!$B$6+1),0)</f>
        <v/>
      </c>
      <c r="BI51" s="5">
        <f>IF(BI$2&gt;=Params!$B$6,INDEX($C$49:$BV$49,BI$2-Params!$B$6+1),0)</f>
        <v/>
      </c>
      <c r="BJ51" s="5">
        <f>IF(BJ$2&gt;=Params!$B$6,INDEX($C$49:$BV$49,BJ$2-Params!$B$6+1),0)</f>
        <v/>
      </c>
      <c r="BK51" s="5">
        <f>IF(BK$2&gt;=Params!$B$6,INDEX($C$49:$BV$49,BK$2-Params!$B$6+1),0)</f>
        <v/>
      </c>
      <c r="BL51" s="5">
        <f>IF(BL$2&gt;=Params!$B$6,INDEX($C$49:$BV$49,BL$2-Params!$B$6+1),0)</f>
        <v/>
      </c>
      <c r="BM51" s="5">
        <f>IF(BM$2&gt;=Params!$B$6,INDEX($C$49:$BV$49,BM$2-Params!$B$6+1),0)</f>
        <v/>
      </c>
      <c r="BN51" s="5">
        <f>IF(BN$2&gt;=Params!$B$6,INDEX($C$49:$BV$49,BN$2-Params!$B$6+1),0)</f>
        <v/>
      </c>
      <c r="BO51" s="5">
        <f>IF(BO$2&gt;=Params!$B$6,INDEX($C$49:$BV$49,BO$2-Params!$B$6+1),0)</f>
        <v/>
      </c>
      <c r="BP51" s="5">
        <f>IF(BP$2&gt;=Params!$B$6,INDEX($C$49:$BV$49,BP$2-Params!$B$6+1),0)</f>
        <v/>
      </c>
      <c r="BQ51" s="5">
        <f>IF(BQ$2&gt;=Params!$B$6,INDEX($C$49:$BV$49,BQ$2-Params!$B$6+1),0)</f>
        <v/>
      </c>
      <c r="BR51" s="5">
        <f>IF(BR$2&gt;=Params!$B$6,INDEX($C$49:$BV$49,BR$2-Params!$B$6+1),0)</f>
        <v/>
      </c>
      <c r="BS51" s="5">
        <f>IF(BS$2&gt;=Params!$B$6,INDEX($C$49:$BV$49,BS$2-Params!$B$6+1),0)</f>
        <v/>
      </c>
      <c r="BT51" s="5">
        <f>IF(BT$2&gt;=Params!$B$6,INDEX($C$49:$BV$49,BT$2-Params!$B$6+1),0)</f>
        <v/>
      </c>
      <c r="BU51" s="5">
        <f>IF(BU$2&gt;=Params!$B$6,INDEX($C$49:$BV$49,BU$2-Params!$B$6+1),0)</f>
        <v/>
      </c>
      <c r="BV51" s="5">
        <f>IF(BV$2&gt;=Params!$B$6,INDEX($C$49:$BV$49,BV$2-Params!$B$6+1),0)</f>
        <v/>
      </c>
    </row>
    <row r="52">
      <c r="A52" t="inlineStr">
        <is>
          <t>trial starts x conversion</t>
        </is>
      </c>
      <c r="B52" t="inlineStr">
        <is>
          <t>US_CA|BASIC_A</t>
        </is>
      </c>
      <c r="C52" s="5">
        <f>C49*Eras!C$9</f>
        <v/>
      </c>
      <c r="D52" s="5">
        <f>D49*Eras!D$9</f>
        <v/>
      </c>
      <c r="E52" s="5">
        <f>E49*Eras!E$9</f>
        <v/>
      </c>
      <c r="F52" s="5">
        <f>F49*Eras!F$9</f>
        <v/>
      </c>
      <c r="G52" s="5">
        <f>G49*Eras!G$9</f>
        <v/>
      </c>
      <c r="H52" s="5">
        <f>H49*Eras!H$9</f>
        <v/>
      </c>
      <c r="I52" s="5">
        <f>I49*Eras!I$9</f>
        <v/>
      </c>
      <c r="J52" s="5">
        <f>J49*Eras!J$9</f>
        <v/>
      </c>
      <c r="K52" s="5">
        <f>K49*Eras!K$9</f>
        <v/>
      </c>
      <c r="L52" s="5">
        <f>L49*Eras!L$9</f>
        <v/>
      </c>
      <c r="M52" s="5">
        <f>M49*Eras!M$9</f>
        <v/>
      </c>
      <c r="N52" s="5">
        <f>N49*Eras!N$9</f>
        <v/>
      </c>
      <c r="O52" s="5">
        <f>O49*Eras!O$9</f>
        <v/>
      </c>
      <c r="P52" s="5">
        <f>P49*Eras!P$9</f>
        <v/>
      </c>
      <c r="Q52" s="5">
        <f>Q49*Eras!Q$9</f>
        <v/>
      </c>
      <c r="R52" s="5">
        <f>R49*Eras!R$9</f>
        <v/>
      </c>
      <c r="S52" s="5">
        <f>S49*Eras!S$9</f>
        <v/>
      </c>
      <c r="T52" s="5">
        <f>T49*Eras!T$9</f>
        <v/>
      </c>
      <c r="U52" s="5">
        <f>U49*Eras!U$9</f>
        <v/>
      </c>
      <c r="V52" s="5">
        <f>V49*Eras!V$9</f>
        <v/>
      </c>
      <c r="W52" s="5">
        <f>W49*Eras!W$9</f>
        <v/>
      </c>
      <c r="X52" s="5">
        <f>X49*Eras!X$9</f>
        <v/>
      </c>
      <c r="Y52" s="5">
        <f>Y49*Eras!Y$9</f>
        <v/>
      </c>
      <c r="Z52" s="5">
        <f>Z49*Eras!Z$9</f>
        <v/>
      </c>
      <c r="AA52" s="5">
        <f>AA49*Eras!AA$9</f>
        <v/>
      </c>
      <c r="AB52" s="5">
        <f>AB49*Eras!AB$9</f>
        <v/>
      </c>
      <c r="AC52" s="5">
        <f>AC49*Eras!AC$9</f>
        <v/>
      </c>
      <c r="AD52" s="5">
        <f>AD49*Eras!AD$9</f>
        <v/>
      </c>
      <c r="AE52" s="5">
        <f>AE49*Eras!AE$9</f>
        <v/>
      </c>
      <c r="AF52" s="5">
        <f>AF49*Eras!AF$9</f>
        <v/>
      </c>
      <c r="AG52" s="5">
        <f>AG49*Eras!AG$9</f>
        <v/>
      </c>
      <c r="AH52" s="5">
        <f>AH49*Eras!AH$9</f>
        <v/>
      </c>
      <c r="AI52" s="5">
        <f>AI49*Eras!AI$9</f>
        <v/>
      </c>
      <c r="AJ52" s="5">
        <f>AJ49*Eras!AJ$9</f>
        <v/>
      </c>
      <c r="AK52" s="5">
        <f>AK49*Eras!AK$9</f>
        <v/>
      </c>
      <c r="AL52" s="5">
        <f>AL49*Eras!AL$9</f>
        <v/>
      </c>
      <c r="AM52" s="5">
        <f>AM49*Eras!AM$9</f>
        <v/>
      </c>
      <c r="AN52" s="5">
        <f>AN49*Eras!AN$9</f>
        <v/>
      </c>
      <c r="AO52" s="5">
        <f>AO49*Eras!AO$9</f>
        <v/>
      </c>
      <c r="AP52" s="5">
        <f>AP49*Eras!AP$9</f>
        <v/>
      </c>
      <c r="AQ52" s="5">
        <f>AQ49*Eras!AQ$9</f>
        <v/>
      </c>
      <c r="AR52" s="5">
        <f>AR49*Eras!AR$9</f>
        <v/>
      </c>
      <c r="AS52" s="5">
        <f>AS49*Eras!AS$9</f>
        <v/>
      </c>
      <c r="AT52" s="5">
        <f>AT49*Eras!AT$9</f>
        <v/>
      </c>
      <c r="AU52" s="5">
        <f>AU49*Eras!AU$9</f>
        <v/>
      </c>
      <c r="AV52" s="5">
        <f>AV49*Eras!AV$9</f>
        <v/>
      </c>
      <c r="AW52" s="5">
        <f>AW49*Eras!AW$9</f>
        <v/>
      </c>
      <c r="AX52" s="5">
        <f>AX49*Eras!AX$9</f>
        <v/>
      </c>
      <c r="AY52" s="5">
        <f>AY49*Eras!AY$9</f>
        <v/>
      </c>
      <c r="AZ52" s="5">
        <f>AZ49*Eras!AZ$9</f>
        <v/>
      </c>
      <c r="BA52" s="5">
        <f>BA49*Eras!BA$9</f>
        <v/>
      </c>
      <c r="BB52" s="5">
        <f>BB49*Eras!BB$9</f>
        <v/>
      </c>
      <c r="BC52" s="5">
        <f>BC49*Eras!BC$9</f>
        <v/>
      </c>
      <c r="BD52" s="5">
        <f>BD49*Eras!BD$9</f>
        <v/>
      </c>
      <c r="BE52" s="5">
        <f>BE49*Eras!BE$9</f>
        <v/>
      </c>
      <c r="BF52" s="5">
        <f>BF49*Eras!BF$9</f>
        <v/>
      </c>
      <c r="BG52" s="5">
        <f>BG49*Eras!BG$9</f>
        <v/>
      </c>
      <c r="BH52" s="5">
        <f>BH49*Eras!BH$9</f>
        <v/>
      </c>
      <c r="BI52" s="5">
        <f>BI49*Eras!BI$9</f>
        <v/>
      </c>
      <c r="BJ52" s="5">
        <f>BJ49*Eras!BJ$9</f>
        <v/>
      </c>
      <c r="BK52" s="5">
        <f>BK49*Eras!BK$9</f>
        <v/>
      </c>
      <c r="BL52" s="5">
        <f>BL49*Eras!BL$9</f>
        <v/>
      </c>
      <c r="BM52" s="5">
        <f>BM49*Eras!BM$9</f>
        <v/>
      </c>
      <c r="BN52" s="5">
        <f>BN49*Eras!BN$9</f>
        <v/>
      </c>
      <c r="BO52" s="5">
        <f>BO49*Eras!BO$9</f>
        <v/>
      </c>
      <c r="BP52" s="5">
        <f>BP49*Eras!BP$9</f>
        <v/>
      </c>
      <c r="BQ52" s="5">
        <f>BQ49*Eras!BQ$9</f>
        <v/>
      </c>
      <c r="BR52" s="5">
        <f>BR49*Eras!BR$9</f>
        <v/>
      </c>
      <c r="BS52" s="5">
        <f>BS49*Eras!BS$9</f>
        <v/>
      </c>
      <c r="BT52" s="5">
        <f>BT49*Eras!BT$9</f>
        <v/>
      </c>
      <c r="BU52" s="5">
        <f>BU49*Eras!BU$9</f>
        <v/>
      </c>
      <c r="BV52" s="5">
        <f>BV49*Eras!BV$9</f>
        <v/>
      </c>
    </row>
    <row r="53">
      <c r="A53" t="inlineStr">
        <is>
          <t>trials converted</t>
        </is>
      </c>
      <c r="B53" t="inlineStr">
        <is>
          <t>US_CA|BASIC_A</t>
        </is>
      </c>
      <c r="C53" s="5">
        <f>IF(C$2&gt;=Params!$B$6,INDEX($C$52:$BV$52,C$2-Params!$B$6+1),0)</f>
        <v/>
      </c>
      <c r="D53" s="5">
        <f>IF(D$2&gt;=Params!$B$6,INDEX($C$52:$BV$52,D$2-Params!$B$6+1),0)</f>
        <v/>
      </c>
      <c r="E53" s="5">
        <f>IF(E$2&gt;=Params!$B$6,INDEX($C$52:$BV$52,E$2-Params!$B$6+1),0)</f>
        <v/>
      </c>
      <c r="F53" s="5">
        <f>IF(F$2&gt;=Params!$B$6,INDEX($C$52:$BV$52,F$2-Params!$B$6+1),0)</f>
        <v/>
      </c>
      <c r="G53" s="5">
        <f>IF(G$2&gt;=Params!$B$6,INDEX($C$52:$BV$52,G$2-Params!$B$6+1),0)</f>
        <v/>
      </c>
      <c r="H53" s="5">
        <f>IF(H$2&gt;=Params!$B$6,INDEX($C$52:$BV$52,H$2-Params!$B$6+1),0)</f>
        <v/>
      </c>
      <c r="I53" s="5">
        <f>IF(I$2&gt;=Params!$B$6,INDEX($C$52:$BV$52,I$2-Params!$B$6+1),0)</f>
        <v/>
      </c>
      <c r="J53" s="5">
        <f>IF(J$2&gt;=Params!$B$6,INDEX($C$52:$BV$52,J$2-Params!$B$6+1),0)</f>
        <v/>
      </c>
      <c r="K53" s="5">
        <f>IF(K$2&gt;=Params!$B$6,INDEX($C$52:$BV$52,K$2-Params!$B$6+1),0)</f>
        <v/>
      </c>
      <c r="L53" s="5">
        <f>IF(L$2&gt;=Params!$B$6,INDEX($C$52:$BV$52,L$2-Params!$B$6+1),0)</f>
        <v/>
      </c>
      <c r="M53" s="5">
        <f>IF(M$2&gt;=Params!$B$6,INDEX($C$52:$BV$52,M$2-Params!$B$6+1),0)</f>
        <v/>
      </c>
      <c r="N53" s="5">
        <f>IF(N$2&gt;=Params!$B$6,INDEX($C$52:$BV$52,N$2-Params!$B$6+1),0)</f>
        <v/>
      </c>
      <c r="O53" s="5">
        <f>IF(O$2&gt;=Params!$B$6,INDEX($C$52:$BV$52,O$2-Params!$B$6+1),0)</f>
        <v/>
      </c>
      <c r="P53" s="5">
        <f>IF(P$2&gt;=Params!$B$6,INDEX($C$52:$BV$52,P$2-Params!$B$6+1),0)</f>
        <v/>
      </c>
      <c r="Q53" s="5">
        <f>IF(Q$2&gt;=Params!$B$6,INDEX($C$52:$BV$52,Q$2-Params!$B$6+1),0)</f>
        <v/>
      </c>
      <c r="R53" s="5">
        <f>IF(R$2&gt;=Params!$B$6,INDEX($C$52:$BV$52,R$2-Params!$B$6+1),0)</f>
        <v/>
      </c>
      <c r="S53" s="5">
        <f>IF(S$2&gt;=Params!$B$6,INDEX($C$52:$BV$52,S$2-Params!$B$6+1),0)</f>
        <v/>
      </c>
      <c r="T53" s="5">
        <f>IF(T$2&gt;=Params!$B$6,INDEX($C$52:$BV$52,T$2-Params!$B$6+1),0)</f>
        <v/>
      </c>
      <c r="U53" s="5">
        <f>IF(U$2&gt;=Params!$B$6,INDEX($C$52:$BV$52,U$2-Params!$B$6+1),0)</f>
        <v/>
      </c>
      <c r="V53" s="5">
        <f>IF(V$2&gt;=Params!$B$6,INDEX($C$52:$BV$52,V$2-Params!$B$6+1),0)</f>
        <v/>
      </c>
      <c r="W53" s="5">
        <f>IF(W$2&gt;=Params!$B$6,INDEX($C$52:$BV$52,W$2-Params!$B$6+1),0)</f>
        <v/>
      </c>
      <c r="X53" s="5">
        <f>IF(X$2&gt;=Params!$B$6,INDEX($C$52:$BV$52,X$2-Params!$B$6+1),0)</f>
        <v/>
      </c>
      <c r="Y53" s="5">
        <f>IF(Y$2&gt;=Params!$B$6,INDEX($C$52:$BV$52,Y$2-Params!$B$6+1),0)</f>
        <v/>
      </c>
      <c r="Z53" s="5">
        <f>IF(Z$2&gt;=Params!$B$6,INDEX($C$52:$BV$52,Z$2-Params!$B$6+1),0)</f>
        <v/>
      </c>
      <c r="AA53" s="5">
        <f>IF(AA$2&gt;=Params!$B$6,INDEX($C$52:$BV$52,AA$2-Params!$B$6+1),0)</f>
        <v/>
      </c>
      <c r="AB53" s="5">
        <f>IF(AB$2&gt;=Params!$B$6,INDEX($C$52:$BV$52,AB$2-Params!$B$6+1),0)</f>
        <v/>
      </c>
      <c r="AC53" s="5">
        <f>IF(AC$2&gt;=Params!$B$6,INDEX($C$52:$BV$52,AC$2-Params!$B$6+1),0)</f>
        <v/>
      </c>
      <c r="AD53" s="5">
        <f>IF(AD$2&gt;=Params!$B$6,INDEX($C$52:$BV$52,AD$2-Params!$B$6+1),0)</f>
        <v/>
      </c>
      <c r="AE53" s="5">
        <f>IF(AE$2&gt;=Params!$B$6,INDEX($C$52:$BV$52,AE$2-Params!$B$6+1),0)</f>
        <v/>
      </c>
      <c r="AF53" s="5">
        <f>IF(AF$2&gt;=Params!$B$6,INDEX($C$52:$BV$52,AF$2-Params!$B$6+1),0)</f>
        <v/>
      </c>
      <c r="AG53" s="5">
        <f>IF(AG$2&gt;=Params!$B$6,INDEX($C$52:$BV$52,AG$2-Params!$B$6+1),0)</f>
        <v/>
      </c>
      <c r="AH53" s="5">
        <f>IF(AH$2&gt;=Params!$B$6,INDEX($C$52:$BV$52,AH$2-Params!$B$6+1),0)</f>
        <v/>
      </c>
      <c r="AI53" s="5">
        <f>IF(AI$2&gt;=Params!$B$6,INDEX($C$52:$BV$52,AI$2-Params!$B$6+1),0)</f>
        <v/>
      </c>
      <c r="AJ53" s="5">
        <f>IF(AJ$2&gt;=Params!$B$6,INDEX($C$52:$BV$52,AJ$2-Params!$B$6+1),0)</f>
        <v/>
      </c>
      <c r="AK53" s="5">
        <f>IF(AK$2&gt;=Params!$B$6,INDEX($C$52:$BV$52,AK$2-Params!$B$6+1),0)</f>
        <v/>
      </c>
      <c r="AL53" s="5">
        <f>IF(AL$2&gt;=Params!$B$6,INDEX($C$52:$BV$52,AL$2-Params!$B$6+1),0)</f>
        <v/>
      </c>
      <c r="AM53" s="5">
        <f>IF(AM$2&gt;=Params!$B$6,INDEX($C$52:$BV$52,AM$2-Params!$B$6+1),0)</f>
        <v/>
      </c>
      <c r="AN53" s="5">
        <f>IF(AN$2&gt;=Params!$B$6,INDEX($C$52:$BV$52,AN$2-Params!$B$6+1),0)</f>
        <v/>
      </c>
      <c r="AO53" s="5">
        <f>IF(AO$2&gt;=Params!$B$6,INDEX($C$52:$BV$52,AO$2-Params!$B$6+1),0)</f>
        <v/>
      </c>
      <c r="AP53" s="5">
        <f>IF(AP$2&gt;=Params!$B$6,INDEX($C$52:$BV$52,AP$2-Params!$B$6+1),0)</f>
        <v/>
      </c>
      <c r="AQ53" s="5">
        <f>IF(AQ$2&gt;=Params!$B$6,INDEX($C$52:$BV$52,AQ$2-Params!$B$6+1),0)</f>
        <v/>
      </c>
      <c r="AR53" s="5">
        <f>IF(AR$2&gt;=Params!$B$6,INDEX($C$52:$BV$52,AR$2-Params!$B$6+1),0)</f>
        <v/>
      </c>
      <c r="AS53" s="5">
        <f>IF(AS$2&gt;=Params!$B$6,INDEX($C$52:$BV$52,AS$2-Params!$B$6+1),0)</f>
        <v/>
      </c>
      <c r="AT53" s="5">
        <f>IF(AT$2&gt;=Params!$B$6,INDEX($C$52:$BV$52,AT$2-Params!$B$6+1),0)</f>
        <v/>
      </c>
      <c r="AU53" s="5">
        <f>IF(AU$2&gt;=Params!$B$6,INDEX($C$52:$BV$52,AU$2-Params!$B$6+1),0)</f>
        <v/>
      </c>
      <c r="AV53" s="5">
        <f>IF(AV$2&gt;=Params!$B$6,INDEX($C$52:$BV$52,AV$2-Params!$B$6+1),0)</f>
        <v/>
      </c>
      <c r="AW53" s="5">
        <f>IF(AW$2&gt;=Params!$B$6,INDEX($C$52:$BV$52,AW$2-Params!$B$6+1),0)</f>
        <v/>
      </c>
      <c r="AX53" s="5">
        <f>IF(AX$2&gt;=Params!$B$6,INDEX($C$52:$BV$52,AX$2-Params!$B$6+1),0)</f>
        <v/>
      </c>
      <c r="AY53" s="5">
        <f>IF(AY$2&gt;=Params!$B$6,INDEX($C$52:$BV$52,AY$2-Params!$B$6+1),0)</f>
        <v/>
      </c>
      <c r="AZ53" s="5">
        <f>IF(AZ$2&gt;=Params!$B$6,INDEX($C$52:$BV$52,AZ$2-Params!$B$6+1),0)</f>
        <v/>
      </c>
      <c r="BA53" s="5">
        <f>IF(BA$2&gt;=Params!$B$6,INDEX($C$52:$BV$52,BA$2-Params!$B$6+1),0)</f>
        <v/>
      </c>
      <c r="BB53" s="5">
        <f>IF(BB$2&gt;=Params!$B$6,INDEX($C$52:$BV$52,BB$2-Params!$B$6+1),0)</f>
        <v/>
      </c>
      <c r="BC53" s="5">
        <f>IF(BC$2&gt;=Params!$B$6,INDEX($C$52:$BV$52,BC$2-Params!$B$6+1),0)</f>
        <v/>
      </c>
      <c r="BD53" s="5">
        <f>IF(BD$2&gt;=Params!$B$6,INDEX($C$52:$BV$52,BD$2-Params!$B$6+1),0)</f>
        <v/>
      </c>
      <c r="BE53" s="5">
        <f>IF(BE$2&gt;=Params!$B$6,INDEX($C$52:$BV$52,BE$2-Params!$B$6+1),0)</f>
        <v/>
      </c>
      <c r="BF53" s="5">
        <f>IF(BF$2&gt;=Params!$B$6,INDEX($C$52:$BV$52,BF$2-Params!$B$6+1),0)</f>
        <v/>
      </c>
      <c r="BG53" s="5">
        <f>IF(BG$2&gt;=Params!$B$6,INDEX($C$52:$BV$52,BG$2-Params!$B$6+1),0)</f>
        <v/>
      </c>
      <c r="BH53" s="5">
        <f>IF(BH$2&gt;=Params!$B$6,INDEX($C$52:$BV$52,BH$2-Params!$B$6+1),0)</f>
        <v/>
      </c>
      <c r="BI53" s="5">
        <f>IF(BI$2&gt;=Params!$B$6,INDEX($C$52:$BV$52,BI$2-Params!$B$6+1),0)</f>
        <v/>
      </c>
      <c r="BJ53" s="5">
        <f>IF(BJ$2&gt;=Params!$B$6,INDEX($C$52:$BV$52,BJ$2-Params!$B$6+1),0)</f>
        <v/>
      </c>
      <c r="BK53" s="5">
        <f>IF(BK$2&gt;=Params!$B$6,INDEX($C$52:$BV$52,BK$2-Params!$B$6+1),0)</f>
        <v/>
      </c>
      <c r="BL53" s="5">
        <f>IF(BL$2&gt;=Params!$B$6,INDEX($C$52:$BV$52,BL$2-Params!$B$6+1),0)</f>
        <v/>
      </c>
      <c r="BM53" s="5">
        <f>IF(BM$2&gt;=Params!$B$6,INDEX($C$52:$BV$52,BM$2-Params!$B$6+1),0)</f>
        <v/>
      </c>
      <c r="BN53" s="5">
        <f>IF(BN$2&gt;=Params!$B$6,INDEX($C$52:$BV$52,BN$2-Params!$B$6+1),0)</f>
        <v/>
      </c>
      <c r="BO53" s="5">
        <f>IF(BO$2&gt;=Params!$B$6,INDEX($C$52:$BV$52,BO$2-Params!$B$6+1),0)</f>
        <v/>
      </c>
      <c r="BP53" s="5">
        <f>IF(BP$2&gt;=Params!$B$6,INDEX($C$52:$BV$52,BP$2-Params!$B$6+1),0)</f>
        <v/>
      </c>
      <c r="BQ53" s="5">
        <f>IF(BQ$2&gt;=Params!$B$6,INDEX($C$52:$BV$52,BQ$2-Params!$B$6+1),0)</f>
        <v/>
      </c>
      <c r="BR53" s="5">
        <f>IF(BR$2&gt;=Params!$B$6,INDEX($C$52:$BV$52,BR$2-Params!$B$6+1),0)</f>
        <v/>
      </c>
      <c r="BS53" s="5">
        <f>IF(BS$2&gt;=Params!$B$6,INDEX($C$52:$BV$52,BS$2-Params!$B$6+1),0)</f>
        <v/>
      </c>
      <c r="BT53" s="5">
        <f>IF(BT$2&gt;=Params!$B$6,INDEX($C$52:$BV$52,BT$2-Params!$B$6+1),0)</f>
        <v/>
      </c>
      <c r="BU53" s="5">
        <f>IF(BU$2&gt;=Params!$B$6,INDEX($C$52:$BV$52,BU$2-Params!$B$6+1),0)</f>
        <v/>
      </c>
      <c r="BV53" s="5">
        <f>IF(BV$2&gt;=Params!$B$6,INDEX($C$52:$BV$52,BV$2-Params!$B$6+1),0)</f>
        <v/>
      </c>
    </row>
    <row r="54">
      <c r="A54" t="inlineStr">
        <is>
          <t>trials lost</t>
        </is>
      </c>
      <c r="B54" t="inlineStr">
        <is>
          <t>US_CA|BASIC_A</t>
        </is>
      </c>
      <c r="C54" s="5">
        <f>C51-C53</f>
        <v/>
      </c>
      <c r="D54" s="5">
        <f>D51-D53</f>
        <v/>
      </c>
      <c r="E54" s="5">
        <f>E51-E53</f>
        <v/>
      </c>
      <c r="F54" s="5">
        <f>F51-F53</f>
        <v/>
      </c>
      <c r="G54" s="5">
        <f>G51-G53</f>
        <v/>
      </c>
      <c r="H54" s="5">
        <f>H51-H53</f>
        <v/>
      </c>
      <c r="I54" s="5">
        <f>I51-I53</f>
        <v/>
      </c>
      <c r="J54" s="5">
        <f>J51-J53</f>
        <v/>
      </c>
      <c r="K54" s="5">
        <f>K51-K53</f>
        <v/>
      </c>
      <c r="L54" s="5">
        <f>L51-L53</f>
        <v/>
      </c>
      <c r="M54" s="5">
        <f>M51-M53</f>
        <v/>
      </c>
      <c r="N54" s="5">
        <f>N51-N53</f>
        <v/>
      </c>
      <c r="O54" s="5">
        <f>O51-O53</f>
        <v/>
      </c>
      <c r="P54" s="5">
        <f>P51-P53</f>
        <v/>
      </c>
      <c r="Q54" s="5">
        <f>Q51-Q53</f>
        <v/>
      </c>
      <c r="R54" s="5">
        <f>R51-R53</f>
        <v/>
      </c>
      <c r="S54" s="5">
        <f>S51-S53</f>
        <v/>
      </c>
      <c r="T54" s="5">
        <f>T51-T53</f>
        <v/>
      </c>
      <c r="U54" s="5">
        <f>U51-U53</f>
        <v/>
      </c>
      <c r="V54" s="5">
        <f>V51-V53</f>
        <v/>
      </c>
      <c r="W54" s="5">
        <f>W51-W53</f>
        <v/>
      </c>
      <c r="X54" s="5">
        <f>X51-X53</f>
        <v/>
      </c>
      <c r="Y54" s="5">
        <f>Y51-Y53</f>
        <v/>
      </c>
      <c r="Z54" s="5">
        <f>Z51-Z53</f>
        <v/>
      </c>
      <c r="AA54" s="5">
        <f>AA51-AA53</f>
        <v/>
      </c>
      <c r="AB54" s="5">
        <f>AB51-AB53</f>
        <v/>
      </c>
      <c r="AC54" s="5">
        <f>AC51-AC53</f>
        <v/>
      </c>
      <c r="AD54" s="5">
        <f>AD51-AD53</f>
        <v/>
      </c>
      <c r="AE54" s="5">
        <f>AE51-AE53</f>
        <v/>
      </c>
      <c r="AF54" s="5">
        <f>AF51-AF53</f>
        <v/>
      </c>
      <c r="AG54" s="5">
        <f>AG51-AG53</f>
        <v/>
      </c>
      <c r="AH54" s="5">
        <f>AH51-AH53</f>
        <v/>
      </c>
      <c r="AI54" s="5">
        <f>AI51-AI53</f>
        <v/>
      </c>
      <c r="AJ54" s="5">
        <f>AJ51-AJ53</f>
        <v/>
      </c>
      <c r="AK54" s="5">
        <f>AK51-AK53</f>
        <v/>
      </c>
      <c r="AL54" s="5">
        <f>AL51-AL53</f>
        <v/>
      </c>
      <c r="AM54" s="5">
        <f>AM51-AM53</f>
        <v/>
      </c>
      <c r="AN54" s="5">
        <f>AN51-AN53</f>
        <v/>
      </c>
      <c r="AO54" s="5">
        <f>AO51-AO53</f>
        <v/>
      </c>
      <c r="AP54" s="5">
        <f>AP51-AP53</f>
        <v/>
      </c>
      <c r="AQ54" s="5">
        <f>AQ51-AQ53</f>
        <v/>
      </c>
      <c r="AR54" s="5">
        <f>AR51-AR53</f>
        <v/>
      </c>
      <c r="AS54" s="5">
        <f>AS51-AS53</f>
        <v/>
      </c>
      <c r="AT54" s="5">
        <f>AT51-AT53</f>
        <v/>
      </c>
      <c r="AU54" s="5">
        <f>AU51-AU53</f>
        <v/>
      </c>
      <c r="AV54" s="5">
        <f>AV51-AV53</f>
        <v/>
      </c>
      <c r="AW54" s="5">
        <f>AW51-AW53</f>
        <v/>
      </c>
      <c r="AX54" s="5">
        <f>AX51-AX53</f>
        <v/>
      </c>
      <c r="AY54" s="5">
        <f>AY51-AY53</f>
        <v/>
      </c>
      <c r="AZ54" s="5">
        <f>AZ51-AZ53</f>
        <v/>
      </c>
      <c r="BA54" s="5">
        <f>BA51-BA53</f>
        <v/>
      </c>
      <c r="BB54" s="5">
        <f>BB51-BB53</f>
        <v/>
      </c>
      <c r="BC54" s="5">
        <f>BC51-BC53</f>
        <v/>
      </c>
      <c r="BD54" s="5">
        <f>BD51-BD53</f>
        <v/>
      </c>
      <c r="BE54" s="5">
        <f>BE51-BE53</f>
        <v/>
      </c>
      <c r="BF54" s="5">
        <f>BF51-BF53</f>
        <v/>
      </c>
      <c r="BG54" s="5">
        <f>BG51-BG53</f>
        <v/>
      </c>
      <c r="BH54" s="5">
        <f>BH51-BH53</f>
        <v/>
      </c>
      <c r="BI54" s="5">
        <f>BI51-BI53</f>
        <v/>
      </c>
      <c r="BJ54" s="5">
        <f>BJ51-BJ53</f>
        <v/>
      </c>
      <c r="BK54" s="5">
        <f>BK51-BK53</f>
        <v/>
      </c>
      <c r="BL54" s="5">
        <f>BL51-BL53</f>
        <v/>
      </c>
      <c r="BM54" s="5">
        <f>BM51-BM53</f>
        <v/>
      </c>
      <c r="BN54" s="5">
        <f>BN51-BN53</f>
        <v/>
      </c>
      <c r="BO54" s="5">
        <f>BO51-BO53</f>
        <v/>
      </c>
      <c r="BP54" s="5">
        <f>BP51-BP53</f>
        <v/>
      </c>
      <c r="BQ54" s="5">
        <f>BQ51-BQ53</f>
        <v/>
      </c>
      <c r="BR54" s="5">
        <f>BR51-BR53</f>
        <v/>
      </c>
      <c r="BS54" s="5">
        <f>BS51-BS53</f>
        <v/>
      </c>
      <c r="BT54" s="5">
        <f>BT51-BT53</f>
        <v/>
      </c>
      <c r="BU54" s="5">
        <f>BU51-BU53</f>
        <v/>
      </c>
      <c r="BV54" s="5">
        <f>BV51-BV53</f>
        <v/>
      </c>
    </row>
    <row r="55">
      <c r="A55" t="inlineStr">
        <is>
          <t>cum trial starts</t>
        </is>
      </c>
      <c r="B55" t="inlineStr">
        <is>
          <t>US_CA|BASIC_A</t>
        </is>
      </c>
      <c r="C55" s="5">
        <f>SUM($C49:C49)</f>
        <v/>
      </c>
      <c r="D55" s="5">
        <f>SUM($C49:D49)</f>
        <v/>
      </c>
      <c r="E55" s="5">
        <f>SUM($C49:E49)</f>
        <v/>
      </c>
      <c r="F55" s="5">
        <f>SUM($C49:F49)</f>
        <v/>
      </c>
      <c r="G55" s="5">
        <f>SUM($C49:G49)</f>
        <v/>
      </c>
      <c r="H55" s="5">
        <f>SUM($C49:H49)</f>
        <v/>
      </c>
      <c r="I55" s="5">
        <f>SUM($C49:I49)</f>
        <v/>
      </c>
      <c r="J55" s="5">
        <f>SUM($C49:J49)</f>
        <v/>
      </c>
      <c r="K55" s="5">
        <f>SUM($C49:K49)</f>
        <v/>
      </c>
      <c r="L55" s="5">
        <f>SUM($C49:L49)</f>
        <v/>
      </c>
      <c r="M55" s="5">
        <f>SUM($C49:M49)</f>
        <v/>
      </c>
      <c r="N55" s="5">
        <f>SUM($C49:N49)</f>
        <v/>
      </c>
      <c r="O55" s="5">
        <f>SUM($C49:O49)</f>
        <v/>
      </c>
      <c r="P55" s="5">
        <f>SUM($C49:P49)</f>
        <v/>
      </c>
      <c r="Q55" s="5">
        <f>SUM($C49:Q49)</f>
        <v/>
      </c>
      <c r="R55" s="5">
        <f>SUM($C49:R49)</f>
        <v/>
      </c>
      <c r="S55" s="5">
        <f>SUM($C49:S49)</f>
        <v/>
      </c>
      <c r="T55" s="5">
        <f>SUM($C49:T49)</f>
        <v/>
      </c>
      <c r="U55" s="5">
        <f>SUM($C49:U49)</f>
        <v/>
      </c>
      <c r="V55" s="5">
        <f>SUM($C49:V49)</f>
        <v/>
      </c>
      <c r="W55" s="5">
        <f>SUM($C49:W49)</f>
        <v/>
      </c>
      <c r="X55" s="5">
        <f>SUM($C49:X49)</f>
        <v/>
      </c>
      <c r="Y55" s="5">
        <f>SUM($C49:Y49)</f>
        <v/>
      </c>
      <c r="Z55" s="5">
        <f>SUM($C49:Z49)</f>
        <v/>
      </c>
      <c r="AA55" s="5">
        <f>SUM($C49:AA49)</f>
        <v/>
      </c>
      <c r="AB55" s="5">
        <f>SUM($C49:AB49)</f>
        <v/>
      </c>
      <c r="AC55" s="5">
        <f>SUM($C49:AC49)</f>
        <v/>
      </c>
      <c r="AD55" s="5">
        <f>SUM($C49:AD49)</f>
        <v/>
      </c>
      <c r="AE55" s="5">
        <f>SUM($C49:AE49)</f>
        <v/>
      </c>
      <c r="AF55" s="5">
        <f>SUM($C49:AF49)</f>
        <v/>
      </c>
      <c r="AG55" s="5">
        <f>SUM($C49:AG49)</f>
        <v/>
      </c>
      <c r="AH55" s="5">
        <f>SUM($C49:AH49)</f>
        <v/>
      </c>
      <c r="AI55" s="5">
        <f>SUM($C49:AI49)</f>
        <v/>
      </c>
      <c r="AJ55" s="5">
        <f>SUM($C49:AJ49)</f>
        <v/>
      </c>
      <c r="AK55" s="5">
        <f>SUM($C49:AK49)</f>
        <v/>
      </c>
      <c r="AL55" s="5">
        <f>SUM($C49:AL49)</f>
        <v/>
      </c>
      <c r="AM55" s="5">
        <f>SUM($C49:AM49)</f>
        <v/>
      </c>
      <c r="AN55" s="5">
        <f>SUM($C49:AN49)</f>
        <v/>
      </c>
      <c r="AO55" s="5">
        <f>SUM($C49:AO49)</f>
        <v/>
      </c>
      <c r="AP55" s="5">
        <f>SUM($C49:AP49)</f>
        <v/>
      </c>
      <c r="AQ55" s="5">
        <f>SUM($C49:AQ49)</f>
        <v/>
      </c>
      <c r="AR55" s="5">
        <f>SUM($C49:AR49)</f>
        <v/>
      </c>
      <c r="AS55" s="5">
        <f>SUM($C49:AS49)</f>
        <v/>
      </c>
      <c r="AT55" s="5">
        <f>SUM($C49:AT49)</f>
        <v/>
      </c>
      <c r="AU55" s="5">
        <f>SUM($C49:AU49)</f>
        <v/>
      </c>
      <c r="AV55" s="5">
        <f>SUM($C49:AV49)</f>
        <v/>
      </c>
      <c r="AW55" s="5">
        <f>SUM($C49:AW49)</f>
        <v/>
      </c>
      <c r="AX55" s="5">
        <f>SUM($C49:AX49)</f>
        <v/>
      </c>
      <c r="AY55" s="5">
        <f>SUM($C49:AY49)</f>
        <v/>
      </c>
      <c r="AZ55" s="5">
        <f>SUM($C49:AZ49)</f>
        <v/>
      </c>
      <c r="BA55" s="5">
        <f>SUM($C49:BA49)</f>
        <v/>
      </c>
      <c r="BB55" s="5">
        <f>SUM($C49:BB49)</f>
        <v/>
      </c>
      <c r="BC55" s="5">
        <f>SUM($C49:BC49)</f>
        <v/>
      </c>
      <c r="BD55" s="5">
        <f>SUM($C49:BD49)</f>
        <v/>
      </c>
      <c r="BE55" s="5">
        <f>SUM($C49:BE49)</f>
        <v/>
      </c>
      <c r="BF55" s="5">
        <f>SUM($C49:BF49)</f>
        <v/>
      </c>
      <c r="BG55" s="5">
        <f>SUM($C49:BG49)</f>
        <v/>
      </c>
      <c r="BH55" s="5">
        <f>SUM($C49:BH49)</f>
        <v/>
      </c>
      <c r="BI55" s="5">
        <f>SUM($C49:BI49)</f>
        <v/>
      </c>
      <c r="BJ55" s="5">
        <f>SUM($C49:BJ49)</f>
        <v/>
      </c>
      <c r="BK55" s="5">
        <f>SUM($C49:BK49)</f>
        <v/>
      </c>
      <c r="BL55" s="5">
        <f>SUM($C49:BL49)</f>
        <v/>
      </c>
      <c r="BM55" s="5">
        <f>SUM($C49:BM49)</f>
        <v/>
      </c>
      <c r="BN55" s="5">
        <f>SUM($C49:BN49)</f>
        <v/>
      </c>
      <c r="BO55" s="5">
        <f>SUM($C49:BO49)</f>
        <v/>
      </c>
      <c r="BP55" s="5">
        <f>SUM($C49:BP49)</f>
        <v/>
      </c>
      <c r="BQ55" s="5">
        <f>SUM($C49:BQ49)</f>
        <v/>
      </c>
      <c r="BR55" s="5">
        <f>SUM($C49:BR49)</f>
        <v/>
      </c>
      <c r="BS55" s="5">
        <f>SUM($C49:BS49)</f>
        <v/>
      </c>
      <c r="BT55" s="5">
        <f>SUM($C49:BT49)</f>
        <v/>
      </c>
      <c r="BU55" s="5">
        <f>SUM($C49:BU49)</f>
        <v/>
      </c>
      <c r="BV55" s="5">
        <f>SUM($C49:BV49)</f>
        <v/>
      </c>
    </row>
    <row r="56">
      <c r="A56" t="inlineStr">
        <is>
          <t>cum trials ending</t>
        </is>
      </c>
      <c r="B56" t="inlineStr">
        <is>
          <t>US_CA|BASIC_A</t>
        </is>
      </c>
      <c r="C56" s="5">
        <f>SUM($C51:C51)</f>
        <v/>
      </c>
      <c r="D56" s="5">
        <f>SUM($C51:D51)</f>
        <v/>
      </c>
      <c r="E56" s="5">
        <f>SUM($C51:E51)</f>
        <v/>
      </c>
      <c r="F56" s="5">
        <f>SUM($C51:F51)</f>
        <v/>
      </c>
      <c r="G56" s="5">
        <f>SUM($C51:G51)</f>
        <v/>
      </c>
      <c r="H56" s="5">
        <f>SUM($C51:H51)</f>
        <v/>
      </c>
      <c r="I56" s="5">
        <f>SUM($C51:I51)</f>
        <v/>
      </c>
      <c r="J56" s="5">
        <f>SUM($C51:J51)</f>
        <v/>
      </c>
      <c r="K56" s="5">
        <f>SUM($C51:K51)</f>
        <v/>
      </c>
      <c r="L56" s="5">
        <f>SUM($C51:L51)</f>
        <v/>
      </c>
      <c r="M56" s="5">
        <f>SUM($C51:M51)</f>
        <v/>
      </c>
      <c r="N56" s="5">
        <f>SUM($C51:N51)</f>
        <v/>
      </c>
      <c r="O56" s="5">
        <f>SUM($C51:O51)</f>
        <v/>
      </c>
      <c r="P56" s="5">
        <f>SUM($C51:P51)</f>
        <v/>
      </c>
      <c r="Q56" s="5">
        <f>SUM($C51:Q51)</f>
        <v/>
      </c>
      <c r="R56" s="5">
        <f>SUM($C51:R51)</f>
        <v/>
      </c>
      <c r="S56" s="5">
        <f>SUM($C51:S51)</f>
        <v/>
      </c>
      <c r="T56" s="5">
        <f>SUM($C51:T51)</f>
        <v/>
      </c>
      <c r="U56" s="5">
        <f>SUM($C51:U51)</f>
        <v/>
      </c>
      <c r="V56" s="5">
        <f>SUM($C51:V51)</f>
        <v/>
      </c>
      <c r="W56" s="5">
        <f>SUM($C51:W51)</f>
        <v/>
      </c>
      <c r="X56" s="5">
        <f>SUM($C51:X51)</f>
        <v/>
      </c>
      <c r="Y56" s="5">
        <f>SUM($C51:Y51)</f>
        <v/>
      </c>
      <c r="Z56" s="5">
        <f>SUM($C51:Z51)</f>
        <v/>
      </c>
      <c r="AA56" s="5">
        <f>SUM($C51:AA51)</f>
        <v/>
      </c>
      <c r="AB56" s="5">
        <f>SUM($C51:AB51)</f>
        <v/>
      </c>
      <c r="AC56" s="5">
        <f>SUM($C51:AC51)</f>
        <v/>
      </c>
      <c r="AD56" s="5">
        <f>SUM($C51:AD51)</f>
        <v/>
      </c>
      <c r="AE56" s="5">
        <f>SUM($C51:AE51)</f>
        <v/>
      </c>
      <c r="AF56" s="5">
        <f>SUM($C51:AF51)</f>
        <v/>
      </c>
      <c r="AG56" s="5">
        <f>SUM($C51:AG51)</f>
        <v/>
      </c>
      <c r="AH56" s="5">
        <f>SUM($C51:AH51)</f>
        <v/>
      </c>
      <c r="AI56" s="5">
        <f>SUM($C51:AI51)</f>
        <v/>
      </c>
      <c r="AJ56" s="5">
        <f>SUM($C51:AJ51)</f>
        <v/>
      </c>
      <c r="AK56" s="5">
        <f>SUM($C51:AK51)</f>
        <v/>
      </c>
      <c r="AL56" s="5">
        <f>SUM($C51:AL51)</f>
        <v/>
      </c>
      <c r="AM56" s="5">
        <f>SUM($C51:AM51)</f>
        <v/>
      </c>
      <c r="AN56" s="5">
        <f>SUM($C51:AN51)</f>
        <v/>
      </c>
      <c r="AO56" s="5">
        <f>SUM($C51:AO51)</f>
        <v/>
      </c>
      <c r="AP56" s="5">
        <f>SUM($C51:AP51)</f>
        <v/>
      </c>
      <c r="AQ56" s="5">
        <f>SUM($C51:AQ51)</f>
        <v/>
      </c>
      <c r="AR56" s="5">
        <f>SUM($C51:AR51)</f>
        <v/>
      </c>
      <c r="AS56" s="5">
        <f>SUM($C51:AS51)</f>
        <v/>
      </c>
      <c r="AT56" s="5">
        <f>SUM($C51:AT51)</f>
        <v/>
      </c>
      <c r="AU56" s="5">
        <f>SUM($C51:AU51)</f>
        <v/>
      </c>
      <c r="AV56" s="5">
        <f>SUM($C51:AV51)</f>
        <v/>
      </c>
      <c r="AW56" s="5">
        <f>SUM($C51:AW51)</f>
        <v/>
      </c>
      <c r="AX56" s="5">
        <f>SUM($C51:AX51)</f>
        <v/>
      </c>
      <c r="AY56" s="5">
        <f>SUM($C51:AY51)</f>
        <v/>
      </c>
      <c r="AZ56" s="5">
        <f>SUM($C51:AZ51)</f>
        <v/>
      </c>
      <c r="BA56" s="5">
        <f>SUM($C51:BA51)</f>
        <v/>
      </c>
      <c r="BB56" s="5">
        <f>SUM($C51:BB51)</f>
        <v/>
      </c>
      <c r="BC56" s="5">
        <f>SUM($C51:BC51)</f>
        <v/>
      </c>
      <c r="BD56" s="5">
        <f>SUM($C51:BD51)</f>
        <v/>
      </c>
      <c r="BE56" s="5">
        <f>SUM($C51:BE51)</f>
        <v/>
      </c>
      <c r="BF56" s="5">
        <f>SUM($C51:BF51)</f>
        <v/>
      </c>
      <c r="BG56" s="5">
        <f>SUM($C51:BG51)</f>
        <v/>
      </c>
      <c r="BH56" s="5">
        <f>SUM($C51:BH51)</f>
        <v/>
      </c>
      <c r="BI56" s="5">
        <f>SUM($C51:BI51)</f>
        <v/>
      </c>
      <c r="BJ56" s="5">
        <f>SUM($C51:BJ51)</f>
        <v/>
      </c>
      <c r="BK56" s="5">
        <f>SUM($C51:BK51)</f>
        <v/>
      </c>
      <c r="BL56" s="5">
        <f>SUM($C51:BL51)</f>
        <v/>
      </c>
      <c r="BM56" s="5">
        <f>SUM($C51:BM51)</f>
        <v/>
      </c>
      <c r="BN56" s="5">
        <f>SUM($C51:BN51)</f>
        <v/>
      </c>
      <c r="BO56" s="5">
        <f>SUM($C51:BO51)</f>
        <v/>
      </c>
      <c r="BP56" s="5">
        <f>SUM($C51:BP51)</f>
        <v/>
      </c>
      <c r="BQ56" s="5">
        <f>SUM($C51:BQ51)</f>
        <v/>
      </c>
      <c r="BR56" s="5">
        <f>SUM($C51:BR51)</f>
        <v/>
      </c>
      <c r="BS56" s="5">
        <f>SUM($C51:BS51)</f>
        <v/>
      </c>
      <c r="BT56" s="5">
        <f>SUM($C51:BT51)</f>
        <v/>
      </c>
      <c r="BU56" s="5">
        <f>SUM($C51:BU51)</f>
        <v/>
      </c>
      <c r="BV56" s="5">
        <f>SUM($C51:BV51)</f>
        <v/>
      </c>
    </row>
    <row r="57">
      <c r="A57" t="inlineStr">
        <is>
          <t>trials active</t>
        </is>
      </c>
      <c r="B57" t="inlineStr">
        <is>
          <t>US_CA|BASIC_A</t>
        </is>
      </c>
      <c r="C57" s="5">
        <f>C55-C56</f>
        <v/>
      </c>
      <c r="D57" s="5">
        <f>D55-D56</f>
        <v/>
      </c>
      <c r="E57" s="5">
        <f>E55-E56</f>
        <v/>
      </c>
      <c r="F57" s="5">
        <f>F55-F56</f>
        <v/>
      </c>
      <c r="G57" s="5">
        <f>G55-G56</f>
        <v/>
      </c>
      <c r="H57" s="5">
        <f>H55-H56</f>
        <v/>
      </c>
      <c r="I57" s="5">
        <f>I55-I56</f>
        <v/>
      </c>
      <c r="J57" s="5">
        <f>J55-J56</f>
        <v/>
      </c>
      <c r="K57" s="5">
        <f>K55-K56</f>
        <v/>
      </c>
      <c r="L57" s="5">
        <f>L55-L56</f>
        <v/>
      </c>
      <c r="M57" s="5">
        <f>M55-M56</f>
        <v/>
      </c>
      <c r="N57" s="5">
        <f>N55-N56</f>
        <v/>
      </c>
      <c r="O57" s="5">
        <f>O55-O56</f>
        <v/>
      </c>
      <c r="P57" s="5">
        <f>P55-P56</f>
        <v/>
      </c>
      <c r="Q57" s="5">
        <f>Q55-Q56</f>
        <v/>
      </c>
      <c r="R57" s="5">
        <f>R55-R56</f>
        <v/>
      </c>
      <c r="S57" s="5">
        <f>S55-S56</f>
        <v/>
      </c>
      <c r="T57" s="5">
        <f>T55-T56</f>
        <v/>
      </c>
      <c r="U57" s="5">
        <f>U55-U56</f>
        <v/>
      </c>
      <c r="V57" s="5">
        <f>V55-V56</f>
        <v/>
      </c>
      <c r="W57" s="5">
        <f>W55-W56</f>
        <v/>
      </c>
      <c r="X57" s="5">
        <f>X55-X56</f>
        <v/>
      </c>
      <c r="Y57" s="5">
        <f>Y55-Y56</f>
        <v/>
      </c>
      <c r="Z57" s="5">
        <f>Z55-Z56</f>
        <v/>
      </c>
      <c r="AA57" s="5">
        <f>AA55-AA56</f>
        <v/>
      </c>
      <c r="AB57" s="5">
        <f>AB55-AB56</f>
        <v/>
      </c>
      <c r="AC57" s="5">
        <f>AC55-AC56</f>
        <v/>
      </c>
      <c r="AD57" s="5">
        <f>AD55-AD56</f>
        <v/>
      </c>
      <c r="AE57" s="5">
        <f>AE55-AE56</f>
        <v/>
      </c>
      <c r="AF57" s="5">
        <f>AF55-AF56</f>
        <v/>
      </c>
      <c r="AG57" s="5">
        <f>AG55-AG56</f>
        <v/>
      </c>
      <c r="AH57" s="5">
        <f>AH55-AH56</f>
        <v/>
      </c>
      <c r="AI57" s="5">
        <f>AI55-AI56</f>
        <v/>
      </c>
      <c r="AJ57" s="5">
        <f>AJ55-AJ56</f>
        <v/>
      </c>
      <c r="AK57" s="5">
        <f>AK55-AK56</f>
        <v/>
      </c>
      <c r="AL57" s="5">
        <f>AL55-AL56</f>
        <v/>
      </c>
      <c r="AM57" s="5">
        <f>AM55-AM56</f>
        <v/>
      </c>
      <c r="AN57" s="5">
        <f>AN55-AN56</f>
        <v/>
      </c>
      <c r="AO57" s="5">
        <f>AO55-AO56</f>
        <v/>
      </c>
      <c r="AP57" s="5">
        <f>AP55-AP56</f>
        <v/>
      </c>
      <c r="AQ57" s="5">
        <f>AQ55-AQ56</f>
        <v/>
      </c>
      <c r="AR57" s="5">
        <f>AR55-AR56</f>
        <v/>
      </c>
      <c r="AS57" s="5">
        <f>AS55-AS56</f>
        <v/>
      </c>
      <c r="AT57" s="5">
        <f>AT55-AT56</f>
        <v/>
      </c>
      <c r="AU57" s="5">
        <f>AU55-AU56</f>
        <v/>
      </c>
      <c r="AV57" s="5">
        <f>AV55-AV56</f>
        <v/>
      </c>
      <c r="AW57" s="5">
        <f>AW55-AW56</f>
        <v/>
      </c>
      <c r="AX57" s="5">
        <f>AX55-AX56</f>
        <v/>
      </c>
      <c r="AY57" s="5">
        <f>AY55-AY56</f>
        <v/>
      </c>
      <c r="AZ57" s="5">
        <f>AZ55-AZ56</f>
        <v/>
      </c>
      <c r="BA57" s="5">
        <f>BA55-BA56</f>
        <v/>
      </c>
      <c r="BB57" s="5">
        <f>BB55-BB56</f>
        <v/>
      </c>
      <c r="BC57" s="5">
        <f>BC55-BC56</f>
        <v/>
      </c>
      <c r="BD57" s="5">
        <f>BD55-BD56</f>
        <v/>
      </c>
      <c r="BE57" s="5">
        <f>BE55-BE56</f>
        <v/>
      </c>
      <c r="BF57" s="5">
        <f>BF55-BF56</f>
        <v/>
      </c>
      <c r="BG57" s="5">
        <f>BG55-BG56</f>
        <v/>
      </c>
      <c r="BH57" s="5">
        <f>BH55-BH56</f>
        <v/>
      </c>
      <c r="BI57" s="5">
        <f>BI55-BI56</f>
        <v/>
      </c>
      <c r="BJ57" s="5">
        <f>BJ55-BJ56</f>
        <v/>
      </c>
      <c r="BK57" s="5">
        <f>BK55-BK56</f>
        <v/>
      </c>
      <c r="BL57" s="5">
        <f>BL55-BL56</f>
        <v/>
      </c>
      <c r="BM57" s="5">
        <f>BM55-BM56</f>
        <v/>
      </c>
      <c r="BN57" s="5">
        <f>BN55-BN56</f>
        <v/>
      </c>
      <c r="BO57" s="5">
        <f>BO55-BO56</f>
        <v/>
      </c>
      <c r="BP57" s="5">
        <f>BP55-BP56</f>
        <v/>
      </c>
      <c r="BQ57" s="5">
        <f>BQ55-BQ56</f>
        <v/>
      </c>
      <c r="BR57" s="5">
        <f>BR55-BR56</f>
        <v/>
      </c>
      <c r="BS57" s="5">
        <f>BS55-BS56</f>
        <v/>
      </c>
      <c r="BT57" s="5">
        <f>BT55-BT56</f>
        <v/>
      </c>
      <c r="BU57" s="5">
        <f>BU55-BU56</f>
        <v/>
      </c>
      <c r="BV57" s="5">
        <f>BV55-BV56</f>
        <v/>
      </c>
    </row>
    <row r="58">
      <c r="A58" t="inlineStr">
        <is>
          <t>paid starts</t>
        </is>
      </c>
      <c r="B58" t="inlineStr">
        <is>
          <t>US_CA|BASIC_A</t>
        </is>
      </c>
      <c r="C58" s="5">
        <f>C50+C53</f>
        <v/>
      </c>
      <c r="D58" s="5">
        <f>D50+D53</f>
        <v/>
      </c>
      <c r="E58" s="5">
        <f>E50+E53</f>
        <v/>
      </c>
      <c r="F58" s="5">
        <f>F50+F53</f>
        <v/>
      </c>
      <c r="G58" s="5">
        <f>G50+G53</f>
        <v/>
      </c>
      <c r="H58" s="5">
        <f>H50+H53</f>
        <v/>
      </c>
      <c r="I58" s="5">
        <f>I50+I53</f>
        <v/>
      </c>
      <c r="J58" s="5">
        <f>J50+J53</f>
        <v/>
      </c>
      <c r="K58" s="5">
        <f>K50+K53</f>
        <v/>
      </c>
      <c r="L58" s="5">
        <f>L50+L53</f>
        <v/>
      </c>
      <c r="M58" s="5">
        <f>M50+M53</f>
        <v/>
      </c>
      <c r="N58" s="5">
        <f>N50+N53</f>
        <v/>
      </c>
      <c r="O58" s="5">
        <f>O50+O53</f>
        <v/>
      </c>
      <c r="P58" s="5">
        <f>P50+P53</f>
        <v/>
      </c>
      <c r="Q58" s="5">
        <f>Q50+Q53</f>
        <v/>
      </c>
      <c r="R58" s="5">
        <f>R50+R53</f>
        <v/>
      </c>
      <c r="S58" s="5">
        <f>S50+S53</f>
        <v/>
      </c>
      <c r="T58" s="5">
        <f>T50+T53</f>
        <v/>
      </c>
      <c r="U58" s="5">
        <f>U50+U53</f>
        <v/>
      </c>
      <c r="V58" s="5">
        <f>V50+V53</f>
        <v/>
      </c>
      <c r="W58" s="5">
        <f>W50+W53</f>
        <v/>
      </c>
      <c r="X58" s="5">
        <f>X50+X53</f>
        <v/>
      </c>
      <c r="Y58" s="5">
        <f>Y50+Y53</f>
        <v/>
      </c>
      <c r="Z58" s="5">
        <f>Z50+Z53</f>
        <v/>
      </c>
      <c r="AA58" s="5">
        <f>AA50+AA53</f>
        <v/>
      </c>
      <c r="AB58" s="5">
        <f>AB50+AB53</f>
        <v/>
      </c>
      <c r="AC58" s="5">
        <f>AC50+AC53</f>
        <v/>
      </c>
      <c r="AD58" s="5">
        <f>AD50+AD53</f>
        <v/>
      </c>
      <c r="AE58" s="5">
        <f>AE50+AE53</f>
        <v/>
      </c>
      <c r="AF58" s="5">
        <f>AF50+AF53</f>
        <v/>
      </c>
      <c r="AG58" s="5">
        <f>AG50+AG53</f>
        <v/>
      </c>
      <c r="AH58" s="5">
        <f>AH50+AH53</f>
        <v/>
      </c>
      <c r="AI58" s="5">
        <f>AI50+AI53</f>
        <v/>
      </c>
      <c r="AJ58" s="5">
        <f>AJ50+AJ53</f>
        <v/>
      </c>
      <c r="AK58" s="5">
        <f>AK50+AK53</f>
        <v/>
      </c>
      <c r="AL58" s="5">
        <f>AL50+AL53</f>
        <v/>
      </c>
      <c r="AM58" s="5">
        <f>AM50+AM53</f>
        <v/>
      </c>
      <c r="AN58" s="5">
        <f>AN50+AN53</f>
        <v/>
      </c>
      <c r="AO58" s="5">
        <f>AO50+AO53</f>
        <v/>
      </c>
      <c r="AP58" s="5">
        <f>AP50+AP53</f>
        <v/>
      </c>
      <c r="AQ58" s="5">
        <f>AQ50+AQ53</f>
        <v/>
      </c>
      <c r="AR58" s="5">
        <f>AR50+AR53</f>
        <v/>
      </c>
      <c r="AS58" s="5">
        <f>AS50+AS53</f>
        <v/>
      </c>
      <c r="AT58" s="5">
        <f>AT50+AT53</f>
        <v/>
      </c>
      <c r="AU58" s="5">
        <f>AU50+AU53</f>
        <v/>
      </c>
      <c r="AV58" s="5">
        <f>AV50+AV53</f>
        <v/>
      </c>
      <c r="AW58" s="5">
        <f>AW50+AW53</f>
        <v/>
      </c>
      <c r="AX58" s="5">
        <f>AX50+AX53</f>
        <v/>
      </c>
      <c r="AY58" s="5">
        <f>AY50+AY53</f>
        <v/>
      </c>
      <c r="AZ58" s="5">
        <f>AZ50+AZ53</f>
        <v/>
      </c>
      <c r="BA58" s="5">
        <f>BA50+BA53</f>
        <v/>
      </c>
      <c r="BB58" s="5">
        <f>BB50+BB53</f>
        <v/>
      </c>
      <c r="BC58" s="5">
        <f>BC50+BC53</f>
        <v/>
      </c>
      <c r="BD58" s="5">
        <f>BD50+BD53</f>
        <v/>
      </c>
      <c r="BE58" s="5">
        <f>BE50+BE53</f>
        <v/>
      </c>
      <c r="BF58" s="5">
        <f>BF50+BF53</f>
        <v/>
      </c>
      <c r="BG58" s="5">
        <f>BG50+BG53</f>
        <v/>
      </c>
      <c r="BH58" s="5">
        <f>BH50+BH53</f>
        <v/>
      </c>
      <c r="BI58" s="5">
        <f>BI50+BI53</f>
        <v/>
      </c>
      <c r="BJ58" s="5">
        <f>BJ50+BJ53</f>
        <v/>
      </c>
      <c r="BK58" s="5">
        <f>BK50+BK53</f>
        <v/>
      </c>
      <c r="BL58" s="5">
        <f>BL50+BL53</f>
        <v/>
      </c>
      <c r="BM58" s="5">
        <f>BM50+BM53</f>
        <v/>
      </c>
      <c r="BN58" s="5">
        <f>BN50+BN53</f>
        <v/>
      </c>
      <c r="BO58" s="5">
        <f>BO50+BO53</f>
        <v/>
      </c>
      <c r="BP58" s="5">
        <f>BP50+BP53</f>
        <v/>
      </c>
      <c r="BQ58" s="5">
        <f>BQ50+BQ53</f>
        <v/>
      </c>
      <c r="BR58" s="5">
        <f>BR50+BR53</f>
        <v/>
      </c>
      <c r="BS58" s="5">
        <f>BS50+BS53</f>
        <v/>
      </c>
      <c r="BT58" s="5">
        <f>BT50+BT53</f>
        <v/>
      </c>
      <c r="BU58" s="5">
        <f>BU50+BU53</f>
        <v/>
      </c>
      <c r="BV58" s="5">
        <f>BV50+BV53</f>
        <v/>
      </c>
    </row>
    <row r="59">
      <c r="A59" t="inlineStr">
        <is>
          <t>paid starts @0</t>
        </is>
      </c>
      <c r="B59" t="inlineStr">
        <is>
          <t>US_CA|BASIC_A</t>
        </is>
      </c>
      <c r="C59" s="5">
        <f>C58*Eras!C$3</f>
        <v/>
      </c>
      <c r="D59" s="5">
        <f>D58*Eras!D$3</f>
        <v/>
      </c>
      <c r="E59" s="5">
        <f>E58*Eras!E$3</f>
        <v/>
      </c>
      <c r="F59" s="5">
        <f>F58*Eras!F$3</f>
        <v/>
      </c>
      <c r="G59" s="5">
        <f>G58*Eras!G$3</f>
        <v/>
      </c>
      <c r="H59" s="5">
        <f>H58*Eras!H$3</f>
        <v/>
      </c>
      <c r="I59" s="5">
        <f>I58*Eras!I$3</f>
        <v/>
      </c>
      <c r="J59" s="5">
        <f>J58*Eras!J$3</f>
        <v/>
      </c>
      <c r="K59" s="5">
        <f>K58*Eras!K$3</f>
        <v/>
      </c>
      <c r="L59" s="5">
        <f>L58*Eras!L$3</f>
        <v/>
      </c>
      <c r="M59" s="5">
        <f>M58*Eras!M$3</f>
        <v/>
      </c>
      <c r="N59" s="5">
        <f>N58*Eras!N$3</f>
        <v/>
      </c>
      <c r="O59" s="5">
        <f>O58*Eras!O$3</f>
        <v/>
      </c>
      <c r="P59" s="5">
        <f>P58*Eras!P$3</f>
        <v/>
      </c>
      <c r="Q59" s="5">
        <f>Q58*Eras!Q$3</f>
        <v/>
      </c>
      <c r="R59" s="5">
        <f>R58*Eras!R$3</f>
        <v/>
      </c>
      <c r="S59" s="5">
        <f>S58*Eras!S$3</f>
        <v/>
      </c>
      <c r="T59" s="5">
        <f>T58*Eras!T$3</f>
        <v/>
      </c>
      <c r="U59" s="5">
        <f>U58*Eras!U$3</f>
        <v/>
      </c>
      <c r="V59" s="5">
        <f>V58*Eras!V$3</f>
        <v/>
      </c>
      <c r="W59" s="5">
        <f>W58*Eras!W$3</f>
        <v/>
      </c>
      <c r="X59" s="5">
        <f>X58*Eras!X$3</f>
        <v/>
      </c>
      <c r="Y59" s="5">
        <f>Y58*Eras!Y$3</f>
        <v/>
      </c>
      <c r="Z59" s="5">
        <f>Z58*Eras!Z$3</f>
        <v/>
      </c>
      <c r="AA59" s="5">
        <f>AA58*Eras!AA$3</f>
        <v/>
      </c>
      <c r="AB59" s="5">
        <f>AB58*Eras!AB$3</f>
        <v/>
      </c>
      <c r="AC59" s="5">
        <f>AC58*Eras!AC$3</f>
        <v/>
      </c>
      <c r="AD59" s="5">
        <f>AD58*Eras!AD$3</f>
        <v/>
      </c>
      <c r="AE59" s="5">
        <f>AE58*Eras!AE$3</f>
        <v/>
      </c>
      <c r="AF59" s="5">
        <f>AF58*Eras!AF$3</f>
        <v/>
      </c>
      <c r="AG59" s="5">
        <f>AG58*Eras!AG$3</f>
        <v/>
      </c>
      <c r="AH59" s="5">
        <f>AH58*Eras!AH$3</f>
        <v/>
      </c>
      <c r="AI59" s="5">
        <f>AI58*Eras!AI$3</f>
        <v/>
      </c>
      <c r="AJ59" s="5">
        <f>AJ58*Eras!AJ$3</f>
        <v/>
      </c>
      <c r="AK59" s="5">
        <f>AK58*Eras!AK$3</f>
        <v/>
      </c>
      <c r="AL59" s="5">
        <f>AL58*Eras!AL$3</f>
        <v/>
      </c>
      <c r="AM59" s="5">
        <f>AM58*Eras!AM$3</f>
        <v/>
      </c>
      <c r="AN59" s="5">
        <f>AN58*Eras!AN$3</f>
        <v/>
      </c>
      <c r="AO59" s="5">
        <f>AO58*Eras!AO$3</f>
        <v/>
      </c>
      <c r="AP59" s="5">
        <f>AP58*Eras!AP$3</f>
        <v/>
      </c>
      <c r="AQ59" s="5">
        <f>AQ58*Eras!AQ$3</f>
        <v/>
      </c>
      <c r="AR59" s="5">
        <f>AR58*Eras!AR$3</f>
        <v/>
      </c>
      <c r="AS59" s="5">
        <f>AS58*Eras!AS$3</f>
        <v/>
      </c>
      <c r="AT59" s="5">
        <f>AT58*Eras!AT$3</f>
        <v/>
      </c>
      <c r="AU59" s="5">
        <f>AU58*Eras!AU$3</f>
        <v/>
      </c>
      <c r="AV59" s="5">
        <f>AV58*Eras!AV$3</f>
        <v/>
      </c>
      <c r="AW59" s="5">
        <f>AW58*Eras!AW$3</f>
        <v/>
      </c>
      <c r="AX59" s="5">
        <f>AX58*Eras!AX$3</f>
        <v/>
      </c>
      <c r="AY59" s="5">
        <f>AY58*Eras!AY$3</f>
        <v/>
      </c>
      <c r="AZ59" s="5">
        <f>AZ58*Eras!AZ$3</f>
        <v/>
      </c>
      <c r="BA59" s="5">
        <f>BA58*Eras!BA$3</f>
        <v/>
      </c>
      <c r="BB59" s="5">
        <f>BB58*Eras!BB$3</f>
        <v/>
      </c>
      <c r="BC59" s="5">
        <f>BC58*Eras!BC$3</f>
        <v/>
      </c>
      <c r="BD59" s="5">
        <f>BD58*Eras!BD$3</f>
        <v/>
      </c>
      <c r="BE59" s="5">
        <f>BE58*Eras!BE$3</f>
        <v/>
      </c>
      <c r="BF59" s="5">
        <f>BF58*Eras!BF$3</f>
        <v/>
      </c>
      <c r="BG59" s="5">
        <f>BG58*Eras!BG$3</f>
        <v/>
      </c>
      <c r="BH59" s="5">
        <f>BH58*Eras!BH$3</f>
        <v/>
      </c>
      <c r="BI59" s="5">
        <f>BI58*Eras!BI$3</f>
        <v/>
      </c>
      <c r="BJ59" s="5">
        <f>BJ58*Eras!BJ$3</f>
        <v/>
      </c>
      <c r="BK59" s="5">
        <f>BK58*Eras!BK$3</f>
        <v/>
      </c>
      <c r="BL59" s="5">
        <f>BL58*Eras!BL$3</f>
        <v/>
      </c>
      <c r="BM59" s="5">
        <f>BM58*Eras!BM$3</f>
        <v/>
      </c>
      <c r="BN59" s="5">
        <f>BN58*Eras!BN$3</f>
        <v/>
      </c>
      <c r="BO59" s="5">
        <f>BO58*Eras!BO$3</f>
        <v/>
      </c>
      <c r="BP59" s="5">
        <f>BP58*Eras!BP$3</f>
        <v/>
      </c>
      <c r="BQ59" s="5">
        <f>BQ58*Eras!BQ$3</f>
        <v/>
      </c>
      <c r="BR59" s="5">
        <f>BR58*Eras!BR$3</f>
        <v/>
      </c>
      <c r="BS59" s="5">
        <f>BS58*Eras!BS$3</f>
        <v/>
      </c>
      <c r="BT59" s="5">
        <f>BT58*Eras!BT$3</f>
        <v/>
      </c>
      <c r="BU59" s="5">
        <f>BU58*Eras!BU$3</f>
        <v/>
      </c>
      <c r="BV59" s="5">
        <f>BV58*Eras!BV$3</f>
        <v/>
      </c>
    </row>
    <row r="60">
      <c r="A60" t="inlineStr">
        <is>
          <t>paid starts @1</t>
        </is>
      </c>
      <c r="B60" t="inlineStr">
        <is>
          <t>US_CA|BASIC_A</t>
        </is>
      </c>
      <c r="C60" s="5">
        <f>C58*Eras!C$4</f>
        <v/>
      </c>
      <c r="D60" s="5">
        <f>D58*Eras!D$4</f>
        <v/>
      </c>
      <c r="E60" s="5">
        <f>E58*Eras!E$4</f>
        <v/>
      </c>
      <c r="F60" s="5">
        <f>F58*Eras!F$4</f>
        <v/>
      </c>
      <c r="G60" s="5">
        <f>G58*Eras!G$4</f>
        <v/>
      </c>
      <c r="H60" s="5">
        <f>H58*Eras!H$4</f>
        <v/>
      </c>
      <c r="I60" s="5">
        <f>I58*Eras!I$4</f>
        <v/>
      </c>
      <c r="J60" s="5">
        <f>J58*Eras!J$4</f>
        <v/>
      </c>
      <c r="K60" s="5">
        <f>K58*Eras!K$4</f>
        <v/>
      </c>
      <c r="L60" s="5">
        <f>L58*Eras!L$4</f>
        <v/>
      </c>
      <c r="M60" s="5">
        <f>M58*Eras!M$4</f>
        <v/>
      </c>
      <c r="N60" s="5">
        <f>N58*Eras!N$4</f>
        <v/>
      </c>
      <c r="O60" s="5">
        <f>O58*Eras!O$4</f>
        <v/>
      </c>
      <c r="P60" s="5">
        <f>P58*Eras!P$4</f>
        <v/>
      </c>
      <c r="Q60" s="5">
        <f>Q58*Eras!Q$4</f>
        <v/>
      </c>
      <c r="R60" s="5">
        <f>R58*Eras!R$4</f>
        <v/>
      </c>
      <c r="S60" s="5">
        <f>S58*Eras!S$4</f>
        <v/>
      </c>
      <c r="T60" s="5">
        <f>T58*Eras!T$4</f>
        <v/>
      </c>
      <c r="U60" s="5">
        <f>U58*Eras!U$4</f>
        <v/>
      </c>
      <c r="V60" s="5">
        <f>V58*Eras!V$4</f>
        <v/>
      </c>
      <c r="W60" s="5">
        <f>W58*Eras!W$4</f>
        <v/>
      </c>
      <c r="X60" s="5">
        <f>X58*Eras!X$4</f>
        <v/>
      </c>
      <c r="Y60" s="5">
        <f>Y58*Eras!Y$4</f>
        <v/>
      </c>
      <c r="Z60" s="5">
        <f>Z58*Eras!Z$4</f>
        <v/>
      </c>
      <c r="AA60" s="5">
        <f>AA58*Eras!AA$4</f>
        <v/>
      </c>
      <c r="AB60" s="5">
        <f>AB58*Eras!AB$4</f>
        <v/>
      </c>
      <c r="AC60" s="5">
        <f>AC58*Eras!AC$4</f>
        <v/>
      </c>
      <c r="AD60" s="5">
        <f>AD58*Eras!AD$4</f>
        <v/>
      </c>
      <c r="AE60" s="5">
        <f>AE58*Eras!AE$4</f>
        <v/>
      </c>
      <c r="AF60" s="5">
        <f>AF58*Eras!AF$4</f>
        <v/>
      </c>
      <c r="AG60" s="5">
        <f>AG58*Eras!AG$4</f>
        <v/>
      </c>
      <c r="AH60" s="5">
        <f>AH58*Eras!AH$4</f>
        <v/>
      </c>
      <c r="AI60" s="5">
        <f>AI58*Eras!AI$4</f>
        <v/>
      </c>
      <c r="AJ60" s="5">
        <f>AJ58*Eras!AJ$4</f>
        <v/>
      </c>
      <c r="AK60" s="5">
        <f>AK58*Eras!AK$4</f>
        <v/>
      </c>
      <c r="AL60" s="5">
        <f>AL58*Eras!AL$4</f>
        <v/>
      </c>
      <c r="AM60" s="5">
        <f>AM58*Eras!AM$4</f>
        <v/>
      </c>
      <c r="AN60" s="5">
        <f>AN58*Eras!AN$4</f>
        <v/>
      </c>
      <c r="AO60" s="5">
        <f>AO58*Eras!AO$4</f>
        <v/>
      </c>
      <c r="AP60" s="5">
        <f>AP58*Eras!AP$4</f>
        <v/>
      </c>
      <c r="AQ60" s="5">
        <f>AQ58*Eras!AQ$4</f>
        <v/>
      </c>
      <c r="AR60" s="5">
        <f>AR58*Eras!AR$4</f>
        <v/>
      </c>
      <c r="AS60" s="5">
        <f>AS58*Eras!AS$4</f>
        <v/>
      </c>
      <c r="AT60" s="5">
        <f>AT58*Eras!AT$4</f>
        <v/>
      </c>
      <c r="AU60" s="5">
        <f>AU58*Eras!AU$4</f>
        <v/>
      </c>
      <c r="AV60" s="5">
        <f>AV58*Eras!AV$4</f>
        <v/>
      </c>
      <c r="AW60" s="5">
        <f>AW58*Eras!AW$4</f>
        <v/>
      </c>
      <c r="AX60" s="5">
        <f>AX58*Eras!AX$4</f>
        <v/>
      </c>
      <c r="AY60" s="5">
        <f>AY58*Eras!AY$4</f>
        <v/>
      </c>
      <c r="AZ60" s="5">
        <f>AZ58*Eras!AZ$4</f>
        <v/>
      </c>
      <c r="BA60" s="5">
        <f>BA58*Eras!BA$4</f>
        <v/>
      </c>
      <c r="BB60" s="5">
        <f>BB58*Eras!BB$4</f>
        <v/>
      </c>
      <c r="BC60" s="5">
        <f>BC58*Eras!BC$4</f>
        <v/>
      </c>
      <c r="BD60" s="5">
        <f>BD58*Eras!BD$4</f>
        <v/>
      </c>
      <c r="BE60" s="5">
        <f>BE58*Eras!BE$4</f>
        <v/>
      </c>
      <c r="BF60" s="5">
        <f>BF58*Eras!BF$4</f>
        <v/>
      </c>
      <c r="BG60" s="5">
        <f>BG58*Eras!BG$4</f>
        <v/>
      </c>
      <c r="BH60" s="5">
        <f>BH58*Eras!BH$4</f>
        <v/>
      </c>
      <c r="BI60" s="5">
        <f>BI58*Eras!BI$4</f>
        <v/>
      </c>
      <c r="BJ60" s="5">
        <f>BJ58*Eras!BJ$4</f>
        <v/>
      </c>
      <c r="BK60" s="5">
        <f>BK58*Eras!BK$4</f>
        <v/>
      </c>
      <c r="BL60" s="5">
        <f>BL58*Eras!BL$4</f>
        <v/>
      </c>
      <c r="BM60" s="5">
        <f>BM58*Eras!BM$4</f>
        <v/>
      </c>
      <c r="BN60" s="5">
        <f>BN58*Eras!BN$4</f>
        <v/>
      </c>
      <c r="BO60" s="5">
        <f>BO58*Eras!BO$4</f>
        <v/>
      </c>
      <c r="BP60" s="5">
        <f>BP58*Eras!BP$4</f>
        <v/>
      </c>
      <c r="BQ60" s="5">
        <f>BQ58*Eras!BQ$4</f>
        <v/>
      </c>
      <c r="BR60" s="5">
        <f>BR58*Eras!BR$4</f>
        <v/>
      </c>
      <c r="BS60" s="5">
        <f>BS58*Eras!BS$4</f>
        <v/>
      </c>
      <c r="BT60" s="5">
        <f>BT58*Eras!BT$4</f>
        <v/>
      </c>
      <c r="BU60" s="5">
        <f>BU58*Eras!BU$4</f>
        <v/>
      </c>
      <c r="BV60" s="5">
        <f>BV58*Eras!BV$4</f>
        <v/>
      </c>
    </row>
    <row r="61">
      <c r="A61" t="inlineStr">
        <is>
          <t>paid starts @2</t>
        </is>
      </c>
      <c r="B61" t="inlineStr">
        <is>
          <t>US_CA|BASIC_A</t>
        </is>
      </c>
      <c r="C61" s="5">
        <f>C58*Eras!C$5</f>
        <v/>
      </c>
      <c r="D61" s="5">
        <f>D58*Eras!D$5</f>
        <v/>
      </c>
      <c r="E61" s="5">
        <f>E58*Eras!E$5</f>
        <v/>
      </c>
      <c r="F61" s="5">
        <f>F58*Eras!F$5</f>
        <v/>
      </c>
      <c r="G61" s="5">
        <f>G58*Eras!G$5</f>
        <v/>
      </c>
      <c r="H61" s="5">
        <f>H58*Eras!H$5</f>
        <v/>
      </c>
      <c r="I61" s="5">
        <f>I58*Eras!I$5</f>
        <v/>
      </c>
      <c r="J61" s="5">
        <f>J58*Eras!J$5</f>
        <v/>
      </c>
      <c r="K61" s="5">
        <f>K58*Eras!K$5</f>
        <v/>
      </c>
      <c r="L61" s="5">
        <f>L58*Eras!L$5</f>
        <v/>
      </c>
      <c r="M61" s="5">
        <f>M58*Eras!M$5</f>
        <v/>
      </c>
      <c r="N61" s="5">
        <f>N58*Eras!N$5</f>
        <v/>
      </c>
      <c r="O61" s="5">
        <f>O58*Eras!O$5</f>
        <v/>
      </c>
      <c r="P61" s="5">
        <f>P58*Eras!P$5</f>
        <v/>
      </c>
      <c r="Q61" s="5">
        <f>Q58*Eras!Q$5</f>
        <v/>
      </c>
      <c r="R61" s="5">
        <f>R58*Eras!R$5</f>
        <v/>
      </c>
      <c r="S61" s="5">
        <f>S58*Eras!S$5</f>
        <v/>
      </c>
      <c r="T61" s="5">
        <f>T58*Eras!T$5</f>
        <v/>
      </c>
      <c r="U61" s="5">
        <f>U58*Eras!U$5</f>
        <v/>
      </c>
      <c r="V61" s="5">
        <f>V58*Eras!V$5</f>
        <v/>
      </c>
      <c r="W61" s="5">
        <f>W58*Eras!W$5</f>
        <v/>
      </c>
      <c r="X61" s="5">
        <f>X58*Eras!X$5</f>
        <v/>
      </c>
      <c r="Y61" s="5">
        <f>Y58*Eras!Y$5</f>
        <v/>
      </c>
      <c r="Z61" s="5">
        <f>Z58*Eras!Z$5</f>
        <v/>
      </c>
      <c r="AA61" s="5">
        <f>AA58*Eras!AA$5</f>
        <v/>
      </c>
      <c r="AB61" s="5">
        <f>AB58*Eras!AB$5</f>
        <v/>
      </c>
      <c r="AC61" s="5">
        <f>AC58*Eras!AC$5</f>
        <v/>
      </c>
      <c r="AD61" s="5">
        <f>AD58*Eras!AD$5</f>
        <v/>
      </c>
      <c r="AE61" s="5">
        <f>AE58*Eras!AE$5</f>
        <v/>
      </c>
      <c r="AF61" s="5">
        <f>AF58*Eras!AF$5</f>
        <v/>
      </c>
      <c r="AG61" s="5">
        <f>AG58*Eras!AG$5</f>
        <v/>
      </c>
      <c r="AH61" s="5">
        <f>AH58*Eras!AH$5</f>
        <v/>
      </c>
      <c r="AI61" s="5">
        <f>AI58*Eras!AI$5</f>
        <v/>
      </c>
      <c r="AJ61" s="5">
        <f>AJ58*Eras!AJ$5</f>
        <v/>
      </c>
      <c r="AK61" s="5">
        <f>AK58*Eras!AK$5</f>
        <v/>
      </c>
      <c r="AL61" s="5">
        <f>AL58*Eras!AL$5</f>
        <v/>
      </c>
      <c r="AM61" s="5">
        <f>AM58*Eras!AM$5</f>
        <v/>
      </c>
      <c r="AN61" s="5">
        <f>AN58*Eras!AN$5</f>
        <v/>
      </c>
      <c r="AO61" s="5">
        <f>AO58*Eras!AO$5</f>
        <v/>
      </c>
      <c r="AP61" s="5">
        <f>AP58*Eras!AP$5</f>
        <v/>
      </c>
      <c r="AQ61" s="5">
        <f>AQ58*Eras!AQ$5</f>
        <v/>
      </c>
      <c r="AR61" s="5">
        <f>AR58*Eras!AR$5</f>
        <v/>
      </c>
      <c r="AS61" s="5">
        <f>AS58*Eras!AS$5</f>
        <v/>
      </c>
      <c r="AT61" s="5">
        <f>AT58*Eras!AT$5</f>
        <v/>
      </c>
      <c r="AU61" s="5">
        <f>AU58*Eras!AU$5</f>
        <v/>
      </c>
      <c r="AV61" s="5">
        <f>AV58*Eras!AV$5</f>
        <v/>
      </c>
      <c r="AW61" s="5">
        <f>AW58*Eras!AW$5</f>
        <v/>
      </c>
      <c r="AX61" s="5">
        <f>AX58*Eras!AX$5</f>
        <v/>
      </c>
      <c r="AY61" s="5">
        <f>AY58*Eras!AY$5</f>
        <v/>
      </c>
      <c r="AZ61" s="5">
        <f>AZ58*Eras!AZ$5</f>
        <v/>
      </c>
      <c r="BA61" s="5">
        <f>BA58*Eras!BA$5</f>
        <v/>
      </c>
      <c r="BB61" s="5">
        <f>BB58*Eras!BB$5</f>
        <v/>
      </c>
      <c r="BC61" s="5">
        <f>BC58*Eras!BC$5</f>
        <v/>
      </c>
      <c r="BD61" s="5">
        <f>BD58*Eras!BD$5</f>
        <v/>
      </c>
      <c r="BE61" s="5">
        <f>BE58*Eras!BE$5</f>
        <v/>
      </c>
      <c r="BF61" s="5">
        <f>BF58*Eras!BF$5</f>
        <v/>
      </c>
      <c r="BG61" s="5">
        <f>BG58*Eras!BG$5</f>
        <v/>
      </c>
      <c r="BH61" s="5">
        <f>BH58*Eras!BH$5</f>
        <v/>
      </c>
      <c r="BI61" s="5">
        <f>BI58*Eras!BI$5</f>
        <v/>
      </c>
      <c r="BJ61" s="5">
        <f>BJ58*Eras!BJ$5</f>
        <v/>
      </c>
      <c r="BK61" s="5">
        <f>BK58*Eras!BK$5</f>
        <v/>
      </c>
      <c r="BL61" s="5">
        <f>BL58*Eras!BL$5</f>
        <v/>
      </c>
      <c r="BM61" s="5">
        <f>BM58*Eras!BM$5</f>
        <v/>
      </c>
      <c r="BN61" s="5">
        <f>BN58*Eras!BN$5</f>
        <v/>
      </c>
      <c r="BO61" s="5">
        <f>BO58*Eras!BO$5</f>
        <v/>
      </c>
      <c r="BP61" s="5">
        <f>BP58*Eras!BP$5</f>
        <v/>
      </c>
      <c r="BQ61" s="5">
        <f>BQ58*Eras!BQ$5</f>
        <v/>
      </c>
      <c r="BR61" s="5">
        <f>BR58*Eras!BR$5</f>
        <v/>
      </c>
      <c r="BS61" s="5">
        <f>BS58*Eras!BS$5</f>
        <v/>
      </c>
      <c r="BT61" s="5">
        <f>BT58*Eras!BT$5</f>
        <v/>
      </c>
      <c r="BU61" s="5">
        <f>BU58*Eras!BU$5</f>
        <v/>
      </c>
      <c r="BV61" s="5">
        <f>BV58*Eras!BV$5</f>
        <v/>
      </c>
    </row>
    <row r="63">
      <c r="A63" t="inlineStr">
        <is>
          <t>gross adds</t>
        </is>
      </c>
      <c r="B63" t="inlineStr">
        <is>
          <t>EUROPE|NITRO_M</t>
        </is>
      </c>
      <c r="C63" s="5">
        <f>MAU!C5*Params!$B$58*Eras!C$7*Params!$B$130*Params!$B$92</f>
        <v/>
      </c>
      <c r="D63" s="5">
        <f>MAU!D5*Params!$B$58*Eras!D$7*Params!$B$130*Params!$B$92</f>
        <v/>
      </c>
      <c r="E63" s="5">
        <f>MAU!E5*Params!$B$58*Eras!E$7*Params!$B$130*Params!$B$92</f>
        <v/>
      </c>
      <c r="F63" s="5">
        <f>MAU!F5*Params!$B$58*Eras!F$7*Params!$B$130*Params!$B$92</f>
        <v/>
      </c>
      <c r="G63" s="5">
        <f>MAU!G5*Params!$B$58*Eras!G$7*Params!$B$130*Params!$B$92</f>
        <v/>
      </c>
      <c r="H63" s="5">
        <f>MAU!H5*Params!$B$58*Eras!H$7*Params!$B$130*Params!$B$92</f>
        <v/>
      </c>
      <c r="I63" s="5">
        <f>MAU!I5*Params!$B$58*Eras!I$7*Params!$B$130*Params!$B$92</f>
        <v/>
      </c>
      <c r="J63" s="5">
        <f>MAU!J5*Params!$B$58*Eras!J$7*Params!$B$130*Params!$B$92</f>
        <v/>
      </c>
      <c r="K63" s="5">
        <f>MAU!K5*Params!$B$58*Eras!K$7*Params!$B$130*Params!$B$92</f>
        <v/>
      </c>
      <c r="L63" s="5">
        <f>MAU!L5*Params!$B$58*Eras!L$7*Params!$B$130*Params!$B$92</f>
        <v/>
      </c>
      <c r="M63" s="5">
        <f>MAU!M5*Params!$B$58*Eras!M$7*Params!$B$130*Params!$B$92</f>
        <v/>
      </c>
      <c r="N63" s="5">
        <f>MAU!N5*Params!$B$58*Eras!N$7*Params!$B$130*Params!$B$92</f>
        <v/>
      </c>
      <c r="O63" s="5">
        <f>MAU!O5*Params!$B$58*Eras!O$7*Params!$B$130*Params!$B$92</f>
        <v/>
      </c>
      <c r="P63" s="5">
        <f>MAU!P5*Params!$B$58*Eras!P$7*Params!$B$130*Params!$B$92</f>
        <v/>
      </c>
      <c r="Q63" s="5">
        <f>MAU!Q5*Params!$B$58*Eras!Q$7*Params!$B$130*Params!$B$92</f>
        <v/>
      </c>
      <c r="R63" s="5">
        <f>MAU!R5*Params!$B$58*Eras!R$7*Params!$B$130*Params!$B$92</f>
        <v/>
      </c>
      <c r="S63" s="5">
        <f>MAU!S5*Params!$B$58*Eras!S$7*Params!$B$130*Params!$B$92</f>
        <v/>
      </c>
      <c r="T63" s="5">
        <f>MAU!T5*Params!$B$58*Eras!T$7*Params!$B$130*Params!$B$92</f>
        <v/>
      </c>
      <c r="U63" s="5">
        <f>MAU!U5*Params!$B$58*Eras!U$7*Params!$B$130*Params!$B$92</f>
        <v/>
      </c>
      <c r="V63" s="5">
        <f>MAU!V5*Params!$B$58*Eras!V$7*Params!$B$130*Params!$B$92</f>
        <v/>
      </c>
      <c r="W63" s="5">
        <f>MAU!W5*Params!$B$58*Eras!W$7*Params!$B$130*Params!$B$92</f>
        <v/>
      </c>
      <c r="X63" s="5">
        <f>MAU!X5*Params!$B$58*Eras!X$7*Params!$B$130*Params!$B$92</f>
        <v/>
      </c>
      <c r="Y63" s="5">
        <f>MAU!Y5*Params!$B$58*Eras!Y$7*Params!$B$130*Params!$B$92</f>
        <v/>
      </c>
      <c r="Z63" s="5">
        <f>MAU!Z5*Params!$B$58*Eras!Z$7*Params!$B$130*Params!$B$92</f>
        <v/>
      </c>
      <c r="AA63" s="5">
        <f>MAU!AA5*Params!$B$58*Eras!AA$7*Params!$B$130*Params!$B$92</f>
        <v/>
      </c>
      <c r="AB63" s="5">
        <f>MAU!AB5*Params!$B$58*Eras!AB$7*Params!$B$130*Params!$B$92</f>
        <v/>
      </c>
      <c r="AC63" s="5">
        <f>MAU!AC5*Params!$B$58*Eras!AC$7*Params!$B$130*Params!$B$92</f>
        <v/>
      </c>
      <c r="AD63" s="5">
        <f>MAU!AD5*Params!$B$58*Eras!AD$7*Params!$B$130*Params!$B$92</f>
        <v/>
      </c>
      <c r="AE63" s="5">
        <f>MAU!AE5*Params!$B$58*Eras!AE$7*Params!$B$130*Params!$B$92</f>
        <v/>
      </c>
      <c r="AF63" s="5">
        <f>MAU!AF5*Params!$B$58*Eras!AF$7*Params!$B$130*Params!$B$92</f>
        <v/>
      </c>
      <c r="AG63" s="5">
        <f>MAU!AG5*Params!$B$58*Eras!AG$7*Params!$B$130*Params!$B$92</f>
        <v/>
      </c>
      <c r="AH63" s="5">
        <f>MAU!AH5*Params!$B$58*Eras!AH$7*Params!$B$130*Params!$B$92</f>
        <v/>
      </c>
      <c r="AI63" s="5">
        <f>MAU!AI5*Params!$B$58*Eras!AI$7*Params!$B$130*Params!$B$92</f>
        <v/>
      </c>
      <c r="AJ63" s="5">
        <f>MAU!AJ5*Params!$B$58*Eras!AJ$7*Params!$B$130*Params!$B$92</f>
        <v/>
      </c>
      <c r="AK63" s="5">
        <f>MAU!AK5*Params!$B$58*Eras!AK$7*Params!$B$130*Params!$B$92</f>
        <v/>
      </c>
      <c r="AL63" s="5">
        <f>MAU!AL5*Params!$B$58*Eras!AL$7*Params!$B$130*Params!$B$92</f>
        <v/>
      </c>
      <c r="AM63" s="5">
        <f>MAU!AM5*Params!$B$58*Eras!AM$7*Params!$B$130*Params!$B$92</f>
        <v/>
      </c>
      <c r="AN63" s="5">
        <f>MAU!AN5*Params!$B$58*Eras!AN$7*Params!$B$130*Params!$B$92</f>
        <v/>
      </c>
      <c r="AO63" s="5">
        <f>MAU!AO5*Params!$B$58*Eras!AO$7*Params!$B$130*Params!$B$92</f>
        <v/>
      </c>
      <c r="AP63" s="5">
        <f>MAU!AP5*Params!$B$58*Eras!AP$7*Params!$B$130*Params!$B$92</f>
        <v/>
      </c>
      <c r="AQ63" s="5">
        <f>MAU!AQ5*Params!$B$58*Eras!AQ$7*Params!$B$130*Params!$B$92</f>
        <v/>
      </c>
      <c r="AR63" s="5">
        <f>MAU!AR5*Params!$B$58*Eras!AR$7*Params!$B$130*Params!$B$92</f>
        <v/>
      </c>
      <c r="AS63" s="5">
        <f>MAU!AS5*Params!$B$58*Eras!AS$7*Params!$B$130*Params!$B$92</f>
        <v/>
      </c>
      <c r="AT63" s="5">
        <f>MAU!AT5*Params!$B$58*Eras!AT$7*Params!$B$130*Params!$B$92</f>
        <v/>
      </c>
      <c r="AU63" s="5">
        <f>MAU!AU5*Params!$B$58*Eras!AU$7*Params!$B$130*Params!$B$92</f>
        <v/>
      </c>
      <c r="AV63" s="5">
        <f>MAU!AV5*Params!$B$58*Eras!AV$7*Params!$B$130*Params!$B$92</f>
        <v/>
      </c>
      <c r="AW63" s="5">
        <f>MAU!AW5*Params!$B$58*Eras!AW$7*Params!$B$130*Params!$B$92</f>
        <v/>
      </c>
      <c r="AX63" s="5">
        <f>MAU!AX5*Params!$B$58*Eras!AX$7*Params!$B$130*Params!$B$92</f>
        <v/>
      </c>
      <c r="AY63" s="5">
        <f>MAU!AY5*Params!$B$58*Eras!AY$7*Params!$B$130*Params!$B$92</f>
        <v/>
      </c>
      <c r="AZ63" s="5">
        <f>MAU!AZ5*Params!$B$58*Eras!AZ$7*Params!$B$130*Params!$B$92</f>
        <v/>
      </c>
      <c r="BA63" s="5">
        <f>MAU!BA5*Params!$B$58*Eras!BA$7*Params!$B$130*Params!$B$92</f>
        <v/>
      </c>
      <c r="BB63" s="5">
        <f>MAU!BB5*Params!$B$58*Eras!BB$7*Params!$B$130*Params!$B$92</f>
        <v/>
      </c>
      <c r="BC63" s="5">
        <f>MAU!BC5*Params!$B$58*Eras!BC$7*Params!$B$130*Params!$B$92</f>
        <v/>
      </c>
      <c r="BD63" s="5">
        <f>MAU!BD5*Params!$B$58*Eras!BD$7*Params!$B$130*Params!$B$92</f>
        <v/>
      </c>
      <c r="BE63" s="5">
        <f>MAU!BE5*Params!$B$58*Eras!BE$7*Params!$B$130*Params!$B$92</f>
        <v/>
      </c>
      <c r="BF63" s="5">
        <f>MAU!BF5*Params!$B$58*Eras!BF$7*Params!$B$130*Params!$B$92</f>
        <v/>
      </c>
      <c r="BG63" s="5">
        <f>MAU!BG5*Params!$B$58*Eras!BG$7*Params!$B$130*Params!$B$92</f>
        <v/>
      </c>
      <c r="BH63" s="5">
        <f>MAU!BH5*Params!$B$58*Eras!BH$7*Params!$B$130*Params!$B$92</f>
        <v/>
      </c>
      <c r="BI63" s="5">
        <f>MAU!BI5*Params!$B$58*Eras!BI$7*Params!$B$130*Params!$B$92</f>
        <v/>
      </c>
      <c r="BJ63" s="5">
        <f>MAU!BJ5*Params!$B$58*Eras!BJ$7*Params!$B$130*Params!$B$92</f>
        <v/>
      </c>
      <c r="BK63" s="5">
        <f>MAU!BK5*Params!$B$58*Eras!BK$7*Params!$B$130*Params!$B$92</f>
        <v/>
      </c>
      <c r="BL63" s="5">
        <f>MAU!BL5*Params!$B$58*Eras!BL$7*Params!$B$130*Params!$B$92</f>
        <v/>
      </c>
      <c r="BM63" s="5">
        <f>MAU!BM5*Params!$B$58*Eras!BM$7*Params!$B$130*Params!$B$92</f>
        <v/>
      </c>
      <c r="BN63" s="5">
        <f>MAU!BN5*Params!$B$58*Eras!BN$7*Params!$B$130*Params!$B$92</f>
        <v/>
      </c>
      <c r="BO63" s="5">
        <f>MAU!BO5*Params!$B$58*Eras!BO$7*Params!$B$130*Params!$B$92</f>
        <v/>
      </c>
      <c r="BP63" s="5">
        <f>MAU!BP5*Params!$B$58*Eras!BP$7*Params!$B$130*Params!$B$92</f>
        <v/>
      </c>
      <c r="BQ63" s="5">
        <f>MAU!BQ5*Params!$B$58*Eras!BQ$7*Params!$B$130*Params!$B$92</f>
        <v/>
      </c>
      <c r="BR63" s="5">
        <f>MAU!BR5*Params!$B$58*Eras!BR$7*Params!$B$130*Params!$B$92</f>
        <v/>
      </c>
      <c r="BS63" s="5">
        <f>MAU!BS5*Params!$B$58*Eras!BS$7*Params!$B$130*Params!$B$92</f>
        <v/>
      </c>
      <c r="BT63" s="5">
        <f>MAU!BT5*Params!$B$58*Eras!BT$7*Params!$B$130*Params!$B$92</f>
        <v/>
      </c>
      <c r="BU63" s="5">
        <f>MAU!BU5*Params!$B$58*Eras!BU$7*Params!$B$130*Params!$B$92</f>
        <v/>
      </c>
      <c r="BV63" s="5">
        <f>MAU!BV5*Params!$B$58*Eras!BV$7*Params!$B$130*Params!$B$92</f>
        <v/>
      </c>
    </row>
    <row r="64">
      <c r="A64" t="inlineStr">
        <is>
          <t>trial starts</t>
        </is>
      </c>
      <c r="B64" t="inlineStr">
        <is>
          <t>EUROPE|NITRO_M</t>
        </is>
      </c>
      <c r="C64" s="5">
        <f>C63*Eras!C$8</f>
        <v/>
      </c>
      <c r="D64" s="5">
        <f>D63*Eras!D$8</f>
        <v/>
      </c>
      <c r="E64" s="5">
        <f>E63*Eras!E$8</f>
        <v/>
      </c>
      <c r="F64" s="5">
        <f>F63*Eras!F$8</f>
        <v/>
      </c>
      <c r="G64" s="5">
        <f>G63*Eras!G$8</f>
        <v/>
      </c>
      <c r="H64" s="5">
        <f>H63*Eras!H$8</f>
        <v/>
      </c>
      <c r="I64" s="5">
        <f>I63*Eras!I$8</f>
        <v/>
      </c>
      <c r="J64" s="5">
        <f>J63*Eras!J$8</f>
        <v/>
      </c>
      <c r="K64" s="5">
        <f>K63*Eras!K$8</f>
        <v/>
      </c>
      <c r="L64" s="5">
        <f>L63*Eras!L$8</f>
        <v/>
      </c>
      <c r="M64" s="5">
        <f>M63*Eras!M$8</f>
        <v/>
      </c>
      <c r="N64" s="5">
        <f>N63*Eras!N$8</f>
        <v/>
      </c>
      <c r="O64" s="5">
        <f>O63*Eras!O$8</f>
        <v/>
      </c>
      <c r="P64" s="5">
        <f>P63*Eras!P$8</f>
        <v/>
      </c>
      <c r="Q64" s="5">
        <f>Q63*Eras!Q$8</f>
        <v/>
      </c>
      <c r="R64" s="5">
        <f>R63*Eras!R$8</f>
        <v/>
      </c>
      <c r="S64" s="5">
        <f>S63*Eras!S$8</f>
        <v/>
      </c>
      <c r="T64" s="5">
        <f>T63*Eras!T$8</f>
        <v/>
      </c>
      <c r="U64" s="5">
        <f>U63*Eras!U$8</f>
        <v/>
      </c>
      <c r="V64" s="5">
        <f>V63*Eras!V$8</f>
        <v/>
      </c>
      <c r="W64" s="5">
        <f>W63*Eras!W$8</f>
        <v/>
      </c>
      <c r="X64" s="5">
        <f>X63*Eras!X$8</f>
        <v/>
      </c>
      <c r="Y64" s="5">
        <f>Y63*Eras!Y$8</f>
        <v/>
      </c>
      <c r="Z64" s="5">
        <f>Z63*Eras!Z$8</f>
        <v/>
      </c>
      <c r="AA64" s="5">
        <f>AA63*Eras!AA$8</f>
        <v/>
      </c>
      <c r="AB64" s="5">
        <f>AB63*Eras!AB$8</f>
        <v/>
      </c>
      <c r="AC64" s="5">
        <f>AC63*Eras!AC$8</f>
        <v/>
      </c>
      <c r="AD64" s="5">
        <f>AD63*Eras!AD$8</f>
        <v/>
      </c>
      <c r="AE64" s="5">
        <f>AE63*Eras!AE$8</f>
        <v/>
      </c>
      <c r="AF64" s="5">
        <f>AF63*Eras!AF$8</f>
        <v/>
      </c>
      <c r="AG64" s="5">
        <f>AG63*Eras!AG$8</f>
        <v/>
      </c>
      <c r="AH64" s="5">
        <f>AH63*Eras!AH$8</f>
        <v/>
      </c>
      <c r="AI64" s="5">
        <f>AI63*Eras!AI$8</f>
        <v/>
      </c>
      <c r="AJ64" s="5">
        <f>AJ63*Eras!AJ$8</f>
        <v/>
      </c>
      <c r="AK64" s="5">
        <f>AK63*Eras!AK$8</f>
        <v/>
      </c>
      <c r="AL64" s="5">
        <f>AL63*Eras!AL$8</f>
        <v/>
      </c>
      <c r="AM64" s="5">
        <f>AM63*Eras!AM$8</f>
        <v/>
      </c>
      <c r="AN64" s="5">
        <f>AN63*Eras!AN$8</f>
        <v/>
      </c>
      <c r="AO64" s="5">
        <f>AO63*Eras!AO$8</f>
        <v/>
      </c>
      <c r="AP64" s="5">
        <f>AP63*Eras!AP$8</f>
        <v/>
      </c>
      <c r="AQ64" s="5">
        <f>AQ63*Eras!AQ$8</f>
        <v/>
      </c>
      <c r="AR64" s="5">
        <f>AR63*Eras!AR$8</f>
        <v/>
      </c>
      <c r="AS64" s="5">
        <f>AS63*Eras!AS$8</f>
        <v/>
      </c>
      <c r="AT64" s="5">
        <f>AT63*Eras!AT$8</f>
        <v/>
      </c>
      <c r="AU64" s="5">
        <f>AU63*Eras!AU$8</f>
        <v/>
      </c>
      <c r="AV64" s="5">
        <f>AV63*Eras!AV$8</f>
        <v/>
      </c>
      <c r="AW64" s="5">
        <f>AW63*Eras!AW$8</f>
        <v/>
      </c>
      <c r="AX64" s="5">
        <f>AX63*Eras!AX$8</f>
        <v/>
      </c>
      <c r="AY64" s="5">
        <f>AY63*Eras!AY$8</f>
        <v/>
      </c>
      <c r="AZ64" s="5">
        <f>AZ63*Eras!AZ$8</f>
        <v/>
      </c>
      <c r="BA64" s="5">
        <f>BA63*Eras!BA$8</f>
        <v/>
      </c>
      <c r="BB64" s="5">
        <f>BB63*Eras!BB$8</f>
        <v/>
      </c>
      <c r="BC64" s="5">
        <f>BC63*Eras!BC$8</f>
        <v/>
      </c>
      <c r="BD64" s="5">
        <f>BD63*Eras!BD$8</f>
        <v/>
      </c>
      <c r="BE64" s="5">
        <f>BE63*Eras!BE$8</f>
        <v/>
      </c>
      <c r="BF64" s="5">
        <f>BF63*Eras!BF$8</f>
        <v/>
      </c>
      <c r="BG64" s="5">
        <f>BG63*Eras!BG$8</f>
        <v/>
      </c>
      <c r="BH64" s="5">
        <f>BH63*Eras!BH$8</f>
        <v/>
      </c>
      <c r="BI64" s="5">
        <f>BI63*Eras!BI$8</f>
        <v/>
      </c>
      <c r="BJ64" s="5">
        <f>BJ63*Eras!BJ$8</f>
        <v/>
      </c>
      <c r="BK64" s="5">
        <f>BK63*Eras!BK$8</f>
        <v/>
      </c>
      <c r="BL64" s="5">
        <f>BL63*Eras!BL$8</f>
        <v/>
      </c>
      <c r="BM64" s="5">
        <f>BM63*Eras!BM$8</f>
        <v/>
      </c>
      <c r="BN64" s="5">
        <f>BN63*Eras!BN$8</f>
        <v/>
      </c>
      <c r="BO64" s="5">
        <f>BO63*Eras!BO$8</f>
        <v/>
      </c>
      <c r="BP64" s="5">
        <f>BP63*Eras!BP$8</f>
        <v/>
      </c>
      <c r="BQ64" s="5">
        <f>BQ63*Eras!BQ$8</f>
        <v/>
      </c>
      <c r="BR64" s="5">
        <f>BR63*Eras!BR$8</f>
        <v/>
      </c>
      <c r="BS64" s="5">
        <f>BS63*Eras!BS$8</f>
        <v/>
      </c>
      <c r="BT64" s="5">
        <f>BT63*Eras!BT$8</f>
        <v/>
      </c>
      <c r="BU64" s="5">
        <f>BU63*Eras!BU$8</f>
        <v/>
      </c>
      <c r="BV64" s="5">
        <f>BV63*Eras!BV$8</f>
        <v/>
      </c>
    </row>
    <row r="65">
      <c r="A65" t="inlineStr">
        <is>
          <t>direct paid starts</t>
        </is>
      </c>
      <c r="B65" t="inlineStr">
        <is>
          <t>EUROPE|NITRO_M</t>
        </is>
      </c>
      <c r="C65" s="5">
        <f>C63-C64</f>
        <v/>
      </c>
      <c r="D65" s="5">
        <f>D63-D64</f>
        <v/>
      </c>
      <c r="E65" s="5">
        <f>E63-E64</f>
        <v/>
      </c>
      <c r="F65" s="5">
        <f>F63-F64</f>
        <v/>
      </c>
      <c r="G65" s="5">
        <f>G63-G64</f>
        <v/>
      </c>
      <c r="H65" s="5">
        <f>H63-H64</f>
        <v/>
      </c>
      <c r="I65" s="5">
        <f>I63-I64</f>
        <v/>
      </c>
      <c r="J65" s="5">
        <f>J63-J64</f>
        <v/>
      </c>
      <c r="K65" s="5">
        <f>K63-K64</f>
        <v/>
      </c>
      <c r="L65" s="5">
        <f>L63-L64</f>
        <v/>
      </c>
      <c r="M65" s="5">
        <f>M63-M64</f>
        <v/>
      </c>
      <c r="N65" s="5">
        <f>N63-N64</f>
        <v/>
      </c>
      <c r="O65" s="5">
        <f>O63-O64</f>
        <v/>
      </c>
      <c r="P65" s="5">
        <f>P63-P64</f>
        <v/>
      </c>
      <c r="Q65" s="5">
        <f>Q63-Q64</f>
        <v/>
      </c>
      <c r="R65" s="5">
        <f>R63-R64</f>
        <v/>
      </c>
      <c r="S65" s="5">
        <f>S63-S64</f>
        <v/>
      </c>
      <c r="T65" s="5">
        <f>T63-T64</f>
        <v/>
      </c>
      <c r="U65" s="5">
        <f>U63-U64</f>
        <v/>
      </c>
      <c r="V65" s="5">
        <f>V63-V64</f>
        <v/>
      </c>
      <c r="W65" s="5">
        <f>W63-W64</f>
        <v/>
      </c>
      <c r="X65" s="5">
        <f>X63-X64</f>
        <v/>
      </c>
      <c r="Y65" s="5">
        <f>Y63-Y64</f>
        <v/>
      </c>
      <c r="Z65" s="5">
        <f>Z63-Z64</f>
        <v/>
      </c>
      <c r="AA65" s="5">
        <f>AA63-AA64</f>
        <v/>
      </c>
      <c r="AB65" s="5">
        <f>AB63-AB64</f>
        <v/>
      </c>
      <c r="AC65" s="5">
        <f>AC63-AC64</f>
        <v/>
      </c>
      <c r="AD65" s="5">
        <f>AD63-AD64</f>
        <v/>
      </c>
      <c r="AE65" s="5">
        <f>AE63-AE64</f>
        <v/>
      </c>
      <c r="AF65" s="5">
        <f>AF63-AF64</f>
        <v/>
      </c>
      <c r="AG65" s="5">
        <f>AG63-AG64</f>
        <v/>
      </c>
      <c r="AH65" s="5">
        <f>AH63-AH64</f>
        <v/>
      </c>
      <c r="AI65" s="5">
        <f>AI63-AI64</f>
        <v/>
      </c>
      <c r="AJ65" s="5">
        <f>AJ63-AJ64</f>
        <v/>
      </c>
      <c r="AK65" s="5">
        <f>AK63-AK64</f>
        <v/>
      </c>
      <c r="AL65" s="5">
        <f>AL63-AL64</f>
        <v/>
      </c>
      <c r="AM65" s="5">
        <f>AM63-AM64</f>
        <v/>
      </c>
      <c r="AN65" s="5">
        <f>AN63-AN64</f>
        <v/>
      </c>
      <c r="AO65" s="5">
        <f>AO63-AO64</f>
        <v/>
      </c>
      <c r="AP65" s="5">
        <f>AP63-AP64</f>
        <v/>
      </c>
      <c r="AQ65" s="5">
        <f>AQ63-AQ64</f>
        <v/>
      </c>
      <c r="AR65" s="5">
        <f>AR63-AR64</f>
        <v/>
      </c>
      <c r="AS65" s="5">
        <f>AS63-AS64</f>
        <v/>
      </c>
      <c r="AT65" s="5">
        <f>AT63-AT64</f>
        <v/>
      </c>
      <c r="AU65" s="5">
        <f>AU63-AU64</f>
        <v/>
      </c>
      <c r="AV65" s="5">
        <f>AV63-AV64</f>
        <v/>
      </c>
      <c r="AW65" s="5">
        <f>AW63-AW64</f>
        <v/>
      </c>
      <c r="AX65" s="5">
        <f>AX63-AX64</f>
        <v/>
      </c>
      <c r="AY65" s="5">
        <f>AY63-AY64</f>
        <v/>
      </c>
      <c r="AZ65" s="5">
        <f>AZ63-AZ64</f>
        <v/>
      </c>
      <c r="BA65" s="5">
        <f>BA63-BA64</f>
        <v/>
      </c>
      <c r="BB65" s="5">
        <f>BB63-BB64</f>
        <v/>
      </c>
      <c r="BC65" s="5">
        <f>BC63-BC64</f>
        <v/>
      </c>
      <c r="BD65" s="5">
        <f>BD63-BD64</f>
        <v/>
      </c>
      <c r="BE65" s="5">
        <f>BE63-BE64</f>
        <v/>
      </c>
      <c r="BF65" s="5">
        <f>BF63-BF64</f>
        <v/>
      </c>
      <c r="BG65" s="5">
        <f>BG63-BG64</f>
        <v/>
      </c>
      <c r="BH65" s="5">
        <f>BH63-BH64</f>
        <v/>
      </c>
      <c r="BI65" s="5">
        <f>BI63-BI64</f>
        <v/>
      </c>
      <c r="BJ65" s="5">
        <f>BJ63-BJ64</f>
        <v/>
      </c>
      <c r="BK65" s="5">
        <f>BK63-BK64</f>
        <v/>
      </c>
      <c r="BL65" s="5">
        <f>BL63-BL64</f>
        <v/>
      </c>
      <c r="BM65" s="5">
        <f>BM63-BM64</f>
        <v/>
      </c>
      <c r="BN65" s="5">
        <f>BN63-BN64</f>
        <v/>
      </c>
      <c r="BO65" s="5">
        <f>BO63-BO64</f>
        <v/>
      </c>
      <c r="BP65" s="5">
        <f>BP63-BP64</f>
        <v/>
      </c>
      <c r="BQ65" s="5">
        <f>BQ63-BQ64</f>
        <v/>
      </c>
      <c r="BR65" s="5">
        <f>BR63-BR64</f>
        <v/>
      </c>
      <c r="BS65" s="5">
        <f>BS63-BS64</f>
        <v/>
      </c>
      <c r="BT65" s="5">
        <f>BT63-BT64</f>
        <v/>
      </c>
      <c r="BU65" s="5">
        <f>BU63-BU64</f>
        <v/>
      </c>
      <c r="BV65" s="5">
        <f>BV63-BV64</f>
        <v/>
      </c>
    </row>
    <row r="66">
      <c r="A66" t="inlineStr">
        <is>
          <t>trials ending</t>
        </is>
      </c>
      <c r="B66" t="inlineStr">
        <is>
          <t>EUROPE|NITRO_M</t>
        </is>
      </c>
      <c r="C66" s="5">
        <f>IF(C$2&gt;=Params!$B$6,INDEX($C$64:$BV$64,C$2-Params!$B$6+1),0)</f>
        <v/>
      </c>
      <c r="D66" s="5">
        <f>IF(D$2&gt;=Params!$B$6,INDEX($C$64:$BV$64,D$2-Params!$B$6+1),0)</f>
        <v/>
      </c>
      <c r="E66" s="5">
        <f>IF(E$2&gt;=Params!$B$6,INDEX($C$64:$BV$64,E$2-Params!$B$6+1),0)</f>
        <v/>
      </c>
      <c r="F66" s="5">
        <f>IF(F$2&gt;=Params!$B$6,INDEX($C$64:$BV$64,F$2-Params!$B$6+1),0)</f>
        <v/>
      </c>
      <c r="G66" s="5">
        <f>IF(G$2&gt;=Params!$B$6,INDEX($C$64:$BV$64,G$2-Params!$B$6+1),0)</f>
        <v/>
      </c>
      <c r="H66" s="5">
        <f>IF(H$2&gt;=Params!$B$6,INDEX($C$64:$BV$64,H$2-Params!$B$6+1),0)</f>
        <v/>
      </c>
      <c r="I66" s="5">
        <f>IF(I$2&gt;=Params!$B$6,INDEX($C$64:$BV$64,I$2-Params!$B$6+1),0)</f>
        <v/>
      </c>
      <c r="J66" s="5">
        <f>IF(J$2&gt;=Params!$B$6,INDEX($C$64:$BV$64,J$2-Params!$B$6+1),0)</f>
        <v/>
      </c>
      <c r="K66" s="5">
        <f>IF(K$2&gt;=Params!$B$6,INDEX($C$64:$BV$64,K$2-Params!$B$6+1),0)</f>
        <v/>
      </c>
      <c r="L66" s="5">
        <f>IF(L$2&gt;=Params!$B$6,INDEX($C$64:$BV$64,L$2-Params!$B$6+1),0)</f>
        <v/>
      </c>
      <c r="M66" s="5">
        <f>IF(M$2&gt;=Params!$B$6,INDEX($C$64:$BV$64,M$2-Params!$B$6+1),0)</f>
        <v/>
      </c>
      <c r="N66" s="5">
        <f>IF(N$2&gt;=Params!$B$6,INDEX($C$64:$BV$64,N$2-Params!$B$6+1),0)</f>
        <v/>
      </c>
      <c r="O66" s="5">
        <f>IF(O$2&gt;=Params!$B$6,INDEX($C$64:$BV$64,O$2-Params!$B$6+1),0)</f>
        <v/>
      </c>
      <c r="P66" s="5">
        <f>IF(P$2&gt;=Params!$B$6,INDEX($C$64:$BV$64,P$2-Params!$B$6+1),0)</f>
        <v/>
      </c>
      <c r="Q66" s="5">
        <f>IF(Q$2&gt;=Params!$B$6,INDEX($C$64:$BV$64,Q$2-Params!$B$6+1),0)</f>
        <v/>
      </c>
      <c r="R66" s="5">
        <f>IF(R$2&gt;=Params!$B$6,INDEX($C$64:$BV$64,R$2-Params!$B$6+1),0)</f>
        <v/>
      </c>
      <c r="S66" s="5">
        <f>IF(S$2&gt;=Params!$B$6,INDEX($C$64:$BV$64,S$2-Params!$B$6+1),0)</f>
        <v/>
      </c>
      <c r="T66" s="5">
        <f>IF(T$2&gt;=Params!$B$6,INDEX($C$64:$BV$64,T$2-Params!$B$6+1),0)</f>
        <v/>
      </c>
      <c r="U66" s="5">
        <f>IF(U$2&gt;=Params!$B$6,INDEX($C$64:$BV$64,U$2-Params!$B$6+1),0)</f>
        <v/>
      </c>
      <c r="V66" s="5">
        <f>IF(V$2&gt;=Params!$B$6,INDEX($C$64:$BV$64,V$2-Params!$B$6+1),0)</f>
        <v/>
      </c>
      <c r="W66" s="5">
        <f>IF(W$2&gt;=Params!$B$6,INDEX($C$64:$BV$64,W$2-Params!$B$6+1),0)</f>
        <v/>
      </c>
      <c r="X66" s="5">
        <f>IF(X$2&gt;=Params!$B$6,INDEX($C$64:$BV$64,X$2-Params!$B$6+1),0)</f>
        <v/>
      </c>
      <c r="Y66" s="5">
        <f>IF(Y$2&gt;=Params!$B$6,INDEX($C$64:$BV$64,Y$2-Params!$B$6+1),0)</f>
        <v/>
      </c>
      <c r="Z66" s="5">
        <f>IF(Z$2&gt;=Params!$B$6,INDEX($C$64:$BV$64,Z$2-Params!$B$6+1),0)</f>
        <v/>
      </c>
      <c r="AA66" s="5">
        <f>IF(AA$2&gt;=Params!$B$6,INDEX($C$64:$BV$64,AA$2-Params!$B$6+1),0)</f>
        <v/>
      </c>
      <c r="AB66" s="5">
        <f>IF(AB$2&gt;=Params!$B$6,INDEX($C$64:$BV$64,AB$2-Params!$B$6+1),0)</f>
        <v/>
      </c>
      <c r="AC66" s="5">
        <f>IF(AC$2&gt;=Params!$B$6,INDEX($C$64:$BV$64,AC$2-Params!$B$6+1),0)</f>
        <v/>
      </c>
      <c r="AD66" s="5">
        <f>IF(AD$2&gt;=Params!$B$6,INDEX($C$64:$BV$64,AD$2-Params!$B$6+1),0)</f>
        <v/>
      </c>
      <c r="AE66" s="5">
        <f>IF(AE$2&gt;=Params!$B$6,INDEX($C$64:$BV$64,AE$2-Params!$B$6+1),0)</f>
        <v/>
      </c>
      <c r="AF66" s="5">
        <f>IF(AF$2&gt;=Params!$B$6,INDEX($C$64:$BV$64,AF$2-Params!$B$6+1),0)</f>
        <v/>
      </c>
      <c r="AG66" s="5">
        <f>IF(AG$2&gt;=Params!$B$6,INDEX($C$64:$BV$64,AG$2-Params!$B$6+1),0)</f>
        <v/>
      </c>
      <c r="AH66" s="5">
        <f>IF(AH$2&gt;=Params!$B$6,INDEX($C$64:$BV$64,AH$2-Params!$B$6+1),0)</f>
        <v/>
      </c>
      <c r="AI66" s="5">
        <f>IF(AI$2&gt;=Params!$B$6,INDEX($C$64:$BV$64,AI$2-Params!$B$6+1),0)</f>
        <v/>
      </c>
      <c r="AJ66" s="5">
        <f>IF(AJ$2&gt;=Params!$B$6,INDEX($C$64:$BV$64,AJ$2-Params!$B$6+1),0)</f>
        <v/>
      </c>
      <c r="AK66" s="5">
        <f>IF(AK$2&gt;=Params!$B$6,INDEX($C$64:$BV$64,AK$2-Params!$B$6+1),0)</f>
        <v/>
      </c>
      <c r="AL66" s="5">
        <f>IF(AL$2&gt;=Params!$B$6,INDEX($C$64:$BV$64,AL$2-Params!$B$6+1),0)</f>
        <v/>
      </c>
      <c r="AM66" s="5">
        <f>IF(AM$2&gt;=Params!$B$6,INDEX($C$64:$BV$64,AM$2-Params!$B$6+1),0)</f>
        <v/>
      </c>
      <c r="AN66" s="5">
        <f>IF(AN$2&gt;=Params!$B$6,INDEX($C$64:$BV$64,AN$2-Params!$B$6+1),0)</f>
        <v/>
      </c>
      <c r="AO66" s="5">
        <f>IF(AO$2&gt;=Params!$B$6,INDEX($C$64:$BV$64,AO$2-Params!$B$6+1),0)</f>
        <v/>
      </c>
      <c r="AP66" s="5">
        <f>IF(AP$2&gt;=Params!$B$6,INDEX($C$64:$BV$64,AP$2-Params!$B$6+1),0)</f>
        <v/>
      </c>
      <c r="AQ66" s="5">
        <f>IF(AQ$2&gt;=Params!$B$6,INDEX($C$64:$BV$64,AQ$2-Params!$B$6+1),0)</f>
        <v/>
      </c>
      <c r="AR66" s="5">
        <f>IF(AR$2&gt;=Params!$B$6,INDEX($C$64:$BV$64,AR$2-Params!$B$6+1),0)</f>
        <v/>
      </c>
      <c r="AS66" s="5">
        <f>IF(AS$2&gt;=Params!$B$6,INDEX($C$64:$BV$64,AS$2-Params!$B$6+1),0)</f>
        <v/>
      </c>
      <c r="AT66" s="5">
        <f>IF(AT$2&gt;=Params!$B$6,INDEX($C$64:$BV$64,AT$2-Params!$B$6+1),0)</f>
        <v/>
      </c>
      <c r="AU66" s="5">
        <f>IF(AU$2&gt;=Params!$B$6,INDEX($C$64:$BV$64,AU$2-Params!$B$6+1),0)</f>
        <v/>
      </c>
      <c r="AV66" s="5">
        <f>IF(AV$2&gt;=Params!$B$6,INDEX($C$64:$BV$64,AV$2-Params!$B$6+1),0)</f>
        <v/>
      </c>
      <c r="AW66" s="5">
        <f>IF(AW$2&gt;=Params!$B$6,INDEX($C$64:$BV$64,AW$2-Params!$B$6+1),0)</f>
        <v/>
      </c>
      <c r="AX66" s="5">
        <f>IF(AX$2&gt;=Params!$B$6,INDEX($C$64:$BV$64,AX$2-Params!$B$6+1),0)</f>
        <v/>
      </c>
      <c r="AY66" s="5">
        <f>IF(AY$2&gt;=Params!$B$6,INDEX($C$64:$BV$64,AY$2-Params!$B$6+1),0)</f>
        <v/>
      </c>
      <c r="AZ66" s="5">
        <f>IF(AZ$2&gt;=Params!$B$6,INDEX($C$64:$BV$64,AZ$2-Params!$B$6+1),0)</f>
        <v/>
      </c>
      <c r="BA66" s="5">
        <f>IF(BA$2&gt;=Params!$B$6,INDEX($C$64:$BV$64,BA$2-Params!$B$6+1),0)</f>
        <v/>
      </c>
      <c r="BB66" s="5">
        <f>IF(BB$2&gt;=Params!$B$6,INDEX($C$64:$BV$64,BB$2-Params!$B$6+1),0)</f>
        <v/>
      </c>
      <c r="BC66" s="5">
        <f>IF(BC$2&gt;=Params!$B$6,INDEX($C$64:$BV$64,BC$2-Params!$B$6+1),0)</f>
        <v/>
      </c>
      <c r="BD66" s="5">
        <f>IF(BD$2&gt;=Params!$B$6,INDEX($C$64:$BV$64,BD$2-Params!$B$6+1),0)</f>
        <v/>
      </c>
      <c r="BE66" s="5">
        <f>IF(BE$2&gt;=Params!$B$6,INDEX($C$64:$BV$64,BE$2-Params!$B$6+1),0)</f>
        <v/>
      </c>
      <c r="BF66" s="5">
        <f>IF(BF$2&gt;=Params!$B$6,INDEX($C$64:$BV$64,BF$2-Params!$B$6+1),0)</f>
        <v/>
      </c>
      <c r="BG66" s="5">
        <f>IF(BG$2&gt;=Params!$B$6,INDEX($C$64:$BV$64,BG$2-Params!$B$6+1),0)</f>
        <v/>
      </c>
      <c r="BH66" s="5">
        <f>IF(BH$2&gt;=Params!$B$6,INDEX($C$64:$BV$64,BH$2-Params!$B$6+1),0)</f>
        <v/>
      </c>
      <c r="BI66" s="5">
        <f>IF(BI$2&gt;=Params!$B$6,INDEX($C$64:$BV$64,BI$2-Params!$B$6+1),0)</f>
        <v/>
      </c>
      <c r="BJ66" s="5">
        <f>IF(BJ$2&gt;=Params!$B$6,INDEX($C$64:$BV$64,BJ$2-Params!$B$6+1),0)</f>
        <v/>
      </c>
      <c r="BK66" s="5">
        <f>IF(BK$2&gt;=Params!$B$6,INDEX($C$64:$BV$64,BK$2-Params!$B$6+1),0)</f>
        <v/>
      </c>
      <c r="BL66" s="5">
        <f>IF(BL$2&gt;=Params!$B$6,INDEX($C$64:$BV$64,BL$2-Params!$B$6+1),0)</f>
        <v/>
      </c>
      <c r="BM66" s="5">
        <f>IF(BM$2&gt;=Params!$B$6,INDEX($C$64:$BV$64,BM$2-Params!$B$6+1),0)</f>
        <v/>
      </c>
      <c r="BN66" s="5">
        <f>IF(BN$2&gt;=Params!$B$6,INDEX($C$64:$BV$64,BN$2-Params!$B$6+1),0)</f>
        <v/>
      </c>
      <c r="BO66" s="5">
        <f>IF(BO$2&gt;=Params!$B$6,INDEX($C$64:$BV$64,BO$2-Params!$B$6+1),0)</f>
        <v/>
      </c>
      <c r="BP66" s="5">
        <f>IF(BP$2&gt;=Params!$B$6,INDEX($C$64:$BV$64,BP$2-Params!$B$6+1),0)</f>
        <v/>
      </c>
      <c r="BQ66" s="5">
        <f>IF(BQ$2&gt;=Params!$B$6,INDEX($C$64:$BV$64,BQ$2-Params!$B$6+1),0)</f>
        <v/>
      </c>
      <c r="BR66" s="5">
        <f>IF(BR$2&gt;=Params!$B$6,INDEX($C$64:$BV$64,BR$2-Params!$B$6+1),0)</f>
        <v/>
      </c>
      <c r="BS66" s="5">
        <f>IF(BS$2&gt;=Params!$B$6,INDEX($C$64:$BV$64,BS$2-Params!$B$6+1),0)</f>
        <v/>
      </c>
      <c r="BT66" s="5">
        <f>IF(BT$2&gt;=Params!$B$6,INDEX($C$64:$BV$64,BT$2-Params!$B$6+1),0)</f>
        <v/>
      </c>
      <c r="BU66" s="5">
        <f>IF(BU$2&gt;=Params!$B$6,INDEX($C$64:$BV$64,BU$2-Params!$B$6+1),0)</f>
        <v/>
      </c>
      <c r="BV66" s="5">
        <f>IF(BV$2&gt;=Params!$B$6,INDEX($C$64:$BV$64,BV$2-Params!$B$6+1),0)</f>
        <v/>
      </c>
    </row>
    <row r="67">
      <c r="A67" t="inlineStr">
        <is>
          <t>trial starts x conversion</t>
        </is>
      </c>
      <c r="B67" t="inlineStr">
        <is>
          <t>EUROPE|NITRO_M</t>
        </is>
      </c>
      <c r="C67" s="5">
        <f>C64*Eras!C$9</f>
        <v/>
      </c>
      <c r="D67" s="5">
        <f>D64*Eras!D$9</f>
        <v/>
      </c>
      <c r="E67" s="5">
        <f>E64*Eras!E$9</f>
        <v/>
      </c>
      <c r="F67" s="5">
        <f>F64*Eras!F$9</f>
        <v/>
      </c>
      <c r="G67" s="5">
        <f>G64*Eras!G$9</f>
        <v/>
      </c>
      <c r="H67" s="5">
        <f>H64*Eras!H$9</f>
        <v/>
      </c>
      <c r="I67" s="5">
        <f>I64*Eras!I$9</f>
        <v/>
      </c>
      <c r="J67" s="5">
        <f>J64*Eras!J$9</f>
        <v/>
      </c>
      <c r="K67" s="5">
        <f>K64*Eras!K$9</f>
        <v/>
      </c>
      <c r="L67" s="5">
        <f>L64*Eras!L$9</f>
        <v/>
      </c>
      <c r="M67" s="5">
        <f>M64*Eras!M$9</f>
        <v/>
      </c>
      <c r="N67" s="5">
        <f>N64*Eras!N$9</f>
        <v/>
      </c>
      <c r="O67" s="5">
        <f>O64*Eras!O$9</f>
        <v/>
      </c>
      <c r="P67" s="5">
        <f>P64*Eras!P$9</f>
        <v/>
      </c>
      <c r="Q67" s="5">
        <f>Q64*Eras!Q$9</f>
        <v/>
      </c>
      <c r="R67" s="5">
        <f>R64*Eras!R$9</f>
        <v/>
      </c>
      <c r="S67" s="5">
        <f>S64*Eras!S$9</f>
        <v/>
      </c>
      <c r="T67" s="5">
        <f>T64*Eras!T$9</f>
        <v/>
      </c>
      <c r="U67" s="5">
        <f>U64*Eras!U$9</f>
        <v/>
      </c>
      <c r="V67" s="5">
        <f>V64*Eras!V$9</f>
        <v/>
      </c>
      <c r="W67" s="5">
        <f>W64*Eras!W$9</f>
        <v/>
      </c>
      <c r="X67" s="5">
        <f>X64*Eras!X$9</f>
        <v/>
      </c>
      <c r="Y67" s="5">
        <f>Y64*Eras!Y$9</f>
        <v/>
      </c>
      <c r="Z67" s="5">
        <f>Z64*Eras!Z$9</f>
        <v/>
      </c>
      <c r="AA67" s="5">
        <f>AA64*Eras!AA$9</f>
        <v/>
      </c>
      <c r="AB67" s="5">
        <f>AB64*Eras!AB$9</f>
        <v/>
      </c>
      <c r="AC67" s="5">
        <f>AC64*Eras!AC$9</f>
        <v/>
      </c>
      <c r="AD67" s="5">
        <f>AD64*Eras!AD$9</f>
        <v/>
      </c>
      <c r="AE67" s="5">
        <f>AE64*Eras!AE$9</f>
        <v/>
      </c>
      <c r="AF67" s="5">
        <f>AF64*Eras!AF$9</f>
        <v/>
      </c>
      <c r="AG67" s="5">
        <f>AG64*Eras!AG$9</f>
        <v/>
      </c>
      <c r="AH67" s="5">
        <f>AH64*Eras!AH$9</f>
        <v/>
      </c>
      <c r="AI67" s="5">
        <f>AI64*Eras!AI$9</f>
        <v/>
      </c>
      <c r="AJ67" s="5">
        <f>AJ64*Eras!AJ$9</f>
        <v/>
      </c>
      <c r="AK67" s="5">
        <f>AK64*Eras!AK$9</f>
        <v/>
      </c>
      <c r="AL67" s="5">
        <f>AL64*Eras!AL$9</f>
        <v/>
      </c>
      <c r="AM67" s="5">
        <f>AM64*Eras!AM$9</f>
        <v/>
      </c>
      <c r="AN67" s="5">
        <f>AN64*Eras!AN$9</f>
        <v/>
      </c>
      <c r="AO67" s="5">
        <f>AO64*Eras!AO$9</f>
        <v/>
      </c>
      <c r="AP67" s="5">
        <f>AP64*Eras!AP$9</f>
        <v/>
      </c>
      <c r="AQ67" s="5">
        <f>AQ64*Eras!AQ$9</f>
        <v/>
      </c>
      <c r="AR67" s="5">
        <f>AR64*Eras!AR$9</f>
        <v/>
      </c>
      <c r="AS67" s="5">
        <f>AS64*Eras!AS$9</f>
        <v/>
      </c>
      <c r="AT67" s="5">
        <f>AT64*Eras!AT$9</f>
        <v/>
      </c>
      <c r="AU67" s="5">
        <f>AU64*Eras!AU$9</f>
        <v/>
      </c>
      <c r="AV67" s="5">
        <f>AV64*Eras!AV$9</f>
        <v/>
      </c>
      <c r="AW67" s="5">
        <f>AW64*Eras!AW$9</f>
        <v/>
      </c>
      <c r="AX67" s="5">
        <f>AX64*Eras!AX$9</f>
        <v/>
      </c>
      <c r="AY67" s="5">
        <f>AY64*Eras!AY$9</f>
        <v/>
      </c>
      <c r="AZ67" s="5">
        <f>AZ64*Eras!AZ$9</f>
        <v/>
      </c>
      <c r="BA67" s="5">
        <f>BA64*Eras!BA$9</f>
        <v/>
      </c>
      <c r="BB67" s="5">
        <f>BB64*Eras!BB$9</f>
        <v/>
      </c>
      <c r="BC67" s="5">
        <f>BC64*Eras!BC$9</f>
        <v/>
      </c>
      <c r="BD67" s="5">
        <f>BD64*Eras!BD$9</f>
        <v/>
      </c>
      <c r="BE67" s="5">
        <f>BE64*Eras!BE$9</f>
        <v/>
      </c>
      <c r="BF67" s="5">
        <f>BF64*Eras!BF$9</f>
        <v/>
      </c>
      <c r="BG67" s="5">
        <f>BG64*Eras!BG$9</f>
        <v/>
      </c>
      <c r="BH67" s="5">
        <f>BH64*Eras!BH$9</f>
        <v/>
      </c>
      <c r="BI67" s="5">
        <f>BI64*Eras!BI$9</f>
        <v/>
      </c>
      <c r="BJ67" s="5">
        <f>BJ64*Eras!BJ$9</f>
        <v/>
      </c>
      <c r="BK67" s="5">
        <f>BK64*Eras!BK$9</f>
        <v/>
      </c>
      <c r="BL67" s="5">
        <f>BL64*Eras!BL$9</f>
        <v/>
      </c>
      <c r="BM67" s="5">
        <f>BM64*Eras!BM$9</f>
        <v/>
      </c>
      <c r="BN67" s="5">
        <f>BN64*Eras!BN$9</f>
        <v/>
      </c>
      <c r="BO67" s="5">
        <f>BO64*Eras!BO$9</f>
        <v/>
      </c>
      <c r="BP67" s="5">
        <f>BP64*Eras!BP$9</f>
        <v/>
      </c>
      <c r="BQ67" s="5">
        <f>BQ64*Eras!BQ$9</f>
        <v/>
      </c>
      <c r="BR67" s="5">
        <f>BR64*Eras!BR$9</f>
        <v/>
      </c>
      <c r="BS67" s="5">
        <f>BS64*Eras!BS$9</f>
        <v/>
      </c>
      <c r="BT67" s="5">
        <f>BT64*Eras!BT$9</f>
        <v/>
      </c>
      <c r="BU67" s="5">
        <f>BU64*Eras!BU$9</f>
        <v/>
      </c>
      <c r="BV67" s="5">
        <f>BV64*Eras!BV$9</f>
        <v/>
      </c>
    </row>
    <row r="68">
      <c r="A68" t="inlineStr">
        <is>
          <t>trials converted</t>
        </is>
      </c>
      <c r="B68" t="inlineStr">
        <is>
          <t>EUROPE|NITRO_M</t>
        </is>
      </c>
      <c r="C68" s="5">
        <f>IF(C$2&gt;=Params!$B$6,INDEX($C$67:$BV$67,C$2-Params!$B$6+1),0)</f>
        <v/>
      </c>
      <c r="D68" s="5">
        <f>IF(D$2&gt;=Params!$B$6,INDEX($C$67:$BV$67,D$2-Params!$B$6+1),0)</f>
        <v/>
      </c>
      <c r="E68" s="5">
        <f>IF(E$2&gt;=Params!$B$6,INDEX($C$67:$BV$67,E$2-Params!$B$6+1),0)</f>
        <v/>
      </c>
      <c r="F68" s="5">
        <f>IF(F$2&gt;=Params!$B$6,INDEX($C$67:$BV$67,F$2-Params!$B$6+1),0)</f>
        <v/>
      </c>
      <c r="G68" s="5">
        <f>IF(G$2&gt;=Params!$B$6,INDEX($C$67:$BV$67,G$2-Params!$B$6+1),0)</f>
        <v/>
      </c>
      <c r="H68" s="5">
        <f>IF(H$2&gt;=Params!$B$6,INDEX($C$67:$BV$67,H$2-Params!$B$6+1),0)</f>
        <v/>
      </c>
      <c r="I68" s="5">
        <f>IF(I$2&gt;=Params!$B$6,INDEX($C$67:$BV$67,I$2-Params!$B$6+1),0)</f>
        <v/>
      </c>
      <c r="J68" s="5">
        <f>IF(J$2&gt;=Params!$B$6,INDEX($C$67:$BV$67,J$2-Params!$B$6+1),0)</f>
        <v/>
      </c>
      <c r="K68" s="5">
        <f>IF(K$2&gt;=Params!$B$6,INDEX($C$67:$BV$67,K$2-Params!$B$6+1),0)</f>
        <v/>
      </c>
      <c r="L68" s="5">
        <f>IF(L$2&gt;=Params!$B$6,INDEX($C$67:$BV$67,L$2-Params!$B$6+1),0)</f>
        <v/>
      </c>
      <c r="M68" s="5">
        <f>IF(M$2&gt;=Params!$B$6,INDEX($C$67:$BV$67,M$2-Params!$B$6+1),0)</f>
        <v/>
      </c>
      <c r="N68" s="5">
        <f>IF(N$2&gt;=Params!$B$6,INDEX($C$67:$BV$67,N$2-Params!$B$6+1),0)</f>
        <v/>
      </c>
      <c r="O68" s="5">
        <f>IF(O$2&gt;=Params!$B$6,INDEX($C$67:$BV$67,O$2-Params!$B$6+1),0)</f>
        <v/>
      </c>
      <c r="P68" s="5">
        <f>IF(P$2&gt;=Params!$B$6,INDEX($C$67:$BV$67,P$2-Params!$B$6+1),0)</f>
        <v/>
      </c>
      <c r="Q68" s="5">
        <f>IF(Q$2&gt;=Params!$B$6,INDEX($C$67:$BV$67,Q$2-Params!$B$6+1),0)</f>
        <v/>
      </c>
      <c r="R68" s="5">
        <f>IF(R$2&gt;=Params!$B$6,INDEX($C$67:$BV$67,R$2-Params!$B$6+1),0)</f>
        <v/>
      </c>
      <c r="S68" s="5">
        <f>IF(S$2&gt;=Params!$B$6,INDEX($C$67:$BV$67,S$2-Params!$B$6+1),0)</f>
        <v/>
      </c>
      <c r="T68" s="5">
        <f>IF(T$2&gt;=Params!$B$6,INDEX($C$67:$BV$67,T$2-Params!$B$6+1),0)</f>
        <v/>
      </c>
      <c r="U68" s="5">
        <f>IF(U$2&gt;=Params!$B$6,INDEX($C$67:$BV$67,U$2-Params!$B$6+1),0)</f>
        <v/>
      </c>
      <c r="V68" s="5">
        <f>IF(V$2&gt;=Params!$B$6,INDEX($C$67:$BV$67,V$2-Params!$B$6+1),0)</f>
        <v/>
      </c>
      <c r="W68" s="5">
        <f>IF(W$2&gt;=Params!$B$6,INDEX($C$67:$BV$67,W$2-Params!$B$6+1),0)</f>
        <v/>
      </c>
      <c r="X68" s="5">
        <f>IF(X$2&gt;=Params!$B$6,INDEX($C$67:$BV$67,X$2-Params!$B$6+1),0)</f>
        <v/>
      </c>
      <c r="Y68" s="5">
        <f>IF(Y$2&gt;=Params!$B$6,INDEX($C$67:$BV$67,Y$2-Params!$B$6+1),0)</f>
        <v/>
      </c>
      <c r="Z68" s="5">
        <f>IF(Z$2&gt;=Params!$B$6,INDEX($C$67:$BV$67,Z$2-Params!$B$6+1),0)</f>
        <v/>
      </c>
      <c r="AA68" s="5">
        <f>IF(AA$2&gt;=Params!$B$6,INDEX($C$67:$BV$67,AA$2-Params!$B$6+1),0)</f>
        <v/>
      </c>
      <c r="AB68" s="5">
        <f>IF(AB$2&gt;=Params!$B$6,INDEX($C$67:$BV$67,AB$2-Params!$B$6+1),0)</f>
        <v/>
      </c>
      <c r="AC68" s="5">
        <f>IF(AC$2&gt;=Params!$B$6,INDEX($C$67:$BV$67,AC$2-Params!$B$6+1),0)</f>
        <v/>
      </c>
      <c r="AD68" s="5">
        <f>IF(AD$2&gt;=Params!$B$6,INDEX($C$67:$BV$67,AD$2-Params!$B$6+1),0)</f>
        <v/>
      </c>
      <c r="AE68" s="5">
        <f>IF(AE$2&gt;=Params!$B$6,INDEX($C$67:$BV$67,AE$2-Params!$B$6+1),0)</f>
        <v/>
      </c>
      <c r="AF68" s="5">
        <f>IF(AF$2&gt;=Params!$B$6,INDEX($C$67:$BV$67,AF$2-Params!$B$6+1),0)</f>
        <v/>
      </c>
      <c r="AG68" s="5">
        <f>IF(AG$2&gt;=Params!$B$6,INDEX($C$67:$BV$67,AG$2-Params!$B$6+1),0)</f>
        <v/>
      </c>
      <c r="AH68" s="5">
        <f>IF(AH$2&gt;=Params!$B$6,INDEX($C$67:$BV$67,AH$2-Params!$B$6+1),0)</f>
        <v/>
      </c>
      <c r="AI68" s="5">
        <f>IF(AI$2&gt;=Params!$B$6,INDEX($C$67:$BV$67,AI$2-Params!$B$6+1),0)</f>
        <v/>
      </c>
      <c r="AJ68" s="5">
        <f>IF(AJ$2&gt;=Params!$B$6,INDEX($C$67:$BV$67,AJ$2-Params!$B$6+1),0)</f>
        <v/>
      </c>
      <c r="AK68" s="5">
        <f>IF(AK$2&gt;=Params!$B$6,INDEX($C$67:$BV$67,AK$2-Params!$B$6+1),0)</f>
        <v/>
      </c>
      <c r="AL68" s="5">
        <f>IF(AL$2&gt;=Params!$B$6,INDEX($C$67:$BV$67,AL$2-Params!$B$6+1),0)</f>
        <v/>
      </c>
      <c r="AM68" s="5">
        <f>IF(AM$2&gt;=Params!$B$6,INDEX($C$67:$BV$67,AM$2-Params!$B$6+1),0)</f>
        <v/>
      </c>
      <c r="AN68" s="5">
        <f>IF(AN$2&gt;=Params!$B$6,INDEX($C$67:$BV$67,AN$2-Params!$B$6+1),0)</f>
        <v/>
      </c>
      <c r="AO68" s="5">
        <f>IF(AO$2&gt;=Params!$B$6,INDEX($C$67:$BV$67,AO$2-Params!$B$6+1),0)</f>
        <v/>
      </c>
      <c r="AP68" s="5">
        <f>IF(AP$2&gt;=Params!$B$6,INDEX($C$67:$BV$67,AP$2-Params!$B$6+1),0)</f>
        <v/>
      </c>
      <c r="AQ68" s="5">
        <f>IF(AQ$2&gt;=Params!$B$6,INDEX($C$67:$BV$67,AQ$2-Params!$B$6+1),0)</f>
        <v/>
      </c>
      <c r="AR68" s="5">
        <f>IF(AR$2&gt;=Params!$B$6,INDEX($C$67:$BV$67,AR$2-Params!$B$6+1),0)</f>
        <v/>
      </c>
      <c r="AS68" s="5">
        <f>IF(AS$2&gt;=Params!$B$6,INDEX($C$67:$BV$67,AS$2-Params!$B$6+1),0)</f>
        <v/>
      </c>
      <c r="AT68" s="5">
        <f>IF(AT$2&gt;=Params!$B$6,INDEX($C$67:$BV$67,AT$2-Params!$B$6+1),0)</f>
        <v/>
      </c>
      <c r="AU68" s="5">
        <f>IF(AU$2&gt;=Params!$B$6,INDEX($C$67:$BV$67,AU$2-Params!$B$6+1),0)</f>
        <v/>
      </c>
      <c r="AV68" s="5">
        <f>IF(AV$2&gt;=Params!$B$6,INDEX($C$67:$BV$67,AV$2-Params!$B$6+1),0)</f>
        <v/>
      </c>
      <c r="AW68" s="5">
        <f>IF(AW$2&gt;=Params!$B$6,INDEX($C$67:$BV$67,AW$2-Params!$B$6+1),0)</f>
        <v/>
      </c>
      <c r="AX68" s="5">
        <f>IF(AX$2&gt;=Params!$B$6,INDEX($C$67:$BV$67,AX$2-Params!$B$6+1),0)</f>
        <v/>
      </c>
      <c r="AY68" s="5">
        <f>IF(AY$2&gt;=Params!$B$6,INDEX($C$67:$BV$67,AY$2-Params!$B$6+1),0)</f>
        <v/>
      </c>
      <c r="AZ68" s="5">
        <f>IF(AZ$2&gt;=Params!$B$6,INDEX($C$67:$BV$67,AZ$2-Params!$B$6+1),0)</f>
        <v/>
      </c>
      <c r="BA68" s="5">
        <f>IF(BA$2&gt;=Params!$B$6,INDEX($C$67:$BV$67,BA$2-Params!$B$6+1),0)</f>
        <v/>
      </c>
      <c r="BB68" s="5">
        <f>IF(BB$2&gt;=Params!$B$6,INDEX($C$67:$BV$67,BB$2-Params!$B$6+1),0)</f>
        <v/>
      </c>
      <c r="BC68" s="5">
        <f>IF(BC$2&gt;=Params!$B$6,INDEX($C$67:$BV$67,BC$2-Params!$B$6+1),0)</f>
        <v/>
      </c>
      <c r="BD68" s="5">
        <f>IF(BD$2&gt;=Params!$B$6,INDEX($C$67:$BV$67,BD$2-Params!$B$6+1),0)</f>
        <v/>
      </c>
      <c r="BE68" s="5">
        <f>IF(BE$2&gt;=Params!$B$6,INDEX($C$67:$BV$67,BE$2-Params!$B$6+1),0)</f>
        <v/>
      </c>
      <c r="BF68" s="5">
        <f>IF(BF$2&gt;=Params!$B$6,INDEX($C$67:$BV$67,BF$2-Params!$B$6+1),0)</f>
        <v/>
      </c>
      <c r="BG68" s="5">
        <f>IF(BG$2&gt;=Params!$B$6,INDEX($C$67:$BV$67,BG$2-Params!$B$6+1),0)</f>
        <v/>
      </c>
      <c r="BH68" s="5">
        <f>IF(BH$2&gt;=Params!$B$6,INDEX($C$67:$BV$67,BH$2-Params!$B$6+1),0)</f>
        <v/>
      </c>
      <c r="BI68" s="5">
        <f>IF(BI$2&gt;=Params!$B$6,INDEX($C$67:$BV$67,BI$2-Params!$B$6+1),0)</f>
        <v/>
      </c>
      <c r="BJ68" s="5">
        <f>IF(BJ$2&gt;=Params!$B$6,INDEX($C$67:$BV$67,BJ$2-Params!$B$6+1),0)</f>
        <v/>
      </c>
      <c r="BK68" s="5">
        <f>IF(BK$2&gt;=Params!$B$6,INDEX($C$67:$BV$67,BK$2-Params!$B$6+1),0)</f>
        <v/>
      </c>
      <c r="BL68" s="5">
        <f>IF(BL$2&gt;=Params!$B$6,INDEX($C$67:$BV$67,BL$2-Params!$B$6+1),0)</f>
        <v/>
      </c>
      <c r="BM68" s="5">
        <f>IF(BM$2&gt;=Params!$B$6,INDEX($C$67:$BV$67,BM$2-Params!$B$6+1),0)</f>
        <v/>
      </c>
      <c r="BN68" s="5">
        <f>IF(BN$2&gt;=Params!$B$6,INDEX($C$67:$BV$67,BN$2-Params!$B$6+1),0)</f>
        <v/>
      </c>
      <c r="BO68" s="5">
        <f>IF(BO$2&gt;=Params!$B$6,INDEX($C$67:$BV$67,BO$2-Params!$B$6+1),0)</f>
        <v/>
      </c>
      <c r="BP68" s="5">
        <f>IF(BP$2&gt;=Params!$B$6,INDEX($C$67:$BV$67,BP$2-Params!$B$6+1),0)</f>
        <v/>
      </c>
      <c r="BQ68" s="5">
        <f>IF(BQ$2&gt;=Params!$B$6,INDEX($C$67:$BV$67,BQ$2-Params!$B$6+1),0)</f>
        <v/>
      </c>
      <c r="BR68" s="5">
        <f>IF(BR$2&gt;=Params!$B$6,INDEX($C$67:$BV$67,BR$2-Params!$B$6+1),0)</f>
        <v/>
      </c>
      <c r="BS68" s="5">
        <f>IF(BS$2&gt;=Params!$B$6,INDEX($C$67:$BV$67,BS$2-Params!$B$6+1),0)</f>
        <v/>
      </c>
      <c r="BT68" s="5">
        <f>IF(BT$2&gt;=Params!$B$6,INDEX($C$67:$BV$67,BT$2-Params!$B$6+1),0)</f>
        <v/>
      </c>
      <c r="BU68" s="5">
        <f>IF(BU$2&gt;=Params!$B$6,INDEX($C$67:$BV$67,BU$2-Params!$B$6+1),0)</f>
        <v/>
      </c>
      <c r="BV68" s="5">
        <f>IF(BV$2&gt;=Params!$B$6,INDEX($C$67:$BV$67,BV$2-Params!$B$6+1),0)</f>
        <v/>
      </c>
    </row>
    <row r="69">
      <c r="A69" t="inlineStr">
        <is>
          <t>trials lost</t>
        </is>
      </c>
      <c r="B69" t="inlineStr">
        <is>
          <t>EUROPE|NITRO_M</t>
        </is>
      </c>
      <c r="C69" s="5">
        <f>C66-C68</f>
        <v/>
      </c>
      <c r="D69" s="5">
        <f>D66-D68</f>
        <v/>
      </c>
      <c r="E69" s="5">
        <f>E66-E68</f>
        <v/>
      </c>
      <c r="F69" s="5">
        <f>F66-F68</f>
        <v/>
      </c>
      <c r="G69" s="5">
        <f>G66-G68</f>
        <v/>
      </c>
      <c r="H69" s="5">
        <f>H66-H68</f>
        <v/>
      </c>
      <c r="I69" s="5">
        <f>I66-I68</f>
        <v/>
      </c>
      <c r="J69" s="5">
        <f>J66-J68</f>
        <v/>
      </c>
      <c r="K69" s="5">
        <f>K66-K68</f>
        <v/>
      </c>
      <c r="L69" s="5">
        <f>L66-L68</f>
        <v/>
      </c>
      <c r="M69" s="5">
        <f>M66-M68</f>
        <v/>
      </c>
      <c r="N69" s="5">
        <f>N66-N68</f>
        <v/>
      </c>
      <c r="O69" s="5">
        <f>O66-O68</f>
        <v/>
      </c>
      <c r="P69" s="5">
        <f>P66-P68</f>
        <v/>
      </c>
      <c r="Q69" s="5">
        <f>Q66-Q68</f>
        <v/>
      </c>
      <c r="R69" s="5">
        <f>R66-R68</f>
        <v/>
      </c>
      <c r="S69" s="5">
        <f>S66-S68</f>
        <v/>
      </c>
      <c r="T69" s="5">
        <f>T66-T68</f>
        <v/>
      </c>
      <c r="U69" s="5">
        <f>U66-U68</f>
        <v/>
      </c>
      <c r="V69" s="5">
        <f>V66-V68</f>
        <v/>
      </c>
      <c r="W69" s="5">
        <f>W66-W68</f>
        <v/>
      </c>
      <c r="X69" s="5">
        <f>X66-X68</f>
        <v/>
      </c>
      <c r="Y69" s="5">
        <f>Y66-Y68</f>
        <v/>
      </c>
      <c r="Z69" s="5">
        <f>Z66-Z68</f>
        <v/>
      </c>
      <c r="AA69" s="5">
        <f>AA66-AA68</f>
        <v/>
      </c>
      <c r="AB69" s="5">
        <f>AB66-AB68</f>
        <v/>
      </c>
      <c r="AC69" s="5">
        <f>AC66-AC68</f>
        <v/>
      </c>
      <c r="AD69" s="5">
        <f>AD66-AD68</f>
        <v/>
      </c>
      <c r="AE69" s="5">
        <f>AE66-AE68</f>
        <v/>
      </c>
      <c r="AF69" s="5">
        <f>AF66-AF68</f>
        <v/>
      </c>
      <c r="AG69" s="5">
        <f>AG66-AG68</f>
        <v/>
      </c>
      <c r="AH69" s="5">
        <f>AH66-AH68</f>
        <v/>
      </c>
      <c r="AI69" s="5">
        <f>AI66-AI68</f>
        <v/>
      </c>
      <c r="AJ69" s="5">
        <f>AJ66-AJ68</f>
        <v/>
      </c>
      <c r="AK69" s="5">
        <f>AK66-AK68</f>
        <v/>
      </c>
      <c r="AL69" s="5">
        <f>AL66-AL68</f>
        <v/>
      </c>
      <c r="AM69" s="5">
        <f>AM66-AM68</f>
        <v/>
      </c>
      <c r="AN69" s="5">
        <f>AN66-AN68</f>
        <v/>
      </c>
      <c r="AO69" s="5">
        <f>AO66-AO68</f>
        <v/>
      </c>
      <c r="AP69" s="5">
        <f>AP66-AP68</f>
        <v/>
      </c>
      <c r="AQ69" s="5">
        <f>AQ66-AQ68</f>
        <v/>
      </c>
      <c r="AR69" s="5">
        <f>AR66-AR68</f>
        <v/>
      </c>
      <c r="AS69" s="5">
        <f>AS66-AS68</f>
        <v/>
      </c>
      <c r="AT69" s="5">
        <f>AT66-AT68</f>
        <v/>
      </c>
      <c r="AU69" s="5">
        <f>AU66-AU68</f>
        <v/>
      </c>
      <c r="AV69" s="5">
        <f>AV66-AV68</f>
        <v/>
      </c>
      <c r="AW69" s="5">
        <f>AW66-AW68</f>
        <v/>
      </c>
      <c r="AX69" s="5">
        <f>AX66-AX68</f>
        <v/>
      </c>
      <c r="AY69" s="5">
        <f>AY66-AY68</f>
        <v/>
      </c>
      <c r="AZ69" s="5">
        <f>AZ66-AZ68</f>
        <v/>
      </c>
      <c r="BA69" s="5">
        <f>BA66-BA68</f>
        <v/>
      </c>
      <c r="BB69" s="5">
        <f>BB66-BB68</f>
        <v/>
      </c>
      <c r="BC69" s="5">
        <f>BC66-BC68</f>
        <v/>
      </c>
      <c r="BD69" s="5">
        <f>BD66-BD68</f>
        <v/>
      </c>
      <c r="BE69" s="5">
        <f>BE66-BE68</f>
        <v/>
      </c>
      <c r="BF69" s="5">
        <f>BF66-BF68</f>
        <v/>
      </c>
      <c r="BG69" s="5">
        <f>BG66-BG68</f>
        <v/>
      </c>
      <c r="BH69" s="5">
        <f>BH66-BH68</f>
        <v/>
      </c>
      <c r="BI69" s="5">
        <f>BI66-BI68</f>
        <v/>
      </c>
      <c r="BJ69" s="5">
        <f>BJ66-BJ68</f>
        <v/>
      </c>
      <c r="BK69" s="5">
        <f>BK66-BK68</f>
        <v/>
      </c>
      <c r="BL69" s="5">
        <f>BL66-BL68</f>
        <v/>
      </c>
      <c r="BM69" s="5">
        <f>BM66-BM68</f>
        <v/>
      </c>
      <c r="BN69" s="5">
        <f>BN66-BN68</f>
        <v/>
      </c>
      <c r="BO69" s="5">
        <f>BO66-BO68</f>
        <v/>
      </c>
      <c r="BP69" s="5">
        <f>BP66-BP68</f>
        <v/>
      </c>
      <c r="BQ69" s="5">
        <f>BQ66-BQ68</f>
        <v/>
      </c>
      <c r="BR69" s="5">
        <f>BR66-BR68</f>
        <v/>
      </c>
      <c r="BS69" s="5">
        <f>BS66-BS68</f>
        <v/>
      </c>
      <c r="BT69" s="5">
        <f>BT66-BT68</f>
        <v/>
      </c>
      <c r="BU69" s="5">
        <f>BU66-BU68</f>
        <v/>
      </c>
      <c r="BV69" s="5">
        <f>BV66-BV68</f>
        <v/>
      </c>
    </row>
    <row r="70">
      <c r="A70" t="inlineStr">
        <is>
          <t>cum trial starts</t>
        </is>
      </c>
      <c r="B70" t="inlineStr">
        <is>
          <t>EUROPE|NITRO_M</t>
        </is>
      </c>
      <c r="C70" s="5">
        <f>SUM($C64:C64)</f>
        <v/>
      </c>
      <c r="D70" s="5">
        <f>SUM($C64:D64)</f>
        <v/>
      </c>
      <c r="E70" s="5">
        <f>SUM($C64:E64)</f>
        <v/>
      </c>
      <c r="F70" s="5">
        <f>SUM($C64:F64)</f>
        <v/>
      </c>
      <c r="G70" s="5">
        <f>SUM($C64:G64)</f>
        <v/>
      </c>
      <c r="H70" s="5">
        <f>SUM($C64:H64)</f>
        <v/>
      </c>
      <c r="I70" s="5">
        <f>SUM($C64:I64)</f>
        <v/>
      </c>
      <c r="J70" s="5">
        <f>SUM($C64:J64)</f>
        <v/>
      </c>
      <c r="K70" s="5">
        <f>SUM($C64:K64)</f>
        <v/>
      </c>
      <c r="L70" s="5">
        <f>SUM($C64:L64)</f>
        <v/>
      </c>
      <c r="M70" s="5">
        <f>SUM($C64:M64)</f>
        <v/>
      </c>
      <c r="N70" s="5">
        <f>SUM($C64:N64)</f>
        <v/>
      </c>
      <c r="O70" s="5">
        <f>SUM($C64:O64)</f>
        <v/>
      </c>
      <c r="P70" s="5">
        <f>SUM($C64:P64)</f>
        <v/>
      </c>
      <c r="Q70" s="5">
        <f>SUM($C64:Q64)</f>
        <v/>
      </c>
      <c r="R70" s="5">
        <f>SUM($C64:R64)</f>
        <v/>
      </c>
      <c r="S70" s="5">
        <f>SUM($C64:S64)</f>
        <v/>
      </c>
      <c r="T70" s="5">
        <f>SUM($C64:T64)</f>
        <v/>
      </c>
      <c r="U70" s="5">
        <f>SUM($C64:U64)</f>
        <v/>
      </c>
      <c r="V70" s="5">
        <f>SUM($C64:V64)</f>
        <v/>
      </c>
      <c r="W70" s="5">
        <f>SUM($C64:W64)</f>
        <v/>
      </c>
      <c r="X70" s="5">
        <f>SUM($C64:X64)</f>
        <v/>
      </c>
      <c r="Y70" s="5">
        <f>SUM($C64:Y64)</f>
        <v/>
      </c>
      <c r="Z70" s="5">
        <f>SUM($C64:Z64)</f>
        <v/>
      </c>
      <c r="AA70" s="5">
        <f>SUM($C64:AA64)</f>
        <v/>
      </c>
      <c r="AB70" s="5">
        <f>SUM($C64:AB64)</f>
        <v/>
      </c>
      <c r="AC70" s="5">
        <f>SUM($C64:AC64)</f>
        <v/>
      </c>
      <c r="AD70" s="5">
        <f>SUM($C64:AD64)</f>
        <v/>
      </c>
      <c r="AE70" s="5">
        <f>SUM($C64:AE64)</f>
        <v/>
      </c>
      <c r="AF70" s="5">
        <f>SUM($C64:AF64)</f>
        <v/>
      </c>
      <c r="AG70" s="5">
        <f>SUM($C64:AG64)</f>
        <v/>
      </c>
      <c r="AH70" s="5">
        <f>SUM($C64:AH64)</f>
        <v/>
      </c>
      <c r="AI70" s="5">
        <f>SUM($C64:AI64)</f>
        <v/>
      </c>
      <c r="AJ70" s="5">
        <f>SUM($C64:AJ64)</f>
        <v/>
      </c>
      <c r="AK70" s="5">
        <f>SUM($C64:AK64)</f>
        <v/>
      </c>
      <c r="AL70" s="5">
        <f>SUM($C64:AL64)</f>
        <v/>
      </c>
      <c r="AM70" s="5">
        <f>SUM($C64:AM64)</f>
        <v/>
      </c>
      <c r="AN70" s="5">
        <f>SUM($C64:AN64)</f>
        <v/>
      </c>
      <c r="AO70" s="5">
        <f>SUM($C64:AO64)</f>
        <v/>
      </c>
      <c r="AP70" s="5">
        <f>SUM($C64:AP64)</f>
        <v/>
      </c>
      <c r="AQ70" s="5">
        <f>SUM($C64:AQ64)</f>
        <v/>
      </c>
      <c r="AR70" s="5">
        <f>SUM($C64:AR64)</f>
        <v/>
      </c>
      <c r="AS70" s="5">
        <f>SUM($C64:AS64)</f>
        <v/>
      </c>
      <c r="AT70" s="5">
        <f>SUM($C64:AT64)</f>
        <v/>
      </c>
      <c r="AU70" s="5">
        <f>SUM($C64:AU64)</f>
        <v/>
      </c>
      <c r="AV70" s="5">
        <f>SUM($C64:AV64)</f>
        <v/>
      </c>
      <c r="AW70" s="5">
        <f>SUM($C64:AW64)</f>
        <v/>
      </c>
      <c r="AX70" s="5">
        <f>SUM($C64:AX64)</f>
        <v/>
      </c>
      <c r="AY70" s="5">
        <f>SUM($C64:AY64)</f>
        <v/>
      </c>
      <c r="AZ70" s="5">
        <f>SUM($C64:AZ64)</f>
        <v/>
      </c>
      <c r="BA70" s="5">
        <f>SUM($C64:BA64)</f>
        <v/>
      </c>
      <c r="BB70" s="5">
        <f>SUM($C64:BB64)</f>
        <v/>
      </c>
      <c r="BC70" s="5">
        <f>SUM($C64:BC64)</f>
        <v/>
      </c>
      <c r="BD70" s="5">
        <f>SUM($C64:BD64)</f>
        <v/>
      </c>
      <c r="BE70" s="5">
        <f>SUM($C64:BE64)</f>
        <v/>
      </c>
      <c r="BF70" s="5">
        <f>SUM($C64:BF64)</f>
        <v/>
      </c>
      <c r="BG70" s="5">
        <f>SUM($C64:BG64)</f>
        <v/>
      </c>
      <c r="BH70" s="5">
        <f>SUM($C64:BH64)</f>
        <v/>
      </c>
      <c r="BI70" s="5">
        <f>SUM($C64:BI64)</f>
        <v/>
      </c>
      <c r="BJ70" s="5">
        <f>SUM($C64:BJ64)</f>
        <v/>
      </c>
      <c r="BK70" s="5">
        <f>SUM($C64:BK64)</f>
        <v/>
      </c>
      <c r="BL70" s="5">
        <f>SUM($C64:BL64)</f>
        <v/>
      </c>
      <c r="BM70" s="5">
        <f>SUM($C64:BM64)</f>
        <v/>
      </c>
      <c r="BN70" s="5">
        <f>SUM($C64:BN64)</f>
        <v/>
      </c>
      <c r="BO70" s="5">
        <f>SUM($C64:BO64)</f>
        <v/>
      </c>
      <c r="BP70" s="5">
        <f>SUM($C64:BP64)</f>
        <v/>
      </c>
      <c r="BQ70" s="5">
        <f>SUM($C64:BQ64)</f>
        <v/>
      </c>
      <c r="BR70" s="5">
        <f>SUM($C64:BR64)</f>
        <v/>
      </c>
      <c r="BS70" s="5">
        <f>SUM($C64:BS64)</f>
        <v/>
      </c>
      <c r="BT70" s="5">
        <f>SUM($C64:BT64)</f>
        <v/>
      </c>
      <c r="BU70" s="5">
        <f>SUM($C64:BU64)</f>
        <v/>
      </c>
      <c r="BV70" s="5">
        <f>SUM($C64:BV64)</f>
        <v/>
      </c>
    </row>
    <row r="71">
      <c r="A71" t="inlineStr">
        <is>
          <t>cum trials ending</t>
        </is>
      </c>
      <c r="B71" t="inlineStr">
        <is>
          <t>EUROPE|NITRO_M</t>
        </is>
      </c>
      <c r="C71" s="5">
        <f>SUM($C66:C66)</f>
        <v/>
      </c>
      <c r="D71" s="5">
        <f>SUM($C66:D66)</f>
        <v/>
      </c>
      <c r="E71" s="5">
        <f>SUM($C66:E66)</f>
        <v/>
      </c>
      <c r="F71" s="5">
        <f>SUM($C66:F66)</f>
        <v/>
      </c>
      <c r="G71" s="5">
        <f>SUM($C66:G66)</f>
        <v/>
      </c>
      <c r="H71" s="5">
        <f>SUM($C66:H66)</f>
        <v/>
      </c>
      <c r="I71" s="5">
        <f>SUM($C66:I66)</f>
        <v/>
      </c>
      <c r="J71" s="5">
        <f>SUM($C66:J66)</f>
        <v/>
      </c>
      <c r="K71" s="5">
        <f>SUM($C66:K66)</f>
        <v/>
      </c>
      <c r="L71" s="5">
        <f>SUM($C66:L66)</f>
        <v/>
      </c>
      <c r="M71" s="5">
        <f>SUM($C66:M66)</f>
        <v/>
      </c>
      <c r="N71" s="5">
        <f>SUM($C66:N66)</f>
        <v/>
      </c>
      <c r="O71" s="5">
        <f>SUM($C66:O66)</f>
        <v/>
      </c>
      <c r="P71" s="5">
        <f>SUM($C66:P66)</f>
        <v/>
      </c>
      <c r="Q71" s="5">
        <f>SUM($C66:Q66)</f>
        <v/>
      </c>
      <c r="R71" s="5">
        <f>SUM($C66:R66)</f>
        <v/>
      </c>
      <c r="S71" s="5">
        <f>SUM($C66:S66)</f>
        <v/>
      </c>
      <c r="T71" s="5">
        <f>SUM($C66:T66)</f>
        <v/>
      </c>
      <c r="U71" s="5">
        <f>SUM($C66:U66)</f>
        <v/>
      </c>
      <c r="V71" s="5">
        <f>SUM($C66:V66)</f>
        <v/>
      </c>
      <c r="W71" s="5">
        <f>SUM($C66:W66)</f>
        <v/>
      </c>
      <c r="X71" s="5">
        <f>SUM($C66:X66)</f>
        <v/>
      </c>
      <c r="Y71" s="5">
        <f>SUM($C66:Y66)</f>
        <v/>
      </c>
      <c r="Z71" s="5">
        <f>SUM($C66:Z66)</f>
        <v/>
      </c>
      <c r="AA71" s="5">
        <f>SUM($C66:AA66)</f>
        <v/>
      </c>
      <c r="AB71" s="5">
        <f>SUM($C66:AB66)</f>
        <v/>
      </c>
      <c r="AC71" s="5">
        <f>SUM($C66:AC66)</f>
        <v/>
      </c>
      <c r="AD71" s="5">
        <f>SUM($C66:AD66)</f>
        <v/>
      </c>
      <c r="AE71" s="5">
        <f>SUM($C66:AE66)</f>
        <v/>
      </c>
      <c r="AF71" s="5">
        <f>SUM($C66:AF66)</f>
        <v/>
      </c>
      <c r="AG71" s="5">
        <f>SUM($C66:AG66)</f>
        <v/>
      </c>
      <c r="AH71" s="5">
        <f>SUM($C66:AH66)</f>
        <v/>
      </c>
      <c r="AI71" s="5">
        <f>SUM($C66:AI66)</f>
        <v/>
      </c>
      <c r="AJ71" s="5">
        <f>SUM($C66:AJ66)</f>
        <v/>
      </c>
      <c r="AK71" s="5">
        <f>SUM($C66:AK66)</f>
        <v/>
      </c>
      <c r="AL71" s="5">
        <f>SUM($C66:AL66)</f>
        <v/>
      </c>
      <c r="AM71" s="5">
        <f>SUM($C66:AM66)</f>
        <v/>
      </c>
      <c r="AN71" s="5">
        <f>SUM($C66:AN66)</f>
        <v/>
      </c>
      <c r="AO71" s="5">
        <f>SUM($C66:AO66)</f>
        <v/>
      </c>
      <c r="AP71" s="5">
        <f>SUM($C66:AP66)</f>
        <v/>
      </c>
      <c r="AQ71" s="5">
        <f>SUM($C66:AQ66)</f>
        <v/>
      </c>
      <c r="AR71" s="5">
        <f>SUM($C66:AR66)</f>
        <v/>
      </c>
      <c r="AS71" s="5">
        <f>SUM($C66:AS66)</f>
        <v/>
      </c>
      <c r="AT71" s="5">
        <f>SUM($C66:AT66)</f>
        <v/>
      </c>
      <c r="AU71" s="5">
        <f>SUM($C66:AU66)</f>
        <v/>
      </c>
      <c r="AV71" s="5">
        <f>SUM($C66:AV66)</f>
        <v/>
      </c>
      <c r="AW71" s="5">
        <f>SUM($C66:AW66)</f>
        <v/>
      </c>
      <c r="AX71" s="5">
        <f>SUM($C66:AX66)</f>
        <v/>
      </c>
      <c r="AY71" s="5">
        <f>SUM($C66:AY66)</f>
        <v/>
      </c>
      <c r="AZ71" s="5">
        <f>SUM($C66:AZ66)</f>
        <v/>
      </c>
      <c r="BA71" s="5">
        <f>SUM($C66:BA66)</f>
        <v/>
      </c>
      <c r="BB71" s="5">
        <f>SUM($C66:BB66)</f>
        <v/>
      </c>
      <c r="BC71" s="5">
        <f>SUM($C66:BC66)</f>
        <v/>
      </c>
      <c r="BD71" s="5">
        <f>SUM($C66:BD66)</f>
        <v/>
      </c>
      <c r="BE71" s="5">
        <f>SUM($C66:BE66)</f>
        <v/>
      </c>
      <c r="BF71" s="5">
        <f>SUM($C66:BF66)</f>
        <v/>
      </c>
      <c r="BG71" s="5">
        <f>SUM($C66:BG66)</f>
        <v/>
      </c>
      <c r="BH71" s="5">
        <f>SUM($C66:BH66)</f>
        <v/>
      </c>
      <c r="BI71" s="5">
        <f>SUM($C66:BI66)</f>
        <v/>
      </c>
      <c r="BJ71" s="5">
        <f>SUM($C66:BJ66)</f>
        <v/>
      </c>
      <c r="BK71" s="5">
        <f>SUM($C66:BK66)</f>
        <v/>
      </c>
      <c r="BL71" s="5">
        <f>SUM($C66:BL66)</f>
        <v/>
      </c>
      <c r="BM71" s="5">
        <f>SUM($C66:BM66)</f>
        <v/>
      </c>
      <c r="BN71" s="5">
        <f>SUM($C66:BN66)</f>
        <v/>
      </c>
      <c r="BO71" s="5">
        <f>SUM($C66:BO66)</f>
        <v/>
      </c>
      <c r="BP71" s="5">
        <f>SUM($C66:BP66)</f>
        <v/>
      </c>
      <c r="BQ71" s="5">
        <f>SUM($C66:BQ66)</f>
        <v/>
      </c>
      <c r="BR71" s="5">
        <f>SUM($C66:BR66)</f>
        <v/>
      </c>
      <c r="BS71" s="5">
        <f>SUM($C66:BS66)</f>
        <v/>
      </c>
      <c r="BT71" s="5">
        <f>SUM($C66:BT66)</f>
        <v/>
      </c>
      <c r="BU71" s="5">
        <f>SUM($C66:BU66)</f>
        <v/>
      </c>
      <c r="BV71" s="5">
        <f>SUM($C66:BV66)</f>
        <v/>
      </c>
    </row>
    <row r="72">
      <c r="A72" t="inlineStr">
        <is>
          <t>trials active</t>
        </is>
      </c>
      <c r="B72" t="inlineStr">
        <is>
          <t>EUROPE|NITRO_M</t>
        </is>
      </c>
      <c r="C72" s="5">
        <f>C70-C71</f>
        <v/>
      </c>
      <c r="D72" s="5">
        <f>D70-D71</f>
        <v/>
      </c>
      <c r="E72" s="5">
        <f>E70-E71</f>
        <v/>
      </c>
      <c r="F72" s="5">
        <f>F70-F71</f>
        <v/>
      </c>
      <c r="G72" s="5">
        <f>G70-G71</f>
        <v/>
      </c>
      <c r="H72" s="5">
        <f>H70-H71</f>
        <v/>
      </c>
      <c r="I72" s="5">
        <f>I70-I71</f>
        <v/>
      </c>
      <c r="J72" s="5">
        <f>J70-J71</f>
        <v/>
      </c>
      <c r="K72" s="5">
        <f>K70-K71</f>
        <v/>
      </c>
      <c r="L72" s="5">
        <f>L70-L71</f>
        <v/>
      </c>
      <c r="M72" s="5">
        <f>M70-M71</f>
        <v/>
      </c>
      <c r="N72" s="5">
        <f>N70-N71</f>
        <v/>
      </c>
      <c r="O72" s="5">
        <f>O70-O71</f>
        <v/>
      </c>
      <c r="P72" s="5">
        <f>P70-P71</f>
        <v/>
      </c>
      <c r="Q72" s="5">
        <f>Q70-Q71</f>
        <v/>
      </c>
      <c r="R72" s="5">
        <f>R70-R71</f>
        <v/>
      </c>
      <c r="S72" s="5">
        <f>S70-S71</f>
        <v/>
      </c>
      <c r="T72" s="5">
        <f>T70-T71</f>
        <v/>
      </c>
      <c r="U72" s="5">
        <f>U70-U71</f>
        <v/>
      </c>
      <c r="V72" s="5">
        <f>V70-V71</f>
        <v/>
      </c>
      <c r="W72" s="5">
        <f>W70-W71</f>
        <v/>
      </c>
      <c r="X72" s="5">
        <f>X70-X71</f>
        <v/>
      </c>
      <c r="Y72" s="5">
        <f>Y70-Y71</f>
        <v/>
      </c>
      <c r="Z72" s="5">
        <f>Z70-Z71</f>
        <v/>
      </c>
      <c r="AA72" s="5">
        <f>AA70-AA71</f>
        <v/>
      </c>
      <c r="AB72" s="5">
        <f>AB70-AB71</f>
        <v/>
      </c>
      <c r="AC72" s="5">
        <f>AC70-AC71</f>
        <v/>
      </c>
      <c r="AD72" s="5">
        <f>AD70-AD71</f>
        <v/>
      </c>
      <c r="AE72" s="5">
        <f>AE70-AE71</f>
        <v/>
      </c>
      <c r="AF72" s="5">
        <f>AF70-AF71</f>
        <v/>
      </c>
      <c r="AG72" s="5">
        <f>AG70-AG71</f>
        <v/>
      </c>
      <c r="AH72" s="5">
        <f>AH70-AH71</f>
        <v/>
      </c>
      <c r="AI72" s="5">
        <f>AI70-AI71</f>
        <v/>
      </c>
      <c r="AJ72" s="5">
        <f>AJ70-AJ71</f>
        <v/>
      </c>
      <c r="AK72" s="5">
        <f>AK70-AK71</f>
        <v/>
      </c>
      <c r="AL72" s="5">
        <f>AL70-AL71</f>
        <v/>
      </c>
      <c r="AM72" s="5">
        <f>AM70-AM71</f>
        <v/>
      </c>
      <c r="AN72" s="5">
        <f>AN70-AN71</f>
        <v/>
      </c>
      <c r="AO72" s="5">
        <f>AO70-AO71</f>
        <v/>
      </c>
      <c r="AP72" s="5">
        <f>AP70-AP71</f>
        <v/>
      </c>
      <c r="AQ72" s="5">
        <f>AQ70-AQ71</f>
        <v/>
      </c>
      <c r="AR72" s="5">
        <f>AR70-AR71</f>
        <v/>
      </c>
      <c r="AS72" s="5">
        <f>AS70-AS71</f>
        <v/>
      </c>
      <c r="AT72" s="5">
        <f>AT70-AT71</f>
        <v/>
      </c>
      <c r="AU72" s="5">
        <f>AU70-AU71</f>
        <v/>
      </c>
      <c r="AV72" s="5">
        <f>AV70-AV71</f>
        <v/>
      </c>
      <c r="AW72" s="5">
        <f>AW70-AW71</f>
        <v/>
      </c>
      <c r="AX72" s="5">
        <f>AX70-AX71</f>
        <v/>
      </c>
      <c r="AY72" s="5">
        <f>AY70-AY71</f>
        <v/>
      </c>
      <c r="AZ72" s="5">
        <f>AZ70-AZ71</f>
        <v/>
      </c>
      <c r="BA72" s="5">
        <f>BA70-BA71</f>
        <v/>
      </c>
      <c r="BB72" s="5">
        <f>BB70-BB71</f>
        <v/>
      </c>
      <c r="BC72" s="5">
        <f>BC70-BC71</f>
        <v/>
      </c>
      <c r="BD72" s="5">
        <f>BD70-BD71</f>
        <v/>
      </c>
      <c r="BE72" s="5">
        <f>BE70-BE71</f>
        <v/>
      </c>
      <c r="BF72" s="5">
        <f>BF70-BF71</f>
        <v/>
      </c>
      <c r="BG72" s="5">
        <f>BG70-BG71</f>
        <v/>
      </c>
      <c r="BH72" s="5">
        <f>BH70-BH71</f>
        <v/>
      </c>
      <c r="BI72" s="5">
        <f>BI70-BI71</f>
        <v/>
      </c>
      <c r="BJ72" s="5">
        <f>BJ70-BJ71</f>
        <v/>
      </c>
      <c r="BK72" s="5">
        <f>BK70-BK71</f>
        <v/>
      </c>
      <c r="BL72" s="5">
        <f>BL70-BL71</f>
        <v/>
      </c>
      <c r="BM72" s="5">
        <f>BM70-BM71</f>
        <v/>
      </c>
      <c r="BN72" s="5">
        <f>BN70-BN71</f>
        <v/>
      </c>
      <c r="BO72" s="5">
        <f>BO70-BO71</f>
        <v/>
      </c>
      <c r="BP72" s="5">
        <f>BP70-BP71</f>
        <v/>
      </c>
      <c r="BQ72" s="5">
        <f>BQ70-BQ71</f>
        <v/>
      </c>
      <c r="BR72" s="5">
        <f>BR70-BR71</f>
        <v/>
      </c>
      <c r="BS72" s="5">
        <f>BS70-BS71</f>
        <v/>
      </c>
      <c r="BT72" s="5">
        <f>BT70-BT71</f>
        <v/>
      </c>
      <c r="BU72" s="5">
        <f>BU70-BU71</f>
        <v/>
      </c>
      <c r="BV72" s="5">
        <f>BV70-BV71</f>
        <v/>
      </c>
    </row>
    <row r="73">
      <c r="A73" t="inlineStr">
        <is>
          <t>paid starts</t>
        </is>
      </c>
      <c r="B73" t="inlineStr">
        <is>
          <t>EUROPE|NITRO_M</t>
        </is>
      </c>
      <c r="C73" s="5">
        <f>C65+C68</f>
        <v/>
      </c>
      <c r="D73" s="5">
        <f>D65+D68</f>
        <v/>
      </c>
      <c r="E73" s="5">
        <f>E65+E68</f>
        <v/>
      </c>
      <c r="F73" s="5">
        <f>F65+F68</f>
        <v/>
      </c>
      <c r="G73" s="5">
        <f>G65+G68</f>
        <v/>
      </c>
      <c r="H73" s="5">
        <f>H65+H68</f>
        <v/>
      </c>
      <c r="I73" s="5">
        <f>I65+I68</f>
        <v/>
      </c>
      <c r="J73" s="5">
        <f>J65+J68</f>
        <v/>
      </c>
      <c r="K73" s="5">
        <f>K65+K68</f>
        <v/>
      </c>
      <c r="L73" s="5">
        <f>L65+L68</f>
        <v/>
      </c>
      <c r="M73" s="5">
        <f>M65+M68</f>
        <v/>
      </c>
      <c r="N73" s="5">
        <f>N65+N68</f>
        <v/>
      </c>
      <c r="O73" s="5">
        <f>O65+O68</f>
        <v/>
      </c>
      <c r="P73" s="5">
        <f>P65+P68</f>
        <v/>
      </c>
      <c r="Q73" s="5">
        <f>Q65+Q68</f>
        <v/>
      </c>
      <c r="R73" s="5">
        <f>R65+R68</f>
        <v/>
      </c>
      <c r="S73" s="5">
        <f>S65+S68</f>
        <v/>
      </c>
      <c r="T73" s="5">
        <f>T65+T68</f>
        <v/>
      </c>
      <c r="U73" s="5">
        <f>U65+U68</f>
        <v/>
      </c>
      <c r="V73" s="5">
        <f>V65+V68</f>
        <v/>
      </c>
      <c r="W73" s="5">
        <f>W65+W68</f>
        <v/>
      </c>
      <c r="X73" s="5">
        <f>X65+X68</f>
        <v/>
      </c>
      <c r="Y73" s="5">
        <f>Y65+Y68</f>
        <v/>
      </c>
      <c r="Z73" s="5">
        <f>Z65+Z68</f>
        <v/>
      </c>
      <c r="AA73" s="5">
        <f>AA65+AA68</f>
        <v/>
      </c>
      <c r="AB73" s="5">
        <f>AB65+AB68</f>
        <v/>
      </c>
      <c r="AC73" s="5">
        <f>AC65+AC68</f>
        <v/>
      </c>
      <c r="AD73" s="5">
        <f>AD65+AD68</f>
        <v/>
      </c>
      <c r="AE73" s="5">
        <f>AE65+AE68</f>
        <v/>
      </c>
      <c r="AF73" s="5">
        <f>AF65+AF68</f>
        <v/>
      </c>
      <c r="AG73" s="5">
        <f>AG65+AG68</f>
        <v/>
      </c>
      <c r="AH73" s="5">
        <f>AH65+AH68</f>
        <v/>
      </c>
      <c r="AI73" s="5">
        <f>AI65+AI68</f>
        <v/>
      </c>
      <c r="AJ73" s="5">
        <f>AJ65+AJ68</f>
        <v/>
      </c>
      <c r="AK73" s="5">
        <f>AK65+AK68</f>
        <v/>
      </c>
      <c r="AL73" s="5">
        <f>AL65+AL68</f>
        <v/>
      </c>
      <c r="AM73" s="5">
        <f>AM65+AM68</f>
        <v/>
      </c>
      <c r="AN73" s="5">
        <f>AN65+AN68</f>
        <v/>
      </c>
      <c r="AO73" s="5">
        <f>AO65+AO68</f>
        <v/>
      </c>
      <c r="AP73" s="5">
        <f>AP65+AP68</f>
        <v/>
      </c>
      <c r="AQ73" s="5">
        <f>AQ65+AQ68</f>
        <v/>
      </c>
      <c r="AR73" s="5">
        <f>AR65+AR68</f>
        <v/>
      </c>
      <c r="AS73" s="5">
        <f>AS65+AS68</f>
        <v/>
      </c>
      <c r="AT73" s="5">
        <f>AT65+AT68</f>
        <v/>
      </c>
      <c r="AU73" s="5">
        <f>AU65+AU68</f>
        <v/>
      </c>
      <c r="AV73" s="5">
        <f>AV65+AV68</f>
        <v/>
      </c>
      <c r="AW73" s="5">
        <f>AW65+AW68</f>
        <v/>
      </c>
      <c r="AX73" s="5">
        <f>AX65+AX68</f>
        <v/>
      </c>
      <c r="AY73" s="5">
        <f>AY65+AY68</f>
        <v/>
      </c>
      <c r="AZ73" s="5">
        <f>AZ65+AZ68</f>
        <v/>
      </c>
      <c r="BA73" s="5">
        <f>BA65+BA68</f>
        <v/>
      </c>
      <c r="BB73" s="5">
        <f>BB65+BB68</f>
        <v/>
      </c>
      <c r="BC73" s="5">
        <f>BC65+BC68</f>
        <v/>
      </c>
      <c r="BD73" s="5">
        <f>BD65+BD68</f>
        <v/>
      </c>
      <c r="BE73" s="5">
        <f>BE65+BE68</f>
        <v/>
      </c>
      <c r="BF73" s="5">
        <f>BF65+BF68</f>
        <v/>
      </c>
      <c r="BG73" s="5">
        <f>BG65+BG68</f>
        <v/>
      </c>
      <c r="BH73" s="5">
        <f>BH65+BH68</f>
        <v/>
      </c>
      <c r="BI73" s="5">
        <f>BI65+BI68</f>
        <v/>
      </c>
      <c r="BJ73" s="5">
        <f>BJ65+BJ68</f>
        <v/>
      </c>
      <c r="BK73" s="5">
        <f>BK65+BK68</f>
        <v/>
      </c>
      <c r="BL73" s="5">
        <f>BL65+BL68</f>
        <v/>
      </c>
      <c r="BM73" s="5">
        <f>BM65+BM68</f>
        <v/>
      </c>
      <c r="BN73" s="5">
        <f>BN65+BN68</f>
        <v/>
      </c>
      <c r="BO73" s="5">
        <f>BO65+BO68</f>
        <v/>
      </c>
      <c r="BP73" s="5">
        <f>BP65+BP68</f>
        <v/>
      </c>
      <c r="BQ73" s="5">
        <f>BQ65+BQ68</f>
        <v/>
      </c>
      <c r="BR73" s="5">
        <f>BR65+BR68</f>
        <v/>
      </c>
      <c r="BS73" s="5">
        <f>BS65+BS68</f>
        <v/>
      </c>
      <c r="BT73" s="5">
        <f>BT65+BT68</f>
        <v/>
      </c>
      <c r="BU73" s="5">
        <f>BU65+BU68</f>
        <v/>
      </c>
      <c r="BV73" s="5">
        <f>BV65+BV68</f>
        <v/>
      </c>
    </row>
    <row r="74">
      <c r="A74" t="inlineStr">
        <is>
          <t>paid starts @0</t>
        </is>
      </c>
      <c r="B74" t="inlineStr">
        <is>
          <t>EUROPE|NITRO_M</t>
        </is>
      </c>
      <c r="C74" s="5">
        <f>C73*Eras!C$3</f>
        <v/>
      </c>
      <c r="D74" s="5">
        <f>D73*Eras!D$3</f>
        <v/>
      </c>
      <c r="E74" s="5">
        <f>E73*Eras!E$3</f>
        <v/>
      </c>
      <c r="F74" s="5">
        <f>F73*Eras!F$3</f>
        <v/>
      </c>
      <c r="G74" s="5">
        <f>G73*Eras!G$3</f>
        <v/>
      </c>
      <c r="H74" s="5">
        <f>H73*Eras!H$3</f>
        <v/>
      </c>
      <c r="I74" s="5">
        <f>I73*Eras!I$3</f>
        <v/>
      </c>
      <c r="J74" s="5">
        <f>J73*Eras!J$3</f>
        <v/>
      </c>
      <c r="K74" s="5">
        <f>K73*Eras!K$3</f>
        <v/>
      </c>
      <c r="L74" s="5">
        <f>L73*Eras!L$3</f>
        <v/>
      </c>
      <c r="M74" s="5">
        <f>M73*Eras!M$3</f>
        <v/>
      </c>
      <c r="N74" s="5">
        <f>N73*Eras!N$3</f>
        <v/>
      </c>
      <c r="O74" s="5">
        <f>O73*Eras!O$3</f>
        <v/>
      </c>
      <c r="P74" s="5">
        <f>P73*Eras!P$3</f>
        <v/>
      </c>
      <c r="Q74" s="5">
        <f>Q73*Eras!Q$3</f>
        <v/>
      </c>
      <c r="R74" s="5">
        <f>R73*Eras!R$3</f>
        <v/>
      </c>
      <c r="S74" s="5">
        <f>S73*Eras!S$3</f>
        <v/>
      </c>
      <c r="T74" s="5">
        <f>T73*Eras!T$3</f>
        <v/>
      </c>
      <c r="U74" s="5">
        <f>U73*Eras!U$3</f>
        <v/>
      </c>
      <c r="V74" s="5">
        <f>V73*Eras!V$3</f>
        <v/>
      </c>
      <c r="W74" s="5">
        <f>W73*Eras!W$3</f>
        <v/>
      </c>
      <c r="X74" s="5">
        <f>X73*Eras!X$3</f>
        <v/>
      </c>
      <c r="Y74" s="5">
        <f>Y73*Eras!Y$3</f>
        <v/>
      </c>
      <c r="Z74" s="5">
        <f>Z73*Eras!Z$3</f>
        <v/>
      </c>
      <c r="AA74" s="5">
        <f>AA73*Eras!AA$3</f>
        <v/>
      </c>
      <c r="AB74" s="5">
        <f>AB73*Eras!AB$3</f>
        <v/>
      </c>
      <c r="AC74" s="5">
        <f>AC73*Eras!AC$3</f>
        <v/>
      </c>
      <c r="AD74" s="5">
        <f>AD73*Eras!AD$3</f>
        <v/>
      </c>
      <c r="AE74" s="5">
        <f>AE73*Eras!AE$3</f>
        <v/>
      </c>
      <c r="AF74" s="5">
        <f>AF73*Eras!AF$3</f>
        <v/>
      </c>
      <c r="AG74" s="5">
        <f>AG73*Eras!AG$3</f>
        <v/>
      </c>
      <c r="AH74" s="5">
        <f>AH73*Eras!AH$3</f>
        <v/>
      </c>
      <c r="AI74" s="5">
        <f>AI73*Eras!AI$3</f>
        <v/>
      </c>
      <c r="AJ74" s="5">
        <f>AJ73*Eras!AJ$3</f>
        <v/>
      </c>
      <c r="AK74" s="5">
        <f>AK73*Eras!AK$3</f>
        <v/>
      </c>
      <c r="AL74" s="5">
        <f>AL73*Eras!AL$3</f>
        <v/>
      </c>
      <c r="AM74" s="5">
        <f>AM73*Eras!AM$3</f>
        <v/>
      </c>
      <c r="AN74" s="5">
        <f>AN73*Eras!AN$3</f>
        <v/>
      </c>
      <c r="AO74" s="5">
        <f>AO73*Eras!AO$3</f>
        <v/>
      </c>
      <c r="AP74" s="5">
        <f>AP73*Eras!AP$3</f>
        <v/>
      </c>
      <c r="AQ74" s="5">
        <f>AQ73*Eras!AQ$3</f>
        <v/>
      </c>
      <c r="AR74" s="5">
        <f>AR73*Eras!AR$3</f>
        <v/>
      </c>
      <c r="AS74" s="5">
        <f>AS73*Eras!AS$3</f>
        <v/>
      </c>
      <c r="AT74" s="5">
        <f>AT73*Eras!AT$3</f>
        <v/>
      </c>
      <c r="AU74" s="5">
        <f>AU73*Eras!AU$3</f>
        <v/>
      </c>
      <c r="AV74" s="5">
        <f>AV73*Eras!AV$3</f>
        <v/>
      </c>
      <c r="AW74" s="5">
        <f>AW73*Eras!AW$3</f>
        <v/>
      </c>
      <c r="AX74" s="5">
        <f>AX73*Eras!AX$3</f>
        <v/>
      </c>
      <c r="AY74" s="5">
        <f>AY73*Eras!AY$3</f>
        <v/>
      </c>
      <c r="AZ74" s="5">
        <f>AZ73*Eras!AZ$3</f>
        <v/>
      </c>
      <c r="BA74" s="5">
        <f>BA73*Eras!BA$3</f>
        <v/>
      </c>
      <c r="BB74" s="5">
        <f>BB73*Eras!BB$3</f>
        <v/>
      </c>
      <c r="BC74" s="5">
        <f>BC73*Eras!BC$3</f>
        <v/>
      </c>
      <c r="BD74" s="5">
        <f>BD73*Eras!BD$3</f>
        <v/>
      </c>
      <c r="BE74" s="5">
        <f>BE73*Eras!BE$3</f>
        <v/>
      </c>
      <c r="BF74" s="5">
        <f>BF73*Eras!BF$3</f>
        <v/>
      </c>
      <c r="BG74" s="5">
        <f>BG73*Eras!BG$3</f>
        <v/>
      </c>
      <c r="BH74" s="5">
        <f>BH73*Eras!BH$3</f>
        <v/>
      </c>
      <c r="BI74" s="5">
        <f>BI73*Eras!BI$3</f>
        <v/>
      </c>
      <c r="BJ74" s="5">
        <f>BJ73*Eras!BJ$3</f>
        <v/>
      </c>
      <c r="BK74" s="5">
        <f>BK73*Eras!BK$3</f>
        <v/>
      </c>
      <c r="BL74" s="5">
        <f>BL73*Eras!BL$3</f>
        <v/>
      </c>
      <c r="BM74" s="5">
        <f>BM73*Eras!BM$3</f>
        <v/>
      </c>
      <c r="BN74" s="5">
        <f>BN73*Eras!BN$3</f>
        <v/>
      </c>
      <c r="BO74" s="5">
        <f>BO73*Eras!BO$3</f>
        <v/>
      </c>
      <c r="BP74" s="5">
        <f>BP73*Eras!BP$3</f>
        <v/>
      </c>
      <c r="BQ74" s="5">
        <f>BQ73*Eras!BQ$3</f>
        <v/>
      </c>
      <c r="BR74" s="5">
        <f>BR73*Eras!BR$3</f>
        <v/>
      </c>
      <c r="BS74" s="5">
        <f>BS73*Eras!BS$3</f>
        <v/>
      </c>
      <c r="BT74" s="5">
        <f>BT73*Eras!BT$3</f>
        <v/>
      </c>
      <c r="BU74" s="5">
        <f>BU73*Eras!BU$3</f>
        <v/>
      </c>
      <c r="BV74" s="5">
        <f>BV73*Eras!BV$3</f>
        <v/>
      </c>
    </row>
    <row r="75">
      <c r="A75" t="inlineStr">
        <is>
          <t>paid starts @1</t>
        </is>
      </c>
      <c r="B75" t="inlineStr">
        <is>
          <t>EUROPE|NITRO_M</t>
        </is>
      </c>
      <c r="C75" s="5">
        <f>C73*Eras!C$4</f>
        <v/>
      </c>
      <c r="D75" s="5">
        <f>D73*Eras!D$4</f>
        <v/>
      </c>
      <c r="E75" s="5">
        <f>E73*Eras!E$4</f>
        <v/>
      </c>
      <c r="F75" s="5">
        <f>F73*Eras!F$4</f>
        <v/>
      </c>
      <c r="G75" s="5">
        <f>G73*Eras!G$4</f>
        <v/>
      </c>
      <c r="H75" s="5">
        <f>H73*Eras!H$4</f>
        <v/>
      </c>
      <c r="I75" s="5">
        <f>I73*Eras!I$4</f>
        <v/>
      </c>
      <c r="J75" s="5">
        <f>J73*Eras!J$4</f>
        <v/>
      </c>
      <c r="K75" s="5">
        <f>K73*Eras!K$4</f>
        <v/>
      </c>
      <c r="L75" s="5">
        <f>L73*Eras!L$4</f>
        <v/>
      </c>
      <c r="M75" s="5">
        <f>M73*Eras!M$4</f>
        <v/>
      </c>
      <c r="N75" s="5">
        <f>N73*Eras!N$4</f>
        <v/>
      </c>
      <c r="O75" s="5">
        <f>O73*Eras!O$4</f>
        <v/>
      </c>
      <c r="P75" s="5">
        <f>P73*Eras!P$4</f>
        <v/>
      </c>
      <c r="Q75" s="5">
        <f>Q73*Eras!Q$4</f>
        <v/>
      </c>
      <c r="R75" s="5">
        <f>R73*Eras!R$4</f>
        <v/>
      </c>
      <c r="S75" s="5">
        <f>S73*Eras!S$4</f>
        <v/>
      </c>
      <c r="T75" s="5">
        <f>T73*Eras!T$4</f>
        <v/>
      </c>
      <c r="U75" s="5">
        <f>U73*Eras!U$4</f>
        <v/>
      </c>
      <c r="V75" s="5">
        <f>V73*Eras!V$4</f>
        <v/>
      </c>
      <c r="W75" s="5">
        <f>W73*Eras!W$4</f>
        <v/>
      </c>
      <c r="X75" s="5">
        <f>X73*Eras!X$4</f>
        <v/>
      </c>
      <c r="Y75" s="5">
        <f>Y73*Eras!Y$4</f>
        <v/>
      </c>
      <c r="Z75" s="5">
        <f>Z73*Eras!Z$4</f>
        <v/>
      </c>
      <c r="AA75" s="5">
        <f>AA73*Eras!AA$4</f>
        <v/>
      </c>
      <c r="AB75" s="5">
        <f>AB73*Eras!AB$4</f>
        <v/>
      </c>
      <c r="AC75" s="5">
        <f>AC73*Eras!AC$4</f>
        <v/>
      </c>
      <c r="AD75" s="5">
        <f>AD73*Eras!AD$4</f>
        <v/>
      </c>
      <c r="AE75" s="5">
        <f>AE73*Eras!AE$4</f>
        <v/>
      </c>
      <c r="AF75" s="5">
        <f>AF73*Eras!AF$4</f>
        <v/>
      </c>
      <c r="AG75" s="5">
        <f>AG73*Eras!AG$4</f>
        <v/>
      </c>
      <c r="AH75" s="5">
        <f>AH73*Eras!AH$4</f>
        <v/>
      </c>
      <c r="AI75" s="5">
        <f>AI73*Eras!AI$4</f>
        <v/>
      </c>
      <c r="AJ75" s="5">
        <f>AJ73*Eras!AJ$4</f>
        <v/>
      </c>
      <c r="AK75" s="5">
        <f>AK73*Eras!AK$4</f>
        <v/>
      </c>
      <c r="AL75" s="5">
        <f>AL73*Eras!AL$4</f>
        <v/>
      </c>
      <c r="AM75" s="5">
        <f>AM73*Eras!AM$4</f>
        <v/>
      </c>
      <c r="AN75" s="5">
        <f>AN73*Eras!AN$4</f>
        <v/>
      </c>
      <c r="AO75" s="5">
        <f>AO73*Eras!AO$4</f>
        <v/>
      </c>
      <c r="AP75" s="5">
        <f>AP73*Eras!AP$4</f>
        <v/>
      </c>
      <c r="AQ75" s="5">
        <f>AQ73*Eras!AQ$4</f>
        <v/>
      </c>
      <c r="AR75" s="5">
        <f>AR73*Eras!AR$4</f>
        <v/>
      </c>
      <c r="AS75" s="5">
        <f>AS73*Eras!AS$4</f>
        <v/>
      </c>
      <c r="AT75" s="5">
        <f>AT73*Eras!AT$4</f>
        <v/>
      </c>
      <c r="AU75" s="5">
        <f>AU73*Eras!AU$4</f>
        <v/>
      </c>
      <c r="AV75" s="5">
        <f>AV73*Eras!AV$4</f>
        <v/>
      </c>
      <c r="AW75" s="5">
        <f>AW73*Eras!AW$4</f>
        <v/>
      </c>
      <c r="AX75" s="5">
        <f>AX73*Eras!AX$4</f>
        <v/>
      </c>
      <c r="AY75" s="5">
        <f>AY73*Eras!AY$4</f>
        <v/>
      </c>
      <c r="AZ75" s="5">
        <f>AZ73*Eras!AZ$4</f>
        <v/>
      </c>
      <c r="BA75" s="5">
        <f>BA73*Eras!BA$4</f>
        <v/>
      </c>
      <c r="BB75" s="5">
        <f>BB73*Eras!BB$4</f>
        <v/>
      </c>
      <c r="BC75" s="5">
        <f>BC73*Eras!BC$4</f>
        <v/>
      </c>
      <c r="BD75" s="5">
        <f>BD73*Eras!BD$4</f>
        <v/>
      </c>
      <c r="BE75" s="5">
        <f>BE73*Eras!BE$4</f>
        <v/>
      </c>
      <c r="BF75" s="5">
        <f>BF73*Eras!BF$4</f>
        <v/>
      </c>
      <c r="BG75" s="5">
        <f>BG73*Eras!BG$4</f>
        <v/>
      </c>
      <c r="BH75" s="5">
        <f>BH73*Eras!BH$4</f>
        <v/>
      </c>
      <c r="BI75" s="5">
        <f>BI73*Eras!BI$4</f>
        <v/>
      </c>
      <c r="BJ75" s="5">
        <f>BJ73*Eras!BJ$4</f>
        <v/>
      </c>
      <c r="BK75" s="5">
        <f>BK73*Eras!BK$4</f>
        <v/>
      </c>
      <c r="BL75" s="5">
        <f>BL73*Eras!BL$4</f>
        <v/>
      </c>
      <c r="BM75" s="5">
        <f>BM73*Eras!BM$4</f>
        <v/>
      </c>
      <c r="BN75" s="5">
        <f>BN73*Eras!BN$4</f>
        <v/>
      </c>
      <c r="BO75" s="5">
        <f>BO73*Eras!BO$4</f>
        <v/>
      </c>
      <c r="BP75" s="5">
        <f>BP73*Eras!BP$4</f>
        <v/>
      </c>
      <c r="BQ75" s="5">
        <f>BQ73*Eras!BQ$4</f>
        <v/>
      </c>
      <c r="BR75" s="5">
        <f>BR73*Eras!BR$4</f>
        <v/>
      </c>
      <c r="BS75" s="5">
        <f>BS73*Eras!BS$4</f>
        <v/>
      </c>
      <c r="BT75" s="5">
        <f>BT73*Eras!BT$4</f>
        <v/>
      </c>
      <c r="BU75" s="5">
        <f>BU73*Eras!BU$4</f>
        <v/>
      </c>
      <c r="BV75" s="5">
        <f>BV73*Eras!BV$4</f>
        <v/>
      </c>
    </row>
    <row r="76">
      <c r="A76" t="inlineStr">
        <is>
          <t>paid starts @2</t>
        </is>
      </c>
      <c r="B76" t="inlineStr">
        <is>
          <t>EUROPE|NITRO_M</t>
        </is>
      </c>
      <c r="C76" s="5">
        <f>C73*Eras!C$5</f>
        <v/>
      </c>
      <c r="D76" s="5">
        <f>D73*Eras!D$5</f>
        <v/>
      </c>
      <c r="E76" s="5">
        <f>E73*Eras!E$5</f>
        <v/>
      </c>
      <c r="F76" s="5">
        <f>F73*Eras!F$5</f>
        <v/>
      </c>
      <c r="G76" s="5">
        <f>G73*Eras!G$5</f>
        <v/>
      </c>
      <c r="H76" s="5">
        <f>H73*Eras!H$5</f>
        <v/>
      </c>
      <c r="I76" s="5">
        <f>I73*Eras!I$5</f>
        <v/>
      </c>
      <c r="J76" s="5">
        <f>J73*Eras!J$5</f>
        <v/>
      </c>
      <c r="K76" s="5">
        <f>K73*Eras!K$5</f>
        <v/>
      </c>
      <c r="L76" s="5">
        <f>L73*Eras!L$5</f>
        <v/>
      </c>
      <c r="M76" s="5">
        <f>M73*Eras!M$5</f>
        <v/>
      </c>
      <c r="N76" s="5">
        <f>N73*Eras!N$5</f>
        <v/>
      </c>
      <c r="O76" s="5">
        <f>O73*Eras!O$5</f>
        <v/>
      </c>
      <c r="P76" s="5">
        <f>P73*Eras!P$5</f>
        <v/>
      </c>
      <c r="Q76" s="5">
        <f>Q73*Eras!Q$5</f>
        <v/>
      </c>
      <c r="R76" s="5">
        <f>R73*Eras!R$5</f>
        <v/>
      </c>
      <c r="S76" s="5">
        <f>S73*Eras!S$5</f>
        <v/>
      </c>
      <c r="T76" s="5">
        <f>T73*Eras!T$5</f>
        <v/>
      </c>
      <c r="U76" s="5">
        <f>U73*Eras!U$5</f>
        <v/>
      </c>
      <c r="V76" s="5">
        <f>V73*Eras!V$5</f>
        <v/>
      </c>
      <c r="W76" s="5">
        <f>W73*Eras!W$5</f>
        <v/>
      </c>
      <c r="X76" s="5">
        <f>X73*Eras!X$5</f>
        <v/>
      </c>
      <c r="Y76" s="5">
        <f>Y73*Eras!Y$5</f>
        <v/>
      </c>
      <c r="Z76" s="5">
        <f>Z73*Eras!Z$5</f>
        <v/>
      </c>
      <c r="AA76" s="5">
        <f>AA73*Eras!AA$5</f>
        <v/>
      </c>
      <c r="AB76" s="5">
        <f>AB73*Eras!AB$5</f>
        <v/>
      </c>
      <c r="AC76" s="5">
        <f>AC73*Eras!AC$5</f>
        <v/>
      </c>
      <c r="AD76" s="5">
        <f>AD73*Eras!AD$5</f>
        <v/>
      </c>
      <c r="AE76" s="5">
        <f>AE73*Eras!AE$5</f>
        <v/>
      </c>
      <c r="AF76" s="5">
        <f>AF73*Eras!AF$5</f>
        <v/>
      </c>
      <c r="AG76" s="5">
        <f>AG73*Eras!AG$5</f>
        <v/>
      </c>
      <c r="AH76" s="5">
        <f>AH73*Eras!AH$5</f>
        <v/>
      </c>
      <c r="AI76" s="5">
        <f>AI73*Eras!AI$5</f>
        <v/>
      </c>
      <c r="AJ76" s="5">
        <f>AJ73*Eras!AJ$5</f>
        <v/>
      </c>
      <c r="AK76" s="5">
        <f>AK73*Eras!AK$5</f>
        <v/>
      </c>
      <c r="AL76" s="5">
        <f>AL73*Eras!AL$5</f>
        <v/>
      </c>
      <c r="AM76" s="5">
        <f>AM73*Eras!AM$5</f>
        <v/>
      </c>
      <c r="AN76" s="5">
        <f>AN73*Eras!AN$5</f>
        <v/>
      </c>
      <c r="AO76" s="5">
        <f>AO73*Eras!AO$5</f>
        <v/>
      </c>
      <c r="AP76" s="5">
        <f>AP73*Eras!AP$5</f>
        <v/>
      </c>
      <c r="AQ76" s="5">
        <f>AQ73*Eras!AQ$5</f>
        <v/>
      </c>
      <c r="AR76" s="5">
        <f>AR73*Eras!AR$5</f>
        <v/>
      </c>
      <c r="AS76" s="5">
        <f>AS73*Eras!AS$5</f>
        <v/>
      </c>
      <c r="AT76" s="5">
        <f>AT73*Eras!AT$5</f>
        <v/>
      </c>
      <c r="AU76" s="5">
        <f>AU73*Eras!AU$5</f>
        <v/>
      </c>
      <c r="AV76" s="5">
        <f>AV73*Eras!AV$5</f>
        <v/>
      </c>
      <c r="AW76" s="5">
        <f>AW73*Eras!AW$5</f>
        <v/>
      </c>
      <c r="AX76" s="5">
        <f>AX73*Eras!AX$5</f>
        <v/>
      </c>
      <c r="AY76" s="5">
        <f>AY73*Eras!AY$5</f>
        <v/>
      </c>
      <c r="AZ76" s="5">
        <f>AZ73*Eras!AZ$5</f>
        <v/>
      </c>
      <c r="BA76" s="5">
        <f>BA73*Eras!BA$5</f>
        <v/>
      </c>
      <c r="BB76" s="5">
        <f>BB73*Eras!BB$5</f>
        <v/>
      </c>
      <c r="BC76" s="5">
        <f>BC73*Eras!BC$5</f>
        <v/>
      </c>
      <c r="BD76" s="5">
        <f>BD73*Eras!BD$5</f>
        <v/>
      </c>
      <c r="BE76" s="5">
        <f>BE73*Eras!BE$5</f>
        <v/>
      </c>
      <c r="BF76" s="5">
        <f>BF73*Eras!BF$5</f>
        <v/>
      </c>
      <c r="BG76" s="5">
        <f>BG73*Eras!BG$5</f>
        <v/>
      </c>
      <c r="BH76" s="5">
        <f>BH73*Eras!BH$5</f>
        <v/>
      </c>
      <c r="BI76" s="5">
        <f>BI73*Eras!BI$5</f>
        <v/>
      </c>
      <c r="BJ76" s="5">
        <f>BJ73*Eras!BJ$5</f>
        <v/>
      </c>
      <c r="BK76" s="5">
        <f>BK73*Eras!BK$5</f>
        <v/>
      </c>
      <c r="BL76" s="5">
        <f>BL73*Eras!BL$5</f>
        <v/>
      </c>
      <c r="BM76" s="5">
        <f>BM73*Eras!BM$5</f>
        <v/>
      </c>
      <c r="BN76" s="5">
        <f>BN73*Eras!BN$5</f>
        <v/>
      </c>
      <c r="BO76" s="5">
        <f>BO73*Eras!BO$5</f>
        <v/>
      </c>
      <c r="BP76" s="5">
        <f>BP73*Eras!BP$5</f>
        <v/>
      </c>
      <c r="BQ76" s="5">
        <f>BQ73*Eras!BQ$5</f>
        <v/>
      </c>
      <c r="BR76" s="5">
        <f>BR73*Eras!BR$5</f>
        <v/>
      </c>
      <c r="BS76" s="5">
        <f>BS73*Eras!BS$5</f>
        <v/>
      </c>
      <c r="BT76" s="5">
        <f>BT73*Eras!BT$5</f>
        <v/>
      </c>
      <c r="BU76" s="5">
        <f>BU73*Eras!BU$5</f>
        <v/>
      </c>
      <c r="BV76" s="5">
        <f>BV73*Eras!BV$5</f>
        <v/>
      </c>
    </row>
    <row r="78">
      <c r="A78" t="inlineStr">
        <is>
          <t>gross adds</t>
        </is>
      </c>
      <c r="B78" t="inlineStr">
        <is>
          <t>EUROPE|NITRO_A</t>
        </is>
      </c>
      <c r="C78" s="5">
        <f>MAU!C5*Params!$B$58*Eras!C$7*Params!$B$130*Params!$B$93</f>
        <v/>
      </c>
      <c r="D78" s="5">
        <f>MAU!D5*Params!$B$58*Eras!D$7*Params!$B$130*Params!$B$93</f>
        <v/>
      </c>
      <c r="E78" s="5">
        <f>MAU!E5*Params!$B$58*Eras!E$7*Params!$B$130*Params!$B$93</f>
        <v/>
      </c>
      <c r="F78" s="5">
        <f>MAU!F5*Params!$B$58*Eras!F$7*Params!$B$130*Params!$B$93</f>
        <v/>
      </c>
      <c r="G78" s="5">
        <f>MAU!G5*Params!$B$58*Eras!G$7*Params!$B$130*Params!$B$93</f>
        <v/>
      </c>
      <c r="H78" s="5">
        <f>MAU!H5*Params!$B$58*Eras!H$7*Params!$B$130*Params!$B$93</f>
        <v/>
      </c>
      <c r="I78" s="5">
        <f>MAU!I5*Params!$B$58*Eras!I$7*Params!$B$130*Params!$B$93</f>
        <v/>
      </c>
      <c r="J78" s="5">
        <f>MAU!J5*Params!$B$58*Eras!J$7*Params!$B$130*Params!$B$93</f>
        <v/>
      </c>
      <c r="K78" s="5">
        <f>MAU!K5*Params!$B$58*Eras!K$7*Params!$B$130*Params!$B$93</f>
        <v/>
      </c>
      <c r="L78" s="5">
        <f>MAU!L5*Params!$B$58*Eras!L$7*Params!$B$130*Params!$B$93</f>
        <v/>
      </c>
      <c r="M78" s="5">
        <f>MAU!M5*Params!$B$58*Eras!M$7*Params!$B$130*Params!$B$93</f>
        <v/>
      </c>
      <c r="N78" s="5">
        <f>MAU!N5*Params!$B$58*Eras!N$7*Params!$B$130*Params!$B$93</f>
        <v/>
      </c>
      <c r="O78" s="5">
        <f>MAU!O5*Params!$B$58*Eras!O$7*Params!$B$130*Params!$B$93</f>
        <v/>
      </c>
      <c r="P78" s="5">
        <f>MAU!P5*Params!$B$58*Eras!P$7*Params!$B$130*Params!$B$93</f>
        <v/>
      </c>
      <c r="Q78" s="5">
        <f>MAU!Q5*Params!$B$58*Eras!Q$7*Params!$B$130*Params!$B$93</f>
        <v/>
      </c>
      <c r="R78" s="5">
        <f>MAU!R5*Params!$B$58*Eras!R$7*Params!$B$130*Params!$B$93</f>
        <v/>
      </c>
      <c r="S78" s="5">
        <f>MAU!S5*Params!$B$58*Eras!S$7*Params!$B$130*Params!$B$93</f>
        <v/>
      </c>
      <c r="T78" s="5">
        <f>MAU!T5*Params!$B$58*Eras!T$7*Params!$B$130*Params!$B$93</f>
        <v/>
      </c>
      <c r="U78" s="5">
        <f>MAU!U5*Params!$B$58*Eras!U$7*Params!$B$130*Params!$B$93</f>
        <v/>
      </c>
      <c r="V78" s="5">
        <f>MAU!V5*Params!$B$58*Eras!V$7*Params!$B$130*Params!$B$93</f>
        <v/>
      </c>
      <c r="W78" s="5">
        <f>MAU!W5*Params!$B$58*Eras!W$7*Params!$B$130*Params!$B$93</f>
        <v/>
      </c>
      <c r="X78" s="5">
        <f>MAU!X5*Params!$B$58*Eras!X$7*Params!$B$130*Params!$B$93</f>
        <v/>
      </c>
      <c r="Y78" s="5">
        <f>MAU!Y5*Params!$B$58*Eras!Y$7*Params!$B$130*Params!$B$93</f>
        <v/>
      </c>
      <c r="Z78" s="5">
        <f>MAU!Z5*Params!$B$58*Eras!Z$7*Params!$B$130*Params!$B$93</f>
        <v/>
      </c>
      <c r="AA78" s="5">
        <f>MAU!AA5*Params!$B$58*Eras!AA$7*Params!$B$130*Params!$B$93</f>
        <v/>
      </c>
      <c r="AB78" s="5">
        <f>MAU!AB5*Params!$B$58*Eras!AB$7*Params!$B$130*Params!$B$93</f>
        <v/>
      </c>
      <c r="AC78" s="5">
        <f>MAU!AC5*Params!$B$58*Eras!AC$7*Params!$B$130*Params!$B$93</f>
        <v/>
      </c>
      <c r="AD78" s="5">
        <f>MAU!AD5*Params!$B$58*Eras!AD$7*Params!$B$130*Params!$B$93</f>
        <v/>
      </c>
      <c r="AE78" s="5">
        <f>MAU!AE5*Params!$B$58*Eras!AE$7*Params!$B$130*Params!$B$93</f>
        <v/>
      </c>
      <c r="AF78" s="5">
        <f>MAU!AF5*Params!$B$58*Eras!AF$7*Params!$B$130*Params!$B$93</f>
        <v/>
      </c>
      <c r="AG78" s="5">
        <f>MAU!AG5*Params!$B$58*Eras!AG$7*Params!$B$130*Params!$B$93</f>
        <v/>
      </c>
      <c r="AH78" s="5">
        <f>MAU!AH5*Params!$B$58*Eras!AH$7*Params!$B$130*Params!$B$93</f>
        <v/>
      </c>
      <c r="AI78" s="5">
        <f>MAU!AI5*Params!$B$58*Eras!AI$7*Params!$B$130*Params!$B$93</f>
        <v/>
      </c>
      <c r="AJ78" s="5">
        <f>MAU!AJ5*Params!$B$58*Eras!AJ$7*Params!$B$130*Params!$B$93</f>
        <v/>
      </c>
      <c r="AK78" s="5">
        <f>MAU!AK5*Params!$B$58*Eras!AK$7*Params!$B$130*Params!$B$93</f>
        <v/>
      </c>
      <c r="AL78" s="5">
        <f>MAU!AL5*Params!$B$58*Eras!AL$7*Params!$B$130*Params!$B$93</f>
        <v/>
      </c>
      <c r="AM78" s="5">
        <f>MAU!AM5*Params!$B$58*Eras!AM$7*Params!$B$130*Params!$B$93</f>
        <v/>
      </c>
      <c r="AN78" s="5">
        <f>MAU!AN5*Params!$B$58*Eras!AN$7*Params!$B$130*Params!$B$93</f>
        <v/>
      </c>
      <c r="AO78" s="5">
        <f>MAU!AO5*Params!$B$58*Eras!AO$7*Params!$B$130*Params!$B$93</f>
        <v/>
      </c>
      <c r="AP78" s="5">
        <f>MAU!AP5*Params!$B$58*Eras!AP$7*Params!$B$130*Params!$B$93</f>
        <v/>
      </c>
      <c r="AQ78" s="5">
        <f>MAU!AQ5*Params!$B$58*Eras!AQ$7*Params!$B$130*Params!$B$93</f>
        <v/>
      </c>
      <c r="AR78" s="5">
        <f>MAU!AR5*Params!$B$58*Eras!AR$7*Params!$B$130*Params!$B$93</f>
        <v/>
      </c>
      <c r="AS78" s="5">
        <f>MAU!AS5*Params!$B$58*Eras!AS$7*Params!$B$130*Params!$B$93</f>
        <v/>
      </c>
      <c r="AT78" s="5">
        <f>MAU!AT5*Params!$B$58*Eras!AT$7*Params!$B$130*Params!$B$93</f>
        <v/>
      </c>
      <c r="AU78" s="5">
        <f>MAU!AU5*Params!$B$58*Eras!AU$7*Params!$B$130*Params!$B$93</f>
        <v/>
      </c>
      <c r="AV78" s="5">
        <f>MAU!AV5*Params!$B$58*Eras!AV$7*Params!$B$130*Params!$B$93</f>
        <v/>
      </c>
      <c r="AW78" s="5">
        <f>MAU!AW5*Params!$B$58*Eras!AW$7*Params!$B$130*Params!$B$93</f>
        <v/>
      </c>
      <c r="AX78" s="5">
        <f>MAU!AX5*Params!$B$58*Eras!AX$7*Params!$B$130*Params!$B$93</f>
        <v/>
      </c>
      <c r="AY78" s="5">
        <f>MAU!AY5*Params!$B$58*Eras!AY$7*Params!$B$130*Params!$B$93</f>
        <v/>
      </c>
      <c r="AZ78" s="5">
        <f>MAU!AZ5*Params!$B$58*Eras!AZ$7*Params!$B$130*Params!$B$93</f>
        <v/>
      </c>
      <c r="BA78" s="5">
        <f>MAU!BA5*Params!$B$58*Eras!BA$7*Params!$B$130*Params!$B$93</f>
        <v/>
      </c>
      <c r="BB78" s="5">
        <f>MAU!BB5*Params!$B$58*Eras!BB$7*Params!$B$130*Params!$B$93</f>
        <v/>
      </c>
      <c r="BC78" s="5">
        <f>MAU!BC5*Params!$B$58*Eras!BC$7*Params!$B$130*Params!$B$93</f>
        <v/>
      </c>
      <c r="BD78" s="5">
        <f>MAU!BD5*Params!$B$58*Eras!BD$7*Params!$B$130*Params!$B$93</f>
        <v/>
      </c>
      <c r="BE78" s="5">
        <f>MAU!BE5*Params!$B$58*Eras!BE$7*Params!$B$130*Params!$B$93</f>
        <v/>
      </c>
      <c r="BF78" s="5">
        <f>MAU!BF5*Params!$B$58*Eras!BF$7*Params!$B$130*Params!$B$93</f>
        <v/>
      </c>
      <c r="BG78" s="5">
        <f>MAU!BG5*Params!$B$58*Eras!BG$7*Params!$B$130*Params!$B$93</f>
        <v/>
      </c>
      <c r="BH78" s="5">
        <f>MAU!BH5*Params!$B$58*Eras!BH$7*Params!$B$130*Params!$B$93</f>
        <v/>
      </c>
      <c r="BI78" s="5">
        <f>MAU!BI5*Params!$B$58*Eras!BI$7*Params!$B$130*Params!$B$93</f>
        <v/>
      </c>
      <c r="BJ78" s="5">
        <f>MAU!BJ5*Params!$B$58*Eras!BJ$7*Params!$B$130*Params!$B$93</f>
        <v/>
      </c>
      <c r="BK78" s="5">
        <f>MAU!BK5*Params!$B$58*Eras!BK$7*Params!$B$130*Params!$B$93</f>
        <v/>
      </c>
      <c r="BL78" s="5">
        <f>MAU!BL5*Params!$B$58*Eras!BL$7*Params!$B$130*Params!$B$93</f>
        <v/>
      </c>
      <c r="BM78" s="5">
        <f>MAU!BM5*Params!$B$58*Eras!BM$7*Params!$B$130*Params!$B$93</f>
        <v/>
      </c>
      <c r="BN78" s="5">
        <f>MAU!BN5*Params!$B$58*Eras!BN$7*Params!$B$130*Params!$B$93</f>
        <v/>
      </c>
      <c r="BO78" s="5">
        <f>MAU!BO5*Params!$B$58*Eras!BO$7*Params!$B$130*Params!$B$93</f>
        <v/>
      </c>
      <c r="BP78" s="5">
        <f>MAU!BP5*Params!$B$58*Eras!BP$7*Params!$B$130*Params!$B$93</f>
        <v/>
      </c>
      <c r="BQ78" s="5">
        <f>MAU!BQ5*Params!$B$58*Eras!BQ$7*Params!$B$130*Params!$B$93</f>
        <v/>
      </c>
      <c r="BR78" s="5">
        <f>MAU!BR5*Params!$B$58*Eras!BR$7*Params!$B$130*Params!$B$93</f>
        <v/>
      </c>
      <c r="BS78" s="5">
        <f>MAU!BS5*Params!$B$58*Eras!BS$7*Params!$B$130*Params!$B$93</f>
        <v/>
      </c>
      <c r="BT78" s="5">
        <f>MAU!BT5*Params!$B$58*Eras!BT$7*Params!$B$130*Params!$B$93</f>
        <v/>
      </c>
      <c r="BU78" s="5">
        <f>MAU!BU5*Params!$B$58*Eras!BU$7*Params!$B$130*Params!$B$93</f>
        <v/>
      </c>
      <c r="BV78" s="5">
        <f>MAU!BV5*Params!$B$58*Eras!BV$7*Params!$B$130*Params!$B$93</f>
        <v/>
      </c>
    </row>
    <row r="79">
      <c r="A79" t="inlineStr">
        <is>
          <t>trial starts</t>
        </is>
      </c>
      <c r="B79" t="inlineStr">
        <is>
          <t>EUROPE|NITRO_A</t>
        </is>
      </c>
      <c r="C79" s="5">
        <f>C78*Eras!C$8</f>
        <v/>
      </c>
      <c r="D79" s="5">
        <f>D78*Eras!D$8</f>
        <v/>
      </c>
      <c r="E79" s="5">
        <f>E78*Eras!E$8</f>
        <v/>
      </c>
      <c r="F79" s="5">
        <f>F78*Eras!F$8</f>
        <v/>
      </c>
      <c r="G79" s="5">
        <f>G78*Eras!G$8</f>
        <v/>
      </c>
      <c r="H79" s="5">
        <f>H78*Eras!H$8</f>
        <v/>
      </c>
      <c r="I79" s="5">
        <f>I78*Eras!I$8</f>
        <v/>
      </c>
      <c r="J79" s="5">
        <f>J78*Eras!J$8</f>
        <v/>
      </c>
      <c r="K79" s="5">
        <f>K78*Eras!K$8</f>
        <v/>
      </c>
      <c r="L79" s="5">
        <f>L78*Eras!L$8</f>
        <v/>
      </c>
      <c r="M79" s="5">
        <f>M78*Eras!M$8</f>
        <v/>
      </c>
      <c r="N79" s="5">
        <f>N78*Eras!N$8</f>
        <v/>
      </c>
      <c r="O79" s="5">
        <f>O78*Eras!O$8</f>
        <v/>
      </c>
      <c r="P79" s="5">
        <f>P78*Eras!P$8</f>
        <v/>
      </c>
      <c r="Q79" s="5">
        <f>Q78*Eras!Q$8</f>
        <v/>
      </c>
      <c r="R79" s="5">
        <f>R78*Eras!R$8</f>
        <v/>
      </c>
      <c r="S79" s="5">
        <f>S78*Eras!S$8</f>
        <v/>
      </c>
      <c r="T79" s="5">
        <f>T78*Eras!T$8</f>
        <v/>
      </c>
      <c r="U79" s="5">
        <f>U78*Eras!U$8</f>
        <v/>
      </c>
      <c r="V79" s="5">
        <f>V78*Eras!V$8</f>
        <v/>
      </c>
      <c r="W79" s="5">
        <f>W78*Eras!W$8</f>
        <v/>
      </c>
      <c r="X79" s="5">
        <f>X78*Eras!X$8</f>
        <v/>
      </c>
      <c r="Y79" s="5">
        <f>Y78*Eras!Y$8</f>
        <v/>
      </c>
      <c r="Z79" s="5">
        <f>Z78*Eras!Z$8</f>
        <v/>
      </c>
      <c r="AA79" s="5">
        <f>AA78*Eras!AA$8</f>
        <v/>
      </c>
      <c r="AB79" s="5">
        <f>AB78*Eras!AB$8</f>
        <v/>
      </c>
      <c r="AC79" s="5">
        <f>AC78*Eras!AC$8</f>
        <v/>
      </c>
      <c r="AD79" s="5">
        <f>AD78*Eras!AD$8</f>
        <v/>
      </c>
      <c r="AE79" s="5">
        <f>AE78*Eras!AE$8</f>
        <v/>
      </c>
      <c r="AF79" s="5">
        <f>AF78*Eras!AF$8</f>
        <v/>
      </c>
      <c r="AG79" s="5">
        <f>AG78*Eras!AG$8</f>
        <v/>
      </c>
      <c r="AH79" s="5">
        <f>AH78*Eras!AH$8</f>
        <v/>
      </c>
      <c r="AI79" s="5">
        <f>AI78*Eras!AI$8</f>
        <v/>
      </c>
      <c r="AJ79" s="5">
        <f>AJ78*Eras!AJ$8</f>
        <v/>
      </c>
      <c r="AK79" s="5">
        <f>AK78*Eras!AK$8</f>
        <v/>
      </c>
      <c r="AL79" s="5">
        <f>AL78*Eras!AL$8</f>
        <v/>
      </c>
      <c r="AM79" s="5">
        <f>AM78*Eras!AM$8</f>
        <v/>
      </c>
      <c r="AN79" s="5">
        <f>AN78*Eras!AN$8</f>
        <v/>
      </c>
      <c r="AO79" s="5">
        <f>AO78*Eras!AO$8</f>
        <v/>
      </c>
      <c r="AP79" s="5">
        <f>AP78*Eras!AP$8</f>
        <v/>
      </c>
      <c r="AQ79" s="5">
        <f>AQ78*Eras!AQ$8</f>
        <v/>
      </c>
      <c r="AR79" s="5">
        <f>AR78*Eras!AR$8</f>
        <v/>
      </c>
      <c r="AS79" s="5">
        <f>AS78*Eras!AS$8</f>
        <v/>
      </c>
      <c r="AT79" s="5">
        <f>AT78*Eras!AT$8</f>
        <v/>
      </c>
      <c r="AU79" s="5">
        <f>AU78*Eras!AU$8</f>
        <v/>
      </c>
      <c r="AV79" s="5">
        <f>AV78*Eras!AV$8</f>
        <v/>
      </c>
      <c r="AW79" s="5">
        <f>AW78*Eras!AW$8</f>
        <v/>
      </c>
      <c r="AX79" s="5">
        <f>AX78*Eras!AX$8</f>
        <v/>
      </c>
      <c r="AY79" s="5">
        <f>AY78*Eras!AY$8</f>
        <v/>
      </c>
      <c r="AZ79" s="5">
        <f>AZ78*Eras!AZ$8</f>
        <v/>
      </c>
      <c r="BA79" s="5">
        <f>BA78*Eras!BA$8</f>
        <v/>
      </c>
      <c r="BB79" s="5">
        <f>BB78*Eras!BB$8</f>
        <v/>
      </c>
      <c r="BC79" s="5">
        <f>BC78*Eras!BC$8</f>
        <v/>
      </c>
      <c r="BD79" s="5">
        <f>BD78*Eras!BD$8</f>
        <v/>
      </c>
      <c r="BE79" s="5">
        <f>BE78*Eras!BE$8</f>
        <v/>
      </c>
      <c r="BF79" s="5">
        <f>BF78*Eras!BF$8</f>
        <v/>
      </c>
      <c r="BG79" s="5">
        <f>BG78*Eras!BG$8</f>
        <v/>
      </c>
      <c r="BH79" s="5">
        <f>BH78*Eras!BH$8</f>
        <v/>
      </c>
      <c r="BI79" s="5">
        <f>BI78*Eras!BI$8</f>
        <v/>
      </c>
      <c r="BJ79" s="5">
        <f>BJ78*Eras!BJ$8</f>
        <v/>
      </c>
      <c r="BK79" s="5">
        <f>BK78*Eras!BK$8</f>
        <v/>
      </c>
      <c r="BL79" s="5">
        <f>BL78*Eras!BL$8</f>
        <v/>
      </c>
      <c r="BM79" s="5">
        <f>BM78*Eras!BM$8</f>
        <v/>
      </c>
      <c r="BN79" s="5">
        <f>BN78*Eras!BN$8</f>
        <v/>
      </c>
      <c r="BO79" s="5">
        <f>BO78*Eras!BO$8</f>
        <v/>
      </c>
      <c r="BP79" s="5">
        <f>BP78*Eras!BP$8</f>
        <v/>
      </c>
      <c r="BQ79" s="5">
        <f>BQ78*Eras!BQ$8</f>
        <v/>
      </c>
      <c r="BR79" s="5">
        <f>BR78*Eras!BR$8</f>
        <v/>
      </c>
      <c r="BS79" s="5">
        <f>BS78*Eras!BS$8</f>
        <v/>
      </c>
      <c r="BT79" s="5">
        <f>BT78*Eras!BT$8</f>
        <v/>
      </c>
      <c r="BU79" s="5">
        <f>BU78*Eras!BU$8</f>
        <v/>
      </c>
      <c r="BV79" s="5">
        <f>BV78*Eras!BV$8</f>
        <v/>
      </c>
    </row>
    <row r="80">
      <c r="A80" t="inlineStr">
        <is>
          <t>direct paid starts</t>
        </is>
      </c>
      <c r="B80" t="inlineStr">
        <is>
          <t>EUROPE|NITRO_A</t>
        </is>
      </c>
      <c r="C80" s="5">
        <f>C78-C79</f>
        <v/>
      </c>
      <c r="D80" s="5">
        <f>D78-D79</f>
        <v/>
      </c>
      <c r="E80" s="5">
        <f>E78-E79</f>
        <v/>
      </c>
      <c r="F80" s="5">
        <f>F78-F79</f>
        <v/>
      </c>
      <c r="G80" s="5">
        <f>G78-G79</f>
        <v/>
      </c>
      <c r="H80" s="5">
        <f>H78-H79</f>
        <v/>
      </c>
      <c r="I80" s="5">
        <f>I78-I79</f>
        <v/>
      </c>
      <c r="J80" s="5">
        <f>J78-J79</f>
        <v/>
      </c>
      <c r="K80" s="5">
        <f>K78-K79</f>
        <v/>
      </c>
      <c r="L80" s="5">
        <f>L78-L79</f>
        <v/>
      </c>
      <c r="M80" s="5">
        <f>M78-M79</f>
        <v/>
      </c>
      <c r="N80" s="5">
        <f>N78-N79</f>
        <v/>
      </c>
      <c r="O80" s="5">
        <f>O78-O79</f>
        <v/>
      </c>
      <c r="P80" s="5">
        <f>P78-P79</f>
        <v/>
      </c>
      <c r="Q80" s="5">
        <f>Q78-Q79</f>
        <v/>
      </c>
      <c r="R80" s="5">
        <f>R78-R79</f>
        <v/>
      </c>
      <c r="S80" s="5">
        <f>S78-S79</f>
        <v/>
      </c>
      <c r="T80" s="5">
        <f>T78-T79</f>
        <v/>
      </c>
      <c r="U80" s="5">
        <f>U78-U79</f>
        <v/>
      </c>
      <c r="V80" s="5">
        <f>V78-V79</f>
        <v/>
      </c>
      <c r="W80" s="5">
        <f>W78-W79</f>
        <v/>
      </c>
      <c r="X80" s="5">
        <f>X78-X79</f>
        <v/>
      </c>
      <c r="Y80" s="5">
        <f>Y78-Y79</f>
        <v/>
      </c>
      <c r="Z80" s="5">
        <f>Z78-Z79</f>
        <v/>
      </c>
      <c r="AA80" s="5">
        <f>AA78-AA79</f>
        <v/>
      </c>
      <c r="AB80" s="5">
        <f>AB78-AB79</f>
        <v/>
      </c>
      <c r="AC80" s="5">
        <f>AC78-AC79</f>
        <v/>
      </c>
      <c r="AD80" s="5">
        <f>AD78-AD79</f>
        <v/>
      </c>
      <c r="AE80" s="5">
        <f>AE78-AE79</f>
        <v/>
      </c>
      <c r="AF80" s="5">
        <f>AF78-AF79</f>
        <v/>
      </c>
      <c r="AG80" s="5">
        <f>AG78-AG79</f>
        <v/>
      </c>
      <c r="AH80" s="5">
        <f>AH78-AH79</f>
        <v/>
      </c>
      <c r="AI80" s="5">
        <f>AI78-AI79</f>
        <v/>
      </c>
      <c r="AJ80" s="5">
        <f>AJ78-AJ79</f>
        <v/>
      </c>
      <c r="AK80" s="5">
        <f>AK78-AK79</f>
        <v/>
      </c>
      <c r="AL80" s="5">
        <f>AL78-AL79</f>
        <v/>
      </c>
      <c r="AM80" s="5">
        <f>AM78-AM79</f>
        <v/>
      </c>
      <c r="AN80" s="5">
        <f>AN78-AN79</f>
        <v/>
      </c>
      <c r="AO80" s="5">
        <f>AO78-AO79</f>
        <v/>
      </c>
      <c r="AP80" s="5">
        <f>AP78-AP79</f>
        <v/>
      </c>
      <c r="AQ80" s="5">
        <f>AQ78-AQ79</f>
        <v/>
      </c>
      <c r="AR80" s="5">
        <f>AR78-AR79</f>
        <v/>
      </c>
      <c r="AS80" s="5">
        <f>AS78-AS79</f>
        <v/>
      </c>
      <c r="AT80" s="5">
        <f>AT78-AT79</f>
        <v/>
      </c>
      <c r="AU80" s="5">
        <f>AU78-AU79</f>
        <v/>
      </c>
      <c r="AV80" s="5">
        <f>AV78-AV79</f>
        <v/>
      </c>
      <c r="AW80" s="5">
        <f>AW78-AW79</f>
        <v/>
      </c>
      <c r="AX80" s="5">
        <f>AX78-AX79</f>
        <v/>
      </c>
      <c r="AY80" s="5">
        <f>AY78-AY79</f>
        <v/>
      </c>
      <c r="AZ80" s="5">
        <f>AZ78-AZ79</f>
        <v/>
      </c>
      <c r="BA80" s="5">
        <f>BA78-BA79</f>
        <v/>
      </c>
      <c r="BB80" s="5">
        <f>BB78-BB79</f>
        <v/>
      </c>
      <c r="BC80" s="5">
        <f>BC78-BC79</f>
        <v/>
      </c>
      <c r="BD80" s="5">
        <f>BD78-BD79</f>
        <v/>
      </c>
      <c r="BE80" s="5">
        <f>BE78-BE79</f>
        <v/>
      </c>
      <c r="BF80" s="5">
        <f>BF78-BF79</f>
        <v/>
      </c>
      <c r="BG80" s="5">
        <f>BG78-BG79</f>
        <v/>
      </c>
      <c r="BH80" s="5">
        <f>BH78-BH79</f>
        <v/>
      </c>
      <c r="BI80" s="5">
        <f>BI78-BI79</f>
        <v/>
      </c>
      <c r="BJ80" s="5">
        <f>BJ78-BJ79</f>
        <v/>
      </c>
      <c r="BK80" s="5">
        <f>BK78-BK79</f>
        <v/>
      </c>
      <c r="BL80" s="5">
        <f>BL78-BL79</f>
        <v/>
      </c>
      <c r="BM80" s="5">
        <f>BM78-BM79</f>
        <v/>
      </c>
      <c r="BN80" s="5">
        <f>BN78-BN79</f>
        <v/>
      </c>
      <c r="BO80" s="5">
        <f>BO78-BO79</f>
        <v/>
      </c>
      <c r="BP80" s="5">
        <f>BP78-BP79</f>
        <v/>
      </c>
      <c r="BQ80" s="5">
        <f>BQ78-BQ79</f>
        <v/>
      </c>
      <c r="BR80" s="5">
        <f>BR78-BR79</f>
        <v/>
      </c>
      <c r="BS80" s="5">
        <f>BS78-BS79</f>
        <v/>
      </c>
      <c r="BT80" s="5">
        <f>BT78-BT79</f>
        <v/>
      </c>
      <c r="BU80" s="5">
        <f>BU78-BU79</f>
        <v/>
      </c>
      <c r="BV80" s="5">
        <f>BV78-BV79</f>
        <v/>
      </c>
    </row>
    <row r="81">
      <c r="A81" t="inlineStr">
        <is>
          <t>trials ending</t>
        </is>
      </c>
      <c r="B81" t="inlineStr">
        <is>
          <t>EUROPE|NITRO_A</t>
        </is>
      </c>
      <c r="C81" s="5">
        <f>IF(C$2&gt;=Params!$B$6,INDEX($C$79:$BV$79,C$2-Params!$B$6+1),0)</f>
        <v/>
      </c>
      <c r="D81" s="5">
        <f>IF(D$2&gt;=Params!$B$6,INDEX($C$79:$BV$79,D$2-Params!$B$6+1),0)</f>
        <v/>
      </c>
      <c r="E81" s="5">
        <f>IF(E$2&gt;=Params!$B$6,INDEX($C$79:$BV$79,E$2-Params!$B$6+1),0)</f>
        <v/>
      </c>
      <c r="F81" s="5">
        <f>IF(F$2&gt;=Params!$B$6,INDEX($C$79:$BV$79,F$2-Params!$B$6+1),0)</f>
        <v/>
      </c>
      <c r="G81" s="5">
        <f>IF(G$2&gt;=Params!$B$6,INDEX($C$79:$BV$79,G$2-Params!$B$6+1),0)</f>
        <v/>
      </c>
      <c r="H81" s="5">
        <f>IF(H$2&gt;=Params!$B$6,INDEX($C$79:$BV$79,H$2-Params!$B$6+1),0)</f>
        <v/>
      </c>
      <c r="I81" s="5">
        <f>IF(I$2&gt;=Params!$B$6,INDEX($C$79:$BV$79,I$2-Params!$B$6+1),0)</f>
        <v/>
      </c>
      <c r="J81" s="5">
        <f>IF(J$2&gt;=Params!$B$6,INDEX($C$79:$BV$79,J$2-Params!$B$6+1),0)</f>
        <v/>
      </c>
      <c r="K81" s="5">
        <f>IF(K$2&gt;=Params!$B$6,INDEX($C$79:$BV$79,K$2-Params!$B$6+1),0)</f>
        <v/>
      </c>
      <c r="L81" s="5">
        <f>IF(L$2&gt;=Params!$B$6,INDEX($C$79:$BV$79,L$2-Params!$B$6+1),0)</f>
        <v/>
      </c>
      <c r="M81" s="5">
        <f>IF(M$2&gt;=Params!$B$6,INDEX($C$79:$BV$79,M$2-Params!$B$6+1),0)</f>
        <v/>
      </c>
      <c r="N81" s="5">
        <f>IF(N$2&gt;=Params!$B$6,INDEX($C$79:$BV$79,N$2-Params!$B$6+1),0)</f>
        <v/>
      </c>
      <c r="O81" s="5">
        <f>IF(O$2&gt;=Params!$B$6,INDEX($C$79:$BV$79,O$2-Params!$B$6+1),0)</f>
        <v/>
      </c>
      <c r="P81" s="5">
        <f>IF(P$2&gt;=Params!$B$6,INDEX($C$79:$BV$79,P$2-Params!$B$6+1),0)</f>
        <v/>
      </c>
      <c r="Q81" s="5">
        <f>IF(Q$2&gt;=Params!$B$6,INDEX($C$79:$BV$79,Q$2-Params!$B$6+1),0)</f>
        <v/>
      </c>
      <c r="R81" s="5">
        <f>IF(R$2&gt;=Params!$B$6,INDEX($C$79:$BV$79,R$2-Params!$B$6+1),0)</f>
        <v/>
      </c>
      <c r="S81" s="5">
        <f>IF(S$2&gt;=Params!$B$6,INDEX($C$79:$BV$79,S$2-Params!$B$6+1),0)</f>
        <v/>
      </c>
      <c r="T81" s="5">
        <f>IF(T$2&gt;=Params!$B$6,INDEX($C$79:$BV$79,T$2-Params!$B$6+1),0)</f>
        <v/>
      </c>
      <c r="U81" s="5">
        <f>IF(U$2&gt;=Params!$B$6,INDEX($C$79:$BV$79,U$2-Params!$B$6+1),0)</f>
        <v/>
      </c>
      <c r="V81" s="5">
        <f>IF(V$2&gt;=Params!$B$6,INDEX($C$79:$BV$79,V$2-Params!$B$6+1),0)</f>
        <v/>
      </c>
      <c r="W81" s="5">
        <f>IF(W$2&gt;=Params!$B$6,INDEX($C$79:$BV$79,W$2-Params!$B$6+1),0)</f>
        <v/>
      </c>
      <c r="X81" s="5">
        <f>IF(X$2&gt;=Params!$B$6,INDEX($C$79:$BV$79,X$2-Params!$B$6+1),0)</f>
        <v/>
      </c>
      <c r="Y81" s="5">
        <f>IF(Y$2&gt;=Params!$B$6,INDEX($C$79:$BV$79,Y$2-Params!$B$6+1),0)</f>
        <v/>
      </c>
      <c r="Z81" s="5">
        <f>IF(Z$2&gt;=Params!$B$6,INDEX($C$79:$BV$79,Z$2-Params!$B$6+1),0)</f>
        <v/>
      </c>
      <c r="AA81" s="5">
        <f>IF(AA$2&gt;=Params!$B$6,INDEX($C$79:$BV$79,AA$2-Params!$B$6+1),0)</f>
        <v/>
      </c>
      <c r="AB81" s="5">
        <f>IF(AB$2&gt;=Params!$B$6,INDEX($C$79:$BV$79,AB$2-Params!$B$6+1),0)</f>
        <v/>
      </c>
      <c r="AC81" s="5">
        <f>IF(AC$2&gt;=Params!$B$6,INDEX($C$79:$BV$79,AC$2-Params!$B$6+1),0)</f>
        <v/>
      </c>
      <c r="AD81" s="5">
        <f>IF(AD$2&gt;=Params!$B$6,INDEX($C$79:$BV$79,AD$2-Params!$B$6+1),0)</f>
        <v/>
      </c>
      <c r="AE81" s="5">
        <f>IF(AE$2&gt;=Params!$B$6,INDEX($C$79:$BV$79,AE$2-Params!$B$6+1),0)</f>
        <v/>
      </c>
      <c r="AF81" s="5">
        <f>IF(AF$2&gt;=Params!$B$6,INDEX($C$79:$BV$79,AF$2-Params!$B$6+1),0)</f>
        <v/>
      </c>
      <c r="AG81" s="5">
        <f>IF(AG$2&gt;=Params!$B$6,INDEX($C$79:$BV$79,AG$2-Params!$B$6+1),0)</f>
        <v/>
      </c>
      <c r="AH81" s="5">
        <f>IF(AH$2&gt;=Params!$B$6,INDEX($C$79:$BV$79,AH$2-Params!$B$6+1),0)</f>
        <v/>
      </c>
      <c r="AI81" s="5">
        <f>IF(AI$2&gt;=Params!$B$6,INDEX($C$79:$BV$79,AI$2-Params!$B$6+1),0)</f>
        <v/>
      </c>
      <c r="AJ81" s="5">
        <f>IF(AJ$2&gt;=Params!$B$6,INDEX($C$79:$BV$79,AJ$2-Params!$B$6+1),0)</f>
        <v/>
      </c>
      <c r="AK81" s="5">
        <f>IF(AK$2&gt;=Params!$B$6,INDEX($C$79:$BV$79,AK$2-Params!$B$6+1),0)</f>
        <v/>
      </c>
      <c r="AL81" s="5">
        <f>IF(AL$2&gt;=Params!$B$6,INDEX($C$79:$BV$79,AL$2-Params!$B$6+1),0)</f>
        <v/>
      </c>
      <c r="AM81" s="5">
        <f>IF(AM$2&gt;=Params!$B$6,INDEX($C$79:$BV$79,AM$2-Params!$B$6+1),0)</f>
        <v/>
      </c>
      <c r="AN81" s="5">
        <f>IF(AN$2&gt;=Params!$B$6,INDEX($C$79:$BV$79,AN$2-Params!$B$6+1),0)</f>
        <v/>
      </c>
      <c r="AO81" s="5">
        <f>IF(AO$2&gt;=Params!$B$6,INDEX($C$79:$BV$79,AO$2-Params!$B$6+1),0)</f>
        <v/>
      </c>
      <c r="AP81" s="5">
        <f>IF(AP$2&gt;=Params!$B$6,INDEX($C$79:$BV$79,AP$2-Params!$B$6+1),0)</f>
        <v/>
      </c>
      <c r="AQ81" s="5">
        <f>IF(AQ$2&gt;=Params!$B$6,INDEX($C$79:$BV$79,AQ$2-Params!$B$6+1),0)</f>
        <v/>
      </c>
      <c r="AR81" s="5">
        <f>IF(AR$2&gt;=Params!$B$6,INDEX($C$79:$BV$79,AR$2-Params!$B$6+1),0)</f>
        <v/>
      </c>
      <c r="AS81" s="5">
        <f>IF(AS$2&gt;=Params!$B$6,INDEX($C$79:$BV$79,AS$2-Params!$B$6+1),0)</f>
        <v/>
      </c>
      <c r="AT81" s="5">
        <f>IF(AT$2&gt;=Params!$B$6,INDEX($C$79:$BV$79,AT$2-Params!$B$6+1),0)</f>
        <v/>
      </c>
      <c r="AU81" s="5">
        <f>IF(AU$2&gt;=Params!$B$6,INDEX($C$79:$BV$79,AU$2-Params!$B$6+1),0)</f>
        <v/>
      </c>
      <c r="AV81" s="5">
        <f>IF(AV$2&gt;=Params!$B$6,INDEX($C$79:$BV$79,AV$2-Params!$B$6+1),0)</f>
        <v/>
      </c>
      <c r="AW81" s="5">
        <f>IF(AW$2&gt;=Params!$B$6,INDEX($C$79:$BV$79,AW$2-Params!$B$6+1),0)</f>
        <v/>
      </c>
      <c r="AX81" s="5">
        <f>IF(AX$2&gt;=Params!$B$6,INDEX($C$79:$BV$79,AX$2-Params!$B$6+1),0)</f>
        <v/>
      </c>
      <c r="AY81" s="5">
        <f>IF(AY$2&gt;=Params!$B$6,INDEX($C$79:$BV$79,AY$2-Params!$B$6+1),0)</f>
        <v/>
      </c>
      <c r="AZ81" s="5">
        <f>IF(AZ$2&gt;=Params!$B$6,INDEX($C$79:$BV$79,AZ$2-Params!$B$6+1),0)</f>
        <v/>
      </c>
      <c r="BA81" s="5">
        <f>IF(BA$2&gt;=Params!$B$6,INDEX($C$79:$BV$79,BA$2-Params!$B$6+1),0)</f>
        <v/>
      </c>
      <c r="BB81" s="5">
        <f>IF(BB$2&gt;=Params!$B$6,INDEX($C$79:$BV$79,BB$2-Params!$B$6+1),0)</f>
        <v/>
      </c>
      <c r="BC81" s="5">
        <f>IF(BC$2&gt;=Params!$B$6,INDEX($C$79:$BV$79,BC$2-Params!$B$6+1),0)</f>
        <v/>
      </c>
      <c r="BD81" s="5">
        <f>IF(BD$2&gt;=Params!$B$6,INDEX($C$79:$BV$79,BD$2-Params!$B$6+1),0)</f>
        <v/>
      </c>
      <c r="BE81" s="5">
        <f>IF(BE$2&gt;=Params!$B$6,INDEX($C$79:$BV$79,BE$2-Params!$B$6+1),0)</f>
        <v/>
      </c>
      <c r="BF81" s="5">
        <f>IF(BF$2&gt;=Params!$B$6,INDEX($C$79:$BV$79,BF$2-Params!$B$6+1),0)</f>
        <v/>
      </c>
      <c r="BG81" s="5">
        <f>IF(BG$2&gt;=Params!$B$6,INDEX($C$79:$BV$79,BG$2-Params!$B$6+1),0)</f>
        <v/>
      </c>
      <c r="BH81" s="5">
        <f>IF(BH$2&gt;=Params!$B$6,INDEX($C$79:$BV$79,BH$2-Params!$B$6+1),0)</f>
        <v/>
      </c>
      <c r="BI81" s="5">
        <f>IF(BI$2&gt;=Params!$B$6,INDEX($C$79:$BV$79,BI$2-Params!$B$6+1),0)</f>
        <v/>
      </c>
      <c r="BJ81" s="5">
        <f>IF(BJ$2&gt;=Params!$B$6,INDEX($C$79:$BV$79,BJ$2-Params!$B$6+1),0)</f>
        <v/>
      </c>
      <c r="BK81" s="5">
        <f>IF(BK$2&gt;=Params!$B$6,INDEX($C$79:$BV$79,BK$2-Params!$B$6+1),0)</f>
        <v/>
      </c>
      <c r="BL81" s="5">
        <f>IF(BL$2&gt;=Params!$B$6,INDEX($C$79:$BV$79,BL$2-Params!$B$6+1),0)</f>
        <v/>
      </c>
      <c r="BM81" s="5">
        <f>IF(BM$2&gt;=Params!$B$6,INDEX($C$79:$BV$79,BM$2-Params!$B$6+1),0)</f>
        <v/>
      </c>
      <c r="BN81" s="5">
        <f>IF(BN$2&gt;=Params!$B$6,INDEX($C$79:$BV$79,BN$2-Params!$B$6+1),0)</f>
        <v/>
      </c>
      <c r="BO81" s="5">
        <f>IF(BO$2&gt;=Params!$B$6,INDEX($C$79:$BV$79,BO$2-Params!$B$6+1),0)</f>
        <v/>
      </c>
      <c r="BP81" s="5">
        <f>IF(BP$2&gt;=Params!$B$6,INDEX($C$79:$BV$79,BP$2-Params!$B$6+1),0)</f>
        <v/>
      </c>
      <c r="BQ81" s="5">
        <f>IF(BQ$2&gt;=Params!$B$6,INDEX($C$79:$BV$79,BQ$2-Params!$B$6+1),0)</f>
        <v/>
      </c>
      <c r="BR81" s="5">
        <f>IF(BR$2&gt;=Params!$B$6,INDEX($C$79:$BV$79,BR$2-Params!$B$6+1),0)</f>
        <v/>
      </c>
      <c r="BS81" s="5">
        <f>IF(BS$2&gt;=Params!$B$6,INDEX($C$79:$BV$79,BS$2-Params!$B$6+1),0)</f>
        <v/>
      </c>
      <c r="BT81" s="5">
        <f>IF(BT$2&gt;=Params!$B$6,INDEX($C$79:$BV$79,BT$2-Params!$B$6+1),0)</f>
        <v/>
      </c>
      <c r="BU81" s="5">
        <f>IF(BU$2&gt;=Params!$B$6,INDEX($C$79:$BV$79,BU$2-Params!$B$6+1),0)</f>
        <v/>
      </c>
      <c r="BV81" s="5">
        <f>IF(BV$2&gt;=Params!$B$6,INDEX($C$79:$BV$79,BV$2-Params!$B$6+1),0)</f>
        <v/>
      </c>
    </row>
    <row r="82">
      <c r="A82" t="inlineStr">
        <is>
          <t>trial starts x conversion</t>
        </is>
      </c>
      <c r="B82" t="inlineStr">
        <is>
          <t>EUROPE|NITRO_A</t>
        </is>
      </c>
      <c r="C82" s="5">
        <f>C79*Eras!C$9</f>
        <v/>
      </c>
      <c r="D82" s="5">
        <f>D79*Eras!D$9</f>
        <v/>
      </c>
      <c r="E82" s="5">
        <f>E79*Eras!E$9</f>
        <v/>
      </c>
      <c r="F82" s="5">
        <f>F79*Eras!F$9</f>
        <v/>
      </c>
      <c r="G82" s="5">
        <f>G79*Eras!G$9</f>
        <v/>
      </c>
      <c r="H82" s="5">
        <f>H79*Eras!H$9</f>
        <v/>
      </c>
      <c r="I82" s="5">
        <f>I79*Eras!I$9</f>
        <v/>
      </c>
      <c r="J82" s="5">
        <f>J79*Eras!J$9</f>
        <v/>
      </c>
      <c r="K82" s="5">
        <f>K79*Eras!K$9</f>
        <v/>
      </c>
      <c r="L82" s="5">
        <f>L79*Eras!L$9</f>
        <v/>
      </c>
      <c r="M82" s="5">
        <f>M79*Eras!M$9</f>
        <v/>
      </c>
      <c r="N82" s="5">
        <f>N79*Eras!N$9</f>
        <v/>
      </c>
      <c r="O82" s="5">
        <f>O79*Eras!O$9</f>
        <v/>
      </c>
      <c r="P82" s="5">
        <f>P79*Eras!P$9</f>
        <v/>
      </c>
      <c r="Q82" s="5">
        <f>Q79*Eras!Q$9</f>
        <v/>
      </c>
      <c r="R82" s="5">
        <f>R79*Eras!R$9</f>
        <v/>
      </c>
      <c r="S82" s="5">
        <f>S79*Eras!S$9</f>
        <v/>
      </c>
      <c r="T82" s="5">
        <f>T79*Eras!T$9</f>
        <v/>
      </c>
      <c r="U82" s="5">
        <f>U79*Eras!U$9</f>
        <v/>
      </c>
      <c r="V82" s="5">
        <f>V79*Eras!V$9</f>
        <v/>
      </c>
      <c r="W82" s="5">
        <f>W79*Eras!W$9</f>
        <v/>
      </c>
      <c r="X82" s="5">
        <f>X79*Eras!X$9</f>
        <v/>
      </c>
      <c r="Y82" s="5">
        <f>Y79*Eras!Y$9</f>
        <v/>
      </c>
      <c r="Z82" s="5">
        <f>Z79*Eras!Z$9</f>
        <v/>
      </c>
      <c r="AA82" s="5">
        <f>AA79*Eras!AA$9</f>
        <v/>
      </c>
      <c r="AB82" s="5">
        <f>AB79*Eras!AB$9</f>
        <v/>
      </c>
      <c r="AC82" s="5">
        <f>AC79*Eras!AC$9</f>
        <v/>
      </c>
      <c r="AD82" s="5">
        <f>AD79*Eras!AD$9</f>
        <v/>
      </c>
      <c r="AE82" s="5">
        <f>AE79*Eras!AE$9</f>
        <v/>
      </c>
      <c r="AF82" s="5">
        <f>AF79*Eras!AF$9</f>
        <v/>
      </c>
      <c r="AG82" s="5">
        <f>AG79*Eras!AG$9</f>
        <v/>
      </c>
      <c r="AH82" s="5">
        <f>AH79*Eras!AH$9</f>
        <v/>
      </c>
      <c r="AI82" s="5">
        <f>AI79*Eras!AI$9</f>
        <v/>
      </c>
      <c r="AJ82" s="5">
        <f>AJ79*Eras!AJ$9</f>
        <v/>
      </c>
      <c r="AK82" s="5">
        <f>AK79*Eras!AK$9</f>
        <v/>
      </c>
      <c r="AL82" s="5">
        <f>AL79*Eras!AL$9</f>
        <v/>
      </c>
      <c r="AM82" s="5">
        <f>AM79*Eras!AM$9</f>
        <v/>
      </c>
      <c r="AN82" s="5">
        <f>AN79*Eras!AN$9</f>
        <v/>
      </c>
      <c r="AO82" s="5">
        <f>AO79*Eras!AO$9</f>
        <v/>
      </c>
      <c r="AP82" s="5">
        <f>AP79*Eras!AP$9</f>
        <v/>
      </c>
      <c r="AQ82" s="5">
        <f>AQ79*Eras!AQ$9</f>
        <v/>
      </c>
      <c r="AR82" s="5">
        <f>AR79*Eras!AR$9</f>
        <v/>
      </c>
      <c r="AS82" s="5">
        <f>AS79*Eras!AS$9</f>
        <v/>
      </c>
      <c r="AT82" s="5">
        <f>AT79*Eras!AT$9</f>
        <v/>
      </c>
      <c r="AU82" s="5">
        <f>AU79*Eras!AU$9</f>
        <v/>
      </c>
      <c r="AV82" s="5">
        <f>AV79*Eras!AV$9</f>
        <v/>
      </c>
      <c r="AW82" s="5">
        <f>AW79*Eras!AW$9</f>
        <v/>
      </c>
      <c r="AX82" s="5">
        <f>AX79*Eras!AX$9</f>
        <v/>
      </c>
      <c r="AY82" s="5">
        <f>AY79*Eras!AY$9</f>
        <v/>
      </c>
      <c r="AZ82" s="5">
        <f>AZ79*Eras!AZ$9</f>
        <v/>
      </c>
      <c r="BA82" s="5">
        <f>BA79*Eras!BA$9</f>
        <v/>
      </c>
      <c r="BB82" s="5">
        <f>BB79*Eras!BB$9</f>
        <v/>
      </c>
      <c r="BC82" s="5">
        <f>BC79*Eras!BC$9</f>
        <v/>
      </c>
      <c r="BD82" s="5">
        <f>BD79*Eras!BD$9</f>
        <v/>
      </c>
      <c r="BE82" s="5">
        <f>BE79*Eras!BE$9</f>
        <v/>
      </c>
      <c r="BF82" s="5">
        <f>BF79*Eras!BF$9</f>
        <v/>
      </c>
      <c r="BG82" s="5">
        <f>BG79*Eras!BG$9</f>
        <v/>
      </c>
      <c r="BH82" s="5">
        <f>BH79*Eras!BH$9</f>
        <v/>
      </c>
      <c r="BI82" s="5">
        <f>BI79*Eras!BI$9</f>
        <v/>
      </c>
      <c r="BJ82" s="5">
        <f>BJ79*Eras!BJ$9</f>
        <v/>
      </c>
      <c r="BK82" s="5">
        <f>BK79*Eras!BK$9</f>
        <v/>
      </c>
      <c r="BL82" s="5">
        <f>BL79*Eras!BL$9</f>
        <v/>
      </c>
      <c r="BM82" s="5">
        <f>BM79*Eras!BM$9</f>
        <v/>
      </c>
      <c r="BN82" s="5">
        <f>BN79*Eras!BN$9</f>
        <v/>
      </c>
      <c r="BO82" s="5">
        <f>BO79*Eras!BO$9</f>
        <v/>
      </c>
      <c r="BP82" s="5">
        <f>BP79*Eras!BP$9</f>
        <v/>
      </c>
      <c r="BQ82" s="5">
        <f>BQ79*Eras!BQ$9</f>
        <v/>
      </c>
      <c r="BR82" s="5">
        <f>BR79*Eras!BR$9</f>
        <v/>
      </c>
      <c r="BS82" s="5">
        <f>BS79*Eras!BS$9</f>
        <v/>
      </c>
      <c r="BT82" s="5">
        <f>BT79*Eras!BT$9</f>
        <v/>
      </c>
      <c r="BU82" s="5">
        <f>BU79*Eras!BU$9</f>
        <v/>
      </c>
      <c r="BV82" s="5">
        <f>BV79*Eras!BV$9</f>
        <v/>
      </c>
    </row>
    <row r="83">
      <c r="A83" t="inlineStr">
        <is>
          <t>trials converted</t>
        </is>
      </c>
      <c r="B83" t="inlineStr">
        <is>
          <t>EUROPE|NITRO_A</t>
        </is>
      </c>
      <c r="C83" s="5">
        <f>IF(C$2&gt;=Params!$B$6,INDEX($C$82:$BV$82,C$2-Params!$B$6+1),0)</f>
        <v/>
      </c>
      <c r="D83" s="5">
        <f>IF(D$2&gt;=Params!$B$6,INDEX($C$82:$BV$82,D$2-Params!$B$6+1),0)</f>
        <v/>
      </c>
      <c r="E83" s="5">
        <f>IF(E$2&gt;=Params!$B$6,INDEX($C$82:$BV$82,E$2-Params!$B$6+1),0)</f>
        <v/>
      </c>
      <c r="F83" s="5">
        <f>IF(F$2&gt;=Params!$B$6,INDEX($C$82:$BV$82,F$2-Params!$B$6+1),0)</f>
        <v/>
      </c>
      <c r="G83" s="5">
        <f>IF(G$2&gt;=Params!$B$6,INDEX($C$82:$BV$82,G$2-Params!$B$6+1),0)</f>
        <v/>
      </c>
      <c r="H83" s="5">
        <f>IF(H$2&gt;=Params!$B$6,INDEX($C$82:$BV$82,H$2-Params!$B$6+1),0)</f>
        <v/>
      </c>
      <c r="I83" s="5">
        <f>IF(I$2&gt;=Params!$B$6,INDEX($C$82:$BV$82,I$2-Params!$B$6+1),0)</f>
        <v/>
      </c>
      <c r="J83" s="5">
        <f>IF(J$2&gt;=Params!$B$6,INDEX($C$82:$BV$82,J$2-Params!$B$6+1),0)</f>
        <v/>
      </c>
      <c r="K83" s="5">
        <f>IF(K$2&gt;=Params!$B$6,INDEX($C$82:$BV$82,K$2-Params!$B$6+1),0)</f>
        <v/>
      </c>
      <c r="L83" s="5">
        <f>IF(L$2&gt;=Params!$B$6,INDEX($C$82:$BV$82,L$2-Params!$B$6+1),0)</f>
        <v/>
      </c>
      <c r="M83" s="5">
        <f>IF(M$2&gt;=Params!$B$6,INDEX($C$82:$BV$82,M$2-Params!$B$6+1),0)</f>
        <v/>
      </c>
      <c r="N83" s="5">
        <f>IF(N$2&gt;=Params!$B$6,INDEX($C$82:$BV$82,N$2-Params!$B$6+1),0)</f>
        <v/>
      </c>
      <c r="O83" s="5">
        <f>IF(O$2&gt;=Params!$B$6,INDEX($C$82:$BV$82,O$2-Params!$B$6+1),0)</f>
        <v/>
      </c>
      <c r="P83" s="5">
        <f>IF(P$2&gt;=Params!$B$6,INDEX($C$82:$BV$82,P$2-Params!$B$6+1),0)</f>
        <v/>
      </c>
      <c r="Q83" s="5">
        <f>IF(Q$2&gt;=Params!$B$6,INDEX($C$82:$BV$82,Q$2-Params!$B$6+1),0)</f>
        <v/>
      </c>
      <c r="R83" s="5">
        <f>IF(R$2&gt;=Params!$B$6,INDEX($C$82:$BV$82,R$2-Params!$B$6+1),0)</f>
        <v/>
      </c>
      <c r="S83" s="5">
        <f>IF(S$2&gt;=Params!$B$6,INDEX($C$82:$BV$82,S$2-Params!$B$6+1),0)</f>
        <v/>
      </c>
      <c r="T83" s="5">
        <f>IF(T$2&gt;=Params!$B$6,INDEX($C$82:$BV$82,T$2-Params!$B$6+1),0)</f>
        <v/>
      </c>
      <c r="U83" s="5">
        <f>IF(U$2&gt;=Params!$B$6,INDEX($C$82:$BV$82,U$2-Params!$B$6+1),0)</f>
        <v/>
      </c>
      <c r="V83" s="5">
        <f>IF(V$2&gt;=Params!$B$6,INDEX($C$82:$BV$82,V$2-Params!$B$6+1),0)</f>
        <v/>
      </c>
      <c r="W83" s="5">
        <f>IF(W$2&gt;=Params!$B$6,INDEX($C$82:$BV$82,W$2-Params!$B$6+1),0)</f>
        <v/>
      </c>
      <c r="X83" s="5">
        <f>IF(X$2&gt;=Params!$B$6,INDEX($C$82:$BV$82,X$2-Params!$B$6+1),0)</f>
        <v/>
      </c>
      <c r="Y83" s="5">
        <f>IF(Y$2&gt;=Params!$B$6,INDEX($C$82:$BV$82,Y$2-Params!$B$6+1),0)</f>
        <v/>
      </c>
      <c r="Z83" s="5">
        <f>IF(Z$2&gt;=Params!$B$6,INDEX($C$82:$BV$82,Z$2-Params!$B$6+1),0)</f>
        <v/>
      </c>
      <c r="AA83" s="5">
        <f>IF(AA$2&gt;=Params!$B$6,INDEX($C$82:$BV$82,AA$2-Params!$B$6+1),0)</f>
        <v/>
      </c>
      <c r="AB83" s="5">
        <f>IF(AB$2&gt;=Params!$B$6,INDEX($C$82:$BV$82,AB$2-Params!$B$6+1),0)</f>
        <v/>
      </c>
      <c r="AC83" s="5">
        <f>IF(AC$2&gt;=Params!$B$6,INDEX($C$82:$BV$82,AC$2-Params!$B$6+1),0)</f>
        <v/>
      </c>
      <c r="AD83" s="5">
        <f>IF(AD$2&gt;=Params!$B$6,INDEX($C$82:$BV$82,AD$2-Params!$B$6+1),0)</f>
        <v/>
      </c>
      <c r="AE83" s="5">
        <f>IF(AE$2&gt;=Params!$B$6,INDEX($C$82:$BV$82,AE$2-Params!$B$6+1),0)</f>
        <v/>
      </c>
      <c r="AF83" s="5">
        <f>IF(AF$2&gt;=Params!$B$6,INDEX($C$82:$BV$82,AF$2-Params!$B$6+1),0)</f>
        <v/>
      </c>
      <c r="AG83" s="5">
        <f>IF(AG$2&gt;=Params!$B$6,INDEX($C$82:$BV$82,AG$2-Params!$B$6+1),0)</f>
        <v/>
      </c>
      <c r="AH83" s="5">
        <f>IF(AH$2&gt;=Params!$B$6,INDEX($C$82:$BV$82,AH$2-Params!$B$6+1),0)</f>
        <v/>
      </c>
      <c r="AI83" s="5">
        <f>IF(AI$2&gt;=Params!$B$6,INDEX($C$82:$BV$82,AI$2-Params!$B$6+1),0)</f>
        <v/>
      </c>
      <c r="AJ83" s="5">
        <f>IF(AJ$2&gt;=Params!$B$6,INDEX($C$82:$BV$82,AJ$2-Params!$B$6+1),0)</f>
        <v/>
      </c>
      <c r="AK83" s="5">
        <f>IF(AK$2&gt;=Params!$B$6,INDEX($C$82:$BV$82,AK$2-Params!$B$6+1),0)</f>
        <v/>
      </c>
      <c r="AL83" s="5">
        <f>IF(AL$2&gt;=Params!$B$6,INDEX($C$82:$BV$82,AL$2-Params!$B$6+1),0)</f>
        <v/>
      </c>
      <c r="AM83" s="5">
        <f>IF(AM$2&gt;=Params!$B$6,INDEX($C$82:$BV$82,AM$2-Params!$B$6+1),0)</f>
        <v/>
      </c>
      <c r="AN83" s="5">
        <f>IF(AN$2&gt;=Params!$B$6,INDEX($C$82:$BV$82,AN$2-Params!$B$6+1),0)</f>
        <v/>
      </c>
      <c r="AO83" s="5">
        <f>IF(AO$2&gt;=Params!$B$6,INDEX($C$82:$BV$82,AO$2-Params!$B$6+1),0)</f>
        <v/>
      </c>
      <c r="AP83" s="5">
        <f>IF(AP$2&gt;=Params!$B$6,INDEX($C$82:$BV$82,AP$2-Params!$B$6+1),0)</f>
        <v/>
      </c>
      <c r="AQ83" s="5">
        <f>IF(AQ$2&gt;=Params!$B$6,INDEX($C$82:$BV$82,AQ$2-Params!$B$6+1),0)</f>
        <v/>
      </c>
      <c r="AR83" s="5">
        <f>IF(AR$2&gt;=Params!$B$6,INDEX($C$82:$BV$82,AR$2-Params!$B$6+1),0)</f>
        <v/>
      </c>
      <c r="AS83" s="5">
        <f>IF(AS$2&gt;=Params!$B$6,INDEX($C$82:$BV$82,AS$2-Params!$B$6+1),0)</f>
        <v/>
      </c>
      <c r="AT83" s="5">
        <f>IF(AT$2&gt;=Params!$B$6,INDEX($C$82:$BV$82,AT$2-Params!$B$6+1),0)</f>
        <v/>
      </c>
      <c r="AU83" s="5">
        <f>IF(AU$2&gt;=Params!$B$6,INDEX($C$82:$BV$82,AU$2-Params!$B$6+1),0)</f>
        <v/>
      </c>
      <c r="AV83" s="5">
        <f>IF(AV$2&gt;=Params!$B$6,INDEX($C$82:$BV$82,AV$2-Params!$B$6+1),0)</f>
        <v/>
      </c>
      <c r="AW83" s="5">
        <f>IF(AW$2&gt;=Params!$B$6,INDEX($C$82:$BV$82,AW$2-Params!$B$6+1),0)</f>
        <v/>
      </c>
      <c r="AX83" s="5">
        <f>IF(AX$2&gt;=Params!$B$6,INDEX($C$82:$BV$82,AX$2-Params!$B$6+1),0)</f>
        <v/>
      </c>
      <c r="AY83" s="5">
        <f>IF(AY$2&gt;=Params!$B$6,INDEX($C$82:$BV$82,AY$2-Params!$B$6+1),0)</f>
        <v/>
      </c>
      <c r="AZ83" s="5">
        <f>IF(AZ$2&gt;=Params!$B$6,INDEX($C$82:$BV$82,AZ$2-Params!$B$6+1),0)</f>
        <v/>
      </c>
      <c r="BA83" s="5">
        <f>IF(BA$2&gt;=Params!$B$6,INDEX($C$82:$BV$82,BA$2-Params!$B$6+1),0)</f>
        <v/>
      </c>
      <c r="BB83" s="5">
        <f>IF(BB$2&gt;=Params!$B$6,INDEX($C$82:$BV$82,BB$2-Params!$B$6+1),0)</f>
        <v/>
      </c>
      <c r="BC83" s="5">
        <f>IF(BC$2&gt;=Params!$B$6,INDEX($C$82:$BV$82,BC$2-Params!$B$6+1),0)</f>
        <v/>
      </c>
      <c r="BD83" s="5">
        <f>IF(BD$2&gt;=Params!$B$6,INDEX($C$82:$BV$82,BD$2-Params!$B$6+1),0)</f>
        <v/>
      </c>
      <c r="BE83" s="5">
        <f>IF(BE$2&gt;=Params!$B$6,INDEX($C$82:$BV$82,BE$2-Params!$B$6+1),0)</f>
        <v/>
      </c>
      <c r="BF83" s="5">
        <f>IF(BF$2&gt;=Params!$B$6,INDEX($C$82:$BV$82,BF$2-Params!$B$6+1),0)</f>
        <v/>
      </c>
      <c r="BG83" s="5">
        <f>IF(BG$2&gt;=Params!$B$6,INDEX($C$82:$BV$82,BG$2-Params!$B$6+1),0)</f>
        <v/>
      </c>
      <c r="BH83" s="5">
        <f>IF(BH$2&gt;=Params!$B$6,INDEX($C$82:$BV$82,BH$2-Params!$B$6+1),0)</f>
        <v/>
      </c>
      <c r="BI83" s="5">
        <f>IF(BI$2&gt;=Params!$B$6,INDEX($C$82:$BV$82,BI$2-Params!$B$6+1),0)</f>
        <v/>
      </c>
      <c r="BJ83" s="5">
        <f>IF(BJ$2&gt;=Params!$B$6,INDEX($C$82:$BV$82,BJ$2-Params!$B$6+1),0)</f>
        <v/>
      </c>
      <c r="BK83" s="5">
        <f>IF(BK$2&gt;=Params!$B$6,INDEX($C$82:$BV$82,BK$2-Params!$B$6+1),0)</f>
        <v/>
      </c>
      <c r="BL83" s="5">
        <f>IF(BL$2&gt;=Params!$B$6,INDEX($C$82:$BV$82,BL$2-Params!$B$6+1),0)</f>
        <v/>
      </c>
      <c r="BM83" s="5">
        <f>IF(BM$2&gt;=Params!$B$6,INDEX($C$82:$BV$82,BM$2-Params!$B$6+1),0)</f>
        <v/>
      </c>
      <c r="BN83" s="5">
        <f>IF(BN$2&gt;=Params!$B$6,INDEX($C$82:$BV$82,BN$2-Params!$B$6+1),0)</f>
        <v/>
      </c>
      <c r="BO83" s="5">
        <f>IF(BO$2&gt;=Params!$B$6,INDEX($C$82:$BV$82,BO$2-Params!$B$6+1),0)</f>
        <v/>
      </c>
      <c r="BP83" s="5">
        <f>IF(BP$2&gt;=Params!$B$6,INDEX($C$82:$BV$82,BP$2-Params!$B$6+1),0)</f>
        <v/>
      </c>
      <c r="BQ83" s="5">
        <f>IF(BQ$2&gt;=Params!$B$6,INDEX($C$82:$BV$82,BQ$2-Params!$B$6+1),0)</f>
        <v/>
      </c>
      <c r="BR83" s="5">
        <f>IF(BR$2&gt;=Params!$B$6,INDEX($C$82:$BV$82,BR$2-Params!$B$6+1),0)</f>
        <v/>
      </c>
      <c r="BS83" s="5">
        <f>IF(BS$2&gt;=Params!$B$6,INDEX($C$82:$BV$82,BS$2-Params!$B$6+1),0)</f>
        <v/>
      </c>
      <c r="BT83" s="5">
        <f>IF(BT$2&gt;=Params!$B$6,INDEX($C$82:$BV$82,BT$2-Params!$B$6+1),0)</f>
        <v/>
      </c>
      <c r="BU83" s="5">
        <f>IF(BU$2&gt;=Params!$B$6,INDEX($C$82:$BV$82,BU$2-Params!$B$6+1),0)</f>
        <v/>
      </c>
      <c r="BV83" s="5">
        <f>IF(BV$2&gt;=Params!$B$6,INDEX($C$82:$BV$82,BV$2-Params!$B$6+1),0)</f>
        <v/>
      </c>
    </row>
    <row r="84">
      <c r="A84" t="inlineStr">
        <is>
          <t>trials lost</t>
        </is>
      </c>
      <c r="B84" t="inlineStr">
        <is>
          <t>EUROPE|NITRO_A</t>
        </is>
      </c>
      <c r="C84" s="5">
        <f>C81-C83</f>
        <v/>
      </c>
      <c r="D84" s="5">
        <f>D81-D83</f>
        <v/>
      </c>
      <c r="E84" s="5">
        <f>E81-E83</f>
        <v/>
      </c>
      <c r="F84" s="5">
        <f>F81-F83</f>
        <v/>
      </c>
      <c r="G84" s="5">
        <f>G81-G83</f>
        <v/>
      </c>
      <c r="H84" s="5">
        <f>H81-H83</f>
        <v/>
      </c>
      <c r="I84" s="5">
        <f>I81-I83</f>
        <v/>
      </c>
      <c r="J84" s="5">
        <f>J81-J83</f>
        <v/>
      </c>
      <c r="K84" s="5">
        <f>K81-K83</f>
        <v/>
      </c>
      <c r="L84" s="5">
        <f>L81-L83</f>
        <v/>
      </c>
      <c r="M84" s="5">
        <f>M81-M83</f>
        <v/>
      </c>
      <c r="N84" s="5">
        <f>N81-N83</f>
        <v/>
      </c>
      <c r="O84" s="5">
        <f>O81-O83</f>
        <v/>
      </c>
      <c r="P84" s="5">
        <f>P81-P83</f>
        <v/>
      </c>
      <c r="Q84" s="5">
        <f>Q81-Q83</f>
        <v/>
      </c>
      <c r="R84" s="5">
        <f>R81-R83</f>
        <v/>
      </c>
      <c r="S84" s="5">
        <f>S81-S83</f>
        <v/>
      </c>
      <c r="T84" s="5">
        <f>T81-T83</f>
        <v/>
      </c>
      <c r="U84" s="5">
        <f>U81-U83</f>
        <v/>
      </c>
      <c r="V84" s="5">
        <f>V81-V83</f>
        <v/>
      </c>
      <c r="W84" s="5">
        <f>W81-W83</f>
        <v/>
      </c>
      <c r="X84" s="5">
        <f>X81-X83</f>
        <v/>
      </c>
      <c r="Y84" s="5">
        <f>Y81-Y83</f>
        <v/>
      </c>
      <c r="Z84" s="5">
        <f>Z81-Z83</f>
        <v/>
      </c>
      <c r="AA84" s="5">
        <f>AA81-AA83</f>
        <v/>
      </c>
      <c r="AB84" s="5">
        <f>AB81-AB83</f>
        <v/>
      </c>
      <c r="AC84" s="5">
        <f>AC81-AC83</f>
        <v/>
      </c>
      <c r="AD84" s="5">
        <f>AD81-AD83</f>
        <v/>
      </c>
      <c r="AE84" s="5">
        <f>AE81-AE83</f>
        <v/>
      </c>
      <c r="AF84" s="5">
        <f>AF81-AF83</f>
        <v/>
      </c>
      <c r="AG84" s="5">
        <f>AG81-AG83</f>
        <v/>
      </c>
      <c r="AH84" s="5">
        <f>AH81-AH83</f>
        <v/>
      </c>
      <c r="AI84" s="5">
        <f>AI81-AI83</f>
        <v/>
      </c>
      <c r="AJ84" s="5">
        <f>AJ81-AJ83</f>
        <v/>
      </c>
      <c r="AK84" s="5">
        <f>AK81-AK83</f>
        <v/>
      </c>
      <c r="AL84" s="5">
        <f>AL81-AL83</f>
        <v/>
      </c>
      <c r="AM84" s="5">
        <f>AM81-AM83</f>
        <v/>
      </c>
      <c r="AN84" s="5">
        <f>AN81-AN83</f>
        <v/>
      </c>
      <c r="AO84" s="5">
        <f>AO81-AO83</f>
        <v/>
      </c>
      <c r="AP84" s="5">
        <f>AP81-AP83</f>
        <v/>
      </c>
      <c r="AQ84" s="5">
        <f>AQ81-AQ83</f>
        <v/>
      </c>
      <c r="AR84" s="5">
        <f>AR81-AR83</f>
        <v/>
      </c>
      <c r="AS84" s="5">
        <f>AS81-AS83</f>
        <v/>
      </c>
      <c r="AT84" s="5">
        <f>AT81-AT83</f>
        <v/>
      </c>
      <c r="AU84" s="5">
        <f>AU81-AU83</f>
        <v/>
      </c>
      <c r="AV84" s="5">
        <f>AV81-AV83</f>
        <v/>
      </c>
      <c r="AW84" s="5">
        <f>AW81-AW83</f>
        <v/>
      </c>
      <c r="AX84" s="5">
        <f>AX81-AX83</f>
        <v/>
      </c>
      <c r="AY84" s="5">
        <f>AY81-AY83</f>
        <v/>
      </c>
      <c r="AZ84" s="5">
        <f>AZ81-AZ83</f>
        <v/>
      </c>
      <c r="BA84" s="5">
        <f>BA81-BA83</f>
        <v/>
      </c>
      <c r="BB84" s="5">
        <f>BB81-BB83</f>
        <v/>
      </c>
      <c r="BC84" s="5">
        <f>BC81-BC83</f>
        <v/>
      </c>
      <c r="BD84" s="5">
        <f>BD81-BD83</f>
        <v/>
      </c>
      <c r="BE84" s="5">
        <f>BE81-BE83</f>
        <v/>
      </c>
      <c r="BF84" s="5">
        <f>BF81-BF83</f>
        <v/>
      </c>
      <c r="BG84" s="5">
        <f>BG81-BG83</f>
        <v/>
      </c>
      <c r="BH84" s="5">
        <f>BH81-BH83</f>
        <v/>
      </c>
      <c r="BI84" s="5">
        <f>BI81-BI83</f>
        <v/>
      </c>
      <c r="BJ84" s="5">
        <f>BJ81-BJ83</f>
        <v/>
      </c>
      <c r="BK84" s="5">
        <f>BK81-BK83</f>
        <v/>
      </c>
      <c r="BL84" s="5">
        <f>BL81-BL83</f>
        <v/>
      </c>
      <c r="BM84" s="5">
        <f>BM81-BM83</f>
        <v/>
      </c>
      <c r="BN84" s="5">
        <f>BN81-BN83</f>
        <v/>
      </c>
      <c r="BO84" s="5">
        <f>BO81-BO83</f>
        <v/>
      </c>
      <c r="BP84" s="5">
        <f>BP81-BP83</f>
        <v/>
      </c>
      <c r="BQ84" s="5">
        <f>BQ81-BQ83</f>
        <v/>
      </c>
      <c r="BR84" s="5">
        <f>BR81-BR83</f>
        <v/>
      </c>
      <c r="BS84" s="5">
        <f>BS81-BS83</f>
        <v/>
      </c>
      <c r="BT84" s="5">
        <f>BT81-BT83</f>
        <v/>
      </c>
      <c r="BU84" s="5">
        <f>BU81-BU83</f>
        <v/>
      </c>
      <c r="BV84" s="5">
        <f>BV81-BV83</f>
        <v/>
      </c>
    </row>
    <row r="85">
      <c r="A85" t="inlineStr">
        <is>
          <t>cum trial starts</t>
        </is>
      </c>
      <c r="B85" t="inlineStr">
        <is>
          <t>EUROPE|NITRO_A</t>
        </is>
      </c>
      <c r="C85" s="5">
        <f>SUM($C79:C79)</f>
        <v/>
      </c>
      <c r="D85" s="5">
        <f>SUM($C79:D79)</f>
        <v/>
      </c>
      <c r="E85" s="5">
        <f>SUM($C79:E79)</f>
        <v/>
      </c>
      <c r="F85" s="5">
        <f>SUM($C79:F79)</f>
        <v/>
      </c>
      <c r="G85" s="5">
        <f>SUM($C79:G79)</f>
        <v/>
      </c>
      <c r="H85" s="5">
        <f>SUM($C79:H79)</f>
        <v/>
      </c>
      <c r="I85" s="5">
        <f>SUM($C79:I79)</f>
        <v/>
      </c>
      <c r="J85" s="5">
        <f>SUM($C79:J79)</f>
        <v/>
      </c>
      <c r="K85" s="5">
        <f>SUM($C79:K79)</f>
        <v/>
      </c>
      <c r="L85" s="5">
        <f>SUM($C79:L79)</f>
        <v/>
      </c>
      <c r="M85" s="5">
        <f>SUM($C79:M79)</f>
        <v/>
      </c>
      <c r="N85" s="5">
        <f>SUM($C79:N79)</f>
        <v/>
      </c>
      <c r="O85" s="5">
        <f>SUM($C79:O79)</f>
        <v/>
      </c>
      <c r="P85" s="5">
        <f>SUM($C79:P79)</f>
        <v/>
      </c>
      <c r="Q85" s="5">
        <f>SUM($C79:Q79)</f>
        <v/>
      </c>
      <c r="R85" s="5">
        <f>SUM($C79:R79)</f>
        <v/>
      </c>
      <c r="S85" s="5">
        <f>SUM($C79:S79)</f>
        <v/>
      </c>
      <c r="T85" s="5">
        <f>SUM($C79:T79)</f>
        <v/>
      </c>
      <c r="U85" s="5">
        <f>SUM($C79:U79)</f>
        <v/>
      </c>
      <c r="V85" s="5">
        <f>SUM($C79:V79)</f>
        <v/>
      </c>
      <c r="W85" s="5">
        <f>SUM($C79:W79)</f>
        <v/>
      </c>
      <c r="X85" s="5">
        <f>SUM($C79:X79)</f>
        <v/>
      </c>
      <c r="Y85" s="5">
        <f>SUM($C79:Y79)</f>
        <v/>
      </c>
      <c r="Z85" s="5">
        <f>SUM($C79:Z79)</f>
        <v/>
      </c>
      <c r="AA85" s="5">
        <f>SUM($C79:AA79)</f>
        <v/>
      </c>
      <c r="AB85" s="5">
        <f>SUM($C79:AB79)</f>
        <v/>
      </c>
      <c r="AC85" s="5">
        <f>SUM($C79:AC79)</f>
        <v/>
      </c>
      <c r="AD85" s="5">
        <f>SUM($C79:AD79)</f>
        <v/>
      </c>
      <c r="AE85" s="5">
        <f>SUM($C79:AE79)</f>
        <v/>
      </c>
      <c r="AF85" s="5">
        <f>SUM($C79:AF79)</f>
        <v/>
      </c>
      <c r="AG85" s="5">
        <f>SUM($C79:AG79)</f>
        <v/>
      </c>
      <c r="AH85" s="5">
        <f>SUM($C79:AH79)</f>
        <v/>
      </c>
      <c r="AI85" s="5">
        <f>SUM($C79:AI79)</f>
        <v/>
      </c>
      <c r="AJ85" s="5">
        <f>SUM($C79:AJ79)</f>
        <v/>
      </c>
      <c r="AK85" s="5">
        <f>SUM($C79:AK79)</f>
        <v/>
      </c>
      <c r="AL85" s="5">
        <f>SUM($C79:AL79)</f>
        <v/>
      </c>
      <c r="AM85" s="5">
        <f>SUM($C79:AM79)</f>
        <v/>
      </c>
      <c r="AN85" s="5">
        <f>SUM($C79:AN79)</f>
        <v/>
      </c>
      <c r="AO85" s="5">
        <f>SUM($C79:AO79)</f>
        <v/>
      </c>
      <c r="AP85" s="5">
        <f>SUM($C79:AP79)</f>
        <v/>
      </c>
      <c r="AQ85" s="5">
        <f>SUM($C79:AQ79)</f>
        <v/>
      </c>
      <c r="AR85" s="5">
        <f>SUM($C79:AR79)</f>
        <v/>
      </c>
      <c r="AS85" s="5">
        <f>SUM($C79:AS79)</f>
        <v/>
      </c>
      <c r="AT85" s="5">
        <f>SUM($C79:AT79)</f>
        <v/>
      </c>
      <c r="AU85" s="5">
        <f>SUM($C79:AU79)</f>
        <v/>
      </c>
      <c r="AV85" s="5">
        <f>SUM($C79:AV79)</f>
        <v/>
      </c>
      <c r="AW85" s="5">
        <f>SUM($C79:AW79)</f>
        <v/>
      </c>
      <c r="AX85" s="5">
        <f>SUM($C79:AX79)</f>
        <v/>
      </c>
      <c r="AY85" s="5">
        <f>SUM($C79:AY79)</f>
        <v/>
      </c>
      <c r="AZ85" s="5">
        <f>SUM($C79:AZ79)</f>
        <v/>
      </c>
      <c r="BA85" s="5">
        <f>SUM($C79:BA79)</f>
        <v/>
      </c>
      <c r="BB85" s="5">
        <f>SUM($C79:BB79)</f>
        <v/>
      </c>
      <c r="BC85" s="5">
        <f>SUM($C79:BC79)</f>
        <v/>
      </c>
      <c r="BD85" s="5">
        <f>SUM($C79:BD79)</f>
        <v/>
      </c>
      <c r="BE85" s="5">
        <f>SUM($C79:BE79)</f>
        <v/>
      </c>
      <c r="BF85" s="5">
        <f>SUM($C79:BF79)</f>
        <v/>
      </c>
      <c r="BG85" s="5">
        <f>SUM($C79:BG79)</f>
        <v/>
      </c>
      <c r="BH85" s="5">
        <f>SUM($C79:BH79)</f>
        <v/>
      </c>
      <c r="BI85" s="5">
        <f>SUM($C79:BI79)</f>
        <v/>
      </c>
      <c r="BJ85" s="5">
        <f>SUM($C79:BJ79)</f>
        <v/>
      </c>
      <c r="BK85" s="5">
        <f>SUM($C79:BK79)</f>
        <v/>
      </c>
      <c r="BL85" s="5">
        <f>SUM($C79:BL79)</f>
        <v/>
      </c>
      <c r="BM85" s="5">
        <f>SUM($C79:BM79)</f>
        <v/>
      </c>
      <c r="BN85" s="5">
        <f>SUM($C79:BN79)</f>
        <v/>
      </c>
      <c r="BO85" s="5">
        <f>SUM($C79:BO79)</f>
        <v/>
      </c>
      <c r="BP85" s="5">
        <f>SUM($C79:BP79)</f>
        <v/>
      </c>
      <c r="BQ85" s="5">
        <f>SUM($C79:BQ79)</f>
        <v/>
      </c>
      <c r="BR85" s="5">
        <f>SUM($C79:BR79)</f>
        <v/>
      </c>
      <c r="BS85" s="5">
        <f>SUM($C79:BS79)</f>
        <v/>
      </c>
      <c r="BT85" s="5">
        <f>SUM($C79:BT79)</f>
        <v/>
      </c>
      <c r="BU85" s="5">
        <f>SUM($C79:BU79)</f>
        <v/>
      </c>
      <c r="BV85" s="5">
        <f>SUM($C79:BV79)</f>
        <v/>
      </c>
    </row>
    <row r="86">
      <c r="A86" t="inlineStr">
        <is>
          <t>cum trials ending</t>
        </is>
      </c>
      <c r="B86" t="inlineStr">
        <is>
          <t>EUROPE|NITRO_A</t>
        </is>
      </c>
      <c r="C86" s="5">
        <f>SUM($C81:C81)</f>
        <v/>
      </c>
      <c r="D86" s="5">
        <f>SUM($C81:D81)</f>
        <v/>
      </c>
      <c r="E86" s="5">
        <f>SUM($C81:E81)</f>
        <v/>
      </c>
      <c r="F86" s="5">
        <f>SUM($C81:F81)</f>
        <v/>
      </c>
      <c r="G86" s="5">
        <f>SUM($C81:G81)</f>
        <v/>
      </c>
      <c r="H86" s="5">
        <f>SUM($C81:H81)</f>
        <v/>
      </c>
      <c r="I86" s="5">
        <f>SUM($C81:I81)</f>
        <v/>
      </c>
      <c r="J86" s="5">
        <f>SUM($C81:J81)</f>
        <v/>
      </c>
      <c r="K86" s="5">
        <f>SUM($C81:K81)</f>
        <v/>
      </c>
      <c r="L86" s="5">
        <f>SUM($C81:L81)</f>
        <v/>
      </c>
      <c r="M86" s="5">
        <f>SUM($C81:M81)</f>
        <v/>
      </c>
      <c r="N86" s="5">
        <f>SUM($C81:N81)</f>
        <v/>
      </c>
      <c r="O86" s="5">
        <f>SUM($C81:O81)</f>
        <v/>
      </c>
      <c r="P86" s="5">
        <f>SUM($C81:P81)</f>
        <v/>
      </c>
      <c r="Q86" s="5">
        <f>SUM($C81:Q81)</f>
        <v/>
      </c>
      <c r="R86" s="5">
        <f>SUM($C81:R81)</f>
        <v/>
      </c>
      <c r="S86" s="5">
        <f>SUM($C81:S81)</f>
        <v/>
      </c>
      <c r="T86" s="5">
        <f>SUM($C81:T81)</f>
        <v/>
      </c>
      <c r="U86" s="5">
        <f>SUM($C81:U81)</f>
        <v/>
      </c>
      <c r="V86" s="5">
        <f>SUM($C81:V81)</f>
        <v/>
      </c>
      <c r="W86" s="5">
        <f>SUM($C81:W81)</f>
        <v/>
      </c>
      <c r="X86" s="5">
        <f>SUM($C81:X81)</f>
        <v/>
      </c>
      <c r="Y86" s="5">
        <f>SUM($C81:Y81)</f>
        <v/>
      </c>
      <c r="Z86" s="5">
        <f>SUM($C81:Z81)</f>
        <v/>
      </c>
      <c r="AA86" s="5">
        <f>SUM($C81:AA81)</f>
        <v/>
      </c>
      <c r="AB86" s="5">
        <f>SUM($C81:AB81)</f>
        <v/>
      </c>
      <c r="AC86" s="5">
        <f>SUM($C81:AC81)</f>
        <v/>
      </c>
      <c r="AD86" s="5">
        <f>SUM($C81:AD81)</f>
        <v/>
      </c>
      <c r="AE86" s="5">
        <f>SUM($C81:AE81)</f>
        <v/>
      </c>
      <c r="AF86" s="5">
        <f>SUM($C81:AF81)</f>
        <v/>
      </c>
      <c r="AG86" s="5">
        <f>SUM($C81:AG81)</f>
        <v/>
      </c>
      <c r="AH86" s="5">
        <f>SUM($C81:AH81)</f>
        <v/>
      </c>
      <c r="AI86" s="5">
        <f>SUM($C81:AI81)</f>
        <v/>
      </c>
      <c r="AJ86" s="5">
        <f>SUM($C81:AJ81)</f>
        <v/>
      </c>
      <c r="AK86" s="5">
        <f>SUM($C81:AK81)</f>
        <v/>
      </c>
      <c r="AL86" s="5">
        <f>SUM($C81:AL81)</f>
        <v/>
      </c>
      <c r="AM86" s="5">
        <f>SUM($C81:AM81)</f>
        <v/>
      </c>
      <c r="AN86" s="5">
        <f>SUM($C81:AN81)</f>
        <v/>
      </c>
      <c r="AO86" s="5">
        <f>SUM($C81:AO81)</f>
        <v/>
      </c>
      <c r="AP86" s="5">
        <f>SUM($C81:AP81)</f>
        <v/>
      </c>
      <c r="AQ86" s="5">
        <f>SUM($C81:AQ81)</f>
        <v/>
      </c>
      <c r="AR86" s="5">
        <f>SUM($C81:AR81)</f>
        <v/>
      </c>
      <c r="AS86" s="5">
        <f>SUM($C81:AS81)</f>
        <v/>
      </c>
      <c r="AT86" s="5">
        <f>SUM($C81:AT81)</f>
        <v/>
      </c>
      <c r="AU86" s="5">
        <f>SUM($C81:AU81)</f>
        <v/>
      </c>
      <c r="AV86" s="5">
        <f>SUM($C81:AV81)</f>
        <v/>
      </c>
      <c r="AW86" s="5">
        <f>SUM($C81:AW81)</f>
        <v/>
      </c>
      <c r="AX86" s="5">
        <f>SUM($C81:AX81)</f>
        <v/>
      </c>
      <c r="AY86" s="5">
        <f>SUM($C81:AY81)</f>
        <v/>
      </c>
      <c r="AZ86" s="5">
        <f>SUM($C81:AZ81)</f>
        <v/>
      </c>
      <c r="BA86" s="5">
        <f>SUM($C81:BA81)</f>
        <v/>
      </c>
      <c r="BB86" s="5">
        <f>SUM($C81:BB81)</f>
        <v/>
      </c>
      <c r="BC86" s="5">
        <f>SUM($C81:BC81)</f>
        <v/>
      </c>
      <c r="BD86" s="5">
        <f>SUM($C81:BD81)</f>
        <v/>
      </c>
      <c r="BE86" s="5">
        <f>SUM($C81:BE81)</f>
        <v/>
      </c>
      <c r="BF86" s="5">
        <f>SUM($C81:BF81)</f>
        <v/>
      </c>
      <c r="BG86" s="5">
        <f>SUM($C81:BG81)</f>
        <v/>
      </c>
      <c r="BH86" s="5">
        <f>SUM($C81:BH81)</f>
        <v/>
      </c>
      <c r="BI86" s="5">
        <f>SUM($C81:BI81)</f>
        <v/>
      </c>
      <c r="BJ86" s="5">
        <f>SUM($C81:BJ81)</f>
        <v/>
      </c>
      <c r="BK86" s="5">
        <f>SUM($C81:BK81)</f>
        <v/>
      </c>
      <c r="BL86" s="5">
        <f>SUM($C81:BL81)</f>
        <v/>
      </c>
      <c r="BM86" s="5">
        <f>SUM($C81:BM81)</f>
        <v/>
      </c>
      <c r="BN86" s="5">
        <f>SUM($C81:BN81)</f>
        <v/>
      </c>
      <c r="BO86" s="5">
        <f>SUM($C81:BO81)</f>
        <v/>
      </c>
      <c r="BP86" s="5">
        <f>SUM($C81:BP81)</f>
        <v/>
      </c>
      <c r="BQ86" s="5">
        <f>SUM($C81:BQ81)</f>
        <v/>
      </c>
      <c r="BR86" s="5">
        <f>SUM($C81:BR81)</f>
        <v/>
      </c>
      <c r="BS86" s="5">
        <f>SUM($C81:BS81)</f>
        <v/>
      </c>
      <c r="BT86" s="5">
        <f>SUM($C81:BT81)</f>
        <v/>
      </c>
      <c r="BU86" s="5">
        <f>SUM($C81:BU81)</f>
        <v/>
      </c>
      <c r="BV86" s="5">
        <f>SUM($C81:BV81)</f>
        <v/>
      </c>
    </row>
    <row r="87">
      <c r="A87" t="inlineStr">
        <is>
          <t>trials active</t>
        </is>
      </c>
      <c r="B87" t="inlineStr">
        <is>
          <t>EUROPE|NITRO_A</t>
        </is>
      </c>
      <c r="C87" s="5">
        <f>C85-C86</f>
        <v/>
      </c>
      <c r="D87" s="5">
        <f>D85-D86</f>
        <v/>
      </c>
      <c r="E87" s="5">
        <f>E85-E86</f>
        <v/>
      </c>
      <c r="F87" s="5">
        <f>F85-F86</f>
        <v/>
      </c>
      <c r="G87" s="5">
        <f>G85-G86</f>
        <v/>
      </c>
      <c r="H87" s="5">
        <f>H85-H86</f>
        <v/>
      </c>
      <c r="I87" s="5">
        <f>I85-I86</f>
        <v/>
      </c>
      <c r="J87" s="5">
        <f>J85-J86</f>
        <v/>
      </c>
      <c r="K87" s="5">
        <f>K85-K86</f>
        <v/>
      </c>
      <c r="L87" s="5">
        <f>L85-L86</f>
        <v/>
      </c>
      <c r="M87" s="5">
        <f>M85-M86</f>
        <v/>
      </c>
      <c r="N87" s="5">
        <f>N85-N86</f>
        <v/>
      </c>
      <c r="O87" s="5">
        <f>O85-O86</f>
        <v/>
      </c>
      <c r="P87" s="5">
        <f>P85-P86</f>
        <v/>
      </c>
      <c r="Q87" s="5">
        <f>Q85-Q86</f>
        <v/>
      </c>
      <c r="R87" s="5">
        <f>R85-R86</f>
        <v/>
      </c>
      <c r="S87" s="5">
        <f>S85-S86</f>
        <v/>
      </c>
      <c r="T87" s="5">
        <f>T85-T86</f>
        <v/>
      </c>
      <c r="U87" s="5">
        <f>U85-U86</f>
        <v/>
      </c>
      <c r="V87" s="5">
        <f>V85-V86</f>
        <v/>
      </c>
      <c r="W87" s="5">
        <f>W85-W86</f>
        <v/>
      </c>
      <c r="X87" s="5">
        <f>X85-X86</f>
        <v/>
      </c>
      <c r="Y87" s="5">
        <f>Y85-Y86</f>
        <v/>
      </c>
      <c r="Z87" s="5">
        <f>Z85-Z86</f>
        <v/>
      </c>
      <c r="AA87" s="5">
        <f>AA85-AA86</f>
        <v/>
      </c>
      <c r="AB87" s="5">
        <f>AB85-AB86</f>
        <v/>
      </c>
      <c r="AC87" s="5">
        <f>AC85-AC86</f>
        <v/>
      </c>
      <c r="AD87" s="5">
        <f>AD85-AD86</f>
        <v/>
      </c>
      <c r="AE87" s="5">
        <f>AE85-AE86</f>
        <v/>
      </c>
      <c r="AF87" s="5">
        <f>AF85-AF86</f>
        <v/>
      </c>
      <c r="AG87" s="5">
        <f>AG85-AG86</f>
        <v/>
      </c>
      <c r="AH87" s="5">
        <f>AH85-AH86</f>
        <v/>
      </c>
      <c r="AI87" s="5">
        <f>AI85-AI86</f>
        <v/>
      </c>
      <c r="AJ87" s="5">
        <f>AJ85-AJ86</f>
        <v/>
      </c>
      <c r="AK87" s="5">
        <f>AK85-AK86</f>
        <v/>
      </c>
      <c r="AL87" s="5">
        <f>AL85-AL86</f>
        <v/>
      </c>
      <c r="AM87" s="5">
        <f>AM85-AM86</f>
        <v/>
      </c>
      <c r="AN87" s="5">
        <f>AN85-AN86</f>
        <v/>
      </c>
      <c r="AO87" s="5">
        <f>AO85-AO86</f>
        <v/>
      </c>
      <c r="AP87" s="5">
        <f>AP85-AP86</f>
        <v/>
      </c>
      <c r="AQ87" s="5">
        <f>AQ85-AQ86</f>
        <v/>
      </c>
      <c r="AR87" s="5">
        <f>AR85-AR86</f>
        <v/>
      </c>
      <c r="AS87" s="5">
        <f>AS85-AS86</f>
        <v/>
      </c>
      <c r="AT87" s="5">
        <f>AT85-AT86</f>
        <v/>
      </c>
      <c r="AU87" s="5">
        <f>AU85-AU86</f>
        <v/>
      </c>
      <c r="AV87" s="5">
        <f>AV85-AV86</f>
        <v/>
      </c>
      <c r="AW87" s="5">
        <f>AW85-AW86</f>
        <v/>
      </c>
      <c r="AX87" s="5">
        <f>AX85-AX86</f>
        <v/>
      </c>
      <c r="AY87" s="5">
        <f>AY85-AY86</f>
        <v/>
      </c>
      <c r="AZ87" s="5">
        <f>AZ85-AZ86</f>
        <v/>
      </c>
      <c r="BA87" s="5">
        <f>BA85-BA86</f>
        <v/>
      </c>
      <c r="BB87" s="5">
        <f>BB85-BB86</f>
        <v/>
      </c>
      <c r="BC87" s="5">
        <f>BC85-BC86</f>
        <v/>
      </c>
      <c r="BD87" s="5">
        <f>BD85-BD86</f>
        <v/>
      </c>
      <c r="BE87" s="5">
        <f>BE85-BE86</f>
        <v/>
      </c>
      <c r="BF87" s="5">
        <f>BF85-BF86</f>
        <v/>
      </c>
      <c r="BG87" s="5">
        <f>BG85-BG86</f>
        <v/>
      </c>
      <c r="BH87" s="5">
        <f>BH85-BH86</f>
        <v/>
      </c>
      <c r="BI87" s="5">
        <f>BI85-BI86</f>
        <v/>
      </c>
      <c r="BJ87" s="5">
        <f>BJ85-BJ86</f>
        <v/>
      </c>
      <c r="BK87" s="5">
        <f>BK85-BK86</f>
        <v/>
      </c>
      <c r="BL87" s="5">
        <f>BL85-BL86</f>
        <v/>
      </c>
      <c r="BM87" s="5">
        <f>BM85-BM86</f>
        <v/>
      </c>
      <c r="BN87" s="5">
        <f>BN85-BN86</f>
        <v/>
      </c>
      <c r="BO87" s="5">
        <f>BO85-BO86</f>
        <v/>
      </c>
      <c r="BP87" s="5">
        <f>BP85-BP86</f>
        <v/>
      </c>
      <c r="BQ87" s="5">
        <f>BQ85-BQ86</f>
        <v/>
      </c>
      <c r="BR87" s="5">
        <f>BR85-BR86</f>
        <v/>
      </c>
      <c r="BS87" s="5">
        <f>BS85-BS86</f>
        <v/>
      </c>
      <c r="BT87" s="5">
        <f>BT85-BT86</f>
        <v/>
      </c>
      <c r="BU87" s="5">
        <f>BU85-BU86</f>
        <v/>
      </c>
      <c r="BV87" s="5">
        <f>BV85-BV86</f>
        <v/>
      </c>
    </row>
    <row r="88">
      <c r="A88" t="inlineStr">
        <is>
          <t>paid starts</t>
        </is>
      </c>
      <c r="B88" t="inlineStr">
        <is>
          <t>EUROPE|NITRO_A</t>
        </is>
      </c>
      <c r="C88" s="5">
        <f>C80+C83</f>
        <v/>
      </c>
      <c r="D88" s="5">
        <f>D80+D83</f>
        <v/>
      </c>
      <c r="E88" s="5">
        <f>E80+E83</f>
        <v/>
      </c>
      <c r="F88" s="5">
        <f>F80+F83</f>
        <v/>
      </c>
      <c r="G88" s="5">
        <f>G80+G83</f>
        <v/>
      </c>
      <c r="H88" s="5">
        <f>H80+H83</f>
        <v/>
      </c>
      <c r="I88" s="5">
        <f>I80+I83</f>
        <v/>
      </c>
      <c r="J88" s="5">
        <f>J80+J83</f>
        <v/>
      </c>
      <c r="K88" s="5">
        <f>K80+K83</f>
        <v/>
      </c>
      <c r="L88" s="5">
        <f>L80+L83</f>
        <v/>
      </c>
      <c r="M88" s="5">
        <f>M80+M83</f>
        <v/>
      </c>
      <c r="N88" s="5">
        <f>N80+N83</f>
        <v/>
      </c>
      <c r="O88" s="5">
        <f>O80+O83</f>
        <v/>
      </c>
      <c r="P88" s="5">
        <f>P80+P83</f>
        <v/>
      </c>
      <c r="Q88" s="5">
        <f>Q80+Q83</f>
        <v/>
      </c>
      <c r="R88" s="5">
        <f>R80+R83</f>
        <v/>
      </c>
      <c r="S88" s="5">
        <f>S80+S83</f>
        <v/>
      </c>
      <c r="T88" s="5">
        <f>T80+T83</f>
        <v/>
      </c>
      <c r="U88" s="5">
        <f>U80+U83</f>
        <v/>
      </c>
      <c r="V88" s="5">
        <f>V80+V83</f>
        <v/>
      </c>
      <c r="W88" s="5">
        <f>W80+W83</f>
        <v/>
      </c>
      <c r="X88" s="5">
        <f>X80+X83</f>
        <v/>
      </c>
      <c r="Y88" s="5">
        <f>Y80+Y83</f>
        <v/>
      </c>
      <c r="Z88" s="5">
        <f>Z80+Z83</f>
        <v/>
      </c>
      <c r="AA88" s="5">
        <f>AA80+AA83</f>
        <v/>
      </c>
      <c r="AB88" s="5">
        <f>AB80+AB83</f>
        <v/>
      </c>
      <c r="AC88" s="5">
        <f>AC80+AC83</f>
        <v/>
      </c>
      <c r="AD88" s="5">
        <f>AD80+AD83</f>
        <v/>
      </c>
      <c r="AE88" s="5">
        <f>AE80+AE83</f>
        <v/>
      </c>
      <c r="AF88" s="5">
        <f>AF80+AF83</f>
        <v/>
      </c>
      <c r="AG88" s="5">
        <f>AG80+AG83</f>
        <v/>
      </c>
      <c r="AH88" s="5">
        <f>AH80+AH83</f>
        <v/>
      </c>
      <c r="AI88" s="5">
        <f>AI80+AI83</f>
        <v/>
      </c>
      <c r="AJ88" s="5">
        <f>AJ80+AJ83</f>
        <v/>
      </c>
      <c r="AK88" s="5">
        <f>AK80+AK83</f>
        <v/>
      </c>
      <c r="AL88" s="5">
        <f>AL80+AL83</f>
        <v/>
      </c>
      <c r="AM88" s="5">
        <f>AM80+AM83</f>
        <v/>
      </c>
      <c r="AN88" s="5">
        <f>AN80+AN83</f>
        <v/>
      </c>
      <c r="AO88" s="5">
        <f>AO80+AO83</f>
        <v/>
      </c>
      <c r="AP88" s="5">
        <f>AP80+AP83</f>
        <v/>
      </c>
      <c r="AQ88" s="5">
        <f>AQ80+AQ83</f>
        <v/>
      </c>
      <c r="AR88" s="5">
        <f>AR80+AR83</f>
        <v/>
      </c>
      <c r="AS88" s="5">
        <f>AS80+AS83</f>
        <v/>
      </c>
      <c r="AT88" s="5">
        <f>AT80+AT83</f>
        <v/>
      </c>
      <c r="AU88" s="5">
        <f>AU80+AU83</f>
        <v/>
      </c>
      <c r="AV88" s="5">
        <f>AV80+AV83</f>
        <v/>
      </c>
      <c r="AW88" s="5">
        <f>AW80+AW83</f>
        <v/>
      </c>
      <c r="AX88" s="5">
        <f>AX80+AX83</f>
        <v/>
      </c>
      <c r="AY88" s="5">
        <f>AY80+AY83</f>
        <v/>
      </c>
      <c r="AZ88" s="5">
        <f>AZ80+AZ83</f>
        <v/>
      </c>
      <c r="BA88" s="5">
        <f>BA80+BA83</f>
        <v/>
      </c>
      <c r="BB88" s="5">
        <f>BB80+BB83</f>
        <v/>
      </c>
      <c r="BC88" s="5">
        <f>BC80+BC83</f>
        <v/>
      </c>
      <c r="BD88" s="5">
        <f>BD80+BD83</f>
        <v/>
      </c>
      <c r="BE88" s="5">
        <f>BE80+BE83</f>
        <v/>
      </c>
      <c r="BF88" s="5">
        <f>BF80+BF83</f>
        <v/>
      </c>
      <c r="BG88" s="5">
        <f>BG80+BG83</f>
        <v/>
      </c>
      <c r="BH88" s="5">
        <f>BH80+BH83</f>
        <v/>
      </c>
      <c r="BI88" s="5">
        <f>BI80+BI83</f>
        <v/>
      </c>
      <c r="BJ88" s="5">
        <f>BJ80+BJ83</f>
        <v/>
      </c>
      <c r="BK88" s="5">
        <f>BK80+BK83</f>
        <v/>
      </c>
      <c r="BL88" s="5">
        <f>BL80+BL83</f>
        <v/>
      </c>
      <c r="BM88" s="5">
        <f>BM80+BM83</f>
        <v/>
      </c>
      <c r="BN88" s="5">
        <f>BN80+BN83</f>
        <v/>
      </c>
      <c r="BO88" s="5">
        <f>BO80+BO83</f>
        <v/>
      </c>
      <c r="BP88" s="5">
        <f>BP80+BP83</f>
        <v/>
      </c>
      <c r="BQ88" s="5">
        <f>BQ80+BQ83</f>
        <v/>
      </c>
      <c r="BR88" s="5">
        <f>BR80+BR83</f>
        <v/>
      </c>
      <c r="BS88" s="5">
        <f>BS80+BS83</f>
        <v/>
      </c>
      <c r="BT88" s="5">
        <f>BT80+BT83</f>
        <v/>
      </c>
      <c r="BU88" s="5">
        <f>BU80+BU83</f>
        <v/>
      </c>
      <c r="BV88" s="5">
        <f>BV80+BV83</f>
        <v/>
      </c>
    </row>
    <row r="89">
      <c r="A89" t="inlineStr">
        <is>
          <t>paid starts @0</t>
        </is>
      </c>
      <c r="B89" t="inlineStr">
        <is>
          <t>EUROPE|NITRO_A</t>
        </is>
      </c>
      <c r="C89" s="5">
        <f>C88*Eras!C$3</f>
        <v/>
      </c>
      <c r="D89" s="5">
        <f>D88*Eras!D$3</f>
        <v/>
      </c>
      <c r="E89" s="5">
        <f>E88*Eras!E$3</f>
        <v/>
      </c>
      <c r="F89" s="5">
        <f>F88*Eras!F$3</f>
        <v/>
      </c>
      <c r="G89" s="5">
        <f>G88*Eras!G$3</f>
        <v/>
      </c>
      <c r="H89" s="5">
        <f>H88*Eras!H$3</f>
        <v/>
      </c>
      <c r="I89" s="5">
        <f>I88*Eras!I$3</f>
        <v/>
      </c>
      <c r="J89" s="5">
        <f>J88*Eras!J$3</f>
        <v/>
      </c>
      <c r="K89" s="5">
        <f>K88*Eras!K$3</f>
        <v/>
      </c>
      <c r="L89" s="5">
        <f>L88*Eras!L$3</f>
        <v/>
      </c>
      <c r="M89" s="5">
        <f>M88*Eras!M$3</f>
        <v/>
      </c>
      <c r="N89" s="5">
        <f>N88*Eras!N$3</f>
        <v/>
      </c>
      <c r="O89" s="5">
        <f>O88*Eras!O$3</f>
        <v/>
      </c>
      <c r="P89" s="5">
        <f>P88*Eras!P$3</f>
        <v/>
      </c>
      <c r="Q89" s="5">
        <f>Q88*Eras!Q$3</f>
        <v/>
      </c>
      <c r="R89" s="5">
        <f>R88*Eras!R$3</f>
        <v/>
      </c>
      <c r="S89" s="5">
        <f>S88*Eras!S$3</f>
        <v/>
      </c>
      <c r="T89" s="5">
        <f>T88*Eras!T$3</f>
        <v/>
      </c>
      <c r="U89" s="5">
        <f>U88*Eras!U$3</f>
        <v/>
      </c>
      <c r="V89" s="5">
        <f>V88*Eras!V$3</f>
        <v/>
      </c>
      <c r="W89" s="5">
        <f>W88*Eras!W$3</f>
        <v/>
      </c>
      <c r="X89" s="5">
        <f>X88*Eras!X$3</f>
        <v/>
      </c>
      <c r="Y89" s="5">
        <f>Y88*Eras!Y$3</f>
        <v/>
      </c>
      <c r="Z89" s="5">
        <f>Z88*Eras!Z$3</f>
        <v/>
      </c>
      <c r="AA89" s="5">
        <f>AA88*Eras!AA$3</f>
        <v/>
      </c>
      <c r="AB89" s="5">
        <f>AB88*Eras!AB$3</f>
        <v/>
      </c>
      <c r="AC89" s="5">
        <f>AC88*Eras!AC$3</f>
        <v/>
      </c>
      <c r="AD89" s="5">
        <f>AD88*Eras!AD$3</f>
        <v/>
      </c>
      <c r="AE89" s="5">
        <f>AE88*Eras!AE$3</f>
        <v/>
      </c>
      <c r="AF89" s="5">
        <f>AF88*Eras!AF$3</f>
        <v/>
      </c>
      <c r="AG89" s="5">
        <f>AG88*Eras!AG$3</f>
        <v/>
      </c>
      <c r="AH89" s="5">
        <f>AH88*Eras!AH$3</f>
        <v/>
      </c>
      <c r="AI89" s="5">
        <f>AI88*Eras!AI$3</f>
        <v/>
      </c>
      <c r="AJ89" s="5">
        <f>AJ88*Eras!AJ$3</f>
        <v/>
      </c>
      <c r="AK89" s="5">
        <f>AK88*Eras!AK$3</f>
        <v/>
      </c>
      <c r="AL89" s="5">
        <f>AL88*Eras!AL$3</f>
        <v/>
      </c>
      <c r="AM89" s="5">
        <f>AM88*Eras!AM$3</f>
        <v/>
      </c>
      <c r="AN89" s="5">
        <f>AN88*Eras!AN$3</f>
        <v/>
      </c>
      <c r="AO89" s="5">
        <f>AO88*Eras!AO$3</f>
        <v/>
      </c>
      <c r="AP89" s="5">
        <f>AP88*Eras!AP$3</f>
        <v/>
      </c>
      <c r="AQ89" s="5">
        <f>AQ88*Eras!AQ$3</f>
        <v/>
      </c>
      <c r="AR89" s="5">
        <f>AR88*Eras!AR$3</f>
        <v/>
      </c>
      <c r="AS89" s="5">
        <f>AS88*Eras!AS$3</f>
        <v/>
      </c>
      <c r="AT89" s="5">
        <f>AT88*Eras!AT$3</f>
        <v/>
      </c>
      <c r="AU89" s="5">
        <f>AU88*Eras!AU$3</f>
        <v/>
      </c>
      <c r="AV89" s="5">
        <f>AV88*Eras!AV$3</f>
        <v/>
      </c>
      <c r="AW89" s="5">
        <f>AW88*Eras!AW$3</f>
        <v/>
      </c>
      <c r="AX89" s="5">
        <f>AX88*Eras!AX$3</f>
        <v/>
      </c>
      <c r="AY89" s="5">
        <f>AY88*Eras!AY$3</f>
        <v/>
      </c>
      <c r="AZ89" s="5">
        <f>AZ88*Eras!AZ$3</f>
        <v/>
      </c>
      <c r="BA89" s="5">
        <f>BA88*Eras!BA$3</f>
        <v/>
      </c>
      <c r="BB89" s="5">
        <f>BB88*Eras!BB$3</f>
        <v/>
      </c>
      <c r="BC89" s="5">
        <f>BC88*Eras!BC$3</f>
        <v/>
      </c>
      <c r="BD89" s="5">
        <f>BD88*Eras!BD$3</f>
        <v/>
      </c>
      <c r="BE89" s="5">
        <f>BE88*Eras!BE$3</f>
        <v/>
      </c>
      <c r="BF89" s="5">
        <f>BF88*Eras!BF$3</f>
        <v/>
      </c>
      <c r="BG89" s="5">
        <f>BG88*Eras!BG$3</f>
        <v/>
      </c>
      <c r="BH89" s="5">
        <f>BH88*Eras!BH$3</f>
        <v/>
      </c>
      <c r="BI89" s="5">
        <f>BI88*Eras!BI$3</f>
        <v/>
      </c>
      <c r="BJ89" s="5">
        <f>BJ88*Eras!BJ$3</f>
        <v/>
      </c>
      <c r="BK89" s="5">
        <f>BK88*Eras!BK$3</f>
        <v/>
      </c>
      <c r="BL89" s="5">
        <f>BL88*Eras!BL$3</f>
        <v/>
      </c>
      <c r="BM89" s="5">
        <f>BM88*Eras!BM$3</f>
        <v/>
      </c>
      <c r="BN89" s="5">
        <f>BN88*Eras!BN$3</f>
        <v/>
      </c>
      <c r="BO89" s="5">
        <f>BO88*Eras!BO$3</f>
        <v/>
      </c>
      <c r="BP89" s="5">
        <f>BP88*Eras!BP$3</f>
        <v/>
      </c>
      <c r="BQ89" s="5">
        <f>BQ88*Eras!BQ$3</f>
        <v/>
      </c>
      <c r="BR89" s="5">
        <f>BR88*Eras!BR$3</f>
        <v/>
      </c>
      <c r="BS89" s="5">
        <f>BS88*Eras!BS$3</f>
        <v/>
      </c>
      <c r="BT89" s="5">
        <f>BT88*Eras!BT$3</f>
        <v/>
      </c>
      <c r="BU89" s="5">
        <f>BU88*Eras!BU$3</f>
        <v/>
      </c>
      <c r="BV89" s="5">
        <f>BV88*Eras!BV$3</f>
        <v/>
      </c>
    </row>
    <row r="90">
      <c r="A90" t="inlineStr">
        <is>
          <t>paid starts @1</t>
        </is>
      </c>
      <c r="B90" t="inlineStr">
        <is>
          <t>EUROPE|NITRO_A</t>
        </is>
      </c>
      <c r="C90" s="5">
        <f>C88*Eras!C$4</f>
        <v/>
      </c>
      <c r="D90" s="5">
        <f>D88*Eras!D$4</f>
        <v/>
      </c>
      <c r="E90" s="5">
        <f>E88*Eras!E$4</f>
        <v/>
      </c>
      <c r="F90" s="5">
        <f>F88*Eras!F$4</f>
        <v/>
      </c>
      <c r="G90" s="5">
        <f>G88*Eras!G$4</f>
        <v/>
      </c>
      <c r="H90" s="5">
        <f>H88*Eras!H$4</f>
        <v/>
      </c>
      <c r="I90" s="5">
        <f>I88*Eras!I$4</f>
        <v/>
      </c>
      <c r="J90" s="5">
        <f>J88*Eras!J$4</f>
        <v/>
      </c>
      <c r="K90" s="5">
        <f>K88*Eras!K$4</f>
        <v/>
      </c>
      <c r="L90" s="5">
        <f>L88*Eras!L$4</f>
        <v/>
      </c>
      <c r="M90" s="5">
        <f>M88*Eras!M$4</f>
        <v/>
      </c>
      <c r="N90" s="5">
        <f>N88*Eras!N$4</f>
        <v/>
      </c>
      <c r="O90" s="5">
        <f>O88*Eras!O$4</f>
        <v/>
      </c>
      <c r="P90" s="5">
        <f>P88*Eras!P$4</f>
        <v/>
      </c>
      <c r="Q90" s="5">
        <f>Q88*Eras!Q$4</f>
        <v/>
      </c>
      <c r="R90" s="5">
        <f>R88*Eras!R$4</f>
        <v/>
      </c>
      <c r="S90" s="5">
        <f>S88*Eras!S$4</f>
        <v/>
      </c>
      <c r="T90" s="5">
        <f>T88*Eras!T$4</f>
        <v/>
      </c>
      <c r="U90" s="5">
        <f>U88*Eras!U$4</f>
        <v/>
      </c>
      <c r="V90" s="5">
        <f>V88*Eras!V$4</f>
        <v/>
      </c>
      <c r="W90" s="5">
        <f>W88*Eras!W$4</f>
        <v/>
      </c>
      <c r="X90" s="5">
        <f>X88*Eras!X$4</f>
        <v/>
      </c>
      <c r="Y90" s="5">
        <f>Y88*Eras!Y$4</f>
        <v/>
      </c>
      <c r="Z90" s="5">
        <f>Z88*Eras!Z$4</f>
        <v/>
      </c>
      <c r="AA90" s="5">
        <f>AA88*Eras!AA$4</f>
        <v/>
      </c>
      <c r="AB90" s="5">
        <f>AB88*Eras!AB$4</f>
        <v/>
      </c>
      <c r="AC90" s="5">
        <f>AC88*Eras!AC$4</f>
        <v/>
      </c>
      <c r="AD90" s="5">
        <f>AD88*Eras!AD$4</f>
        <v/>
      </c>
      <c r="AE90" s="5">
        <f>AE88*Eras!AE$4</f>
        <v/>
      </c>
      <c r="AF90" s="5">
        <f>AF88*Eras!AF$4</f>
        <v/>
      </c>
      <c r="AG90" s="5">
        <f>AG88*Eras!AG$4</f>
        <v/>
      </c>
      <c r="AH90" s="5">
        <f>AH88*Eras!AH$4</f>
        <v/>
      </c>
      <c r="AI90" s="5">
        <f>AI88*Eras!AI$4</f>
        <v/>
      </c>
      <c r="AJ90" s="5">
        <f>AJ88*Eras!AJ$4</f>
        <v/>
      </c>
      <c r="AK90" s="5">
        <f>AK88*Eras!AK$4</f>
        <v/>
      </c>
      <c r="AL90" s="5">
        <f>AL88*Eras!AL$4</f>
        <v/>
      </c>
      <c r="AM90" s="5">
        <f>AM88*Eras!AM$4</f>
        <v/>
      </c>
      <c r="AN90" s="5">
        <f>AN88*Eras!AN$4</f>
        <v/>
      </c>
      <c r="AO90" s="5">
        <f>AO88*Eras!AO$4</f>
        <v/>
      </c>
      <c r="AP90" s="5">
        <f>AP88*Eras!AP$4</f>
        <v/>
      </c>
      <c r="AQ90" s="5">
        <f>AQ88*Eras!AQ$4</f>
        <v/>
      </c>
      <c r="AR90" s="5">
        <f>AR88*Eras!AR$4</f>
        <v/>
      </c>
      <c r="AS90" s="5">
        <f>AS88*Eras!AS$4</f>
        <v/>
      </c>
      <c r="AT90" s="5">
        <f>AT88*Eras!AT$4</f>
        <v/>
      </c>
      <c r="AU90" s="5">
        <f>AU88*Eras!AU$4</f>
        <v/>
      </c>
      <c r="AV90" s="5">
        <f>AV88*Eras!AV$4</f>
        <v/>
      </c>
      <c r="AW90" s="5">
        <f>AW88*Eras!AW$4</f>
        <v/>
      </c>
      <c r="AX90" s="5">
        <f>AX88*Eras!AX$4</f>
        <v/>
      </c>
      <c r="AY90" s="5">
        <f>AY88*Eras!AY$4</f>
        <v/>
      </c>
      <c r="AZ90" s="5">
        <f>AZ88*Eras!AZ$4</f>
        <v/>
      </c>
      <c r="BA90" s="5">
        <f>BA88*Eras!BA$4</f>
        <v/>
      </c>
      <c r="BB90" s="5">
        <f>BB88*Eras!BB$4</f>
        <v/>
      </c>
      <c r="BC90" s="5">
        <f>BC88*Eras!BC$4</f>
        <v/>
      </c>
      <c r="BD90" s="5">
        <f>BD88*Eras!BD$4</f>
        <v/>
      </c>
      <c r="BE90" s="5">
        <f>BE88*Eras!BE$4</f>
        <v/>
      </c>
      <c r="BF90" s="5">
        <f>BF88*Eras!BF$4</f>
        <v/>
      </c>
      <c r="BG90" s="5">
        <f>BG88*Eras!BG$4</f>
        <v/>
      </c>
      <c r="BH90" s="5">
        <f>BH88*Eras!BH$4</f>
        <v/>
      </c>
      <c r="BI90" s="5">
        <f>BI88*Eras!BI$4</f>
        <v/>
      </c>
      <c r="BJ90" s="5">
        <f>BJ88*Eras!BJ$4</f>
        <v/>
      </c>
      <c r="BK90" s="5">
        <f>BK88*Eras!BK$4</f>
        <v/>
      </c>
      <c r="BL90" s="5">
        <f>BL88*Eras!BL$4</f>
        <v/>
      </c>
      <c r="BM90" s="5">
        <f>BM88*Eras!BM$4</f>
        <v/>
      </c>
      <c r="BN90" s="5">
        <f>BN88*Eras!BN$4</f>
        <v/>
      </c>
      <c r="BO90" s="5">
        <f>BO88*Eras!BO$4</f>
        <v/>
      </c>
      <c r="BP90" s="5">
        <f>BP88*Eras!BP$4</f>
        <v/>
      </c>
      <c r="BQ90" s="5">
        <f>BQ88*Eras!BQ$4</f>
        <v/>
      </c>
      <c r="BR90" s="5">
        <f>BR88*Eras!BR$4</f>
        <v/>
      </c>
      <c r="BS90" s="5">
        <f>BS88*Eras!BS$4</f>
        <v/>
      </c>
      <c r="BT90" s="5">
        <f>BT88*Eras!BT$4</f>
        <v/>
      </c>
      <c r="BU90" s="5">
        <f>BU88*Eras!BU$4</f>
        <v/>
      </c>
      <c r="BV90" s="5">
        <f>BV88*Eras!BV$4</f>
        <v/>
      </c>
    </row>
    <row r="91">
      <c r="A91" t="inlineStr">
        <is>
          <t>paid starts @2</t>
        </is>
      </c>
      <c r="B91" t="inlineStr">
        <is>
          <t>EUROPE|NITRO_A</t>
        </is>
      </c>
      <c r="C91" s="5">
        <f>C88*Eras!C$5</f>
        <v/>
      </c>
      <c r="D91" s="5">
        <f>D88*Eras!D$5</f>
        <v/>
      </c>
      <c r="E91" s="5">
        <f>E88*Eras!E$5</f>
        <v/>
      </c>
      <c r="F91" s="5">
        <f>F88*Eras!F$5</f>
        <v/>
      </c>
      <c r="G91" s="5">
        <f>G88*Eras!G$5</f>
        <v/>
      </c>
      <c r="H91" s="5">
        <f>H88*Eras!H$5</f>
        <v/>
      </c>
      <c r="I91" s="5">
        <f>I88*Eras!I$5</f>
        <v/>
      </c>
      <c r="J91" s="5">
        <f>J88*Eras!J$5</f>
        <v/>
      </c>
      <c r="K91" s="5">
        <f>K88*Eras!K$5</f>
        <v/>
      </c>
      <c r="L91" s="5">
        <f>L88*Eras!L$5</f>
        <v/>
      </c>
      <c r="M91" s="5">
        <f>M88*Eras!M$5</f>
        <v/>
      </c>
      <c r="N91" s="5">
        <f>N88*Eras!N$5</f>
        <v/>
      </c>
      <c r="O91" s="5">
        <f>O88*Eras!O$5</f>
        <v/>
      </c>
      <c r="P91" s="5">
        <f>P88*Eras!P$5</f>
        <v/>
      </c>
      <c r="Q91" s="5">
        <f>Q88*Eras!Q$5</f>
        <v/>
      </c>
      <c r="R91" s="5">
        <f>R88*Eras!R$5</f>
        <v/>
      </c>
      <c r="S91" s="5">
        <f>S88*Eras!S$5</f>
        <v/>
      </c>
      <c r="T91" s="5">
        <f>T88*Eras!T$5</f>
        <v/>
      </c>
      <c r="U91" s="5">
        <f>U88*Eras!U$5</f>
        <v/>
      </c>
      <c r="V91" s="5">
        <f>V88*Eras!V$5</f>
        <v/>
      </c>
      <c r="W91" s="5">
        <f>W88*Eras!W$5</f>
        <v/>
      </c>
      <c r="X91" s="5">
        <f>X88*Eras!X$5</f>
        <v/>
      </c>
      <c r="Y91" s="5">
        <f>Y88*Eras!Y$5</f>
        <v/>
      </c>
      <c r="Z91" s="5">
        <f>Z88*Eras!Z$5</f>
        <v/>
      </c>
      <c r="AA91" s="5">
        <f>AA88*Eras!AA$5</f>
        <v/>
      </c>
      <c r="AB91" s="5">
        <f>AB88*Eras!AB$5</f>
        <v/>
      </c>
      <c r="AC91" s="5">
        <f>AC88*Eras!AC$5</f>
        <v/>
      </c>
      <c r="AD91" s="5">
        <f>AD88*Eras!AD$5</f>
        <v/>
      </c>
      <c r="AE91" s="5">
        <f>AE88*Eras!AE$5</f>
        <v/>
      </c>
      <c r="AF91" s="5">
        <f>AF88*Eras!AF$5</f>
        <v/>
      </c>
      <c r="AG91" s="5">
        <f>AG88*Eras!AG$5</f>
        <v/>
      </c>
      <c r="AH91" s="5">
        <f>AH88*Eras!AH$5</f>
        <v/>
      </c>
      <c r="AI91" s="5">
        <f>AI88*Eras!AI$5</f>
        <v/>
      </c>
      <c r="AJ91" s="5">
        <f>AJ88*Eras!AJ$5</f>
        <v/>
      </c>
      <c r="AK91" s="5">
        <f>AK88*Eras!AK$5</f>
        <v/>
      </c>
      <c r="AL91" s="5">
        <f>AL88*Eras!AL$5</f>
        <v/>
      </c>
      <c r="AM91" s="5">
        <f>AM88*Eras!AM$5</f>
        <v/>
      </c>
      <c r="AN91" s="5">
        <f>AN88*Eras!AN$5</f>
        <v/>
      </c>
      <c r="AO91" s="5">
        <f>AO88*Eras!AO$5</f>
        <v/>
      </c>
      <c r="AP91" s="5">
        <f>AP88*Eras!AP$5</f>
        <v/>
      </c>
      <c r="AQ91" s="5">
        <f>AQ88*Eras!AQ$5</f>
        <v/>
      </c>
      <c r="AR91" s="5">
        <f>AR88*Eras!AR$5</f>
        <v/>
      </c>
      <c r="AS91" s="5">
        <f>AS88*Eras!AS$5</f>
        <v/>
      </c>
      <c r="AT91" s="5">
        <f>AT88*Eras!AT$5</f>
        <v/>
      </c>
      <c r="AU91" s="5">
        <f>AU88*Eras!AU$5</f>
        <v/>
      </c>
      <c r="AV91" s="5">
        <f>AV88*Eras!AV$5</f>
        <v/>
      </c>
      <c r="AW91" s="5">
        <f>AW88*Eras!AW$5</f>
        <v/>
      </c>
      <c r="AX91" s="5">
        <f>AX88*Eras!AX$5</f>
        <v/>
      </c>
      <c r="AY91" s="5">
        <f>AY88*Eras!AY$5</f>
        <v/>
      </c>
      <c r="AZ91" s="5">
        <f>AZ88*Eras!AZ$5</f>
        <v/>
      </c>
      <c r="BA91" s="5">
        <f>BA88*Eras!BA$5</f>
        <v/>
      </c>
      <c r="BB91" s="5">
        <f>BB88*Eras!BB$5</f>
        <v/>
      </c>
      <c r="BC91" s="5">
        <f>BC88*Eras!BC$5</f>
        <v/>
      </c>
      <c r="BD91" s="5">
        <f>BD88*Eras!BD$5</f>
        <v/>
      </c>
      <c r="BE91" s="5">
        <f>BE88*Eras!BE$5</f>
        <v/>
      </c>
      <c r="BF91" s="5">
        <f>BF88*Eras!BF$5</f>
        <v/>
      </c>
      <c r="BG91" s="5">
        <f>BG88*Eras!BG$5</f>
        <v/>
      </c>
      <c r="BH91" s="5">
        <f>BH88*Eras!BH$5</f>
        <v/>
      </c>
      <c r="BI91" s="5">
        <f>BI88*Eras!BI$5</f>
        <v/>
      </c>
      <c r="BJ91" s="5">
        <f>BJ88*Eras!BJ$5</f>
        <v/>
      </c>
      <c r="BK91" s="5">
        <f>BK88*Eras!BK$5</f>
        <v/>
      </c>
      <c r="BL91" s="5">
        <f>BL88*Eras!BL$5</f>
        <v/>
      </c>
      <c r="BM91" s="5">
        <f>BM88*Eras!BM$5</f>
        <v/>
      </c>
      <c r="BN91" s="5">
        <f>BN88*Eras!BN$5</f>
        <v/>
      </c>
      <c r="BO91" s="5">
        <f>BO88*Eras!BO$5</f>
        <v/>
      </c>
      <c r="BP91" s="5">
        <f>BP88*Eras!BP$5</f>
        <v/>
      </c>
      <c r="BQ91" s="5">
        <f>BQ88*Eras!BQ$5</f>
        <v/>
      </c>
      <c r="BR91" s="5">
        <f>BR88*Eras!BR$5</f>
        <v/>
      </c>
      <c r="BS91" s="5">
        <f>BS88*Eras!BS$5</f>
        <v/>
      </c>
      <c r="BT91" s="5">
        <f>BT88*Eras!BT$5</f>
        <v/>
      </c>
      <c r="BU91" s="5">
        <f>BU88*Eras!BU$5</f>
        <v/>
      </c>
      <c r="BV91" s="5">
        <f>BV88*Eras!BV$5</f>
        <v/>
      </c>
    </row>
    <row r="93">
      <c r="A93" t="inlineStr">
        <is>
          <t>gross adds</t>
        </is>
      </c>
      <c r="B93" t="inlineStr">
        <is>
          <t>EUROPE|BASIC_M</t>
        </is>
      </c>
      <c r="C93" s="5">
        <f>MAU!C5*Params!$B$58*Eras!C$7*Params!$B$130*Params!$B$94</f>
        <v/>
      </c>
      <c r="D93" s="5">
        <f>MAU!D5*Params!$B$58*Eras!D$7*Params!$B$130*Params!$B$94</f>
        <v/>
      </c>
      <c r="E93" s="5">
        <f>MAU!E5*Params!$B$58*Eras!E$7*Params!$B$130*Params!$B$94</f>
        <v/>
      </c>
      <c r="F93" s="5">
        <f>MAU!F5*Params!$B$58*Eras!F$7*Params!$B$130*Params!$B$94</f>
        <v/>
      </c>
      <c r="G93" s="5">
        <f>MAU!G5*Params!$B$58*Eras!G$7*Params!$B$130*Params!$B$94</f>
        <v/>
      </c>
      <c r="H93" s="5">
        <f>MAU!H5*Params!$B$58*Eras!H$7*Params!$B$130*Params!$B$94</f>
        <v/>
      </c>
      <c r="I93" s="5">
        <f>MAU!I5*Params!$B$58*Eras!I$7*Params!$B$130*Params!$B$94</f>
        <v/>
      </c>
      <c r="J93" s="5">
        <f>MAU!J5*Params!$B$58*Eras!J$7*Params!$B$130*Params!$B$94</f>
        <v/>
      </c>
      <c r="K93" s="5">
        <f>MAU!K5*Params!$B$58*Eras!K$7*Params!$B$130*Params!$B$94</f>
        <v/>
      </c>
      <c r="L93" s="5">
        <f>MAU!L5*Params!$B$58*Eras!L$7*Params!$B$130*Params!$B$94</f>
        <v/>
      </c>
      <c r="M93" s="5">
        <f>MAU!M5*Params!$B$58*Eras!M$7*Params!$B$130*Params!$B$94</f>
        <v/>
      </c>
      <c r="N93" s="5">
        <f>MAU!N5*Params!$B$58*Eras!N$7*Params!$B$130*Params!$B$94</f>
        <v/>
      </c>
      <c r="O93" s="5">
        <f>MAU!O5*Params!$B$58*Eras!O$7*Params!$B$130*Params!$B$94</f>
        <v/>
      </c>
      <c r="P93" s="5">
        <f>MAU!P5*Params!$B$58*Eras!P$7*Params!$B$130*Params!$B$94</f>
        <v/>
      </c>
      <c r="Q93" s="5">
        <f>MAU!Q5*Params!$B$58*Eras!Q$7*Params!$B$130*Params!$B$94</f>
        <v/>
      </c>
      <c r="R93" s="5">
        <f>MAU!R5*Params!$B$58*Eras!R$7*Params!$B$130*Params!$B$94</f>
        <v/>
      </c>
      <c r="S93" s="5">
        <f>MAU!S5*Params!$B$58*Eras!S$7*Params!$B$130*Params!$B$94</f>
        <v/>
      </c>
      <c r="T93" s="5">
        <f>MAU!T5*Params!$B$58*Eras!T$7*Params!$B$130*Params!$B$94</f>
        <v/>
      </c>
      <c r="U93" s="5">
        <f>MAU!U5*Params!$B$58*Eras!U$7*Params!$B$130*Params!$B$94</f>
        <v/>
      </c>
      <c r="V93" s="5">
        <f>MAU!V5*Params!$B$58*Eras!V$7*Params!$B$130*Params!$B$94</f>
        <v/>
      </c>
      <c r="W93" s="5">
        <f>MAU!W5*Params!$B$58*Eras!W$7*Params!$B$130*Params!$B$94</f>
        <v/>
      </c>
      <c r="X93" s="5">
        <f>MAU!X5*Params!$B$58*Eras!X$7*Params!$B$130*Params!$B$94</f>
        <v/>
      </c>
      <c r="Y93" s="5">
        <f>MAU!Y5*Params!$B$58*Eras!Y$7*Params!$B$130*Params!$B$94</f>
        <v/>
      </c>
      <c r="Z93" s="5">
        <f>MAU!Z5*Params!$B$58*Eras!Z$7*Params!$B$130*Params!$B$94</f>
        <v/>
      </c>
      <c r="AA93" s="5">
        <f>MAU!AA5*Params!$B$58*Eras!AA$7*Params!$B$130*Params!$B$94</f>
        <v/>
      </c>
      <c r="AB93" s="5">
        <f>MAU!AB5*Params!$B$58*Eras!AB$7*Params!$B$130*Params!$B$94</f>
        <v/>
      </c>
      <c r="AC93" s="5">
        <f>MAU!AC5*Params!$B$58*Eras!AC$7*Params!$B$130*Params!$B$94</f>
        <v/>
      </c>
      <c r="AD93" s="5">
        <f>MAU!AD5*Params!$B$58*Eras!AD$7*Params!$B$130*Params!$B$94</f>
        <v/>
      </c>
      <c r="AE93" s="5">
        <f>MAU!AE5*Params!$B$58*Eras!AE$7*Params!$B$130*Params!$B$94</f>
        <v/>
      </c>
      <c r="AF93" s="5">
        <f>MAU!AF5*Params!$B$58*Eras!AF$7*Params!$B$130*Params!$B$94</f>
        <v/>
      </c>
      <c r="AG93" s="5">
        <f>MAU!AG5*Params!$B$58*Eras!AG$7*Params!$B$130*Params!$B$94</f>
        <v/>
      </c>
      <c r="AH93" s="5">
        <f>MAU!AH5*Params!$B$58*Eras!AH$7*Params!$B$130*Params!$B$94</f>
        <v/>
      </c>
      <c r="AI93" s="5">
        <f>MAU!AI5*Params!$B$58*Eras!AI$7*Params!$B$130*Params!$B$94</f>
        <v/>
      </c>
      <c r="AJ93" s="5">
        <f>MAU!AJ5*Params!$B$58*Eras!AJ$7*Params!$B$130*Params!$B$94</f>
        <v/>
      </c>
      <c r="AK93" s="5">
        <f>MAU!AK5*Params!$B$58*Eras!AK$7*Params!$B$130*Params!$B$94</f>
        <v/>
      </c>
      <c r="AL93" s="5">
        <f>MAU!AL5*Params!$B$58*Eras!AL$7*Params!$B$130*Params!$B$94</f>
        <v/>
      </c>
      <c r="AM93" s="5">
        <f>MAU!AM5*Params!$B$58*Eras!AM$7*Params!$B$130*Params!$B$94</f>
        <v/>
      </c>
      <c r="AN93" s="5">
        <f>MAU!AN5*Params!$B$58*Eras!AN$7*Params!$B$130*Params!$B$94</f>
        <v/>
      </c>
      <c r="AO93" s="5">
        <f>MAU!AO5*Params!$B$58*Eras!AO$7*Params!$B$130*Params!$B$94</f>
        <v/>
      </c>
      <c r="AP93" s="5">
        <f>MAU!AP5*Params!$B$58*Eras!AP$7*Params!$B$130*Params!$B$94</f>
        <v/>
      </c>
      <c r="AQ93" s="5">
        <f>MAU!AQ5*Params!$B$58*Eras!AQ$7*Params!$B$130*Params!$B$94</f>
        <v/>
      </c>
      <c r="AR93" s="5">
        <f>MAU!AR5*Params!$B$58*Eras!AR$7*Params!$B$130*Params!$B$94</f>
        <v/>
      </c>
      <c r="AS93" s="5">
        <f>MAU!AS5*Params!$B$58*Eras!AS$7*Params!$B$130*Params!$B$94</f>
        <v/>
      </c>
      <c r="AT93" s="5">
        <f>MAU!AT5*Params!$B$58*Eras!AT$7*Params!$B$130*Params!$B$94</f>
        <v/>
      </c>
      <c r="AU93" s="5">
        <f>MAU!AU5*Params!$B$58*Eras!AU$7*Params!$B$130*Params!$B$94</f>
        <v/>
      </c>
      <c r="AV93" s="5">
        <f>MAU!AV5*Params!$B$58*Eras!AV$7*Params!$B$130*Params!$B$94</f>
        <v/>
      </c>
      <c r="AW93" s="5">
        <f>MAU!AW5*Params!$B$58*Eras!AW$7*Params!$B$130*Params!$B$94</f>
        <v/>
      </c>
      <c r="AX93" s="5">
        <f>MAU!AX5*Params!$B$58*Eras!AX$7*Params!$B$130*Params!$B$94</f>
        <v/>
      </c>
      <c r="AY93" s="5">
        <f>MAU!AY5*Params!$B$58*Eras!AY$7*Params!$B$130*Params!$B$94</f>
        <v/>
      </c>
      <c r="AZ93" s="5">
        <f>MAU!AZ5*Params!$B$58*Eras!AZ$7*Params!$B$130*Params!$B$94</f>
        <v/>
      </c>
      <c r="BA93" s="5">
        <f>MAU!BA5*Params!$B$58*Eras!BA$7*Params!$B$130*Params!$B$94</f>
        <v/>
      </c>
      <c r="BB93" s="5">
        <f>MAU!BB5*Params!$B$58*Eras!BB$7*Params!$B$130*Params!$B$94</f>
        <v/>
      </c>
      <c r="BC93" s="5">
        <f>MAU!BC5*Params!$B$58*Eras!BC$7*Params!$B$130*Params!$B$94</f>
        <v/>
      </c>
      <c r="BD93" s="5">
        <f>MAU!BD5*Params!$B$58*Eras!BD$7*Params!$B$130*Params!$B$94</f>
        <v/>
      </c>
      <c r="BE93" s="5">
        <f>MAU!BE5*Params!$B$58*Eras!BE$7*Params!$B$130*Params!$B$94</f>
        <v/>
      </c>
      <c r="BF93" s="5">
        <f>MAU!BF5*Params!$B$58*Eras!BF$7*Params!$B$130*Params!$B$94</f>
        <v/>
      </c>
      <c r="BG93" s="5">
        <f>MAU!BG5*Params!$B$58*Eras!BG$7*Params!$B$130*Params!$B$94</f>
        <v/>
      </c>
      <c r="BH93" s="5">
        <f>MAU!BH5*Params!$B$58*Eras!BH$7*Params!$B$130*Params!$B$94</f>
        <v/>
      </c>
      <c r="BI93" s="5">
        <f>MAU!BI5*Params!$B$58*Eras!BI$7*Params!$B$130*Params!$B$94</f>
        <v/>
      </c>
      <c r="BJ93" s="5">
        <f>MAU!BJ5*Params!$B$58*Eras!BJ$7*Params!$B$130*Params!$B$94</f>
        <v/>
      </c>
      <c r="BK93" s="5">
        <f>MAU!BK5*Params!$B$58*Eras!BK$7*Params!$B$130*Params!$B$94</f>
        <v/>
      </c>
      <c r="BL93" s="5">
        <f>MAU!BL5*Params!$B$58*Eras!BL$7*Params!$B$130*Params!$B$94</f>
        <v/>
      </c>
      <c r="BM93" s="5">
        <f>MAU!BM5*Params!$B$58*Eras!BM$7*Params!$B$130*Params!$B$94</f>
        <v/>
      </c>
      <c r="BN93" s="5">
        <f>MAU!BN5*Params!$B$58*Eras!BN$7*Params!$B$130*Params!$B$94</f>
        <v/>
      </c>
      <c r="BO93" s="5">
        <f>MAU!BO5*Params!$B$58*Eras!BO$7*Params!$B$130*Params!$B$94</f>
        <v/>
      </c>
      <c r="BP93" s="5">
        <f>MAU!BP5*Params!$B$58*Eras!BP$7*Params!$B$130*Params!$B$94</f>
        <v/>
      </c>
      <c r="BQ93" s="5">
        <f>MAU!BQ5*Params!$B$58*Eras!BQ$7*Params!$B$130*Params!$B$94</f>
        <v/>
      </c>
      <c r="BR93" s="5">
        <f>MAU!BR5*Params!$B$58*Eras!BR$7*Params!$B$130*Params!$B$94</f>
        <v/>
      </c>
      <c r="BS93" s="5">
        <f>MAU!BS5*Params!$B$58*Eras!BS$7*Params!$B$130*Params!$B$94</f>
        <v/>
      </c>
      <c r="BT93" s="5">
        <f>MAU!BT5*Params!$B$58*Eras!BT$7*Params!$B$130*Params!$B$94</f>
        <v/>
      </c>
      <c r="BU93" s="5">
        <f>MAU!BU5*Params!$B$58*Eras!BU$7*Params!$B$130*Params!$B$94</f>
        <v/>
      </c>
      <c r="BV93" s="5">
        <f>MAU!BV5*Params!$B$58*Eras!BV$7*Params!$B$130*Params!$B$94</f>
        <v/>
      </c>
    </row>
    <row r="94">
      <c r="A94" t="inlineStr">
        <is>
          <t>trial starts</t>
        </is>
      </c>
      <c r="B94" t="inlineStr">
        <is>
          <t>EUROPE|BASIC_M</t>
        </is>
      </c>
      <c r="C94" s="5">
        <f>C93*Eras!C$8</f>
        <v/>
      </c>
      <c r="D94" s="5">
        <f>D93*Eras!D$8</f>
        <v/>
      </c>
      <c r="E94" s="5">
        <f>E93*Eras!E$8</f>
        <v/>
      </c>
      <c r="F94" s="5">
        <f>F93*Eras!F$8</f>
        <v/>
      </c>
      <c r="G94" s="5">
        <f>G93*Eras!G$8</f>
        <v/>
      </c>
      <c r="H94" s="5">
        <f>H93*Eras!H$8</f>
        <v/>
      </c>
      <c r="I94" s="5">
        <f>I93*Eras!I$8</f>
        <v/>
      </c>
      <c r="J94" s="5">
        <f>J93*Eras!J$8</f>
        <v/>
      </c>
      <c r="K94" s="5">
        <f>K93*Eras!K$8</f>
        <v/>
      </c>
      <c r="L94" s="5">
        <f>L93*Eras!L$8</f>
        <v/>
      </c>
      <c r="M94" s="5">
        <f>M93*Eras!M$8</f>
        <v/>
      </c>
      <c r="N94" s="5">
        <f>N93*Eras!N$8</f>
        <v/>
      </c>
      <c r="O94" s="5">
        <f>O93*Eras!O$8</f>
        <v/>
      </c>
      <c r="P94" s="5">
        <f>P93*Eras!P$8</f>
        <v/>
      </c>
      <c r="Q94" s="5">
        <f>Q93*Eras!Q$8</f>
        <v/>
      </c>
      <c r="R94" s="5">
        <f>R93*Eras!R$8</f>
        <v/>
      </c>
      <c r="S94" s="5">
        <f>S93*Eras!S$8</f>
        <v/>
      </c>
      <c r="T94" s="5">
        <f>T93*Eras!T$8</f>
        <v/>
      </c>
      <c r="U94" s="5">
        <f>U93*Eras!U$8</f>
        <v/>
      </c>
      <c r="V94" s="5">
        <f>V93*Eras!V$8</f>
        <v/>
      </c>
      <c r="W94" s="5">
        <f>W93*Eras!W$8</f>
        <v/>
      </c>
      <c r="X94" s="5">
        <f>X93*Eras!X$8</f>
        <v/>
      </c>
      <c r="Y94" s="5">
        <f>Y93*Eras!Y$8</f>
        <v/>
      </c>
      <c r="Z94" s="5">
        <f>Z93*Eras!Z$8</f>
        <v/>
      </c>
      <c r="AA94" s="5">
        <f>AA93*Eras!AA$8</f>
        <v/>
      </c>
      <c r="AB94" s="5">
        <f>AB93*Eras!AB$8</f>
        <v/>
      </c>
      <c r="AC94" s="5">
        <f>AC93*Eras!AC$8</f>
        <v/>
      </c>
      <c r="AD94" s="5">
        <f>AD93*Eras!AD$8</f>
        <v/>
      </c>
      <c r="AE94" s="5">
        <f>AE93*Eras!AE$8</f>
        <v/>
      </c>
      <c r="AF94" s="5">
        <f>AF93*Eras!AF$8</f>
        <v/>
      </c>
      <c r="AG94" s="5">
        <f>AG93*Eras!AG$8</f>
        <v/>
      </c>
      <c r="AH94" s="5">
        <f>AH93*Eras!AH$8</f>
        <v/>
      </c>
      <c r="AI94" s="5">
        <f>AI93*Eras!AI$8</f>
        <v/>
      </c>
      <c r="AJ94" s="5">
        <f>AJ93*Eras!AJ$8</f>
        <v/>
      </c>
      <c r="AK94" s="5">
        <f>AK93*Eras!AK$8</f>
        <v/>
      </c>
      <c r="AL94" s="5">
        <f>AL93*Eras!AL$8</f>
        <v/>
      </c>
      <c r="AM94" s="5">
        <f>AM93*Eras!AM$8</f>
        <v/>
      </c>
      <c r="AN94" s="5">
        <f>AN93*Eras!AN$8</f>
        <v/>
      </c>
      <c r="AO94" s="5">
        <f>AO93*Eras!AO$8</f>
        <v/>
      </c>
      <c r="AP94" s="5">
        <f>AP93*Eras!AP$8</f>
        <v/>
      </c>
      <c r="AQ94" s="5">
        <f>AQ93*Eras!AQ$8</f>
        <v/>
      </c>
      <c r="AR94" s="5">
        <f>AR93*Eras!AR$8</f>
        <v/>
      </c>
      <c r="AS94" s="5">
        <f>AS93*Eras!AS$8</f>
        <v/>
      </c>
      <c r="AT94" s="5">
        <f>AT93*Eras!AT$8</f>
        <v/>
      </c>
      <c r="AU94" s="5">
        <f>AU93*Eras!AU$8</f>
        <v/>
      </c>
      <c r="AV94" s="5">
        <f>AV93*Eras!AV$8</f>
        <v/>
      </c>
      <c r="AW94" s="5">
        <f>AW93*Eras!AW$8</f>
        <v/>
      </c>
      <c r="AX94" s="5">
        <f>AX93*Eras!AX$8</f>
        <v/>
      </c>
      <c r="AY94" s="5">
        <f>AY93*Eras!AY$8</f>
        <v/>
      </c>
      <c r="AZ94" s="5">
        <f>AZ93*Eras!AZ$8</f>
        <v/>
      </c>
      <c r="BA94" s="5">
        <f>BA93*Eras!BA$8</f>
        <v/>
      </c>
      <c r="BB94" s="5">
        <f>BB93*Eras!BB$8</f>
        <v/>
      </c>
      <c r="BC94" s="5">
        <f>BC93*Eras!BC$8</f>
        <v/>
      </c>
      <c r="BD94" s="5">
        <f>BD93*Eras!BD$8</f>
        <v/>
      </c>
      <c r="BE94" s="5">
        <f>BE93*Eras!BE$8</f>
        <v/>
      </c>
      <c r="BF94" s="5">
        <f>BF93*Eras!BF$8</f>
        <v/>
      </c>
      <c r="BG94" s="5">
        <f>BG93*Eras!BG$8</f>
        <v/>
      </c>
      <c r="BH94" s="5">
        <f>BH93*Eras!BH$8</f>
        <v/>
      </c>
      <c r="BI94" s="5">
        <f>BI93*Eras!BI$8</f>
        <v/>
      </c>
      <c r="BJ94" s="5">
        <f>BJ93*Eras!BJ$8</f>
        <v/>
      </c>
      <c r="BK94" s="5">
        <f>BK93*Eras!BK$8</f>
        <v/>
      </c>
      <c r="BL94" s="5">
        <f>BL93*Eras!BL$8</f>
        <v/>
      </c>
      <c r="BM94" s="5">
        <f>BM93*Eras!BM$8</f>
        <v/>
      </c>
      <c r="BN94" s="5">
        <f>BN93*Eras!BN$8</f>
        <v/>
      </c>
      <c r="BO94" s="5">
        <f>BO93*Eras!BO$8</f>
        <v/>
      </c>
      <c r="BP94" s="5">
        <f>BP93*Eras!BP$8</f>
        <v/>
      </c>
      <c r="BQ94" s="5">
        <f>BQ93*Eras!BQ$8</f>
        <v/>
      </c>
      <c r="BR94" s="5">
        <f>BR93*Eras!BR$8</f>
        <v/>
      </c>
      <c r="BS94" s="5">
        <f>BS93*Eras!BS$8</f>
        <v/>
      </c>
      <c r="BT94" s="5">
        <f>BT93*Eras!BT$8</f>
        <v/>
      </c>
      <c r="BU94" s="5">
        <f>BU93*Eras!BU$8</f>
        <v/>
      </c>
      <c r="BV94" s="5">
        <f>BV93*Eras!BV$8</f>
        <v/>
      </c>
    </row>
    <row r="95">
      <c r="A95" t="inlineStr">
        <is>
          <t>direct paid starts</t>
        </is>
      </c>
      <c r="B95" t="inlineStr">
        <is>
          <t>EUROPE|BASIC_M</t>
        </is>
      </c>
      <c r="C95" s="5">
        <f>C93-C94</f>
        <v/>
      </c>
      <c r="D95" s="5">
        <f>D93-D94</f>
        <v/>
      </c>
      <c r="E95" s="5">
        <f>E93-E94</f>
        <v/>
      </c>
      <c r="F95" s="5">
        <f>F93-F94</f>
        <v/>
      </c>
      <c r="G95" s="5">
        <f>G93-G94</f>
        <v/>
      </c>
      <c r="H95" s="5">
        <f>H93-H94</f>
        <v/>
      </c>
      <c r="I95" s="5">
        <f>I93-I94</f>
        <v/>
      </c>
      <c r="J95" s="5">
        <f>J93-J94</f>
        <v/>
      </c>
      <c r="K95" s="5">
        <f>K93-K94</f>
        <v/>
      </c>
      <c r="L95" s="5">
        <f>L93-L94</f>
        <v/>
      </c>
      <c r="M95" s="5">
        <f>M93-M94</f>
        <v/>
      </c>
      <c r="N95" s="5">
        <f>N93-N94</f>
        <v/>
      </c>
      <c r="O95" s="5">
        <f>O93-O94</f>
        <v/>
      </c>
      <c r="P95" s="5">
        <f>P93-P94</f>
        <v/>
      </c>
      <c r="Q95" s="5">
        <f>Q93-Q94</f>
        <v/>
      </c>
      <c r="R95" s="5">
        <f>R93-R94</f>
        <v/>
      </c>
      <c r="S95" s="5">
        <f>S93-S94</f>
        <v/>
      </c>
      <c r="T95" s="5">
        <f>T93-T94</f>
        <v/>
      </c>
      <c r="U95" s="5">
        <f>U93-U94</f>
        <v/>
      </c>
      <c r="V95" s="5">
        <f>V93-V94</f>
        <v/>
      </c>
      <c r="W95" s="5">
        <f>W93-W94</f>
        <v/>
      </c>
      <c r="X95" s="5">
        <f>X93-X94</f>
        <v/>
      </c>
      <c r="Y95" s="5">
        <f>Y93-Y94</f>
        <v/>
      </c>
      <c r="Z95" s="5">
        <f>Z93-Z94</f>
        <v/>
      </c>
      <c r="AA95" s="5">
        <f>AA93-AA94</f>
        <v/>
      </c>
      <c r="AB95" s="5">
        <f>AB93-AB94</f>
        <v/>
      </c>
      <c r="AC95" s="5">
        <f>AC93-AC94</f>
        <v/>
      </c>
      <c r="AD95" s="5">
        <f>AD93-AD94</f>
        <v/>
      </c>
      <c r="AE95" s="5">
        <f>AE93-AE94</f>
        <v/>
      </c>
      <c r="AF95" s="5">
        <f>AF93-AF94</f>
        <v/>
      </c>
      <c r="AG95" s="5">
        <f>AG93-AG94</f>
        <v/>
      </c>
      <c r="AH95" s="5">
        <f>AH93-AH94</f>
        <v/>
      </c>
      <c r="AI95" s="5">
        <f>AI93-AI94</f>
        <v/>
      </c>
      <c r="AJ95" s="5">
        <f>AJ93-AJ94</f>
        <v/>
      </c>
      <c r="AK95" s="5">
        <f>AK93-AK94</f>
        <v/>
      </c>
      <c r="AL95" s="5">
        <f>AL93-AL94</f>
        <v/>
      </c>
      <c r="AM95" s="5">
        <f>AM93-AM94</f>
        <v/>
      </c>
      <c r="AN95" s="5">
        <f>AN93-AN94</f>
        <v/>
      </c>
      <c r="AO95" s="5">
        <f>AO93-AO94</f>
        <v/>
      </c>
      <c r="AP95" s="5">
        <f>AP93-AP94</f>
        <v/>
      </c>
      <c r="AQ95" s="5">
        <f>AQ93-AQ94</f>
        <v/>
      </c>
      <c r="AR95" s="5">
        <f>AR93-AR94</f>
        <v/>
      </c>
      <c r="AS95" s="5">
        <f>AS93-AS94</f>
        <v/>
      </c>
      <c r="AT95" s="5">
        <f>AT93-AT94</f>
        <v/>
      </c>
      <c r="AU95" s="5">
        <f>AU93-AU94</f>
        <v/>
      </c>
      <c r="AV95" s="5">
        <f>AV93-AV94</f>
        <v/>
      </c>
      <c r="AW95" s="5">
        <f>AW93-AW94</f>
        <v/>
      </c>
      <c r="AX95" s="5">
        <f>AX93-AX94</f>
        <v/>
      </c>
      <c r="AY95" s="5">
        <f>AY93-AY94</f>
        <v/>
      </c>
      <c r="AZ95" s="5">
        <f>AZ93-AZ94</f>
        <v/>
      </c>
      <c r="BA95" s="5">
        <f>BA93-BA94</f>
        <v/>
      </c>
      <c r="BB95" s="5">
        <f>BB93-BB94</f>
        <v/>
      </c>
      <c r="BC95" s="5">
        <f>BC93-BC94</f>
        <v/>
      </c>
      <c r="BD95" s="5">
        <f>BD93-BD94</f>
        <v/>
      </c>
      <c r="BE95" s="5">
        <f>BE93-BE94</f>
        <v/>
      </c>
      <c r="BF95" s="5">
        <f>BF93-BF94</f>
        <v/>
      </c>
      <c r="BG95" s="5">
        <f>BG93-BG94</f>
        <v/>
      </c>
      <c r="BH95" s="5">
        <f>BH93-BH94</f>
        <v/>
      </c>
      <c r="BI95" s="5">
        <f>BI93-BI94</f>
        <v/>
      </c>
      <c r="BJ95" s="5">
        <f>BJ93-BJ94</f>
        <v/>
      </c>
      <c r="BK95" s="5">
        <f>BK93-BK94</f>
        <v/>
      </c>
      <c r="BL95" s="5">
        <f>BL93-BL94</f>
        <v/>
      </c>
      <c r="BM95" s="5">
        <f>BM93-BM94</f>
        <v/>
      </c>
      <c r="BN95" s="5">
        <f>BN93-BN94</f>
        <v/>
      </c>
      <c r="BO95" s="5">
        <f>BO93-BO94</f>
        <v/>
      </c>
      <c r="BP95" s="5">
        <f>BP93-BP94</f>
        <v/>
      </c>
      <c r="BQ95" s="5">
        <f>BQ93-BQ94</f>
        <v/>
      </c>
      <c r="BR95" s="5">
        <f>BR93-BR94</f>
        <v/>
      </c>
      <c r="BS95" s="5">
        <f>BS93-BS94</f>
        <v/>
      </c>
      <c r="BT95" s="5">
        <f>BT93-BT94</f>
        <v/>
      </c>
      <c r="BU95" s="5">
        <f>BU93-BU94</f>
        <v/>
      </c>
      <c r="BV95" s="5">
        <f>BV93-BV94</f>
        <v/>
      </c>
    </row>
    <row r="96">
      <c r="A96" t="inlineStr">
        <is>
          <t>trials ending</t>
        </is>
      </c>
      <c r="B96" t="inlineStr">
        <is>
          <t>EUROPE|BASIC_M</t>
        </is>
      </c>
      <c r="C96" s="5">
        <f>IF(C$2&gt;=Params!$B$6,INDEX($C$94:$BV$94,C$2-Params!$B$6+1),0)</f>
        <v/>
      </c>
      <c r="D96" s="5">
        <f>IF(D$2&gt;=Params!$B$6,INDEX($C$94:$BV$94,D$2-Params!$B$6+1),0)</f>
        <v/>
      </c>
      <c r="E96" s="5">
        <f>IF(E$2&gt;=Params!$B$6,INDEX($C$94:$BV$94,E$2-Params!$B$6+1),0)</f>
        <v/>
      </c>
      <c r="F96" s="5">
        <f>IF(F$2&gt;=Params!$B$6,INDEX($C$94:$BV$94,F$2-Params!$B$6+1),0)</f>
        <v/>
      </c>
      <c r="G96" s="5">
        <f>IF(G$2&gt;=Params!$B$6,INDEX($C$94:$BV$94,G$2-Params!$B$6+1),0)</f>
        <v/>
      </c>
      <c r="H96" s="5">
        <f>IF(H$2&gt;=Params!$B$6,INDEX($C$94:$BV$94,H$2-Params!$B$6+1),0)</f>
        <v/>
      </c>
      <c r="I96" s="5">
        <f>IF(I$2&gt;=Params!$B$6,INDEX($C$94:$BV$94,I$2-Params!$B$6+1),0)</f>
        <v/>
      </c>
      <c r="J96" s="5">
        <f>IF(J$2&gt;=Params!$B$6,INDEX($C$94:$BV$94,J$2-Params!$B$6+1),0)</f>
        <v/>
      </c>
      <c r="K96" s="5">
        <f>IF(K$2&gt;=Params!$B$6,INDEX($C$94:$BV$94,K$2-Params!$B$6+1),0)</f>
        <v/>
      </c>
      <c r="L96" s="5">
        <f>IF(L$2&gt;=Params!$B$6,INDEX($C$94:$BV$94,L$2-Params!$B$6+1),0)</f>
        <v/>
      </c>
      <c r="M96" s="5">
        <f>IF(M$2&gt;=Params!$B$6,INDEX($C$94:$BV$94,M$2-Params!$B$6+1),0)</f>
        <v/>
      </c>
      <c r="N96" s="5">
        <f>IF(N$2&gt;=Params!$B$6,INDEX($C$94:$BV$94,N$2-Params!$B$6+1),0)</f>
        <v/>
      </c>
      <c r="O96" s="5">
        <f>IF(O$2&gt;=Params!$B$6,INDEX($C$94:$BV$94,O$2-Params!$B$6+1),0)</f>
        <v/>
      </c>
      <c r="P96" s="5">
        <f>IF(P$2&gt;=Params!$B$6,INDEX($C$94:$BV$94,P$2-Params!$B$6+1),0)</f>
        <v/>
      </c>
      <c r="Q96" s="5">
        <f>IF(Q$2&gt;=Params!$B$6,INDEX($C$94:$BV$94,Q$2-Params!$B$6+1),0)</f>
        <v/>
      </c>
      <c r="R96" s="5">
        <f>IF(R$2&gt;=Params!$B$6,INDEX($C$94:$BV$94,R$2-Params!$B$6+1),0)</f>
        <v/>
      </c>
      <c r="S96" s="5">
        <f>IF(S$2&gt;=Params!$B$6,INDEX($C$94:$BV$94,S$2-Params!$B$6+1),0)</f>
        <v/>
      </c>
      <c r="T96" s="5">
        <f>IF(T$2&gt;=Params!$B$6,INDEX($C$94:$BV$94,T$2-Params!$B$6+1),0)</f>
        <v/>
      </c>
      <c r="U96" s="5">
        <f>IF(U$2&gt;=Params!$B$6,INDEX($C$94:$BV$94,U$2-Params!$B$6+1),0)</f>
        <v/>
      </c>
      <c r="V96" s="5">
        <f>IF(V$2&gt;=Params!$B$6,INDEX($C$94:$BV$94,V$2-Params!$B$6+1),0)</f>
        <v/>
      </c>
      <c r="W96" s="5">
        <f>IF(W$2&gt;=Params!$B$6,INDEX($C$94:$BV$94,W$2-Params!$B$6+1),0)</f>
        <v/>
      </c>
      <c r="X96" s="5">
        <f>IF(X$2&gt;=Params!$B$6,INDEX($C$94:$BV$94,X$2-Params!$B$6+1),0)</f>
        <v/>
      </c>
      <c r="Y96" s="5">
        <f>IF(Y$2&gt;=Params!$B$6,INDEX($C$94:$BV$94,Y$2-Params!$B$6+1),0)</f>
        <v/>
      </c>
      <c r="Z96" s="5">
        <f>IF(Z$2&gt;=Params!$B$6,INDEX($C$94:$BV$94,Z$2-Params!$B$6+1),0)</f>
        <v/>
      </c>
      <c r="AA96" s="5">
        <f>IF(AA$2&gt;=Params!$B$6,INDEX($C$94:$BV$94,AA$2-Params!$B$6+1),0)</f>
        <v/>
      </c>
      <c r="AB96" s="5">
        <f>IF(AB$2&gt;=Params!$B$6,INDEX($C$94:$BV$94,AB$2-Params!$B$6+1),0)</f>
        <v/>
      </c>
      <c r="AC96" s="5">
        <f>IF(AC$2&gt;=Params!$B$6,INDEX($C$94:$BV$94,AC$2-Params!$B$6+1),0)</f>
        <v/>
      </c>
      <c r="AD96" s="5">
        <f>IF(AD$2&gt;=Params!$B$6,INDEX($C$94:$BV$94,AD$2-Params!$B$6+1),0)</f>
        <v/>
      </c>
      <c r="AE96" s="5">
        <f>IF(AE$2&gt;=Params!$B$6,INDEX($C$94:$BV$94,AE$2-Params!$B$6+1),0)</f>
        <v/>
      </c>
      <c r="AF96" s="5">
        <f>IF(AF$2&gt;=Params!$B$6,INDEX($C$94:$BV$94,AF$2-Params!$B$6+1),0)</f>
        <v/>
      </c>
      <c r="AG96" s="5">
        <f>IF(AG$2&gt;=Params!$B$6,INDEX($C$94:$BV$94,AG$2-Params!$B$6+1),0)</f>
        <v/>
      </c>
      <c r="AH96" s="5">
        <f>IF(AH$2&gt;=Params!$B$6,INDEX($C$94:$BV$94,AH$2-Params!$B$6+1),0)</f>
        <v/>
      </c>
      <c r="AI96" s="5">
        <f>IF(AI$2&gt;=Params!$B$6,INDEX($C$94:$BV$94,AI$2-Params!$B$6+1),0)</f>
        <v/>
      </c>
      <c r="AJ96" s="5">
        <f>IF(AJ$2&gt;=Params!$B$6,INDEX($C$94:$BV$94,AJ$2-Params!$B$6+1),0)</f>
        <v/>
      </c>
      <c r="AK96" s="5">
        <f>IF(AK$2&gt;=Params!$B$6,INDEX($C$94:$BV$94,AK$2-Params!$B$6+1),0)</f>
        <v/>
      </c>
      <c r="AL96" s="5">
        <f>IF(AL$2&gt;=Params!$B$6,INDEX($C$94:$BV$94,AL$2-Params!$B$6+1),0)</f>
        <v/>
      </c>
      <c r="AM96" s="5">
        <f>IF(AM$2&gt;=Params!$B$6,INDEX($C$94:$BV$94,AM$2-Params!$B$6+1),0)</f>
        <v/>
      </c>
      <c r="AN96" s="5">
        <f>IF(AN$2&gt;=Params!$B$6,INDEX($C$94:$BV$94,AN$2-Params!$B$6+1),0)</f>
        <v/>
      </c>
      <c r="AO96" s="5">
        <f>IF(AO$2&gt;=Params!$B$6,INDEX($C$94:$BV$94,AO$2-Params!$B$6+1),0)</f>
        <v/>
      </c>
      <c r="AP96" s="5">
        <f>IF(AP$2&gt;=Params!$B$6,INDEX($C$94:$BV$94,AP$2-Params!$B$6+1),0)</f>
        <v/>
      </c>
      <c r="AQ96" s="5">
        <f>IF(AQ$2&gt;=Params!$B$6,INDEX($C$94:$BV$94,AQ$2-Params!$B$6+1),0)</f>
        <v/>
      </c>
      <c r="AR96" s="5">
        <f>IF(AR$2&gt;=Params!$B$6,INDEX($C$94:$BV$94,AR$2-Params!$B$6+1),0)</f>
        <v/>
      </c>
      <c r="AS96" s="5">
        <f>IF(AS$2&gt;=Params!$B$6,INDEX($C$94:$BV$94,AS$2-Params!$B$6+1),0)</f>
        <v/>
      </c>
      <c r="AT96" s="5">
        <f>IF(AT$2&gt;=Params!$B$6,INDEX($C$94:$BV$94,AT$2-Params!$B$6+1),0)</f>
        <v/>
      </c>
      <c r="AU96" s="5">
        <f>IF(AU$2&gt;=Params!$B$6,INDEX($C$94:$BV$94,AU$2-Params!$B$6+1),0)</f>
        <v/>
      </c>
      <c r="AV96" s="5">
        <f>IF(AV$2&gt;=Params!$B$6,INDEX($C$94:$BV$94,AV$2-Params!$B$6+1),0)</f>
        <v/>
      </c>
      <c r="AW96" s="5">
        <f>IF(AW$2&gt;=Params!$B$6,INDEX($C$94:$BV$94,AW$2-Params!$B$6+1),0)</f>
        <v/>
      </c>
      <c r="AX96" s="5">
        <f>IF(AX$2&gt;=Params!$B$6,INDEX($C$94:$BV$94,AX$2-Params!$B$6+1),0)</f>
        <v/>
      </c>
      <c r="AY96" s="5">
        <f>IF(AY$2&gt;=Params!$B$6,INDEX($C$94:$BV$94,AY$2-Params!$B$6+1),0)</f>
        <v/>
      </c>
      <c r="AZ96" s="5">
        <f>IF(AZ$2&gt;=Params!$B$6,INDEX($C$94:$BV$94,AZ$2-Params!$B$6+1),0)</f>
        <v/>
      </c>
      <c r="BA96" s="5">
        <f>IF(BA$2&gt;=Params!$B$6,INDEX($C$94:$BV$94,BA$2-Params!$B$6+1),0)</f>
        <v/>
      </c>
      <c r="BB96" s="5">
        <f>IF(BB$2&gt;=Params!$B$6,INDEX($C$94:$BV$94,BB$2-Params!$B$6+1),0)</f>
        <v/>
      </c>
      <c r="BC96" s="5">
        <f>IF(BC$2&gt;=Params!$B$6,INDEX($C$94:$BV$94,BC$2-Params!$B$6+1),0)</f>
        <v/>
      </c>
      <c r="BD96" s="5">
        <f>IF(BD$2&gt;=Params!$B$6,INDEX($C$94:$BV$94,BD$2-Params!$B$6+1),0)</f>
        <v/>
      </c>
      <c r="BE96" s="5">
        <f>IF(BE$2&gt;=Params!$B$6,INDEX($C$94:$BV$94,BE$2-Params!$B$6+1),0)</f>
        <v/>
      </c>
      <c r="BF96" s="5">
        <f>IF(BF$2&gt;=Params!$B$6,INDEX($C$94:$BV$94,BF$2-Params!$B$6+1),0)</f>
        <v/>
      </c>
      <c r="BG96" s="5">
        <f>IF(BG$2&gt;=Params!$B$6,INDEX($C$94:$BV$94,BG$2-Params!$B$6+1),0)</f>
        <v/>
      </c>
      <c r="BH96" s="5">
        <f>IF(BH$2&gt;=Params!$B$6,INDEX($C$94:$BV$94,BH$2-Params!$B$6+1),0)</f>
        <v/>
      </c>
      <c r="BI96" s="5">
        <f>IF(BI$2&gt;=Params!$B$6,INDEX($C$94:$BV$94,BI$2-Params!$B$6+1),0)</f>
        <v/>
      </c>
      <c r="BJ96" s="5">
        <f>IF(BJ$2&gt;=Params!$B$6,INDEX($C$94:$BV$94,BJ$2-Params!$B$6+1),0)</f>
        <v/>
      </c>
      <c r="BK96" s="5">
        <f>IF(BK$2&gt;=Params!$B$6,INDEX($C$94:$BV$94,BK$2-Params!$B$6+1),0)</f>
        <v/>
      </c>
      <c r="BL96" s="5">
        <f>IF(BL$2&gt;=Params!$B$6,INDEX($C$94:$BV$94,BL$2-Params!$B$6+1),0)</f>
        <v/>
      </c>
      <c r="BM96" s="5">
        <f>IF(BM$2&gt;=Params!$B$6,INDEX($C$94:$BV$94,BM$2-Params!$B$6+1),0)</f>
        <v/>
      </c>
      <c r="BN96" s="5">
        <f>IF(BN$2&gt;=Params!$B$6,INDEX($C$94:$BV$94,BN$2-Params!$B$6+1),0)</f>
        <v/>
      </c>
      <c r="BO96" s="5">
        <f>IF(BO$2&gt;=Params!$B$6,INDEX($C$94:$BV$94,BO$2-Params!$B$6+1),0)</f>
        <v/>
      </c>
      <c r="BP96" s="5">
        <f>IF(BP$2&gt;=Params!$B$6,INDEX($C$94:$BV$94,BP$2-Params!$B$6+1),0)</f>
        <v/>
      </c>
      <c r="BQ96" s="5">
        <f>IF(BQ$2&gt;=Params!$B$6,INDEX($C$94:$BV$94,BQ$2-Params!$B$6+1),0)</f>
        <v/>
      </c>
      <c r="BR96" s="5">
        <f>IF(BR$2&gt;=Params!$B$6,INDEX($C$94:$BV$94,BR$2-Params!$B$6+1),0)</f>
        <v/>
      </c>
      <c r="BS96" s="5">
        <f>IF(BS$2&gt;=Params!$B$6,INDEX($C$94:$BV$94,BS$2-Params!$B$6+1),0)</f>
        <v/>
      </c>
      <c r="BT96" s="5">
        <f>IF(BT$2&gt;=Params!$B$6,INDEX($C$94:$BV$94,BT$2-Params!$B$6+1),0)</f>
        <v/>
      </c>
      <c r="BU96" s="5">
        <f>IF(BU$2&gt;=Params!$B$6,INDEX($C$94:$BV$94,BU$2-Params!$B$6+1),0)</f>
        <v/>
      </c>
      <c r="BV96" s="5">
        <f>IF(BV$2&gt;=Params!$B$6,INDEX($C$94:$BV$94,BV$2-Params!$B$6+1),0)</f>
        <v/>
      </c>
    </row>
    <row r="97">
      <c r="A97" t="inlineStr">
        <is>
          <t>trial starts x conversion</t>
        </is>
      </c>
      <c r="B97" t="inlineStr">
        <is>
          <t>EUROPE|BASIC_M</t>
        </is>
      </c>
      <c r="C97" s="5">
        <f>C94*Eras!C$9</f>
        <v/>
      </c>
      <c r="D97" s="5">
        <f>D94*Eras!D$9</f>
        <v/>
      </c>
      <c r="E97" s="5">
        <f>E94*Eras!E$9</f>
        <v/>
      </c>
      <c r="F97" s="5">
        <f>F94*Eras!F$9</f>
        <v/>
      </c>
      <c r="G97" s="5">
        <f>G94*Eras!G$9</f>
        <v/>
      </c>
      <c r="H97" s="5">
        <f>H94*Eras!H$9</f>
        <v/>
      </c>
      <c r="I97" s="5">
        <f>I94*Eras!I$9</f>
        <v/>
      </c>
      <c r="J97" s="5">
        <f>J94*Eras!J$9</f>
        <v/>
      </c>
      <c r="K97" s="5">
        <f>K94*Eras!K$9</f>
        <v/>
      </c>
      <c r="L97" s="5">
        <f>L94*Eras!L$9</f>
        <v/>
      </c>
      <c r="M97" s="5">
        <f>M94*Eras!M$9</f>
        <v/>
      </c>
      <c r="N97" s="5">
        <f>N94*Eras!N$9</f>
        <v/>
      </c>
      <c r="O97" s="5">
        <f>O94*Eras!O$9</f>
        <v/>
      </c>
      <c r="P97" s="5">
        <f>P94*Eras!P$9</f>
        <v/>
      </c>
      <c r="Q97" s="5">
        <f>Q94*Eras!Q$9</f>
        <v/>
      </c>
      <c r="R97" s="5">
        <f>R94*Eras!R$9</f>
        <v/>
      </c>
      <c r="S97" s="5">
        <f>S94*Eras!S$9</f>
        <v/>
      </c>
      <c r="T97" s="5">
        <f>T94*Eras!T$9</f>
        <v/>
      </c>
      <c r="U97" s="5">
        <f>U94*Eras!U$9</f>
        <v/>
      </c>
      <c r="V97" s="5">
        <f>V94*Eras!V$9</f>
        <v/>
      </c>
      <c r="W97" s="5">
        <f>W94*Eras!W$9</f>
        <v/>
      </c>
      <c r="X97" s="5">
        <f>X94*Eras!X$9</f>
        <v/>
      </c>
      <c r="Y97" s="5">
        <f>Y94*Eras!Y$9</f>
        <v/>
      </c>
      <c r="Z97" s="5">
        <f>Z94*Eras!Z$9</f>
        <v/>
      </c>
      <c r="AA97" s="5">
        <f>AA94*Eras!AA$9</f>
        <v/>
      </c>
      <c r="AB97" s="5">
        <f>AB94*Eras!AB$9</f>
        <v/>
      </c>
      <c r="AC97" s="5">
        <f>AC94*Eras!AC$9</f>
        <v/>
      </c>
      <c r="AD97" s="5">
        <f>AD94*Eras!AD$9</f>
        <v/>
      </c>
      <c r="AE97" s="5">
        <f>AE94*Eras!AE$9</f>
        <v/>
      </c>
      <c r="AF97" s="5">
        <f>AF94*Eras!AF$9</f>
        <v/>
      </c>
      <c r="AG97" s="5">
        <f>AG94*Eras!AG$9</f>
        <v/>
      </c>
      <c r="AH97" s="5">
        <f>AH94*Eras!AH$9</f>
        <v/>
      </c>
      <c r="AI97" s="5">
        <f>AI94*Eras!AI$9</f>
        <v/>
      </c>
      <c r="AJ97" s="5">
        <f>AJ94*Eras!AJ$9</f>
        <v/>
      </c>
      <c r="AK97" s="5">
        <f>AK94*Eras!AK$9</f>
        <v/>
      </c>
      <c r="AL97" s="5">
        <f>AL94*Eras!AL$9</f>
        <v/>
      </c>
      <c r="AM97" s="5">
        <f>AM94*Eras!AM$9</f>
        <v/>
      </c>
      <c r="AN97" s="5">
        <f>AN94*Eras!AN$9</f>
        <v/>
      </c>
      <c r="AO97" s="5">
        <f>AO94*Eras!AO$9</f>
        <v/>
      </c>
      <c r="AP97" s="5">
        <f>AP94*Eras!AP$9</f>
        <v/>
      </c>
      <c r="AQ97" s="5">
        <f>AQ94*Eras!AQ$9</f>
        <v/>
      </c>
      <c r="AR97" s="5">
        <f>AR94*Eras!AR$9</f>
        <v/>
      </c>
      <c r="AS97" s="5">
        <f>AS94*Eras!AS$9</f>
        <v/>
      </c>
      <c r="AT97" s="5">
        <f>AT94*Eras!AT$9</f>
        <v/>
      </c>
      <c r="AU97" s="5">
        <f>AU94*Eras!AU$9</f>
        <v/>
      </c>
      <c r="AV97" s="5">
        <f>AV94*Eras!AV$9</f>
        <v/>
      </c>
      <c r="AW97" s="5">
        <f>AW94*Eras!AW$9</f>
        <v/>
      </c>
      <c r="AX97" s="5">
        <f>AX94*Eras!AX$9</f>
        <v/>
      </c>
      <c r="AY97" s="5">
        <f>AY94*Eras!AY$9</f>
        <v/>
      </c>
      <c r="AZ97" s="5">
        <f>AZ94*Eras!AZ$9</f>
        <v/>
      </c>
      <c r="BA97" s="5">
        <f>BA94*Eras!BA$9</f>
        <v/>
      </c>
      <c r="BB97" s="5">
        <f>BB94*Eras!BB$9</f>
        <v/>
      </c>
      <c r="BC97" s="5">
        <f>BC94*Eras!BC$9</f>
        <v/>
      </c>
      <c r="BD97" s="5">
        <f>BD94*Eras!BD$9</f>
        <v/>
      </c>
      <c r="BE97" s="5">
        <f>BE94*Eras!BE$9</f>
        <v/>
      </c>
      <c r="BF97" s="5">
        <f>BF94*Eras!BF$9</f>
        <v/>
      </c>
      <c r="BG97" s="5">
        <f>BG94*Eras!BG$9</f>
        <v/>
      </c>
      <c r="BH97" s="5">
        <f>BH94*Eras!BH$9</f>
        <v/>
      </c>
      <c r="BI97" s="5">
        <f>BI94*Eras!BI$9</f>
        <v/>
      </c>
      <c r="BJ97" s="5">
        <f>BJ94*Eras!BJ$9</f>
        <v/>
      </c>
      <c r="BK97" s="5">
        <f>BK94*Eras!BK$9</f>
        <v/>
      </c>
      <c r="BL97" s="5">
        <f>BL94*Eras!BL$9</f>
        <v/>
      </c>
      <c r="BM97" s="5">
        <f>BM94*Eras!BM$9</f>
        <v/>
      </c>
      <c r="BN97" s="5">
        <f>BN94*Eras!BN$9</f>
        <v/>
      </c>
      <c r="BO97" s="5">
        <f>BO94*Eras!BO$9</f>
        <v/>
      </c>
      <c r="BP97" s="5">
        <f>BP94*Eras!BP$9</f>
        <v/>
      </c>
      <c r="BQ97" s="5">
        <f>BQ94*Eras!BQ$9</f>
        <v/>
      </c>
      <c r="BR97" s="5">
        <f>BR94*Eras!BR$9</f>
        <v/>
      </c>
      <c r="BS97" s="5">
        <f>BS94*Eras!BS$9</f>
        <v/>
      </c>
      <c r="BT97" s="5">
        <f>BT94*Eras!BT$9</f>
        <v/>
      </c>
      <c r="BU97" s="5">
        <f>BU94*Eras!BU$9</f>
        <v/>
      </c>
      <c r="BV97" s="5">
        <f>BV94*Eras!BV$9</f>
        <v/>
      </c>
    </row>
    <row r="98">
      <c r="A98" t="inlineStr">
        <is>
          <t>trials converted</t>
        </is>
      </c>
      <c r="B98" t="inlineStr">
        <is>
          <t>EUROPE|BASIC_M</t>
        </is>
      </c>
      <c r="C98" s="5">
        <f>IF(C$2&gt;=Params!$B$6,INDEX($C$97:$BV$97,C$2-Params!$B$6+1),0)</f>
        <v/>
      </c>
      <c r="D98" s="5">
        <f>IF(D$2&gt;=Params!$B$6,INDEX($C$97:$BV$97,D$2-Params!$B$6+1),0)</f>
        <v/>
      </c>
      <c r="E98" s="5">
        <f>IF(E$2&gt;=Params!$B$6,INDEX($C$97:$BV$97,E$2-Params!$B$6+1),0)</f>
        <v/>
      </c>
      <c r="F98" s="5">
        <f>IF(F$2&gt;=Params!$B$6,INDEX($C$97:$BV$97,F$2-Params!$B$6+1),0)</f>
        <v/>
      </c>
      <c r="G98" s="5">
        <f>IF(G$2&gt;=Params!$B$6,INDEX($C$97:$BV$97,G$2-Params!$B$6+1),0)</f>
        <v/>
      </c>
      <c r="H98" s="5">
        <f>IF(H$2&gt;=Params!$B$6,INDEX($C$97:$BV$97,H$2-Params!$B$6+1),0)</f>
        <v/>
      </c>
      <c r="I98" s="5">
        <f>IF(I$2&gt;=Params!$B$6,INDEX($C$97:$BV$97,I$2-Params!$B$6+1),0)</f>
        <v/>
      </c>
      <c r="J98" s="5">
        <f>IF(J$2&gt;=Params!$B$6,INDEX($C$97:$BV$97,J$2-Params!$B$6+1),0)</f>
        <v/>
      </c>
      <c r="K98" s="5">
        <f>IF(K$2&gt;=Params!$B$6,INDEX($C$97:$BV$97,K$2-Params!$B$6+1),0)</f>
        <v/>
      </c>
      <c r="L98" s="5">
        <f>IF(L$2&gt;=Params!$B$6,INDEX($C$97:$BV$97,L$2-Params!$B$6+1),0)</f>
        <v/>
      </c>
      <c r="M98" s="5">
        <f>IF(M$2&gt;=Params!$B$6,INDEX($C$97:$BV$97,M$2-Params!$B$6+1),0)</f>
        <v/>
      </c>
      <c r="N98" s="5">
        <f>IF(N$2&gt;=Params!$B$6,INDEX($C$97:$BV$97,N$2-Params!$B$6+1),0)</f>
        <v/>
      </c>
      <c r="O98" s="5">
        <f>IF(O$2&gt;=Params!$B$6,INDEX($C$97:$BV$97,O$2-Params!$B$6+1),0)</f>
        <v/>
      </c>
      <c r="P98" s="5">
        <f>IF(P$2&gt;=Params!$B$6,INDEX($C$97:$BV$97,P$2-Params!$B$6+1),0)</f>
        <v/>
      </c>
      <c r="Q98" s="5">
        <f>IF(Q$2&gt;=Params!$B$6,INDEX($C$97:$BV$97,Q$2-Params!$B$6+1),0)</f>
        <v/>
      </c>
      <c r="R98" s="5">
        <f>IF(R$2&gt;=Params!$B$6,INDEX($C$97:$BV$97,R$2-Params!$B$6+1),0)</f>
        <v/>
      </c>
      <c r="S98" s="5">
        <f>IF(S$2&gt;=Params!$B$6,INDEX($C$97:$BV$97,S$2-Params!$B$6+1),0)</f>
        <v/>
      </c>
      <c r="T98" s="5">
        <f>IF(T$2&gt;=Params!$B$6,INDEX($C$97:$BV$97,T$2-Params!$B$6+1),0)</f>
        <v/>
      </c>
      <c r="U98" s="5">
        <f>IF(U$2&gt;=Params!$B$6,INDEX($C$97:$BV$97,U$2-Params!$B$6+1),0)</f>
        <v/>
      </c>
      <c r="V98" s="5">
        <f>IF(V$2&gt;=Params!$B$6,INDEX($C$97:$BV$97,V$2-Params!$B$6+1),0)</f>
        <v/>
      </c>
      <c r="W98" s="5">
        <f>IF(W$2&gt;=Params!$B$6,INDEX($C$97:$BV$97,W$2-Params!$B$6+1),0)</f>
        <v/>
      </c>
      <c r="X98" s="5">
        <f>IF(X$2&gt;=Params!$B$6,INDEX($C$97:$BV$97,X$2-Params!$B$6+1),0)</f>
        <v/>
      </c>
      <c r="Y98" s="5">
        <f>IF(Y$2&gt;=Params!$B$6,INDEX($C$97:$BV$97,Y$2-Params!$B$6+1),0)</f>
        <v/>
      </c>
      <c r="Z98" s="5">
        <f>IF(Z$2&gt;=Params!$B$6,INDEX($C$97:$BV$97,Z$2-Params!$B$6+1),0)</f>
        <v/>
      </c>
      <c r="AA98" s="5">
        <f>IF(AA$2&gt;=Params!$B$6,INDEX($C$97:$BV$97,AA$2-Params!$B$6+1),0)</f>
        <v/>
      </c>
      <c r="AB98" s="5">
        <f>IF(AB$2&gt;=Params!$B$6,INDEX($C$97:$BV$97,AB$2-Params!$B$6+1),0)</f>
        <v/>
      </c>
      <c r="AC98" s="5">
        <f>IF(AC$2&gt;=Params!$B$6,INDEX($C$97:$BV$97,AC$2-Params!$B$6+1),0)</f>
        <v/>
      </c>
      <c r="AD98" s="5">
        <f>IF(AD$2&gt;=Params!$B$6,INDEX($C$97:$BV$97,AD$2-Params!$B$6+1),0)</f>
        <v/>
      </c>
      <c r="AE98" s="5">
        <f>IF(AE$2&gt;=Params!$B$6,INDEX($C$97:$BV$97,AE$2-Params!$B$6+1),0)</f>
        <v/>
      </c>
      <c r="AF98" s="5">
        <f>IF(AF$2&gt;=Params!$B$6,INDEX($C$97:$BV$97,AF$2-Params!$B$6+1),0)</f>
        <v/>
      </c>
      <c r="AG98" s="5">
        <f>IF(AG$2&gt;=Params!$B$6,INDEX($C$97:$BV$97,AG$2-Params!$B$6+1),0)</f>
        <v/>
      </c>
      <c r="AH98" s="5">
        <f>IF(AH$2&gt;=Params!$B$6,INDEX($C$97:$BV$97,AH$2-Params!$B$6+1),0)</f>
        <v/>
      </c>
      <c r="AI98" s="5">
        <f>IF(AI$2&gt;=Params!$B$6,INDEX($C$97:$BV$97,AI$2-Params!$B$6+1),0)</f>
        <v/>
      </c>
      <c r="AJ98" s="5">
        <f>IF(AJ$2&gt;=Params!$B$6,INDEX($C$97:$BV$97,AJ$2-Params!$B$6+1),0)</f>
        <v/>
      </c>
      <c r="AK98" s="5">
        <f>IF(AK$2&gt;=Params!$B$6,INDEX($C$97:$BV$97,AK$2-Params!$B$6+1),0)</f>
        <v/>
      </c>
      <c r="AL98" s="5">
        <f>IF(AL$2&gt;=Params!$B$6,INDEX($C$97:$BV$97,AL$2-Params!$B$6+1),0)</f>
        <v/>
      </c>
      <c r="AM98" s="5">
        <f>IF(AM$2&gt;=Params!$B$6,INDEX($C$97:$BV$97,AM$2-Params!$B$6+1),0)</f>
        <v/>
      </c>
      <c r="AN98" s="5">
        <f>IF(AN$2&gt;=Params!$B$6,INDEX($C$97:$BV$97,AN$2-Params!$B$6+1),0)</f>
        <v/>
      </c>
      <c r="AO98" s="5">
        <f>IF(AO$2&gt;=Params!$B$6,INDEX($C$97:$BV$97,AO$2-Params!$B$6+1),0)</f>
        <v/>
      </c>
      <c r="AP98" s="5">
        <f>IF(AP$2&gt;=Params!$B$6,INDEX($C$97:$BV$97,AP$2-Params!$B$6+1),0)</f>
        <v/>
      </c>
      <c r="AQ98" s="5">
        <f>IF(AQ$2&gt;=Params!$B$6,INDEX($C$97:$BV$97,AQ$2-Params!$B$6+1),0)</f>
        <v/>
      </c>
      <c r="AR98" s="5">
        <f>IF(AR$2&gt;=Params!$B$6,INDEX($C$97:$BV$97,AR$2-Params!$B$6+1),0)</f>
        <v/>
      </c>
      <c r="AS98" s="5">
        <f>IF(AS$2&gt;=Params!$B$6,INDEX($C$97:$BV$97,AS$2-Params!$B$6+1),0)</f>
        <v/>
      </c>
      <c r="AT98" s="5">
        <f>IF(AT$2&gt;=Params!$B$6,INDEX($C$97:$BV$97,AT$2-Params!$B$6+1),0)</f>
        <v/>
      </c>
      <c r="AU98" s="5">
        <f>IF(AU$2&gt;=Params!$B$6,INDEX($C$97:$BV$97,AU$2-Params!$B$6+1),0)</f>
        <v/>
      </c>
      <c r="AV98" s="5">
        <f>IF(AV$2&gt;=Params!$B$6,INDEX($C$97:$BV$97,AV$2-Params!$B$6+1),0)</f>
        <v/>
      </c>
      <c r="AW98" s="5">
        <f>IF(AW$2&gt;=Params!$B$6,INDEX($C$97:$BV$97,AW$2-Params!$B$6+1),0)</f>
        <v/>
      </c>
      <c r="AX98" s="5">
        <f>IF(AX$2&gt;=Params!$B$6,INDEX($C$97:$BV$97,AX$2-Params!$B$6+1),0)</f>
        <v/>
      </c>
      <c r="AY98" s="5">
        <f>IF(AY$2&gt;=Params!$B$6,INDEX($C$97:$BV$97,AY$2-Params!$B$6+1),0)</f>
        <v/>
      </c>
      <c r="AZ98" s="5">
        <f>IF(AZ$2&gt;=Params!$B$6,INDEX($C$97:$BV$97,AZ$2-Params!$B$6+1),0)</f>
        <v/>
      </c>
      <c r="BA98" s="5">
        <f>IF(BA$2&gt;=Params!$B$6,INDEX($C$97:$BV$97,BA$2-Params!$B$6+1),0)</f>
        <v/>
      </c>
      <c r="BB98" s="5">
        <f>IF(BB$2&gt;=Params!$B$6,INDEX($C$97:$BV$97,BB$2-Params!$B$6+1),0)</f>
        <v/>
      </c>
      <c r="BC98" s="5">
        <f>IF(BC$2&gt;=Params!$B$6,INDEX($C$97:$BV$97,BC$2-Params!$B$6+1),0)</f>
        <v/>
      </c>
      <c r="BD98" s="5">
        <f>IF(BD$2&gt;=Params!$B$6,INDEX($C$97:$BV$97,BD$2-Params!$B$6+1),0)</f>
        <v/>
      </c>
      <c r="BE98" s="5">
        <f>IF(BE$2&gt;=Params!$B$6,INDEX($C$97:$BV$97,BE$2-Params!$B$6+1),0)</f>
        <v/>
      </c>
      <c r="BF98" s="5">
        <f>IF(BF$2&gt;=Params!$B$6,INDEX($C$97:$BV$97,BF$2-Params!$B$6+1),0)</f>
        <v/>
      </c>
      <c r="BG98" s="5">
        <f>IF(BG$2&gt;=Params!$B$6,INDEX($C$97:$BV$97,BG$2-Params!$B$6+1),0)</f>
        <v/>
      </c>
      <c r="BH98" s="5">
        <f>IF(BH$2&gt;=Params!$B$6,INDEX($C$97:$BV$97,BH$2-Params!$B$6+1),0)</f>
        <v/>
      </c>
      <c r="BI98" s="5">
        <f>IF(BI$2&gt;=Params!$B$6,INDEX($C$97:$BV$97,BI$2-Params!$B$6+1),0)</f>
        <v/>
      </c>
      <c r="BJ98" s="5">
        <f>IF(BJ$2&gt;=Params!$B$6,INDEX($C$97:$BV$97,BJ$2-Params!$B$6+1),0)</f>
        <v/>
      </c>
      <c r="BK98" s="5">
        <f>IF(BK$2&gt;=Params!$B$6,INDEX($C$97:$BV$97,BK$2-Params!$B$6+1),0)</f>
        <v/>
      </c>
      <c r="BL98" s="5">
        <f>IF(BL$2&gt;=Params!$B$6,INDEX($C$97:$BV$97,BL$2-Params!$B$6+1),0)</f>
        <v/>
      </c>
      <c r="BM98" s="5">
        <f>IF(BM$2&gt;=Params!$B$6,INDEX($C$97:$BV$97,BM$2-Params!$B$6+1),0)</f>
        <v/>
      </c>
      <c r="BN98" s="5">
        <f>IF(BN$2&gt;=Params!$B$6,INDEX($C$97:$BV$97,BN$2-Params!$B$6+1),0)</f>
        <v/>
      </c>
      <c r="BO98" s="5">
        <f>IF(BO$2&gt;=Params!$B$6,INDEX($C$97:$BV$97,BO$2-Params!$B$6+1),0)</f>
        <v/>
      </c>
      <c r="BP98" s="5">
        <f>IF(BP$2&gt;=Params!$B$6,INDEX($C$97:$BV$97,BP$2-Params!$B$6+1),0)</f>
        <v/>
      </c>
      <c r="BQ98" s="5">
        <f>IF(BQ$2&gt;=Params!$B$6,INDEX($C$97:$BV$97,BQ$2-Params!$B$6+1),0)</f>
        <v/>
      </c>
      <c r="BR98" s="5">
        <f>IF(BR$2&gt;=Params!$B$6,INDEX($C$97:$BV$97,BR$2-Params!$B$6+1),0)</f>
        <v/>
      </c>
      <c r="BS98" s="5">
        <f>IF(BS$2&gt;=Params!$B$6,INDEX($C$97:$BV$97,BS$2-Params!$B$6+1),0)</f>
        <v/>
      </c>
      <c r="BT98" s="5">
        <f>IF(BT$2&gt;=Params!$B$6,INDEX($C$97:$BV$97,BT$2-Params!$B$6+1),0)</f>
        <v/>
      </c>
      <c r="BU98" s="5">
        <f>IF(BU$2&gt;=Params!$B$6,INDEX($C$97:$BV$97,BU$2-Params!$B$6+1),0)</f>
        <v/>
      </c>
      <c r="BV98" s="5">
        <f>IF(BV$2&gt;=Params!$B$6,INDEX($C$97:$BV$97,BV$2-Params!$B$6+1),0)</f>
        <v/>
      </c>
    </row>
    <row r="99">
      <c r="A99" t="inlineStr">
        <is>
          <t>trials lost</t>
        </is>
      </c>
      <c r="B99" t="inlineStr">
        <is>
          <t>EUROPE|BASIC_M</t>
        </is>
      </c>
      <c r="C99" s="5">
        <f>C96-C98</f>
        <v/>
      </c>
      <c r="D99" s="5">
        <f>D96-D98</f>
        <v/>
      </c>
      <c r="E99" s="5">
        <f>E96-E98</f>
        <v/>
      </c>
      <c r="F99" s="5">
        <f>F96-F98</f>
        <v/>
      </c>
      <c r="G99" s="5">
        <f>G96-G98</f>
        <v/>
      </c>
      <c r="H99" s="5">
        <f>H96-H98</f>
        <v/>
      </c>
      <c r="I99" s="5">
        <f>I96-I98</f>
        <v/>
      </c>
      <c r="J99" s="5">
        <f>J96-J98</f>
        <v/>
      </c>
      <c r="K99" s="5">
        <f>K96-K98</f>
        <v/>
      </c>
      <c r="L99" s="5">
        <f>L96-L98</f>
        <v/>
      </c>
      <c r="M99" s="5">
        <f>M96-M98</f>
        <v/>
      </c>
      <c r="N99" s="5">
        <f>N96-N98</f>
        <v/>
      </c>
      <c r="O99" s="5">
        <f>O96-O98</f>
        <v/>
      </c>
      <c r="P99" s="5">
        <f>P96-P98</f>
        <v/>
      </c>
      <c r="Q99" s="5">
        <f>Q96-Q98</f>
        <v/>
      </c>
      <c r="R99" s="5">
        <f>R96-R98</f>
        <v/>
      </c>
      <c r="S99" s="5">
        <f>S96-S98</f>
        <v/>
      </c>
      <c r="T99" s="5">
        <f>T96-T98</f>
        <v/>
      </c>
      <c r="U99" s="5">
        <f>U96-U98</f>
        <v/>
      </c>
      <c r="V99" s="5">
        <f>V96-V98</f>
        <v/>
      </c>
      <c r="W99" s="5">
        <f>W96-W98</f>
        <v/>
      </c>
      <c r="X99" s="5">
        <f>X96-X98</f>
        <v/>
      </c>
      <c r="Y99" s="5">
        <f>Y96-Y98</f>
        <v/>
      </c>
      <c r="Z99" s="5">
        <f>Z96-Z98</f>
        <v/>
      </c>
      <c r="AA99" s="5">
        <f>AA96-AA98</f>
        <v/>
      </c>
      <c r="AB99" s="5">
        <f>AB96-AB98</f>
        <v/>
      </c>
      <c r="AC99" s="5">
        <f>AC96-AC98</f>
        <v/>
      </c>
      <c r="AD99" s="5">
        <f>AD96-AD98</f>
        <v/>
      </c>
      <c r="AE99" s="5">
        <f>AE96-AE98</f>
        <v/>
      </c>
      <c r="AF99" s="5">
        <f>AF96-AF98</f>
        <v/>
      </c>
      <c r="AG99" s="5">
        <f>AG96-AG98</f>
        <v/>
      </c>
      <c r="AH99" s="5">
        <f>AH96-AH98</f>
        <v/>
      </c>
      <c r="AI99" s="5">
        <f>AI96-AI98</f>
        <v/>
      </c>
      <c r="AJ99" s="5">
        <f>AJ96-AJ98</f>
        <v/>
      </c>
      <c r="AK99" s="5">
        <f>AK96-AK98</f>
        <v/>
      </c>
      <c r="AL99" s="5">
        <f>AL96-AL98</f>
        <v/>
      </c>
      <c r="AM99" s="5">
        <f>AM96-AM98</f>
        <v/>
      </c>
      <c r="AN99" s="5">
        <f>AN96-AN98</f>
        <v/>
      </c>
      <c r="AO99" s="5">
        <f>AO96-AO98</f>
        <v/>
      </c>
      <c r="AP99" s="5">
        <f>AP96-AP98</f>
        <v/>
      </c>
      <c r="AQ99" s="5">
        <f>AQ96-AQ98</f>
        <v/>
      </c>
      <c r="AR99" s="5">
        <f>AR96-AR98</f>
        <v/>
      </c>
      <c r="AS99" s="5">
        <f>AS96-AS98</f>
        <v/>
      </c>
      <c r="AT99" s="5">
        <f>AT96-AT98</f>
        <v/>
      </c>
      <c r="AU99" s="5">
        <f>AU96-AU98</f>
        <v/>
      </c>
      <c r="AV99" s="5">
        <f>AV96-AV98</f>
        <v/>
      </c>
      <c r="AW99" s="5">
        <f>AW96-AW98</f>
        <v/>
      </c>
      <c r="AX99" s="5">
        <f>AX96-AX98</f>
        <v/>
      </c>
      <c r="AY99" s="5">
        <f>AY96-AY98</f>
        <v/>
      </c>
      <c r="AZ99" s="5">
        <f>AZ96-AZ98</f>
        <v/>
      </c>
      <c r="BA99" s="5">
        <f>BA96-BA98</f>
        <v/>
      </c>
      <c r="BB99" s="5">
        <f>BB96-BB98</f>
        <v/>
      </c>
      <c r="BC99" s="5">
        <f>BC96-BC98</f>
        <v/>
      </c>
      <c r="BD99" s="5">
        <f>BD96-BD98</f>
        <v/>
      </c>
      <c r="BE99" s="5">
        <f>BE96-BE98</f>
        <v/>
      </c>
      <c r="BF99" s="5">
        <f>BF96-BF98</f>
        <v/>
      </c>
      <c r="BG99" s="5">
        <f>BG96-BG98</f>
        <v/>
      </c>
      <c r="BH99" s="5">
        <f>BH96-BH98</f>
        <v/>
      </c>
      <c r="BI99" s="5">
        <f>BI96-BI98</f>
        <v/>
      </c>
      <c r="BJ99" s="5">
        <f>BJ96-BJ98</f>
        <v/>
      </c>
      <c r="BK99" s="5">
        <f>BK96-BK98</f>
        <v/>
      </c>
      <c r="BL99" s="5">
        <f>BL96-BL98</f>
        <v/>
      </c>
      <c r="BM99" s="5">
        <f>BM96-BM98</f>
        <v/>
      </c>
      <c r="BN99" s="5">
        <f>BN96-BN98</f>
        <v/>
      </c>
      <c r="BO99" s="5">
        <f>BO96-BO98</f>
        <v/>
      </c>
      <c r="BP99" s="5">
        <f>BP96-BP98</f>
        <v/>
      </c>
      <c r="BQ99" s="5">
        <f>BQ96-BQ98</f>
        <v/>
      </c>
      <c r="BR99" s="5">
        <f>BR96-BR98</f>
        <v/>
      </c>
      <c r="BS99" s="5">
        <f>BS96-BS98</f>
        <v/>
      </c>
      <c r="BT99" s="5">
        <f>BT96-BT98</f>
        <v/>
      </c>
      <c r="BU99" s="5">
        <f>BU96-BU98</f>
        <v/>
      </c>
      <c r="BV99" s="5">
        <f>BV96-BV98</f>
        <v/>
      </c>
    </row>
    <row r="100">
      <c r="A100" t="inlineStr">
        <is>
          <t>cum trial starts</t>
        </is>
      </c>
      <c r="B100" t="inlineStr">
        <is>
          <t>EUROPE|BASIC_M</t>
        </is>
      </c>
      <c r="C100" s="5">
        <f>SUM($C94:C94)</f>
        <v/>
      </c>
      <c r="D100" s="5">
        <f>SUM($C94:D94)</f>
        <v/>
      </c>
      <c r="E100" s="5">
        <f>SUM($C94:E94)</f>
        <v/>
      </c>
      <c r="F100" s="5">
        <f>SUM($C94:F94)</f>
        <v/>
      </c>
      <c r="G100" s="5">
        <f>SUM($C94:G94)</f>
        <v/>
      </c>
      <c r="H100" s="5">
        <f>SUM($C94:H94)</f>
        <v/>
      </c>
      <c r="I100" s="5">
        <f>SUM($C94:I94)</f>
        <v/>
      </c>
      <c r="J100" s="5">
        <f>SUM($C94:J94)</f>
        <v/>
      </c>
      <c r="K100" s="5">
        <f>SUM($C94:K94)</f>
        <v/>
      </c>
      <c r="L100" s="5">
        <f>SUM($C94:L94)</f>
        <v/>
      </c>
      <c r="M100" s="5">
        <f>SUM($C94:M94)</f>
        <v/>
      </c>
      <c r="N100" s="5">
        <f>SUM($C94:N94)</f>
        <v/>
      </c>
      <c r="O100" s="5">
        <f>SUM($C94:O94)</f>
        <v/>
      </c>
      <c r="P100" s="5">
        <f>SUM($C94:P94)</f>
        <v/>
      </c>
      <c r="Q100" s="5">
        <f>SUM($C94:Q94)</f>
        <v/>
      </c>
      <c r="R100" s="5">
        <f>SUM($C94:R94)</f>
        <v/>
      </c>
      <c r="S100" s="5">
        <f>SUM($C94:S94)</f>
        <v/>
      </c>
      <c r="T100" s="5">
        <f>SUM($C94:T94)</f>
        <v/>
      </c>
      <c r="U100" s="5">
        <f>SUM($C94:U94)</f>
        <v/>
      </c>
      <c r="V100" s="5">
        <f>SUM($C94:V94)</f>
        <v/>
      </c>
      <c r="W100" s="5">
        <f>SUM($C94:W94)</f>
        <v/>
      </c>
      <c r="X100" s="5">
        <f>SUM($C94:X94)</f>
        <v/>
      </c>
      <c r="Y100" s="5">
        <f>SUM($C94:Y94)</f>
        <v/>
      </c>
      <c r="Z100" s="5">
        <f>SUM($C94:Z94)</f>
        <v/>
      </c>
      <c r="AA100" s="5">
        <f>SUM($C94:AA94)</f>
        <v/>
      </c>
      <c r="AB100" s="5">
        <f>SUM($C94:AB94)</f>
        <v/>
      </c>
      <c r="AC100" s="5">
        <f>SUM($C94:AC94)</f>
        <v/>
      </c>
      <c r="AD100" s="5">
        <f>SUM($C94:AD94)</f>
        <v/>
      </c>
      <c r="AE100" s="5">
        <f>SUM($C94:AE94)</f>
        <v/>
      </c>
      <c r="AF100" s="5">
        <f>SUM($C94:AF94)</f>
        <v/>
      </c>
      <c r="AG100" s="5">
        <f>SUM($C94:AG94)</f>
        <v/>
      </c>
      <c r="AH100" s="5">
        <f>SUM($C94:AH94)</f>
        <v/>
      </c>
      <c r="AI100" s="5">
        <f>SUM($C94:AI94)</f>
        <v/>
      </c>
      <c r="AJ100" s="5">
        <f>SUM($C94:AJ94)</f>
        <v/>
      </c>
      <c r="AK100" s="5">
        <f>SUM($C94:AK94)</f>
        <v/>
      </c>
      <c r="AL100" s="5">
        <f>SUM($C94:AL94)</f>
        <v/>
      </c>
      <c r="AM100" s="5">
        <f>SUM($C94:AM94)</f>
        <v/>
      </c>
      <c r="AN100" s="5">
        <f>SUM($C94:AN94)</f>
        <v/>
      </c>
      <c r="AO100" s="5">
        <f>SUM($C94:AO94)</f>
        <v/>
      </c>
      <c r="AP100" s="5">
        <f>SUM($C94:AP94)</f>
        <v/>
      </c>
      <c r="AQ100" s="5">
        <f>SUM($C94:AQ94)</f>
        <v/>
      </c>
      <c r="AR100" s="5">
        <f>SUM($C94:AR94)</f>
        <v/>
      </c>
      <c r="AS100" s="5">
        <f>SUM($C94:AS94)</f>
        <v/>
      </c>
      <c r="AT100" s="5">
        <f>SUM($C94:AT94)</f>
        <v/>
      </c>
      <c r="AU100" s="5">
        <f>SUM($C94:AU94)</f>
        <v/>
      </c>
      <c r="AV100" s="5">
        <f>SUM($C94:AV94)</f>
        <v/>
      </c>
      <c r="AW100" s="5">
        <f>SUM($C94:AW94)</f>
        <v/>
      </c>
      <c r="AX100" s="5">
        <f>SUM($C94:AX94)</f>
        <v/>
      </c>
      <c r="AY100" s="5">
        <f>SUM($C94:AY94)</f>
        <v/>
      </c>
      <c r="AZ100" s="5">
        <f>SUM($C94:AZ94)</f>
        <v/>
      </c>
      <c r="BA100" s="5">
        <f>SUM($C94:BA94)</f>
        <v/>
      </c>
      <c r="BB100" s="5">
        <f>SUM($C94:BB94)</f>
        <v/>
      </c>
      <c r="BC100" s="5">
        <f>SUM($C94:BC94)</f>
        <v/>
      </c>
      <c r="BD100" s="5">
        <f>SUM($C94:BD94)</f>
        <v/>
      </c>
      <c r="BE100" s="5">
        <f>SUM($C94:BE94)</f>
        <v/>
      </c>
      <c r="BF100" s="5">
        <f>SUM($C94:BF94)</f>
        <v/>
      </c>
      <c r="BG100" s="5">
        <f>SUM($C94:BG94)</f>
        <v/>
      </c>
      <c r="BH100" s="5">
        <f>SUM($C94:BH94)</f>
        <v/>
      </c>
      <c r="BI100" s="5">
        <f>SUM($C94:BI94)</f>
        <v/>
      </c>
      <c r="BJ100" s="5">
        <f>SUM($C94:BJ94)</f>
        <v/>
      </c>
      <c r="BK100" s="5">
        <f>SUM($C94:BK94)</f>
        <v/>
      </c>
      <c r="BL100" s="5">
        <f>SUM($C94:BL94)</f>
        <v/>
      </c>
      <c r="BM100" s="5">
        <f>SUM($C94:BM94)</f>
        <v/>
      </c>
      <c r="BN100" s="5">
        <f>SUM($C94:BN94)</f>
        <v/>
      </c>
      <c r="BO100" s="5">
        <f>SUM($C94:BO94)</f>
        <v/>
      </c>
      <c r="BP100" s="5">
        <f>SUM($C94:BP94)</f>
        <v/>
      </c>
      <c r="BQ100" s="5">
        <f>SUM($C94:BQ94)</f>
        <v/>
      </c>
      <c r="BR100" s="5">
        <f>SUM($C94:BR94)</f>
        <v/>
      </c>
      <c r="BS100" s="5">
        <f>SUM($C94:BS94)</f>
        <v/>
      </c>
      <c r="BT100" s="5">
        <f>SUM($C94:BT94)</f>
        <v/>
      </c>
      <c r="BU100" s="5">
        <f>SUM($C94:BU94)</f>
        <v/>
      </c>
      <c r="BV100" s="5">
        <f>SUM($C94:BV94)</f>
        <v/>
      </c>
    </row>
    <row r="101">
      <c r="A101" t="inlineStr">
        <is>
          <t>cum trials ending</t>
        </is>
      </c>
      <c r="B101" t="inlineStr">
        <is>
          <t>EUROPE|BASIC_M</t>
        </is>
      </c>
      <c r="C101" s="5">
        <f>SUM($C96:C96)</f>
        <v/>
      </c>
      <c r="D101" s="5">
        <f>SUM($C96:D96)</f>
        <v/>
      </c>
      <c r="E101" s="5">
        <f>SUM($C96:E96)</f>
        <v/>
      </c>
      <c r="F101" s="5">
        <f>SUM($C96:F96)</f>
        <v/>
      </c>
      <c r="G101" s="5">
        <f>SUM($C96:G96)</f>
        <v/>
      </c>
      <c r="H101" s="5">
        <f>SUM($C96:H96)</f>
        <v/>
      </c>
      <c r="I101" s="5">
        <f>SUM($C96:I96)</f>
        <v/>
      </c>
      <c r="J101" s="5">
        <f>SUM($C96:J96)</f>
        <v/>
      </c>
      <c r="K101" s="5">
        <f>SUM($C96:K96)</f>
        <v/>
      </c>
      <c r="L101" s="5">
        <f>SUM($C96:L96)</f>
        <v/>
      </c>
      <c r="M101" s="5">
        <f>SUM($C96:M96)</f>
        <v/>
      </c>
      <c r="N101" s="5">
        <f>SUM($C96:N96)</f>
        <v/>
      </c>
      <c r="O101" s="5">
        <f>SUM($C96:O96)</f>
        <v/>
      </c>
      <c r="P101" s="5">
        <f>SUM($C96:P96)</f>
        <v/>
      </c>
      <c r="Q101" s="5">
        <f>SUM($C96:Q96)</f>
        <v/>
      </c>
      <c r="R101" s="5">
        <f>SUM($C96:R96)</f>
        <v/>
      </c>
      <c r="S101" s="5">
        <f>SUM($C96:S96)</f>
        <v/>
      </c>
      <c r="T101" s="5">
        <f>SUM($C96:T96)</f>
        <v/>
      </c>
      <c r="U101" s="5">
        <f>SUM($C96:U96)</f>
        <v/>
      </c>
      <c r="V101" s="5">
        <f>SUM($C96:V96)</f>
        <v/>
      </c>
      <c r="W101" s="5">
        <f>SUM($C96:W96)</f>
        <v/>
      </c>
      <c r="X101" s="5">
        <f>SUM($C96:X96)</f>
        <v/>
      </c>
      <c r="Y101" s="5">
        <f>SUM($C96:Y96)</f>
        <v/>
      </c>
      <c r="Z101" s="5">
        <f>SUM($C96:Z96)</f>
        <v/>
      </c>
      <c r="AA101" s="5">
        <f>SUM($C96:AA96)</f>
        <v/>
      </c>
      <c r="AB101" s="5">
        <f>SUM($C96:AB96)</f>
        <v/>
      </c>
      <c r="AC101" s="5">
        <f>SUM($C96:AC96)</f>
        <v/>
      </c>
      <c r="AD101" s="5">
        <f>SUM($C96:AD96)</f>
        <v/>
      </c>
      <c r="AE101" s="5">
        <f>SUM($C96:AE96)</f>
        <v/>
      </c>
      <c r="AF101" s="5">
        <f>SUM($C96:AF96)</f>
        <v/>
      </c>
      <c r="AG101" s="5">
        <f>SUM($C96:AG96)</f>
        <v/>
      </c>
      <c r="AH101" s="5">
        <f>SUM($C96:AH96)</f>
        <v/>
      </c>
      <c r="AI101" s="5">
        <f>SUM($C96:AI96)</f>
        <v/>
      </c>
      <c r="AJ101" s="5">
        <f>SUM($C96:AJ96)</f>
        <v/>
      </c>
      <c r="AK101" s="5">
        <f>SUM($C96:AK96)</f>
        <v/>
      </c>
      <c r="AL101" s="5">
        <f>SUM($C96:AL96)</f>
        <v/>
      </c>
      <c r="AM101" s="5">
        <f>SUM($C96:AM96)</f>
        <v/>
      </c>
      <c r="AN101" s="5">
        <f>SUM($C96:AN96)</f>
        <v/>
      </c>
      <c r="AO101" s="5">
        <f>SUM($C96:AO96)</f>
        <v/>
      </c>
      <c r="AP101" s="5">
        <f>SUM($C96:AP96)</f>
        <v/>
      </c>
      <c r="AQ101" s="5">
        <f>SUM($C96:AQ96)</f>
        <v/>
      </c>
      <c r="AR101" s="5">
        <f>SUM($C96:AR96)</f>
        <v/>
      </c>
      <c r="AS101" s="5">
        <f>SUM($C96:AS96)</f>
        <v/>
      </c>
      <c r="AT101" s="5">
        <f>SUM($C96:AT96)</f>
        <v/>
      </c>
      <c r="AU101" s="5">
        <f>SUM($C96:AU96)</f>
        <v/>
      </c>
      <c r="AV101" s="5">
        <f>SUM($C96:AV96)</f>
        <v/>
      </c>
      <c r="AW101" s="5">
        <f>SUM($C96:AW96)</f>
        <v/>
      </c>
      <c r="AX101" s="5">
        <f>SUM($C96:AX96)</f>
        <v/>
      </c>
      <c r="AY101" s="5">
        <f>SUM($C96:AY96)</f>
        <v/>
      </c>
      <c r="AZ101" s="5">
        <f>SUM($C96:AZ96)</f>
        <v/>
      </c>
      <c r="BA101" s="5">
        <f>SUM($C96:BA96)</f>
        <v/>
      </c>
      <c r="BB101" s="5">
        <f>SUM($C96:BB96)</f>
        <v/>
      </c>
      <c r="BC101" s="5">
        <f>SUM($C96:BC96)</f>
        <v/>
      </c>
      <c r="BD101" s="5">
        <f>SUM($C96:BD96)</f>
        <v/>
      </c>
      <c r="BE101" s="5">
        <f>SUM($C96:BE96)</f>
        <v/>
      </c>
      <c r="BF101" s="5">
        <f>SUM($C96:BF96)</f>
        <v/>
      </c>
      <c r="BG101" s="5">
        <f>SUM($C96:BG96)</f>
        <v/>
      </c>
      <c r="BH101" s="5">
        <f>SUM($C96:BH96)</f>
        <v/>
      </c>
      <c r="BI101" s="5">
        <f>SUM($C96:BI96)</f>
        <v/>
      </c>
      <c r="BJ101" s="5">
        <f>SUM($C96:BJ96)</f>
        <v/>
      </c>
      <c r="BK101" s="5">
        <f>SUM($C96:BK96)</f>
        <v/>
      </c>
      <c r="BL101" s="5">
        <f>SUM($C96:BL96)</f>
        <v/>
      </c>
      <c r="BM101" s="5">
        <f>SUM($C96:BM96)</f>
        <v/>
      </c>
      <c r="BN101" s="5">
        <f>SUM($C96:BN96)</f>
        <v/>
      </c>
      <c r="BO101" s="5">
        <f>SUM($C96:BO96)</f>
        <v/>
      </c>
      <c r="BP101" s="5">
        <f>SUM($C96:BP96)</f>
        <v/>
      </c>
      <c r="BQ101" s="5">
        <f>SUM($C96:BQ96)</f>
        <v/>
      </c>
      <c r="BR101" s="5">
        <f>SUM($C96:BR96)</f>
        <v/>
      </c>
      <c r="BS101" s="5">
        <f>SUM($C96:BS96)</f>
        <v/>
      </c>
      <c r="BT101" s="5">
        <f>SUM($C96:BT96)</f>
        <v/>
      </c>
      <c r="BU101" s="5">
        <f>SUM($C96:BU96)</f>
        <v/>
      </c>
      <c r="BV101" s="5">
        <f>SUM($C96:BV96)</f>
        <v/>
      </c>
    </row>
    <row r="102">
      <c r="A102" t="inlineStr">
        <is>
          <t>trials active</t>
        </is>
      </c>
      <c r="B102" t="inlineStr">
        <is>
          <t>EUROPE|BASIC_M</t>
        </is>
      </c>
      <c r="C102" s="5">
        <f>C100-C101</f>
        <v/>
      </c>
      <c r="D102" s="5">
        <f>D100-D101</f>
        <v/>
      </c>
      <c r="E102" s="5">
        <f>E100-E101</f>
        <v/>
      </c>
      <c r="F102" s="5">
        <f>F100-F101</f>
        <v/>
      </c>
      <c r="G102" s="5">
        <f>G100-G101</f>
        <v/>
      </c>
      <c r="H102" s="5">
        <f>H100-H101</f>
        <v/>
      </c>
      <c r="I102" s="5">
        <f>I100-I101</f>
        <v/>
      </c>
      <c r="J102" s="5">
        <f>J100-J101</f>
        <v/>
      </c>
      <c r="K102" s="5">
        <f>K100-K101</f>
        <v/>
      </c>
      <c r="L102" s="5">
        <f>L100-L101</f>
        <v/>
      </c>
      <c r="M102" s="5">
        <f>M100-M101</f>
        <v/>
      </c>
      <c r="N102" s="5">
        <f>N100-N101</f>
        <v/>
      </c>
      <c r="O102" s="5">
        <f>O100-O101</f>
        <v/>
      </c>
      <c r="P102" s="5">
        <f>P100-P101</f>
        <v/>
      </c>
      <c r="Q102" s="5">
        <f>Q100-Q101</f>
        <v/>
      </c>
      <c r="R102" s="5">
        <f>R100-R101</f>
        <v/>
      </c>
      <c r="S102" s="5">
        <f>S100-S101</f>
        <v/>
      </c>
      <c r="T102" s="5">
        <f>T100-T101</f>
        <v/>
      </c>
      <c r="U102" s="5">
        <f>U100-U101</f>
        <v/>
      </c>
      <c r="V102" s="5">
        <f>V100-V101</f>
        <v/>
      </c>
      <c r="W102" s="5">
        <f>W100-W101</f>
        <v/>
      </c>
      <c r="X102" s="5">
        <f>X100-X101</f>
        <v/>
      </c>
      <c r="Y102" s="5">
        <f>Y100-Y101</f>
        <v/>
      </c>
      <c r="Z102" s="5">
        <f>Z100-Z101</f>
        <v/>
      </c>
      <c r="AA102" s="5">
        <f>AA100-AA101</f>
        <v/>
      </c>
      <c r="AB102" s="5">
        <f>AB100-AB101</f>
        <v/>
      </c>
      <c r="AC102" s="5">
        <f>AC100-AC101</f>
        <v/>
      </c>
      <c r="AD102" s="5">
        <f>AD100-AD101</f>
        <v/>
      </c>
      <c r="AE102" s="5">
        <f>AE100-AE101</f>
        <v/>
      </c>
      <c r="AF102" s="5">
        <f>AF100-AF101</f>
        <v/>
      </c>
      <c r="AG102" s="5">
        <f>AG100-AG101</f>
        <v/>
      </c>
      <c r="AH102" s="5">
        <f>AH100-AH101</f>
        <v/>
      </c>
      <c r="AI102" s="5">
        <f>AI100-AI101</f>
        <v/>
      </c>
      <c r="AJ102" s="5">
        <f>AJ100-AJ101</f>
        <v/>
      </c>
      <c r="AK102" s="5">
        <f>AK100-AK101</f>
        <v/>
      </c>
      <c r="AL102" s="5">
        <f>AL100-AL101</f>
        <v/>
      </c>
      <c r="AM102" s="5">
        <f>AM100-AM101</f>
        <v/>
      </c>
      <c r="AN102" s="5">
        <f>AN100-AN101</f>
        <v/>
      </c>
      <c r="AO102" s="5">
        <f>AO100-AO101</f>
        <v/>
      </c>
      <c r="AP102" s="5">
        <f>AP100-AP101</f>
        <v/>
      </c>
      <c r="AQ102" s="5">
        <f>AQ100-AQ101</f>
        <v/>
      </c>
      <c r="AR102" s="5">
        <f>AR100-AR101</f>
        <v/>
      </c>
      <c r="AS102" s="5">
        <f>AS100-AS101</f>
        <v/>
      </c>
      <c r="AT102" s="5">
        <f>AT100-AT101</f>
        <v/>
      </c>
      <c r="AU102" s="5">
        <f>AU100-AU101</f>
        <v/>
      </c>
      <c r="AV102" s="5">
        <f>AV100-AV101</f>
        <v/>
      </c>
      <c r="AW102" s="5">
        <f>AW100-AW101</f>
        <v/>
      </c>
      <c r="AX102" s="5">
        <f>AX100-AX101</f>
        <v/>
      </c>
      <c r="AY102" s="5">
        <f>AY100-AY101</f>
        <v/>
      </c>
      <c r="AZ102" s="5">
        <f>AZ100-AZ101</f>
        <v/>
      </c>
      <c r="BA102" s="5">
        <f>BA100-BA101</f>
        <v/>
      </c>
      <c r="BB102" s="5">
        <f>BB100-BB101</f>
        <v/>
      </c>
      <c r="BC102" s="5">
        <f>BC100-BC101</f>
        <v/>
      </c>
      <c r="BD102" s="5">
        <f>BD100-BD101</f>
        <v/>
      </c>
      <c r="BE102" s="5">
        <f>BE100-BE101</f>
        <v/>
      </c>
      <c r="BF102" s="5">
        <f>BF100-BF101</f>
        <v/>
      </c>
      <c r="BG102" s="5">
        <f>BG100-BG101</f>
        <v/>
      </c>
      <c r="BH102" s="5">
        <f>BH100-BH101</f>
        <v/>
      </c>
      <c r="BI102" s="5">
        <f>BI100-BI101</f>
        <v/>
      </c>
      <c r="BJ102" s="5">
        <f>BJ100-BJ101</f>
        <v/>
      </c>
      <c r="BK102" s="5">
        <f>BK100-BK101</f>
        <v/>
      </c>
      <c r="BL102" s="5">
        <f>BL100-BL101</f>
        <v/>
      </c>
      <c r="BM102" s="5">
        <f>BM100-BM101</f>
        <v/>
      </c>
      <c r="BN102" s="5">
        <f>BN100-BN101</f>
        <v/>
      </c>
      <c r="BO102" s="5">
        <f>BO100-BO101</f>
        <v/>
      </c>
      <c r="BP102" s="5">
        <f>BP100-BP101</f>
        <v/>
      </c>
      <c r="BQ102" s="5">
        <f>BQ100-BQ101</f>
        <v/>
      </c>
      <c r="BR102" s="5">
        <f>BR100-BR101</f>
        <v/>
      </c>
      <c r="BS102" s="5">
        <f>BS100-BS101</f>
        <v/>
      </c>
      <c r="BT102" s="5">
        <f>BT100-BT101</f>
        <v/>
      </c>
      <c r="BU102" s="5">
        <f>BU100-BU101</f>
        <v/>
      </c>
      <c r="BV102" s="5">
        <f>BV100-BV101</f>
        <v/>
      </c>
    </row>
    <row r="103">
      <c r="A103" t="inlineStr">
        <is>
          <t>paid starts</t>
        </is>
      </c>
      <c r="B103" t="inlineStr">
        <is>
          <t>EUROPE|BASIC_M</t>
        </is>
      </c>
      <c r="C103" s="5">
        <f>C95+C98</f>
        <v/>
      </c>
      <c r="D103" s="5">
        <f>D95+D98</f>
        <v/>
      </c>
      <c r="E103" s="5">
        <f>E95+E98</f>
        <v/>
      </c>
      <c r="F103" s="5">
        <f>F95+F98</f>
        <v/>
      </c>
      <c r="G103" s="5">
        <f>G95+G98</f>
        <v/>
      </c>
      <c r="H103" s="5">
        <f>H95+H98</f>
        <v/>
      </c>
      <c r="I103" s="5">
        <f>I95+I98</f>
        <v/>
      </c>
      <c r="J103" s="5">
        <f>J95+J98</f>
        <v/>
      </c>
      <c r="K103" s="5">
        <f>K95+K98</f>
        <v/>
      </c>
      <c r="L103" s="5">
        <f>L95+L98</f>
        <v/>
      </c>
      <c r="M103" s="5">
        <f>M95+M98</f>
        <v/>
      </c>
      <c r="N103" s="5">
        <f>N95+N98</f>
        <v/>
      </c>
      <c r="O103" s="5">
        <f>O95+O98</f>
        <v/>
      </c>
      <c r="P103" s="5">
        <f>P95+P98</f>
        <v/>
      </c>
      <c r="Q103" s="5">
        <f>Q95+Q98</f>
        <v/>
      </c>
      <c r="R103" s="5">
        <f>R95+R98</f>
        <v/>
      </c>
      <c r="S103" s="5">
        <f>S95+S98</f>
        <v/>
      </c>
      <c r="T103" s="5">
        <f>T95+T98</f>
        <v/>
      </c>
      <c r="U103" s="5">
        <f>U95+U98</f>
        <v/>
      </c>
      <c r="V103" s="5">
        <f>V95+V98</f>
        <v/>
      </c>
      <c r="W103" s="5">
        <f>W95+W98</f>
        <v/>
      </c>
      <c r="X103" s="5">
        <f>X95+X98</f>
        <v/>
      </c>
      <c r="Y103" s="5">
        <f>Y95+Y98</f>
        <v/>
      </c>
      <c r="Z103" s="5">
        <f>Z95+Z98</f>
        <v/>
      </c>
      <c r="AA103" s="5">
        <f>AA95+AA98</f>
        <v/>
      </c>
      <c r="AB103" s="5">
        <f>AB95+AB98</f>
        <v/>
      </c>
      <c r="AC103" s="5">
        <f>AC95+AC98</f>
        <v/>
      </c>
      <c r="AD103" s="5">
        <f>AD95+AD98</f>
        <v/>
      </c>
      <c r="AE103" s="5">
        <f>AE95+AE98</f>
        <v/>
      </c>
      <c r="AF103" s="5">
        <f>AF95+AF98</f>
        <v/>
      </c>
      <c r="AG103" s="5">
        <f>AG95+AG98</f>
        <v/>
      </c>
      <c r="AH103" s="5">
        <f>AH95+AH98</f>
        <v/>
      </c>
      <c r="AI103" s="5">
        <f>AI95+AI98</f>
        <v/>
      </c>
      <c r="AJ103" s="5">
        <f>AJ95+AJ98</f>
        <v/>
      </c>
      <c r="AK103" s="5">
        <f>AK95+AK98</f>
        <v/>
      </c>
      <c r="AL103" s="5">
        <f>AL95+AL98</f>
        <v/>
      </c>
      <c r="AM103" s="5">
        <f>AM95+AM98</f>
        <v/>
      </c>
      <c r="AN103" s="5">
        <f>AN95+AN98</f>
        <v/>
      </c>
      <c r="AO103" s="5">
        <f>AO95+AO98</f>
        <v/>
      </c>
      <c r="AP103" s="5">
        <f>AP95+AP98</f>
        <v/>
      </c>
      <c r="AQ103" s="5">
        <f>AQ95+AQ98</f>
        <v/>
      </c>
      <c r="AR103" s="5">
        <f>AR95+AR98</f>
        <v/>
      </c>
      <c r="AS103" s="5">
        <f>AS95+AS98</f>
        <v/>
      </c>
      <c r="AT103" s="5">
        <f>AT95+AT98</f>
        <v/>
      </c>
      <c r="AU103" s="5">
        <f>AU95+AU98</f>
        <v/>
      </c>
      <c r="AV103" s="5">
        <f>AV95+AV98</f>
        <v/>
      </c>
      <c r="AW103" s="5">
        <f>AW95+AW98</f>
        <v/>
      </c>
      <c r="AX103" s="5">
        <f>AX95+AX98</f>
        <v/>
      </c>
      <c r="AY103" s="5">
        <f>AY95+AY98</f>
        <v/>
      </c>
      <c r="AZ103" s="5">
        <f>AZ95+AZ98</f>
        <v/>
      </c>
      <c r="BA103" s="5">
        <f>BA95+BA98</f>
        <v/>
      </c>
      <c r="BB103" s="5">
        <f>BB95+BB98</f>
        <v/>
      </c>
      <c r="BC103" s="5">
        <f>BC95+BC98</f>
        <v/>
      </c>
      <c r="BD103" s="5">
        <f>BD95+BD98</f>
        <v/>
      </c>
      <c r="BE103" s="5">
        <f>BE95+BE98</f>
        <v/>
      </c>
      <c r="BF103" s="5">
        <f>BF95+BF98</f>
        <v/>
      </c>
      <c r="BG103" s="5">
        <f>BG95+BG98</f>
        <v/>
      </c>
      <c r="BH103" s="5">
        <f>BH95+BH98</f>
        <v/>
      </c>
      <c r="BI103" s="5">
        <f>BI95+BI98</f>
        <v/>
      </c>
      <c r="BJ103" s="5">
        <f>BJ95+BJ98</f>
        <v/>
      </c>
      <c r="BK103" s="5">
        <f>BK95+BK98</f>
        <v/>
      </c>
      <c r="BL103" s="5">
        <f>BL95+BL98</f>
        <v/>
      </c>
      <c r="BM103" s="5">
        <f>BM95+BM98</f>
        <v/>
      </c>
      <c r="BN103" s="5">
        <f>BN95+BN98</f>
        <v/>
      </c>
      <c r="BO103" s="5">
        <f>BO95+BO98</f>
        <v/>
      </c>
      <c r="BP103" s="5">
        <f>BP95+BP98</f>
        <v/>
      </c>
      <c r="BQ103" s="5">
        <f>BQ95+BQ98</f>
        <v/>
      </c>
      <c r="BR103" s="5">
        <f>BR95+BR98</f>
        <v/>
      </c>
      <c r="BS103" s="5">
        <f>BS95+BS98</f>
        <v/>
      </c>
      <c r="BT103" s="5">
        <f>BT95+BT98</f>
        <v/>
      </c>
      <c r="BU103" s="5">
        <f>BU95+BU98</f>
        <v/>
      </c>
      <c r="BV103" s="5">
        <f>BV95+BV98</f>
        <v/>
      </c>
    </row>
    <row r="104">
      <c r="A104" t="inlineStr">
        <is>
          <t>paid starts @0</t>
        </is>
      </c>
      <c r="B104" t="inlineStr">
        <is>
          <t>EUROPE|BASIC_M</t>
        </is>
      </c>
      <c r="C104" s="5">
        <f>C103*Eras!C$3</f>
        <v/>
      </c>
      <c r="D104" s="5">
        <f>D103*Eras!D$3</f>
        <v/>
      </c>
      <c r="E104" s="5">
        <f>E103*Eras!E$3</f>
        <v/>
      </c>
      <c r="F104" s="5">
        <f>F103*Eras!F$3</f>
        <v/>
      </c>
      <c r="G104" s="5">
        <f>G103*Eras!G$3</f>
        <v/>
      </c>
      <c r="H104" s="5">
        <f>H103*Eras!H$3</f>
        <v/>
      </c>
      <c r="I104" s="5">
        <f>I103*Eras!I$3</f>
        <v/>
      </c>
      <c r="J104" s="5">
        <f>J103*Eras!J$3</f>
        <v/>
      </c>
      <c r="K104" s="5">
        <f>K103*Eras!K$3</f>
        <v/>
      </c>
      <c r="L104" s="5">
        <f>L103*Eras!L$3</f>
        <v/>
      </c>
      <c r="M104" s="5">
        <f>M103*Eras!M$3</f>
        <v/>
      </c>
      <c r="N104" s="5">
        <f>N103*Eras!N$3</f>
        <v/>
      </c>
      <c r="O104" s="5">
        <f>O103*Eras!O$3</f>
        <v/>
      </c>
      <c r="P104" s="5">
        <f>P103*Eras!P$3</f>
        <v/>
      </c>
      <c r="Q104" s="5">
        <f>Q103*Eras!Q$3</f>
        <v/>
      </c>
      <c r="R104" s="5">
        <f>R103*Eras!R$3</f>
        <v/>
      </c>
      <c r="S104" s="5">
        <f>S103*Eras!S$3</f>
        <v/>
      </c>
      <c r="T104" s="5">
        <f>T103*Eras!T$3</f>
        <v/>
      </c>
      <c r="U104" s="5">
        <f>U103*Eras!U$3</f>
        <v/>
      </c>
      <c r="V104" s="5">
        <f>V103*Eras!V$3</f>
        <v/>
      </c>
      <c r="W104" s="5">
        <f>W103*Eras!W$3</f>
        <v/>
      </c>
      <c r="X104" s="5">
        <f>X103*Eras!X$3</f>
        <v/>
      </c>
      <c r="Y104" s="5">
        <f>Y103*Eras!Y$3</f>
        <v/>
      </c>
      <c r="Z104" s="5">
        <f>Z103*Eras!Z$3</f>
        <v/>
      </c>
      <c r="AA104" s="5">
        <f>AA103*Eras!AA$3</f>
        <v/>
      </c>
      <c r="AB104" s="5">
        <f>AB103*Eras!AB$3</f>
        <v/>
      </c>
      <c r="AC104" s="5">
        <f>AC103*Eras!AC$3</f>
        <v/>
      </c>
      <c r="AD104" s="5">
        <f>AD103*Eras!AD$3</f>
        <v/>
      </c>
      <c r="AE104" s="5">
        <f>AE103*Eras!AE$3</f>
        <v/>
      </c>
      <c r="AF104" s="5">
        <f>AF103*Eras!AF$3</f>
        <v/>
      </c>
      <c r="AG104" s="5">
        <f>AG103*Eras!AG$3</f>
        <v/>
      </c>
      <c r="AH104" s="5">
        <f>AH103*Eras!AH$3</f>
        <v/>
      </c>
      <c r="AI104" s="5">
        <f>AI103*Eras!AI$3</f>
        <v/>
      </c>
      <c r="AJ104" s="5">
        <f>AJ103*Eras!AJ$3</f>
        <v/>
      </c>
      <c r="AK104" s="5">
        <f>AK103*Eras!AK$3</f>
        <v/>
      </c>
      <c r="AL104" s="5">
        <f>AL103*Eras!AL$3</f>
        <v/>
      </c>
      <c r="AM104" s="5">
        <f>AM103*Eras!AM$3</f>
        <v/>
      </c>
      <c r="AN104" s="5">
        <f>AN103*Eras!AN$3</f>
        <v/>
      </c>
      <c r="AO104" s="5">
        <f>AO103*Eras!AO$3</f>
        <v/>
      </c>
      <c r="AP104" s="5">
        <f>AP103*Eras!AP$3</f>
        <v/>
      </c>
      <c r="AQ104" s="5">
        <f>AQ103*Eras!AQ$3</f>
        <v/>
      </c>
      <c r="AR104" s="5">
        <f>AR103*Eras!AR$3</f>
        <v/>
      </c>
      <c r="AS104" s="5">
        <f>AS103*Eras!AS$3</f>
        <v/>
      </c>
      <c r="AT104" s="5">
        <f>AT103*Eras!AT$3</f>
        <v/>
      </c>
      <c r="AU104" s="5">
        <f>AU103*Eras!AU$3</f>
        <v/>
      </c>
      <c r="AV104" s="5">
        <f>AV103*Eras!AV$3</f>
        <v/>
      </c>
      <c r="AW104" s="5">
        <f>AW103*Eras!AW$3</f>
        <v/>
      </c>
      <c r="AX104" s="5">
        <f>AX103*Eras!AX$3</f>
        <v/>
      </c>
      <c r="AY104" s="5">
        <f>AY103*Eras!AY$3</f>
        <v/>
      </c>
      <c r="AZ104" s="5">
        <f>AZ103*Eras!AZ$3</f>
        <v/>
      </c>
      <c r="BA104" s="5">
        <f>BA103*Eras!BA$3</f>
        <v/>
      </c>
      <c r="BB104" s="5">
        <f>BB103*Eras!BB$3</f>
        <v/>
      </c>
      <c r="BC104" s="5">
        <f>BC103*Eras!BC$3</f>
        <v/>
      </c>
      <c r="BD104" s="5">
        <f>BD103*Eras!BD$3</f>
        <v/>
      </c>
      <c r="BE104" s="5">
        <f>BE103*Eras!BE$3</f>
        <v/>
      </c>
      <c r="BF104" s="5">
        <f>BF103*Eras!BF$3</f>
        <v/>
      </c>
      <c r="BG104" s="5">
        <f>BG103*Eras!BG$3</f>
        <v/>
      </c>
      <c r="BH104" s="5">
        <f>BH103*Eras!BH$3</f>
        <v/>
      </c>
      <c r="BI104" s="5">
        <f>BI103*Eras!BI$3</f>
        <v/>
      </c>
      <c r="BJ104" s="5">
        <f>BJ103*Eras!BJ$3</f>
        <v/>
      </c>
      <c r="BK104" s="5">
        <f>BK103*Eras!BK$3</f>
        <v/>
      </c>
      <c r="BL104" s="5">
        <f>BL103*Eras!BL$3</f>
        <v/>
      </c>
      <c r="BM104" s="5">
        <f>BM103*Eras!BM$3</f>
        <v/>
      </c>
      <c r="BN104" s="5">
        <f>BN103*Eras!BN$3</f>
        <v/>
      </c>
      <c r="BO104" s="5">
        <f>BO103*Eras!BO$3</f>
        <v/>
      </c>
      <c r="BP104" s="5">
        <f>BP103*Eras!BP$3</f>
        <v/>
      </c>
      <c r="BQ104" s="5">
        <f>BQ103*Eras!BQ$3</f>
        <v/>
      </c>
      <c r="BR104" s="5">
        <f>BR103*Eras!BR$3</f>
        <v/>
      </c>
      <c r="BS104" s="5">
        <f>BS103*Eras!BS$3</f>
        <v/>
      </c>
      <c r="BT104" s="5">
        <f>BT103*Eras!BT$3</f>
        <v/>
      </c>
      <c r="BU104" s="5">
        <f>BU103*Eras!BU$3</f>
        <v/>
      </c>
      <c r="BV104" s="5">
        <f>BV103*Eras!BV$3</f>
        <v/>
      </c>
    </row>
    <row r="105">
      <c r="A105" t="inlineStr">
        <is>
          <t>paid starts @1</t>
        </is>
      </c>
      <c r="B105" t="inlineStr">
        <is>
          <t>EUROPE|BASIC_M</t>
        </is>
      </c>
      <c r="C105" s="5">
        <f>C103*Eras!C$4</f>
        <v/>
      </c>
      <c r="D105" s="5">
        <f>D103*Eras!D$4</f>
        <v/>
      </c>
      <c r="E105" s="5">
        <f>E103*Eras!E$4</f>
        <v/>
      </c>
      <c r="F105" s="5">
        <f>F103*Eras!F$4</f>
        <v/>
      </c>
      <c r="G105" s="5">
        <f>G103*Eras!G$4</f>
        <v/>
      </c>
      <c r="H105" s="5">
        <f>H103*Eras!H$4</f>
        <v/>
      </c>
      <c r="I105" s="5">
        <f>I103*Eras!I$4</f>
        <v/>
      </c>
      <c r="J105" s="5">
        <f>J103*Eras!J$4</f>
        <v/>
      </c>
      <c r="K105" s="5">
        <f>K103*Eras!K$4</f>
        <v/>
      </c>
      <c r="L105" s="5">
        <f>L103*Eras!L$4</f>
        <v/>
      </c>
      <c r="M105" s="5">
        <f>M103*Eras!M$4</f>
        <v/>
      </c>
      <c r="N105" s="5">
        <f>N103*Eras!N$4</f>
        <v/>
      </c>
      <c r="O105" s="5">
        <f>O103*Eras!O$4</f>
        <v/>
      </c>
      <c r="P105" s="5">
        <f>P103*Eras!P$4</f>
        <v/>
      </c>
      <c r="Q105" s="5">
        <f>Q103*Eras!Q$4</f>
        <v/>
      </c>
      <c r="R105" s="5">
        <f>R103*Eras!R$4</f>
        <v/>
      </c>
      <c r="S105" s="5">
        <f>S103*Eras!S$4</f>
        <v/>
      </c>
      <c r="T105" s="5">
        <f>T103*Eras!T$4</f>
        <v/>
      </c>
      <c r="U105" s="5">
        <f>U103*Eras!U$4</f>
        <v/>
      </c>
      <c r="V105" s="5">
        <f>V103*Eras!V$4</f>
        <v/>
      </c>
      <c r="W105" s="5">
        <f>W103*Eras!W$4</f>
        <v/>
      </c>
      <c r="X105" s="5">
        <f>X103*Eras!X$4</f>
        <v/>
      </c>
      <c r="Y105" s="5">
        <f>Y103*Eras!Y$4</f>
        <v/>
      </c>
      <c r="Z105" s="5">
        <f>Z103*Eras!Z$4</f>
        <v/>
      </c>
      <c r="AA105" s="5">
        <f>AA103*Eras!AA$4</f>
        <v/>
      </c>
      <c r="AB105" s="5">
        <f>AB103*Eras!AB$4</f>
        <v/>
      </c>
      <c r="AC105" s="5">
        <f>AC103*Eras!AC$4</f>
        <v/>
      </c>
      <c r="AD105" s="5">
        <f>AD103*Eras!AD$4</f>
        <v/>
      </c>
      <c r="AE105" s="5">
        <f>AE103*Eras!AE$4</f>
        <v/>
      </c>
      <c r="AF105" s="5">
        <f>AF103*Eras!AF$4</f>
        <v/>
      </c>
      <c r="AG105" s="5">
        <f>AG103*Eras!AG$4</f>
        <v/>
      </c>
      <c r="AH105" s="5">
        <f>AH103*Eras!AH$4</f>
        <v/>
      </c>
      <c r="AI105" s="5">
        <f>AI103*Eras!AI$4</f>
        <v/>
      </c>
      <c r="AJ105" s="5">
        <f>AJ103*Eras!AJ$4</f>
        <v/>
      </c>
      <c r="AK105" s="5">
        <f>AK103*Eras!AK$4</f>
        <v/>
      </c>
      <c r="AL105" s="5">
        <f>AL103*Eras!AL$4</f>
        <v/>
      </c>
      <c r="AM105" s="5">
        <f>AM103*Eras!AM$4</f>
        <v/>
      </c>
      <c r="AN105" s="5">
        <f>AN103*Eras!AN$4</f>
        <v/>
      </c>
      <c r="AO105" s="5">
        <f>AO103*Eras!AO$4</f>
        <v/>
      </c>
      <c r="AP105" s="5">
        <f>AP103*Eras!AP$4</f>
        <v/>
      </c>
      <c r="AQ105" s="5">
        <f>AQ103*Eras!AQ$4</f>
        <v/>
      </c>
      <c r="AR105" s="5">
        <f>AR103*Eras!AR$4</f>
        <v/>
      </c>
      <c r="AS105" s="5">
        <f>AS103*Eras!AS$4</f>
        <v/>
      </c>
      <c r="AT105" s="5">
        <f>AT103*Eras!AT$4</f>
        <v/>
      </c>
      <c r="AU105" s="5">
        <f>AU103*Eras!AU$4</f>
        <v/>
      </c>
      <c r="AV105" s="5">
        <f>AV103*Eras!AV$4</f>
        <v/>
      </c>
      <c r="AW105" s="5">
        <f>AW103*Eras!AW$4</f>
        <v/>
      </c>
      <c r="AX105" s="5">
        <f>AX103*Eras!AX$4</f>
        <v/>
      </c>
      <c r="AY105" s="5">
        <f>AY103*Eras!AY$4</f>
        <v/>
      </c>
      <c r="AZ105" s="5">
        <f>AZ103*Eras!AZ$4</f>
        <v/>
      </c>
      <c r="BA105" s="5">
        <f>BA103*Eras!BA$4</f>
        <v/>
      </c>
      <c r="BB105" s="5">
        <f>BB103*Eras!BB$4</f>
        <v/>
      </c>
      <c r="BC105" s="5">
        <f>BC103*Eras!BC$4</f>
        <v/>
      </c>
      <c r="BD105" s="5">
        <f>BD103*Eras!BD$4</f>
        <v/>
      </c>
      <c r="BE105" s="5">
        <f>BE103*Eras!BE$4</f>
        <v/>
      </c>
      <c r="BF105" s="5">
        <f>BF103*Eras!BF$4</f>
        <v/>
      </c>
      <c r="BG105" s="5">
        <f>BG103*Eras!BG$4</f>
        <v/>
      </c>
      <c r="BH105" s="5">
        <f>BH103*Eras!BH$4</f>
        <v/>
      </c>
      <c r="BI105" s="5">
        <f>BI103*Eras!BI$4</f>
        <v/>
      </c>
      <c r="BJ105" s="5">
        <f>BJ103*Eras!BJ$4</f>
        <v/>
      </c>
      <c r="BK105" s="5">
        <f>BK103*Eras!BK$4</f>
        <v/>
      </c>
      <c r="BL105" s="5">
        <f>BL103*Eras!BL$4</f>
        <v/>
      </c>
      <c r="BM105" s="5">
        <f>BM103*Eras!BM$4</f>
        <v/>
      </c>
      <c r="BN105" s="5">
        <f>BN103*Eras!BN$4</f>
        <v/>
      </c>
      <c r="BO105" s="5">
        <f>BO103*Eras!BO$4</f>
        <v/>
      </c>
      <c r="BP105" s="5">
        <f>BP103*Eras!BP$4</f>
        <v/>
      </c>
      <c r="BQ105" s="5">
        <f>BQ103*Eras!BQ$4</f>
        <v/>
      </c>
      <c r="BR105" s="5">
        <f>BR103*Eras!BR$4</f>
        <v/>
      </c>
      <c r="BS105" s="5">
        <f>BS103*Eras!BS$4</f>
        <v/>
      </c>
      <c r="BT105" s="5">
        <f>BT103*Eras!BT$4</f>
        <v/>
      </c>
      <c r="BU105" s="5">
        <f>BU103*Eras!BU$4</f>
        <v/>
      </c>
      <c r="BV105" s="5">
        <f>BV103*Eras!BV$4</f>
        <v/>
      </c>
    </row>
    <row r="106">
      <c r="A106" t="inlineStr">
        <is>
          <t>paid starts @2</t>
        </is>
      </c>
      <c r="B106" t="inlineStr">
        <is>
          <t>EUROPE|BASIC_M</t>
        </is>
      </c>
      <c r="C106" s="5">
        <f>C103*Eras!C$5</f>
        <v/>
      </c>
      <c r="D106" s="5">
        <f>D103*Eras!D$5</f>
        <v/>
      </c>
      <c r="E106" s="5">
        <f>E103*Eras!E$5</f>
        <v/>
      </c>
      <c r="F106" s="5">
        <f>F103*Eras!F$5</f>
        <v/>
      </c>
      <c r="G106" s="5">
        <f>G103*Eras!G$5</f>
        <v/>
      </c>
      <c r="H106" s="5">
        <f>H103*Eras!H$5</f>
        <v/>
      </c>
      <c r="I106" s="5">
        <f>I103*Eras!I$5</f>
        <v/>
      </c>
      <c r="J106" s="5">
        <f>J103*Eras!J$5</f>
        <v/>
      </c>
      <c r="K106" s="5">
        <f>K103*Eras!K$5</f>
        <v/>
      </c>
      <c r="L106" s="5">
        <f>L103*Eras!L$5</f>
        <v/>
      </c>
      <c r="M106" s="5">
        <f>M103*Eras!M$5</f>
        <v/>
      </c>
      <c r="N106" s="5">
        <f>N103*Eras!N$5</f>
        <v/>
      </c>
      <c r="O106" s="5">
        <f>O103*Eras!O$5</f>
        <v/>
      </c>
      <c r="P106" s="5">
        <f>P103*Eras!P$5</f>
        <v/>
      </c>
      <c r="Q106" s="5">
        <f>Q103*Eras!Q$5</f>
        <v/>
      </c>
      <c r="R106" s="5">
        <f>R103*Eras!R$5</f>
        <v/>
      </c>
      <c r="S106" s="5">
        <f>S103*Eras!S$5</f>
        <v/>
      </c>
      <c r="T106" s="5">
        <f>T103*Eras!T$5</f>
        <v/>
      </c>
      <c r="U106" s="5">
        <f>U103*Eras!U$5</f>
        <v/>
      </c>
      <c r="V106" s="5">
        <f>V103*Eras!V$5</f>
        <v/>
      </c>
      <c r="W106" s="5">
        <f>W103*Eras!W$5</f>
        <v/>
      </c>
      <c r="X106" s="5">
        <f>X103*Eras!X$5</f>
        <v/>
      </c>
      <c r="Y106" s="5">
        <f>Y103*Eras!Y$5</f>
        <v/>
      </c>
      <c r="Z106" s="5">
        <f>Z103*Eras!Z$5</f>
        <v/>
      </c>
      <c r="AA106" s="5">
        <f>AA103*Eras!AA$5</f>
        <v/>
      </c>
      <c r="AB106" s="5">
        <f>AB103*Eras!AB$5</f>
        <v/>
      </c>
      <c r="AC106" s="5">
        <f>AC103*Eras!AC$5</f>
        <v/>
      </c>
      <c r="AD106" s="5">
        <f>AD103*Eras!AD$5</f>
        <v/>
      </c>
      <c r="AE106" s="5">
        <f>AE103*Eras!AE$5</f>
        <v/>
      </c>
      <c r="AF106" s="5">
        <f>AF103*Eras!AF$5</f>
        <v/>
      </c>
      <c r="AG106" s="5">
        <f>AG103*Eras!AG$5</f>
        <v/>
      </c>
      <c r="AH106" s="5">
        <f>AH103*Eras!AH$5</f>
        <v/>
      </c>
      <c r="AI106" s="5">
        <f>AI103*Eras!AI$5</f>
        <v/>
      </c>
      <c r="AJ106" s="5">
        <f>AJ103*Eras!AJ$5</f>
        <v/>
      </c>
      <c r="AK106" s="5">
        <f>AK103*Eras!AK$5</f>
        <v/>
      </c>
      <c r="AL106" s="5">
        <f>AL103*Eras!AL$5</f>
        <v/>
      </c>
      <c r="AM106" s="5">
        <f>AM103*Eras!AM$5</f>
        <v/>
      </c>
      <c r="AN106" s="5">
        <f>AN103*Eras!AN$5</f>
        <v/>
      </c>
      <c r="AO106" s="5">
        <f>AO103*Eras!AO$5</f>
        <v/>
      </c>
      <c r="AP106" s="5">
        <f>AP103*Eras!AP$5</f>
        <v/>
      </c>
      <c r="AQ106" s="5">
        <f>AQ103*Eras!AQ$5</f>
        <v/>
      </c>
      <c r="AR106" s="5">
        <f>AR103*Eras!AR$5</f>
        <v/>
      </c>
      <c r="AS106" s="5">
        <f>AS103*Eras!AS$5</f>
        <v/>
      </c>
      <c r="AT106" s="5">
        <f>AT103*Eras!AT$5</f>
        <v/>
      </c>
      <c r="AU106" s="5">
        <f>AU103*Eras!AU$5</f>
        <v/>
      </c>
      <c r="AV106" s="5">
        <f>AV103*Eras!AV$5</f>
        <v/>
      </c>
      <c r="AW106" s="5">
        <f>AW103*Eras!AW$5</f>
        <v/>
      </c>
      <c r="AX106" s="5">
        <f>AX103*Eras!AX$5</f>
        <v/>
      </c>
      <c r="AY106" s="5">
        <f>AY103*Eras!AY$5</f>
        <v/>
      </c>
      <c r="AZ106" s="5">
        <f>AZ103*Eras!AZ$5</f>
        <v/>
      </c>
      <c r="BA106" s="5">
        <f>BA103*Eras!BA$5</f>
        <v/>
      </c>
      <c r="BB106" s="5">
        <f>BB103*Eras!BB$5</f>
        <v/>
      </c>
      <c r="BC106" s="5">
        <f>BC103*Eras!BC$5</f>
        <v/>
      </c>
      <c r="BD106" s="5">
        <f>BD103*Eras!BD$5</f>
        <v/>
      </c>
      <c r="BE106" s="5">
        <f>BE103*Eras!BE$5</f>
        <v/>
      </c>
      <c r="BF106" s="5">
        <f>BF103*Eras!BF$5</f>
        <v/>
      </c>
      <c r="BG106" s="5">
        <f>BG103*Eras!BG$5</f>
        <v/>
      </c>
      <c r="BH106" s="5">
        <f>BH103*Eras!BH$5</f>
        <v/>
      </c>
      <c r="BI106" s="5">
        <f>BI103*Eras!BI$5</f>
        <v/>
      </c>
      <c r="BJ106" s="5">
        <f>BJ103*Eras!BJ$5</f>
        <v/>
      </c>
      <c r="BK106" s="5">
        <f>BK103*Eras!BK$5</f>
        <v/>
      </c>
      <c r="BL106" s="5">
        <f>BL103*Eras!BL$5</f>
        <v/>
      </c>
      <c r="BM106" s="5">
        <f>BM103*Eras!BM$5</f>
        <v/>
      </c>
      <c r="BN106" s="5">
        <f>BN103*Eras!BN$5</f>
        <v/>
      </c>
      <c r="BO106" s="5">
        <f>BO103*Eras!BO$5</f>
        <v/>
      </c>
      <c r="BP106" s="5">
        <f>BP103*Eras!BP$5</f>
        <v/>
      </c>
      <c r="BQ106" s="5">
        <f>BQ103*Eras!BQ$5</f>
        <v/>
      </c>
      <c r="BR106" s="5">
        <f>BR103*Eras!BR$5</f>
        <v/>
      </c>
      <c r="BS106" s="5">
        <f>BS103*Eras!BS$5</f>
        <v/>
      </c>
      <c r="BT106" s="5">
        <f>BT103*Eras!BT$5</f>
        <v/>
      </c>
      <c r="BU106" s="5">
        <f>BU103*Eras!BU$5</f>
        <v/>
      </c>
      <c r="BV106" s="5">
        <f>BV103*Eras!BV$5</f>
        <v/>
      </c>
    </row>
    <row r="108">
      <c r="A108" t="inlineStr">
        <is>
          <t>gross adds</t>
        </is>
      </c>
      <c r="B108" t="inlineStr">
        <is>
          <t>EUROPE|BASIC_A</t>
        </is>
      </c>
      <c r="C108" s="5">
        <f>MAU!C5*Params!$B$58*Eras!C$7*Params!$B$130*Params!$B$95</f>
        <v/>
      </c>
      <c r="D108" s="5">
        <f>MAU!D5*Params!$B$58*Eras!D$7*Params!$B$130*Params!$B$95</f>
        <v/>
      </c>
      <c r="E108" s="5">
        <f>MAU!E5*Params!$B$58*Eras!E$7*Params!$B$130*Params!$B$95</f>
        <v/>
      </c>
      <c r="F108" s="5">
        <f>MAU!F5*Params!$B$58*Eras!F$7*Params!$B$130*Params!$B$95</f>
        <v/>
      </c>
      <c r="G108" s="5">
        <f>MAU!G5*Params!$B$58*Eras!G$7*Params!$B$130*Params!$B$95</f>
        <v/>
      </c>
      <c r="H108" s="5">
        <f>MAU!H5*Params!$B$58*Eras!H$7*Params!$B$130*Params!$B$95</f>
        <v/>
      </c>
      <c r="I108" s="5">
        <f>MAU!I5*Params!$B$58*Eras!I$7*Params!$B$130*Params!$B$95</f>
        <v/>
      </c>
      <c r="J108" s="5">
        <f>MAU!J5*Params!$B$58*Eras!J$7*Params!$B$130*Params!$B$95</f>
        <v/>
      </c>
      <c r="K108" s="5">
        <f>MAU!K5*Params!$B$58*Eras!K$7*Params!$B$130*Params!$B$95</f>
        <v/>
      </c>
      <c r="L108" s="5">
        <f>MAU!L5*Params!$B$58*Eras!L$7*Params!$B$130*Params!$B$95</f>
        <v/>
      </c>
      <c r="M108" s="5">
        <f>MAU!M5*Params!$B$58*Eras!M$7*Params!$B$130*Params!$B$95</f>
        <v/>
      </c>
      <c r="N108" s="5">
        <f>MAU!N5*Params!$B$58*Eras!N$7*Params!$B$130*Params!$B$95</f>
        <v/>
      </c>
      <c r="O108" s="5">
        <f>MAU!O5*Params!$B$58*Eras!O$7*Params!$B$130*Params!$B$95</f>
        <v/>
      </c>
      <c r="P108" s="5">
        <f>MAU!P5*Params!$B$58*Eras!P$7*Params!$B$130*Params!$B$95</f>
        <v/>
      </c>
      <c r="Q108" s="5">
        <f>MAU!Q5*Params!$B$58*Eras!Q$7*Params!$B$130*Params!$B$95</f>
        <v/>
      </c>
      <c r="R108" s="5">
        <f>MAU!R5*Params!$B$58*Eras!R$7*Params!$B$130*Params!$B$95</f>
        <v/>
      </c>
      <c r="S108" s="5">
        <f>MAU!S5*Params!$B$58*Eras!S$7*Params!$B$130*Params!$B$95</f>
        <v/>
      </c>
      <c r="T108" s="5">
        <f>MAU!T5*Params!$B$58*Eras!T$7*Params!$B$130*Params!$B$95</f>
        <v/>
      </c>
      <c r="U108" s="5">
        <f>MAU!U5*Params!$B$58*Eras!U$7*Params!$B$130*Params!$B$95</f>
        <v/>
      </c>
      <c r="V108" s="5">
        <f>MAU!V5*Params!$B$58*Eras!V$7*Params!$B$130*Params!$B$95</f>
        <v/>
      </c>
      <c r="W108" s="5">
        <f>MAU!W5*Params!$B$58*Eras!W$7*Params!$B$130*Params!$B$95</f>
        <v/>
      </c>
      <c r="X108" s="5">
        <f>MAU!X5*Params!$B$58*Eras!X$7*Params!$B$130*Params!$B$95</f>
        <v/>
      </c>
      <c r="Y108" s="5">
        <f>MAU!Y5*Params!$B$58*Eras!Y$7*Params!$B$130*Params!$B$95</f>
        <v/>
      </c>
      <c r="Z108" s="5">
        <f>MAU!Z5*Params!$B$58*Eras!Z$7*Params!$B$130*Params!$B$95</f>
        <v/>
      </c>
      <c r="AA108" s="5">
        <f>MAU!AA5*Params!$B$58*Eras!AA$7*Params!$B$130*Params!$B$95</f>
        <v/>
      </c>
      <c r="AB108" s="5">
        <f>MAU!AB5*Params!$B$58*Eras!AB$7*Params!$B$130*Params!$B$95</f>
        <v/>
      </c>
      <c r="AC108" s="5">
        <f>MAU!AC5*Params!$B$58*Eras!AC$7*Params!$B$130*Params!$B$95</f>
        <v/>
      </c>
      <c r="AD108" s="5">
        <f>MAU!AD5*Params!$B$58*Eras!AD$7*Params!$B$130*Params!$B$95</f>
        <v/>
      </c>
      <c r="AE108" s="5">
        <f>MAU!AE5*Params!$B$58*Eras!AE$7*Params!$B$130*Params!$B$95</f>
        <v/>
      </c>
      <c r="AF108" s="5">
        <f>MAU!AF5*Params!$B$58*Eras!AF$7*Params!$B$130*Params!$B$95</f>
        <v/>
      </c>
      <c r="AG108" s="5">
        <f>MAU!AG5*Params!$B$58*Eras!AG$7*Params!$B$130*Params!$B$95</f>
        <v/>
      </c>
      <c r="AH108" s="5">
        <f>MAU!AH5*Params!$B$58*Eras!AH$7*Params!$B$130*Params!$B$95</f>
        <v/>
      </c>
      <c r="AI108" s="5">
        <f>MAU!AI5*Params!$B$58*Eras!AI$7*Params!$B$130*Params!$B$95</f>
        <v/>
      </c>
      <c r="AJ108" s="5">
        <f>MAU!AJ5*Params!$B$58*Eras!AJ$7*Params!$B$130*Params!$B$95</f>
        <v/>
      </c>
      <c r="AK108" s="5">
        <f>MAU!AK5*Params!$B$58*Eras!AK$7*Params!$B$130*Params!$B$95</f>
        <v/>
      </c>
      <c r="AL108" s="5">
        <f>MAU!AL5*Params!$B$58*Eras!AL$7*Params!$B$130*Params!$B$95</f>
        <v/>
      </c>
      <c r="AM108" s="5">
        <f>MAU!AM5*Params!$B$58*Eras!AM$7*Params!$B$130*Params!$B$95</f>
        <v/>
      </c>
      <c r="AN108" s="5">
        <f>MAU!AN5*Params!$B$58*Eras!AN$7*Params!$B$130*Params!$B$95</f>
        <v/>
      </c>
      <c r="AO108" s="5">
        <f>MAU!AO5*Params!$B$58*Eras!AO$7*Params!$B$130*Params!$B$95</f>
        <v/>
      </c>
      <c r="AP108" s="5">
        <f>MAU!AP5*Params!$B$58*Eras!AP$7*Params!$B$130*Params!$B$95</f>
        <v/>
      </c>
      <c r="AQ108" s="5">
        <f>MAU!AQ5*Params!$B$58*Eras!AQ$7*Params!$B$130*Params!$B$95</f>
        <v/>
      </c>
      <c r="AR108" s="5">
        <f>MAU!AR5*Params!$B$58*Eras!AR$7*Params!$B$130*Params!$B$95</f>
        <v/>
      </c>
      <c r="AS108" s="5">
        <f>MAU!AS5*Params!$B$58*Eras!AS$7*Params!$B$130*Params!$B$95</f>
        <v/>
      </c>
      <c r="AT108" s="5">
        <f>MAU!AT5*Params!$B$58*Eras!AT$7*Params!$B$130*Params!$B$95</f>
        <v/>
      </c>
      <c r="AU108" s="5">
        <f>MAU!AU5*Params!$B$58*Eras!AU$7*Params!$B$130*Params!$B$95</f>
        <v/>
      </c>
      <c r="AV108" s="5">
        <f>MAU!AV5*Params!$B$58*Eras!AV$7*Params!$B$130*Params!$B$95</f>
        <v/>
      </c>
      <c r="AW108" s="5">
        <f>MAU!AW5*Params!$B$58*Eras!AW$7*Params!$B$130*Params!$B$95</f>
        <v/>
      </c>
      <c r="AX108" s="5">
        <f>MAU!AX5*Params!$B$58*Eras!AX$7*Params!$B$130*Params!$B$95</f>
        <v/>
      </c>
      <c r="AY108" s="5">
        <f>MAU!AY5*Params!$B$58*Eras!AY$7*Params!$B$130*Params!$B$95</f>
        <v/>
      </c>
      <c r="AZ108" s="5">
        <f>MAU!AZ5*Params!$B$58*Eras!AZ$7*Params!$B$130*Params!$B$95</f>
        <v/>
      </c>
      <c r="BA108" s="5">
        <f>MAU!BA5*Params!$B$58*Eras!BA$7*Params!$B$130*Params!$B$95</f>
        <v/>
      </c>
      <c r="BB108" s="5">
        <f>MAU!BB5*Params!$B$58*Eras!BB$7*Params!$B$130*Params!$B$95</f>
        <v/>
      </c>
      <c r="BC108" s="5">
        <f>MAU!BC5*Params!$B$58*Eras!BC$7*Params!$B$130*Params!$B$95</f>
        <v/>
      </c>
      <c r="BD108" s="5">
        <f>MAU!BD5*Params!$B$58*Eras!BD$7*Params!$B$130*Params!$B$95</f>
        <v/>
      </c>
      <c r="BE108" s="5">
        <f>MAU!BE5*Params!$B$58*Eras!BE$7*Params!$B$130*Params!$B$95</f>
        <v/>
      </c>
      <c r="BF108" s="5">
        <f>MAU!BF5*Params!$B$58*Eras!BF$7*Params!$B$130*Params!$B$95</f>
        <v/>
      </c>
      <c r="BG108" s="5">
        <f>MAU!BG5*Params!$B$58*Eras!BG$7*Params!$B$130*Params!$B$95</f>
        <v/>
      </c>
      <c r="BH108" s="5">
        <f>MAU!BH5*Params!$B$58*Eras!BH$7*Params!$B$130*Params!$B$95</f>
        <v/>
      </c>
      <c r="BI108" s="5">
        <f>MAU!BI5*Params!$B$58*Eras!BI$7*Params!$B$130*Params!$B$95</f>
        <v/>
      </c>
      <c r="BJ108" s="5">
        <f>MAU!BJ5*Params!$B$58*Eras!BJ$7*Params!$B$130*Params!$B$95</f>
        <v/>
      </c>
      <c r="BK108" s="5">
        <f>MAU!BK5*Params!$B$58*Eras!BK$7*Params!$B$130*Params!$B$95</f>
        <v/>
      </c>
      <c r="BL108" s="5">
        <f>MAU!BL5*Params!$B$58*Eras!BL$7*Params!$B$130*Params!$B$95</f>
        <v/>
      </c>
      <c r="BM108" s="5">
        <f>MAU!BM5*Params!$B$58*Eras!BM$7*Params!$B$130*Params!$B$95</f>
        <v/>
      </c>
      <c r="BN108" s="5">
        <f>MAU!BN5*Params!$B$58*Eras!BN$7*Params!$B$130*Params!$B$95</f>
        <v/>
      </c>
      <c r="BO108" s="5">
        <f>MAU!BO5*Params!$B$58*Eras!BO$7*Params!$B$130*Params!$B$95</f>
        <v/>
      </c>
      <c r="BP108" s="5">
        <f>MAU!BP5*Params!$B$58*Eras!BP$7*Params!$B$130*Params!$B$95</f>
        <v/>
      </c>
      <c r="BQ108" s="5">
        <f>MAU!BQ5*Params!$B$58*Eras!BQ$7*Params!$B$130*Params!$B$95</f>
        <v/>
      </c>
      <c r="BR108" s="5">
        <f>MAU!BR5*Params!$B$58*Eras!BR$7*Params!$B$130*Params!$B$95</f>
        <v/>
      </c>
      <c r="BS108" s="5">
        <f>MAU!BS5*Params!$B$58*Eras!BS$7*Params!$B$130*Params!$B$95</f>
        <v/>
      </c>
      <c r="BT108" s="5">
        <f>MAU!BT5*Params!$B$58*Eras!BT$7*Params!$B$130*Params!$B$95</f>
        <v/>
      </c>
      <c r="BU108" s="5">
        <f>MAU!BU5*Params!$B$58*Eras!BU$7*Params!$B$130*Params!$B$95</f>
        <v/>
      </c>
      <c r="BV108" s="5">
        <f>MAU!BV5*Params!$B$58*Eras!BV$7*Params!$B$130*Params!$B$95</f>
        <v/>
      </c>
    </row>
    <row r="109">
      <c r="A109" t="inlineStr">
        <is>
          <t>trial starts</t>
        </is>
      </c>
      <c r="B109" t="inlineStr">
        <is>
          <t>EUROPE|BASIC_A</t>
        </is>
      </c>
      <c r="C109" s="5">
        <f>C108*Eras!C$8</f>
        <v/>
      </c>
      <c r="D109" s="5">
        <f>D108*Eras!D$8</f>
        <v/>
      </c>
      <c r="E109" s="5">
        <f>E108*Eras!E$8</f>
        <v/>
      </c>
      <c r="F109" s="5">
        <f>F108*Eras!F$8</f>
        <v/>
      </c>
      <c r="G109" s="5">
        <f>G108*Eras!G$8</f>
        <v/>
      </c>
      <c r="H109" s="5">
        <f>H108*Eras!H$8</f>
        <v/>
      </c>
      <c r="I109" s="5">
        <f>I108*Eras!I$8</f>
        <v/>
      </c>
      <c r="J109" s="5">
        <f>J108*Eras!J$8</f>
        <v/>
      </c>
      <c r="K109" s="5">
        <f>K108*Eras!K$8</f>
        <v/>
      </c>
      <c r="L109" s="5">
        <f>L108*Eras!L$8</f>
        <v/>
      </c>
      <c r="M109" s="5">
        <f>M108*Eras!M$8</f>
        <v/>
      </c>
      <c r="N109" s="5">
        <f>N108*Eras!N$8</f>
        <v/>
      </c>
      <c r="O109" s="5">
        <f>O108*Eras!O$8</f>
        <v/>
      </c>
      <c r="P109" s="5">
        <f>P108*Eras!P$8</f>
        <v/>
      </c>
      <c r="Q109" s="5">
        <f>Q108*Eras!Q$8</f>
        <v/>
      </c>
      <c r="R109" s="5">
        <f>R108*Eras!R$8</f>
        <v/>
      </c>
      <c r="S109" s="5">
        <f>S108*Eras!S$8</f>
        <v/>
      </c>
      <c r="T109" s="5">
        <f>T108*Eras!T$8</f>
        <v/>
      </c>
      <c r="U109" s="5">
        <f>U108*Eras!U$8</f>
        <v/>
      </c>
      <c r="V109" s="5">
        <f>V108*Eras!V$8</f>
        <v/>
      </c>
      <c r="W109" s="5">
        <f>W108*Eras!W$8</f>
        <v/>
      </c>
      <c r="X109" s="5">
        <f>X108*Eras!X$8</f>
        <v/>
      </c>
      <c r="Y109" s="5">
        <f>Y108*Eras!Y$8</f>
        <v/>
      </c>
      <c r="Z109" s="5">
        <f>Z108*Eras!Z$8</f>
        <v/>
      </c>
      <c r="AA109" s="5">
        <f>AA108*Eras!AA$8</f>
        <v/>
      </c>
      <c r="AB109" s="5">
        <f>AB108*Eras!AB$8</f>
        <v/>
      </c>
      <c r="AC109" s="5">
        <f>AC108*Eras!AC$8</f>
        <v/>
      </c>
      <c r="AD109" s="5">
        <f>AD108*Eras!AD$8</f>
        <v/>
      </c>
      <c r="AE109" s="5">
        <f>AE108*Eras!AE$8</f>
        <v/>
      </c>
      <c r="AF109" s="5">
        <f>AF108*Eras!AF$8</f>
        <v/>
      </c>
      <c r="AG109" s="5">
        <f>AG108*Eras!AG$8</f>
        <v/>
      </c>
      <c r="AH109" s="5">
        <f>AH108*Eras!AH$8</f>
        <v/>
      </c>
      <c r="AI109" s="5">
        <f>AI108*Eras!AI$8</f>
        <v/>
      </c>
      <c r="AJ109" s="5">
        <f>AJ108*Eras!AJ$8</f>
        <v/>
      </c>
      <c r="AK109" s="5">
        <f>AK108*Eras!AK$8</f>
        <v/>
      </c>
      <c r="AL109" s="5">
        <f>AL108*Eras!AL$8</f>
        <v/>
      </c>
      <c r="AM109" s="5">
        <f>AM108*Eras!AM$8</f>
        <v/>
      </c>
      <c r="AN109" s="5">
        <f>AN108*Eras!AN$8</f>
        <v/>
      </c>
      <c r="AO109" s="5">
        <f>AO108*Eras!AO$8</f>
        <v/>
      </c>
      <c r="AP109" s="5">
        <f>AP108*Eras!AP$8</f>
        <v/>
      </c>
      <c r="AQ109" s="5">
        <f>AQ108*Eras!AQ$8</f>
        <v/>
      </c>
      <c r="AR109" s="5">
        <f>AR108*Eras!AR$8</f>
        <v/>
      </c>
      <c r="AS109" s="5">
        <f>AS108*Eras!AS$8</f>
        <v/>
      </c>
      <c r="AT109" s="5">
        <f>AT108*Eras!AT$8</f>
        <v/>
      </c>
      <c r="AU109" s="5">
        <f>AU108*Eras!AU$8</f>
        <v/>
      </c>
      <c r="AV109" s="5">
        <f>AV108*Eras!AV$8</f>
        <v/>
      </c>
      <c r="AW109" s="5">
        <f>AW108*Eras!AW$8</f>
        <v/>
      </c>
      <c r="AX109" s="5">
        <f>AX108*Eras!AX$8</f>
        <v/>
      </c>
      <c r="AY109" s="5">
        <f>AY108*Eras!AY$8</f>
        <v/>
      </c>
      <c r="AZ109" s="5">
        <f>AZ108*Eras!AZ$8</f>
        <v/>
      </c>
      <c r="BA109" s="5">
        <f>BA108*Eras!BA$8</f>
        <v/>
      </c>
      <c r="BB109" s="5">
        <f>BB108*Eras!BB$8</f>
        <v/>
      </c>
      <c r="BC109" s="5">
        <f>BC108*Eras!BC$8</f>
        <v/>
      </c>
      <c r="BD109" s="5">
        <f>BD108*Eras!BD$8</f>
        <v/>
      </c>
      <c r="BE109" s="5">
        <f>BE108*Eras!BE$8</f>
        <v/>
      </c>
      <c r="BF109" s="5">
        <f>BF108*Eras!BF$8</f>
        <v/>
      </c>
      <c r="BG109" s="5">
        <f>BG108*Eras!BG$8</f>
        <v/>
      </c>
      <c r="BH109" s="5">
        <f>BH108*Eras!BH$8</f>
        <v/>
      </c>
      <c r="BI109" s="5">
        <f>BI108*Eras!BI$8</f>
        <v/>
      </c>
      <c r="BJ109" s="5">
        <f>BJ108*Eras!BJ$8</f>
        <v/>
      </c>
      <c r="BK109" s="5">
        <f>BK108*Eras!BK$8</f>
        <v/>
      </c>
      <c r="BL109" s="5">
        <f>BL108*Eras!BL$8</f>
        <v/>
      </c>
      <c r="BM109" s="5">
        <f>BM108*Eras!BM$8</f>
        <v/>
      </c>
      <c r="BN109" s="5">
        <f>BN108*Eras!BN$8</f>
        <v/>
      </c>
      <c r="BO109" s="5">
        <f>BO108*Eras!BO$8</f>
        <v/>
      </c>
      <c r="BP109" s="5">
        <f>BP108*Eras!BP$8</f>
        <v/>
      </c>
      <c r="BQ109" s="5">
        <f>BQ108*Eras!BQ$8</f>
        <v/>
      </c>
      <c r="BR109" s="5">
        <f>BR108*Eras!BR$8</f>
        <v/>
      </c>
      <c r="BS109" s="5">
        <f>BS108*Eras!BS$8</f>
        <v/>
      </c>
      <c r="BT109" s="5">
        <f>BT108*Eras!BT$8</f>
        <v/>
      </c>
      <c r="BU109" s="5">
        <f>BU108*Eras!BU$8</f>
        <v/>
      </c>
      <c r="BV109" s="5">
        <f>BV108*Eras!BV$8</f>
        <v/>
      </c>
    </row>
    <row r="110">
      <c r="A110" t="inlineStr">
        <is>
          <t>direct paid starts</t>
        </is>
      </c>
      <c r="B110" t="inlineStr">
        <is>
          <t>EUROPE|BASIC_A</t>
        </is>
      </c>
      <c r="C110" s="5">
        <f>C108-C109</f>
        <v/>
      </c>
      <c r="D110" s="5">
        <f>D108-D109</f>
        <v/>
      </c>
      <c r="E110" s="5">
        <f>E108-E109</f>
        <v/>
      </c>
      <c r="F110" s="5">
        <f>F108-F109</f>
        <v/>
      </c>
      <c r="G110" s="5">
        <f>G108-G109</f>
        <v/>
      </c>
      <c r="H110" s="5">
        <f>H108-H109</f>
        <v/>
      </c>
      <c r="I110" s="5">
        <f>I108-I109</f>
        <v/>
      </c>
      <c r="J110" s="5">
        <f>J108-J109</f>
        <v/>
      </c>
      <c r="K110" s="5">
        <f>K108-K109</f>
        <v/>
      </c>
      <c r="L110" s="5">
        <f>L108-L109</f>
        <v/>
      </c>
      <c r="M110" s="5">
        <f>M108-M109</f>
        <v/>
      </c>
      <c r="N110" s="5">
        <f>N108-N109</f>
        <v/>
      </c>
      <c r="O110" s="5">
        <f>O108-O109</f>
        <v/>
      </c>
      <c r="P110" s="5">
        <f>P108-P109</f>
        <v/>
      </c>
      <c r="Q110" s="5">
        <f>Q108-Q109</f>
        <v/>
      </c>
      <c r="R110" s="5">
        <f>R108-R109</f>
        <v/>
      </c>
      <c r="S110" s="5">
        <f>S108-S109</f>
        <v/>
      </c>
      <c r="T110" s="5">
        <f>T108-T109</f>
        <v/>
      </c>
      <c r="U110" s="5">
        <f>U108-U109</f>
        <v/>
      </c>
      <c r="V110" s="5">
        <f>V108-V109</f>
        <v/>
      </c>
      <c r="W110" s="5">
        <f>W108-W109</f>
        <v/>
      </c>
      <c r="X110" s="5">
        <f>X108-X109</f>
        <v/>
      </c>
      <c r="Y110" s="5">
        <f>Y108-Y109</f>
        <v/>
      </c>
      <c r="Z110" s="5">
        <f>Z108-Z109</f>
        <v/>
      </c>
      <c r="AA110" s="5">
        <f>AA108-AA109</f>
        <v/>
      </c>
      <c r="AB110" s="5">
        <f>AB108-AB109</f>
        <v/>
      </c>
      <c r="AC110" s="5">
        <f>AC108-AC109</f>
        <v/>
      </c>
      <c r="AD110" s="5">
        <f>AD108-AD109</f>
        <v/>
      </c>
      <c r="AE110" s="5">
        <f>AE108-AE109</f>
        <v/>
      </c>
      <c r="AF110" s="5">
        <f>AF108-AF109</f>
        <v/>
      </c>
      <c r="AG110" s="5">
        <f>AG108-AG109</f>
        <v/>
      </c>
      <c r="AH110" s="5">
        <f>AH108-AH109</f>
        <v/>
      </c>
      <c r="AI110" s="5">
        <f>AI108-AI109</f>
        <v/>
      </c>
      <c r="AJ110" s="5">
        <f>AJ108-AJ109</f>
        <v/>
      </c>
      <c r="AK110" s="5">
        <f>AK108-AK109</f>
        <v/>
      </c>
      <c r="AL110" s="5">
        <f>AL108-AL109</f>
        <v/>
      </c>
      <c r="AM110" s="5">
        <f>AM108-AM109</f>
        <v/>
      </c>
      <c r="AN110" s="5">
        <f>AN108-AN109</f>
        <v/>
      </c>
      <c r="AO110" s="5">
        <f>AO108-AO109</f>
        <v/>
      </c>
      <c r="AP110" s="5">
        <f>AP108-AP109</f>
        <v/>
      </c>
      <c r="AQ110" s="5">
        <f>AQ108-AQ109</f>
        <v/>
      </c>
      <c r="AR110" s="5">
        <f>AR108-AR109</f>
        <v/>
      </c>
      <c r="AS110" s="5">
        <f>AS108-AS109</f>
        <v/>
      </c>
      <c r="AT110" s="5">
        <f>AT108-AT109</f>
        <v/>
      </c>
      <c r="AU110" s="5">
        <f>AU108-AU109</f>
        <v/>
      </c>
      <c r="AV110" s="5">
        <f>AV108-AV109</f>
        <v/>
      </c>
      <c r="AW110" s="5">
        <f>AW108-AW109</f>
        <v/>
      </c>
      <c r="AX110" s="5">
        <f>AX108-AX109</f>
        <v/>
      </c>
      <c r="AY110" s="5">
        <f>AY108-AY109</f>
        <v/>
      </c>
      <c r="AZ110" s="5">
        <f>AZ108-AZ109</f>
        <v/>
      </c>
      <c r="BA110" s="5">
        <f>BA108-BA109</f>
        <v/>
      </c>
      <c r="BB110" s="5">
        <f>BB108-BB109</f>
        <v/>
      </c>
      <c r="BC110" s="5">
        <f>BC108-BC109</f>
        <v/>
      </c>
      <c r="BD110" s="5">
        <f>BD108-BD109</f>
        <v/>
      </c>
      <c r="BE110" s="5">
        <f>BE108-BE109</f>
        <v/>
      </c>
      <c r="BF110" s="5">
        <f>BF108-BF109</f>
        <v/>
      </c>
      <c r="BG110" s="5">
        <f>BG108-BG109</f>
        <v/>
      </c>
      <c r="BH110" s="5">
        <f>BH108-BH109</f>
        <v/>
      </c>
      <c r="BI110" s="5">
        <f>BI108-BI109</f>
        <v/>
      </c>
      <c r="BJ110" s="5">
        <f>BJ108-BJ109</f>
        <v/>
      </c>
      <c r="BK110" s="5">
        <f>BK108-BK109</f>
        <v/>
      </c>
      <c r="BL110" s="5">
        <f>BL108-BL109</f>
        <v/>
      </c>
      <c r="BM110" s="5">
        <f>BM108-BM109</f>
        <v/>
      </c>
      <c r="BN110" s="5">
        <f>BN108-BN109</f>
        <v/>
      </c>
      <c r="BO110" s="5">
        <f>BO108-BO109</f>
        <v/>
      </c>
      <c r="BP110" s="5">
        <f>BP108-BP109</f>
        <v/>
      </c>
      <c r="BQ110" s="5">
        <f>BQ108-BQ109</f>
        <v/>
      </c>
      <c r="BR110" s="5">
        <f>BR108-BR109</f>
        <v/>
      </c>
      <c r="BS110" s="5">
        <f>BS108-BS109</f>
        <v/>
      </c>
      <c r="BT110" s="5">
        <f>BT108-BT109</f>
        <v/>
      </c>
      <c r="BU110" s="5">
        <f>BU108-BU109</f>
        <v/>
      </c>
      <c r="BV110" s="5">
        <f>BV108-BV109</f>
        <v/>
      </c>
    </row>
    <row r="111">
      <c r="A111" t="inlineStr">
        <is>
          <t>trials ending</t>
        </is>
      </c>
      <c r="B111" t="inlineStr">
        <is>
          <t>EUROPE|BASIC_A</t>
        </is>
      </c>
      <c r="C111" s="5">
        <f>IF(C$2&gt;=Params!$B$6,INDEX($C$109:$BV$109,C$2-Params!$B$6+1),0)</f>
        <v/>
      </c>
      <c r="D111" s="5">
        <f>IF(D$2&gt;=Params!$B$6,INDEX($C$109:$BV$109,D$2-Params!$B$6+1),0)</f>
        <v/>
      </c>
      <c r="E111" s="5">
        <f>IF(E$2&gt;=Params!$B$6,INDEX($C$109:$BV$109,E$2-Params!$B$6+1),0)</f>
        <v/>
      </c>
      <c r="F111" s="5">
        <f>IF(F$2&gt;=Params!$B$6,INDEX($C$109:$BV$109,F$2-Params!$B$6+1),0)</f>
        <v/>
      </c>
      <c r="G111" s="5">
        <f>IF(G$2&gt;=Params!$B$6,INDEX($C$109:$BV$109,G$2-Params!$B$6+1),0)</f>
        <v/>
      </c>
      <c r="H111" s="5">
        <f>IF(H$2&gt;=Params!$B$6,INDEX($C$109:$BV$109,H$2-Params!$B$6+1),0)</f>
        <v/>
      </c>
      <c r="I111" s="5">
        <f>IF(I$2&gt;=Params!$B$6,INDEX($C$109:$BV$109,I$2-Params!$B$6+1),0)</f>
        <v/>
      </c>
      <c r="J111" s="5">
        <f>IF(J$2&gt;=Params!$B$6,INDEX($C$109:$BV$109,J$2-Params!$B$6+1),0)</f>
        <v/>
      </c>
      <c r="K111" s="5">
        <f>IF(K$2&gt;=Params!$B$6,INDEX($C$109:$BV$109,K$2-Params!$B$6+1),0)</f>
        <v/>
      </c>
      <c r="L111" s="5">
        <f>IF(L$2&gt;=Params!$B$6,INDEX($C$109:$BV$109,L$2-Params!$B$6+1),0)</f>
        <v/>
      </c>
      <c r="M111" s="5">
        <f>IF(M$2&gt;=Params!$B$6,INDEX($C$109:$BV$109,M$2-Params!$B$6+1),0)</f>
        <v/>
      </c>
      <c r="N111" s="5">
        <f>IF(N$2&gt;=Params!$B$6,INDEX($C$109:$BV$109,N$2-Params!$B$6+1),0)</f>
        <v/>
      </c>
      <c r="O111" s="5">
        <f>IF(O$2&gt;=Params!$B$6,INDEX($C$109:$BV$109,O$2-Params!$B$6+1),0)</f>
        <v/>
      </c>
      <c r="P111" s="5">
        <f>IF(P$2&gt;=Params!$B$6,INDEX($C$109:$BV$109,P$2-Params!$B$6+1),0)</f>
        <v/>
      </c>
      <c r="Q111" s="5">
        <f>IF(Q$2&gt;=Params!$B$6,INDEX($C$109:$BV$109,Q$2-Params!$B$6+1),0)</f>
        <v/>
      </c>
      <c r="R111" s="5">
        <f>IF(R$2&gt;=Params!$B$6,INDEX($C$109:$BV$109,R$2-Params!$B$6+1),0)</f>
        <v/>
      </c>
      <c r="S111" s="5">
        <f>IF(S$2&gt;=Params!$B$6,INDEX($C$109:$BV$109,S$2-Params!$B$6+1),0)</f>
        <v/>
      </c>
      <c r="T111" s="5">
        <f>IF(T$2&gt;=Params!$B$6,INDEX($C$109:$BV$109,T$2-Params!$B$6+1),0)</f>
        <v/>
      </c>
      <c r="U111" s="5">
        <f>IF(U$2&gt;=Params!$B$6,INDEX($C$109:$BV$109,U$2-Params!$B$6+1),0)</f>
        <v/>
      </c>
      <c r="V111" s="5">
        <f>IF(V$2&gt;=Params!$B$6,INDEX($C$109:$BV$109,V$2-Params!$B$6+1),0)</f>
        <v/>
      </c>
      <c r="W111" s="5">
        <f>IF(W$2&gt;=Params!$B$6,INDEX($C$109:$BV$109,W$2-Params!$B$6+1),0)</f>
        <v/>
      </c>
      <c r="X111" s="5">
        <f>IF(X$2&gt;=Params!$B$6,INDEX($C$109:$BV$109,X$2-Params!$B$6+1),0)</f>
        <v/>
      </c>
      <c r="Y111" s="5">
        <f>IF(Y$2&gt;=Params!$B$6,INDEX($C$109:$BV$109,Y$2-Params!$B$6+1),0)</f>
        <v/>
      </c>
      <c r="Z111" s="5">
        <f>IF(Z$2&gt;=Params!$B$6,INDEX($C$109:$BV$109,Z$2-Params!$B$6+1),0)</f>
        <v/>
      </c>
      <c r="AA111" s="5">
        <f>IF(AA$2&gt;=Params!$B$6,INDEX($C$109:$BV$109,AA$2-Params!$B$6+1),0)</f>
        <v/>
      </c>
      <c r="AB111" s="5">
        <f>IF(AB$2&gt;=Params!$B$6,INDEX($C$109:$BV$109,AB$2-Params!$B$6+1),0)</f>
        <v/>
      </c>
      <c r="AC111" s="5">
        <f>IF(AC$2&gt;=Params!$B$6,INDEX($C$109:$BV$109,AC$2-Params!$B$6+1),0)</f>
        <v/>
      </c>
      <c r="AD111" s="5">
        <f>IF(AD$2&gt;=Params!$B$6,INDEX($C$109:$BV$109,AD$2-Params!$B$6+1),0)</f>
        <v/>
      </c>
      <c r="AE111" s="5">
        <f>IF(AE$2&gt;=Params!$B$6,INDEX($C$109:$BV$109,AE$2-Params!$B$6+1),0)</f>
        <v/>
      </c>
      <c r="AF111" s="5">
        <f>IF(AF$2&gt;=Params!$B$6,INDEX($C$109:$BV$109,AF$2-Params!$B$6+1),0)</f>
        <v/>
      </c>
      <c r="AG111" s="5">
        <f>IF(AG$2&gt;=Params!$B$6,INDEX($C$109:$BV$109,AG$2-Params!$B$6+1),0)</f>
        <v/>
      </c>
      <c r="AH111" s="5">
        <f>IF(AH$2&gt;=Params!$B$6,INDEX($C$109:$BV$109,AH$2-Params!$B$6+1),0)</f>
        <v/>
      </c>
      <c r="AI111" s="5">
        <f>IF(AI$2&gt;=Params!$B$6,INDEX($C$109:$BV$109,AI$2-Params!$B$6+1),0)</f>
        <v/>
      </c>
      <c r="AJ111" s="5">
        <f>IF(AJ$2&gt;=Params!$B$6,INDEX($C$109:$BV$109,AJ$2-Params!$B$6+1),0)</f>
        <v/>
      </c>
      <c r="AK111" s="5">
        <f>IF(AK$2&gt;=Params!$B$6,INDEX($C$109:$BV$109,AK$2-Params!$B$6+1),0)</f>
        <v/>
      </c>
      <c r="AL111" s="5">
        <f>IF(AL$2&gt;=Params!$B$6,INDEX($C$109:$BV$109,AL$2-Params!$B$6+1),0)</f>
        <v/>
      </c>
      <c r="AM111" s="5">
        <f>IF(AM$2&gt;=Params!$B$6,INDEX($C$109:$BV$109,AM$2-Params!$B$6+1),0)</f>
        <v/>
      </c>
      <c r="AN111" s="5">
        <f>IF(AN$2&gt;=Params!$B$6,INDEX($C$109:$BV$109,AN$2-Params!$B$6+1),0)</f>
        <v/>
      </c>
      <c r="AO111" s="5">
        <f>IF(AO$2&gt;=Params!$B$6,INDEX($C$109:$BV$109,AO$2-Params!$B$6+1),0)</f>
        <v/>
      </c>
      <c r="AP111" s="5">
        <f>IF(AP$2&gt;=Params!$B$6,INDEX($C$109:$BV$109,AP$2-Params!$B$6+1),0)</f>
        <v/>
      </c>
      <c r="AQ111" s="5">
        <f>IF(AQ$2&gt;=Params!$B$6,INDEX($C$109:$BV$109,AQ$2-Params!$B$6+1),0)</f>
        <v/>
      </c>
      <c r="AR111" s="5">
        <f>IF(AR$2&gt;=Params!$B$6,INDEX($C$109:$BV$109,AR$2-Params!$B$6+1),0)</f>
        <v/>
      </c>
      <c r="AS111" s="5">
        <f>IF(AS$2&gt;=Params!$B$6,INDEX($C$109:$BV$109,AS$2-Params!$B$6+1),0)</f>
        <v/>
      </c>
      <c r="AT111" s="5">
        <f>IF(AT$2&gt;=Params!$B$6,INDEX($C$109:$BV$109,AT$2-Params!$B$6+1),0)</f>
        <v/>
      </c>
      <c r="AU111" s="5">
        <f>IF(AU$2&gt;=Params!$B$6,INDEX($C$109:$BV$109,AU$2-Params!$B$6+1),0)</f>
        <v/>
      </c>
      <c r="AV111" s="5">
        <f>IF(AV$2&gt;=Params!$B$6,INDEX($C$109:$BV$109,AV$2-Params!$B$6+1),0)</f>
        <v/>
      </c>
      <c r="AW111" s="5">
        <f>IF(AW$2&gt;=Params!$B$6,INDEX($C$109:$BV$109,AW$2-Params!$B$6+1),0)</f>
        <v/>
      </c>
      <c r="AX111" s="5">
        <f>IF(AX$2&gt;=Params!$B$6,INDEX($C$109:$BV$109,AX$2-Params!$B$6+1),0)</f>
        <v/>
      </c>
      <c r="AY111" s="5">
        <f>IF(AY$2&gt;=Params!$B$6,INDEX($C$109:$BV$109,AY$2-Params!$B$6+1),0)</f>
        <v/>
      </c>
      <c r="AZ111" s="5">
        <f>IF(AZ$2&gt;=Params!$B$6,INDEX($C$109:$BV$109,AZ$2-Params!$B$6+1),0)</f>
        <v/>
      </c>
      <c r="BA111" s="5">
        <f>IF(BA$2&gt;=Params!$B$6,INDEX($C$109:$BV$109,BA$2-Params!$B$6+1),0)</f>
        <v/>
      </c>
      <c r="BB111" s="5">
        <f>IF(BB$2&gt;=Params!$B$6,INDEX($C$109:$BV$109,BB$2-Params!$B$6+1),0)</f>
        <v/>
      </c>
      <c r="BC111" s="5">
        <f>IF(BC$2&gt;=Params!$B$6,INDEX($C$109:$BV$109,BC$2-Params!$B$6+1),0)</f>
        <v/>
      </c>
      <c r="BD111" s="5">
        <f>IF(BD$2&gt;=Params!$B$6,INDEX($C$109:$BV$109,BD$2-Params!$B$6+1),0)</f>
        <v/>
      </c>
      <c r="BE111" s="5">
        <f>IF(BE$2&gt;=Params!$B$6,INDEX($C$109:$BV$109,BE$2-Params!$B$6+1),0)</f>
        <v/>
      </c>
      <c r="BF111" s="5">
        <f>IF(BF$2&gt;=Params!$B$6,INDEX($C$109:$BV$109,BF$2-Params!$B$6+1),0)</f>
        <v/>
      </c>
      <c r="BG111" s="5">
        <f>IF(BG$2&gt;=Params!$B$6,INDEX($C$109:$BV$109,BG$2-Params!$B$6+1),0)</f>
        <v/>
      </c>
      <c r="BH111" s="5">
        <f>IF(BH$2&gt;=Params!$B$6,INDEX($C$109:$BV$109,BH$2-Params!$B$6+1),0)</f>
        <v/>
      </c>
      <c r="BI111" s="5">
        <f>IF(BI$2&gt;=Params!$B$6,INDEX($C$109:$BV$109,BI$2-Params!$B$6+1),0)</f>
        <v/>
      </c>
      <c r="BJ111" s="5">
        <f>IF(BJ$2&gt;=Params!$B$6,INDEX($C$109:$BV$109,BJ$2-Params!$B$6+1),0)</f>
        <v/>
      </c>
      <c r="BK111" s="5">
        <f>IF(BK$2&gt;=Params!$B$6,INDEX($C$109:$BV$109,BK$2-Params!$B$6+1),0)</f>
        <v/>
      </c>
      <c r="BL111" s="5">
        <f>IF(BL$2&gt;=Params!$B$6,INDEX($C$109:$BV$109,BL$2-Params!$B$6+1),0)</f>
        <v/>
      </c>
      <c r="BM111" s="5">
        <f>IF(BM$2&gt;=Params!$B$6,INDEX($C$109:$BV$109,BM$2-Params!$B$6+1),0)</f>
        <v/>
      </c>
      <c r="BN111" s="5">
        <f>IF(BN$2&gt;=Params!$B$6,INDEX($C$109:$BV$109,BN$2-Params!$B$6+1),0)</f>
        <v/>
      </c>
      <c r="BO111" s="5">
        <f>IF(BO$2&gt;=Params!$B$6,INDEX($C$109:$BV$109,BO$2-Params!$B$6+1),0)</f>
        <v/>
      </c>
      <c r="BP111" s="5">
        <f>IF(BP$2&gt;=Params!$B$6,INDEX($C$109:$BV$109,BP$2-Params!$B$6+1),0)</f>
        <v/>
      </c>
      <c r="BQ111" s="5">
        <f>IF(BQ$2&gt;=Params!$B$6,INDEX($C$109:$BV$109,BQ$2-Params!$B$6+1),0)</f>
        <v/>
      </c>
      <c r="BR111" s="5">
        <f>IF(BR$2&gt;=Params!$B$6,INDEX($C$109:$BV$109,BR$2-Params!$B$6+1),0)</f>
        <v/>
      </c>
      <c r="BS111" s="5">
        <f>IF(BS$2&gt;=Params!$B$6,INDEX($C$109:$BV$109,BS$2-Params!$B$6+1),0)</f>
        <v/>
      </c>
      <c r="BT111" s="5">
        <f>IF(BT$2&gt;=Params!$B$6,INDEX($C$109:$BV$109,BT$2-Params!$B$6+1),0)</f>
        <v/>
      </c>
      <c r="BU111" s="5">
        <f>IF(BU$2&gt;=Params!$B$6,INDEX($C$109:$BV$109,BU$2-Params!$B$6+1),0)</f>
        <v/>
      </c>
      <c r="BV111" s="5">
        <f>IF(BV$2&gt;=Params!$B$6,INDEX($C$109:$BV$109,BV$2-Params!$B$6+1),0)</f>
        <v/>
      </c>
    </row>
    <row r="112">
      <c r="A112" t="inlineStr">
        <is>
          <t>trial starts x conversion</t>
        </is>
      </c>
      <c r="B112" t="inlineStr">
        <is>
          <t>EUROPE|BASIC_A</t>
        </is>
      </c>
      <c r="C112" s="5">
        <f>C109*Eras!C$9</f>
        <v/>
      </c>
      <c r="D112" s="5">
        <f>D109*Eras!D$9</f>
        <v/>
      </c>
      <c r="E112" s="5">
        <f>E109*Eras!E$9</f>
        <v/>
      </c>
      <c r="F112" s="5">
        <f>F109*Eras!F$9</f>
        <v/>
      </c>
      <c r="G112" s="5">
        <f>G109*Eras!G$9</f>
        <v/>
      </c>
      <c r="H112" s="5">
        <f>H109*Eras!H$9</f>
        <v/>
      </c>
      <c r="I112" s="5">
        <f>I109*Eras!I$9</f>
        <v/>
      </c>
      <c r="J112" s="5">
        <f>J109*Eras!J$9</f>
        <v/>
      </c>
      <c r="K112" s="5">
        <f>K109*Eras!K$9</f>
        <v/>
      </c>
      <c r="L112" s="5">
        <f>L109*Eras!L$9</f>
        <v/>
      </c>
      <c r="M112" s="5">
        <f>M109*Eras!M$9</f>
        <v/>
      </c>
      <c r="N112" s="5">
        <f>N109*Eras!N$9</f>
        <v/>
      </c>
      <c r="O112" s="5">
        <f>O109*Eras!O$9</f>
        <v/>
      </c>
      <c r="P112" s="5">
        <f>P109*Eras!P$9</f>
        <v/>
      </c>
      <c r="Q112" s="5">
        <f>Q109*Eras!Q$9</f>
        <v/>
      </c>
      <c r="R112" s="5">
        <f>R109*Eras!R$9</f>
        <v/>
      </c>
      <c r="S112" s="5">
        <f>S109*Eras!S$9</f>
        <v/>
      </c>
      <c r="T112" s="5">
        <f>T109*Eras!T$9</f>
        <v/>
      </c>
      <c r="U112" s="5">
        <f>U109*Eras!U$9</f>
        <v/>
      </c>
      <c r="V112" s="5">
        <f>V109*Eras!V$9</f>
        <v/>
      </c>
      <c r="W112" s="5">
        <f>W109*Eras!W$9</f>
        <v/>
      </c>
      <c r="X112" s="5">
        <f>X109*Eras!X$9</f>
        <v/>
      </c>
      <c r="Y112" s="5">
        <f>Y109*Eras!Y$9</f>
        <v/>
      </c>
      <c r="Z112" s="5">
        <f>Z109*Eras!Z$9</f>
        <v/>
      </c>
      <c r="AA112" s="5">
        <f>AA109*Eras!AA$9</f>
        <v/>
      </c>
      <c r="AB112" s="5">
        <f>AB109*Eras!AB$9</f>
        <v/>
      </c>
      <c r="AC112" s="5">
        <f>AC109*Eras!AC$9</f>
        <v/>
      </c>
      <c r="AD112" s="5">
        <f>AD109*Eras!AD$9</f>
        <v/>
      </c>
      <c r="AE112" s="5">
        <f>AE109*Eras!AE$9</f>
        <v/>
      </c>
      <c r="AF112" s="5">
        <f>AF109*Eras!AF$9</f>
        <v/>
      </c>
      <c r="AG112" s="5">
        <f>AG109*Eras!AG$9</f>
        <v/>
      </c>
      <c r="AH112" s="5">
        <f>AH109*Eras!AH$9</f>
        <v/>
      </c>
      <c r="AI112" s="5">
        <f>AI109*Eras!AI$9</f>
        <v/>
      </c>
      <c r="AJ112" s="5">
        <f>AJ109*Eras!AJ$9</f>
        <v/>
      </c>
      <c r="AK112" s="5">
        <f>AK109*Eras!AK$9</f>
        <v/>
      </c>
      <c r="AL112" s="5">
        <f>AL109*Eras!AL$9</f>
        <v/>
      </c>
      <c r="AM112" s="5">
        <f>AM109*Eras!AM$9</f>
        <v/>
      </c>
      <c r="AN112" s="5">
        <f>AN109*Eras!AN$9</f>
        <v/>
      </c>
      <c r="AO112" s="5">
        <f>AO109*Eras!AO$9</f>
        <v/>
      </c>
      <c r="AP112" s="5">
        <f>AP109*Eras!AP$9</f>
        <v/>
      </c>
      <c r="AQ112" s="5">
        <f>AQ109*Eras!AQ$9</f>
        <v/>
      </c>
      <c r="AR112" s="5">
        <f>AR109*Eras!AR$9</f>
        <v/>
      </c>
      <c r="AS112" s="5">
        <f>AS109*Eras!AS$9</f>
        <v/>
      </c>
      <c r="AT112" s="5">
        <f>AT109*Eras!AT$9</f>
        <v/>
      </c>
      <c r="AU112" s="5">
        <f>AU109*Eras!AU$9</f>
        <v/>
      </c>
      <c r="AV112" s="5">
        <f>AV109*Eras!AV$9</f>
        <v/>
      </c>
      <c r="AW112" s="5">
        <f>AW109*Eras!AW$9</f>
        <v/>
      </c>
      <c r="AX112" s="5">
        <f>AX109*Eras!AX$9</f>
        <v/>
      </c>
      <c r="AY112" s="5">
        <f>AY109*Eras!AY$9</f>
        <v/>
      </c>
      <c r="AZ112" s="5">
        <f>AZ109*Eras!AZ$9</f>
        <v/>
      </c>
      <c r="BA112" s="5">
        <f>BA109*Eras!BA$9</f>
        <v/>
      </c>
      <c r="BB112" s="5">
        <f>BB109*Eras!BB$9</f>
        <v/>
      </c>
      <c r="BC112" s="5">
        <f>BC109*Eras!BC$9</f>
        <v/>
      </c>
      <c r="BD112" s="5">
        <f>BD109*Eras!BD$9</f>
        <v/>
      </c>
      <c r="BE112" s="5">
        <f>BE109*Eras!BE$9</f>
        <v/>
      </c>
      <c r="BF112" s="5">
        <f>BF109*Eras!BF$9</f>
        <v/>
      </c>
      <c r="BG112" s="5">
        <f>BG109*Eras!BG$9</f>
        <v/>
      </c>
      <c r="BH112" s="5">
        <f>BH109*Eras!BH$9</f>
        <v/>
      </c>
      <c r="BI112" s="5">
        <f>BI109*Eras!BI$9</f>
        <v/>
      </c>
      <c r="BJ112" s="5">
        <f>BJ109*Eras!BJ$9</f>
        <v/>
      </c>
      <c r="BK112" s="5">
        <f>BK109*Eras!BK$9</f>
        <v/>
      </c>
      <c r="BL112" s="5">
        <f>BL109*Eras!BL$9</f>
        <v/>
      </c>
      <c r="BM112" s="5">
        <f>BM109*Eras!BM$9</f>
        <v/>
      </c>
      <c r="BN112" s="5">
        <f>BN109*Eras!BN$9</f>
        <v/>
      </c>
      <c r="BO112" s="5">
        <f>BO109*Eras!BO$9</f>
        <v/>
      </c>
      <c r="BP112" s="5">
        <f>BP109*Eras!BP$9</f>
        <v/>
      </c>
      <c r="BQ112" s="5">
        <f>BQ109*Eras!BQ$9</f>
        <v/>
      </c>
      <c r="BR112" s="5">
        <f>BR109*Eras!BR$9</f>
        <v/>
      </c>
      <c r="BS112" s="5">
        <f>BS109*Eras!BS$9</f>
        <v/>
      </c>
      <c r="BT112" s="5">
        <f>BT109*Eras!BT$9</f>
        <v/>
      </c>
      <c r="BU112" s="5">
        <f>BU109*Eras!BU$9</f>
        <v/>
      </c>
      <c r="BV112" s="5">
        <f>BV109*Eras!BV$9</f>
        <v/>
      </c>
    </row>
    <row r="113">
      <c r="A113" t="inlineStr">
        <is>
          <t>trials converted</t>
        </is>
      </c>
      <c r="B113" t="inlineStr">
        <is>
          <t>EUROPE|BASIC_A</t>
        </is>
      </c>
      <c r="C113" s="5">
        <f>IF(C$2&gt;=Params!$B$6,INDEX($C$112:$BV$112,C$2-Params!$B$6+1),0)</f>
        <v/>
      </c>
      <c r="D113" s="5">
        <f>IF(D$2&gt;=Params!$B$6,INDEX($C$112:$BV$112,D$2-Params!$B$6+1),0)</f>
        <v/>
      </c>
      <c r="E113" s="5">
        <f>IF(E$2&gt;=Params!$B$6,INDEX($C$112:$BV$112,E$2-Params!$B$6+1),0)</f>
        <v/>
      </c>
      <c r="F113" s="5">
        <f>IF(F$2&gt;=Params!$B$6,INDEX($C$112:$BV$112,F$2-Params!$B$6+1),0)</f>
        <v/>
      </c>
      <c r="G113" s="5">
        <f>IF(G$2&gt;=Params!$B$6,INDEX($C$112:$BV$112,G$2-Params!$B$6+1),0)</f>
        <v/>
      </c>
      <c r="H113" s="5">
        <f>IF(H$2&gt;=Params!$B$6,INDEX($C$112:$BV$112,H$2-Params!$B$6+1),0)</f>
        <v/>
      </c>
      <c r="I113" s="5">
        <f>IF(I$2&gt;=Params!$B$6,INDEX($C$112:$BV$112,I$2-Params!$B$6+1),0)</f>
        <v/>
      </c>
      <c r="J113" s="5">
        <f>IF(J$2&gt;=Params!$B$6,INDEX($C$112:$BV$112,J$2-Params!$B$6+1),0)</f>
        <v/>
      </c>
      <c r="K113" s="5">
        <f>IF(K$2&gt;=Params!$B$6,INDEX($C$112:$BV$112,K$2-Params!$B$6+1),0)</f>
        <v/>
      </c>
      <c r="L113" s="5">
        <f>IF(L$2&gt;=Params!$B$6,INDEX($C$112:$BV$112,L$2-Params!$B$6+1),0)</f>
        <v/>
      </c>
      <c r="M113" s="5">
        <f>IF(M$2&gt;=Params!$B$6,INDEX($C$112:$BV$112,M$2-Params!$B$6+1),0)</f>
        <v/>
      </c>
      <c r="N113" s="5">
        <f>IF(N$2&gt;=Params!$B$6,INDEX($C$112:$BV$112,N$2-Params!$B$6+1),0)</f>
        <v/>
      </c>
      <c r="O113" s="5">
        <f>IF(O$2&gt;=Params!$B$6,INDEX($C$112:$BV$112,O$2-Params!$B$6+1),0)</f>
        <v/>
      </c>
      <c r="P113" s="5">
        <f>IF(P$2&gt;=Params!$B$6,INDEX($C$112:$BV$112,P$2-Params!$B$6+1),0)</f>
        <v/>
      </c>
      <c r="Q113" s="5">
        <f>IF(Q$2&gt;=Params!$B$6,INDEX($C$112:$BV$112,Q$2-Params!$B$6+1),0)</f>
        <v/>
      </c>
      <c r="R113" s="5">
        <f>IF(R$2&gt;=Params!$B$6,INDEX($C$112:$BV$112,R$2-Params!$B$6+1),0)</f>
        <v/>
      </c>
      <c r="S113" s="5">
        <f>IF(S$2&gt;=Params!$B$6,INDEX($C$112:$BV$112,S$2-Params!$B$6+1),0)</f>
        <v/>
      </c>
      <c r="T113" s="5">
        <f>IF(T$2&gt;=Params!$B$6,INDEX($C$112:$BV$112,T$2-Params!$B$6+1),0)</f>
        <v/>
      </c>
      <c r="U113" s="5">
        <f>IF(U$2&gt;=Params!$B$6,INDEX($C$112:$BV$112,U$2-Params!$B$6+1),0)</f>
        <v/>
      </c>
      <c r="V113" s="5">
        <f>IF(V$2&gt;=Params!$B$6,INDEX($C$112:$BV$112,V$2-Params!$B$6+1),0)</f>
        <v/>
      </c>
      <c r="W113" s="5">
        <f>IF(W$2&gt;=Params!$B$6,INDEX($C$112:$BV$112,W$2-Params!$B$6+1),0)</f>
        <v/>
      </c>
      <c r="X113" s="5">
        <f>IF(X$2&gt;=Params!$B$6,INDEX($C$112:$BV$112,X$2-Params!$B$6+1),0)</f>
        <v/>
      </c>
      <c r="Y113" s="5">
        <f>IF(Y$2&gt;=Params!$B$6,INDEX($C$112:$BV$112,Y$2-Params!$B$6+1),0)</f>
        <v/>
      </c>
      <c r="Z113" s="5">
        <f>IF(Z$2&gt;=Params!$B$6,INDEX($C$112:$BV$112,Z$2-Params!$B$6+1),0)</f>
        <v/>
      </c>
      <c r="AA113" s="5">
        <f>IF(AA$2&gt;=Params!$B$6,INDEX($C$112:$BV$112,AA$2-Params!$B$6+1),0)</f>
        <v/>
      </c>
      <c r="AB113" s="5">
        <f>IF(AB$2&gt;=Params!$B$6,INDEX($C$112:$BV$112,AB$2-Params!$B$6+1),0)</f>
        <v/>
      </c>
      <c r="AC113" s="5">
        <f>IF(AC$2&gt;=Params!$B$6,INDEX($C$112:$BV$112,AC$2-Params!$B$6+1),0)</f>
        <v/>
      </c>
      <c r="AD113" s="5">
        <f>IF(AD$2&gt;=Params!$B$6,INDEX($C$112:$BV$112,AD$2-Params!$B$6+1),0)</f>
        <v/>
      </c>
      <c r="AE113" s="5">
        <f>IF(AE$2&gt;=Params!$B$6,INDEX($C$112:$BV$112,AE$2-Params!$B$6+1),0)</f>
        <v/>
      </c>
      <c r="AF113" s="5">
        <f>IF(AF$2&gt;=Params!$B$6,INDEX($C$112:$BV$112,AF$2-Params!$B$6+1),0)</f>
        <v/>
      </c>
      <c r="AG113" s="5">
        <f>IF(AG$2&gt;=Params!$B$6,INDEX($C$112:$BV$112,AG$2-Params!$B$6+1),0)</f>
        <v/>
      </c>
      <c r="AH113" s="5">
        <f>IF(AH$2&gt;=Params!$B$6,INDEX($C$112:$BV$112,AH$2-Params!$B$6+1),0)</f>
        <v/>
      </c>
      <c r="AI113" s="5">
        <f>IF(AI$2&gt;=Params!$B$6,INDEX($C$112:$BV$112,AI$2-Params!$B$6+1),0)</f>
        <v/>
      </c>
      <c r="AJ113" s="5">
        <f>IF(AJ$2&gt;=Params!$B$6,INDEX($C$112:$BV$112,AJ$2-Params!$B$6+1),0)</f>
        <v/>
      </c>
      <c r="AK113" s="5">
        <f>IF(AK$2&gt;=Params!$B$6,INDEX($C$112:$BV$112,AK$2-Params!$B$6+1),0)</f>
        <v/>
      </c>
      <c r="AL113" s="5">
        <f>IF(AL$2&gt;=Params!$B$6,INDEX($C$112:$BV$112,AL$2-Params!$B$6+1),0)</f>
        <v/>
      </c>
      <c r="AM113" s="5">
        <f>IF(AM$2&gt;=Params!$B$6,INDEX($C$112:$BV$112,AM$2-Params!$B$6+1),0)</f>
        <v/>
      </c>
      <c r="AN113" s="5">
        <f>IF(AN$2&gt;=Params!$B$6,INDEX($C$112:$BV$112,AN$2-Params!$B$6+1),0)</f>
        <v/>
      </c>
      <c r="AO113" s="5">
        <f>IF(AO$2&gt;=Params!$B$6,INDEX($C$112:$BV$112,AO$2-Params!$B$6+1),0)</f>
        <v/>
      </c>
      <c r="AP113" s="5">
        <f>IF(AP$2&gt;=Params!$B$6,INDEX($C$112:$BV$112,AP$2-Params!$B$6+1),0)</f>
        <v/>
      </c>
      <c r="AQ113" s="5">
        <f>IF(AQ$2&gt;=Params!$B$6,INDEX($C$112:$BV$112,AQ$2-Params!$B$6+1),0)</f>
        <v/>
      </c>
      <c r="AR113" s="5">
        <f>IF(AR$2&gt;=Params!$B$6,INDEX($C$112:$BV$112,AR$2-Params!$B$6+1),0)</f>
        <v/>
      </c>
      <c r="AS113" s="5">
        <f>IF(AS$2&gt;=Params!$B$6,INDEX($C$112:$BV$112,AS$2-Params!$B$6+1),0)</f>
        <v/>
      </c>
      <c r="AT113" s="5">
        <f>IF(AT$2&gt;=Params!$B$6,INDEX($C$112:$BV$112,AT$2-Params!$B$6+1),0)</f>
        <v/>
      </c>
      <c r="AU113" s="5">
        <f>IF(AU$2&gt;=Params!$B$6,INDEX($C$112:$BV$112,AU$2-Params!$B$6+1),0)</f>
        <v/>
      </c>
      <c r="AV113" s="5">
        <f>IF(AV$2&gt;=Params!$B$6,INDEX($C$112:$BV$112,AV$2-Params!$B$6+1),0)</f>
        <v/>
      </c>
      <c r="AW113" s="5">
        <f>IF(AW$2&gt;=Params!$B$6,INDEX($C$112:$BV$112,AW$2-Params!$B$6+1),0)</f>
        <v/>
      </c>
      <c r="AX113" s="5">
        <f>IF(AX$2&gt;=Params!$B$6,INDEX($C$112:$BV$112,AX$2-Params!$B$6+1),0)</f>
        <v/>
      </c>
      <c r="AY113" s="5">
        <f>IF(AY$2&gt;=Params!$B$6,INDEX($C$112:$BV$112,AY$2-Params!$B$6+1),0)</f>
        <v/>
      </c>
      <c r="AZ113" s="5">
        <f>IF(AZ$2&gt;=Params!$B$6,INDEX($C$112:$BV$112,AZ$2-Params!$B$6+1),0)</f>
        <v/>
      </c>
      <c r="BA113" s="5">
        <f>IF(BA$2&gt;=Params!$B$6,INDEX($C$112:$BV$112,BA$2-Params!$B$6+1),0)</f>
        <v/>
      </c>
      <c r="BB113" s="5">
        <f>IF(BB$2&gt;=Params!$B$6,INDEX($C$112:$BV$112,BB$2-Params!$B$6+1),0)</f>
        <v/>
      </c>
      <c r="BC113" s="5">
        <f>IF(BC$2&gt;=Params!$B$6,INDEX($C$112:$BV$112,BC$2-Params!$B$6+1),0)</f>
        <v/>
      </c>
      <c r="BD113" s="5">
        <f>IF(BD$2&gt;=Params!$B$6,INDEX($C$112:$BV$112,BD$2-Params!$B$6+1),0)</f>
        <v/>
      </c>
      <c r="BE113" s="5">
        <f>IF(BE$2&gt;=Params!$B$6,INDEX($C$112:$BV$112,BE$2-Params!$B$6+1),0)</f>
        <v/>
      </c>
      <c r="BF113" s="5">
        <f>IF(BF$2&gt;=Params!$B$6,INDEX($C$112:$BV$112,BF$2-Params!$B$6+1),0)</f>
        <v/>
      </c>
      <c r="BG113" s="5">
        <f>IF(BG$2&gt;=Params!$B$6,INDEX($C$112:$BV$112,BG$2-Params!$B$6+1),0)</f>
        <v/>
      </c>
      <c r="BH113" s="5">
        <f>IF(BH$2&gt;=Params!$B$6,INDEX($C$112:$BV$112,BH$2-Params!$B$6+1),0)</f>
        <v/>
      </c>
      <c r="BI113" s="5">
        <f>IF(BI$2&gt;=Params!$B$6,INDEX($C$112:$BV$112,BI$2-Params!$B$6+1),0)</f>
        <v/>
      </c>
      <c r="BJ113" s="5">
        <f>IF(BJ$2&gt;=Params!$B$6,INDEX($C$112:$BV$112,BJ$2-Params!$B$6+1),0)</f>
        <v/>
      </c>
      <c r="BK113" s="5">
        <f>IF(BK$2&gt;=Params!$B$6,INDEX($C$112:$BV$112,BK$2-Params!$B$6+1),0)</f>
        <v/>
      </c>
      <c r="BL113" s="5">
        <f>IF(BL$2&gt;=Params!$B$6,INDEX($C$112:$BV$112,BL$2-Params!$B$6+1),0)</f>
        <v/>
      </c>
      <c r="BM113" s="5">
        <f>IF(BM$2&gt;=Params!$B$6,INDEX($C$112:$BV$112,BM$2-Params!$B$6+1),0)</f>
        <v/>
      </c>
      <c r="BN113" s="5">
        <f>IF(BN$2&gt;=Params!$B$6,INDEX($C$112:$BV$112,BN$2-Params!$B$6+1),0)</f>
        <v/>
      </c>
      <c r="BO113" s="5">
        <f>IF(BO$2&gt;=Params!$B$6,INDEX($C$112:$BV$112,BO$2-Params!$B$6+1),0)</f>
        <v/>
      </c>
      <c r="BP113" s="5">
        <f>IF(BP$2&gt;=Params!$B$6,INDEX($C$112:$BV$112,BP$2-Params!$B$6+1),0)</f>
        <v/>
      </c>
      <c r="BQ113" s="5">
        <f>IF(BQ$2&gt;=Params!$B$6,INDEX($C$112:$BV$112,BQ$2-Params!$B$6+1),0)</f>
        <v/>
      </c>
      <c r="BR113" s="5">
        <f>IF(BR$2&gt;=Params!$B$6,INDEX($C$112:$BV$112,BR$2-Params!$B$6+1),0)</f>
        <v/>
      </c>
      <c r="BS113" s="5">
        <f>IF(BS$2&gt;=Params!$B$6,INDEX($C$112:$BV$112,BS$2-Params!$B$6+1),0)</f>
        <v/>
      </c>
      <c r="BT113" s="5">
        <f>IF(BT$2&gt;=Params!$B$6,INDEX($C$112:$BV$112,BT$2-Params!$B$6+1),0)</f>
        <v/>
      </c>
      <c r="BU113" s="5">
        <f>IF(BU$2&gt;=Params!$B$6,INDEX($C$112:$BV$112,BU$2-Params!$B$6+1),0)</f>
        <v/>
      </c>
      <c r="BV113" s="5">
        <f>IF(BV$2&gt;=Params!$B$6,INDEX($C$112:$BV$112,BV$2-Params!$B$6+1),0)</f>
        <v/>
      </c>
    </row>
    <row r="114">
      <c r="A114" t="inlineStr">
        <is>
          <t>trials lost</t>
        </is>
      </c>
      <c r="B114" t="inlineStr">
        <is>
          <t>EUROPE|BASIC_A</t>
        </is>
      </c>
      <c r="C114" s="5">
        <f>C111-C113</f>
        <v/>
      </c>
      <c r="D114" s="5">
        <f>D111-D113</f>
        <v/>
      </c>
      <c r="E114" s="5">
        <f>E111-E113</f>
        <v/>
      </c>
      <c r="F114" s="5">
        <f>F111-F113</f>
        <v/>
      </c>
      <c r="G114" s="5">
        <f>G111-G113</f>
        <v/>
      </c>
      <c r="H114" s="5">
        <f>H111-H113</f>
        <v/>
      </c>
      <c r="I114" s="5">
        <f>I111-I113</f>
        <v/>
      </c>
      <c r="J114" s="5">
        <f>J111-J113</f>
        <v/>
      </c>
      <c r="K114" s="5">
        <f>K111-K113</f>
        <v/>
      </c>
      <c r="L114" s="5">
        <f>L111-L113</f>
        <v/>
      </c>
      <c r="M114" s="5">
        <f>M111-M113</f>
        <v/>
      </c>
      <c r="N114" s="5">
        <f>N111-N113</f>
        <v/>
      </c>
      <c r="O114" s="5">
        <f>O111-O113</f>
        <v/>
      </c>
      <c r="P114" s="5">
        <f>P111-P113</f>
        <v/>
      </c>
      <c r="Q114" s="5">
        <f>Q111-Q113</f>
        <v/>
      </c>
      <c r="R114" s="5">
        <f>R111-R113</f>
        <v/>
      </c>
      <c r="S114" s="5">
        <f>S111-S113</f>
        <v/>
      </c>
      <c r="T114" s="5">
        <f>T111-T113</f>
        <v/>
      </c>
      <c r="U114" s="5">
        <f>U111-U113</f>
        <v/>
      </c>
      <c r="V114" s="5">
        <f>V111-V113</f>
        <v/>
      </c>
      <c r="W114" s="5">
        <f>W111-W113</f>
        <v/>
      </c>
      <c r="X114" s="5">
        <f>X111-X113</f>
        <v/>
      </c>
      <c r="Y114" s="5">
        <f>Y111-Y113</f>
        <v/>
      </c>
      <c r="Z114" s="5">
        <f>Z111-Z113</f>
        <v/>
      </c>
      <c r="AA114" s="5">
        <f>AA111-AA113</f>
        <v/>
      </c>
      <c r="AB114" s="5">
        <f>AB111-AB113</f>
        <v/>
      </c>
      <c r="AC114" s="5">
        <f>AC111-AC113</f>
        <v/>
      </c>
      <c r="AD114" s="5">
        <f>AD111-AD113</f>
        <v/>
      </c>
      <c r="AE114" s="5">
        <f>AE111-AE113</f>
        <v/>
      </c>
      <c r="AF114" s="5">
        <f>AF111-AF113</f>
        <v/>
      </c>
      <c r="AG114" s="5">
        <f>AG111-AG113</f>
        <v/>
      </c>
      <c r="AH114" s="5">
        <f>AH111-AH113</f>
        <v/>
      </c>
      <c r="AI114" s="5">
        <f>AI111-AI113</f>
        <v/>
      </c>
      <c r="AJ114" s="5">
        <f>AJ111-AJ113</f>
        <v/>
      </c>
      <c r="AK114" s="5">
        <f>AK111-AK113</f>
        <v/>
      </c>
      <c r="AL114" s="5">
        <f>AL111-AL113</f>
        <v/>
      </c>
      <c r="AM114" s="5">
        <f>AM111-AM113</f>
        <v/>
      </c>
      <c r="AN114" s="5">
        <f>AN111-AN113</f>
        <v/>
      </c>
      <c r="AO114" s="5">
        <f>AO111-AO113</f>
        <v/>
      </c>
      <c r="AP114" s="5">
        <f>AP111-AP113</f>
        <v/>
      </c>
      <c r="AQ114" s="5">
        <f>AQ111-AQ113</f>
        <v/>
      </c>
      <c r="AR114" s="5">
        <f>AR111-AR113</f>
        <v/>
      </c>
      <c r="AS114" s="5">
        <f>AS111-AS113</f>
        <v/>
      </c>
      <c r="AT114" s="5">
        <f>AT111-AT113</f>
        <v/>
      </c>
      <c r="AU114" s="5">
        <f>AU111-AU113</f>
        <v/>
      </c>
      <c r="AV114" s="5">
        <f>AV111-AV113</f>
        <v/>
      </c>
      <c r="AW114" s="5">
        <f>AW111-AW113</f>
        <v/>
      </c>
      <c r="AX114" s="5">
        <f>AX111-AX113</f>
        <v/>
      </c>
      <c r="AY114" s="5">
        <f>AY111-AY113</f>
        <v/>
      </c>
      <c r="AZ114" s="5">
        <f>AZ111-AZ113</f>
        <v/>
      </c>
      <c r="BA114" s="5">
        <f>BA111-BA113</f>
        <v/>
      </c>
      <c r="BB114" s="5">
        <f>BB111-BB113</f>
        <v/>
      </c>
      <c r="BC114" s="5">
        <f>BC111-BC113</f>
        <v/>
      </c>
      <c r="BD114" s="5">
        <f>BD111-BD113</f>
        <v/>
      </c>
      <c r="BE114" s="5">
        <f>BE111-BE113</f>
        <v/>
      </c>
      <c r="BF114" s="5">
        <f>BF111-BF113</f>
        <v/>
      </c>
      <c r="BG114" s="5">
        <f>BG111-BG113</f>
        <v/>
      </c>
      <c r="BH114" s="5">
        <f>BH111-BH113</f>
        <v/>
      </c>
      <c r="BI114" s="5">
        <f>BI111-BI113</f>
        <v/>
      </c>
      <c r="BJ114" s="5">
        <f>BJ111-BJ113</f>
        <v/>
      </c>
      <c r="BK114" s="5">
        <f>BK111-BK113</f>
        <v/>
      </c>
      <c r="BL114" s="5">
        <f>BL111-BL113</f>
        <v/>
      </c>
      <c r="BM114" s="5">
        <f>BM111-BM113</f>
        <v/>
      </c>
      <c r="BN114" s="5">
        <f>BN111-BN113</f>
        <v/>
      </c>
      <c r="BO114" s="5">
        <f>BO111-BO113</f>
        <v/>
      </c>
      <c r="BP114" s="5">
        <f>BP111-BP113</f>
        <v/>
      </c>
      <c r="BQ114" s="5">
        <f>BQ111-BQ113</f>
        <v/>
      </c>
      <c r="BR114" s="5">
        <f>BR111-BR113</f>
        <v/>
      </c>
      <c r="BS114" s="5">
        <f>BS111-BS113</f>
        <v/>
      </c>
      <c r="BT114" s="5">
        <f>BT111-BT113</f>
        <v/>
      </c>
      <c r="BU114" s="5">
        <f>BU111-BU113</f>
        <v/>
      </c>
      <c r="BV114" s="5">
        <f>BV111-BV113</f>
        <v/>
      </c>
    </row>
    <row r="115">
      <c r="A115" t="inlineStr">
        <is>
          <t>cum trial starts</t>
        </is>
      </c>
      <c r="B115" t="inlineStr">
        <is>
          <t>EUROPE|BASIC_A</t>
        </is>
      </c>
      <c r="C115" s="5">
        <f>SUM($C109:C109)</f>
        <v/>
      </c>
      <c r="D115" s="5">
        <f>SUM($C109:D109)</f>
        <v/>
      </c>
      <c r="E115" s="5">
        <f>SUM($C109:E109)</f>
        <v/>
      </c>
      <c r="F115" s="5">
        <f>SUM($C109:F109)</f>
        <v/>
      </c>
      <c r="G115" s="5">
        <f>SUM($C109:G109)</f>
        <v/>
      </c>
      <c r="H115" s="5">
        <f>SUM($C109:H109)</f>
        <v/>
      </c>
      <c r="I115" s="5">
        <f>SUM($C109:I109)</f>
        <v/>
      </c>
      <c r="J115" s="5">
        <f>SUM($C109:J109)</f>
        <v/>
      </c>
      <c r="K115" s="5">
        <f>SUM($C109:K109)</f>
        <v/>
      </c>
      <c r="L115" s="5">
        <f>SUM($C109:L109)</f>
        <v/>
      </c>
      <c r="M115" s="5">
        <f>SUM($C109:M109)</f>
        <v/>
      </c>
      <c r="N115" s="5">
        <f>SUM($C109:N109)</f>
        <v/>
      </c>
      <c r="O115" s="5">
        <f>SUM($C109:O109)</f>
        <v/>
      </c>
      <c r="P115" s="5">
        <f>SUM($C109:P109)</f>
        <v/>
      </c>
      <c r="Q115" s="5">
        <f>SUM($C109:Q109)</f>
        <v/>
      </c>
      <c r="R115" s="5">
        <f>SUM($C109:R109)</f>
        <v/>
      </c>
      <c r="S115" s="5">
        <f>SUM($C109:S109)</f>
        <v/>
      </c>
      <c r="T115" s="5">
        <f>SUM($C109:T109)</f>
        <v/>
      </c>
      <c r="U115" s="5">
        <f>SUM($C109:U109)</f>
        <v/>
      </c>
      <c r="V115" s="5">
        <f>SUM($C109:V109)</f>
        <v/>
      </c>
      <c r="W115" s="5">
        <f>SUM($C109:W109)</f>
        <v/>
      </c>
      <c r="X115" s="5">
        <f>SUM($C109:X109)</f>
        <v/>
      </c>
      <c r="Y115" s="5">
        <f>SUM($C109:Y109)</f>
        <v/>
      </c>
      <c r="Z115" s="5">
        <f>SUM($C109:Z109)</f>
        <v/>
      </c>
      <c r="AA115" s="5">
        <f>SUM($C109:AA109)</f>
        <v/>
      </c>
      <c r="AB115" s="5">
        <f>SUM($C109:AB109)</f>
        <v/>
      </c>
      <c r="AC115" s="5">
        <f>SUM($C109:AC109)</f>
        <v/>
      </c>
      <c r="AD115" s="5">
        <f>SUM($C109:AD109)</f>
        <v/>
      </c>
      <c r="AE115" s="5">
        <f>SUM($C109:AE109)</f>
        <v/>
      </c>
      <c r="AF115" s="5">
        <f>SUM($C109:AF109)</f>
        <v/>
      </c>
      <c r="AG115" s="5">
        <f>SUM($C109:AG109)</f>
        <v/>
      </c>
      <c r="AH115" s="5">
        <f>SUM($C109:AH109)</f>
        <v/>
      </c>
      <c r="AI115" s="5">
        <f>SUM($C109:AI109)</f>
        <v/>
      </c>
      <c r="AJ115" s="5">
        <f>SUM($C109:AJ109)</f>
        <v/>
      </c>
      <c r="AK115" s="5">
        <f>SUM($C109:AK109)</f>
        <v/>
      </c>
      <c r="AL115" s="5">
        <f>SUM($C109:AL109)</f>
        <v/>
      </c>
      <c r="AM115" s="5">
        <f>SUM($C109:AM109)</f>
        <v/>
      </c>
      <c r="AN115" s="5">
        <f>SUM($C109:AN109)</f>
        <v/>
      </c>
      <c r="AO115" s="5">
        <f>SUM($C109:AO109)</f>
        <v/>
      </c>
      <c r="AP115" s="5">
        <f>SUM($C109:AP109)</f>
        <v/>
      </c>
      <c r="AQ115" s="5">
        <f>SUM($C109:AQ109)</f>
        <v/>
      </c>
      <c r="AR115" s="5">
        <f>SUM($C109:AR109)</f>
        <v/>
      </c>
      <c r="AS115" s="5">
        <f>SUM($C109:AS109)</f>
        <v/>
      </c>
      <c r="AT115" s="5">
        <f>SUM($C109:AT109)</f>
        <v/>
      </c>
      <c r="AU115" s="5">
        <f>SUM($C109:AU109)</f>
        <v/>
      </c>
      <c r="AV115" s="5">
        <f>SUM($C109:AV109)</f>
        <v/>
      </c>
      <c r="AW115" s="5">
        <f>SUM($C109:AW109)</f>
        <v/>
      </c>
      <c r="AX115" s="5">
        <f>SUM($C109:AX109)</f>
        <v/>
      </c>
      <c r="AY115" s="5">
        <f>SUM($C109:AY109)</f>
        <v/>
      </c>
      <c r="AZ115" s="5">
        <f>SUM($C109:AZ109)</f>
        <v/>
      </c>
      <c r="BA115" s="5">
        <f>SUM($C109:BA109)</f>
        <v/>
      </c>
      <c r="BB115" s="5">
        <f>SUM($C109:BB109)</f>
        <v/>
      </c>
      <c r="BC115" s="5">
        <f>SUM($C109:BC109)</f>
        <v/>
      </c>
      <c r="BD115" s="5">
        <f>SUM($C109:BD109)</f>
        <v/>
      </c>
      <c r="BE115" s="5">
        <f>SUM($C109:BE109)</f>
        <v/>
      </c>
      <c r="BF115" s="5">
        <f>SUM($C109:BF109)</f>
        <v/>
      </c>
      <c r="BG115" s="5">
        <f>SUM($C109:BG109)</f>
        <v/>
      </c>
      <c r="BH115" s="5">
        <f>SUM($C109:BH109)</f>
        <v/>
      </c>
      <c r="BI115" s="5">
        <f>SUM($C109:BI109)</f>
        <v/>
      </c>
      <c r="BJ115" s="5">
        <f>SUM($C109:BJ109)</f>
        <v/>
      </c>
      <c r="BK115" s="5">
        <f>SUM($C109:BK109)</f>
        <v/>
      </c>
      <c r="BL115" s="5">
        <f>SUM($C109:BL109)</f>
        <v/>
      </c>
      <c r="BM115" s="5">
        <f>SUM($C109:BM109)</f>
        <v/>
      </c>
      <c r="BN115" s="5">
        <f>SUM($C109:BN109)</f>
        <v/>
      </c>
      <c r="BO115" s="5">
        <f>SUM($C109:BO109)</f>
        <v/>
      </c>
      <c r="BP115" s="5">
        <f>SUM($C109:BP109)</f>
        <v/>
      </c>
      <c r="BQ115" s="5">
        <f>SUM($C109:BQ109)</f>
        <v/>
      </c>
      <c r="BR115" s="5">
        <f>SUM($C109:BR109)</f>
        <v/>
      </c>
      <c r="BS115" s="5">
        <f>SUM($C109:BS109)</f>
        <v/>
      </c>
      <c r="BT115" s="5">
        <f>SUM($C109:BT109)</f>
        <v/>
      </c>
      <c r="BU115" s="5">
        <f>SUM($C109:BU109)</f>
        <v/>
      </c>
      <c r="BV115" s="5">
        <f>SUM($C109:BV109)</f>
        <v/>
      </c>
    </row>
    <row r="116">
      <c r="A116" t="inlineStr">
        <is>
          <t>cum trials ending</t>
        </is>
      </c>
      <c r="B116" t="inlineStr">
        <is>
          <t>EUROPE|BASIC_A</t>
        </is>
      </c>
      <c r="C116" s="5">
        <f>SUM($C111:C111)</f>
        <v/>
      </c>
      <c r="D116" s="5">
        <f>SUM($C111:D111)</f>
        <v/>
      </c>
      <c r="E116" s="5">
        <f>SUM($C111:E111)</f>
        <v/>
      </c>
      <c r="F116" s="5">
        <f>SUM($C111:F111)</f>
        <v/>
      </c>
      <c r="G116" s="5">
        <f>SUM($C111:G111)</f>
        <v/>
      </c>
      <c r="H116" s="5">
        <f>SUM($C111:H111)</f>
        <v/>
      </c>
      <c r="I116" s="5">
        <f>SUM($C111:I111)</f>
        <v/>
      </c>
      <c r="J116" s="5">
        <f>SUM($C111:J111)</f>
        <v/>
      </c>
      <c r="K116" s="5">
        <f>SUM($C111:K111)</f>
        <v/>
      </c>
      <c r="L116" s="5">
        <f>SUM($C111:L111)</f>
        <v/>
      </c>
      <c r="M116" s="5">
        <f>SUM($C111:M111)</f>
        <v/>
      </c>
      <c r="N116" s="5">
        <f>SUM($C111:N111)</f>
        <v/>
      </c>
      <c r="O116" s="5">
        <f>SUM($C111:O111)</f>
        <v/>
      </c>
      <c r="P116" s="5">
        <f>SUM($C111:P111)</f>
        <v/>
      </c>
      <c r="Q116" s="5">
        <f>SUM($C111:Q111)</f>
        <v/>
      </c>
      <c r="R116" s="5">
        <f>SUM($C111:R111)</f>
        <v/>
      </c>
      <c r="S116" s="5">
        <f>SUM($C111:S111)</f>
        <v/>
      </c>
      <c r="T116" s="5">
        <f>SUM($C111:T111)</f>
        <v/>
      </c>
      <c r="U116" s="5">
        <f>SUM($C111:U111)</f>
        <v/>
      </c>
      <c r="V116" s="5">
        <f>SUM($C111:V111)</f>
        <v/>
      </c>
      <c r="W116" s="5">
        <f>SUM($C111:W111)</f>
        <v/>
      </c>
      <c r="X116" s="5">
        <f>SUM($C111:X111)</f>
        <v/>
      </c>
      <c r="Y116" s="5">
        <f>SUM($C111:Y111)</f>
        <v/>
      </c>
      <c r="Z116" s="5">
        <f>SUM($C111:Z111)</f>
        <v/>
      </c>
      <c r="AA116" s="5">
        <f>SUM($C111:AA111)</f>
        <v/>
      </c>
      <c r="AB116" s="5">
        <f>SUM($C111:AB111)</f>
        <v/>
      </c>
      <c r="AC116" s="5">
        <f>SUM($C111:AC111)</f>
        <v/>
      </c>
      <c r="AD116" s="5">
        <f>SUM($C111:AD111)</f>
        <v/>
      </c>
      <c r="AE116" s="5">
        <f>SUM($C111:AE111)</f>
        <v/>
      </c>
      <c r="AF116" s="5">
        <f>SUM($C111:AF111)</f>
        <v/>
      </c>
      <c r="AG116" s="5">
        <f>SUM($C111:AG111)</f>
        <v/>
      </c>
      <c r="AH116" s="5">
        <f>SUM($C111:AH111)</f>
        <v/>
      </c>
      <c r="AI116" s="5">
        <f>SUM($C111:AI111)</f>
        <v/>
      </c>
      <c r="AJ116" s="5">
        <f>SUM($C111:AJ111)</f>
        <v/>
      </c>
      <c r="AK116" s="5">
        <f>SUM($C111:AK111)</f>
        <v/>
      </c>
      <c r="AL116" s="5">
        <f>SUM($C111:AL111)</f>
        <v/>
      </c>
      <c r="AM116" s="5">
        <f>SUM($C111:AM111)</f>
        <v/>
      </c>
      <c r="AN116" s="5">
        <f>SUM($C111:AN111)</f>
        <v/>
      </c>
      <c r="AO116" s="5">
        <f>SUM($C111:AO111)</f>
        <v/>
      </c>
      <c r="AP116" s="5">
        <f>SUM($C111:AP111)</f>
        <v/>
      </c>
      <c r="AQ116" s="5">
        <f>SUM($C111:AQ111)</f>
        <v/>
      </c>
      <c r="AR116" s="5">
        <f>SUM($C111:AR111)</f>
        <v/>
      </c>
      <c r="AS116" s="5">
        <f>SUM($C111:AS111)</f>
        <v/>
      </c>
      <c r="AT116" s="5">
        <f>SUM($C111:AT111)</f>
        <v/>
      </c>
      <c r="AU116" s="5">
        <f>SUM($C111:AU111)</f>
        <v/>
      </c>
      <c r="AV116" s="5">
        <f>SUM($C111:AV111)</f>
        <v/>
      </c>
      <c r="AW116" s="5">
        <f>SUM($C111:AW111)</f>
        <v/>
      </c>
      <c r="AX116" s="5">
        <f>SUM($C111:AX111)</f>
        <v/>
      </c>
      <c r="AY116" s="5">
        <f>SUM($C111:AY111)</f>
        <v/>
      </c>
      <c r="AZ116" s="5">
        <f>SUM($C111:AZ111)</f>
        <v/>
      </c>
      <c r="BA116" s="5">
        <f>SUM($C111:BA111)</f>
        <v/>
      </c>
      <c r="BB116" s="5">
        <f>SUM($C111:BB111)</f>
        <v/>
      </c>
      <c r="BC116" s="5">
        <f>SUM($C111:BC111)</f>
        <v/>
      </c>
      <c r="BD116" s="5">
        <f>SUM($C111:BD111)</f>
        <v/>
      </c>
      <c r="BE116" s="5">
        <f>SUM($C111:BE111)</f>
        <v/>
      </c>
      <c r="BF116" s="5">
        <f>SUM($C111:BF111)</f>
        <v/>
      </c>
      <c r="BG116" s="5">
        <f>SUM($C111:BG111)</f>
        <v/>
      </c>
      <c r="BH116" s="5">
        <f>SUM($C111:BH111)</f>
        <v/>
      </c>
      <c r="BI116" s="5">
        <f>SUM($C111:BI111)</f>
        <v/>
      </c>
      <c r="BJ116" s="5">
        <f>SUM($C111:BJ111)</f>
        <v/>
      </c>
      <c r="BK116" s="5">
        <f>SUM($C111:BK111)</f>
        <v/>
      </c>
      <c r="BL116" s="5">
        <f>SUM($C111:BL111)</f>
        <v/>
      </c>
      <c r="BM116" s="5">
        <f>SUM($C111:BM111)</f>
        <v/>
      </c>
      <c r="BN116" s="5">
        <f>SUM($C111:BN111)</f>
        <v/>
      </c>
      <c r="BO116" s="5">
        <f>SUM($C111:BO111)</f>
        <v/>
      </c>
      <c r="BP116" s="5">
        <f>SUM($C111:BP111)</f>
        <v/>
      </c>
      <c r="BQ116" s="5">
        <f>SUM($C111:BQ111)</f>
        <v/>
      </c>
      <c r="BR116" s="5">
        <f>SUM($C111:BR111)</f>
        <v/>
      </c>
      <c r="BS116" s="5">
        <f>SUM($C111:BS111)</f>
        <v/>
      </c>
      <c r="BT116" s="5">
        <f>SUM($C111:BT111)</f>
        <v/>
      </c>
      <c r="BU116" s="5">
        <f>SUM($C111:BU111)</f>
        <v/>
      </c>
      <c r="BV116" s="5">
        <f>SUM($C111:BV111)</f>
        <v/>
      </c>
    </row>
    <row r="117">
      <c r="A117" t="inlineStr">
        <is>
          <t>trials active</t>
        </is>
      </c>
      <c r="B117" t="inlineStr">
        <is>
          <t>EUROPE|BASIC_A</t>
        </is>
      </c>
      <c r="C117" s="5">
        <f>C115-C116</f>
        <v/>
      </c>
      <c r="D117" s="5">
        <f>D115-D116</f>
        <v/>
      </c>
      <c r="E117" s="5">
        <f>E115-E116</f>
        <v/>
      </c>
      <c r="F117" s="5">
        <f>F115-F116</f>
        <v/>
      </c>
      <c r="G117" s="5">
        <f>G115-G116</f>
        <v/>
      </c>
      <c r="H117" s="5">
        <f>H115-H116</f>
        <v/>
      </c>
      <c r="I117" s="5">
        <f>I115-I116</f>
        <v/>
      </c>
      <c r="J117" s="5">
        <f>J115-J116</f>
        <v/>
      </c>
      <c r="K117" s="5">
        <f>K115-K116</f>
        <v/>
      </c>
      <c r="L117" s="5">
        <f>L115-L116</f>
        <v/>
      </c>
      <c r="M117" s="5">
        <f>M115-M116</f>
        <v/>
      </c>
      <c r="N117" s="5">
        <f>N115-N116</f>
        <v/>
      </c>
      <c r="O117" s="5">
        <f>O115-O116</f>
        <v/>
      </c>
      <c r="P117" s="5">
        <f>P115-P116</f>
        <v/>
      </c>
      <c r="Q117" s="5">
        <f>Q115-Q116</f>
        <v/>
      </c>
      <c r="R117" s="5">
        <f>R115-R116</f>
        <v/>
      </c>
      <c r="S117" s="5">
        <f>S115-S116</f>
        <v/>
      </c>
      <c r="T117" s="5">
        <f>T115-T116</f>
        <v/>
      </c>
      <c r="U117" s="5">
        <f>U115-U116</f>
        <v/>
      </c>
      <c r="V117" s="5">
        <f>V115-V116</f>
        <v/>
      </c>
      <c r="W117" s="5">
        <f>W115-W116</f>
        <v/>
      </c>
      <c r="X117" s="5">
        <f>X115-X116</f>
        <v/>
      </c>
      <c r="Y117" s="5">
        <f>Y115-Y116</f>
        <v/>
      </c>
      <c r="Z117" s="5">
        <f>Z115-Z116</f>
        <v/>
      </c>
      <c r="AA117" s="5">
        <f>AA115-AA116</f>
        <v/>
      </c>
      <c r="AB117" s="5">
        <f>AB115-AB116</f>
        <v/>
      </c>
      <c r="AC117" s="5">
        <f>AC115-AC116</f>
        <v/>
      </c>
      <c r="AD117" s="5">
        <f>AD115-AD116</f>
        <v/>
      </c>
      <c r="AE117" s="5">
        <f>AE115-AE116</f>
        <v/>
      </c>
      <c r="AF117" s="5">
        <f>AF115-AF116</f>
        <v/>
      </c>
      <c r="AG117" s="5">
        <f>AG115-AG116</f>
        <v/>
      </c>
      <c r="AH117" s="5">
        <f>AH115-AH116</f>
        <v/>
      </c>
      <c r="AI117" s="5">
        <f>AI115-AI116</f>
        <v/>
      </c>
      <c r="AJ117" s="5">
        <f>AJ115-AJ116</f>
        <v/>
      </c>
      <c r="AK117" s="5">
        <f>AK115-AK116</f>
        <v/>
      </c>
      <c r="AL117" s="5">
        <f>AL115-AL116</f>
        <v/>
      </c>
      <c r="AM117" s="5">
        <f>AM115-AM116</f>
        <v/>
      </c>
      <c r="AN117" s="5">
        <f>AN115-AN116</f>
        <v/>
      </c>
      <c r="AO117" s="5">
        <f>AO115-AO116</f>
        <v/>
      </c>
      <c r="AP117" s="5">
        <f>AP115-AP116</f>
        <v/>
      </c>
      <c r="AQ117" s="5">
        <f>AQ115-AQ116</f>
        <v/>
      </c>
      <c r="AR117" s="5">
        <f>AR115-AR116</f>
        <v/>
      </c>
      <c r="AS117" s="5">
        <f>AS115-AS116</f>
        <v/>
      </c>
      <c r="AT117" s="5">
        <f>AT115-AT116</f>
        <v/>
      </c>
      <c r="AU117" s="5">
        <f>AU115-AU116</f>
        <v/>
      </c>
      <c r="AV117" s="5">
        <f>AV115-AV116</f>
        <v/>
      </c>
      <c r="AW117" s="5">
        <f>AW115-AW116</f>
        <v/>
      </c>
      <c r="AX117" s="5">
        <f>AX115-AX116</f>
        <v/>
      </c>
      <c r="AY117" s="5">
        <f>AY115-AY116</f>
        <v/>
      </c>
      <c r="AZ117" s="5">
        <f>AZ115-AZ116</f>
        <v/>
      </c>
      <c r="BA117" s="5">
        <f>BA115-BA116</f>
        <v/>
      </c>
      <c r="BB117" s="5">
        <f>BB115-BB116</f>
        <v/>
      </c>
      <c r="BC117" s="5">
        <f>BC115-BC116</f>
        <v/>
      </c>
      <c r="BD117" s="5">
        <f>BD115-BD116</f>
        <v/>
      </c>
      <c r="BE117" s="5">
        <f>BE115-BE116</f>
        <v/>
      </c>
      <c r="BF117" s="5">
        <f>BF115-BF116</f>
        <v/>
      </c>
      <c r="BG117" s="5">
        <f>BG115-BG116</f>
        <v/>
      </c>
      <c r="BH117" s="5">
        <f>BH115-BH116</f>
        <v/>
      </c>
      <c r="BI117" s="5">
        <f>BI115-BI116</f>
        <v/>
      </c>
      <c r="BJ117" s="5">
        <f>BJ115-BJ116</f>
        <v/>
      </c>
      <c r="BK117" s="5">
        <f>BK115-BK116</f>
        <v/>
      </c>
      <c r="BL117" s="5">
        <f>BL115-BL116</f>
        <v/>
      </c>
      <c r="BM117" s="5">
        <f>BM115-BM116</f>
        <v/>
      </c>
      <c r="BN117" s="5">
        <f>BN115-BN116</f>
        <v/>
      </c>
      <c r="BO117" s="5">
        <f>BO115-BO116</f>
        <v/>
      </c>
      <c r="BP117" s="5">
        <f>BP115-BP116</f>
        <v/>
      </c>
      <c r="BQ117" s="5">
        <f>BQ115-BQ116</f>
        <v/>
      </c>
      <c r="BR117" s="5">
        <f>BR115-BR116</f>
        <v/>
      </c>
      <c r="BS117" s="5">
        <f>BS115-BS116</f>
        <v/>
      </c>
      <c r="BT117" s="5">
        <f>BT115-BT116</f>
        <v/>
      </c>
      <c r="BU117" s="5">
        <f>BU115-BU116</f>
        <v/>
      </c>
      <c r="BV117" s="5">
        <f>BV115-BV116</f>
        <v/>
      </c>
    </row>
    <row r="118">
      <c r="A118" t="inlineStr">
        <is>
          <t>paid starts</t>
        </is>
      </c>
      <c r="B118" t="inlineStr">
        <is>
          <t>EUROPE|BASIC_A</t>
        </is>
      </c>
      <c r="C118" s="5">
        <f>C110+C113</f>
        <v/>
      </c>
      <c r="D118" s="5">
        <f>D110+D113</f>
        <v/>
      </c>
      <c r="E118" s="5">
        <f>E110+E113</f>
        <v/>
      </c>
      <c r="F118" s="5">
        <f>F110+F113</f>
        <v/>
      </c>
      <c r="G118" s="5">
        <f>G110+G113</f>
        <v/>
      </c>
      <c r="H118" s="5">
        <f>H110+H113</f>
        <v/>
      </c>
      <c r="I118" s="5">
        <f>I110+I113</f>
        <v/>
      </c>
      <c r="J118" s="5">
        <f>J110+J113</f>
        <v/>
      </c>
      <c r="K118" s="5">
        <f>K110+K113</f>
        <v/>
      </c>
      <c r="L118" s="5">
        <f>L110+L113</f>
        <v/>
      </c>
      <c r="M118" s="5">
        <f>M110+M113</f>
        <v/>
      </c>
      <c r="N118" s="5">
        <f>N110+N113</f>
        <v/>
      </c>
      <c r="O118" s="5">
        <f>O110+O113</f>
        <v/>
      </c>
      <c r="P118" s="5">
        <f>P110+P113</f>
        <v/>
      </c>
      <c r="Q118" s="5">
        <f>Q110+Q113</f>
        <v/>
      </c>
      <c r="R118" s="5">
        <f>R110+R113</f>
        <v/>
      </c>
      <c r="S118" s="5">
        <f>S110+S113</f>
        <v/>
      </c>
      <c r="T118" s="5">
        <f>T110+T113</f>
        <v/>
      </c>
      <c r="U118" s="5">
        <f>U110+U113</f>
        <v/>
      </c>
      <c r="V118" s="5">
        <f>V110+V113</f>
        <v/>
      </c>
      <c r="W118" s="5">
        <f>W110+W113</f>
        <v/>
      </c>
      <c r="X118" s="5">
        <f>X110+X113</f>
        <v/>
      </c>
      <c r="Y118" s="5">
        <f>Y110+Y113</f>
        <v/>
      </c>
      <c r="Z118" s="5">
        <f>Z110+Z113</f>
        <v/>
      </c>
      <c r="AA118" s="5">
        <f>AA110+AA113</f>
        <v/>
      </c>
      <c r="AB118" s="5">
        <f>AB110+AB113</f>
        <v/>
      </c>
      <c r="AC118" s="5">
        <f>AC110+AC113</f>
        <v/>
      </c>
      <c r="AD118" s="5">
        <f>AD110+AD113</f>
        <v/>
      </c>
      <c r="AE118" s="5">
        <f>AE110+AE113</f>
        <v/>
      </c>
      <c r="AF118" s="5">
        <f>AF110+AF113</f>
        <v/>
      </c>
      <c r="AG118" s="5">
        <f>AG110+AG113</f>
        <v/>
      </c>
      <c r="AH118" s="5">
        <f>AH110+AH113</f>
        <v/>
      </c>
      <c r="AI118" s="5">
        <f>AI110+AI113</f>
        <v/>
      </c>
      <c r="AJ118" s="5">
        <f>AJ110+AJ113</f>
        <v/>
      </c>
      <c r="AK118" s="5">
        <f>AK110+AK113</f>
        <v/>
      </c>
      <c r="AL118" s="5">
        <f>AL110+AL113</f>
        <v/>
      </c>
      <c r="AM118" s="5">
        <f>AM110+AM113</f>
        <v/>
      </c>
      <c r="AN118" s="5">
        <f>AN110+AN113</f>
        <v/>
      </c>
      <c r="AO118" s="5">
        <f>AO110+AO113</f>
        <v/>
      </c>
      <c r="AP118" s="5">
        <f>AP110+AP113</f>
        <v/>
      </c>
      <c r="AQ118" s="5">
        <f>AQ110+AQ113</f>
        <v/>
      </c>
      <c r="AR118" s="5">
        <f>AR110+AR113</f>
        <v/>
      </c>
      <c r="AS118" s="5">
        <f>AS110+AS113</f>
        <v/>
      </c>
      <c r="AT118" s="5">
        <f>AT110+AT113</f>
        <v/>
      </c>
      <c r="AU118" s="5">
        <f>AU110+AU113</f>
        <v/>
      </c>
      <c r="AV118" s="5">
        <f>AV110+AV113</f>
        <v/>
      </c>
      <c r="AW118" s="5">
        <f>AW110+AW113</f>
        <v/>
      </c>
      <c r="AX118" s="5">
        <f>AX110+AX113</f>
        <v/>
      </c>
      <c r="AY118" s="5">
        <f>AY110+AY113</f>
        <v/>
      </c>
      <c r="AZ118" s="5">
        <f>AZ110+AZ113</f>
        <v/>
      </c>
      <c r="BA118" s="5">
        <f>BA110+BA113</f>
        <v/>
      </c>
      <c r="BB118" s="5">
        <f>BB110+BB113</f>
        <v/>
      </c>
      <c r="BC118" s="5">
        <f>BC110+BC113</f>
        <v/>
      </c>
      <c r="BD118" s="5">
        <f>BD110+BD113</f>
        <v/>
      </c>
      <c r="BE118" s="5">
        <f>BE110+BE113</f>
        <v/>
      </c>
      <c r="BF118" s="5">
        <f>BF110+BF113</f>
        <v/>
      </c>
      <c r="BG118" s="5">
        <f>BG110+BG113</f>
        <v/>
      </c>
      <c r="BH118" s="5">
        <f>BH110+BH113</f>
        <v/>
      </c>
      <c r="BI118" s="5">
        <f>BI110+BI113</f>
        <v/>
      </c>
      <c r="BJ118" s="5">
        <f>BJ110+BJ113</f>
        <v/>
      </c>
      <c r="BK118" s="5">
        <f>BK110+BK113</f>
        <v/>
      </c>
      <c r="BL118" s="5">
        <f>BL110+BL113</f>
        <v/>
      </c>
      <c r="BM118" s="5">
        <f>BM110+BM113</f>
        <v/>
      </c>
      <c r="BN118" s="5">
        <f>BN110+BN113</f>
        <v/>
      </c>
      <c r="BO118" s="5">
        <f>BO110+BO113</f>
        <v/>
      </c>
      <c r="BP118" s="5">
        <f>BP110+BP113</f>
        <v/>
      </c>
      <c r="BQ118" s="5">
        <f>BQ110+BQ113</f>
        <v/>
      </c>
      <c r="BR118" s="5">
        <f>BR110+BR113</f>
        <v/>
      </c>
      <c r="BS118" s="5">
        <f>BS110+BS113</f>
        <v/>
      </c>
      <c r="BT118" s="5">
        <f>BT110+BT113</f>
        <v/>
      </c>
      <c r="BU118" s="5">
        <f>BU110+BU113</f>
        <v/>
      </c>
      <c r="BV118" s="5">
        <f>BV110+BV113</f>
        <v/>
      </c>
    </row>
    <row r="119">
      <c r="A119" t="inlineStr">
        <is>
          <t>paid starts @0</t>
        </is>
      </c>
      <c r="B119" t="inlineStr">
        <is>
          <t>EUROPE|BASIC_A</t>
        </is>
      </c>
      <c r="C119" s="5">
        <f>C118*Eras!C$3</f>
        <v/>
      </c>
      <c r="D119" s="5">
        <f>D118*Eras!D$3</f>
        <v/>
      </c>
      <c r="E119" s="5">
        <f>E118*Eras!E$3</f>
        <v/>
      </c>
      <c r="F119" s="5">
        <f>F118*Eras!F$3</f>
        <v/>
      </c>
      <c r="G119" s="5">
        <f>G118*Eras!G$3</f>
        <v/>
      </c>
      <c r="H119" s="5">
        <f>H118*Eras!H$3</f>
        <v/>
      </c>
      <c r="I119" s="5">
        <f>I118*Eras!I$3</f>
        <v/>
      </c>
      <c r="J119" s="5">
        <f>J118*Eras!J$3</f>
        <v/>
      </c>
      <c r="K119" s="5">
        <f>K118*Eras!K$3</f>
        <v/>
      </c>
      <c r="L119" s="5">
        <f>L118*Eras!L$3</f>
        <v/>
      </c>
      <c r="M119" s="5">
        <f>M118*Eras!M$3</f>
        <v/>
      </c>
      <c r="N119" s="5">
        <f>N118*Eras!N$3</f>
        <v/>
      </c>
      <c r="O119" s="5">
        <f>O118*Eras!O$3</f>
        <v/>
      </c>
      <c r="P119" s="5">
        <f>P118*Eras!P$3</f>
        <v/>
      </c>
      <c r="Q119" s="5">
        <f>Q118*Eras!Q$3</f>
        <v/>
      </c>
      <c r="R119" s="5">
        <f>R118*Eras!R$3</f>
        <v/>
      </c>
      <c r="S119" s="5">
        <f>S118*Eras!S$3</f>
        <v/>
      </c>
      <c r="T119" s="5">
        <f>T118*Eras!T$3</f>
        <v/>
      </c>
      <c r="U119" s="5">
        <f>U118*Eras!U$3</f>
        <v/>
      </c>
      <c r="V119" s="5">
        <f>V118*Eras!V$3</f>
        <v/>
      </c>
      <c r="W119" s="5">
        <f>W118*Eras!W$3</f>
        <v/>
      </c>
      <c r="X119" s="5">
        <f>X118*Eras!X$3</f>
        <v/>
      </c>
      <c r="Y119" s="5">
        <f>Y118*Eras!Y$3</f>
        <v/>
      </c>
      <c r="Z119" s="5">
        <f>Z118*Eras!Z$3</f>
        <v/>
      </c>
      <c r="AA119" s="5">
        <f>AA118*Eras!AA$3</f>
        <v/>
      </c>
      <c r="AB119" s="5">
        <f>AB118*Eras!AB$3</f>
        <v/>
      </c>
      <c r="AC119" s="5">
        <f>AC118*Eras!AC$3</f>
        <v/>
      </c>
      <c r="AD119" s="5">
        <f>AD118*Eras!AD$3</f>
        <v/>
      </c>
      <c r="AE119" s="5">
        <f>AE118*Eras!AE$3</f>
        <v/>
      </c>
      <c r="AF119" s="5">
        <f>AF118*Eras!AF$3</f>
        <v/>
      </c>
      <c r="AG119" s="5">
        <f>AG118*Eras!AG$3</f>
        <v/>
      </c>
      <c r="AH119" s="5">
        <f>AH118*Eras!AH$3</f>
        <v/>
      </c>
      <c r="AI119" s="5">
        <f>AI118*Eras!AI$3</f>
        <v/>
      </c>
      <c r="AJ119" s="5">
        <f>AJ118*Eras!AJ$3</f>
        <v/>
      </c>
      <c r="AK119" s="5">
        <f>AK118*Eras!AK$3</f>
        <v/>
      </c>
      <c r="AL119" s="5">
        <f>AL118*Eras!AL$3</f>
        <v/>
      </c>
      <c r="AM119" s="5">
        <f>AM118*Eras!AM$3</f>
        <v/>
      </c>
      <c r="AN119" s="5">
        <f>AN118*Eras!AN$3</f>
        <v/>
      </c>
      <c r="AO119" s="5">
        <f>AO118*Eras!AO$3</f>
        <v/>
      </c>
      <c r="AP119" s="5">
        <f>AP118*Eras!AP$3</f>
        <v/>
      </c>
      <c r="AQ119" s="5">
        <f>AQ118*Eras!AQ$3</f>
        <v/>
      </c>
      <c r="AR119" s="5">
        <f>AR118*Eras!AR$3</f>
        <v/>
      </c>
      <c r="AS119" s="5">
        <f>AS118*Eras!AS$3</f>
        <v/>
      </c>
      <c r="AT119" s="5">
        <f>AT118*Eras!AT$3</f>
        <v/>
      </c>
      <c r="AU119" s="5">
        <f>AU118*Eras!AU$3</f>
        <v/>
      </c>
      <c r="AV119" s="5">
        <f>AV118*Eras!AV$3</f>
        <v/>
      </c>
      <c r="AW119" s="5">
        <f>AW118*Eras!AW$3</f>
        <v/>
      </c>
      <c r="AX119" s="5">
        <f>AX118*Eras!AX$3</f>
        <v/>
      </c>
      <c r="AY119" s="5">
        <f>AY118*Eras!AY$3</f>
        <v/>
      </c>
      <c r="AZ119" s="5">
        <f>AZ118*Eras!AZ$3</f>
        <v/>
      </c>
      <c r="BA119" s="5">
        <f>BA118*Eras!BA$3</f>
        <v/>
      </c>
      <c r="BB119" s="5">
        <f>BB118*Eras!BB$3</f>
        <v/>
      </c>
      <c r="BC119" s="5">
        <f>BC118*Eras!BC$3</f>
        <v/>
      </c>
      <c r="BD119" s="5">
        <f>BD118*Eras!BD$3</f>
        <v/>
      </c>
      <c r="BE119" s="5">
        <f>BE118*Eras!BE$3</f>
        <v/>
      </c>
      <c r="BF119" s="5">
        <f>BF118*Eras!BF$3</f>
        <v/>
      </c>
      <c r="BG119" s="5">
        <f>BG118*Eras!BG$3</f>
        <v/>
      </c>
      <c r="BH119" s="5">
        <f>BH118*Eras!BH$3</f>
        <v/>
      </c>
      <c r="BI119" s="5">
        <f>BI118*Eras!BI$3</f>
        <v/>
      </c>
      <c r="BJ119" s="5">
        <f>BJ118*Eras!BJ$3</f>
        <v/>
      </c>
      <c r="BK119" s="5">
        <f>BK118*Eras!BK$3</f>
        <v/>
      </c>
      <c r="BL119" s="5">
        <f>BL118*Eras!BL$3</f>
        <v/>
      </c>
      <c r="BM119" s="5">
        <f>BM118*Eras!BM$3</f>
        <v/>
      </c>
      <c r="BN119" s="5">
        <f>BN118*Eras!BN$3</f>
        <v/>
      </c>
      <c r="BO119" s="5">
        <f>BO118*Eras!BO$3</f>
        <v/>
      </c>
      <c r="BP119" s="5">
        <f>BP118*Eras!BP$3</f>
        <v/>
      </c>
      <c r="BQ119" s="5">
        <f>BQ118*Eras!BQ$3</f>
        <v/>
      </c>
      <c r="BR119" s="5">
        <f>BR118*Eras!BR$3</f>
        <v/>
      </c>
      <c r="BS119" s="5">
        <f>BS118*Eras!BS$3</f>
        <v/>
      </c>
      <c r="BT119" s="5">
        <f>BT118*Eras!BT$3</f>
        <v/>
      </c>
      <c r="BU119" s="5">
        <f>BU118*Eras!BU$3</f>
        <v/>
      </c>
      <c r="BV119" s="5">
        <f>BV118*Eras!BV$3</f>
        <v/>
      </c>
    </row>
    <row r="120">
      <c r="A120" t="inlineStr">
        <is>
          <t>paid starts @1</t>
        </is>
      </c>
      <c r="B120" t="inlineStr">
        <is>
          <t>EUROPE|BASIC_A</t>
        </is>
      </c>
      <c r="C120" s="5">
        <f>C118*Eras!C$4</f>
        <v/>
      </c>
      <c r="D120" s="5">
        <f>D118*Eras!D$4</f>
        <v/>
      </c>
      <c r="E120" s="5">
        <f>E118*Eras!E$4</f>
        <v/>
      </c>
      <c r="F120" s="5">
        <f>F118*Eras!F$4</f>
        <v/>
      </c>
      <c r="G120" s="5">
        <f>G118*Eras!G$4</f>
        <v/>
      </c>
      <c r="H120" s="5">
        <f>H118*Eras!H$4</f>
        <v/>
      </c>
      <c r="I120" s="5">
        <f>I118*Eras!I$4</f>
        <v/>
      </c>
      <c r="J120" s="5">
        <f>J118*Eras!J$4</f>
        <v/>
      </c>
      <c r="K120" s="5">
        <f>K118*Eras!K$4</f>
        <v/>
      </c>
      <c r="L120" s="5">
        <f>L118*Eras!L$4</f>
        <v/>
      </c>
      <c r="M120" s="5">
        <f>M118*Eras!M$4</f>
        <v/>
      </c>
      <c r="N120" s="5">
        <f>N118*Eras!N$4</f>
        <v/>
      </c>
      <c r="O120" s="5">
        <f>O118*Eras!O$4</f>
        <v/>
      </c>
      <c r="P120" s="5">
        <f>P118*Eras!P$4</f>
        <v/>
      </c>
      <c r="Q120" s="5">
        <f>Q118*Eras!Q$4</f>
        <v/>
      </c>
      <c r="R120" s="5">
        <f>R118*Eras!R$4</f>
        <v/>
      </c>
      <c r="S120" s="5">
        <f>S118*Eras!S$4</f>
        <v/>
      </c>
      <c r="T120" s="5">
        <f>T118*Eras!T$4</f>
        <v/>
      </c>
      <c r="U120" s="5">
        <f>U118*Eras!U$4</f>
        <v/>
      </c>
      <c r="V120" s="5">
        <f>V118*Eras!V$4</f>
        <v/>
      </c>
      <c r="W120" s="5">
        <f>W118*Eras!W$4</f>
        <v/>
      </c>
      <c r="X120" s="5">
        <f>X118*Eras!X$4</f>
        <v/>
      </c>
      <c r="Y120" s="5">
        <f>Y118*Eras!Y$4</f>
        <v/>
      </c>
      <c r="Z120" s="5">
        <f>Z118*Eras!Z$4</f>
        <v/>
      </c>
      <c r="AA120" s="5">
        <f>AA118*Eras!AA$4</f>
        <v/>
      </c>
      <c r="AB120" s="5">
        <f>AB118*Eras!AB$4</f>
        <v/>
      </c>
      <c r="AC120" s="5">
        <f>AC118*Eras!AC$4</f>
        <v/>
      </c>
      <c r="AD120" s="5">
        <f>AD118*Eras!AD$4</f>
        <v/>
      </c>
      <c r="AE120" s="5">
        <f>AE118*Eras!AE$4</f>
        <v/>
      </c>
      <c r="AF120" s="5">
        <f>AF118*Eras!AF$4</f>
        <v/>
      </c>
      <c r="AG120" s="5">
        <f>AG118*Eras!AG$4</f>
        <v/>
      </c>
      <c r="AH120" s="5">
        <f>AH118*Eras!AH$4</f>
        <v/>
      </c>
      <c r="AI120" s="5">
        <f>AI118*Eras!AI$4</f>
        <v/>
      </c>
      <c r="AJ120" s="5">
        <f>AJ118*Eras!AJ$4</f>
        <v/>
      </c>
      <c r="AK120" s="5">
        <f>AK118*Eras!AK$4</f>
        <v/>
      </c>
      <c r="AL120" s="5">
        <f>AL118*Eras!AL$4</f>
        <v/>
      </c>
      <c r="AM120" s="5">
        <f>AM118*Eras!AM$4</f>
        <v/>
      </c>
      <c r="AN120" s="5">
        <f>AN118*Eras!AN$4</f>
        <v/>
      </c>
      <c r="AO120" s="5">
        <f>AO118*Eras!AO$4</f>
        <v/>
      </c>
      <c r="AP120" s="5">
        <f>AP118*Eras!AP$4</f>
        <v/>
      </c>
      <c r="AQ120" s="5">
        <f>AQ118*Eras!AQ$4</f>
        <v/>
      </c>
      <c r="AR120" s="5">
        <f>AR118*Eras!AR$4</f>
        <v/>
      </c>
      <c r="AS120" s="5">
        <f>AS118*Eras!AS$4</f>
        <v/>
      </c>
      <c r="AT120" s="5">
        <f>AT118*Eras!AT$4</f>
        <v/>
      </c>
      <c r="AU120" s="5">
        <f>AU118*Eras!AU$4</f>
        <v/>
      </c>
      <c r="AV120" s="5">
        <f>AV118*Eras!AV$4</f>
        <v/>
      </c>
      <c r="AW120" s="5">
        <f>AW118*Eras!AW$4</f>
        <v/>
      </c>
      <c r="AX120" s="5">
        <f>AX118*Eras!AX$4</f>
        <v/>
      </c>
      <c r="AY120" s="5">
        <f>AY118*Eras!AY$4</f>
        <v/>
      </c>
      <c r="AZ120" s="5">
        <f>AZ118*Eras!AZ$4</f>
        <v/>
      </c>
      <c r="BA120" s="5">
        <f>BA118*Eras!BA$4</f>
        <v/>
      </c>
      <c r="BB120" s="5">
        <f>BB118*Eras!BB$4</f>
        <v/>
      </c>
      <c r="BC120" s="5">
        <f>BC118*Eras!BC$4</f>
        <v/>
      </c>
      <c r="BD120" s="5">
        <f>BD118*Eras!BD$4</f>
        <v/>
      </c>
      <c r="BE120" s="5">
        <f>BE118*Eras!BE$4</f>
        <v/>
      </c>
      <c r="BF120" s="5">
        <f>BF118*Eras!BF$4</f>
        <v/>
      </c>
      <c r="BG120" s="5">
        <f>BG118*Eras!BG$4</f>
        <v/>
      </c>
      <c r="BH120" s="5">
        <f>BH118*Eras!BH$4</f>
        <v/>
      </c>
      <c r="BI120" s="5">
        <f>BI118*Eras!BI$4</f>
        <v/>
      </c>
      <c r="BJ120" s="5">
        <f>BJ118*Eras!BJ$4</f>
        <v/>
      </c>
      <c r="BK120" s="5">
        <f>BK118*Eras!BK$4</f>
        <v/>
      </c>
      <c r="BL120" s="5">
        <f>BL118*Eras!BL$4</f>
        <v/>
      </c>
      <c r="BM120" s="5">
        <f>BM118*Eras!BM$4</f>
        <v/>
      </c>
      <c r="BN120" s="5">
        <f>BN118*Eras!BN$4</f>
        <v/>
      </c>
      <c r="BO120" s="5">
        <f>BO118*Eras!BO$4</f>
        <v/>
      </c>
      <c r="BP120" s="5">
        <f>BP118*Eras!BP$4</f>
        <v/>
      </c>
      <c r="BQ120" s="5">
        <f>BQ118*Eras!BQ$4</f>
        <v/>
      </c>
      <c r="BR120" s="5">
        <f>BR118*Eras!BR$4</f>
        <v/>
      </c>
      <c r="BS120" s="5">
        <f>BS118*Eras!BS$4</f>
        <v/>
      </c>
      <c r="BT120" s="5">
        <f>BT118*Eras!BT$4</f>
        <v/>
      </c>
      <c r="BU120" s="5">
        <f>BU118*Eras!BU$4</f>
        <v/>
      </c>
      <c r="BV120" s="5">
        <f>BV118*Eras!BV$4</f>
        <v/>
      </c>
    </row>
    <row r="121">
      <c r="A121" t="inlineStr">
        <is>
          <t>paid starts @2</t>
        </is>
      </c>
      <c r="B121" t="inlineStr">
        <is>
          <t>EUROPE|BASIC_A</t>
        </is>
      </c>
      <c r="C121" s="5">
        <f>C118*Eras!C$5</f>
        <v/>
      </c>
      <c r="D121" s="5">
        <f>D118*Eras!D$5</f>
        <v/>
      </c>
      <c r="E121" s="5">
        <f>E118*Eras!E$5</f>
        <v/>
      </c>
      <c r="F121" s="5">
        <f>F118*Eras!F$5</f>
        <v/>
      </c>
      <c r="G121" s="5">
        <f>G118*Eras!G$5</f>
        <v/>
      </c>
      <c r="H121" s="5">
        <f>H118*Eras!H$5</f>
        <v/>
      </c>
      <c r="I121" s="5">
        <f>I118*Eras!I$5</f>
        <v/>
      </c>
      <c r="J121" s="5">
        <f>J118*Eras!J$5</f>
        <v/>
      </c>
      <c r="K121" s="5">
        <f>K118*Eras!K$5</f>
        <v/>
      </c>
      <c r="L121" s="5">
        <f>L118*Eras!L$5</f>
        <v/>
      </c>
      <c r="M121" s="5">
        <f>M118*Eras!M$5</f>
        <v/>
      </c>
      <c r="N121" s="5">
        <f>N118*Eras!N$5</f>
        <v/>
      </c>
      <c r="O121" s="5">
        <f>O118*Eras!O$5</f>
        <v/>
      </c>
      <c r="P121" s="5">
        <f>P118*Eras!P$5</f>
        <v/>
      </c>
      <c r="Q121" s="5">
        <f>Q118*Eras!Q$5</f>
        <v/>
      </c>
      <c r="R121" s="5">
        <f>R118*Eras!R$5</f>
        <v/>
      </c>
      <c r="S121" s="5">
        <f>S118*Eras!S$5</f>
        <v/>
      </c>
      <c r="T121" s="5">
        <f>T118*Eras!T$5</f>
        <v/>
      </c>
      <c r="U121" s="5">
        <f>U118*Eras!U$5</f>
        <v/>
      </c>
      <c r="V121" s="5">
        <f>V118*Eras!V$5</f>
        <v/>
      </c>
      <c r="W121" s="5">
        <f>W118*Eras!W$5</f>
        <v/>
      </c>
      <c r="X121" s="5">
        <f>X118*Eras!X$5</f>
        <v/>
      </c>
      <c r="Y121" s="5">
        <f>Y118*Eras!Y$5</f>
        <v/>
      </c>
      <c r="Z121" s="5">
        <f>Z118*Eras!Z$5</f>
        <v/>
      </c>
      <c r="AA121" s="5">
        <f>AA118*Eras!AA$5</f>
        <v/>
      </c>
      <c r="AB121" s="5">
        <f>AB118*Eras!AB$5</f>
        <v/>
      </c>
      <c r="AC121" s="5">
        <f>AC118*Eras!AC$5</f>
        <v/>
      </c>
      <c r="AD121" s="5">
        <f>AD118*Eras!AD$5</f>
        <v/>
      </c>
      <c r="AE121" s="5">
        <f>AE118*Eras!AE$5</f>
        <v/>
      </c>
      <c r="AF121" s="5">
        <f>AF118*Eras!AF$5</f>
        <v/>
      </c>
      <c r="AG121" s="5">
        <f>AG118*Eras!AG$5</f>
        <v/>
      </c>
      <c r="AH121" s="5">
        <f>AH118*Eras!AH$5</f>
        <v/>
      </c>
      <c r="AI121" s="5">
        <f>AI118*Eras!AI$5</f>
        <v/>
      </c>
      <c r="AJ121" s="5">
        <f>AJ118*Eras!AJ$5</f>
        <v/>
      </c>
      <c r="AK121" s="5">
        <f>AK118*Eras!AK$5</f>
        <v/>
      </c>
      <c r="AL121" s="5">
        <f>AL118*Eras!AL$5</f>
        <v/>
      </c>
      <c r="AM121" s="5">
        <f>AM118*Eras!AM$5</f>
        <v/>
      </c>
      <c r="AN121" s="5">
        <f>AN118*Eras!AN$5</f>
        <v/>
      </c>
      <c r="AO121" s="5">
        <f>AO118*Eras!AO$5</f>
        <v/>
      </c>
      <c r="AP121" s="5">
        <f>AP118*Eras!AP$5</f>
        <v/>
      </c>
      <c r="AQ121" s="5">
        <f>AQ118*Eras!AQ$5</f>
        <v/>
      </c>
      <c r="AR121" s="5">
        <f>AR118*Eras!AR$5</f>
        <v/>
      </c>
      <c r="AS121" s="5">
        <f>AS118*Eras!AS$5</f>
        <v/>
      </c>
      <c r="AT121" s="5">
        <f>AT118*Eras!AT$5</f>
        <v/>
      </c>
      <c r="AU121" s="5">
        <f>AU118*Eras!AU$5</f>
        <v/>
      </c>
      <c r="AV121" s="5">
        <f>AV118*Eras!AV$5</f>
        <v/>
      </c>
      <c r="AW121" s="5">
        <f>AW118*Eras!AW$5</f>
        <v/>
      </c>
      <c r="AX121" s="5">
        <f>AX118*Eras!AX$5</f>
        <v/>
      </c>
      <c r="AY121" s="5">
        <f>AY118*Eras!AY$5</f>
        <v/>
      </c>
      <c r="AZ121" s="5">
        <f>AZ118*Eras!AZ$5</f>
        <v/>
      </c>
      <c r="BA121" s="5">
        <f>BA118*Eras!BA$5</f>
        <v/>
      </c>
      <c r="BB121" s="5">
        <f>BB118*Eras!BB$5</f>
        <v/>
      </c>
      <c r="BC121" s="5">
        <f>BC118*Eras!BC$5</f>
        <v/>
      </c>
      <c r="BD121" s="5">
        <f>BD118*Eras!BD$5</f>
        <v/>
      </c>
      <c r="BE121" s="5">
        <f>BE118*Eras!BE$5</f>
        <v/>
      </c>
      <c r="BF121" s="5">
        <f>BF118*Eras!BF$5</f>
        <v/>
      </c>
      <c r="BG121" s="5">
        <f>BG118*Eras!BG$5</f>
        <v/>
      </c>
      <c r="BH121" s="5">
        <f>BH118*Eras!BH$5</f>
        <v/>
      </c>
      <c r="BI121" s="5">
        <f>BI118*Eras!BI$5</f>
        <v/>
      </c>
      <c r="BJ121" s="5">
        <f>BJ118*Eras!BJ$5</f>
        <v/>
      </c>
      <c r="BK121" s="5">
        <f>BK118*Eras!BK$5</f>
        <v/>
      </c>
      <c r="BL121" s="5">
        <f>BL118*Eras!BL$5</f>
        <v/>
      </c>
      <c r="BM121" s="5">
        <f>BM118*Eras!BM$5</f>
        <v/>
      </c>
      <c r="BN121" s="5">
        <f>BN118*Eras!BN$5</f>
        <v/>
      </c>
      <c r="BO121" s="5">
        <f>BO118*Eras!BO$5</f>
        <v/>
      </c>
      <c r="BP121" s="5">
        <f>BP118*Eras!BP$5</f>
        <v/>
      </c>
      <c r="BQ121" s="5">
        <f>BQ118*Eras!BQ$5</f>
        <v/>
      </c>
      <c r="BR121" s="5">
        <f>BR118*Eras!BR$5</f>
        <v/>
      </c>
      <c r="BS121" s="5">
        <f>BS118*Eras!BS$5</f>
        <v/>
      </c>
      <c r="BT121" s="5">
        <f>BT118*Eras!BT$5</f>
        <v/>
      </c>
      <c r="BU121" s="5">
        <f>BU118*Eras!BU$5</f>
        <v/>
      </c>
      <c r="BV121" s="5">
        <f>BV118*Eras!BV$5</f>
        <v/>
      </c>
    </row>
    <row r="123">
      <c r="A123" t="inlineStr">
        <is>
          <t>gross adds</t>
        </is>
      </c>
      <c r="B123" t="inlineStr">
        <is>
          <t>LATAM|NITRO_M</t>
        </is>
      </c>
      <c r="C123" s="5">
        <f>MAU!C6*Params!$B$59*Eras!C$7*Params!$B$130*Params!$B$92</f>
        <v/>
      </c>
      <c r="D123" s="5">
        <f>MAU!D6*Params!$B$59*Eras!D$7*Params!$B$130*Params!$B$92</f>
        <v/>
      </c>
      <c r="E123" s="5">
        <f>MAU!E6*Params!$B$59*Eras!E$7*Params!$B$130*Params!$B$92</f>
        <v/>
      </c>
      <c r="F123" s="5">
        <f>MAU!F6*Params!$B$59*Eras!F$7*Params!$B$130*Params!$B$92</f>
        <v/>
      </c>
      <c r="G123" s="5">
        <f>MAU!G6*Params!$B$59*Eras!G$7*Params!$B$130*Params!$B$92</f>
        <v/>
      </c>
      <c r="H123" s="5">
        <f>MAU!H6*Params!$B$59*Eras!H$7*Params!$B$130*Params!$B$92</f>
        <v/>
      </c>
      <c r="I123" s="5">
        <f>MAU!I6*Params!$B$59*Eras!I$7*Params!$B$130*Params!$B$92</f>
        <v/>
      </c>
      <c r="J123" s="5">
        <f>MAU!J6*Params!$B$59*Eras!J$7*Params!$B$130*Params!$B$92</f>
        <v/>
      </c>
      <c r="K123" s="5">
        <f>MAU!K6*Params!$B$59*Eras!K$7*Params!$B$130*Params!$B$92</f>
        <v/>
      </c>
      <c r="L123" s="5">
        <f>MAU!L6*Params!$B$59*Eras!L$7*Params!$B$130*Params!$B$92</f>
        <v/>
      </c>
      <c r="M123" s="5">
        <f>MAU!M6*Params!$B$59*Eras!M$7*Params!$B$130*Params!$B$92</f>
        <v/>
      </c>
      <c r="N123" s="5">
        <f>MAU!N6*Params!$B$59*Eras!N$7*Params!$B$130*Params!$B$92</f>
        <v/>
      </c>
      <c r="O123" s="5">
        <f>MAU!O6*Params!$B$59*Eras!O$7*Params!$B$130*Params!$B$92</f>
        <v/>
      </c>
      <c r="P123" s="5">
        <f>MAU!P6*Params!$B$59*Eras!P$7*Params!$B$130*Params!$B$92</f>
        <v/>
      </c>
      <c r="Q123" s="5">
        <f>MAU!Q6*Params!$B$59*Eras!Q$7*Params!$B$130*Params!$B$92</f>
        <v/>
      </c>
      <c r="R123" s="5">
        <f>MAU!R6*Params!$B$59*Eras!R$7*Params!$B$130*Params!$B$92</f>
        <v/>
      </c>
      <c r="S123" s="5">
        <f>MAU!S6*Params!$B$59*Eras!S$7*Params!$B$130*Params!$B$92</f>
        <v/>
      </c>
      <c r="T123" s="5">
        <f>MAU!T6*Params!$B$59*Eras!T$7*Params!$B$130*Params!$B$92</f>
        <v/>
      </c>
      <c r="U123" s="5">
        <f>MAU!U6*Params!$B$59*Eras!U$7*Params!$B$130*Params!$B$92</f>
        <v/>
      </c>
      <c r="V123" s="5">
        <f>MAU!V6*Params!$B$59*Eras!V$7*Params!$B$130*Params!$B$92</f>
        <v/>
      </c>
      <c r="W123" s="5">
        <f>MAU!W6*Params!$B$59*Eras!W$7*Params!$B$130*Params!$B$92</f>
        <v/>
      </c>
      <c r="X123" s="5">
        <f>MAU!X6*Params!$B$59*Eras!X$7*Params!$B$130*Params!$B$92</f>
        <v/>
      </c>
      <c r="Y123" s="5">
        <f>MAU!Y6*Params!$B$59*Eras!Y$7*Params!$B$130*Params!$B$92</f>
        <v/>
      </c>
      <c r="Z123" s="5">
        <f>MAU!Z6*Params!$B$59*Eras!Z$7*Params!$B$130*Params!$B$92</f>
        <v/>
      </c>
      <c r="AA123" s="5">
        <f>MAU!AA6*Params!$B$59*Eras!AA$7*Params!$B$130*Params!$B$92</f>
        <v/>
      </c>
      <c r="AB123" s="5">
        <f>MAU!AB6*Params!$B$59*Eras!AB$7*Params!$B$130*Params!$B$92</f>
        <v/>
      </c>
      <c r="AC123" s="5">
        <f>MAU!AC6*Params!$B$59*Eras!AC$7*Params!$B$130*Params!$B$92</f>
        <v/>
      </c>
      <c r="AD123" s="5">
        <f>MAU!AD6*Params!$B$59*Eras!AD$7*Params!$B$130*Params!$B$92</f>
        <v/>
      </c>
      <c r="AE123" s="5">
        <f>MAU!AE6*Params!$B$59*Eras!AE$7*Params!$B$130*Params!$B$92</f>
        <v/>
      </c>
      <c r="AF123" s="5">
        <f>MAU!AF6*Params!$B$59*Eras!AF$7*Params!$B$130*Params!$B$92</f>
        <v/>
      </c>
      <c r="AG123" s="5">
        <f>MAU!AG6*Params!$B$59*Eras!AG$7*Params!$B$130*Params!$B$92</f>
        <v/>
      </c>
      <c r="AH123" s="5">
        <f>MAU!AH6*Params!$B$59*Eras!AH$7*Params!$B$130*Params!$B$92</f>
        <v/>
      </c>
      <c r="AI123" s="5">
        <f>MAU!AI6*Params!$B$59*Eras!AI$7*Params!$B$130*Params!$B$92</f>
        <v/>
      </c>
      <c r="AJ123" s="5">
        <f>MAU!AJ6*Params!$B$59*Eras!AJ$7*Params!$B$130*Params!$B$92</f>
        <v/>
      </c>
      <c r="AK123" s="5">
        <f>MAU!AK6*Params!$B$59*Eras!AK$7*Params!$B$130*Params!$B$92</f>
        <v/>
      </c>
      <c r="AL123" s="5">
        <f>MAU!AL6*Params!$B$59*Eras!AL$7*Params!$B$130*Params!$B$92</f>
        <v/>
      </c>
      <c r="AM123" s="5">
        <f>MAU!AM6*Params!$B$59*Eras!AM$7*Params!$B$130*Params!$B$92</f>
        <v/>
      </c>
      <c r="AN123" s="5">
        <f>MAU!AN6*Params!$B$59*Eras!AN$7*Params!$B$130*Params!$B$92</f>
        <v/>
      </c>
      <c r="AO123" s="5">
        <f>MAU!AO6*Params!$B$59*Eras!AO$7*Params!$B$130*Params!$B$92</f>
        <v/>
      </c>
      <c r="AP123" s="5">
        <f>MAU!AP6*Params!$B$59*Eras!AP$7*Params!$B$130*Params!$B$92</f>
        <v/>
      </c>
      <c r="AQ123" s="5">
        <f>MAU!AQ6*Params!$B$59*Eras!AQ$7*Params!$B$130*Params!$B$92</f>
        <v/>
      </c>
      <c r="AR123" s="5">
        <f>MAU!AR6*Params!$B$59*Eras!AR$7*Params!$B$130*Params!$B$92</f>
        <v/>
      </c>
      <c r="AS123" s="5">
        <f>MAU!AS6*Params!$B$59*Eras!AS$7*Params!$B$130*Params!$B$92</f>
        <v/>
      </c>
      <c r="AT123" s="5">
        <f>MAU!AT6*Params!$B$59*Eras!AT$7*Params!$B$130*Params!$B$92</f>
        <v/>
      </c>
      <c r="AU123" s="5">
        <f>MAU!AU6*Params!$B$59*Eras!AU$7*Params!$B$130*Params!$B$92</f>
        <v/>
      </c>
      <c r="AV123" s="5">
        <f>MAU!AV6*Params!$B$59*Eras!AV$7*Params!$B$130*Params!$B$92</f>
        <v/>
      </c>
      <c r="AW123" s="5">
        <f>MAU!AW6*Params!$B$59*Eras!AW$7*Params!$B$130*Params!$B$92</f>
        <v/>
      </c>
      <c r="AX123" s="5">
        <f>MAU!AX6*Params!$B$59*Eras!AX$7*Params!$B$130*Params!$B$92</f>
        <v/>
      </c>
      <c r="AY123" s="5">
        <f>MAU!AY6*Params!$B$59*Eras!AY$7*Params!$B$130*Params!$B$92</f>
        <v/>
      </c>
      <c r="AZ123" s="5">
        <f>MAU!AZ6*Params!$B$59*Eras!AZ$7*Params!$B$130*Params!$B$92</f>
        <v/>
      </c>
      <c r="BA123" s="5">
        <f>MAU!BA6*Params!$B$59*Eras!BA$7*Params!$B$130*Params!$B$92</f>
        <v/>
      </c>
      <c r="BB123" s="5">
        <f>MAU!BB6*Params!$B$59*Eras!BB$7*Params!$B$130*Params!$B$92</f>
        <v/>
      </c>
      <c r="BC123" s="5">
        <f>MAU!BC6*Params!$B$59*Eras!BC$7*Params!$B$130*Params!$B$92</f>
        <v/>
      </c>
      <c r="BD123" s="5">
        <f>MAU!BD6*Params!$B$59*Eras!BD$7*Params!$B$130*Params!$B$92</f>
        <v/>
      </c>
      <c r="BE123" s="5">
        <f>MAU!BE6*Params!$B$59*Eras!BE$7*Params!$B$130*Params!$B$92</f>
        <v/>
      </c>
      <c r="BF123" s="5">
        <f>MAU!BF6*Params!$B$59*Eras!BF$7*Params!$B$130*Params!$B$92</f>
        <v/>
      </c>
      <c r="BG123" s="5">
        <f>MAU!BG6*Params!$B$59*Eras!BG$7*Params!$B$130*Params!$B$92</f>
        <v/>
      </c>
      <c r="BH123" s="5">
        <f>MAU!BH6*Params!$B$59*Eras!BH$7*Params!$B$130*Params!$B$92</f>
        <v/>
      </c>
      <c r="BI123" s="5">
        <f>MAU!BI6*Params!$B$59*Eras!BI$7*Params!$B$130*Params!$B$92</f>
        <v/>
      </c>
      <c r="BJ123" s="5">
        <f>MAU!BJ6*Params!$B$59*Eras!BJ$7*Params!$B$130*Params!$B$92</f>
        <v/>
      </c>
      <c r="BK123" s="5">
        <f>MAU!BK6*Params!$B$59*Eras!BK$7*Params!$B$130*Params!$B$92</f>
        <v/>
      </c>
      <c r="BL123" s="5">
        <f>MAU!BL6*Params!$B$59*Eras!BL$7*Params!$B$130*Params!$B$92</f>
        <v/>
      </c>
      <c r="BM123" s="5">
        <f>MAU!BM6*Params!$B$59*Eras!BM$7*Params!$B$130*Params!$B$92</f>
        <v/>
      </c>
      <c r="BN123" s="5">
        <f>MAU!BN6*Params!$B$59*Eras!BN$7*Params!$B$130*Params!$B$92</f>
        <v/>
      </c>
      <c r="BO123" s="5">
        <f>MAU!BO6*Params!$B$59*Eras!BO$7*Params!$B$130*Params!$B$92</f>
        <v/>
      </c>
      <c r="BP123" s="5">
        <f>MAU!BP6*Params!$B$59*Eras!BP$7*Params!$B$130*Params!$B$92</f>
        <v/>
      </c>
      <c r="BQ123" s="5">
        <f>MAU!BQ6*Params!$B$59*Eras!BQ$7*Params!$B$130*Params!$B$92</f>
        <v/>
      </c>
      <c r="BR123" s="5">
        <f>MAU!BR6*Params!$B$59*Eras!BR$7*Params!$B$130*Params!$B$92</f>
        <v/>
      </c>
      <c r="BS123" s="5">
        <f>MAU!BS6*Params!$B$59*Eras!BS$7*Params!$B$130*Params!$B$92</f>
        <v/>
      </c>
      <c r="BT123" s="5">
        <f>MAU!BT6*Params!$B$59*Eras!BT$7*Params!$B$130*Params!$B$92</f>
        <v/>
      </c>
      <c r="BU123" s="5">
        <f>MAU!BU6*Params!$B$59*Eras!BU$7*Params!$B$130*Params!$B$92</f>
        <v/>
      </c>
      <c r="BV123" s="5">
        <f>MAU!BV6*Params!$B$59*Eras!BV$7*Params!$B$130*Params!$B$92</f>
        <v/>
      </c>
    </row>
    <row r="124">
      <c r="A124" t="inlineStr">
        <is>
          <t>trial starts</t>
        </is>
      </c>
      <c r="B124" t="inlineStr">
        <is>
          <t>LATAM|NITRO_M</t>
        </is>
      </c>
      <c r="C124" s="5">
        <f>C123*Eras!C$8</f>
        <v/>
      </c>
      <c r="D124" s="5">
        <f>D123*Eras!D$8</f>
        <v/>
      </c>
      <c r="E124" s="5">
        <f>E123*Eras!E$8</f>
        <v/>
      </c>
      <c r="F124" s="5">
        <f>F123*Eras!F$8</f>
        <v/>
      </c>
      <c r="G124" s="5">
        <f>G123*Eras!G$8</f>
        <v/>
      </c>
      <c r="H124" s="5">
        <f>H123*Eras!H$8</f>
        <v/>
      </c>
      <c r="I124" s="5">
        <f>I123*Eras!I$8</f>
        <v/>
      </c>
      <c r="J124" s="5">
        <f>J123*Eras!J$8</f>
        <v/>
      </c>
      <c r="K124" s="5">
        <f>K123*Eras!K$8</f>
        <v/>
      </c>
      <c r="L124" s="5">
        <f>L123*Eras!L$8</f>
        <v/>
      </c>
      <c r="M124" s="5">
        <f>M123*Eras!M$8</f>
        <v/>
      </c>
      <c r="N124" s="5">
        <f>N123*Eras!N$8</f>
        <v/>
      </c>
      <c r="O124" s="5">
        <f>O123*Eras!O$8</f>
        <v/>
      </c>
      <c r="P124" s="5">
        <f>P123*Eras!P$8</f>
        <v/>
      </c>
      <c r="Q124" s="5">
        <f>Q123*Eras!Q$8</f>
        <v/>
      </c>
      <c r="R124" s="5">
        <f>R123*Eras!R$8</f>
        <v/>
      </c>
      <c r="S124" s="5">
        <f>S123*Eras!S$8</f>
        <v/>
      </c>
      <c r="T124" s="5">
        <f>T123*Eras!T$8</f>
        <v/>
      </c>
      <c r="U124" s="5">
        <f>U123*Eras!U$8</f>
        <v/>
      </c>
      <c r="V124" s="5">
        <f>V123*Eras!V$8</f>
        <v/>
      </c>
      <c r="W124" s="5">
        <f>W123*Eras!W$8</f>
        <v/>
      </c>
      <c r="X124" s="5">
        <f>X123*Eras!X$8</f>
        <v/>
      </c>
      <c r="Y124" s="5">
        <f>Y123*Eras!Y$8</f>
        <v/>
      </c>
      <c r="Z124" s="5">
        <f>Z123*Eras!Z$8</f>
        <v/>
      </c>
      <c r="AA124" s="5">
        <f>AA123*Eras!AA$8</f>
        <v/>
      </c>
      <c r="AB124" s="5">
        <f>AB123*Eras!AB$8</f>
        <v/>
      </c>
      <c r="AC124" s="5">
        <f>AC123*Eras!AC$8</f>
        <v/>
      </c>
      <c r="AD124" s="5">
        <f>AD123*Eras!AD$8</f>
        <v/>
      </c>
      <c r="AE124" s="5">
        <f>AE123*Eras!AE$8</f>
        <v/>
      </c>
      <c r="AF124" s="5">
        <f>AF123*Eras!AF$8</f>
        <v/>
      </c>
      <c r="AG124" s="5">
        <f>AG123*Eras!AG$8</f>
        <v/>
      </c>
      <c r="AH124" s="5">
        <f>AH123*Eras!AH$8</f>
        <v/>
      </c>
      <c r="AI124" s="5">
        <f>AI123*Eras!AI$8</f>
        <v/>
      </c>
      <c r="AJ124" s="5">
        <f>AJ123*Eras!AJ$8</f>
        <v/>
      </c>
      <c r="AK124" s="5">
        <f>AK123*Eras!AK$8</f>
        <v/>
      </c>
      <c r="AL124" s="5">
        <f>AL123*Eras!AL$8</f>
        <v/>
      </c>
      <c r="AM124" s="5">
        <f>AM123*Eras!AM$8</f>
        <v/>
      </c>
      <c r="AN124" s="5">
        <f>AN123*Eras!AN$8</f>
        <v/>
      </c>
      <c r="AO124" s="5">
        <f>AO123*Eras!AO$8</f>
        <v/>
      </c>
      <c r="AP124" s="5">
        <f>AP123*Eras!AP$8</f>
        <v/>
      </c>
      <c r="AQ124" s="5">
        <f>AQ123*Eras!AQ$8</f>
        <v/>
      </c>
      <c r="AR124" s="5">
        <f>AR123*Eras!AR$8</f>
        <v/>
      </c>
      <c r="AS124" s="5">
        <f>AS123*Eras!AS$8</f>
        <v/>
      </c>
      <c r="AT124" s="5">
        <f>AT123*Eras!AT$8</f>
        <v/>
      </c>
      <c r="AU124" s="5">
        <f>AU123*Eras!AU$8</f>
        <v/>
      </c>
      <c r="AV124" s="5">
        <f>AV123*Eras!AV$8</f>
        <v/>
      </c>
      <c r="AW124" s="5">
        <f>AW123*Eras!AW$8</f>
        <v/>
      </c>
      <c r="AX124" s="5">
        <f>AX123*Eras!AX$8</f>
        <v/>
      </c>
      <c r="AY124" s="5">
        <f>AY123*Eras!AY$8</f>
        <v/>
      </c>
      <c r="AZ124" s="5">
        <f>AZ123*Eras!AZ$8</f>
        <v/>
      </c>
      <c r="BA124" s="5">
        <f>BA123*Eras!BA$8</f>
        <v/>
      </c>
      <c r="BB124" s="5">
        <f>BB123*Eras!BB$8</f>
        <v/>
      </c>
      <c r="BC124" s="5">
        <f>BC123*Eras!BC$8</f>
        <v/>
      </c>
      <c r="BD124" s="5">
        <f>BD123*Eras!BD$8</f>
        <v/>
      </c>
      <c r="BE124" s="5">
        <f>BE123*Eras!BE$8</f>
        <v/>
      </c>
      <c r="BF124" s="5">
        <f>BF123*Eras!BF$8</f>
        <v/>
      </c>
      <c r="BG124" s="5">
        <f>BG123*Eras!BG$8</f>
        <v/>
      </c>
      <c r="BH124" s="5">
        <f>BH123*Eras!BH$8</f>
        <v/>
      </c>
      <c r="BI124" s="5">
        <f>BI123*Eras!BI$8</f>
        <v/>
      </c>
      <c r="BJ124" s="5">
        <f>BJ123*Eras!BJ$8</f>
        <v/>
      </c>
      <c r="BK124" s="5">
        <f>BK123*Eras!BK$8</f>
        <v/>
      </c>
      <c r="BL124" s="5">
        <f>BL123*Eras!BL$8</f>
        <v/>
      </c>
      <c r="BM124" s="5">
        <f>BM123*Eras!BM$8</f>
        <v/>
      </c>
      <c r="BN124" s="5">
        <f>BN123*Eras!BN$8</f>
        <v/>
      </c>
      <c r="BO124" s="5">
        <f>BO123*Eras!BO$8</f>
        <v/>
      </c>
      <c r="BP124" s="5">
        <f>BP123*Eras!BP$8</f>
        <v/>
      </c>
      <c r="BQ124" s="5">
        <f>BQ123*Eras!BQ$8</f>
        <v/>
      </c>
      <c r="BR124" s="5">
        <f>BR123*Eras!BR$8</f>
        <v/>
      </c>
      <c r="BS124" s="5">
        <f>BS123*Eras!BS$8</f>
        <v/>
      </c>
      <c r="BT124" s="5">
        <f>BT123*Eras!BT$8</f>
        <v/>
      </c>
      <c r="BU124" s="5">
        <f>BU123*Eras!BU$8</f>
        <v/>
      </c>
      <c r="BV124" s="5">
        <f>BV123*Eras!BV$8</f>
        <v/>
      </c>
    </row>
    <row r="125">
      <c r="A125" t="inlineStr">
        <is>
          <t>direct paid starts</t>
        </is>
      </c>
      <c r="B125" t="inlineStr">
        <is>
          <t>LATAM|NITRO_M</t>
        </is>
      </c>
      <c r="C125" s="5">
        <f>C123-C124</f>
        <v/>
      </c>
      <c r="D125" s="5">
        <f>D123-D124</f>
        <v/>
      </c>
      <c r="E125" s="5">
        <f>E123-E124</f>
        <v/>
      </c>
      <c r="F125" s="5">
        <f>F123-F124</f>
        <v/>
      </c>
      <c r="G125" s="5">
        <f>G123-G124</f>
        <v/>
      </c>
      <c r="H125" s="5">
        <f>H123-H124</f>
        <v/>
      </c>
      <c r="I125" s="5">
        <f>I123-I124</f>
        <v/>
      </c>
      <c r="J125" s="5">
        <f>J123-J124</f>
        <v/>
      </c>
      <c r="K125" s="5">
        <f>K123-K124</f>
        <v/>
      </c>
      <c r="L125" s="5">
        <f>L123-L124</f>
        <v/>
      </c>
      <c r="M125" s="5">
        <f>M123-M124</f>
        <v/>
      </c>
      <c r="N125" s="5">
        <f>N123-N124</f>
        <v/>
      </c>
      <c r="O125" s="5">
        <f>O123-O124</f>
        <v/>
      </c>
      <c r="P125" s="5">
        <f>P123-P124</f>
        <v/>
      </c>
      <c r="Q125" s="5">
        <f>Q123-Q124</f>
        <v/>
      </c>
      <c r="R125" s="5">
        <f>R123-R124</f>
        <v/>
      </c>
      <c r="S125" s="5">
        <f>S123-S124</f>
        <v/>
      </c>
      <c r="T125" s="5">
        <f>T123-T124</f>
        <v/>
      </c>
      <c r="U125" s="5">
        <f>U123-U124</f>
        <v/>
      </c>
      <c r="V125" s="5">
        <f>V123-V124</f>
        <v/>
      </c>
      <c r="W125" s="5">
        <f>W123-W124</f>
        <v/>
      </c>
      <c r="X125" s="5">
        <f>X123-X124</f>
        <v/>
      </c>
      <c r="Y125" s="5">
        <f>Y123-Y124</f>
        <v/>
      </c>
      <c r="Z125" s="5">
        <f>Z123-Z124</f>
        <v/>
      </c>
      <c r="AA125" s="5">
        <f>AA123-AA124</f>
        <v/>
      </c>
      <c r="AB125" s="5">
        <f>AB123-AB124</f>
        <v/>
      </c>
      <c r="AC125" s="5">
        <f>AC123-AC124</f>
        <v/>
      </c>
      <c r="AD125" s="5">
        <f>AD123-AD124</f>
        <v/>
      </c>
      <c r="AE125" s="5">
        <f>AE123-AE124</f>
        <v/>
      </c>
      <c r="AF125" s="5">
        <f>AF123-AF124</f>
        <v/>
      </c>
      <c r="AG125" s="5">
        <f>AG123-AG124</f>
        <v/>
      </c>
      <c r="AH125" s="5">
        <f>AH123-AH124</f>
        <v/>
      </c>
      <c r="AI125" s="5">
        <f>AI123-AI124</f>
        <v/>
      </c>
      <c r="AJ125" s="5">
        <f>AJ123-AJ124</f>
        <v/>
      </c>
      <c r="AK125" s="5">
        <f>AK123-AK124</f>
        <v/>
      </c>
      <c r="AL125" s="5">
        <f>AL123-AL124</f>
        <v/>
      </c>
      <c r="AM125" s="5">
        <f>AM123-AM124</f>
        <v/>
      </c>
      <c r="AN125" s="5">
        <f>AN123-AN124</f>
        <v/>
      </c>
      <c r="AO125" s="5">
        <f>AO123-AO124</f>
        <v/>
      </c>
      <c r="AP125" s="5">
        <f>AP123-AP124</f>
        <v/>
      </c>
      <c r="AQ125" s="5">
        <f>AQ123-AQ124</f>
        <v/>
      </c>
      <c r="AR125" s="5">
        <f>AR123-AR124</f>
        <v/>
      </c>
      <c r="AS125" s="5">
        <f>AS123-AS124</f>
        <v/>
      </c>
      <c r="AT125" s="5">
        <f>AT123-AT124</f>
        <v/>
      </c>
      <c r="AU125" s="5">
        <f>AU123-AU124</f>
        <v/>
      </c>
      <c r="AV125" s="5">
        <f>AV123-AV124</f>
        <v/>
      </c>
      <c r="AW125" s="5">
        <f>AW123-AW124</f>
        <v/>
      </c>
      <c r="AX125" s="5">
        <f>AX123-AX124</f>
        <v/>
      </c>
      <c r="AY125" s="5">
        <f>AY123-AY124</f>
        <v/>
      </c>
      <c r="AZ125" s="5">
        <f>AZ123-AZ124</f>
        <v/>
      </c>
      <c r="BA125" s="5">
        <f>BA123-BA124</f>
        <v/>
      </c>
      <c r="BB125" s="5">
        <f>BB123-BB124</f>
        <v/>
      </c>
      <c r="BC125" s="5">
        <f>BC123-BC124</f>
        <v/>
      </c>
      <c r="BD125" s="5">
        <f>BD123-BD124</f>
        <v/>
      </c>
      <c r="BE125" s="5">
        <f>BE123-BE124</f>
        <v/>
      </c>
      <c r="BF125" s="5">
        <f>BF123-BF124</f>
        <v/>
      </c>
      <c r="BG125" s="5">
        <f>BG123-BG124</f>
        <v/>
      </c>
      <c r="BH125" s="5">
        <f>BH123-BH124</f>
        <v/>
      </c>
      <c r="BI125" s="5">
        <f>BI123-BI124</f>
        <v/>
      </c>
      <c r="BJ125" s="5">
        <f>BJ123-BJ124</f>
        <v/>
      </c>
      <c r="BK125" s="5">
        <f>BK123-BK124</f>
        <v/>
      </c>
      <c r="BL125" s="5">
        <f>BL123-BL124</f>
        <v/>
      </c>
      <c r="BM125" s="5">
        <f>BM123-BM124</f>
        <v/>
      </c>
      <c r="BN125" s="5">
        <f>BN123-BN124</f>
        <v/>
      </c>
      <c r="BO125" s="5">
        <f>BO123-BO124</f>
        <v/>
      </c>
      <c r="BP125" s="5">
        <f>BP123-BP124</f>
        <v/>
      </c>
      <c r="BQ125" s="5">
        <f>BQ123-BQ124</f>
        <v/>
      </c>
      <c r="BR125" s="5">
        <f>BR123-BR124</f>
        <v/>
      </c>
      <c r="BS125" s="5">
        <f>BS123-BS124</f>
        <v/>
      </c>
      <c r="BT125" s="5">
        <f>BT123-BT124</f>
        <v/>
      </c>
      <c r="BU125" s="5">
        <f>BU123-BU124</f>
        <v/>
      </c>
      <c r="BV125" s="5">
        <f>BV123-BV124</f>
        <v/>
      </c>
    </row>
    <row r="126">
      <c r="A126" t="inlineStr">
        <is>
          <t>trials ending</t>
        </is>
      </c>
      <c r="B126" t="inlineStr">
        <is>
          <t>LATAM|NITRO_M</t>
        </is>
      </c>
      <c r="C126" s="5">
        <f>IF(C$2&gt;=Params!$B$6,INDEX($C$124:$BV$124,C$2-Params!$B$6+1),0)</f>
        <v/>
      </c>
      <c r="D126" s="5">
        <f>IF(D$2&gt;=Params!$B$6,INDEX($C$124:$BV$124,D$2-Params!$B$6+1),0)</f>
        <v/>
      </c>
      <c r="E126" s="5">
        <f>IF(E$2&gt;=Params!$B$6,INDEX($C$124:$BV$124,E$2-Params!$B$6+1),0)</f>
        <v/>
      </c>
      <c r="F126" s="5">
        <f>IF(F$2&gt;=Params!$B$6,INDEX($C$124:$BV$124,F$2-Params!$B$6+1),0)</f>
        <v/>
      </c>
      <c r="G126" s="5">
        <f>IF(G$2&gt;=Params!$B$6,INDEX($C$124:$BV$124,G$2-Params!$B$6+1),0)</f>
        <v/>
      </c>
      <c r="H126" s="5">
        <f>IF(H$2&gt;=Params!$B$6,INDEX($C$124:$BV$124,H$2-Params!$B$6+1),0)</f>
        <v/>
      </c>
      <c r="I126" s="5">
        <f>IF(I$2&gt;=Params!$B$6,INDEX($C$124:$BV$124,I$2-Params!$B$6+1),0)</f>
        <v/>
      </c>
      <c r="J126" s="5">
        <f>IF(J$2&gt;=Params!$B$6,INDEX($C$124:$BV$124,J$2-Params!$B$6+1),0)</f>
        <v/>
      </c>
      <c r="K126" s="5">
        <f>IF(K$2&gt;=Params!$B$6,INDEX($C$124:$BV$124,K$2-Params!$B$6+1),0)</f>
        <v/>
      </c>
      <c r="L126" s="5">
        <f>IF(L$2&gt;=Params!$B$6,INDEX($C$124:$BV$124,L$2-Params!$B$6+1),0)</f>
        <v/>
      </c>
      <c r="M126" s="5">
        <f>IF(M$2&gt;=Params!$B$6,INDEX($C$124:$BV$124,M$2-Params!$B$6+1),0)</f>
        <v/>
      </c>
      <c r="N126" s="5">
        <f>IF(N$2&gt;=Params!$B$6,INDEX($C$124:$BV$124,N$2-Params!$B$6+1),0)</f>
        <v/>
      </c>
      <c r="O126" s="5">
        <f>IF(O$2&gt;=Params!$B$6,INDEX($C$124:$BV$124,O$2-Params!$B$6+1),0)</f>
        <v/>
      </c>
      <c r="P126" s="5">
        <f>IF(P$2&gt;=Params!$B$6,INDEX($C$124:$BV$124,P$2-Params!$B$6+1),0)</f>
        <v/>
      </c>
      <c r="Q126" s="5">
        <f>IF(Q$2&gt;=Params!$B$6,INDEX($C$124:$BV$124,Q$2-Params!$B$6+1),0)</f>
        <v/>
      </c>
      <c r="R126" s="5">
        <f>IF(R$2&gt;=Params!$B$6,INDEX($C$124:$BV$124,R$2-Params!$B$6+1),0)</f>
        <v/>
      </c>
      <c r="S126" s="5">
        <f>IF(S$2&gt;=Params!$B$6,INDEX($C$124:$BV$124,S$2-Params!$B$6+1),0)</f>
        <v/>
      </c>
      <c r="T126" s="5">
        <f>IF(T$2&gt;=Params!$B$6,INDEX($C$124:$BV$124,T$2-Params!$B$6+1),0)</f>
        <v/>
      </c>
      <c r="U126" s="5">
        <f>IF(U$2&gt;=Params!$B$6,INDEX($C$124:$BV$124,U$2-Params!$B$6+1),0)</f>
        <v/>
      </c>
      <c r="V126" s="5">
        <f>IF(V$2&gt;=Params!$B$6,INDEX($C$124:$BV$124,V$2-Params!$B$6+1),0)</f>
        <v/>
      </c>
      <c r="W126" s="5">
        <f>IF(W$2&gt;=Params!$B$6,INDEX($C$124:$BV$124,W$2-Params!$B$6+1),0)</f>
        <v/>
      </c>
      <c r="X126" s="5">
        <f>IF(X$2&gt;=Params!$B$6,INDEX($C$124:$BV$124,X$2-Params!$B$6+1),0)</f>
        <v/>
      </c>
      <c r="Y126" s="5">
        <f>IF(Y$2&gt;=Params!$B$6,INDEX($C$124:$BV$124,Y$2-Params!$B$6+1),0)</f>
        <v/>
      </c>
      <c r="Z126" s="5">
        <f>IF(Z$2&gt;=Params!$B$6,INDEX($C$124:$BV$124,Z$2-Params!$B$6+1),0)</f>
        <v/>
      </c>
      <c r="AA126" s="5">
        <f>IF(AA$2&gt;=Params!$B$6,INDEX($C$124:$BV$124,AA$2-Params!$B$6+1),0)</f>
        <v/>
      </c>
      <c r="AB126" s="5">
        <f>IF(AB$2&gt;=Params!$B$6,INDEX($C$124:$BV$124,AB$2-Params!$B$6+1),0)</f>
        <v/>
      </c>
      <c r="AC126" s="5">
        <f>IF(AC$2&gt;=Params!$B$6,INDEX($C$124:$BV$124,AC$2-Params!$B$6+1),0)</f>
        <v/>
      </c>
      <c r="AD126" s="5">
        <f>IF(AD$2&gt;=Params!$B$6,INDEX($C$124:$BV$124,AD$2-Params!$B$6+1),0)</f>
        <v/>
      </c>
      <c r="AE126" s="5">
        <f>IF(AE$2&gt;=Params!$B$6,INDEX($C$124:$BV$124,AE$2-Params!$B$6+1),0)</f>
        <v/>
      </c>
      <c r="AF126" s="5">
        <f>IF(AF$2&gt;=Params!$B$6,INDEX($C$124:$BV$124,AF$2-Params!$B$6+1),0)</f>
        <v/>
      </c>
      <c r="AG126" s="5">
        <f>IF(AG$2&gt;=Params!$B$6,INDEX($C$124:$BV$124,AG$2-Params!$B$6+1),0)</f>
        <v/>
      </c>
      <c r="AH126" s="5">
        <f>IF(AH$2&gt;=Params!$B$6,INDEX($C$124:$BV$124,AH$2-Params!$B$6+1),0)</f>
        <v/>
      </c>
      <c r="AI126" s="5">
        <f>IF(AI$2&gt;=Params!$B$6,INDEX($C$124:$BV$124,AI$2-Params!$B$6+1),0)</f>
        <v/>
      </c>
      <c r="AJ126" s="5">
        <f>IF(AJ$2&gt;=Params!$B$6,INDEX($C$124:$BV$124,AJ$2-Params!$B$6+1),0)</f>
        <v/>
      </c>
      <c r="AK126" s="5">
        <f>IF(AK$2&gt;=Params!$B$6,INDEX($C$124:$BV$124,AK$2-Params!$B$6+1),0)</f>
        <v/>
      </c>
      <c r="AL126" s="5">
        <f>IF(AL$2&gt;=Params!$B$6,INDEX($C$124:$BV$124,AL$2-Params!$B$6+1),0)</f>
        <v/>
      </c>
      <c r="AM126" s="5">
        <f>IF(AM$2&gt;=Params!$B$6,INDEX($C$124:$BV$124,AM$2-Params!$B$6+1),0)</f>
        <v/>
      </c>
      <c r="AN126" s="5">
        <f>IF(AN$2&gt;=Params!$B$6,INDEX($C$124:$BV$124,AN$2-Params!$B$6+1),0)</f>
        <v/>
      </c>
      <c r="AO126" s="5">
        <f>IF(AO$2&gt;=Params!$B$6,INDEX($C$124:$BV$124,AO$2-Params!$B$6+1),0)</f>
        <v/>
      </c>
      <c r="AP126" s="5">
        <f>IF(AP$2&gt;=Params!$B$6,INDEX($C$124:$BV$124,AP$2-Params!$B$6+1),0)</f>
        <v/>
      </c>
      <c r="AQ126" s="5">
        <f>IF(AQ$2&gt;=Params!$B$6,INDEX($C$124:$BV$124,AQ$2-Params!$B$6+1),0)</f>
        <v/>
      </c>
      <c r="AR126" s="5">
        <f>IF(AR$2&gt;=Params!$B$6,INDEX($C$124:$BV$124,AR$2-Params!$B$6+1),0)</f>
        <v/>
      </c>
      <c r="AS126" s="5">
        <f>IF(AS$2&gt;=Params!$B$6,INDEX($C$124:$BV$124,AS$2-Params!$B$6+1),0)</f>
        <v/>
      </c>
      <c r="AT126" s="5">
        <f>IF(AT$2&gt;=Params!$B$6,INDEX($C$124:$BV$124,AT$2-Params!$B$6+1),0)</f>
        <v/>
      </c>
      <c r="AU126" s="5">
        <f>IF(AU$2&gt;=Params!$B$6,INDEX($C$124:$BV$124,AU$2-Params!$B$6+1),0)</f>
        <v/>
      </c>
      <c r="AV126" s="5">
        <f>IF(AV$2&gt;=Params!$B$6,INDEX($C$124:$BV$124,AV$2-Params!$B$6+1),0)</f>
        <v/>
      </c>
      <c r="AW126" s="5">
        <f>IF(AW$2&gt;=Params!$B$6,INDEX($C$124:$BV$124,AW$2-Params!$B$6+1),0)</f>
        <v/>
      </c>
      <c r="AX126" s="5">
        <f>IF(AX$2&gt;=Params!$B$6,INDEX($C$124:$BV$124,AX$2-Params!$B$6+1),0)</f>
        <v/>
      </c>
      <c r="AY126" s="5">
        <f>IF(AY$2&gt;=Params!$B$6,INDEX($C$124:$BV$124,AY$2-Params!$B$6+1),0)</f>
        <v/>
      </c>
      <c r="AZ126" s="5">
        <f>IF(AZ$2&gt;=Params!$B$6,INDEX($C$124:$BV$124,AZ$2-Params!$B$6+1),0)</f>
        <v/>
      </c>
      <c r="BA126" s="5">
        <f>IF(BA$2&gt;=Params!$B$6,INDEX($C$124:$BV$124,BA$2-Params!$B$6+1),0)</f>
        <v/>
      </c>
      <c r="BB126" s="5">
        <f>IF(BB$2&gt;=Params!$B$6,INDEX($C$124:$BV$124,BB$2-Params!$B$6+1),0)</f>
        <v/>
      </c>
      <c r="BC126" s="5">
        <f>IF(BC$2&gt;=Params!$B$6,INDEX($C$124:$BV$124,BC$2-Params!$B$6+1),0)</f>
        <v/>
      </c>
      <c r="BD126" s="5">
        <f>IF(BD$2&gt;=Params!$B$6,INDEX($C$124:$BV$124,BD$2-Params!$B$6+1),0)</f>
        <v/>
      </c>
      <c r="BE126" s="5">
        <f>IF(BE$2&gt;=Params!$B$6,INDEX($C$124:$BV$124,BE$2-Params!$B$6+1),0)</f>
        <v/>
      </c>
      <c r="BF126" s="5">
        <f>IF(BF$2&gt;=Params!$B$6,INDEX($C$124:$BV$124,BF$2-Params!$B$6+1),0)</f>
        <v/>
      </c>
      <c r="BG126" s="5">
        <f>IF(BG$2&gt;=Params!$B$6,INDEX($C$124:$BV$124,BG$2-Params!$B$6+1),0)</f>
        <v/>
      </c>
      <c r="BH126" s="5">
        <f>IF(BH$2&gt;=Params!$B$6,INDEX($C$124:$BV$124,BH$2-Params!$B$6+1),0)</f>
        <v/>
      </c>
      <c r="BI126" s="5">
        <f>IF(BI$2&gt;=Params!$B$6,INDEX($C$124:$BV$124,BI$2-Params!$B$6+1),0)</f>
        <v/>
      </c>
      <c r="BJ126" s="5">
        <f>IF(BJ$2&gt;=Params!$B$6,INDEX($C$124:$BV$124,BJ$2-Params!$B$6+1),0)</f>
        <v/>
      </c>
      <c r="BK126" s="5">
        <f>IF(BK$2&gt;=Params!$B$6,INDEX($C$124:$BV$124,BK$2-Params!$B$6+1),0)</f>
        <v/>
      </c>
      <c r="BL126" s="5">
        <f>IF(BL$2&gt;=Params!$B$6,INDEX($C$124:$BV$124,BL$2-Params!$B$6+1),0)</f>
        <v/>
      </c>
      <c r="BM126" s="5">
        <f>IF(BM$2&gt;=Params!$B$6,INDEX($C$124:$BV$124,BM$2-Params!$B$6+1),0)</f>
        <v/>
      </c>
      <c r="BN126" s="5">
        <f>IF(BN$2&gt;=Params!$B$6,INDEX($C$124:$BV$124,BN$2-Params!$B$6+1),0)</f>
        <v/>
      </c>
      <c r="BO126" s="5">
        <f>IF(BO$2&gt;=Params!$B$6,INDEX($C$124:$BV$124,BO$2-Params!$B$6+1),0)</f>
        <v/>
      </c>
      <c r="BP126" s="5">
        <f>IF(BP$2&gt;=Params!$B$6,INDEX($C$124:$BV$124,BP$2-Params!$B$6+1),0)</f>
        <v/>
      </c>
      <c r="BQ126" s="5">
        <f>IF(BQ$2&gt;=Params!$B$6,INDEX($C$124:$BV$124,BQ$2-Params!$B$6+1),0)</f>
        <v/>
      </c>
      <c r="BR126" s="5">
        <f>IF(BR$2&gt;=Params!$B$6,INDEX($C$124:$BV$124,BR$2-Params!$B$6+1),0)</f>
        <v/>
      </c>
      <c r="BS126" s="5">
        <f>IF(BS$2&gt;=Params!$B$6,INDEX($C$124:$BV$124,BS$2-Params!$B$6+1),0)</f>
        <v/>
      </c>
      <c r="BT126" s="5">
        <f>IF(BT$2&gt;=Params!$B$6,INDEX($C$124:$BV$124,BT$2-Params!$B$6+1),0)</f>
        <v/>
      </c>
      <c r="BU126" s="5">
        <f>IF(BU$2&gt;=Params!$B$6,INDEX($C$124:$BV$124,BU$2-Params!$B$6+1),0)</f>
        <v/>
      </c>
      <c r="BV126" s="5">
        <f>IF(BV$2&gt;=Params!$B$6,INDEX($C$124:$BV$124,BV$2-Params!$B$6+1),0)</f>
        <v/>
      </c>
    </row>
    <row r="127">
      <c r="A127" t="inlineStr">
        <is>
          <t>trial starts x conversion</t>
        </is>
      </c>
      <c r="B127" t="inlineStr">
        <is>
          <t>LATAM|NITRO_M</t>
        </is>
      </c>
      <c r="C127" s="5">
        <f>C124*Eras!C$9</f>
        <v/>
      </c>
      <c r="D127" s="5">
        <f>D124*Eras!D$9</f>
        <v/>
      </c>
      <c r="E127" s="5">
        <f>E124*Eras!E$9</f>
        <v/>
      </c>
      <c r="F127" s="5">
        <f>F124*Eras!F$9</f>
        <v/>
      </c>
      <c r="G127" s="5">
        <f>G124*Eras!G$9</f>
        <v/>
      </c>
      <c r="H127" s="5">
        <f>H124*Eras!H$9</f>
        <v/>
      </c>
      <c r="I127" s="5">
        <f>I124*Eras!I$9</f>
        <v/>
      </c>
      <c r="J127" s="5">
        <f>J124*Eras!J$9</f>
        <v/>
      </c>
      <c r="K127" s="5">
        <f>K124*Eras!K$9</f>
        <v/>
      </c>
      <c r="L127" s="5">
        <f>L124*Eras!L$9</f>
        <v/>
      </c>
      <c r="M127" s="5">
        <f>M124*Eras!M$9</f>
        <v/>
      </c>
      <c r="N127" s="5">
        <f>N124*Eras!N$9</f>
        <v/>
      </c>
      <c r="O127" s="5">
        <f>O124*Eras!O$9</f>
        <v/>
      </c>
      <c r="P127" s="5">
        <f>P124*Eras!P$9</f>
        <v/>
      </c>
      <c r="Q127" s="5">
        <f>Q124*Eras!Q$9</f>
        <v/>
      </c>
      <c r="R127" s="5">
        <f>R124*Eras!R$9</f>
        <v/>
      </c>
      <c r="S127" s="5">
        <f>S124*Eras!S$9</f>
        <v/>
      </c>
      <c r="T127" s="5">
        <f>T124*Eras!T$9</f>
        <v/>
      </c>
      <c r="U127" s="5">
        <f>U124*Eras!U$9</f>
        <v/>
      </c>
      <c r="V127" s="5">
        <f>V124*Eras!V$9</f>
        <v/>
      </c>
      <c r="W127" s="5">
        <f>W124*Eras!W$9</f>
        <v/>
      </c>
      <c r="X127" s="5">
        <f>X124*Eras!X$9</f>
        <v/>
      </c>
      <c r="Y127" s="5">
        <f>Y124*Eras!Y$9</f>
        <v/>
      </c>
      <c r="Z127" s="5">
        <f>Z124*Eras!Z$9</f>
        <v/>
      </c>
      <c r="AA127" s="5">
        <f>AA124*Eras!AA$9</f>
        <v/>
      </c>
      <c r="AB127" s="5">
        <f>AB124*Eras!AB$9</f>
        <v/>
      </c>
      <c r="AC127" s="5">
        <f>AC124*Eras!AC$9</f>
        <v/>
      </c>
      <c r="AD127" s="5">
        <f>AD124*Eras!AD$9</f>
        <v/>
      </c>
      <c r="AE127" s="5">
        <f>AE124*Eras!AE$9</f>
        <v/>
      </c>
      <c r="AF127" s="5">
        <f>AF124*Eras!AF$9</f>
        <v/>
      </c>
      <c r="AG127" s="5">
        <f>AG124*Eras!AG$9</f>
        <v/>
      </c>
      <c r="AH127" s="5">
        <f>AH124*Eras!AH$9</f>
        <v/>
      </c>
      <c r="AI127" s="5">
        <f>AI124*Eras!AI$9</f>
        <v/>
      </c>
      <c r="AJ127" s="5">
        <f>AJ124*Eras!AJ$9</f>
        <v/>
      </c>
      <c r="AK127" s="5">
        <f>AK124*Eras!AK$9</f>
        <v/>
      </c>
      <c r="AL127" s="5">
        <f>AL124*Eras!AL$9</f>
        <v/>
      </c>
      <c r="AM127" s="5">
        <f>AM124*Eras!AM$9</f>
        <v/>
      </c>
      <c r="AN127" s="5">
        <f>AN124*Eras!AN$9</f>
        <v/>
      </c>
      <c r="AO127" s="5">
        <f>AO124*Eras!AO$9</f>
        <v/>
      </c>
      <c r="AP127" s="5">
        <f>AP124*Eras!AP$9</f>
        <v/>
      </c>
      <c r="AQ127" s="5">
        <f>AQ124*Eras!AQ$9</f>
        <v/>
      </c>
      <c r="AR127" s="5">
        <f>AR124*Eras!AR$9</f>
        <v/>
      </c>
      <c r="AS127" s="5">
        <f>AS124*Eras!AS$9</f>
        <v/>
      </c>
      <c r="AT127" s="5">
        <f>AT124*Eras!AT$9</f>
        <v/>
      </c>
      <c r="AU127" s="5">
        <f>AU124*Eras!AU$9</f>
        <v/>
      </c>
      <c r="AV127" s="5">
        <f>AV124*Eras!AV$9</f>
        <v/>
      </c>
      <c r="AW127" s="5">
        <f>AW124*Eras!AW$9</f>
        <v/>
      </c>
      <c r="AX127" s="5">
        <f>AX124*Eras!AX$9</f>
        <v/>
      </c>
      <c r="AY127" s="5">
        <f>AY124*Eras!AY$9</f>
        <v/>
      </c>
      <c r="AZ127" s="5">
        <f>AZ124*Eras!AZ$9</f>
        <v/>
      </c>
      <c r="BA127" s="5">
        <f>BA124*Eras!BA$9</f>
        <v/>
      </c>
      <c r="BB127" s="5">
        <f>BB124*Eras!BB$9</f>
        <v/>
      </c>
      <c r="BC127" s="5">
        <f>BC124*Eras!BC$9</f>
        <v/>
      </c>
      <c r="BD127" s="5">
        <f>BD124*Eras!BD$9</f>
        <v/>
      </c>
      <c r="BE127" s="5">
        <f>BE124*Eras!BE$9</f>
        <v/>
      </c>
      <c r="BF127" s="5">
        <f>BF124*Eras!BF$9</f>
        <v/>
      </c>
      <c r="BG127" s="5">
        <f>BG124*Eras!BG$9</f>
        <v/>
      </c>
      <c r="BH127" s="5">
        <f>BH124*Eras!BH$9</f>
        <v/>
      </c>
      <c r="BI127" s="5">
        <f>BI124*Eras!BI$9</f>
        <v/>
      </c>
      <c r="BJ127" s="5">
        <f>BJ124*Eras!BJ$9</f>
        <v/>
      </c>
      <c r="BK127" s="5">
        <f>BK124*Eras!BK$9</f>
        <v/>
      </c>
      <c r="BL127" s="5">
        <f>BL124*Eras!BL$9</f>
        <v/>
      </c>
      <c r="BM127" s="5">
        <f>BM124*Eras!BM$9</f>
        <v/>
      </c>
      <c r="BN127" s="5">
        <f>BN124*Eras!BN$9</f>
        <v/>
      </c>
      <c r="BO127" s="5">
        <f>BO124*Eras!BO$9</f>
        <v/>
      </c>
      <c r="BP127" s="5">
        <f>BP124*Eras!BP$9</f>
        <v/>
      </c>
      <c r="BQ127" s="5">
        <f>BQ124*Eras!BQ$9</f>
        <v/>
      </c>
      <c r="BR127" s="5">
        <f>BR124*Eras!BR$9</f>
        <v/>
      </c>
      <c r="BS127" s="5">
        <f>BS124*Eras!BS$9</f>
        <v/>
      </c>
      <c r="BT127" s="5">
        <f>BT124*Eras!BT$9</f>
        <v/>
      </c>
      <c r="BU127" s="5">
        <f>BU124*Eras!BU$9</f>
        <v/>
      </c>
      <c r="BV127" s="5">
        <f>BV124*Eras!BV$9</f>
        <v/>
      </c>
    </row>
    <row r="128">
      <c r="A128" t="inlineStr">
        <is>
          <t>trials converted</t>
        </is>
      </c>
      <c r="B128" t="inlineStr">
        <is>
          <t>LATAM|NITRO_M</t>
        </is>
      </c>
      <c r="C128" s="5">
        <f>IF(C$2&gt;=Params!$B$6,INDEX($C$127:$BV$127,C$2-Params!$B$6+1),0)</f>
        <v/>
      </c>
      <c r="D128" s="5">
        <f>IF(D$2&gt;=Params!$B$6,INDEX($C$127:$BV$127,D$2-Params!$B$6+1),0)</f>
        <v/>
      </c>
      <c r="E128" s="5">
        <f>IF(E$2&gt;=Params!$B$6,INDEX($C$127:$BV$127,E$2-Params!$B$6+1),0)</f>
        <v/>
      </c>
      <c r="F128" s="5">
        <f>IF(F$2&gt;=Params!$B$6,INDEX($C$127:$BV$127,F$2-Params!$B$6+1),0)</f>
        <v/>
      </c>
      <c r="G128" s="5">
        <f>IF(G$2&gt;=Params!$B$6,INDEX($C$127:$BV$127,G$2-Params!$B$6+1),0)</f>
        <v/>
      </c>
      <c r="H128" s="5">
        <f>IF(H$2&gt;=Params!$B$6,INDEX($C$127:$BV$127,H$2-Params!$B$6+1),0)</f>
        <v/>
      </c>
      <c r="I128" s="5">
        <f>IF(I$2&gt;=Params!$B$6,INDEX($C$127:$BV$127,I$2-Params!$B$6+1),0)</f>
        <v/>
      </c>
      <c r="J128" s="5">
        <f>IF(J$2&gt;=Params!$B$6,INDEX($C$127:$BV$127,J$2-Params!$B$6+1),0)</f>
        <v/>
      </c>
      <c r="K128" s="5">
        <f>IF(K$2&gt;=Params!$B$6,INDEX($C$127:$BV$127,K$2-Params!$B$6+1),0)</f>
        <v/>
      </c>
      <c r="L128" s="5">
        <f>IF(L$2&gt;=Params!$B$6,INDEX($C$127:$BV$127,L$2-Params!$B$6+1),0)</f>
        <v/>
      </c>
      <c r="M128" s="5">
        <f>IF(M$2&gt;=Params!$B$6,INDEX($C$127:$BV$127,M$2-Params!$B$6+1),0)</f>
        <v/>
      </c>
      <c r="N128" s="5">
        <f>IF(N$2&gt;=Params!$B$6,INDEX($C$127:$BV$127,N$2-Params!$B$6+1),0)</f>
        <v/>
      </c>
      <c r="O128" s="5">
        <f>IF(O$2&gt;=Params!$B$6,INDEX($C$127:$BV$127,O$2-Params!$B$6+1),0)</f>
        <v/>
      </c>
      <c r="P128" s="5">
        <f>IF(P$2&gt;=Params!$B$6,INDEX($C$127:$BV$127,P$2-Params!$B$6+1),0)</f>
        <v/>
      </c>
      <c r="Q128" s="5">
        <f>IF(Q$2&gt;=Params!$B$6,INDEX($C$127:$BV$127,Q$2-Params!$B$6+1),0)</f>
        <v/>
      </c>
      <c r="R128" s="5">
        <f>IF(R$2&gt;=Params!$B$6,INDEX($C$127:$BV$127,R$2-Params!$B$6+1),0)</f>
        <v/>
      </c>
      <c r="S128" s="5">
        <f>IF(S$2&gt;=Params!$B$6,INDEX($C$127:$BV$127,S$2-Params!$B$6+1),0)</f>
        <v/>
      </c>
      <c r="T128" s="5">
        <f>IF(T$2&gt;=Params!$B$6,INDEX($C$127:$BV$127,T$2-Params!$B$6+1),0)</f>
        <v/>
      </c>
      <c r="U128" s="5">
        <f>IF(U$2&gt;=Params!$B$6,INDEX($C$127:$BV$127,U$2-Params!$B$6+1),0)</f>
        <v/>
      </c>
      <c r="V128" s="5">
        <f>IF(V$2&gt;=Params!$B$6,INDEX($C$127:$BV$127,V$2-Params!$B$6+1),0)</f>
        <v/>
      </c>
      <c r="W128" s="5">
        <f>IF(W$2&gt;=Params!$B$6,INDEX($C$127:$BV$127,W$2-Params!$B$6+1),0)</f>
        <v/>
      </c>
      <c r="X128" s="5">
        <f>IF(X$2&gt;=Params!$B$6,INDEX($C$127:$BV$127,X$2-Params!$B$6+1),0)</f>
        <v/>
      </c>
      <c r="Y128" s="5">
        <f>IF(Y$2&gt;=Params!$B$6,INDEX($C$127:$BV$127,Y$2-Params!$B$6+1),0)</f>
        <v/>
      </c>
      <c r="Z128" s="5">
        <f>IF(Z$2&gt;=Params!$B$6,INDEX($C$127:$BV$127,Z$2-Params!$B$6+1),0)</f>
        <v/>
      </c>
      <c r="AA128" s="5">
        <f>IF(AA$2&gt;=Params!$B$6,INDEX($C$127:$BV$127,AA$2-Params!$B$6+1),0)</f>
        <v/>
      </c>
      <c r="AB128" s="5">
        <f>IF(AB$2&gt;=Params!$B$6,INDEX($C$127:$BV$127,AB$2-Params!$B$6+1),0)</f>
        <v/>
      </c>
      <c r="AC128" s="5">
        <f>IF(AC$2&gt;=Params!$B$6,INDEX($C$127:$BV$127,AC$2-Params!$B$6+1),0)</f>
        <v/>
      </c>
      <c r="AD128" s="5">
        <f>IF(AD$2&gt;=Params!$B$6,INDEX($C$127:$BV$127,AD$2-Params!$B$6+1),0)</f>
        <v/>
      </c>
      <c r="AE128" s="5">
        <f>IF(AE$2&gt;=Params!$B$6,INDEX($C$127:$BV$127,AE$2-Params!$B$6+1),0)</f>
        <v/>
      </c>
      <c r="AF128" s="5">
        <f>IF(AF$2&gt;=Params!$B$6,INDEX($C$127:$BV$127,AF$2-Params!$B$6+1),0)</f>
        <v/>
      </c>
      <c r="AG128" s="5">
        <f>IF(AG$2&gt;=Params!$B$6,INDEX($C$127:$BV$127,AG$2-Params!$B$6+1),0)</f>
        <v/>
      </c>
      <c r="AH128" s="5">
        <f>IF(AH$2&gt;=Params!$B$6,INDEX($C$127:$BV$127,AH$2-Params!$B$6+1),0)</f>
        <v/>
      </c>
      <c r="AI128" s="5">
        <f>IF(AI$2&gt;=Params!$B$6,INDEX($C$127:$BV$127,AI$2-Params!$B$6+1),0)</f>
        <v/>
      </c>
      <c r="AJ128" s="5">
        <f>IF(AJ$2&gt;=Params!$B$6,INDEX($C$127:$BV$127,AJ$2-Params!$B$6+1),0)</f>
        <v/>
      </c>
      <c r="AK128" s="5">
        <f>IF(AK$2&gt;=Params!$B$6,INDEX($C$127:$BV$127,AK$2-Params!$B$6+1),0)</f>
        <v/>
      </c>
      <c r="AL128" s="5">
        <f>IF(AL$2&gt;=Params!$B$6,INDEX($C$127:$BV$127,AL$2-Params!$B$6+1),0)</f>
        <v/>
      </c>
      <c r="AM128" s="5">
        <f>IF(AM$2&gt;=Params!$B$6,INDEX($C$127:$BV$127,AM$2-Params!$B$6+1),0)</f>
        <v/>
      </c>
      <c r="AN128" s="5">
        <f>IF(AN$2&gt;=Params!$B$6,INDEX($C$127:$BV$127,AN$2-Params!$B$6+1),0)</f>
        <v/>
      </c>
      <c r="AO128" s="5">
        <f>IF(AO$2&gt;=Params!$B$6,INDEX($C$127:$BV$127,AO$2-Params!$B$6+1),0)</f>
        <v/>
      </c>
      <c r="AP128" s="5">
        <f>IF(AP$2&gt;=Params!$B$6,INDEX($C$127:$BV$127,AP$2-Params!$B$6+1),0)</f>
        <v/>
      </c>
      <c r="AQ128" s="5">
        <f>IF(AQ$2&gt;=Params!$B$6,INDEX($C$127:$BV$127,AQ$2-Params!$B$6+1),0)</f>
        <v/>
      </c>
      <c r="AR128" s="5">
        <f>IF(AR$2&gt;=Params!$B$6,INDEX($C$127:$BV$127,AR$2-Params!$B$6+1),0)</f>
        <v/>
      </c>
      <c r="AS128" s="5">
        <f>IF(AS$2&gt;=Params!$B$6,INDEX($C$127:$BV$127,AS$2-Params!$B$6+1),0)</f>
        <v/>
      </c>
      <c r="AT128" s="5">
        <f>IF(AT$2&gt;=Params!$B$6,INDEX($C$127:$BV$127,AT$2-Params!$B$6+1),0)</f>
        <v/>
      </c>
      <c r="AU128" s="5">
        <f>IF(AU$2&gt;=Params!$B$6,INDEX($C$127:$BV$127,AU$2-Params!$B$6+1),0)</f>
        <v/>
      </c>
      <c r="AV128" s="5">
        <f>IF(AV$2&gt;=Params!$B$6,INDEX($C$127:$BV$127,AV$2-Params!$B$6+1),0)</f>
        <v/>
      </c>
      <c r="AW128" s="5">
        <f>IF(AW$2&gt;=Params!$B$6,INDEX($C$127:$BV$127,AW$2-Params!$B$6+1),0)</f>
        <v/>
      </c>
      <c r="AX128" s="5">
        <f>IF(AX$2&gt;=Params!$B$6,INDEX($C$127:$BV$127,AX$2-Params!$B$6+1),0)</f>
        <v/>
      </c>
      <c r="AY128" s="5">
        <f>IF(AY$2&gt;=Params!$B$6,INDEX($C$127:$BV$127,AY$2-Params!$B$6+1),0)</f>
        <v/>
      </c>
      <c r="AZ128" s="5">
        <f>IF(AZ$2&gt;=Params!$B$6,INDEX($C$127:$BV$127,AZ$2-Params!$B$6+1),0)</f>
        <v/>
      </c>
      <c r="BA128" s="5">
        <f>IF(BA$2&gt;=Params!$B$6,INDEX($C$127:$BV$127,BA$2-Params!$B$6+1),0)</f>
        <v/>
      </c>
      <c r="BB128" s="5">
        <f>IF(BB$2&gt;=Params!$B$6,INDEX($C$127:$BV$127,BB$2-Params!$B$6+1),0)</f>
        <v/>
      </c>
      <c r="BC128" s="5">
        <f>IF(BC$2&gt;=Params!$B$6,INDEX($C$127:$BV$127,BC$2-Params!$B$6+1),0)</f>
        <v/>
      </c>
      <c r="BD128" s="5">
        <f>IF(BD$2&gt;=Params!$B$6,INDEX($C$127:$BV$127,BD$2-Params!$B$6+1),0)</f>
        <v/>
      </c>
      <c r="BE128" s="5">
        <f>IF(BE$2&gt;=Params!$B$6,INDEX($C$127:$BV$127,BE$2-Params!$B$6+1),0)</f>
        <v/>
      </c>
      <c r="BF128" s="5">
        <f>IF(BF$2&gt;=Params!$B$6,INDEX($C$127:$BV$127,BF$2-Params!$B$6+1),0)</f>
        <v/>
      </c>
      <c r="BG128" s="5">
        <f>IF(BG$2&gt;=Params!$B$6,INDEX($C$127:$BV$127,BG$2-Params!$B$6+1),0)</f>
        <v/>
      </c>
      <c r="BH128" s="5">
        <f>IF(BH$2&gt;=Params!$B$6,INDEX($C$127:$BV$127,BH$2-Params!$B$6+1),0)</f>
        <v/>
      </c>
      <c r="BI128" s="5">
        <f>IF(BI$2&gt;=Params!$B$6,INDEX($C$127:$BV$127,BI$2-Params!$B$6+1),0)</f>
        <v/>
      </c>
      <c r="BJ128" s="5">
        <f>IF(BJ$2&gt;=Params!$B$6,INDEX($C$127:$BV$127,BJ$2-Params!$B$6+1),0)</f>
        <v/>
      </c>
      <c r="BK128" s="5">
        <f>IF(BK$2&gt;=Params!$B$6,INDEX($C$127:$BV$127,BK$2-Params!$B$6+1),0)</f>
        <v/>
      </c>
      <c r="BL128" s="5">
        <f>IF(BL$2&gt;=Params!$B$6,INDEX($C$127:$BV$127,BL$2-Params!$B$6+1),0)</f>
        <v/>
      </c>
      <c r="BM128" s="5">
        <f>IF(BM$2&gt;=Params!$B$6,INDEX($C$127:$BV$127,BM$2-Params!$B$6+1),0)</f>
        <v/>
      </c>
      <c r="BN128" s="5">
        <f>IF(BN$2&gt;=Params!$B$6,INDEX($C$127:$BV$127,BN$2-Params!$B$6+1),0)</f>
        <v/>
      </c>
      <c r="BO128" s="5">
        <f>IF(BO$2&gt;=Params!$B$6,INDEX($C$127:$BV$127,BO$2-Params!$B$6+1),0)</f>
        <v/>
      </c>
      <c r="BP128" s="5">
        <f>IF(BP$2&gt;=Params!$B$6,INDEX($C$127:$BV$127,BP$2-Params!$B$6+1),0)</f>
        <v/>
      </c>
      <c r="BQ128" s="5">
        <f>IF(BQ$2&gt;=Params!$B$6,INDEX($C$127:$BV$127,BQ$2-Params!$B$6+1),0)</f>
        <v/>
      </c>
      <c r="BR128" s="5">
        <f>IF(BR$2&gt;=Params!$B$6,INDEX($C$127:$BV$127,BR$2-Params!$B$6+1),0)</f>
        <v/>
      </c>
      <c r="BS128" s="5">
        <f>IF(BS$2&gt;=Params!$B$6,INDEX($C$127:$BV$127,BS$2-Params!$B$6+1),0)</f>
        <v/>
      </c>
      <c r="BT128" s="5">
        <f>IF(BT$2&gt;=Params!$B$6,INDEX($C$127:$BV$127,BT$2-Params!$B$6+1),0)</f>
        <v/>
      </c>
      <c r="BU128" s="5">
        <f>IF(BU$2&gt;=Params!$B$6,INDEX($C$127:$BV$127,BU$2-Params!$B$6+1),0)</f>
        <v/>
      </c>
      <c r="BV128" s="5">
        <f>IF(BV$2&gt;=Params!$B$6,INDEX($C$127:$BV$127,BV$2-Params!$B$6+1),0)</f>
        <v/>
      </c>
    </row>
    <row r="129">
      <c r="A129" t="inlineStr">
        <is>
          <t>trials lost</t>
        </is>
      </c>
      <c r="B129" t="inlineStr">
        <is>
          <t>LATAM|NITRO_M</t>
        </is>
      </c>
      <c r="C129" s="5">
        <f>C126-C128</f>
        <v/>
      </c>
      <c r="D129" s="5">
        <f>D126-D128</f>
        <v/>
      </c>
      <c r="E129" s="5">
        <f>E126-E128</f>
        <v/>
      </c>
      <c r="F129" s="5">
        <f>F126-F128</f>
        <v/>
      </c>
      <c r="G129" s="5">
        <f>G126-G128</f>
        <v/>
      </c>
      <c r="H129" s="5">
        <f>H126-H128</f>
        <v/>
      </c>
      <c r="I129" s="5">
        <f>I126-I128</f>
        <v/>
      </c>
      <c r="J129" s="5">
        <f>J126-J128</f>
        <v/>
      </c>
      <c r="K129" s="5">
        <f>K126-K128</f>
        <v/>
      </c>
      <c r="L129" s="5">
        <f>L126-L128</f>
        <v/>
      </c>
      <c r="M129" s="5">
        <f>M126-M128</f>
        <v/>
      </c>
      <c r="N129" s="5">
        <f>N126-N128</f>
        <v/>
      </c>
      <c r="O129" s="5">
        <f>O126-O128</f>
        <v/>
      </c>
      <c r="P129" s="5">
        <f>P126-P128</f>
        <v/>
      </c>
      <c r="Q129" s="5">
        <f>Q126-Q128</f>
        <v/>
      </c>
      <c r="R129" s="5">
        <f>R126-R128</f>
        <v/>
      </c>
      <c r="S129" s="5">
        <f>S126-S128</f>
        <v/>
      </c>
      <c r="T129" s="5">
        <f>T126-T128</f>
        <v/>
      </c>
      <c r="U129" s="5">
        <f>U126-U128</f>
        <v/>
      </c>
      <c r="V129" s="5">
        <f>V126-V128</f>
        <v/>
      </c>
      <c r="W129" s="5">
        <f>W126-W128</f>
        <v/>
      </c>
      <c r="X129" s="5">
        <f>X126-X128</f>
        <v/>
      </c>
      <c r="Y129" s="5">
        <f>Y126-Y128</f>
        <v/>
      </c>
      <c r="Z129" s="5">
        <f>Z126-Z128</f>
        <v/>
      </c>
      <c r="AA129" s="5">
        <f>AA126-AA128</f>
        <v/>
      </c>
      <c r="AB129" s="5">
        <f>AB126-AB128</f>
        <v/>
      </c>
      <c r="AC129" s="5">
        <f>AC126-AC128</f>
        <v/>
      </c>
      <c r="AD129" s="5">
        <f>AD126-AD128</f>
        <v/>
      </c>
      <c r="AE129" s="5">
        <f>AE126-AE128</f>
        <v/>
      </c>
      <c r="AF129" s="5">
        <f>AF126-AF128</f>
        <v/>
      </c>
      <c r="AG129" s="5">
        <f>AG126-AG128</f>
        <v/>
      </c>
      <c r="AH129" s="5">
        <f>AH126-AH128</f>
        <v/>
      </c>
      <c r="AI129" s="5">
        <f>AI126-AI128</f>
        <v/>
      </c>
      <c r="AJ129" s="5">
        <f>AJ126-AJ128</f>
        <v/>
      </c>
      <c r="AK129" s="5">
        <f>AK126-AK128</f>
        <v/>
      </c>
      <c r="AL129" s="5">
        <f>AL126-AL128</f>
        <v/>
      </c>
      <c r="AM129" s="5">
        <f>AM126-AM128</f>
        <v/>
      </c>
      <c r="AN129" s="5">
        <f>AN126-AN128</f>
        <v/>
      </c>
      <c r="AO129" s="5">
        <f>AO126-AO128</f>
        <v/>
      </c>
      <c r="AP129" s="5">
        <f>AP126-AP128</f>
        <v/>
      </c>
      <c r="AQ129" s="5">
        <f>AQ126-AQ128</f>
        <v/>
      </c>
      <c r="AR129" s="5">
        <f>AR126-AR128</f>
        <v/>
      </c>
      <c r="AS129" s="5">
        <f>AS126-AS128</f>
        <v/>
      </c>
      <c r="AT129" s="5">
        <f>AT126-AT128</f>
        <v/>
      </c>
      <c r="AU129" s="5">
        <f>AU126-AU128</f>
        <v/>
      </c>
      <c r="AV129" s="5">
        <f>AV126-AV128</f>
        <v/>
      </c>
      <c r="AW129" s="5">
        <f>AW126-AW128</f>
        <v/>
      </c>
      <c r="AX129" s="5">
        <f>AX126-AX128</f>
        <v/>
      </c>
      <c r="AY129" s="5">
        <f>AY126-AY128</f>
        <v/>
      </c>
      <c r="AZ129" s="5">
        <f>AZ126-AZ128</f>
        <v/>
      </c>
      <c r="BA129" s="5">
        <f>BA126-BA128</f>
        <v/>
      </c>
      <c r="BB129" s="5">
        <f>BB126-BB128</f>
        <v/>
      </c>
      <c r="BC129" s="5">
        <f>BC126-BC128</f>
        <v/>
      </c>
      <c r="BD129" s="5">
        <f>BD126-BD128</f>
        <v/>
      </c>
      <c r="BE129" s="5">
        <f>BE126-BE128</f>
        <v/>
      </c>
      <c r="BF129" s="5">
        <f>BF126-BF128</f>
        <v/>
      </c>
      <c r="BG129" s="5">
        <f>BG126-BG128</f>
        <v/>
      </c>
      <c r="BH129" s="5">
        <f>BH126-BH128</f>
        <v/>
      </c>
      <c r="BI129" s="5">
        <f>BI126-BI128</f>
        <v/>
      </c>
      <c r="BJ129" s="5">
        <f>BJ126-BJ128</f>
        <v/>
      </c>
      <c r="BK129" s="5">
        <f>BK126-BK128</f>
        <v/>
      </c>
      <c r="BL129" s="5">
        <f>BL126-BL128</f>
        <v/>
      </c>
      <c r="BM129" s="5">
        <f>BM126-BM128</f>
        <v/>
      </c>
      <c r="BN129" s="5">
        <f>BN126-BN128</f>
        <v/>
      </c>
      <c r="BO129" s="5">
        <f>BO126-BO128</f>
        <v/>
      </c>
      <c r="BP129" s="5">
        <f>BP126-BP128</f>
        <v/>
      </c>
      <c r="BQ129" s="5">
        <f>BQ126-BQ128</f>
        <v/>
      </c>
      <c r="BR129" s="5">
        <f>BR126-BR128</f>
        <v/>
      </c>
      <c r="BS129" s="5">
        <f>BS126-BS128</f>
        <v/>
      </c>
      <c r="BT129" s="5">
        <f>BT126-BT128</f>
        <v/>
      </c>
      <c r="BU129" s="5">
        <f>BU126-BU128</f>
        <v/>
      </c>
      <c r="BV129" s="5">
        <f>BV126-BV128</f>
        <v/>
      </c>
    </row>
    <row r="130">
      <c r="A130" t="inlineStr">
        <is>
          <t>cum trial starts</t>
        </is>
      </c>
      <c r="B130" t="inlineStr">
        <is>
          <t>LATAM|NITRO_M</t>
        </is>
      </c>
      <c r="C130" s="5">
        <f>SUM($C124:C124)</f>
        <v/>
      </c>
      <c r="D130" s="5">
        <f>SUM($C124:D124)</f>
        <v/>
      </c>
      <c r="E130" s="5">
        <f>SUM($C124:E124)</f>
        <v/>
      </c>
      <c r="F130" s="5">
        <f>SUM($C124:F124)</f>
        <v/>
      </c>
      <c r="G130" s="5">
        <f>SUM($C124:G124)</f>
        <v/>
      </c>
      <c r="H130" s="5">
        <f>SUM($C124:H124)</f>
        <v/>
      </c>
      <c r="I130" s="5">
        <f>SUM($C124:I124)</f>
        <v/>
      </c>
      <c r="J130" s="5">
        <f>SUM($C124:J124)</f>
        <v/>
      </c>
      <c r="K130" s="5">
        <f>SUM($C124:K124)</f>
        <v/>
      </c>
      <c r="L130" s="5">
        <f>SUM($C124:L124)</f>
        <v/>
      </c>
      <c r="M130" s="5">
        <f>SUM($C124:M124)</f>
        <v/>
      </c>
      <c r="N130" s="5">
        <f>SUM($C124:N124)</f>
        <v/>
      </c>
      <c r="O130" s="5">
        <f>SUM($C124:O124)</f>
        <v/>
      </c>
      <c r="P130" s="5">
        <f>SUM($C124:P124)</f>
        <v/>
      </c>
      <c r="Q130" s="5">
        <f>SUM($C124:Q124)</f>
        <v/>
      </c>
      <c r="R130" s="5">
        <f>SUM($C124:R124)</f>
        <v/>
      </c>
      <c r="S130" s="5">
        <f>SUM($C124:S124)</f>
        <v/>
      </c>
      <c r="T130" s="5">
        <f>SUM($C124:T124)</f>
        <v/>
      </c>
      <c r="U130" s="5">
        <f>SUM($C124:U124)</f>
        <v/>
      </c>
      <c r="V130" s="5">
        <f>SUM($C124:V124)</f>
        <v/>
      </c>
      <c r="W130" s="5">
        <f>SUM($C124:W124)</f>
        <v/>
      </c>
      <c r="X130" s="5">
        <f>SUM($C124:X124)</f>
        <v/>
      </c>
      <c r="Y130" s="5">
        <f>SUM($C124:Y124)</f>
        <v/>
      </c>
      <c r="Z130" s="5">
        <f>SUM($C124:Z124)</f>
        <v/>
      </c>
      <c r="AA130" s="5">
        <f>SUM($C124:AA124)</f>
        <v/>
      </c>
      <c r="AB130" s="5">
        <f>SUM($C124:AB124)</f>
        <v/>
      </c>
      <c r="AC130" s="5">
        <f>SUM($C124:AC124)</f>
        <v/>
      </c>
      <c r="AD130" s="5">
        <f>SUM($C124:AD124)</f>
        <v/>
      </c>
      <c r="AE130" s="5">
        <f>SUM($C124:AE124)</f>
        <v/>
      </c>
      <c r="AF130" s="5">
        <f>SUM($C124:AF124)</f>
        <v/>
      </c>
      <c r="AG130" s="5">
        <f>SUM($C124:AG124)</f>
        <v/>
      </c>
      <c r="AH130" s="5">
        <f>SUM($C124:AH124)</f>
        <v/>
      </c>
      <c r="AI130" s="5">
        <f>SUM($C124:AI124)</f>
        <v/>
      </c>
      <c r="AJ130" s="5">
        <f>SUM($C124:AJ124)</f>
        <v/>
      </c>
      <c r="AK130" s="5">
        <f>SUM($C124:AK124)</f>
        <v/>
      </c>
      <c r="AL130" s="5">
        <f>SUM($C124:AL124)</f>
        <v/>
      </c>
      <c r="AM130" s="5">
        <f>SUM($C124:AM124)</f>
        <v/>
      </c>
      <c r="AN130" s="5">
        <f>SUM($C124:AN124)</f>
        <v/>
      </c>
      <c r="AO130" s="5">
        <f>SUM($C124:AO124)</f>
        <v/>
      </c>
      <c r="AP130" s="5">
        <f>SUM($C124:AP124)</f>
        <v/>
      </c>
      <c r="AQ130" s="5">
        <f>SUM($C124:AQ124)</f>
        <v/>
      </c>
      <c r="AR130" s="5">
        <f>SUM($C124:AR124)</f>
        <v/>
      </c>
      <c r="AS130" s="5">
        <f>SUM($C124:AS124)</f>
        <v/>
      </c>
      <c r="AT130" s="5">
        <f>SUM($C124:AT124)</f>
        <v/>
      </c>
      <c r="AU130" s="5">
        <f>SUM($C124:AU124)</f>
        <v/>
      </c>
      <c r="AV130" s="5">
        <f>SUM($C124:AV124)</f>
        <v/>
      </c>
      <c r="AW130" s="5">
        <f>SUM($C124:AW124)</f>
        <v/>
      </c>
      <c r="AX130" s="5">
        <f>SUM($C124:AX124)</f>
        <v/>
      </c>
      <c r="AY130" s="5">
        <f>SUM($C124:AY124)</f>
        <v/>
      </c>
      <c r="AZ130" s="5">
        <f>SUM($C124:AZ124)</f>
        <v/>
      </c>
      <c r="BA130" s="5">
        <f>SUM($C124:BA124)</f>
        <v/>
      </c>
      <c r="BB130" s="5">
        <f>SUM($C124:BB124)</f>
        <v/>
      </c>
      <c r="BC130" s="5">
        <f>SUM($C124:BC124)</f>
        <v/>
      </c>
      <c r="BD130" s="5">
        <f>SUM($C124:BD124)</f>
        <v/>
      </c>
      <c r="BE130" s="5">
        <f>SUM($C124:BE124)</f>
        <v/>
      </c>
      <c r="BF130" s="5">
        <f>SUM($C124:BF124)</f>
        <v/>
      </c>
      <c r="BG130" s="5">
        <f>SUM($C124:BG124)</f>
        <v/>
      </c>
      <c r="BH130" s="5">
        <f>SUM($C124:BH124)</f>
        <v/>
      </c>
      <c r="BI130" s="5">
        <f>SUM($C124:BI124)</f>
        <v/>
      </c>
      <c r="BJ130" s="5">
        <f>SUM($C124:BJ124)</f>
        <v/>
      </c>
      <c r="BK130" s="5">
        <f>SUM($C124:BK124)</f>
        <v/>
      </c>
      <c r="BL130" s="5">
        <f>SUM($C124:BL124)</f>
        <v/>
      </c>
      <c r="BM130" s="5">
        <f>SUM($C124:BM124)</f>
        <v/>
      </c>
      <c r="BN130" s="5">
        <f>SUM($C124:BN124)</f>
        <v/>
      </c>
      <c r="BO130" s="5">
        <f>SUM($C124:BO124)</f>
        <v/>
      </c>
      <c r="BP130" s="5">
        <f>SUM($C124:BP124)</f>
        <v/>
      </c>
      <c r="BQ130" s="5">
        <f>SUM($C124:BQ124)</f>
        <v/>
      </c>
      <c r="BR130" s="5">
        <f>SUM($C124:BR124)</f>
        <v/>
      </c>
      <c r="BS130" s="5">
        <f>SUM($C124:BS124)</f>
        <v/>
      </c>
      <c r="BT130" s="5">
        <f>SUM($C124:BT124)</f>
        <v/>
      </c>
      <c r="BU130" s="5">
        <f>SUM($C124:BU124)</f>
        <v/>
      </c>
      <c r="BV130" s="5">
        <f>SUM($C124:BV124)</f>
        <v/>
      </c>
    </row>
    <row r="131">
      <c r="A131" t="inlineStr">
        <is>
          <t>cum trials ending</t>
        </is>
      </c>
      <c r="B131" t="inlineStr">
        <is>
          <t>LATAM|NITRO_M</t>
        </is>
      </c>
      <c r="C131" s="5">
        <f>SUM($C126:C126)</f>
        <v/>
      </c>
      <c r="D131" s="5">
        <f>SUM($C126:D126)</f>
        <v/>
      </c>
      <c r="E131" s="5">
        <f>SUM($C126:E126)</f>
        <v/>
      </c>
      <c r="F131" s="5">
        <f>SUM($C126:F126)</f>
        <v/>
      </c>
      <c r="G131" s="5">
        <f>SUM($C126:G126)</f>
        <v/>
      </c>
      <c r="H131" s="5">
        <f>SUM($C126:H126)</f>
        <v/>
      </c>
      <c r="I131" s="5">
        <f>SUM($C126:I126)</f>
        <v/>
      </c>
      <c r="J131" s="5">
        <f>SUM($C126:J126)</f>
        <v/>
      </c>
      <c r="K131" s="5">
        <f>SUM($C126:K126)</f>
        <v/>
      </c>
      <c r="L131" s="5">
        <f>SUM($C126:L126)</f>
        <v/>
      </c>
      <c r="M131" s="5">
        <f>SUM($C126:M126)</f>
        <v/>
      </c>
      <c r="N131" s="5">
        <f>SUM($C126:N126)</f>
        <v/>
      </c>
      <c r="O131" s="5">
        <f>SUM($C126:O126)</f>
        <v/>
      </c>
      <c r="P131" s="5">
        <f>SUM($C126:P126)</f>
        <v/>
      </c>
      <c r="Q131" s="5">
        <f>SUM($C126:Q126)</f>
        <v/>
      </c>
      <c r="R131" s="5">
        <f>SUM($C126:R126)</f>
        <v/>
      </c>
      <c r="S131" s="5">
        <f>SUM($C126:S126)</f>
        <v/>
      </c>
      <c r="T131" s="5">
        <f>SUM($C126:T126)</f>
        <v/>
      </c>
      <c r="U131" s="5">
        <f>SUM($C126:U126)</f>
        <v/>
      </c>
      <c r="V131" s="5">
        <f>SUM($C126:V126)</f>
        <v/>
      </c>
      <c r="W131" s="5">
        <f>SUM($C126:W126)</f>
        <v/>
      </c>
      <c r="X131" s="5">
        <f>SUM($C126:X126)</f>
        <v/>
      </c>
      <c r="Y131" s="5">
        <f>SUM($C126:Y126)</f>
        <v/>
      </c>
      <c r="Z131" s="5">
        <f>SUM($C126:Z126)</f>
        <v/>
      </c>
      <c r="AA131" s="5">
        <f>SUM($C126:AA126)</f>
        <v/>
      </c>
      <c r="AB131" s="5">
        <f>SUM($C126:AB126)</f>
        <v/>
      </c>
      <c r="AC131" s="5">
        <f>SUM($C126:AC126)</f>
        <v/>
      </c>
      <c r="AD131" s="5">
        <f>SUM($C126:AD126)</f>
        <v/>
      </c>
      <c r="AE131" s="5">
        <f>SUM($C126:AE126)</f>
        <v/>
      </c>
      <c r="AF131" s="5">
        <f>SUM($C126:AF126)</f>
        <v/>
      </c>
      <c r="AG131" s="5">
        <f>SUM($C126:AG126)</f>
        <v/>
      </c>
      <c r="AH131" s="5">
        <f>SUM($C126:AH126)</f>
        <v/>
      </c>
      <c r="AI131" s="5">
        <f>SUM($C126:AI126)</f>
        <v/>
      </c>
      <c r="AJ131" s="5">
        <f>SUM($C126:AJ126)</f>
        <v/>
      </c>
      <c r="AK131" s="5">
        <f>SUM($C126:AK126)</f>
        <v/>
      </c>
      <c r="AL131" s="5">
        <f>SUM($C126:AL126)</f>
        <v/>
      </c>
      <c r="AM131" s="5">
        <f>SUM($C126:AM126)</f>
        <v/>
      </c>
      <c r="AN131" s="5">
        <f>SUM($C126:AN126)</f>
        <v/>
      </c>
      <c r="AO131" s="5">
        <f>SUM($C126:AO126)</f>
        <v/>
      </c>
      <c r="AP131" s="5">
        <f>SUM($C126:AP126)</f>
        <v/>
      </c>
      <c r="AQ131" s="5">
        <f>SUM($C126:AQ126)</f>
        <v/>
      </c>
      <c r="AR131" s="5">
        <f>SUM($C126:AR126)</f>
        <v/>
      </c>
      <c r="AS131" s="5">
        <f>SUM($C126:AS126)</f>
        <v/>
      </c>
      <c r="AT131" s="5">
        <f>SUM($C126:AT126)</f>
        <v/>
      </c>
      <c r="AU131" s="5">
        <f>SUM($C126:AU126)</f>
        <v/>
      </c>
      <c r="AV131" s="5">
        <f>SUM($C126:AV126)</f>
        <v/>
      </c>
      <c r="AW131" s="5">
        <f>SUM($C126:AW126)</f>
        <v/>
      </c>
      <c r="AX131" s="5">
        <f>SUM($C126:AX126)</f>
        <v/>
      </c>
      <c r="AY131" s="5">
        <f>SUM($C126:AY126)</f>
        <v/>
      </c>
      <c r="AZ131" s="5">
        <f>SUM($C126:AZ126)</f>
        <v/>
      </c>
      <c r="BA131" s="5">
        <f>SUM($C126:BA126)</f>
        <v/>
      </c>
      <c r="BB131" s="5">
        <f>SUM($C126:BB126)</f>
        <v/>
      </c>
      <c r="BC131" s="5">
        <f>SUM($C126:BC126)</f>
        <v/>
      </c>
      <c r="BD131" s="5">
        <f>SUM($C126:BD126)</f>
        <v/>
      </c>
      <c r="BE131" s="5">
        <f>SUM($C126:BE126)</f>
        <v/>
      </c>
      <c r="BF131" s="5">
        <f>SUM($C126:BF126)</f>
        <v/>
      </c>
      <c r="BG131" s="5">
        <f>SUM($C126:BG126)</f>
        <v/>
      </c>
      <c r="BH131" s="5">
        <f>SUM($C126:BH126)</f>
        <v/>
      </c>
      <c r="BI131" s="5">
        <f>SUM($C126:BI126)</f>
        <v/>
      </c>
      <c r="BJ131" s="5">
        <f>SUM($C126:BJ126)</f>
        <v/>
      </c>
      <c r="BK131" s="5">
        <f>SUM($C126:BK126)</f>
        <v/>
      </c>
      <c r="BL131" s="5">
        <f>SUM($C126:BL126)</f>
        <v/>
      </c>
      <c r="BM131" s="5">
        <f>SUM($C126:BM126)</f>
        <v/>
      </c>
      <c r="BN131" s="5">
        <f>SUM($C126:BN126)</f>
        <v/>
      </c>
      <c r="BO131" s="5">
        <f>SUM($C126:BO126)</f>
        <v/>
      </c>
      <c r="BP131" s="5">
        <f>SUM($C126:BP126)</f>
        <v/>
      </c>
      <c r="BQ131" s="5">
        <f>SUM($C126:BQ126)</f>
        <v/>
      </c>
      <c r="BR131" s="5">
        <f>SUM($C126:BR126)</f>
        <v/>
      </c>
      <c r="BS131" s="5">
        <f>SUM($C126:BS126)</f>
        <v/>
      </c>
      <c r="BT131" s="5">
        <f>SUM($C126:BT126)</f>
        <v/>
      </c>
      <c r="BU131" s="5">
        <f>SUM($C126:BU126)</f>
        <v/>
      </c>
      <c r="BV131" s="5">
        <f>SUM($C126:BV126)</f>
        <v/>
      </c>
    </row>
    <row r="132">
      <c r="A132" t="inlineStr">
        <is>
          <t>trials active</t>
        </is>
      </c>
      <c r="B132" t="inlineStr">
        <is>
          <t>LATAM|NITRO_M</t>
        </is>
      </c>
      <c r="C132" s="5">
        <f>C130-C131</f>
        <v/>
      </c>
      <c r="D132" s="5">
        <f>D130-D131</f>
        <v/>
      </c>
      <c r="E132" s="5">
        <f>E130-E131</f>
        <v/>
      </c>
      <c r="F132" s="5">
        <f>F130-F131</f>
        <v/>
      </c>
      <c r="G132" s="5">
        <f>G130-G131</f>
        <v/>
      </c>
      <c r="H132" s="5">
        <f>H130-H131</f>
        <v/>
      </c>
      <c r="I132" s="5">
        <f>I130-I131</f>
        <v/>
      </c>
      <c r="J132" s="5">
        <f>J130-J131</f>
        <v/>
      </c>
      <c r="K132" s="5">
        <f>K130-K131</f>
        <v/>
      </c>
      <c r="L132" s="5">
        <f>L130-L131</f>
        <v/>
      </c>
      <c r="M132" s="5">
        <f>M130-M131</f>
        <v/>
      </c>
      <c r="N132" s="5">
        <f>N130-N131</f>
        <v/>
      </c>
      <c r="O132" s="5">
        <f>O130-O131</f>
        <v/>
      </c>
      <c r="P132" s="5">
        <f>P130-P131</f>
        <v/>
      </c>
      <c r="Q132" s="5">
        <f>Q130-Q131</f>
        <v/>
      </c>
      <c r="R132" s="5">
        <f>R130-R131</f>
        <v/>
      </c>
      <c r="S132" s="5">
        <f>S130-S131</f>
        <v/>
      </c>
      <c r="T132" s="5">
        <f>T130-T131</f>
        <v/>
      </c>
      <c r="U132" s="5">
        <f>U130-U131</f>
        <v/>
      </c>
      <c r="V132" s="5">
        <f>V130-V131</f>
        <v/>
      </c>
      <c r="W132" s="5">
        <f>W130-W131</f>
        <v/>
      </c>
      <c r="X132" s="5">
        <f>X130-X131</f>
        <v/>
      </c>
      <c r="Y132" s="5">
        <f>Y130-Y131</f>
        <v/>
      </c>
      <c r="Z132" s="5">
        <f>Z130-Z131</f>
        <v/>
      </c>
      <c r="AA132" s="5">
        <f>AA130-AA131</f>
        <v/>
      </c>
      <c r="AB132" s="5">
        <f>AB130-AB131</f>
        <v/>
      </c>
      <c r="AC132" s="5">
        <f>AC130-AC131</f>
        <v/>
      </c>
      <c r="AD132" s="5">
        <f>AD130-AD131</f>
        <v/>
      </c>
      <c r="AE132" s="5">
        <f>AE130-AE131</f>
        <v/>
      </c>
      <c r="AF132" s="5">
        <f>AF130-AF131</f>
        <v/>
      </c>
      <c r="AG132" s="5">
        <f>AG130-AG131</f>
        <v/>
      </c>
      <c r="AH132" s="5">
        <f>AH130-AH131</f>
        <v/>
      </c>
      <c r="AI132" s="5">
        <f>AI130-AI131</f>
        <v/>
      </c>
      <c r="AJ132" s="5">
        <f>AJ130-AJ131</f>
        <v/>
      </c>
      <c r="AK132" s="5">
        <f>AK130-AK131</f>
        <v/>
      </c>
      <c r="AL132" s="5">
        <f>AL130-AL131</f>
        <v/>
      </c>
      <c r="AM132" s="5">
        <f>AM130-AM131</f>
        <v/>
      </c>
      <c r="AN132" s="5">
        <f>AN130-AN131</f>
        <v/>
      </c>
      <c r="AO132" s="5">
        <f>AO130-AO131</f>
        <v/>
      </c>
      <c r="AP132" s="5">
        <f>AP130-AP131</f>
        <v/>
      </c>
      <c r="AQ132" s="5">
        <f>AQ130-AQ131</f>
        <v/>
      </c>
      <c r="AR132" s="5">
        <f>AR130-AR131</f>
        <v/>
      </c>
      <c r="AS132" s="5">
        <f>AS130-AS131</f>
        <v/>
      </c>
      <c r="AT132" s="5">
        <f>AT130-AT131</f>
        <v/>
      </c>
      <c r="AU132" s="5">
        <f>AU130-AU131</f>
        <v/>
      </c>
      <c r="AV132" s="5">
        <f>AV130-AV131</f>
        <v/>
      </c>
      <c r="AW132" s="5">
        <f>AW130-AW131</f>
        <v/>
      </c>
      <c r="AX132" s="5">
        <f>AX130-AX131</f>
        <v/>
      </c>
      <c r="AY132" s="5">
        <f>AY130-AY131</f>
        <v/>
      </c>
      <c r="AZ132" s="5">
        <f>AZ130-AZ131</f>
        <v/>
      </c>
      <c r="BA132" s="5">
        <f>BA130-BA131</f>
        <v/>
      </c>
      <c r="BB132" s="5">
        <f>BB130-BB131</f>
        <v/>
      </c>
      <c r="BC132" s="5">
        <f>BC130-BC131</f>
        <v/>
      </c>
      <c r="BD132" s="5">
        <f>BD130-BD131</f>
        <v/>
      </c>
      <c r="BE132" s="5">
        <f>BE130-BE131</f>
        <v/>
      </c>
      <c r="BF132" s="5">
        <f>BF130-BF131</f>
        <v/>
      </c>
      <c r="BG132" s="5">
        <f>BG130-BG131</f>
        <v/>
      </c>
      <c r="BH132" s="5">
        <f>BH130-BH131</f>
        <v/>
      </c>
      <c r="BI132" s="5">
        <f>BI130-BI131</f>
        <v/>
      </c>
      <c r="BJ132" s="5">
        <f>BJ130-BJ131</f>
        <v/>
      </c>
      <c r="BK132" s="5">
        <f>BK130-BK131</f>
        <v/>
      </c>
      <c r="BL132" s="5">
        <f>BL130-BL131</f>
        <v/>
      </c>
      <c r="BM132" s="5">
        <f>BM130-BM131</f>
        <v/>
      </c>
      <c r="BN132" s="5">
        <f>BN130-BN131</f>
        <v/>
      </c>
      <c r="BO132" s="5">
        <f>BO130-BO131</f>
        <v/>
      </c>
      <c r="BP132" s="5">
        <f>BP130-BP131</f>
        <v/>
      </c>
      <c r="BQ132" s="5">
        <f>BQ130-BQ131</f>
        <v/>
      </c>
      <c r="BR132" s="5">
        <f>BR130-BR131</f>
        <v/>
      </c>
      <c r="BS132" s="5">
        <f>BS130-BS131</f>
        <v/>
      </c>
      <c r="BT132" s="5">
        <f>BT130-BT131</f>
        <v/>
      </c>
      <c r="BU132" s="5">
        <f>BU130-BU131</f>
        <v/>
      </c>
      <c r="BV132" s="5">
        <f>BV130-BV131</f>
        <v/>
      </c>
    </row>
    <row r="133">
      <c r="A133" t="inlineStr">
        <is>
          <t>paid starts</t>
        </is>
      </c>
      <c r="B133" t="inlineStr">
        <is>
          <t>LATAM|NITRO_M</t>
        </is>
      </c>
      <c r="C133" s="5">
        <f>C125+C128</f>
        <v/>
      </c>
      <c r="D133" s="5">
        <f>D125+D128</f>
        <v/>
      </c>
      <c r="E133" s="5">
        <f>E125+E128</f>
        <v/>
      </c>
      <c r="F133" s="5">
        <f>F125+F128</f>
        <v/>
      </c>
      <c r="G133" s="5">
        <f>G125+G128</f>
        <v/>
      </c>
      <c r="H133" s="5">
        <f>H125+H128</f>
        <v/>
      </c>
      <c r="I133" s="5">
        <f>I125+I128</f>
        <v/>
      </c>
      <c r="J133" s="5">
        <f>J125+J128</f>
        <v/>
      </c>
      <c r="K133" s="5">
        <f>K125+K128</f>
        <v/>
      </c>
      <c r="L133" s="5">
        <f>L125+L128</f>
        <v/>
      </c>
      <c r="M133" s="5">
        <f>M125+M128</f>
        <v/>
      </c>
      <c r="N133" s="5">
        <f>N125+N128</f>
        <v/>
      </c>
      <c r="O133" s="5">
        <f>O125+O128</f>
        <v/>
      </c>
      <c r="P133" s="5">
        <f>P125+P128</f>
        <v/>
      </c>
      <c r="Q133" s="5">
        <f>Q125+Q128</f>
        <v/>
      </c>
      <c r="R133" s="5">
        <f>R125+R128</f>
        <v/>
      </c>
      <c r="S133" s="5">
        <f>S125+S128</f>
        <v/>
      </c>
      <c r="T133" s="5">
        <f>T125+T128</f>
        <v/>
      </c>
      <c r="U133" s="5">
        <f>U125+U128</f>
        <v/>
      </c>
      <c r="V133" s="5">
        <f>V125+V128</f>
        <v/>
      </c>
      <c r="W133" s="5">
        <f>W125+W128</f>
        <v/>
      </c>
      <c r="X133" s="5">
        <f>X125+X128</f>
        <v/>
      </c>
      <c r="Y133" s="5">
        <f>Y125+Y128</f>
        <v/>
      </c>
      <c r="Z133" s="5">
        <f>Z125+Z128</f>
        <v/>
      </c>
      <c r="AA133" s="5">
        <f>AA125+AA128</f>
        <v/>
      </c>
      <c r="AB133" s="5">
        <f>AB125+AB128</f>
        <v/>
      </c>
      <c r="AC133" s="5">
        <f>AC125+AC128</f>
        <v/>
      </c>
      <c r="AD133" s="5">
        <f>AD125+AD128</f>
        <v/>
      </c>
      <c r="AE133" s="5">
        <f>AE125+AE128</f>
        <v/>
      </c>
      <c r="AF133" s="5">
        <f>AF125+AF128</f>
        <v/>
      </c>
      <c r="AG133" s="5">
        <f>AG125+AG128</f>
        <v/>
      </c>
      <c r="AH133" s="5">
        <f>AH125+AH128</f>
        <v/>
      </c>
      <c r="AI133" s="5">
        <f>AI125+AI128</f>
        <v/>
      </c>
      <c r="AJ133" s="5">
        <f>AJ125+AJ128</f>
        <v/>
      </c>
      <c r="AK133" s="5">
        <f>AK125+AK128</f>
        <v/>
      </c>
      <c r="AL133" s="5">
        <f>AL125+AL128</f>
        <v/>
      </c>
      <c r="AM133" s="5">
        <f>AM125+AM128</f>
        <v/>
      </c>
      <c r="AN133" s="5">
        <f>AN125+AN128</f>
        <v/>
      </c>
      <c r="AO133" s="5">
        <f>AO125+AO128</f>
        <v/>
      </c>
      <c r="AP133" s="5">
        <f>AP125+AP128</f>
        <v/>
      </c>
      <c r="AQ133" s="5">
        <f>AQ125+AQ128</f>
        <v/>
      </c>
      <c r="AR133" s="5">
        <f>AR125+AR128</f>
        <v/>
      </c>
      <c r="AS133" s="5">
        <f>AS125+AS128</f>
        <v/>
      </c>
      <c r="AT133" s="5">
        <f>AT125+AT128</f>
        <v/>
      </c>
      <c r="AU133" s="5">
        <f>AU125+AU128</f>
        <v/>
      </c>
      <c r="AV133" s="5">
        <f>AV125+AV128</f>
        <v/>
      </c>
      <c r="AW133" s="5">
        <f>AW125+AW128</f>
        <v/>
      </c>
      <c r="AX133" s="5">
        <f>AX125+AX128</f>
        <v/>
      </c>
      <c r="AY133" s="5">
        <f>AY125+AY128</f>
        <v/>
      </c>
      <c r="AZ133" s="5">
        <f>AZ125+AZ128</f>
        <v/>
      </c>
      <c r="BA133" s="5">
        <f>BA125+BA128</f>
        <v/>
      </c>
      <c r="BB133" s="5">
        <f>BB125+BB128</f>
        <v/>
      </c>
      <c r="BC133" s="5">
        <f>BC125+BC128</f>
        <v/>
      </c>
      <c r="BD133" s="5">
        <f>BD125+BD128</f>
        <v/>
      </c>
      <c r="BE133" s="5">
        <f>BE125+BE128</f>
        <v/>
      </c>
      <c r="BF133" s="5">
        <f>BF125+BF128</f>
        <v/>
      </c>
      <c r="BG133" s="5">
        <f>BG125+BG128</f>
        <v/>
      </c>
      <c r="BH133" s="5">
        <f>BH125+BH128</f>
        <v/>
      </c>
      <c r="BI133" s="5">
        <f>BI125+BI128</f>
        <v/>
      </c>
      <c r="BJ133" s="5">
        <f>BJ125+BJ128</f>
        <v/>
      </c>
      <c r="BK133" s="5">
        <f>BK125+BK128</f>
        <v/>
      </c>
      <c r="BL133" s="5">
        <f>BL125+BL128</f>
        <v/>
      </c>
      <c r="BM133" s="5">
        <f>BM125+BM128</f>
        <v/>
      </c>
      <c r="BN133" s="5">
        <f>BN125+BN128</f>
        <v/>
      </c>
      <c r="BO133" s="5">
        <f>BO125+BO128</f>
        <v/>
      </c>
      <c r="BP133" s="5">
        <f>BP125+BP128</f>
        <v/>
      </c>
      <c r="BQ133" s="5">
        <f>BQ125+BQ128</f>
        <v/>
      </c>
      <c r="BR133" s="5">
        <f>BR125+BR128</f>
        <v/>
      </c>
      <c r="BS133" s="5">
        <f>BS125+BS128</f>
        <v/>
      </c>
      <c r="BT133" s="5">
        <f>BT125+BT128</f>
        <v/>
      </c>
      <c r="BU133" s="5">
        <f>BU125+BU128</f>
        <v/>
      </c>
      <c r="BV133" s="5">
        <f>BV125+BV128</f>
        <v/>
      </c>
    </row>
    <row r="134">
      <c r="A134" t="inlineStr">
        <is>
          <t>paid starts @0</t>
        </is>
      </c>
      <c r="B134" t="inlineStr">
        <is>
          <t>LATAM|NITRO_M</t>
        </is>
      </c>
      <c r="C134" s="5">
        <f>C133*Eras!C$3</f>
        <v/>
      </c>
      <c r="D134" s="5">
        <f>D133*Eras!D$3</f>
        <v/>
      </c>
      <c r="E134" s="5">
        <f>E133*Eras!E$3</f>
        <v/>
      </c>
      <c r="F134" s="5">
        <f>F133*Eras!F$3</f>
        <v/>
      </c>
      <c r="G134" s="5">
        <f>G133*Eras!G$3</f>
        <v/>
      </c>
      <c r="H134" s="5">
        <f>H133*Eras!H$3</f>
        <v/>
      </c>
      <c r="I134" s="5">
        <f>I133*Eras!I$3</f>
        <v/>
      </c>
      <c r="J134" s="5">
        <f>J133*Eras!J$3</f>
        <v/>
      </c>
      <c r="K134" s="5">
        <f>K133*Eras!K$3</f>
        <v/>
      </c>
      <c r="L134" s="5">
        <f>L133*Eras!L$3</f>
        <v/>
      </c>
      <c r="M134" s="5">
        <f>M133*Eras!M$3</f>
        <v/>
      </c>
      <c r="N134" s="5">
        <f>N133*Eras!N$3</f>
        <v/>
      </c>
      <c r="O134" s="5">
        <f>O133*Eras!O$3</f>
        <v/>
      </c>
      <c r="P134" s="5">
        <f>P133*Eras!P$3</f>
        <v/>
      </c>
      <c r="Q134" s="5">
        <f>Q133*Eras!Q$3</f>
        <v/>
      </c>
      <c r="R134" s="5">
        <f>R133*Eras!R$3</f>
        <v/>
      </c>
      <c r="S134" s="5">
        <f>S133*Eras!S$3</f>
        <v/>
      </c>
      <c r="T134" s="5">
        <f>T133*Eras!T$3</f>
        <v/>
      </c>
      <c r="U134" s="5">
        <f>U133*Eras!U$3</f>
        <v/>
      </c>
      <c r="V134" s="5">
        <f>V133*Eras!V$3</f>
        <v/>
      </c>
      <c r="W134" s="5">
        <f>W133*Eras!W$3</f>
        <v/>
      </c>
      <c r="X134" s="5">
        <f>X133*Eras!X$3</f>
        <v/>
      </c>
      <c r="Y134" s="5">
        <f>Y133*Eras!Y$3</f>
        <v/>
      </c>
      <c r="Z134" s="5">
        <f>Z133*Eras!Z$3</f>
        <v/>
      </c>
      <c r="AA134" s="5">
        <f>AA133*Eras!AA$3</f>
        <v/>
      </c>
      <c r="AB134" s="5">
        <f>AB133*Eras!AB$3</f>
        <v/>
      </c>
      <c r="AC134" s="5">
        <f>AC133*Eras!AC$3</f>
        <v/>
      </c>
      <c r="AD134" s="5">
        <f>AD133*Eras!AD$3</f>
        <v/>
      </c>
      <c r="AE134" s="5">
        <f>AE133*Eras!AE$3</f>
        <v/>
      </c>
      <c r="AF134" s="5">
        <f>AF133*Eras!AF$3</f>
        <v/>
      </c>
      <c r="AG134" s="5">
        <f>AG133*Eras!AG$3</f>
        <v/>
      </c>
      <c r="AH134" s="5">
        <f>AH133*Eras!AH$3</f>
        <v/>
      </c>
      <c r="AI134" s="5">
        <f>AI133*Eras!AI$3</f>
        <v/>
      </c>
      <c r="AJ134" s="5">
        <f>AJ133*Eras!AJ$3</f>
        <v/>
      </c>
      <c r="AK134" s="5">
        <f>AK133*Eras!AK$3</f>
        <v/>
      </c>
      <c r="AL134" s="5">
        <f>AL133*Eras!AL$3</f>
        <v/>
      </c>
      <c r="AM134" s="5">
        <f>AM133*Eras!AM$3</f>
        <v/>
      </c>
      <c r="AN134" s="5">
        <f>AN133*Eras!AN$3</f>
        <v/>
      </c>
      <c r="AO134" s="5">
        <f>AO133*Eras!AO$3</f>
        <v/>
      </c>
      <c r="AP134" s="5">
        <f>AP133*Eras!AP$3</f>
        <v/>
      </c>
      <c r="AQ134" s="5">
        <f>AQ133*Eras!AQ$3</f>
        <v/>
      </c>
      <c r="AR134" s="5">
        <f>AR133*Eras!AR$3</f>
        <v/>
      </c>
      <c r="AS134" s="5">
        <f>AS133*Eras!AS$3</f>
        <v/>
      </c>
      <c r="AT134" s="5">
        <f>AT133*Eras!AT$3</f>
        <v/>
      </c>
      <c r="AU134" s="5">
        <f>AU133*Eras!AU$3</f>
        <v/>
      </c>
      <c r="AV134" s="5">
        <f>AV133*Eras!AV$3</f>
        <v/>
      </c>
      <c r="AW134" s="5">
        <f>AW133*Eras!AW$3</f>
        <v/>
      </c>
      <c r="AX134" s="5">
        <f>AX133*Eras!AX$3</f>
        <v/>
      </c>
      <c r="AY134" s="5">
        <f>AY133*Eras!AY$3</f>
        <v/>
      </c>
      <c r="AZ134" s="5">
        <f>AZ133*Eras!AZ$3</f>
        <v/>
      </c>
      <c r="BA134" s="5">
        <f>BA133*Eras!BA$3</f>
        <v/>
      </c>
      <c r="BB134" s="5">
        <f>BB133*Eras!BB$3</f>
        <v/>
      </c>
      <c r="BC134" s="5">
        <f>BC133*Eras!BC$3</f>
        <v/>
      </c>
      <c r="BD134" s="5">
        <f>BD133*Eras!BD$3</f>
        <v/>
      </c>
      <c r="BE134" s="5">
        <f>BE133*Eras!BE$3</f>
        <v/>
      </c>
      <c r="BF134" s="5">
        <f>BF133*Eras!BF$3</f>
        <v/>
      </c>
      <c r="BG134" s="5">
        <f>BG133*Eras!BG$3</f>
        <v/>
      </c>
      <c r="BH134" s="5">
        <f>BH133*Eras!BH$3</f>
        <v/>
      </c>
      <c r="BI134" s="5">
        <f>BI133*Eras!BI$3</f>
        <v/>
      </c>
      <c r="BJ134" s="5">
        <f>BJ133*Eras!BJ$3</f>
        <v/>
      </c>
      <c r="BK134" s="5">
        <f>BK133*Eras!BK$3</f>
        <v/>
      </c>
      <c r="BL134" s="5">
        <f>BL133*Eras!BL$3</f>
        <v/>
      </c>
      <c r="BM134" s="5">
        <f>BM133*Eras!BM$3</f>
        <v/>
      </c>
      <c r="BN134" s="5">
        <f>BN133*Eras!BN$3</f>
        <v/>
      </c>
      <c r="BO134" s="5">
        <f>BO133*Eras!BO$3</f>
        <v/>
      </c>
      <c r="BP134" s="5">
        <f>BP133*Eras!BP$3</f>
        <v/>
      </c>
      <c r="BQ134" s="5">
        <f>BQ133*Eras!BQ$3</f>
        <v/>
      </c>
      <c r="BR134" s="5">
        <f>BR133*Eras!BR$3</f>
        <v/>
      </c>
      <c r="BS134" s="5">
        <f>BS133*Eras!BS$3</f>
        <v/>
      </c>
      <c r="BT134" s="5">
        <f>BT133*Eras!BT$3</f>
        <v/>
      </c>
      <c r="BU134" s="5">
        <f>BU133*Eras!BU$3</f>
        <v/>
      </c>
      <c r="BV134" s="5">
        <f>BV133*Eras!BV$3</f>
        <v/>
      </c>
    </row>
    <row r="135">
      <c r="A135" t="inlineStr">
        <is>
          <t>paid starts @1</t>
        </is>
      </c>
      <c r="B135" t="inlineStr">
        <is>
          <t>LATAM|NITRO_M</t>
        </is>
      </c>
      <c r="C135" s="5">
        <f>C133*Eras!C$4</f>
        <v/>
      </c>
      <c r="D135" s="5">
        <f>D133*Eras!D$4</f>
        <v/>
      </c>
      <c r="E135" s="5">
        <f>E133*Eras!E$4</f>
        <v/>
      </c>
      <c r="F135" s="5">
        <f>F133*Eras!F$4</f>
        <v/>
      </c>
      <c r="G135" s="5">
        <f>G133*Eras!G$4</f>
        <v/>
      </c>
      <c r="H135" s="5">
        <f>H133*Eras!H$4</f>
        <v/>
      </c>
      <c r="I135" s="5">
        <f>I133*Eras!I$4</f>
        <v/>
      </c>
      <c r="J135" s="5">
        <f>J133*Eras!J$4</f>
        <v/>
      </c>
      <c r="K135" s="5">
        <f>K133*Eras!K$4</f>
        <v/>
      </c>
      <c r="L135" s="5">
        <f>L133*Eras!L$4</f>
        <v/>
      </c>
      <c r="M135" s="5">
        <f>M133*Eras!M$4</f>
        <v/>
      </c>
      <c r="N135" s="5">
        <f>N133*Eras!N$4</f>
        <v/>
      </c>
      <c r="O135" s="5">
        <f>O133*Eras!O$4</f>
        <v/>
      </c>
      <c r="P135" s="5">
        <f>P133*Eras!P$4</f>
        <v/>
      </c>
      <c r="Q135" s="5">
        <f>Q133*Eras!Q$4</f>
        <v/>
      </c>
      <c r="R135" s="5">
        <f>R133*Eras!R$4</f>
        <v/>
      </c>
      <c r="S135" s="5">
        <f>S133*Eras!S$4</f>
        <v/>
      </c>
      <c r="T135" s="5">
        <f>T133*Eras!T$4</f>
        <v/>
      </c>
      <c r="U135" s="5">
        <f>U133*Eras!U$4</f>
        <v/>
      </c>
      <c r="V135" s="5">
        <f>V133*Eras!V$4</f>
        <v/>
      </c>
      <c r="W135" s="5">
        <f>W133*Eras!W$4</f>
        <v/>
      </c>
      <c r="X135" s="5">
        <f>X133*Eras!X$4</f>
        <v/>
      </c>
      <c r="Y135" s="5">
        <f>Y133*Eras!Y$4</f>
        <v/>
      </c>
      <c r="Z135" s="5">
        <f>Z133*Eras!Z$4</f>
        <v/>
      </c>
      <c r="AA135" s="5">
        <f>AA133*Eras!AA$4</f>
        <v/>
      </c>
      <c r="AB135" s="5">
        <f>AB133*Eras!AB$4</f>
        <v/>
      </c>
      <c r="AC135" s="5">
        <f>AC133*Eras!AC$4</f>
        <v/>
      </c>
      <c r="AD135" s="5">
        <f>AD133*Eras!AD$4</f>
        <v/>
      </c>
      <c r="AE135" s="5">
        <f>AE133*Eras!AE$4</f>
        <v/>
      </c>
      <c r="AF135" s="5">
        <f>AF133*Eras!AF$4</f>
        <v/>
      </c>
      <c r="AG135" s="5">
        <f>AG133*Eras!AG$4</f>
        <v/>
      </c>
      <c r="AH135" s="5">
        <f>AH133*Eras!AH$4</f>
        <v/>
      </c>
      <c r="AI135" s="5">
        <f>AI133*Eras!AI$4</f>
        <v/>
      </c>
      <c r="AJ135" s="5">
        <f>AJ133*Eras!AJ$4</f>
        <v/>
      </c>
      <c r="AK135" s="5">
        <f>AK133*Eras!AK$4</f>
        <v/>
      </c>
      <c r="AL135" s="5">
        <f>AL133*Eras!AL$4</f>
        <v/>
      </c>
      <c r="AM135" s="5">
        <f>AM133*Eras!AM$4</f>
        <v/>
      </c>
      <c r="AN135" s="5">
        <f>AN133*Eras!AN$4</f>
        <v/>
      </c>
      <c r="AO135" s="5">
        <f>AO133*Eras!AO$4</f>
        <v/>
      </c>
      <c r="AP135" s="5">
        <f>AP133*Eras!AP$4</f>
        <v/>
      </c>
      <c r="AQ135" s="5">
        <f>AQ133*Eras!AQ$4</f>
        <v/>
      </c>
      <c r="AR135" s="5">
        <f>AR133*Eras!AR$4</f>
        <v/>
      </c>
      <c r="AS135" s="5">
        <f>AS133*Eras!AS$4</f>
        <v/>
      </c>
      <c r="AT135" s="5">
        <f>AT133*Eras!AT$4</f>
        <v/>
      </c>
      <c r="AU135" s="5">
        <f>AU133*Eras!AU$4</f>
        <v/>
      </c>
      <c r="AV135" s="5">
        <f>AV133*Eras!AV$4</f>
        <v/>
      </c>
      <c r="AW135" s="5">
        <f>AW133*Eras!AW$4</f>
        <v/>
      </c>
      <c r="AX135" s="5">
        <f>AX133*Eras!AX$4</f>
        <v/>
      </c>
      <c r="AY135" s="5">
        <f>AY133*Eras!AY$4</f>
        <v/>
      </c>
      <c r="AZ135" s="5">
        <f>AZ133*Eras!AZ$4</f>
        <v/>
      </c>
      <c r="BA135" s="5">
        <f>BA133*Eras!BA$4</f>
        <v/>
      </c>
      <c r="BB135" s="5">
        <f>BB133*Eras!BB$4</f>
        <v/>
      </c>
      <c r="BC135" s="5">
        <f>BC133*Eras!BC$4</f>
        <v/>
      </c>
      <c r="BD135" s="5">
        <f>BD133*Eras!BD$4</f>
        <v/>
      </c>
      <c r="BE135" s="5">
        <f>BE133*Eras!BE$4</f>
        <v/>
      </c>
      <c r="BF135" s="5">
        <f>BF133*Eras!BF$4</f>
        <v/>
      </c>
      <c r="BG135" s="5">
        <f>BG133*Eras!BG$4</f>
        <v/>
      </c>
      <c r="BH135" s="5">
        <f>BH133*Eras!BH$4</f>
        <v/>
      </c>
      <c r="BI135" s="5">
        <f>BI133*Eras!BI$4</f>
        <v/>
      </c>
      <c r="BJ135" s="5">
        <f>BJ133*Eras!BJ$4</f>
        <v/>
      </c>
      <c r="BK135" s="5">
        <f>BK133*Eras!BK$4</f>
        <v/>
      </c>
      <c r="BL135" s="5">
        <f>BL133*Eras!BL$4</f>
        <v/>
      </c>
      <c r="BM135" s="5">
        <f>BM133*Eras!BM$4</f>
        <v/>
      </c>
      <c r="BN135" s="5">
        <f>BN133*Eras!BN$4</f>
        <v/>
      </c>
      <c r="BO135" s="5">
        <f>BO133*Eras!BO$4</f>
        <v/>
      </c>
      <c r="BP135" s="5">
        <f>BP133*Eras!BP$4</f>
        <v/>
      </c>
      <c r="BQ135" s="5">
        <f>BQ133*Eras!BQ$4</f>
        <v/>
      </c>
      <c r="BR135" s="5">
        <f>BR133*Eras!BR$4</f>
        <v/>
      </c>
      <c r="BS135" s="5">
        <f>BS133*Eras!BS$4</f>
        <v/>
      </c>
      <c r="BT135" s="5">
        <f>BT133*Eras!BT$4</f>
        <v/>
      </c>
      <c r="BU135" s="5">
        <f>BU133*Eras!BU$4</f>
        <v/>
      </c>
      <c r="BV135" s="5">
        <f>BV133*Eras!BV$4</f>
        <v/>
      </c>
    </row>
    <row r="136">
      <c r="A136" t="inlineStr">
        <is>
          <t>paid starts @2</t>
        </is>
      </c>
      <c r="B136" t="inlineStr">
        <is>
          <t>LATAM|NITRO_M</t>
        </is>
      </c>
      <c r="C136" s="5">
        <f>C133*Eras!C$5</f>
        <v/>
      </c>
      <c r="D136" s="5">
        <f>D133*Eras!D$5</f>
        <v/>
      </c>
      <c r="E136" s="5">
        <f>E133*Eras!E$5</f>
        <v/>
      </c>
      <c r="F136" s="5">
        <f>F133*Eras!F$5</f>
        <v/>
      </c>
      <c r="G136" s="5">
        <f>G133*Eras!G$5</f>
        <v/>
      </c>
      <c r="H136" s="5">
        <f>H133*Eras!H$5</f>
        <v/>
      </c>
      <c r="I136" s="5">
        <f>I133*Eras!I$5</f>
        <v/>
      </c>
      <c r="J136" s="5">
        <f>J133*Eras!J$5</f>
        <v/>
      </c>
      <c r="K136" s="5">
        <f>K133*Eras!K$5</f>
        <v/>
      </c>
      <c r="L136" s="5">
        <f>L133*Eras!L$5</f>
        <v/>
      </c>
      <c r="M136" s="5">
        <f>M133*Eras!M$5</f>
        <v/>
      </c>
      <c r="N136" s="5">
        <f>N133*Eras!N$5</f>
        <v/>
      </c>
      <c r="O136" s="5">
        <f>O133*Eras!O$5</f>
        <v/>
      </c>
      <c r="P136" s="5">
        <f>P133*Eras!P$5</f>
        <v/>
      </c>
      <c r="Q136" s="5">
        <f>Q133*Eras!Q$5</f>
        <v/>
      </c>
      <c r="R136" s="5">
        <f>R133*Eras!R$5</f>
        <v/>
      </c>
      <c r="S136" s="5">
        <f>S133*Eras!S$5</f>
        <v/>
      </c>
      <c r="T136" s="5">
        <f>T133*Eras!T$5</f>
        <v/>
      </c>
      <c r="U136" s="5">
        <f>U133*Eras!U$5</f>
        <v/>
      </c>
      <c r="V136" s="5">
        <f>V133*Eras!V$5</f>
        <v/>
      </c>
      <c r="W136" s="5">
        <f>W133*Eras!W$5</f>
        <v/>
      </c>
      <c r="X136" s="5">
        <f>X133*Eras!X$5</f>
        <v/>
      </c>
      <c r="Y136" s="5">
        <f>Y133*Eras!Y$5</f>
        <v/>
      </c>
      <c r="Z136" s="5">
        <f>Z133*Eras!Z$5</f>
        <v/>
      </c>
      <c r="AA136" s="5">
        <f>AA133*Eras!AA$5</f>
        <v/>
      </c>
      <c r="AB136" s="5">
        <f>AB133*Eras!AB$5</f>
        <v/>
      </c>
      <c r="AC136" s="5">
        <f>AC133*Eras!AC$5</f>
        <v/>
      </c>
      <c r="AD136" s="5">
        <f>AD133*Eras!AD$5</f>
        <v/>
      </c>
      <c r="AE136" s="5">
        <f>AE133*Eras!AE$5</f>
        <v/>
      </c>
      <c r="AF136" s="5">
        <f>AF133*Eras!AF$5</f>
        <v/>
      </c>
      <c r="AG136" s="5">
        <f>AG133*Eras!AG$5</f>
        <v/>
      </c>
      <c r="AH136" s="5">
        <f>AH133*Eras!AH$5</f>
        <v/>
      </c>
      <c r="AI136" s="5">
        <f>AI133*Eras!AI$5</f>
        <v/>
      </c>
      <c r="AJ136" s="5">
        <f>AJ133*Eras!AJ$5</f>
        <v/>
      </c>
      <c r="AK136" s="5">
        <f>AK133*Eras!AK$5</f>
        <v/>
      </c>
      <c r="AL136" s="5">
        <f>AL133*Eras!AL$5</f>
        <v/>
      </c>
      <c r="AM136" s="5">
        <f>AM133*Eras!AM$5</f>
        <v/>
      </c>
      <c r="AN136" s="5">
        <f>AN133*Eras!AN$5</f>
        <v/>
      </c>
      <c r="AO136" s="5">
        <f>AO133*Eras!AO$5</f>
        <v/>
      </c>
      <c r="AP136" s="5">
        <f>AP133*Eras!AP$5</f>
        <v/>
      </c>
      <c r="AQ136" s="5">
        <f>AQ133*Eras!AQ$5</f>
        <v/>
      </c>
      <c r="AR136" s="5">
        <f>AR133*Eras!AR$5</f>
        <v/>
      </c>
      <c r="AS136" s="5">
        <f>AS133*Eras!AS$5</f>
        <v/>
      </c>
      <c r="AT136" s="5">
        <f>AT133*Eras!AT$5</f>
        <v/>
      </c>
      <c r="AU136" s="5">
        <f>AU133*Eras!AU$5</f>
        <v/>
      </c>
      <c r="AV136" s="5">
        <f>AV133*Eras!AV$5</f>
        <v/>
      </c>
      <c r="AW136" s="5">
        <f>AW133*Eras!AW$5</f>
        <v/>
      </c>
      <c r="AX136" s="5">
        <f>AX133*Eras!AX$5</f>
        <v/>
      </c>
      <c r="AY136" s="5">
        <f>AY133*Eras!AY$5</f>
        <v/>
      </c>
      <c r="AZ136" s="5">
        <f>AZ133*Eras!AZ$5</f>
        <v/>
      </c>
      <c r="BA136" s="5">
        <f>BA133*Eras!BA$5</f>
        <v/>
      </c>
      <c r="BB136" s="5">
        <f>BB133*Eras!BB$5</f>
        <v/>
      </c>
      <c r="BC136" s="5">
        <f>BC133*Eras!BC$5</f>
        <v/>
      </c>
      <c r="BD136" s="5">
        <f>BD133*Eras!BD$5</f>
        <v/>
      </c>
      <c r="BE136" s="5">
        <f>BE133*Eras!BE$5</f>
        <v/>
      </c>
      <c r="BF136" s="5">
        <f>BF133*Eras!BF$5</f>
        <v/>
      </c>
      <c r="BG136" s="5">
        <f>BG133*Eras!BG$5</f>
        <v/>
      </c>
      <c r="BH136" s="5">
        <f>BH133*Eras!BH$5</f>
        <v/>
      </c>
      <c r="BI136" s="5">
        <f>BI133*Eras!BI$5</f>
        <v/>
      </c>
      <c r="BJ136" s="5">
        <f>BJ133*Eras!BJ$5</f>
        <v/>
      </c>
      <c r="BK136" s="5">
        <f>BK133*Eras!BK$5</f>
        <v/>
      </c>
      <c r="BL136" s="5">
        <f>BL133*Eras!BL$5</f>
        <v/>
      </c>
      <c r="BM136" s="5">
        <f>BM133*Eras!BM$5</f>
        <v/>
      </c>
      <c r="BN136" s="5">
        <f>BN133*Eras!BN$5</f>
        <v/>
      </c>
      <c r="BO136" s="5">
        <f>BO133*Eras!BO$5</f>
        <v/>
      </c>
      <c r="BP136" s="5">
        <f>BP133*Eras!BP$5</f>
        <v/>
      </c>
      <c r="BQ136" s="5">
        <f>BQ133*Eras!BQ$5</f>
        <v/>
      </c>
      <c r="BR136" s="5">
        <f>BR133*Eras!BR$5</f>
        <v/>
      </c>
      <c r="BS136" s="5">
        <f>BS133*Eras!BS$5</f>
        <v/>
      </c>
      <c r="BT136" s="5">
        <f>BT133*Eras!BT$5</f>
        <v/>
      </c>
      <c r="BU136" s="5">
        <f>BU133*Eras!BU$5</f>
        <v/>
      </c>
      <c r="BV136" s="5">
        <f>BV133*Eras!BV$5</f>
        <v/>
      </c>
    </row>
    <row r="138">
      <c r="A138" t="inlineStr">
        <is>
          <t>gross adds</t>
        </is>
      </c>
      <c r="B138" t="inlineStr">
        <is>
          <t>LATAM|NITRO_A</t>
        </is>
      </c>
      <c r="C138" s="5">
        <f>MAU!C6*Params!$B$59*Eras!C$7*Params!$B$130*Params!$B$93</f>
        <v/>
      </c>
      <c r="D138" s="5">
        <f>MAU!D6*Params!$B$59*Eras!D$7*Params!$B$130*Params!$B$93</f>
        <v/>
      </c>
      <c r="E138" s="5">
        <f>MAU!E6*Params!$B$59*Eras!E$7*Params!$B$130*Params!$B$93</f>
        <v/>
      </c>
      <c r="F138" s="5">
        <f>MAU!F6*Params!$B$59*Eras!F$7*Params!$B$130*Params!$B$93</f>
        <v/>
      </c>
      <c r="G138" s="5">
        <f>MAU!G6*Params!$B$59*Eras!G$7*Params!$B$130*Params!$B$93</f>
        <v/>
      </c>
      <c r="H138" s="5">
        <f>MAU!H6*Params!$B$59*Eras!H$7*Params!$B$130*Params!$B$93</f>
        <v/>
      </c>
      <c r="I138" s="5">
        <f>MAU!I6*Params!$B$59*Eras!I$7*Params!$B$130*Params!$B$93</f>
        <v/>
      </c>
      <c r="J138" s="5">
        <f>MAU!J6*Params!$B$59*Eras!J$7*Params!$B$130*Params!$B$93</f>
        <v/>
      </c>
      <c r="K138" s="5">
        <f>MAU!K6*Params!$B$59*Eras!K$7*Params!$B$130*Params!$B$93</f>
        <v/>
      </c>
      <c r="L138" s="5">
        <f>MAU!L6*Params!$B$59*Eras!L$7*Params!$B$130*Params!$B$93</f>
        <v/>
      </c>
      <c r="M138" s="5">
        <f>MAU!M6*Params!$B$59*Eras!M$7*Params!$B$130*Params!$B$93</f>
        <v/>
      </c>
      <c r="N138" s="5">
        <f>MAU!N6*Params!$B$59*Eras!N$7*Params!$B$130*Params!$B$93</f>
        <v/>
      </c>
      <c r="O138" s="5">
        <f>MAU!O6*Params!$B$59*Eras!O$7*Params!$B$130*Params!$B$93</f>
        <v/>
      </c>
      <c r="P138" s="5">
        <f>MAU!P6*Params!$B$59*Eras!P$7*Params!$B$130*Params!$B$93</f>
        <v/>
      </c>
      <c r="Q138" s="5">
        <f>MAU!Q6*Params!$B$59*Eras!Q$7*Params!$B$130*Params!$B$93</f>
        <v/>
      </c>
      <c r="R138" s="5">
        <f>MAU!R6*Params!$B$59*Eras!R$7*Params!$B$130*Params!$B$93</f>
        <v/>
      </c>
      <c r="S138" s="5">
        <f>MAU!S6*Params!$B$59*Eras!S$7*Params!$B$130*Params!$B$93</f>
        <v/>
      </c>
      <c r="T138" s="5">
        <f>MAU!T6*Params!$B$59*Eras!T$7*Params!$B$130*Params!$B$93</f>
        <v/>
      </c>
      <c r="U138" s="5">
        <f>MAU!U6*Params!$B$59*Eras!U$7*Params!$B$130*Params!$B$93</f>
        <v/>
      </c>
      <c r="V138" s="5">
        <f>MAU!V6*Params!$B$59*Eras!V$7*Params!$B$130*Params!$B$93</f>
        <v/>
      </c>
      <c r="W138" s="5">
        <f>MAU!W6*Params!$B$59*Eras!W$7*Params!$B$130*Params!$B$93</f>
        <v/>
      </c>
      <c r="X138" s="5">
        <f>MAU!X6*Params!$B$59*Eras!X$7*Params!$B$130*Params!$B$93</f>
        <v/>
      </c>
      <c r="Y138" s="5">
        <f>MAU!Y6*Params!$B$59*Eras!Y$7*Params!$B$130*Params!$B$93</f>
        <v/>
      </c>
      <c r="Z138" s="5">
        <f>MAU!Z6*Params!$B$59*Eras!Z$7*Params!$B$130*Params!$B$93</f>
        <v/>
      </c>
      <c r="AA138" s="5">
        <f>MAU!AA6*Params!$B$59*Eras!AA$7*Params!$B$130*Params!$B$93</f>
        <v/>
      </c>
      <c r="AB138" s="5">
        <f>MAU!AB6*Params!$B$59*Eras!AB$7*Params!$B$130*Params!$B$93</f>
        <v/>
      </c>
      <c r="AC138" s="5">
        <f>MAU!AC6*Params!$B$59*Eras!AC$7*Params!$B$130*Params!$B$93</f>
        <v/>
      </c>
      <c r="AD138" s="5">
        <f>MAU!AD6*Params!$B$59*Eras!AD$7*Params!$B$130*Params!$B$93</f>
        <v/>
      </c>
      <c r="AE138" s="5">
        <f>MAU!AE6*Params!$B$59*Eras!AE$7*Params!$B$130*Params!$B$93</f>
        <v/>
      </c>
      <c r="AF138" s="5">
        <f>MAU!AF6*Params!$B$59*Eras!AF$7*Params!$B$130*Params!$B$93</f>
        <v/>
      </c>
      <c r="AG138" s="5">
        <f>MAU!AG6*Params!$B$59*Eras!AG$7*Params!$B$130*Params!$B$93</f>
        <v/>
      </c>
      <c r="AH138" s="5">
        <f>MAU!AH6*Params!$B$59*Eras!AH$7*Params!$B$130*Params!$B$93</f>
        <v/>
      </c>
      <c r="AI138" s="5">
        <f>MAU!AI6*Params!$B$59*Eras!AI$7*Params!$B$130*Params!$B$93</f>
        <v/>
      </c>
      <c r="AJ138" s="5">
        <f>MAU!AJ6*Params!$B$59*Eras!AJ$7*Params!$B$130*Params!$B$93</f>
        <v/>
      </c>
      <c r="AK138" s="5">
        <f>MAU!AK6*Params!$B$59*Eras!AK$7*Params!$B$130*Params!$B$93</f>
        <v/>
      </c>
      <c r="AL138" s="5">
        <f>MAU!AL6*Params!$B$59*Eras!AL$7*Params!$B$130*Params!$B$93</f>
        <v/>
      </c>
      <c r="AM138" s="5">
        <f>MAU!AM6*Params!$B$59*Eras!AM$7*Params!$B$130*Params!$B$93</f>
        <v/>
      </c>
      <c r="AN138" s="5">
        <f>MAU!AN6*Params!$B$59*Eras!AN$7*Params!$B$130*Params!$B$93</f>
        <v/>
      </c>
      <c r="AO138" s="5">
        <f>MAU!AO6*Params!$B$59*Eras!AO$7*Params!$B$130*Params!$B$93</f>
        <v/>
      </c>
      <c r="AP138" s="5">
        <f>MAU!AP6*Params!$B$59*Eras!AP$7*Params!$B$130*Params!$B$93</f>
        <v/>
      </c>
      <c r="AQ138" s="5">
        <f>MAU!AQ6*Params!$B$59*Eras!AQ$7*Params!$B$130*Params!$B$93</f>
        <v/>
      </c>
      <c r="AR138" s="5">
        <f>MAU!AR6*Params!$B$59*Eras!AR$7*Params!$B$130*Params!$B$93</f>
        <v/>
      </c>
      <c r="AS138" s="5">
        <f>MAU!AS6*Params!$B$59*Eras!AS$7*Params!$B$130*Params!$B$93</f>
        <v/>
      </c>
      <c r="AT138" s="5">
        <f>MAU!AT6*Params!$B$59*Eras!AT$7*Params!$B$130*Params!$B$93</f>
        <v/>
      </c>
      <c r="AU138" s="5">
        <f>MAU!AU6*Params!$B$59*Eras!AU$7*Params!$B$130*Params!$B$93</f>
        <v/>
      </c>
      <c r="AV138" s="5">
        <f>MAU!AV6*Params!$B$59*Eras!AV$7*Params!$B$130*Params!$B$93</f>
        <v/>
      </c>
      <c r="AW138" s="5">
        <f>MAU!AW6*Params!$B$59*Eras!AW$7*Params!$B$130*Params!$B$93</f>
        <v/>
      </c>
      <c r="AX138" s="5">
        <f>MAU!AX6*Params!$B$59*Eras!AX$7*Params!$B$130*Params!$B$93</f>
        <v/>
      </c>
      <c r="AY138" s="5">
        <f>MAU!AY6*Params!$B$59*Eras!AY$7*Params!$B$130*Params!$B$93</f>
        <v/>
      </c>
      <c r="AZ138" s="5">
        <f>MAU!AZ6*Params!$B$59*Eras!AZ$7*Params!$B$130*Params!$B$93</f>
        <v/>
      </c>
      <c r="BA138" s="5">
        <f>MAU!BA6*Params!$B$59*Eras!BA$7*Params!$B$130*Params!$B$93</f>
        <v/>
      </c>
      <c r="BB138" s="5">
        <f>MAU!BB6*Params!$B$59*Eras!BB$7*Params!$B$130*Params!$B$93</f>
        <v/>
      </c>
      <c r="BC138" s="5">
        <f>MAU!BC6*Params!$B$59*Eras!BC$7*Params!$B$130*Params!$B$93</f>
        <v/>
      </c>
      <c r="BD138" s="5">
        <f>MAU!BD6*Params!$B$59*Eras!BD$7*Params!$B$130*Params!$B$93</f>
        <v/>
      </c>
      <c r="BE138" s="5">
        <f>MAU!BE6*Params!$B$59*Eras!BE$7*Params!$B$130*Params!$B$93</f>
        <v/>
      </c>
      <c r="BF138" s="5">
        <f>MAU!BF6*Params!$B$59*Eras!BF$7*Params!$B$130*Params!$B$93</f>
        <v/>
      </c>
      <c r="BG138" s="5">
        <f>MAU!BG6*Params!$B$59*Eras!BG$7*Params!$B$130*Params!$B$93</f>
        <v/>
      </c>
      <c r="BH138" s="5">
        <f>MAU!BH6*Params!$B$59*Eras!BH$7*Params!$B$130*Params!$B$93</f>
        <v/>
      </c>
      <c r="BI138" s="5">
        <f>MAU!BI6*Params!$B$59*Eras!BI$7*Params!$B$130*Params!$B$93</f>
        <v/>
      </c>
      <c r="BJ138" s="5">
        <f>MAU!BJ6*Params!$B$59*Eras!BJ$7*Params!$B$130*Params!$B$93</f>
        <v/>
      </c>
      <c r="BK138" s="5">
        <f>MAU!BK6*Params!$B$59*Eras!BK$7*Params!$B$130*Params!$B$93</f>
        <v/>
      </c>
      <c r="BL138" s="5">
        <f>MAU!BL6*Params!$B$59*Eras!BL$7*Params!$B$130*Params!$B$93</f>
        <v/>
      </c>
      <c r="BM138" s="5">
        <f>MAU!BM6*Params!$B$59*Eras!BM$7*Params!$B$130*Params!$B$93</f>
        <v/>
      </c>
      <c r="BN138" s="5">
        <f>MAU!BN6*Params!$B$59*Eras!BN$7*Params!$B$130*Params!$B$93</f>
        <v/>
      </c>
      <c r="BO138" s="5">
        <f>MAU!BO6*Params!$B$59*Eras!BO$7*Params!$B$130*Params!$B$93</f>
        <v/>
      </c>
      <c r="BP138" s="5">
        <f>MAU!BP6*Params!$B$59*Eras!BP$7*Params!$B$130*Params!$B$93</f>
        <v/>
      </c>
      <c r="BQ138" s="5">
        <f>MAU!BQ6*Params!$B$59*Eras!BQ$7*Params!$B$130*Params!$B$93</f>
        <v/>
      </c>
      <c r="BR138" s="5">
        <f>MAU!BR6*Params!$B$59*Eras!BR$7*Params!$B$130*Params!$B$93</f>
        <v/>
      </c>
      <c r="BS138" s="5">
        <f>MAU!BS6*Params!$B$59*Eras!BS$7*Params!$B$130*Params!$B$93</f>
        <v/>
      </c>
      <c r="BT138" s="5">
        <f>MAU!BT6*Params!$B$59*Eras!BT$7*Params!$B$130*Params!$B$93</f>
        <v/>
      </c>
      <c r="BU138" s="5">
        <f>MAU!BU6*Params!$B$59*Eras!BU$7*Params!$B$130*Params!$B$93</f>
        <v/>
      </c>
      <c r="BV138" s="5">
        <f>MAU!BV6*Params!$B$59*Eras!BV$7*Params!$B$130*Params!$B$93</f>
        <v/>
      </c>
    </row>
    <row r="139">
      <c r="A139" t="inlineStr">
        <is>
          <t>trial starts</t>
        </is>
      </c>
      <c r="B139" t="inlineStr">
        <is>
          <t>LATAM|NITRO_A</t>
        </is>
      </c>
      <c r="C139" s="5">
        <f>C138*Eras!C$8</f>
        <v/>
      </c>
      <c r="D139" s="5">
        <f>D138*Eras!D$8</f>
        <v/>
      </c>
      <c r="E139" s="5">
        <f>E138*Eras!E$8</f>
        <v/>
      </c>
      <c r="F139" s="5">
        <f>F138*Eras!F$8</f>
        <v/>
      </c>
      <c r="G139" s="5">
        <f>G138*Eras!G$8</f>
        <v/>
      </c>
      <c r="H139" s="5">
        <f>H138*Eras!H$8</f>
        <v/>
      </c>
      <c r="I139" s="5">
        <f>I138*Eras!I$8</f>
        <v/>
      </c>
      <c r="J139" s="5">
        <f>J138*Eras!J$8</f>
        <v/>
      </c>
      <c r="K139" s="5">
        <f>K138*Eras!K$8</f>
        <v/>
      </c>
      <c r="L139" s="5">
        <f>L138*Eras!L$8</f>
        <v/>
      </c>
      <c r="M139" s="5">
        <f>M138*Eras!M$8</f>
        <v/>
      </c>
      <c r="N139" s="5">
        <f>N138*Eras!N$8</f>
        <v/>
      </c>
      <c r="O139" s="5">
        <f>O138*Eras!O$8</f>
        <v/>
      </c>
      <c r="P139" s="5">
        <f>P138*Eras!P$8</f>
        <v/>
      </c>
      <c r="Q139" s="5">
        <f>Q138*Eras!Q$8</f>
        <v/>
      </c>
      <c r="R139" s="5">
        <f>R138*Eras!R$8</f>
        <v/>
      </c>
      <c r="S139" s="5">
        <f>S138*Eras!S$8</f>
        <v/>
      </c>
      <c r="T139" s="5">
        <f>T138*Eras!T$8</f>
        <v/>
      </c>
      <c r="U139" s="5">
        <f>U138*Eras!U$8</f>
        <v/>
      </c>
      <c r="V139" s="5">
        <f>V138*Eras!V$8</f>
        <v/>
      </c>
      <c r="W139" s="5">
        <f>W138*Eras!W$8</f>
        <v/>
      </c>
      <c r="X139" s="5">
        <f>X138*Eras!X$8</f>
        <v/>
      </c>
      <c r="Y139" s="5">
        <f>Y138*Eras!Y$8</f>
        <v/>
      </c>
      <c r="Z139" s="5">
        <f>Z138*Eras!Z$8</f>
        <v/>
      </c>
      <c r="AA139" s="5">
        <f>AA138*Eras!AA$8</f>
        <v/>
      </c>
      <c r="AB139" s="5">
        <f>AB138*Eras!AB$8</f>
        <v/>
      </c>
      <c r="AC139" s="5">
        <f>AC138*Eras!AC$8</f>
        <v/>
      </c>
      <c r="AD139" s="5">
        <f>AD138*Eras!AD$8</f>
        <v/>
      </c>
      <c r="AE139" s="5">
        <f>AE138*Eras!AE$8</f>
        <v/>
      </c>
      <c r="AF139" s="5">
        <f>AF138*Eras!AF$8</f>
        <v/>
      </c>
      <c r="AG139" s="5">
        <f>AG138*Eras!AG$8</f>
        <v/>
      </c>
      <c r="AH139" s="5">
        <f>AH138*Eras!AH$8</f>
        <v/>
      </c>
      <c r="AI139" s="5">
        <f>AI138*Eras!AI$8</f>
        <v/>
      </c>
      <c r="AJ139" s="5">
        <f>AJ138*Eras!AJ$8</f>
        <v/>
      </c>
      <c r="AK139" s="5">
        <f>AK138*Eras!AK$8</f>
        <v/>
      </c>
      <c r="AL139" s="5">
        <f>AL138*Eras!AL$8</f>
        <v/>
      </c>
      <c r="AM139" s="5">
        <f>AM138*Eras!AM$8</f>
        <v/>
      </c>
      <c r="AN139" s="5">
        <f>AN138*Eras!AN$8</f>
        <v/>
      </c>
      <c r="AO139" s="5">
        <f>AO138*Eras!AO$8</f>
        <v/>
      </c>
      <c r="AP139" s="5">
        <f>AP138*Eras!AP$8</f>
        <v/>
      </c>
      <c r="AQ139" s="5">
        <f>AQ138*Eras!AQ$8</f>
        <v/>
      </c>
      <c r="AR139" s="5">
        <f>AR138*Eras!AR$8</f>
        <v/>
      </c>
      <c r="AS139" s="5">
        <f>AS138*Eras!AS$8</f>
        <v/>
      </c>
      <c r="AT139" s="5">
        <f>AT138*Eras!AT$8</f>
        <v/>
      </c>
      <c r="AU139" s="5">
        <f>AU138*Eras!AU$8</f>
        <v/>
      </c>
      <c r="AV139" s="5">
        <f>AV138*Eras!AV$8</f>
        <v/>
      </c>
      <c r="AW139" s="5">
        <f>AW138*Eras!AW$8</f>
        <v/>
      </c>
      <c r="AX139" s="5">
        <f>AX138*Eras!AX$8</f>
        <v/>
      </c>
      <c r="AY139" s="5">
        <f>AY138*Eras!AY$8</f>
        <v/>
      </c>
      <c r="AZ139" s="5">
        <f>AZ138*Eras!AZ$8</f>
        <v/>
      </c>
      <c r="BA139" s="5">
        <f>BA138*Eras!BA$8</f>
        <v/>
      </c>
      <c r="BB139" s="5">
        <f>BB138*Eras!BB$8</f>
        <v/>
      </c>
      <c r="BC139" s="5">
        <f>BC138*Eras!BC$8</f>
        <v/>
      </c>
      <c r="BD139" s="5">
        <f>BD138*Eras!BD$8</f>
        <v/>
      </c>
      <c r="BE139" s="5">
        <f>BE138*Eras!BE$8</f>
        <v/>
      </c>
      <c r="BF139" s="5">
        <f>BF138*Eras!BF$8</f>
        <v/>
      </c>
      <c r="BG139" s="5">
        <f>BG138*Eras!BG$8</f>
        <v/>
      </c>
      <c r="BH139" s="5">
        <f>BH138*Eras!BH$8</f>
        <v/>
      </c>
      <c r="BI139" s="5">
        <f>BI138*Eras!BI$8</f>
        <v/>
      </c>
      <c r="BJ139" s="5">
        <f>BJ138*Eras!BJ$8</f>
        <v/>
      </c>
      <c r="BK139" s="5">
        <f>BK138*Eras!BK$8</f>
        <v/>
      </c>
      <c r="BL139" s="5">
        <f>BL138*Eras!BL$8</f>
        <v/>
      </c>
      <c r="BM139" s="5">
        <f>BM138*Eras!BM$8</f>
        <v/>
      </c>
      <c r="BN139" s="5">
        <f>BN138*Eras!BN$8</f>
        <v/>
      </c>
      <c r="BO139" s="5">
        <f>BO138*Eras!BO$8</f>
        <v/>
      </c>
      <c r="BP139" s="5">
        <f>BP138*Eras!BP$8</f>
        <v/>
      </c>
      <c r="BQ139" s="5">
        <f>BQ138*Eras!BQ$8</f>
        <v/>
      </c>
      <c r="BR139" s="5">
        <f>BR138*Eras!BR$8</f>
        <v/>
      </c>
      <c r="BS139" s="5">
        <f>BS138*Eras!BS$8</f>
        <v/>
      </c>
      <c r="BT139" s="5">
        <f>BT138*Eras!BT$8</f>
        <v/>
      </c>
      <c r="BU139" s="5">
        <f>BU138*Eras!BU$8</f>
        <v/>
      </c>
      <c r="BV139" s="5">
        <f>BV138*Eras!BV$8</f>
        <v/>
      </c>
    </row>
    <row r="140">
      <c r="A140" t="inlineStr">
        <is>
          <t>direct paid starts</t>
        </is>
      </c>
      <c r="B140" t="inlineStr">
        <is>
          <t>LATAM|NITRO_A</t>
        </is>
      </c>
      <c r="C140" s="5">
        <f>C138-C139</f>
        <v/>
      </c>
      <c r="D140" s="5">
        <f>D138-D139</f>
        <v/>
      </c>
      <c r="E140" s="5">
        <f>E138-E139</f>
        <v/>
      </c>
      <c r="F140" s="5">
        <f>F138-F139</f>
        <v/>
      </c>
      <c r="G140" s="5">
        <f>G138-G139</f>
        <v/>
      </c>
      <c r="H140" s="5">
        <f>H138-H139</f>
        <v/>
      </c>
      <c r="I140" s="5">
        <f>I138-I139</f>
        <v/>
      </c>
      <c r="J140" s="5">
        <f>J138-J139</f>
        <v/>
      </c>
      <c r="K140" s="5">
        <f>K138-K139</f>
        <v/>
      </c>
      <c r="L140" s="5">
        <f>L138-L139</f>
        <v/>
      </c>
      <c r="M140" s="5">
        <f>M138-M139</f>
        <v/>
      </c>
      <c r="N140" s="5">
        <f>N138-N139</f>
        <v/>
      </c>
      <c r="O140" s="5">
        <f>O138-O139</f>
        <v/>
      </c>
      <c r="P140" s="5">
        <f>P138-P139</f>
        <v/>
      </c>
      <c r="Q140" s="5">
        <f>Q138-Q139</f>
        <v/>
      </c>
      <c r="R140" s="5">
        <f>R138-R139</f>
        <v/>
      </c>
      <c r="S140" s="5">
        <f>S138-S139</f>
        <v/>
      </c>
      <c r="T140" s="5">
        <f>T138-T139</f>
        <v/>
      </c>
      <c r="U140" s="5">
        <f>U138-U139</f>
        <v/>
      </c>
      <c r="V140" s="5">
        <f>V138-V139</f>
        <v/>
      </c>
      <c r="W140" s="5">
        <f>W138-W139</f>
        <v/>
      </c>
      <c r="X140" s="5">
        <f>X138-X139</f>
        <v/>
      </c>
      <c r="Y140" s="5">
        <f>Y138-Y139</f>
        <v/>
      </c>
      <c r="Z140" s="5">
        <f>Z138-Z139</f>
        <v/>
      </c>
      <c r="AA140" s="5">
        <f>AA138-AA139</f>
        <v/>
      </c>
      <c r="AB140" s="5">
        <f>AB138-AB139</f>
        <v/>
      </c>
      <c r="AC140" s="5">
        <f>AC138-AC139</f>
        <v/>
      </c>
      <c r="AD140" s="5">
        <f>AD138-AD139</f>
        <v/>
      </c>
      <c r="AE140" s="5">
        <f>AE138-AE139</f>
        <v/>
      </c>
      <c r="AF140" s="5">
        <f>AF138-AF139</f>
        <v/>
      </c>
      <c r="AG140" s="5">
        <f>AG138-AG139</f>
        <v/>
      </c>
      <c r="AH140" s="5">
        <f>AH138-AH139</f>
        <v/>
      </c>
      <c r="AI140" s="5">
        <f>AI138-AI139</f>
        <v/>
      </c>
      <c r="AJ140" s="5">
        <f>AJ138-AJ139</f>
        <v/>
      </c>
      <c r="AK140" s="5">
        <f>AK138-AK139</f>
        <v/>
      </c>
      <c r="AL140" s="5">
        <f>AL138-AL139</f>
        <v/>
      </c>
      <c r="AM140" s="5">
        <f>AM138-AM139</f>
        <v/>
      </c>
      <c r="AN140" s="5">
        <f>AN138-AN139</f>
        <v/>
      </c>
      <c r="AO140" s="5">
        <f>AO138-AO139</f>
        <v/>
      </c>
      <c r="AP140" s="5">
        <f>AP138-AP139</f>
        <v/>
      </c>
      <c r="AQ140" s="5">
        <f>AQ138-AQ139</f>
        <v/>
      </c>
      <c r="AR140" s="5">
        <f>AR138-AR139</f>
        <v/>
      </c>
      <c r="AS140" s="5">
        <f>AS138-AS139</f>
        <v/>
      </c>
      <c r="AT140" s="5">
        <f>AT138-AT139</f>
        <v/>
      </c>
      <c r="AU140" s="5">
        <f>AU138-AU139</f>
        <v/>
      </c>
      <c r="AV140" s="5">
        <f>AV138-AV139</f>
        <v/>
      </c>
      <c r="AW140" s="5">
        <f>AW138-AW139</f>
        <v/>
      </c>
      <c r="AX140" s="5">
        <f>AX138-AX139</f>
        <v/>
      </c>
      <c r="AY140" s="5">
        <f>AY138-AY139</f>
        <v/>
      </c>
      <c r="AZ140" s="5">
        <f>AZ138-AZ139</f>
        <v/>
      </c>
      <c r="BA140" s="5">
        <f>BA138-BA139</f>
        <v/>
      </c>
      <c r="BB140" s="5">
        <f>BB138-BB139</f>
        <v/>
      </c>
      <c r="BC140" s="5">
        <f>BC138-BC139</f>
        <v/>
      </c>
      <c r="BD140" s="5">
        <f>BD138-BD139</f>
        <v/>
      </c>
      <c r="BE140" s="5">
        <f>BE138-BE139</f>
        <v/>
      </c>
      <c r="BF140" s="5">
        <f>BF138-BF139</f>
        <v/>
      </c>
      <c r="BG140" s="5">
        <f>BG138-BG139</f>
        <v/>
      </c>
      <c r="BH140" s="5">
        <f>BH138-BH139</f>
        <v/>
      </c>
      <c r="BI140" s="5">
        <f>BI138-BI139</f>
        <v/>
      </c>
      <c r="BJ140" s="5">
        <f>BJ138-BJ139</f>
        <v/>
      </c>
      <c r="BK140" s="5">
        <f>BK138-BK139</f>
        <v/>
      </c>
      <c r="BL140" s="5">
        <f>BL138-BL139</f>
        <v/>
      </c>
      <c r="BM140" s="5">
        <f>BM138-BM139</f>
        <v/>
      </c>
      <c r="BN140" s="5">
        <f>BN138-BN139</f>
        <v/>
      </c>
      <c r="BO140" s="5">
        <f>BO138-BO139</f>
        <v/>
      </c>
      <c r="BP140" s="5">
        <f>BP138-BP139</f>
        <v/>
      </c>
      <c r="BQ140" s="5">
        <f>BQ138-BQ139</f>
        <v/>
      </c>
      <c r="BR140" s="5">
        <f>BR138-BR139</f>
        <v/>
      </c>
      <c r="BS140" s="5">
        <f>BS138-BS139</f>
        <v/>
      </c>
      <c r="BT140" s="5">
        <f>BT138-BT139</f>
        <v/>
      </c>
      <c r="BU140" s="5">
        <f>BU138-BU139</f>
        <v/>
      </c>
      <c r="BV140" s="5">
        <f>BV138-BV139</f>
        <v/>
      </c>
    </row>
    <row r="141">
      <c r="A141" t="inlineStr">
        <is>
          <t>trials ending</t>
        </is>
      </c>
      <c r="B141" t="inlineStr">
        <is>
          <t>LATAM|NITRO_A</t>
        </is>
      </c>
      <c r="C141" s="5">
        <f>IF(C$2&gt;=Params!$B$6,INDEX($C$139:$BV$139,C$2-Params!$B$6+1),0)</f>
        <v/>
      </c>
      <c r="D141" s="5">
        <f>IF(D$2&gt;=Params!$B$6,INDEX($C$139:$BV$139,D$2-Params!$B$6+1),0)</f>
        <v/>
      </c>
      <c r="E141" s="5">
        <f>IF(E$2&gt;=Params!$B$6,INDEX($C$139:$BV$139,E$2-Params!$B$6+1),0)</f>
        <v/>
      </c>
      <c r="F141" s="5">
        <f>IF(F$2&gt;=Params!$B$6,INDEX($C$139:$BV$139,F$2-Params!$B$6+1),0)</f>
        <v/>
      </c>
      <c r="G141" s="5">
        <f>IF(G$2&gt;=Params!$B$6,INDEX($C$139:$BV$139,G$2-Params!$B$6+1),0)</f>
        <v/>
      </c>
      <c r="H141" s="5">
        <f>IF(H$2&gt;=Params!$B$6,INDEX($C$139:$BV$139,H$2-Params!$B$6+1),0)</f>
        <v/>
      </c>
      <c r="I141" s="5">
        <f>IF(I$2&gt;=Params!$B$6,INDEX($C$139:$BV$139,I$2-Params!$B$6+1),0)</f>
        <v/>
      </c>
      <c r="J141" s="5">
        <f>IF(J$2&gt;=Params!$B$6,INDEX($C$139:$BV$139,J$2-Params!$B$6+1),0)</f>
        <v/>
      </c>
      <c r="K141" s="5">
        <f>IF(K$2&gt;=Params!$B$6,INDEX($C$139:$BV$139,K$2-Params!$B$6+1),0)</f>
        <v/>
      </c>
      <c r="L141" s="5">
        <f>IF(L$2&gt;=Params!$B$6,INDEX($C$139:$BV$139,L$2-Params!$B$6+1),0)</f>
        <v/>
      </c>
      <c r="M141" s="5">
        <f>IF(M$2&gt;=Params!$B$6,INDEX($C$139:$BV$139,M$2-Params!$B$6+1),0)</f>
        <v/>
      </c>
      <c r="N141" s="5">
        <f>IF(N$2&gt;=Params!$B$6,INDEX($C$139:$BV$139,N$2-Params!$B$6+1),0)</f>
        <v/>
      </c>
      <c r="O141" s="5">
        <f>IF(O$2&gt;=Params!$B$6,INDEX($C$139:$BV$139,O$2-Params!$B$6+1),0)</f>
        <v/>
      </c>
      <c r="P141" s="5">
        <f>IF(P$2&gt;=Params!$B$6,INDEX($C$139:$BV$139,P$2-Params!$B$6+1),0)</f>
        <v/>
      </c>
      <c r="Q141" s="5">
        <f>IF(Q$2&gt;=Params!$B$6,INDEX($C$139:$BV$139,Q$2-Params!$B$6+1),0)</f>
        <v/>
      </c>
      <c r="R141" s="5">
        <f>IF(R$2&gt;=Params!$B$6,INDEX($C$139:$BV$139,R$2-Params!$B$6+1),0)</f>
        <v/>
      </c>
      <c r="S141" s="5">
        <f>IF(S$2&gt;=Params!$B$6,INDEX($C$139:$BV$139,S$2-Params!$B$6+1),0)</f>
        <v/>
      </c>
      <c r="T141" s="5">
        <f>IF(T$2&gt;=Params!$B$6,INDEX($C$139:$BV$139,T$2-Params!$B$6+1),0)</f>
        <v/>
      </c>
      <c r="U141" s="5">
        <f>IF(U$2&gt;=Params!$B$6,INDEX($C$139:$BV$139,U$2-Params!$B$6+1),0)</f>
        <v/>
      </c>
      <c r="V141" s="5">
        <f>IF(V$2&gt;=Params!$B$6,INDEX($C$139:$BV$139,V$2-Params!$B$6+1),0)</f>
        <v/>
      </c>
      <c r="W141" s="5">
        <f>IF(W$2&gt;=Params!$B$6,INDEX($C$139:$BV$139,W$2-Params!$B$6+1),0)</f>
        <v/>
      </c>
      <c r="X141" s="5">
        <f>IF(X$2&gt;=Params!$B$6,INDEX($C$139:$BV$139,X$2-Params!$B$6+1),0)</f>
        <v/>
      </c>
      <c r="Y141" s="5">
        <f>IF(Y$2&gt;=Params!$B$6,INDEX($C$139:$BV$139,Y$2-Params!$B$6+1),0)</f>
        <v/>
      </c>
      <c r="Z141" s="5">
        <f>IF(Z$2&gt;=Params!$B$6,INDEX($C$139:$BV$139,Z$2-Params!$B$6+1),0)</f>
        <v/>
      </c>
      <c r="AA141" s="5">
        <f>IF(AA$2&gt;=Params!$B$6,INDEX($C$139:$BV$139,AA$2-Params!$B$6+1),0)</f>
        <v/>
      </c>
      <c r="AB141" s="5">
        <f>IF(AB$2&gt;=Params!$B$6,INDEX($C$139:$BV$139,AB$2-Params!$B$6+1),0)</f>
        <v/>
      </c>
      <c r="AC141" s="5">
        <f>IF(AC$2&gt;=Params!$B$6,INDEX($C$139:$BV$139,AC$2-Params!$B$6+1),0)</f>
        <v/>
      </c>
      <c r="AD141" s="5">
        <f>IF(AD$2&gt;=Params!$B$6,INDEX($C$139:$BV$139,AD$2-Params!$B$6+1),0)</f>
        <v/>
      </c>
      <c r="AE141" s="5">
        <f>IF(AE$2&gt;=Params!$B$6,INDEX($C$139:$BV$139,AE$2-Params!$B$6+1),0)</f>
        <v/>
      </c>
      <c r="AF141" s="5">
        <f>IF(AF$2&gt;=Params!$B$6,INDEX($C$139:$BV$139,AF$2-Params!$B$6+1),0)</f>
        <v/>
      </c>
      <c r="AG141" s="5">
        <f>IF(AG$2&gt;=Params!$B$6,INDEX($C$139:$BV$139,AG$2-Params!$B$6+1),0)</f>
        <v/>
      </c>
      <c r="AH141" s="5">
        <f>IF(AH$2&gt;=Params!$B$6,INDEX($C$139:$BV$139,AH$2-Params!$B$6+1),0)</f>
        <v/>
      </c>
      <c r="AI141" s="5">
        <f>IF(AI$2&gt;=Params!$B$6,INDEX($C$139:$BV$139,AI$2-Params!$B$6+1),0)</f>
        <v/>
      </c>
      <c r="AJ141" s="5">
        <f>IF(AJ$2&gt;=Params!$B$6,INDEX($C$139:$BV$139,AJ$2-Params!$B$6+1),0)</f>
        <v/>
      </c>
      <c r="AK141" s="5">
        <f>IF(AK$2&gt;=Params!$B$6,INDEX($C$139:$BV$139,AK$2-Params!$B$6+1),0)</f>
        <v/>
      </c>
      <c r="AL141" s="5">
        <f>IF(AL$2&gt;=Params!$B$6,INDEX($C$139:$BV$139,AL$2-Params!$B$6+1),0)</f>
        <v/>
      </c>
      <c r="AM141" s="5">
        <f>IF(AM$2&gt;=Params!$B$6,INDEX($C$139:$BV$139,AM$2-Params!$B$6+1),0)</f>
        <v/>
      </c>
      <c r="AN141" s="5">
        <f>IF(AN$2&gt;=Params!$B$6,INDEX($C$139:$BV$139,AN$2-Params!$B$6+1),0)</f>
        <v/>
      </c>
      <c r="AO141" s="5">
        <f>IF(AO$2&gt;=Params!$B$6,INDEX($C$139:$BV$139,AO$2-Params!$B$6+1),0)</f>
        <v/>
      </c>
      <c r="AP141" s="5">
        <f>IF(AP$2&gt;=Params!$B$6,INDEX($C$139:$BV$139,AP$2-Params!$B$6+1),0)</f>
        <v/>
      </c>
      <c r="AQ141" s="5">
        <f>IF(AQ$2&gt;=Params!$B$6,INDEX($C$139:$BV$139,AQ$2-Params!$B$6+1),0)</f>
        <v/>
      </c>
      <c r="AR141" s="5">
        <f>IF(AR$2&gt;=Params!$B$6,INDEX($C$139:$BV$139,AR$2-Params!$B$6+1),0)</f>
        <v/>
      </c>
      <c r="AS141" s="5">
        <f>IF(AS$2&gt;=Params!$B$6,INDEX($C$139:$BV$139,AS$2-Params!$B$6+1),0)</f>
        <v/>
      </c>
      <c r="AT141" s="5">
        <f>IF(AT$2&gt;=Params!$B$6,INDEX($C$139:$BV$139,AT$2-Params!$B$6+1),0)</f>
        <v/>
      </c>
      <c r="AU141" s="5">
        <f>IF(AU$2&gt;=Params!$B$6,INDEX($C$139:$BV$139,AU$2-Params!$B$6+1),0)</f>
        <v/>
      </c>
      <c r="AV141" s="5">
        <f>IF(AV$2&gt;=Params!$B$6,INDEX($C$139:$BV$139,AV$2-Params!$B$6+1),0)</f>
        <v/>
      </c>
      <c r="AW141" s="5">
        <f>IF(AW$2&gt;=Params!$B$6,INDEX($C$139:$BV$139,AW$2-Params!$B$6+1),0)</f>
        <v/>
      </c>
      <c r="AX141" s="5">
        <f>IF(AX$2&gt;=Params!$B$6,INDEX($C$139:$BV$139,AX$2-Params!$B$6+1),0)</f>
        <v/>
      </c>
      <c r="AY141" s="5">
        <f>IF(AY$2&gt;=Params!$B$6,INDEX($C$139:$BV$139,AY$2-Params!$B$6+1),0)</f>
        <v/>
      </c>
      <c r="AZ141" s="5">
        <f>IF(AZ$2&gt;=Params!$B$6,INDEX($C$139:$BV$139,AZ$2-Params!$B$6+1),0)</f>
        <v/>
      </c>
      <c r="BA141" s="5">
        <f>IF(BA$2&gt;=Params!$B$6,INDEX($C$139:$BV$139,BA$2-Params!$B$6+1),0)</f>
        <v/>
      </c>
      <c r="BB141" s="5">
        <f>IF(BB$2&gt;=Params!$B$6,INDEX($C$139:$BV$139,BB$2-Params!$B$6+1),0)</f>
        <v/>
      </c>
      <c r="BC141" s="5">
        <f>IF(BC$2&gt;=Params!$B$6,INDEX($C$139:$BV$139,BC$2-Params!$B$6+1),0)</f>
        <v/>
      </c>
      <c r="BD141" s="5">
        <f>IF(BD$2&gt;=Params!$B$6,INDEX($C$139:$BV$139,BD$2-Params!$B$6+1),0)</f>
        <v/>
      </c>
      <c r="BE141" s="5">
        <f>IF(BE$2&gt;=Params!$B$6,INDEX($C$139:$BV$139,BE$2-Params!$B$6+1),0)</f>
        <v/>
      </c>
      <c r="BF141" s="5">
        <f>IF(BF$2&gt;=Params!$B$6,INDEX($C$139:$BV$139,BF$2-Params!$B$6+1),0)</f>
        <v/>
      </c>
      <c r="BG141" s="5">
        <f>IF(BG$2&gt;=Params!$B$6,INDEX($C$139:$BV$139,BG$2-Params!$B$6+1),0)</f>
        <v/>
      </c>
      <c r="BH141" s="5">
        <f>IF(BH$2&gt;=Params!$B$6,INDEX($C$139:$BV$139,BH$2-Params!$B$6+1),0)</f>
        <v/>
      </c>
      <c r="BI141" s="5">
        <f>IF(BI$2&gt;=Params!$B$6,INDEX($C$139:$BV$139,BI$2-Params!$B$6+1),0)</f>
        <v/>
      </c>
      <c r="BJ141" s="5">
        <f>IF(BJ$2&gt;=Params!$B$6,INDEX($C$139:$BV$139,BJ$2-Params!$B$6+1),0)</f>
        <v/>
      </c>
      <c r="BK141" s="5">
        <f>IF(BK$2&gt;=Params!$B$6,INDEX($C$139:$BV$139,BK$2-Params!$B$6+1),0)</f>
        <v/>
      </c>
      <c r="BL141" s="5">
        <f>IF(BL$2&gt;=Params!$B$6,INDEX($C$139:$BV$139,BL$2-Params!$B$6+1),0)</f>
        <v/>
      </c>
      <c r="BM141" s="5">
        <f>IF(BM$2&gt;=Params!$B$6,INDEX($C$139:$BV$139,BM$2-Params!$B$6+1),0)</f>
        <v/>
      </c>
      <c r="BN141" s="5">
        <f>IF(BN$2&gt;=Params!$B$6,INDEX($C$139:$BV$139,BN$2-Params!$B$6+1),0)</f>
        <v/>
      </c>
      <c r="BO141" s="5">
        <f>IF(BO$2&gt;=Params!$B$6,INDEX($C$139:$BV$139,BO$2-Params!$B$6+1),0)</f>
        <v/>
      </c>
      <c r="BP141" s="5">
        <f>IF(BP$2&gt;=Params!$B$6,INDEX($C$139:$BV$139,BP$2-Params!$B$6+1),0)</f>
        <v/>
      </c>
      <c r="BQ141" s="5">
        <f>IF(BQ$2&gt;=Params!$B$6,INDEX($C$139:$BV$139,BQ$2-Params!$B$6+1),0)</f>
        <v/>
      </c>
      <c r="BR141" s="5">
        <f>IF(BR$2&gt;=Params!$B$6,INDEX($C$139:$BV$139,BR$2-Params!$B$6+1),0)</f>
        <v/>
      </c>
      <c r="BS141" s="5">
        <f>IF(BS$2&gt;=Params!$B$6,INDEX($C$139:$BV$139,BS$2-Params!$B$6+1),0)</f>
        <v/>
      </c>
      <c r="BT141" s="5">
        <f>IF(BT$2&gt;=Params!$B$6,INDEX($C$139:$BV$139,BT$2-Params!$B$6+1),0)</f>
        <v/>
      </c>
      <c r="BU141" s="5">
        <f>IF(BU$2&gt;=Params!$B$6,INDEX($C$139:$BV$139,BU$2-Params!$B$6+1),0)</f>
        <v/>
      </c>
      <c r="BV141" s="5">
        <f>IF(BV$2&gt;=Params!$B$6,INDEX($C$139:$BV$139,BV$2-Params!$B$6+1),0)</f>
        <v/>
      </c>
    </row>
    <row r="142">
      <c r="A142" t="inlineStr">
        <is>
          <t>trial starts x conversion</t>
        </is>
      </c>
      <c r="B142" t="inlineStr">
        <is>
          <t>LATAM|NITRO_A</t>
        </is>
      </c>
      <c r="C142" s="5">
        <f>C139*Eras!C$9</f>
        <v/>
      </c>
      <c r="D142" s="5">
        <f>D139*Eras!D$9</f>
        <v/>
      </c>
      <c r="E142" s="5">
        <f>E139*Eras!E$9</f>
        <v/>
      </c>
      <c r="F142" s="5">
        <f>F139*Eras!F$9</f>
        <v/>
      </c>
      <c r="G142" s="5">
        <f>G139*Eras!G$9</f>
        <v/>
      </c>
      <c r="H142" s="5">
        <f>H139*Eras!H$9</f>
        <v/>
      </c>
      <c r="I142" s="5">
        <f>I139*Eras!I$9</f>
        <v/>
      </c>
      <c r="J142" s="5">
        <f>J139*Eras!J$9</f>
        <v/>
      </c>
      <c r="K142" s="5">
        <f>K139*Eras!K$9</f>
        <v/>
      </c>
      <c r="L142" s="5">
        <f>L139*Eras!L$9</f>
        <v/>
      </c>
      <c r="M142" s="5">
        <f>M139*Eras!M$9</f>
        <v/>
      </c>
      <c r="N142" s="5">
        <f>N139*Eras!N$9</f>
        <v/>
      </c>
      <c r="O142" s="5">
        <f>O139*Eras!O$9</f>
        <v/>
      </c>
      <c r="P142" s="5">
        <f>P139*Eras!P$9</f>
        <v/>
      </c>
      <c r="Q142" s="5">
        <f>Q139*Eras!Q$9</f>
        <v/>
      </c>
      <c r="R142" s="5">
        <f>R139*Eras!R$9</f>
        <v/>
      </c>
      <c r="S142" s="5">
        <f>S139*Eras!S$9</f>
        <v/>
      </c>
      <c r="T142" s="5">
        <f>T139*Eras!T$9</f>
        <v/>
      </c>
      <c r="U142" s="5">
        <f>U139*Eras!U$9</f>
        <v/>
      </c>
      <c r="V142" s="5">
        <f>V139*Eras!V$9</f>
        <v/>
      </c>
      <c r="W142" s="5">
        <f>W139*Eras!W$9</f>
        <v/>
      </c>
      <c r="X142" s="5">
        <f>X139*Eras!X$9</f>
        <v/>
      </c>
      <c r="Y142" s="5">
        <f>Y139*Eras!Y$9</f>
        <v/>
      </c>
      <c r="Z142" s="5">
        <f>Z139*Eras!Z$9</f>
        <v/>
      </c>
      <c r="AA142" s="5">
        <f>AA139*Eras!AA$9</f>
        <v/>
      </c>
      <c r="AB142" s="5">
        <f>AB139*Eras!AB$9</f>
        <v/>
      </c>
      <c r="AC142" s="5">
        <f>AC139*Eras!AC$9</f>
        <v/>
      </c>
      <c r="AD142" s="5">
        <f>AD139*Eras!AD$9</f>
        <v/>
      </c>
      <c r="AE142" s="5">
        <f>AE139*Eras!AE$9</f>
        <v/>
      </c>
      <c r="AF142" s="5">
        <f>AF139*Eras!AF$9</f>
        <v/>
      </c>
      <c r="AG142" s="5">
        <f>AG139*Eras!AG$9</f>
        <v/>
      </c>
      <c r="AH142" s="5">
        <f>AH139*Eras!AH$9</f>
        <v/>
      </c>
      <c r="AI142" s="5">
        <f>AI139*Eras!AI$9</f>
        <v/>
      </c>
      <c r="AJ142" s="5">
        <f>AJ139*Eras!AJ$9</f>
        <v/>
      </c>
      <c r="AK142" s="5">
        <f>AK139*Eras!AK$9</f>
        <v/>
      </c>
      <c r="AL142" s="5">
        <f>AL139*Eras!AL$9</f>
        <v/>
      </c>
      <c r="AM142" s="5">
        <f>AM139*Eras!AM$9</f>
        <v/>
      </c>
      <c r="AN142" s="5">
        <f>AN139*Eras!AN$9</f>
        <v/>
      </c>
      <c r="AO142" s="5">
        <f>AO139*Eras!AO$9</f>
        <v/>
      </c>
      <c r="AP142" s="5">
        <f>AP139*Eras!AP$9</f>
        <v/>
      </c>
      <c r="AQ142" s="5">
        <f>AQ139*Eras!AQ$9</f>
        <v/>
      </c>
      <c r="AR142" s="5">
        <f>AR139*Eras!AR$9</f>
        <v/>
      </c>
      <c r="AS142" s="5">
        <f>AS139*Eras!AS$9</f>
        <v/>
      </c>
      <c r="AT142" s="5">
        <f>AT139*Eras!AT$9</f>
        <v/>
      </c>
      <c r="AU142" s="5">
        <f>AU139*Eras!AU$9</f>
        <v/>
      </c>
      <c r="AV142" s="5">
        <f>AV139*Eras!AV$9</f>
        <v/>
      </c>
      <c r="AW142" s="5">
        <f>AW139*Eras!AW$9</f>
        <v/>
      </c>
      <c r="AX142" s="5">
        <f>AX139*Eras!AX$9</f>
        <v/>
      </c>
      <c r="AY142" s="5">
        <f>AY139*Eras!AY$9</f>
        <v/>
      </c>
      <c r="AZ142" s="5">
        <f>AZ139*Eras!AZ$9</f>
        <v/>
      </c>
      <c r="BA142" s="5">
        <f>BA139*Eras!BA$9</f>
        <v/>
      </c>
      <c r="BB142" s="5">
        <f>BB139*Eras!BB$9</f>
        <v/>
      </c>
      <c r="BC142" s="5">
        <f>BC139*Eras!BC$9</f>
        <v/>
      </c>
      <c r="BD142" s="5">
        <f>BD139*Eras!BD$9</f>
        <v/>
      </c>
      <c r="BE142" s="5">
        <f>BE139*Eras!BE$9</f>
        <v/>
      </c>
      <c r="BF142" s="5">
        <f>BF139*Eras!BF$9</f>
        <v/>
      </c>
      <c r="BG142" s="5">
        <f>BG139*Eras!BG$9</f>
        <v/>
      </c>
      <c r="BH142" s="5">
        <f>BH139*Eras!BH$9</f>
        <v/>
      </c>
      <c r="BI142" s="5">
        <f>BI139*Eras!BI$9</f>
        <v/>
      </c>
      <c r="BJ142" s="5">
        <f>BJ139*Eras!BJ$9</f>
        <v/>
      </c>
      <c r="BK142" s="5">
        <f>BK139*Eras!BK$9</f>
        <v/>
      </c>
      <c r="BL142" s="5">
        <f>BL139*Eras!BL$9</f>
        <v/>
      </c>
      <c r="BM142" s="5">
        <f>BM139*Eras!BM$9</f>
        <v/>
      </c>
      <c r="BN142" s="5">
        <f>BN139*Eras!BN$9</f>
        <v/>
      </c>
      <c r="BO142" s="5">
        <f>BO139*Eras!BO$9</f>
        <v/>
      </c>
      <c r="BP142" s="5">
        <f>BP139*Eras!BP$9</f>
        <v/>
      </c>
      <c r="BQ142" s="5">
        <f>BQ139*Eras!BQ$9</f>
        <v/>
      </c>
      <c r="BR142" s="5">
        <f>BR139*Eras!BR$9</f>
        <v/>
      </c>
      <c r="BS142" s="5">
        <f>BS139*Eras!BS$9</f>
        <v/>
      </c>
      <c r="BT142" s="5">
        <f>BT139*Eras!BT$9</f>
        <v/>
      </c>
      <c r="BU142" s="5">
        <f>BU139*Eras!BU$9</f>
        <v/>
      </c>
      <c r="BV142" s="5">
        <f>BV139*Eras!BV$9</f>
        <v/>
      </c>
    </row>
    <row r="143">
      <c r="A143" t="inlineStr">
        <is>
          <t>trials converted</t>
        </is>
      </c>
      <c r="B143" t="inlineStr">
        <is>
          <t>LATAM|NITRO_A</t>
        </is>
      </c>
      <c r="C143" s="5">
        <f>IF(C$2&gt;=Params!$B$6,INDEX($C$142:$BV$142,C$2-Params!$B$6+1),0)</f>
        <v/>
      </c>
      <c r="D143" s="5">
        <f>IF(D$2&gt;=Params!$B$6,INDEX($C$142:$BV$142,D$2-Params!$B$6+1),0)</f>
        <v/>
      </c>
      <c r="E143" s="5">
        <f>IF(E$2&gt;=Params!$B$6,INDEX($C$142:$BV$142,E$2-Params!$B$6+1),0)</f>
        <v/>
      </c>
      <c r="F143" s="5">
        <f>IF(F$2&gt;=Params!$B$6,INDEX($C$142:$BV$142,F$2-Params!$B$6+1),0)</f>
        <v/>
      </c>
      <c r="G143" s="5">
        <f>IF(G$2&gt;=Params!$B$6,INDEX($C$142:$BV$142,G$2-Params!$B$6+1),0)</f>
        <v/>
      </c>
      <c r="H143" s="5">
        <f>IF(H$2&gt;=Params!$B$6,INDEX($C$142:$BV$142,H$2-Params!$B$6+1),0)</f>
        <v/>
      </c>
      <c r="I143" s="5">
        <f>IF(I$2&gt;=Params!$B$6,INDEX($C$142:$BV$142,I$2-Params!$B$6+1),0)</f>
        <v/>
      </c>
      <c r="J143" s="5">
        <f>IF(J$2&gt;=Params!$B$6,INDEX($C$142:$BV$142,J$2-Params!$B$6+1),0)</f>
        <v/>
      </c>
      <c r="K143" s="5">
        <f>IF(K$2&gt;=Params!$B$6,INDEX($C$142:$BV$142,K$2-Params!$B$6+1),0)</f>
        <v/>
      </c>
      <c r="L143" s="5">
        <f>IF(L$2&gt;=Params!$B$6,INDEX($C$142:$BV$142,L$2-Params!$B$6+1),0)</f>
        <v/>
      </c>
      <c r="M143" s="5">
        <f>IF(M$2&gt;=Params!$B$6,INDEX($C$142:$BV$142,M$2-Params!$B$6+1),0)</f>
        <v/>
      </c>
      <c r="N143" s="5">
        <f>IF(N$2&gt;=Params!$B$6,INDEX($C$142:$BV$142,N$2-Params!$B$6+1),0)</f>
        <v/>
      </c>
      <c r="O143" s="5">
        <f>IF(O$2&gt;=Params!$B$6,INDEX($C$142:$BV$142,O$2-Params!$B$6+1),0)</f>
        <v/>
      </c>
      <c r="P143" s="5">
        <f>IF(P$2&gt;=Params!$B$6,INDEX($C$142:$BV$142,P$2-Params!$B$6+1),0)</f>
        <v/>
      </c>
      <c r="Q143" s="5">
        <f>IF(Q$2&gt;=Params!$B$6,INDEX($C$142:$BV$142,Q$2-Params!$B$6+1),0)</f>
        <v/>
      </c>
      <c r="R143" s="5">
        <f>IF(R$2&gt;=Params!$B$6,INDEX($C$142:$BV$142,R$2-Params!$B$6+1),0)</f>
        <v/>
      </c>
      <c r="S143" s="5">
        <f>IF(S$2&gt;=Params!$B$6,INDEX($C$142:$BV$142,S$2-Params!$B$6+1),0)</f>
        <v/>
      </c>
      <c r="T143" s="5">
        <f>IF(T$2&gt;=Params!$B$6,INDEX($C$142:$BV$142,T$2-Params!$B$6+1),0)</f>
        <v/>
      </c>
      <c r="U143" s="5">
        <f>IF(U$2&gt;=Params!$B$6,INDEX($C$142:$BV$142,U$2-Params!$B$6+1),0)</f>
        <v/>
      </c>
      <c r="V143" s="5">
        <f>IF(V$2&gt;=Params!$B$6,INDEX($C$142:$BV$142,V$2-Params!$B$6+1),0)</f>
        <v/>
      </c>
      <c r="W143" s="5">
        <f>IF(W$2&gt;=Params!$B$6,INDEX($C$142:$BV$142,W$2-Params!$B$6+1),0)</f>
        <v/>
      </c>
      <c r="X143" s="5">
        <f>IF(X$2&gt;=Params!$B$6,INDEX($C$142:$BV$142,X$2-Params!$B$6+1),0)</f>
        <v/>
      </c>
      <c r="Y143" s="5">
        <f>IF(Y$2&gt;=Params!$B$6,INDEX($C$142:$BV$142,Y$2-Params!$B$6+1),0)</f>
        <v/>
      </c>
      <c r="Z143" s="5">
        <f>IF(Z$2&gt;=Params!$B$6,INDEX($C$142:$BV$142,Z$2-Params!$B$6+1),0)</f>
        <v/>
      </c>
      <c r="AA143" s="5">
        <f>IF(AA$2&gt;=Params!$B$6,INDEX($C$142:$BV$142,AA$2-Params!$B$6+1),0)</f>
        <v/>
      </c>
      <c r="AB143" s="5">
        <f>IF(AB$2&gt;=Params!$B$6,INDEX($C$142:$BV$142,AB$2-Params!$B$6+1),0)</f>
        <v/>
      </c>
      <c r="AC143" s="5">
        <f>IF(AC$2&gt;=Params!$B$6,INDEX($C$142:$BV$142,AC$2-Params!$B$6+1),0)</f>
        <v/>
      </c>
      <c r="AD143" s="5">
        <f>IF(AD$2&gt;=Params!$B$6,INDEX($C$142:$BV$142,AD$2-Params!$B$6+1),0)</f>
        <v/>
      </c>
      <c r="AE143" s="5">
        <f>IF(AE$2&gt;=Params!$B$6,INDEX($C$142:$BV$142,AE$2-Params!$B$6+1),0)</f>
        <v/>
      </c>
      <c r="AF143" s="5">
        <f>IF(AF$2&gt;=Params!$B$6,INDEX($C$142:$BV$142,AF$2-Params!$B$6+1),0)</f>
        <v/>
      </c>
      <c r="AG143" s="5">
        <f>IF(AG$2&gt;=Params!$B$6,INDEX($C$142:$BV$142,AG$2-Params!$B$6+1),0)</f>
        <v/>
      </c>
      <c r="AH143" s="5">
        <f>IF(AH$2&gt;=Params!$B$6,INDEX($C$142:$BV$142,AH$2-Params!$B$6+1),0)</f>
        <v/>
      </c>
      <c r="AI143" s="5">
        <f>IF(AI$2&gt;=Params!$B$6,INDEX($C$142:$BV$142,AI$2-Params!$B$6+1),0)</f>
        <v/>
      </c>
      <c r="AJ143" s="5">
        <f>IF(AJ$2&gt;=Params!$B$6,INDEX($C$142:$BV$142,AJ$2-Params!$B$6+1),0)</f>
        <v/>
      </c>
      <c r="AK143" s="5">
        <f>IF(AK$2&gt;=Params!$B$6,INDEX($C$142:$BV$142,AK$2-Params!$B$6+1),0)</f>
        <v/>
      </c>
      <c r="AL143" s="5">
        <f>IF(AL$2&gt;=Params!$B$6,INDEX($C$142:$BV$142,AL$2-Params!$B$6+1),0)</f>
        <v/>
      </c>
      <c r="AM143" s="5">
        <f>IF(AM$2&gt;=Params!$B$6,INDEX($C$142:$BV$142,AM$2-Params!$B$6+1),0)</f>
        <v/>
      </c>
      <c r="AN143" s="5">
        <f>IF(AN$2&gt;=Params!$B$6,INDEX($C$142:$BV$142,AN$2-Params!$B$6+1),0)</f>
        <v/>
      </c>
      <c r="AO143" s="5">
        <f>IF(AO$2&gt;=Params!$B$6,INDEX($C$142:$BV$142,AO$2-Params!$B$6+1),0)</f>
        <v/>
      </c>
      <c r="AP143" s="5">
        <f>IF(AP$2&gt;=Params!$B$6,INDEX($C$142:$BV$142,AP$2-Params!$B$6+1),0)</f>
        <v/>
      </c>
      <c r="AQ143" s="5">
        <f>IF(AQ$2&gt;=Params!$B$6,INDEX($C$142:$BV$142,AQ$2-Params!$B$6+1),0)</f>
        <v/>
      </c>
      <c r="AR143" s="5">
        <f>IF(AR$2&gt;=Params!$B$6,INDEX($C$142:$BV$142,AR$2-Params!$B$6+1),0)</f>
        <v/>
      </c>
      <c r="AS143" s="5">
        <f>IF(AS$2&gt;=Params!$B$6,INDEX($C$142:$BV$142,AS$2-Params!$B$6+1),0)</f>
        <v/>
      </c>
      <c r="AT143" s="5">
        <f>IF(AT$2&gt;=Params!$B$6,INDEX($C$142:$BV$142,AT$2-Params!$B$6+1),0)</f>
        <v/>
      </c>
      <c r="AU143" s="5">
        <f>IF(AU$2&gt;=Params!$B$6,INDEX($C$142:$BV$142,AU$2-Params!$B$6+1),0)</f>
        <v/>
      </c>
      <c r="AV143" s="5">
        <f>IF(AV$2&gt;=Params!$B$6,INDEX($C$142:$BV$142,AV$2-Params!$B$6+1),0)</f>
        <v/>
      </c>
      <c r="AW143" s="5">
        <f>IF(AW$2&gt;=Params!$B$6,INDEX($C$142:$BV$142,AW$2-Params!$B$6+1),0)</f>
        <v/>
      </c>
      <c r="AX143" s="5">
        <f>IF(AX$2&gt;=Params!$B$6,INDEX($C$142:$BV$142,AX$2-Params!$B$6+1),0)</f>
        <v/>
      </c>
      <c r="AY143" s="5">
        <f>IF(AY$2&gt;=Params!$B$6,INDEX($C$142:$BV$142,AY$2-Params!$B$6+1),0)</f>
        <v/>
      </c>
      <c r="AZ143" s="5">
        <f>IF(AZ$2&gt;=Params!$B$6,INDEX($C$142:$BV$142,AZ$2-Params!$B$6+1),0)</f>
        <v/>
      </c>
      <c r="BA143" s="5">
        <f>IF(BA$2&gt;=Params!$B$6,INDEX($C$142:$BV$142,BA$2-Params!$B$6+1),0)</f>
        <v/>
      </c>
      <c r="BB143" s="5">
        <f>IF(BB$2&gt;=Params!$B$6,INDEX($C$142:$BV$142,BB$2-Params!$B$6+1),0)</f>
        <v/>
      </c>
      <c r="BC143" s="5">
        <f>IF(BC$2&gt;=Params!$B$6,INDEX($C$142:$BV$142,BC$2-Params!$B$6+1),0)</f>
        <v/>
      </c>
      <c r="BD143" s="5">
        <f>IF(BD$2&gt;=Params!$B$6,INDEX($C$142:$BV$142,BD$2-Params!$B$6+1),0)</f>
        <v/>
      </c>
      <c r="BE143" s="5">
        <f>IF(BE$2&gt;=Params!$B$6,INDEX($C$142:$BV$142,BE$2-Params!$B$6+1),0)</f>
        <v/>
      </c>
      <c r="BF143" s="5">
        <f>IF(BF$2&gt;=Params!$B$6,INDEX($C$142:$BV$142,BF$2-Params!$B$6+1),0)</f>
        <v/>
      </c>
      <c r="BG143" s="5">
        <f>IF(BG$2&gt;=Params!$B$6,INDEX($C$142:$BV$142,BG$2-Params!$B$6+1),0)</f>
        <v/>
      </c>
      <c r="BH143" s="5">
        <f>IF(BH$2&gt;=Params!$B$6,INDEX($C$142:$BV$142,BH$2-Params!$B$6+1),0)</f>
        <v/>
      </c>
      <c r="BI143" s="5">
        <f>IF(BI$2&gt;=Params!$B$6,INDEX($C$142:$BV$142,BI$2-Params!$B$6+1),0)</f>
        <v/>
      </c>
      <c r="BJ143" s="5">
        <f>IF(BJ$2&gt;=Params!$B$6,INDEX($C$142:$BV$142,BJ$2-Params!$B$6+1),0)</f>
        <v/>
      </c>
      <c r="BK143" s="5">
        <f>IF(BK$2&gt;=Params!$B$6,INDEX($C$142:$BV$142,BK$2-Params!$B$6+1),0)</f>
        <v/>
      </c>
      <c r="BL143" s="5">
        <f>IF(BL$2&gt;=Params!$B$6,INDEX($C$142:$BV$142,BL$2-Params!$B$6+1),0)</f>
        <v/>
      </c>
      <c r="BM143" s="5">
        <f>IF(BM$2&gt;=Params!$B$6,INDEX($C$142:$BV$142,BM$2-Params!$B$6+1),0)</f>
        <v/>
      </c>
      <c r="BN143" s="5">
        <f>IF(BN$2&gt;=Params!$B$6,INDEX($C$142:$BV$142,BN$2-Params!$B$6+1),0)</f>
        <v/>
      </c>
      <c r="BO143" s="5">
        <f>IF(BO$2&gt;=Params!$B$6,INDEX($C$142:$BV$142,BO$2-Params!$B$6+1),0)</f>
        <v/>
      </c>
      <c r="BP143" s="5">
        <f>IF(BP$2&gt;=Params!$B$6,INDEX($C$142:$BV$142,BP$2-Params!$B$6+1),0)</f>
        <v/>
      </c>
      <c r="BQ143" s="5">
        <f>IF(BQ$2&gt;=Params!$B$6,INDEX($C$142:$BV$142,BQ$2-Params!$B$6+1),0)</f>
        <v/>
      </c>
      <c r="BR143" s="5">
        <f>IF(BR$2&gt;=Params!$B$6,INDEX($C$142:$BV$142,BR$2-Params!$B$6+1),0)</f>
        <v/>
      </c>
      <c r="BS143" s="5">
        <f>IF(BS$2&gt;=Params!$B$6,INDEX($C$142:$BV$142,BS$2-Params!$B$6+1),0)</f>
        <v/>
      </c>
      <c r="BT143" s="5">
        <f>IF(BT$2&gt;=Params!$B$6,INDEX($C$142:$BV$142,BT$2-Params!$B$6+1),0)</f>
        <v/>
      </c>
      <c r="BU143" s="5">
        <f>IF(BU$2&gt;=Params!$B$6,INDEX($C$142:$BV$142,BU$2-Params!$B$6+1),0)</f>
        <v/>
      </c>
      <c r="BV143" s="5">
        <f>IF(BV$2&gt;=Params!$B$6,INDEX($C$142:$BV$142,BV$2-Params!$B$6+1),0)</f>
        <v/>
      </c>
    </row>
    <row r="144">
      <c r="A144" t="inlineStr">
        <is>
          <t>trials lost</t>
        </is>
      </c>
      <c r="B144" t="inlineStr">
        <is>
          <t>LATAM|NITRO_A</t>
        </is>
      </c>
      <c r="C144" s="5">
        <f>C141-C143</f>
        <v/>
      </c>
      <c r="D144" s="5">
        <f>D141-D143</f>
        <v/>
      </c>
      <c r="E144" s="5">
        <f>E141-E143</f>
        <v/>
      </c>
      <c r="F144" s="5">
        <f>F141-F143</f>
        <v/>
      </c>
      <c r="G144" s="5">
        <f>G141-G143</f>
        <v/>
      </c>
      <c r="H144" s="5">
        <f>H141-H143</f>
        <v/>
      </c>
      <c r="I144" s="5">
        <f>I141-I143</f>
        <v/>
      </c>
      <c r="J144" s="5">
        <f>J141-J143</f>
        <v/>
      </c>
      <c r="K144" s="5">
        <f>K141-K143</f>
        <v/>
      </c>
      <c r="L144" s="5">
        <f>L141-L143</f>
        <v/>
      </c>
      <c r="M144" s="5">
        <f>M141-M143</f>
        <v/>
      </c>
      <c r="N144" s="5">
        <f>N141-N143</f>
        <v/>
      </c>
      <c r="O144" s="5">
        <f>O141-O143</f>
        <v/>
      </c>
      <c r="P144" s="5">
        <f>P141-P143</f>
        <v/>
      </c>
      <c r="Q144" s="5">
        <f>Q141-Q143</f>
        <v/>
      </c>
      <c r="R144" s="5">
        <f>R141-R143</f>
        <v/>
      </c>
      <c r="S144" s="5">
        <f>S141-S143</f>
        <v/>
      </c>
      <c r="T144" s="5">
        <f>T141-T143</f>
        <v/>
      </c>
      <c r="U144" s="5">
        <f>U141-U143</f>
        <v/>
      </c>
      <c r="V144" s="5">
        <f>V141-V143</f>
        <v/>
      </c>
      <c r="W144" s="5">
        <f>W141-W143</f>
        <v/>
      </c>
      <c r="X144" s="5">
        <f>X141-X143</f>
        <v/>
      </c>
      <c r="Y144" s="5">
        <f>Y141-Y143</f>
        <v/>
      </c>
      <c r="Z144" s="5">
        <f>Z141-Z143</f>
        <v/>
      </c>
      <c r="AA144" s="5">
        <f>AA141-AA143</f>
        <v/>
      </c>
      <c r="AB144" s="5">
        <f>AB141-AB143</f>
        <v/>
      </c>
      <c r="AC144" s="5">
        <f>AC141-AC143</f>
        <v/>
      </c>
      <c r="AD144" s="5">
        <f>AD141-AD143</f>
        <v/>
      </c>
      <c r="AE144" s="5">
        <f>AE141-AE143</f>
        <v/>
      </c>
      <c r="AF144" s="5">
        <f>AF141-AF143</f>
        <v/>
      </c>
      <c r="AG144" s="5">
        <f>AG141-AG143</f>
        <v/>
      </c>
      <c r="AH144" s="5">
        <f>AH141-AH143</f>
        <v/>
      </c>
      <c r="AI144" s="5">
        <f>AI141-AI143</f>
        <v/>
      </c>
      <c r="AJ144" s="5">
        <f>AJ141-AJ143</f>
        <v/>
      </c>
      <c r="AK144" s="5">
        <f>AK141-AK143</f>
        <v/>
      </c>
      <c r="AL144" s="5">
        <f>AL141-AL143</f>
        <v/>
      </c>
      <c r="AM144" s="5">
        <f>AM141-AM143</f>
        <v/>
      </c>
      <c r="AN144" s="5">
        <f>AN141-AN143</f>
        <v/>
      </c>
      <c r="AO144" s="5">
        <f>AO141-AO143</f>
        <v/>
      </c>
      <c r="AP144" s="5">
        <f>AP141-AP143</f>
        <v/>
      </c>
      <c r="AQ144" s="5">
        <f>AQ141-AQ143</f>
        <v/>
      </c>
      <c r="AR144" s="5">
        <f>AR141-AR143</f>
        <v/>
      </c>
      <c r="AS144" s="5">
        <f>AS141-AS143</f>
        <v/>
      </c>
      <c r="AT144" s="5">
        <f>AT141-AT143</f>
        <v/>
      </c>
      <c r="AU144" s="5">
        <f>AU141-AU143</f>
        <v/>
      </c>
      <c r="AV144" s="5">
        <f>AV141-AV143</f>
        <v/>
      </c>
      <c r="AW144" s="5">
        <f>AW141-AW143</f>
        <v/>
      </c>
      <c r="AX144" s="5">
        <f>AX141-AX143</f>
        <v/>
      </c>
      <c r="AY144" s="5">
        <f>AY141-AY143</f>
        <v/>
      </c>
      <c r="AZ144" s="5">
        <f>AZ141-AZ143</f>
        <v/>
      </c>
      <c r="BA144" s="5">
        <f>BA141-BA143</f>
        <v/>
      </c>
      <c r="BB144" s="5">
        <f>BB141-BB143</f>
        <v/>
      </c>
      <c r="BC144" s="5">
        <f>BC141-BC143</f>
        <v/>
      </c>
      <c r="BD144" s="5">
        <f>BD141-BD143</f>
        <v/>
      </c>
      <c r="BE144" s="5">
        <f>BE141-BE143</f>
        <v/>
      </c>
      <c r="BF144" s="5">
        <f>BF141-BF143</f>
        <v/>
      </c>
      <c r="BG144" s="5">
        <f>BG141-BG143</f>
        <v/>
      </c>
      <c r="BH144" s="5">
        <f>BH141-BH143</f>
        <v/>
      </c>
      <c r="BI144" s="5">
        <f>BI141-BI143</f>
        <v/>
      </c>
      <c r="BJ144" s="5">
        <f>BJ141-BJ143</f>
        <v/>
      </c>
      <c r="BK144" s="5">
        <f>BK141-BK143</f>
        <v/>
      </c>
      <c r="BL144" s="5">
        <f>BL141-BL143</f>
        <v/>
      </c>
      <c r="BM144" s="5">
        <f>BM141-BM143</f>
        <v/>
      </c>
      <c r="BN144" s="5">
        <f>BN141-BN143</f>
        <v/>
      </c>
      <c r="BO144" s="5">
        <f>BO141-BO143</f>
        <v/>
      </c>
      <c r="BP144" s="5">
        <f>BP141-BP143</f>
        <v/>
      </c>
      <c r="BQ144" s="5">
        <f>BQ141-BQ143</f>
        <v/>
      </c>
      <c r="BR144" s="5">
        <f>BR141-BR143</f>
        <v/>
      </c>
      <c r="BS144" s="5">
        <f>BS141-BS143</f>
        <v/>
      </c>
      <c r="BT144" s="5">
        <f>BT141-BT143</f>
        <v/>
      </c>
      <c r="BU144" s="5">
        <f>BU141-BU143</f>
        <v/>
      </c>
      <c r="BV144" s="5">
        <f>BV141-BV143</f>
        <v/>
      </c>
    </row>
    <row r="145">
      <c r="A145" t="inlineStr">
        <is>
          <t>cum trial starts</t>
        </is>
      </c>
      <c r="B145" t="inlineStr">
        <is>
          <t>LATAM|NITRO_A</t>
        </is>
      </c>
      <c r="C145" s="5">
        <f>SUM($C139:C139)</f>
        <v/>
      </c>
      <c r="D145" s="5">
        <f>SUM($C139:D139)</f>
        <v/>
      </c>
      <c r="E145" s="5">
        <f>SUM($C139:E139)</f>
        <v/>
      </c>
      <c r="F145" s="5">
        <f>SUM($C139:F139)</f>
        <v/>
      </c>
      <c r="G145" s="5">
        <f>SUM($C139:G139)</f>
        <v/>
      </c>
      <c r="H145" s="5">
        <f>SUM($C139:H139)</f>
        <v/>
      </c>
      <c r="I145" s="5">
        <f>SUM($C139:I139)</f>
        <v/>
      </c>
      <c r="J145" s="5">
        <f>SUM($C139:J139)</f>
        <v/>
      </c>
      <c r="K145" s="5">
        <f>SUM($C139:K139)</f>
        <v/>
      </c>
      <c r="L145" s="5">
        <f>SUM($C139:L139)</f>
        <v/>
      </c>
      <c r="M145" s="5">
        <f>SUM($C139:M139)</f>
        <v/>
      </c>
      <c r="N145" s="5">
        <f>SUM($C139:N139)</f>
        <v/>
      </c>
      <c r="O145" s="5">
        <f>SUM($C139:O139)</f>
        <v/>
      </c>
      <c r="P145" s="5">
        <f>SUM($C139:P139)</f>
        <v/>
      </c>
      <c r="Q145" s="5">
        <f>SUM($C139:Q139)</f>
        <v/>
      </c>
      <c r="R145" s="5">
        <f>SUM($C139:R139)</f>
        <v/>
      </c>
      <c r="S145" s="5">
        <f>SUM($C139:S139)</f>
        <v/>
      </c>
      <c r="T145" s="5">
        <f>SUM($C139:T139)</f>
        <v/>
      </c>
      <c r="U145" s="5">
        <f>SUM($C139:U139)</f>
        <v/>
      </c>
      <c r="V145" s="5">
        <f>SUM($C139:V139)</f>
        <v/>
      </c>
      <c r="W145" s="5">
        <f>SUM($C139:W139)</f>
        <v/>
      </c>
      <c r="X145" s="5">
        <f>SUM($C139:X139)</f>
        <v/>
      </c>
      <c r="Y145" s="5">
        <f>SUM($C139:Y139)</f>
        <v/>
      </c>
      <c r="Z145" s="5">
        <f>SUM($C139:Z139)</f>
        <v/>
      </c>
      <c r="AA145" s="5">
        <f>SUM($C139:AA139)</f>
        <v/>
      </c>
      <c r="AB145" s="5">
        <f>SUM($C139:AB139)</f>
        <v/>
      </c>
      <c r="AC145" s="5">
        <f>SUM($C139:AC139)</f>
        <v/>
      </c>
      <c r="AD145" s="5">
        <f>SUM($C139:AD139)</f>
        <v/>
      </c>
      <c r="AE145" s="5">
        <f>SUM($C139:AE139)</f>
        <v/>
      </c>
      <c r="AF145" s="5">
        <f>SUM($C139:AF139)</f>
        <v/>
      </c>
      <c r="AG145" s="5">
        <f>SUM($C139:AG139)</f>
        <v/>
      </c>
      <c r="AH145" s="5">
        <f>SUM($C139:AH139)</f>
        <v/>
      </c>
      <c r="AI145" s="5">
        <f>SUM($C139:AI139)</f>
        <v/>
      </c>
      <c r="AJ145" s="5">
        <f>SUM($C139:AJ139)</f>
        <v/>
      </c>
      <c r="AK145" s="5">
        <f>SUM($C139:AK139)</f>
        <v/>
      </c>
      <c r="AL145" s="5">
        <f>SUM($C139:AL139)</f>
        <v/>
      </c>
      <c r="AM145" s="5">
        <f>SUM($C139:AM139)</f>
        <v/>
      </c>
      <c r="AN145" s="5">
        <f>SUM($C139:AN139)</f>
        <v/>
      </c>
      <c r="AO145" s="5">
        <f>SUM($C139:AO139)</f>
        <v/>
      </c>
      <c r="AP145" s="5">
        <f>SUM($C139:AP139)</f>
        <v/>
      </c>
      <c r="AQ145" s="5">
        <f>SUM($C139:AQ139)</f>
        <v/>
      </c>
      <c r="AR145" s="5">
        <f>SUM($C139:AR139)</f>
        <v/>
      </c>
      <c r="AS145" s="5">
        <f>SUM($C139:AS139)</f>
        <v/>
      </c>
      <c r="AT145" s="5">
        <f>SUM($C139:AT139)</f>
        <v/>
      </c>
      <c r="AU145" s="5">
        <f>SUM($C139:AU139)</f>
        <v/>
      </c>
      <c r="AV145" s="5">
        <f>SUM($C139:AV139)</f>
        <v/>
      </c>
      <c r="AW145" s="5">
        <f>SUM($C139:AW139)</f>
        <v/>
      </c>
      <c r="AX145" s="5">
        <f>SUM($C139:AX139)</f>
        <v/>
      </c>
      <c r="AY145" s="5">
        <f>SUM($C139:AY139)</f>
        <v/>
      </c>
      <c r="AZ145" s="5">
        <f>SUM($C139:AZ139)</f>
        <v/>
      </c>
      <c r="BA145" s="5">
        <f>SUM($C139:BA139)</f>
        <v/>
      </c>
      <c r="BB145" s="5">
        <f>SUM($C139:BB139)</f>
        <v/>
      </c>
      <c r="BC145" s="5">
        <f>SUM($C139:BC139)</f>
        <v/>
      </c>
      <c r="BD145" s="5">
        <f>SUM($C139:BD139)</f>
        <v/>
      </c>
      <c r="BE145" s="5">
        <f>SUM($C139:BE139)</f>
        <v/>
      </c>
      <c r="BF145" s="5">
        <f>SUM($C139:BF139)</f>
        <v/>
      </c>
      <c r="BG145" s="5">
        <f>SUM($C139:BG139)</f>
        <v/>
      </c>
      <c r="BH145" s="5">
        <f>SUM($C139:BH139)</f>
        <v/>
      </c>
      <c r="BI145" s="5">
        <f>SUM($C139:BI139)</f>
        <v/>
      </c>
      <c r="BJ145" s="5">
        <f>SUM($C139:BJ139)</f>
        <v/>
      </c>
      <c r="BK145" s="5">
        <f>SUM($C139:BK139)</f>
        <v/>
      </c>
      <c r="BL145" s="5">
        <f>SUM($C139:BL139)</f>
        <v/>
      </c>
      <c r="BM145" s="5">
        <f>SUM($C139:BM139)</f>
        <v/>
      </c>
      <c r="BN145" s="5">
        <f>SUM($C139:BN139)</f>
        <v/>
      </c>
      <c r="BO145" s="5">
        <f>SUM($C139:BO139)</f>
        <v/>
      </c>
      <c r="BP145" s="5">
        <f>SUM($C139:BP139)</f>
        <v/>
      </c>
      <c r="BQ145" s="5">
        <f>SUM($C139:BQ139)</f>
        <v/>
      </c>
      <c r="BR145" s="5">
        <f>SUM($C139:BR139)</f>
        <v/>
      </c>
      <c r="BS145" s="5">
        <f>SUM($C139:BS139)</f>
        <v/>
      </c>
      <c r="BT145" s="5">
        <f>SUM($C139:BT139)</f>
        <v/>
      </c>
      <c r="BU145" s="5">
        <f>SUM($C139:BU139)</f>
        <v/>
      </c>
      <c r="BV145" s="5">
        <f>SUM($C139:BV139)</f>
        <v/>
      </c>
    </row>
    <row r="146">
      <c r="A146" t="inlineStr">
        <is>
          <t>cum trials ending</t>
        </is>
      </c>
      <c r="B146" t="inlineStr">
        <is>
          <t>LATAM|NITRO_A</t>
        </is>
      </c>
      <c r="C146" s="5">
        <f>SUM($C141:C141)</f>
        <v/>
      </c>
      <c r="D146" s="5">
        <f>SUM($C141:D141)</f>
        <v/>
      </c>
      <c r="E146" s="5">
        <f>SUM($C141:E141)</f>
        <v/>
      </c>
      <c r="F146" s="5">
        <f>SUM($C141:F141)</f>
        <v/>
      </c>
      <c r="G146" s="5">
        <f>SUM($C141:G141)</f>
        <v/>
      </c>
      <c r="H146" s="5">
        <f>SUM($C141:H141)</f>
        <v/>
      </c>
      <c r="I146" s="5">
        <f>SUM($C141:I141)</f>
        <v/>
      </c>
      <c r="J146" s="5">
        <f>SUM($C141:J141)</f>
        <v/>
      </c>
      <c r="K146" s="5">
        <f>SUM($C141:K141)</f>
        <v/>
      </c>
      <c r="L146" s="5">
        <f>SUM($C141:L141)</f>
        <v/>
      </c>
      <c r="M146" s="5">
        <f>SUM($C141:M141)</f>
        <v/>
      </c>
      <c r="N146" s="5">
        <f>SUM($C141:N141)</f>
        <v/>
      </c>
      <c r="O146" s="5">
        <f>SUM($C141:O141)</f>
        <v/>
      </c>
      <c r="P146" s="5">
        <f>SUM($C141:P141)</f>
        <v/>
      </c>
      <c r="Q146" s="5">
        <f>SUM($C141:Q141)</f>
        <v/>
      </c>
      <c r="R146" s="5">
        <f>SUM($C141:R141)</f>
        <v/>
      </c>
      <c r="S146" s="5">
        <f>SUM($C141:S141)</f>
        <v/>
      </c>
      <c r="T146" s="5">
        <f>SUM($C141:T141)</f>
        <v/>
      </c>
      <c r="U146" s="5">
        <f>SUM($C141:U141)</f>
        <v/>
      </c>
      <c r="V146" s="5">
        <f>SUM($C141:V141)</f>
        <v/>
      </c>
      <c r="W146" s="5">
        <f>SUM($C141:W141)</f>
        <v/>
      </c>
      <c r="X146" s="5">
        <f>SUM($C141:X141)</f>
        <v/>
      </c>
      <c r="Y146" s="5">
        <f>SUM($C141:Y141)</f>
        <v/>
      </c>
      <c r="Z146" s="5">
        <f>SUM($C141:Z141)</f>
        <v/>
      </c>
      <c r="AA146" s="5">
        <f>SUM($C141:AA141)</f>
        <v/>
      </c>
      <c r="AB146" s="5">
        <f>SUM($C141:AB141)</f>
        <v/>
      </c>
      <c r="AC146" s="5">
        <f>SUM($C141:AC141)</f>
        <v/>
      </c>
      <c r="AD146" s="5">
        <f>SUM($C141:AD141)</f>
        <v/>
      </c>
      <c r="AE146" s="5">
        <f>SUM($C141:AE141)</f>
        <v/>
      </c>
      <c r="AF146" s="5">
        <f>SUM($C141:AF141)</f>
        <v/>
      </c>
      <c r="AG146" s="5">
        <f>SUM($C141:AG141)</f>
        <v/>
      </c>
      <c r="AH146" s="5">
        <f>SUM($C141:AH141)</f>
        <v/>
      </c>
      <c r="AI146" s="5">
        <f>SUM($C141:AI141)</f>
        <v/>
      </c>
      <c r="AJ146" s="5">
        <f>SUM($C141:AJ141)</f>
        <v/>
      </c>
      <c r="AK146" s="5">
        <f>SUM($C141:AK141)</f>
        <v/>
      </c>
      <c r="AL146" s="5">
        <f>SUM($C141:AL141)</f>
        <v/>
      </c>
      <c r="AM146" s="5">
        <f>SUM($C141:AM141)</f>
        <v/>
      </c>
      <c r="AN146" s="5">
        <f>SUM($C141:AN141)</f>
        <v/>
      </c>
      <c r="AO146" s="5">
        <f>SUM($C141:AO141)</f>
        <v/>
      </c>
      <c r="AP146" s="5">
        <f>SUM($C141:AP141)</f>
        <v/>
      </c>
      <c r="AQ146" s="5">
        <f>SUM($C141:AQ141)</f>
        <v/>
      </c>
      <c r="AR146" s="5">
        <f>SUM($C141:AR141)</f>
        <v/>
      </c>
      <c r="AS146" s="5">
        <f>SUM($C141:AS141)</f>
        <v/>
      </c>
      <c r="AT146" s="5">
        <f>SUM($C141:AT141)</f>
        <v/>
      </c>
      <c r="AU146" s="5">
        <f>SUM($C141:AU141)</f>
        <v/>
      </c>
      <c r="AV146" s="5">
        <f>SUM($C141:AV141)</f>
        <v/>
      </c>
      <c r="AW146" s="5">
        <f>SUM($C141:AW141)</f>
        <v/>
      </c>
      <c r="AX146" s="5">
        <f>SUM($C141:AX141)</f>
        <v/>
      </c>
      <c r="AY146" s="5">
        <f>SUM($C141:AY141)</f>
        <v/>
      </c>
      <c r="AZ146" s="5">
        <f>SUM($C141:AZ141)</f>
        <v/>
      </c>
      <c r="BA146" s="5">
        <f>SUM($C141:BA141)</f>
        <v/>
      </c>
      <c r="BB146" s="5">
        <f>SUM($C141:BB141)</f>
        <v/>
      </c>
      <c r="BC146" s="5">
        <f>SUM($C141:BC141)</f>
        <v/>
      </c>
      <c r="BD146" s="5">
        <f>SUM($C141:BD141)</f>
        <v/>
      </c>
      <c r="BE146" s="5">
        <f>SUM($C141:BE141)</f>
        <v/>
      </c>
      <c r="BF146" s="5">
        <f>SUM($C141:BF141)</f>
        <v/>
      </c>
      <c r="BG146" s="5">
        <f>SUM($C141:BG141)</f>
        <v/>
      </c>
      <c r="BH146" s="5">
        <f>SUM($C141:BH141)</f>
        <v/>
      </c>
      <c r="BI146" s="5">
        <f>SUM($C141:BI141)</f>
        <v/>
      </c>
      <c r="BJ146" s="5">
        <f>SUM($C141:BJ141)</f>
        <v/>
      </c>
      <c r="BK146" s="5">
        <f>SUM($C141:BK141)</f>
        <v/>
      </c>
      <c r="BL146" s="5">
        <f>SUM($C141:BL141)</f>
        <v/>
      </c>
      <c r="BM146" s="5">
        <f>SUM($C141:BM141)</f>
        <v/>
      </c>
      <c r="BN146" s="5">
        <f>SUM($C141:BN141)</f>
        <v/>
      </c>
      <c r="BO146" s="5">
        <f>SUM($C141:BO141)</f>
        <v/>
      </c>
      <c r="BP146" s="5">
        <f>SUM($C141:BP141)</f>
        <v/>
      </c>
      <c r="BQ146" s="5">
        <f>SUM($C141:BQ141)</f>
        <v/>
      </c>
      <c r="BR146" s="5">
        <f>SUM($C141:BR141)</f>
        <v/>
      </c>
      <c r="BS146" s="5">
        <f>SUM($C141:BS141)</f>
        <v/>
      </c>
      <c r="BT146" s="5">
        <f>SUM($C141:BT141)</f>
        <v/>
      </c>
      <c r="BU146" s="5">
        <f>SUM($C141:BU141)</f>
        <v/>
      </c>
      <c r="BV146" s="5">
        <f>SUM($C141:BV141)</f>
        <v/>
      </c>
    </row>
    <row r="147">
      <c r="A147" t="inlineStr">
        <is>
          <t>trials active</t>
        </is>
      </c>
      <c r="B147" t="inlineStr">
        <is>
          <t>LATAM|NITRO_A</t>
        </is>
      </c>
      <c r="C147" s="5">
        <f>C145-C146</f>
        <v/>
      </c>
      <c r="D147" s="5">
        <f>D145-D146</f>
        <v/>
      </c>
      <c r="E147" s="5">
        <f>E145-E146</f>
        <v/>
      </c>
      <c r="F147" s="5">
        <f>F145-F146</f>
        <v/>
      </c>
      <c r="G147" s="5">
        <f>G145-G146</f>
        <v/>
      </c>
      <c r="H147" s="5">
        <f>H145-H146</f>
        <v/>
      </c>
      <c r="I147" s="5">
        <f>I145-I146</f>
        <v/>
      </c>
      <c r="J147" s="5">
        <f>J145-J146</f>
        <v/>
      </c>
      <c r="K147" s="5">
        <f>K145-K146</f>
        <v/>
      </c>
      <c r="L147" s="5">
        <f>L145-L146</f>
        <v/>
      </c>
      <c r="M147" s="5">
        <f>M145-M146</f>
        <v/>
      </c>
      <c r="N147" s="5">
        <f>N145-N146</f>
        <v/>
      </c>
      <c r="O147" s="5">
        <f>O145-O146</f>
        <v/>
      </c>
      <c r="P147" s="5">
        <f>P145-P146</f>
        <v/>
      </c>
      <c r="Q147" s="5">
        <f>Q145-Q146</f>
        <v/>
      </c>
      <c r="R147" s="5">
        <f>R145-R146</f>
        <v/>
      </c>
      <c r="S147" s="5">
        <f>S145-S146</f>
        <v/>
      </c>
      <c r="T147" s="5">
        <f>T145-T146</f>
        <v/>
      </c>
      <c r="U147" s="5">
        <f>U145-U146</f>
        <v/>
      </c>
      <c r="V147" s="5">
        <f>V145-V146</f>
        <v/>
      </c>
      <c r="W147" s="5">
        <f>W145-W146</f>
        <v/>
      </c>
      <c r="X147" s="5">
        <f>X145-X146</f>
        <v/>
      </c>
      <c r="Y147" s="5">
        <f>Y145-Y146</f>
        <v/>
      </c>
      <c r="Z147" s="5">
        <f>Z145-Z146</f>
        <v/>
      </c>
      <c r="AA147" s="5">
        <f>AA145-AA146</f>
        <v/>
      </c>
      <c r="AB147" s="5">
        <f>AB145-AB146</f>
        <v/>
      </c>
      <c r="AC147" s="5">
        <f>AC145-AC146</f>
        <v/>
      </c>
      <c r="AD147" s="5">
        <f>AD145-AD146</f>
        <v/>
      </c>
      <c r="AE147" s="5">
        <f>AE145-AE146</f>
        <v/>
      </c>
      <c r="AF147" s="5">
        <f>AF145-AF146</f>
        <v/>
      </c>
      <c r="AG147" s="5">
        <f>AG145-AG146</f>
        <v/>
      </c>
      <c r="AH147" s="5">
        <f>AH145-AH146</f>
        <v/>
      </c>
      <c r="AI147" s="5">
        <f>AI145-AI146</f>
        <v/>
      </c>
      <c r="AJ147" s="5">
        <f>AJ145-AJ146</f>
        <v/>
      </c>
      <c r="AK147" s="5">
        <f>AK145-AK146</f>
        <v/>
      </c>
      <c r="AL147" s="5">
        <f>AL145-AL146</f>
        <v/>
      </c>
      <c r="AM147" s="5">
        <f>AM145-AM146</f>
        <v/>
      </c>
      <c r="AN147" s="5">
        <f>AN145-AN146</f>
        <v/>
      </c>
      <c r="AO147" s="5">
        <f>AO145-AO146</f>
        <v/>
      </c>
      <c r="AP147" s="5">
        <f>AP145-AP146</f>
        <v/>
      </c>
      <c r="AQ147" s="5">
        <f>AQ145-AQ146</f>
        <v/>
      </c>
      <c r="AR147" s="5">
        <f>AR145-AR146</f>
        <v/>
      </c>
      <c r="AS147" s="5">
        <f>AS145-AS146</f>
        <v/>
      </c>
      <c r="AT147" s="5">
        <f>AT145-AT146</f>
        <v/>
      </c>
      <c r="AU147" s="5">
        <f>AU145-AU146</f>
        <v/>
      </c>
      <c r="AV147" s="5">
        <f>AV145-AV146</f>
        <v/>
      </c>
      <c r="AW147" s="5">
        <f>AW145-AW146</f>
        <v/>
      </c>
      <c r="AX147" s="5">
        <f>AX145-AX146</f>
        <v/>
      </c>
      <c r="AY147" s="5">
        <f>AY145-AY146</f>
        <v/>
      </c>
      <c r="AZ147" s="5">
        <f>AZ145-AZ146</f>
        <v/>
      </c>
      <c r="BA147" s="5">
        <f>BA145-BA146</f>
        <v/>
      </c>
      <c r="BB147" s="5">
        <f>BB145-BB146</f>
        <v/>
      </c>
      <c r="BC147" s="5">
        <f>BC145-BC146</f>
        <v/>
      </c>
      <c r="BD147" s="5">
        <f>BD145-BD146</f>
        <v/>
      </c>
      <c r="BE147" s="5">
        <f>BE145-BE146</f>
        <v/>
      </c>
      <c r="BF147" s="5">
        <f>BF145-BF146</f>
        <v/>
      </c>
      <c r="BG147" s="5">
        <f>BG145-BG146</f>
        <v/>
      </c>
      <c r="BH147" s="5">
        <f>BH145-BH146</f>
        <v/>
      </c>
      <c r="BI147" s="5">
        <f>BI145-BI146</f>
        <v/>
      </c>
      <c r="BJ147" s="5">
        <f>BJ145-BJ146</f>
        <v/>
      </c>
      <c r="BK147" s="5">
        <f>BK145-BK146</f>
        <v/>
      </c>
      <c r="BL147" s="5">
        <f>BL145-BL146</f>
        <v/>
      </c>
      <c r="BM147" s="5">
        <f>BM145-BM146</f>
        <v/>
      </c>
      <c r="BN147" s="5">
        <f>BN145-BN146</f>
        <v/>
      </c>
      <c r="BO147" s="5">
        <f>BO145-BO146</f>
        <v/>
      </c>
      <c r="BP147" s="5">
        <f>BP145-BP146</f>
        <v/>
      </c>
      <c r="BQ147" s="5">
        <f>BQ145-BQ146</f>
        <v/>
      </c>
      <c r="BR147" s="5">
        <f>BR145-BR146</f>
        <v/>
      </c>
      <c r="BS147" s="5">
        <f>BS145-BS146</f>
        <v/>
      </c>
      <c r="BT147" s="5">
        <f>BT145-BT146</f>
        <v/>
      </c>
      <c r="BU147" s="5">
        <f>BU145-BU146</f>
        <v/>
      </c>
      <c r="BV147" s="5">
        <f>BV145-BV146</f>
        <v/>
      </c>
    </row>
    <row r="148">
      <c r="A148" t="inlineStr">
        <is>
          <t>paid starts</t>
        </is>
      </c>
      <c r="B148" t="inlineStr">
        <is>
          <t>LATAM|NITRO_A</t>
        </is>
      </c>
      <c r="C148" s="5">
        <f>C140+C143</f>
        <v/>
      </c>
      <c r="D148" s="5">
        <f>D140+D143</f>
        <v/>
      </c>
      <c r="E148" s="5">
        <f>E140+E143</f>
        <v/>
      </c>
      <c r="F148" s="5">
        <f>F140+F143</f>
        <v/>
      </c>
      <c r="G148" s="5">
        <f>G140+G143</f>
        <v/>
      </c>
      <c r="H148" s="5">
        <f>H140+H143</f>
        <v/>
      </c>
      <c r="I148" s="5">
        <f>I140+I143</f>
        <v/>
      </c>
      <c r="J148" s="5">
        <f>J140+J143</f>
        <v/>
      </c>
      <c r="K148" s="5">
        <f>K140+K143</f>
        <v/>
      </c>
      <c r="L148" s="5">
        <f>L140+L143</f>
        <v/>
      </c>
      <c r="M148" s="5">
        <f>M140+M143</f>
        <v/>
      </c>
      <c r="N148" s="5">
        <f>N140+N143</f>
        <v/>
      </c>
      <c r="O148" s="5">
        <f>O140+O143</f>
        <v/>
      </c>
      <c r="P148" s="5">
        <f>P140+P143</f>
        <v/>
      </c>
      <c r="Q148" s="5">
        <f>Q140+Q143</f>
        <v/>
      </c>
      <c r="R148" s="5">
        <f>R140+R143</f>
        <v/>
      </c>
      <c r="S148" s="5">
        <f>S140+S143</f>
        <v/>
      </c>
      <c r="T148" s="5">
        <f>T140+T143</f>
        <v/>
      </c>
      <c r="U148" s="5">
        <f>U140+U143</f>
        <v/>
      </c>
      <c r="V148" s="5">
        <f>V140+V143</f>
        <v/>
      </c>
      <c r="W148" s="5">
        <f>W140+W143</f>
        <v/>
      </c>
      <c r="X148" s="5">
        <f>X140+X143</f>
        <v/>
      </c>
      <c r="Y148" s="5">
        <f>Y140+Y143</f>
        <v/>
      </c>
      <c r="Z148" s="5">
        <f>Z140+Z143</f>
        <v/>
      </c>
      <c r="AA148" s="5">
        <f>AA140+AA143</f>
        <v/>
      </c>
      <c r="AB148" s="5">
        <f>AB140+AB143</f>
        <v/>
      </c>
      <c r="AC148" s="5">
        <f>AC140+AC143</f>
        <v/>
      </c>
      <c r="AD148" s="5">
        <f>AD140+AD143</f>
        <v/>
      </c>
      <c r="AE148" s="5">
        <f>AE140+AE143</f>
        <v/>
      </c>
      <c r="AF148" s="5">
        <f>AF140+AF143</f>
        <v/>
      </c>
      <c r="AG148" s="5">
        <f>AG140+AG143</f>
        <v/>
      </c>
      <c r="AH148" s="5">
        <f>AH140+AH143</f>
        <v/>
      </c>
      <c r="AI148" s="5">
        <f>AI140+AI143</f>
        <v/>
      </c>
      <c r="AJ148" s="5">
        <f>AJ140+AJ143</f>
        <v/>
      </c>
      <c r="AK148" s="5">
        <f>AK140+AK143</f>
        <v/>
      </c>
      <c r="AL148" s="5">
        <f>AL140+AL143</f>
        <v/>
      </c>
      <c r="AM148" s="5">
        <f>AM140+AM143</f>
        <v/>
      </c>
      <c r="AN148" s="5">
        <f>AN140+AN143</f>
        <v/>
      </c>
      <c r="AO148" s="5">
        <f>AO140+AO143</f>
        <v/>
      </c>
      <c r="AP148" s="5">
        <f>AP140+AP143</f>
        <v/>
      </c>
      <c r="AQ148" s="5">
        <f>AQ140+AQ143</f>
        <v/>
      </c>
      <c r="AR148" s="5">
        <f>AR140+AR143</f>
        <v/>
      </c>
      <c r="AS148" s="5">
        <f>AS140+AS143</f>
        <v/>
      </c>
      <c r="AT148" s="5">
        <f>AT140+AT143</f>
        <v/>
      </c>
      <c r="AU148" s="5">
        <f>AU140+AU143</f>
        <v/>
      </c>
      <c r="AV148" s="5">
        <f>AV140+AV143</f>
        <v/>
      </c>
      <c r="AW148" s="5">
        <f>AW140+AW143</f>
        <v/>
      </c>
      <c r="AX148" s="5">
        <f>AX140+AX143</f>
        <v/>
      </c>
      <c r="AY148" s="5">
        <f>AY140+AY143</f>
        <v/>
      </c>
      <c r="AZ148" s="5">
        <f>AZ140+AZ143</f>
        <v/>
      </c>
      <c r="BA148" s="5">
        <f>BA140+BA143</f>
        <v/>
      </c>
      <c r="BB148" s="5">
        <f>BB140+BB143</f>
        <v/>
      </c>
      <c r="BC148" s="5">
        <f>BC140+BC143</f>
        <v/>
      </c>
      <c r="BD148" s="5">
        <f>BD140+BD143</f>
        <v/>
      </c>
      <c r="BE148" s="5">
        <f>BE140+BE143</f>
        <v/>
      </c>
      <c r="BF148" s="5">
        <f>BF140+BF143</f>
        <v/>
      </c>
      <c r="BG148" s="5">
        <f>BG140+BG143</f>
        <v/>
      </c>
      <c r="BH148" s="5">
        <f>BH140+BH143</f>
        <v/>
      </c>
      <c r="BI148" s="5">
        <f>BI140+BI143</f>
        <v/>
      </c>
      <c r="BJ148" s="5">
        <f>BJ140+BJ143</f>
        <v/>
      </c>
      <c r="BK148" s="5">
        <f>BK140+BK143</f>
        <v/>
      </c>
      <c r="BL148" s="5">
        <f>BL140+BL143</f>
        <v/>
      </c>
      <c r="BM148" s="5">
        <f>BM140+BM143</f>
        <v/>
      </c>
      <c r="BN148" s="5">
        <f>BN140+BN143</f>
        <v/>
      </c>
      <c r="BO148" s="5">
        <f>BO140+BO143</f>
        <v/>
      </c>
      <c r="BP148" s="5">
        <f>BP140+BP143</f>
        <v/>
      </c>
      <c r="BQ148" s="5">
        <f>BQ140+BQ143</f>
        <v/>
      </c>
      <c r="BR148" s="5">
        <f>BR140+BR143</f>
        <v/>
      </c>
      <c r="BS148" s="5">
        <f>BS140+BS143</f>
        <v/>
      </c>
      <c r="BT148" s="5">
        <f>BT140+BT143</f>
        <v/>
      </c>
      <c r="BU148" s="5">
        <f>BU140+BU143</f>
        <v/>
      </c>
      <c r="BV148" s="5">
        <f>BV140+BV143</f>
        <v/>
      </c>
    </row>
    <row r="149">
      <c r="A149" t="inlineStr">
        <is>
          <t>paid starts @0</t>
        </is>
      </c>
      <c r="B149" t="inlineStr">
        <is>
          <t>LATAM|NITRO_A</t>
        </is>
      </c>
      <c r="C149" s="5">
        <f>C148*Eras!C$3</f>
        <v/>
      </c>
      <c r="D149" s="5">
        <f>D148*Eras!D$3</f>
        <v/>
      </c>
      <c r="E149" s="5">
        <f>E148*Eras!E$3</f>
        <v/>
      </c>
      <c r="F149" s="5">
        <f>F148*Eras!F$3</f>
        <v/>
      </c>
      <c r="G149" s="5">
        <f>G148*Eras!G$3</f>
        <v/>
      </c>
      <c r="H149" s="5">
        <f>H148*Eras!H$3</f>
        <v/>
      </c>
      <c r="I149" s="5">
        <f>I148*Eras!I$3</f>
        <v/>
      </c>
      <c r="J149" s="5">
        <f>J148*Eras!J$3</f>
        <v/>
      </c>
      <c r="K149" s="5">
        <f>K148*Eras!K$3</f>
        <v/>
      </c>
      <c r="L149" s="5">
        <f>L148*Eras!L$3</f>
        <v/>
      </c>
      <c r="M149" s="5">
        <f>M148*Eras!M$3</f>
        <v/>
      </c>
      <c r="N149" s="5">
        <f>N148*Eras!N$3</f>
        <v/>
      </c>
      <c r="O149" s="5">
        <f>O148*Eras!O$3</f>
        <v/>
      </c>
      <c r="P149" s="5">
        <f>P148*Eras!P$3</f>
        <v/>
      </c>
      <c r="Q149" s="5">
        <f>Q148*Eras!Q$3</f>
        <v/>
      </c>
      <c r="R149" s="5">
        <f>R148*Eras!R$3</f>
        <v/>
      </c>
      <c r="S149" s="5">
        <f>S148*Eras!S$3</f>
        <v/>
      </c>
      <c r="T149" s="5">
        <f>T148*Eras!T$3</f>
        <v/>
      </c>
      <c r="U149" s="5">
        <f>U148*Eras!U$3</f>
        <v/>
      </c>
      <c r="V149" s="5">
        <f>V148*Eras!V$3</f>
        <v/>
      </c>
      <c r="W149" s="5">
        <f>W148*Eras!W$3</f>
        <v/>
      </c>
      <c r="X149" s="5">
        <f>X148*Eras!X$3</f>
        <v/>
      </c>
      <c r="Y149" s="5">
        <f>Y148*Eras!Y$3</f>
        <v/>
      </c>
      <c r="Z149" s="5">
        <f>Z148*Eras!Z$3</f>
        <v/>
      </c>
      <c r="AA149" s="5">
        <f>AA148*Eras!AA$3</f>
        <v/>
      </c>
      <c r="AB149" s="5">
        <f>AB148*Eras!AB$3</f>
        <v/>
      </c>
      <c r="AC149" s="5">
        <f>AC148*Eras!AC$3</f>
        <v/>
      </c>
      <c r="AD149" s="5">
        <f>AD148*Eras!AD$3</f>
        <v/>
      </c>
      <c r="AE149" s="5">
        <f>AE148*Eras!AE$3</f>
        <v/>
      </c>
      <c r="AF149" s="5">
        <f>AF148*Eras!AF$3</f>
        <v/>
      </c>
      <c r="AG149" s="5">
        <f>AG148*Eras!AG$3</f>
        <v/>
      </c>
      <c r="AH149" s="5">
        <f>AH148*Eras!AH$3</f>
        <v/>
      </c>
      <c r="AI149" s="5">
        <f>AI148*Eras!AI$3</f>
        <v/>
      </c>
      <c r="AJ149" s="5">
        <f>AJ148*Eras!AJ$3</f>
        <v/>
      </c>
      <c r="AK149" s="5">
        <f>AK148*Eras!AK$3</f>
        <v/>
      </c>
      <c r="AL149" s="5">
        <f>AL148*Eras!AL$3</f>
        <v/>
      </c>
      <c r="AM149" s="5">
        <f>AM148*Eras!AM$3</f>
        <v/>
      </c>
      <c r="AN149" s="5">
        <f>AN148*Eras!AN$3</f>
        <v/>
      </c>
      <c r="AO149" s="5">
        <f>AO148*Eras!AO$3</f>
        <v/>
      </c>
      <c r="AP149" s="5">
        <f>AP148*Eras!AP$3</f>
        <v/>
      </c>
      <c r="AQ149" s="5">
        <f>AQ148*Eras!AQ$3</f>
        <v/>
      </c>
      <c r="AR149" s="5">
        <f>AR148*Eras!AR$3</f>
        <v/>
      </c>
      <c r="AS149" s="5">
        <f>AS148*Eras!AS$3</f>
        <v/>
      </c>
      <c r="AT149" s="5">
        <f>AT148*Eras!AT$3</f>
        <v/>
      </c>
      <c r="AU149" s="5">
        <f>AU148*Eras!AU$3</f>
        <v/>
      </c>
      <c r="AV149" s="5">
        <f>AV148*Eras!AV$3</f>
        <v/>
      </c>
      <c r="AW149" s="5">
        <f>AW148*Eras!AW$3</f>
        <v/>
      </c>
      <c r="AX149" s="5">
        <f>AX148*Eras!AX$3</f>
        <v/>
      </c>
      <c r="AY149" s="5">
        <f>AY148*Eras!AY$3</f>
        <v/>
      </c>
      <c r="AZ149" s="5">
        <f>AZ148*Eras!AZ$3</f>
        <v/>
      </c>
      <c r="BA149" s="5">
        <f>BA148*Eras!BA$3</f>
        <v/>
      </c>
      <c r="BB149" s="5">
        <f>BB148*Eras!BB$3</f>
        <v/>
      </c>
      <c r="BC149" s="5">
        <f>BC148*Eras!BC$3</f>
        <v/>
      </c>
      <c r="BD149" s="5">
        <f>BD148*Eras!BD$3</f>
        <v/>
      </c>
      <c r="BE149" s="5">
        <f>BE148*Eras!BE$3</f>
        <v/>
      </c>
      <c r="BF149" s="5">
        <f>BF148*Eras!BF$3</f>
        <v/>
      </c>
      <c r="BG149" s="5">
        <f>BG148*Eras!BG$3</f>
        <v/>
      </c>
      <c r="BH149" s="5">
        <f>BH148*Eras!BH$3</f>
        <v/>
      </c>
      <c r="BI149" s="5">
        <f>BI148*Eras!BI$3</f>
        <v/>
      </c>
      <c r="BJ149" s="5">
        <f>BJ148*Eras!BJ$3</f>
        <v/>
      </c>
      <c r="BK149" s="5">
        <f>BK148*Eras!BK$3</f>
        <v/>
      </c>
      <c r="BL149" s="5">
        <f>BL148*Eras!BL$3</f>
        <v/>
      </c>
      <c r="BM149" s="5">
        <f>BM148*Eras!BM$3</f>
        <v/>
      </c>
      <c r="BN149" s="5">
        <f>BN148*Eras!BN$3</f>
        <v/>
      </c>
      <c r="BO149" s="5">
        <f>BO148*Eras!BO$3</f>
        <v/>
      </c>
      <c r="BP149" s="5">
        <f>BP148*Eras!BP$3</f>
        <v/>
      </c>
      <c r="BQ149" s="5">
        <f>BQ148*Eras!BQ$3</f>
        <v/>
      </c>
      <c r="BR149" s="5">
        <f>BR148*Eras!BR$3</f>
        <v/>
      </c>
      <c r="BS149" s="5">
        <f>BS148*Eras!BS$3</f>
        <v/>
      </c>
      <c r="BT149" s="5">
        <f>BT148*Eras!BT$3</f>
        <v/>
      </c>
      <c r="BU149" s="5">
        <f>BU148*Eras!BU$3</f>
        <v/>
      </c>
      <c r="BV149" s="5">
        <f>BV148*Eras!BV$3</f>
        <v/>
      </c>
    </row>
    <row r="150">
      <c r="A150" t="inlineStr">
        <is>
          <t>paid starts @1</t>
        </is>
      </c>
      <c r="B150" t="inlineStr">
        <is>
          <t>LATAM|NITRO_A</t>
        </is>
      </c>
      <c r="C150" s="5">
        <f>C148*Eras!C$4</f>
        <v/>
      </c>
      <c r="D150" s="5">
        <f>D148*Eras!D$4</f>
        <v/>
      </c>
      <c r="E150" s="5">
        <f>E148*Eras!E$4</f>
        <v/>
      </c>
      <c r="F150" s="5">
        <f>F148*Eras!F$4</f>
        <v/>
      </c>
      <c r="G150" s="5">
        <f>G148*Eras!G$4</f>
        <v/>
      </c>
      <c r="H150" s="5">
        <f>H148*Eras!H$4</f>
        <v/>
      </c>
      <c r="I150" s="5">
        <f>I148*Eras!I$4</f>
        <v/>
      </c>
      <c r="J150" s="5">
        <f>J148*Eras!J$4</f>
        <v/>
      </c>
      <c r="K150" s="5">
        <f>K148*Eras!K$4</f>
        <v/>
      </c>
      <c r="L150" s="5">
        <f>L148*Eras!L$4</f>
        <v/>
      </c>
      <c r="M150" s="5">
        <f>M148*Eras!M$4</f>
        <v/>
      </c>
      <c r="N150" s="5">
        <f>N148*Eras!N$4</f>
        <v/>
      </c>
      <c r="O150" s="5">
        <f>O148*Eras!O$4</f>
        <v/>
      </c>
      <c r="P150" s="5">
        <f>P148*Eras!P$4</f>
        <v/>
      </c>
      <c r="Q150" s="5">
        <f>Q148*Eras!Q$4</f>
        <v/>
      </c>
      <c r="R150" s="5">
        <f>R148*Eras!R$4</f>
        <v/>
      </c>
      <c r="S150" s="5">
        <f>S148*Eras!S$4</f>
        <v/>
      </c>
      <c r="T150" s="5">
        <f>T148*Eras!T$4</f>
        <v/>
      </c>
      <c r="U150" s="5">
        <f>U148*Eras!U$4</f>
        <v/>
      </c>
      <c r="V150" s="5">
        <f>V148*Eras!V$4</f>
        <v/>
      </c>
      <c r="W150" s="5">
        <f>W148*Eras!W$4</f>
        <v/>
      </c>
      <c r="X150" s="5">
        <f>X148*Eras!X$4</f>
        <v/>
      </c>
      <c r="Y150" s="5">
        <f>Y148*Eras!Y$4</f>
        <v/>
      </c>
      <c r="Z150" s="5">
        <f>Z148*Eras!Z$4</f>
        <v/>
      </c>
      <c r="AA150" s="5">
        <f>AA148*Eras!AA$4</f>
        <v/>
      </c>
      <c r="AB150" s="5">
        <f>AB148*Eras!AB$4</f>
        <v/>
      </c>
      <c r="AC150" s="5">
        <f>AC148*Eras!AC$4</f>
        <v/>
      </c>
      <c r="AD150" s="5">
        <f>AD148*Eras!AD$4</f>
        <v/>
      </c>
      <c r="AE150" s="5">
        <f>AE148*Eras!AE$4</f>
        <v/>
      </c>
      <c r="AF150" s="5">
        <f>AF148*Eras!AF$4</f>
        <v/>
      </c>
      <c r="AG150" s="5">
        <f>AG148*Eras!AG$4</f>
        <v/>
      </c>
      <c r="AH150" s="5">
        <f>AH148*Eras!AH$4</f>
        <v/>
      </c>
      <c r="AI150" s="5">
        <f>AI148*Eras!AI$4</f>
        <v/>
      </c>
      <c r="AJ150" s="5">
        <f>AJ148*Eras!AJ$4</f>
        <v/>
      </c>
      <c r="AK150" s="5">
        <f>AK148*Eras!AK$4</f>
        <v/>
      </c>
      <c r="AL150" s="5">
        <f>AL148*Eras!AL$4</f>
        <v/>
      </c>
      <c r="AM150" s="5">
        <f>AM148*Eras!AM$4</f>
        <v/>
      </c>
      <c r="AN150" s="5">
        <f>AN148*Eras!AN$4</f>
        <v/>
      </c>
      <c r="AO150" s="5">
        <f>AO148*Eras!AO$4</f>
        <v/>
      </c>
      <c r="AP150" s="5">
        <f>AP148*Eras!AP$4</f>
        <v/>
      </c>
      <c r="AQ150" s="5">
        <f>AQ148*Eras!AQ$4</f>
        <v/>
      </c>
      <c r="AR150" s="5">
        <f>AR148*Eras!AR$4</f>
        <v/>
      </c>
      <c r="AS150" s="5">
        <f>AS148*Eras!AS$4</f>
        <v/>
      </c>
      <c r="AT150" s="5">
        <f>AT148*Eras!AT$4</f>
        <v/>
      </c>
      <c r="AU150" s="5">
        <f>AU148*Eras!AU$4</f>
        <v/>
      </c>
      <c r="AV150" s="5">
        <f>AV148*Eras!AV$4</f>
        <v/>
      </c>
      <c r="AW150" s="5">
        <f>AW148*Eras!AW$4</f>
        <v/>
      </c>
      <c r="AX150" s="5">
        <f>AX148*Eras!AX$4</f>
        <v/>
      </c>
      <c r="AY150" s="5">
        <f>AY148*Eras!AY$4</f>
        <v/>
      </c>
      <c r="AZ150" s="5">
        <f>AZ148*Eras!AZ$4</f>
        <v/>
      </c>
      <c r="BA150" s="5">
        <f>BA148*Eras!BA$4</f>
        <v/>
      </c>
      <c r="BB150" s="5">
        <f>BB148*Eras!BB$4</f>
        <v/>
      </c>
      <c r="BC150" s="5">
        <f>BC148*Eras!BC$4</f>
        <v/>
      </c>
      <c r="BD150" s="5">
        <f>BD148*Eras!BD$4</f>
        <v/>
      </c>
      <c r="BE150" s="5">
        <f>BE148*Eras!BE$4</f>
        <v/>
      </c>
      <c r="BF150" s="5">
        <f>BF148*Eras!BF$4</f>
        <v/>
      </c>
      <c r="BG150" s="5">
        <f>BG148*Eras!BG$4</f>
        <v/>
      </c>
      <c r="BH150" s="5">
        <f>BH148*Eras!BH$4</f>
        <v/>
      </c>
      <c r="BI150" s="5">
        <f>BI148*Eras!BI$4</f>
        <v/>
      </c>
      <c r="BJ150" s="5">
        <f>BJ148*Eras!BJ$4</f>
        <v/>
      </c>
      <c r="BK150" s="5">
        <f>BK148*Eras!BK$4</f>
        <v/>
      </c>
      <c r="BL150" s="5">
        <f>BL148*Eras!BL$4</f>
        <v/>
      </c>
      <c r="BM150" s="5">
        <f>BM148*Eras!BM$4</f>
        <v/>
      </c>
      <c r="BN150" s="5">
        <f>BN148*Eras!BN$4</f>
        <v/>
      </c>
      <c r="BO150" s="5">
        <f>BO148*Eras!BO$4</f>
        <v/>
      </c>
      <c r="BP150" s="5">
        <f>BP148*Eras!BP$4</f>
        <v/>
      </c>
      <c r="BQ150" s="5">
        <f>BQ148*Eras!BQ$4</f>
        <v/>
      </c>
      <c r="BR150" s="5">
        <f>BR148*Eras!BR$4</f>
        <v/>
      </c>
      <c r="BS150" s="5">
        <f>BS148*Eras!BS$4</f>
        <v/>
      </c>
      <c r="BT150" s="5">
        <f>BT148*Eras!BT$4</f>
        <v/>
      </c>
      <c r="BU150" s="5">
        <f>BU148*Eras!BU$4</f>
        <v/>
      </c>
      <c r="BV150" s="5">
        <f>BV148*Eras!BV$4</f>
        <v/>
      </c>
    </row>
    <row r="151">
      <c r="A151" t="inlineStr">
        <is>
          <t>paid starts @2</t>
        </is>
      </c>
      <c r="B151" t="inlineStr">
        <is>
          <t>LATAM|NITRO_A</t>
        </is>
      </c>
      <c r="C151" s="5">
        <f>C148*Eras!C$5</f>
        <v/>
      </c>
      <c r="D151" s="5">
        <f>D148*Eras!D$5</f>
        <v/>
      </c>
      <c r="E151" s="5">
        <f>E148*Eras!E$5</f>
        <v/>
      </c>
      <c r="F151" s="5">
        <f>F148*Eras!F$5</f>
        <v/>
      </c>
      <c r="G151" s="5">
        <f>G148*Eras!G$5</f>
        <v/>
      </c>
      <c r="H151" s="5">
        <f>H148*Eras!H$5</f>
        <v/>
      </c>
      <c r="I151" s="5">
        <f>I148*Eras!I$5</f>
        <v/>
      </c>
      <c r="J151" s="5">
        <f>J148*Eras!J$5</f>
        <v/>
      </c>
      <c r="K151" s="5">
        <f>K148*Eras!K$5</f>
        <v/>
      </c>
      <c r="L151" s="5">
        <f>L148*Eras!L$5</f>
        <v/>
      </c>
      <c r="M151" s="5">
        <f>M148*Eras!M$5</f>
        <v/>
      </c>
      <c r="N151" s="5">
        <f>N148*Eras!N$5</f>
        <v/>
      </c>
      <c r="O151" s="5">
        <f>O148*Eras!O$5</f>
        <v/>
      </c>
      <c r="P151" s="5">
        <f>P148*Eras!P$5</f>
        <v/>
      </c>
      <c r="Q151" s="5">
        <f>Q148*Eras!Q$5</f>
        <v/>
      </c>
      <c r="R151" s="5">
        <f>R148*Eras!R$5</f>
        <v/>
      </c>
      <c r="S151" s="5">
        <f>S148*Eras!S$5</f>
        <v/>
      </c>
      <c r="T151" s="5">
        <f>T148*Eras!T$5</f>
        <v/>
      </c>
      <c r="U151" s="5">
        <f>U148*Eras!U$5</f>
        <v/>
      </c>
      <c r="V151" s="5">
        <f>V148*Eras!V$5</f>
        <v/>
      </c>
      <c r="W151" s="5">
        <f>W148*Eras!W$5</f>
        <v/>
      </c>
      <c r="X151" s="5">
        <f>X148*Eras!X$5</f>
        <v/>
      </c>
      <c r="Y151" s="5">
        <f>Y148*Eras!Y$5</f>
        <v/>
      </c>
      <c r="Z151" s="5">
        <f>Z148*Eras!Z$5</f>
        <v/>
      </c>
      <c r="AA151" s="5">
        <f>AA148*Eras!AA$5</f>
        <v/>
      </c>
      <c r="AB151" s="5">
        <f>AB148*Eras!AB$5</f>
        <v/>
      </c>
      <c r="AC151" s="5">
        <f>AC148*Eras!AC$5</f>
        <v/>
      </c>
      <c r="AD151" s="5">
        <f>AD148*Eras!AD$5</f>
        <v/>
      </c>
      <c r="AE151" s="5">
        <f>AE148*Eras!AE$5</f>
        <v/>
      </c>
      <c r="AF151" s="5">
        <f>AF148*Eras!AF$5</f>
        <v/>
      </c>
      <c r="AG151" s="5">
        <f>AG148*Eras!AG$5</f>
        <v/>
      </c>
      <c r="AH151" s="5">
        <f>AH148*Eras!AH$5</f>
        <v/>
      </c>
      <c r="AI151" s="5">
        <f>AI148*Eras!AI$5</f>
        <v/>
      </c>
      <c r="AJ151" s="5">
        <f>AJ148*Eras!AJ$5</f>
        <v/>
      </c>
      <c r="AK151" s="5">
        <f>AK148*Eras!AK$5</f>
        <v/>
      </c>
      <c r="AL151" s="5">
        <f>AL148*Eras!AL$5</f>
        <v/>
      </c>
      <c r="AM151" s="5">
        <f>AM148*Eras!AM$5</f>
        <v/>
      </c>
      <c r="AN151" s="5">
        <f>AN148*Eras!AN$5</f>
        <v/>
      </c>
      <c r="AO151" s="5">
        <f>AO148*Eras!AO$5</f>
        <v/>
      </c>
      <c r="AP151" s="5">
        <f>AP148*Eras!AP$5</f>
        <v/>
      </c>
      <c r="AQ151" s="5">
        <f>AQ148*Eras!AQ$5</f>
        <v/>
      </c>
      <c r="AR151" s="5">
        <f>AR148*Eras!AR$5</f>
        <v/>
      </c>
      <c r="AS151" s="5">
        <f>AS148*Eras!AS$5</f>
        <v/>
      </c>
      <c r="AT151" s="5">
        <f>AT148*Eras!AT$5</f>
        <v/>
      </c>
      <c r="AU151" s="5">
        <f>AU148*Eras!AU$5</f>
        <v/>
      </c>
      <c r="AV151" s="5">
        <f>AV148*Eras!AV$5</f>
        <v/>
      </c>
      <c r="AW151" s="5">
        <f>AW148*Eras!AW$5</f>
        <v/>
      </c>
      <c r="AX151" s="5">
        <f>AX148*Eras!AX$5</f>
        <v/>
      </c>
      <c r="AY151" s="5">
        <f>AY148*Eras!AY$5</f>
        <v/>
      </c>
      <c r="AZ151" s="5">
        <f>AZ148*Eras!AZ$5</f>
        <v/>
      </c>
      <c r="BA151" s="5">
        <f>BA148*Eras!BA$5</f>
        <v/>
      </c>
      <c r="BB151" s="5">
        <f>BB148*Eras!BB$5</f>
        <v/>
      </c>
      <c r="BC151" s="5">
        <f>BC148*Eras!BC$5</f>
        <v/>
      </c>
      <c r="BD151" s="5">
        <f>BD148*Eras!BD$5</f>
        <v/>
      </c>
      <c r="BE151" s="5">
        <f>BE148*Eras!BE$5</f>
        <v/>
      </c>
      <c r="BF151" s="5">
        <f>BF148*Eras!BF$5</f>
        <v/>
      </c>
      <c r="BG151" s="5">
        <f>BG148*Eras!BG$5</f>
        <v/>
      </c>
      <c r="BH151" s="5">
        <f>BH148*Eras!BH$5</f>
        <v/>
      </c>
      <c r="BI151" s="5">
        <f>BI148*Eras!BI$5</f>
        <v/>
      </c>
      <c r="BJ151" s="5">
        <f>BJ148*Eras!BJ$5</f>
        <v/>
      </c>
      <c r="BK151" s="5">
        <f>BK148*Eras!BK$5</f>
        <v/>
      </c>
      <c r="BL151" s="5">
        <f>BL148*Eras!BL$5</f>
        <v/>
      </c>
      <c r="BM151" s="5">
        <f>BM148*Eras!BM$5</f>
        <v/>
      </c>
      <c r="BN151" s="5">
        <f>BN148*Eras!BN$5</f>
        <v/>
      </c>
      <c r="BO151" s="5">
        <f>BO148*Eras!BO$5</f>
        <v/>
      </c>
      <c r="BP151" s="5">
        <f>BP148*Eras!BP$5</f>
        <v/>
      </c>
      <c r="BQ151" s="5">
        <f>BQ148*Eras!BQ$5</f>
        <v/>
      </c>
      <c r="BR151" s="5">
        <f>BR148*Eras!BR$5</f>
        <v/>
      </c>
      <c r="BS151" s="5">
        <f>BS148*Eras!BS$5</f>
        <v/>
      </c>
      <c r="BT151" s="5">
        <f>BT148*Eras!BT$5</f>
        <v/>
      </c>
      <c r="BU151" s="5">
        <f>BU148*Eras!BU$5</f>
        <v/>
      </c>
      <c r="BV151" s="5">
        <f>BV148*Eras!BV$5</f>
        <v/>
      </c>
    </row>
    <row r="153">
      <c r="A153" t="inlineStr">
        <is>
          <t>gross adds</t>
        </is>
      </c>
      <c r="B153" t="inlineStr">
        <is>
          <t>LATAM|BASIC_M</t>
        </is>
      </c>
      <c r="C153" s="5">
        <f>MAU!C6*Params!$B$59*Eras!C$7*Params!$B$130*Params!$B$94</f>
        <v/>
      </c>
      <c r="D153" s="5">
        <f>MAU!D6*Params!$B$59*Eras!D$7*Params!$B$130*Params!$B$94</f>
        <v/>
      </c>
      <c r="E153" s="5">
        <f>MAU!E6*Params!$B$59*Eras!E$7*Params!$B$130*Params!$B$94</f>
        <v/>
      </c>
      <c r="F153" s="5">
        <f>MAU!F6*Params!$B$59*Eras!F$7*Params!$B$130*Params!$B$94</f>
        <v/>
      </c>
      <c r="G153" s="5">
        <f>MAU!G6*Params!$B$59*Eras!G$7*Params!$B$130*Params!$B$94</f>
        <v/>
      </c>
      <c r="H153" s="5">
        <f>MAU!H6*Params!$B$59*Eras!H$7*Params!$B$130*Params!$B$94</f>
        <v/>
      </c>
      <c r="I153" s="5">
        <f>MAU!I6*Params!$B$59*Eras!I$7*Params!$B$130*Params!$B$94</f>
        <v/>
      </c>
      <c r="J153" s="5">
        <f>MAU!J6*Params!$B$59*Eras!J$7*Params!$B$130*Params!$B$94</f>
        <v/>
      </c>
      <c r="K153" s="5">
        <f>MAU!K6*Params!$B$59*Eras!K$7*Params!$B$130*Params!$B$94</f>
        <v/>
      </c>
      <c r="L153" s="5">
        <f>MAU!L6*Params!$B$59*Eras!L$7*Params!$B$130*Params!$B$94</f>
        <v/>
      </c>
      <c r="M153" s="5">
        <f>MAU!M6*Params!$B$59*Eras!M$7*Params!$B$130*Params!$B$94</f>
        <v/>
      </c>
      <c r="N153" s="5">
        <f>MAU!N6*Params!$B$59*Eras!N$7*Params!$B$130*Params!$B$94</f>
        <v/>
      </c>
      <c r="O153" s="5">
        <f>MAU!O6*Params!$B$59*Eras!O$7*Params!$B$130*Params!$B$94</f>
        <v/>
      </c>
      <c r="P153" s="5">
        <f>MAU!P6*Params!$B$59*Eras!P$7*Params!$B$130*Params!$B$94</f>
        <v/>
      </c>
      <c r="Q153" s="5">
        <f>MAU!Q6*Params!$B$59*Eras!Q$7*Params!$B$130*Params!$B$94</f>
        <v/>
      </c>
      <c r="R153" s="5">
        <f>MAU!R6*Params!$B$59*Eras!R$7*Params!$B$130*Params!$B$94</f>
        <v/>
      </c>
      <c r="S153" s="5">
        <f>MAU!S6*Params!$B$59*Eras!S$7*Params!$B$130*Params!$B$94</f>
        <v/>
      </c>
      <c r="T153" s="5">
        <f>MAU!T6*Params!$B$59*Eras!T$7*Params!$B$130*Params!$B$94</f>
        <v/>
      </c>
      <c r="U153" s="5">
        <f>MAU!U6*Params!$B$59*Eras!U$7*Params!$B$130*Params!$B$94</f>
        <v/>
      </c>
      <c r="V153" s="5">
        <f>MAU!V6*Params!$B$59*Eras!V$7*Params!$B$130*Params!$B$94</f>
        <v/>
      </c>
      <c r="W153" s="5">
        <f>MAU!W6*Params!$B$59*Eras!W$7*Params!$B$130*Params!$B$94</f>
        <v/>
      </c>
      <c r="X153" s="5">
        <f>MAU!X6*Params!$B$59*Eras!X$7*Params!$B$130*Params!$B$94</f>
        <v/>
      </c>
      <c r="Y153" s="5">
        <f>MAU!Y6*Params!$B$59*Eras!Y$7*Params!$B$130*Params!$B$94</f>
        <v/>
      </c>
      <c r="Z153" s="5">
        <f>MAU!Z6*Params!$B$59*Eras!Z$7*Params!$B$130*Params!$B$94</f>
        <v/>
      </c>
      <c r="AA153" s="5">
        <f>MAU!AA6*Params!$B$59*Eras!AA$7*Params!$B$130*Params!$B$94</f>
        <v/>
      </c>
      <c r="AB153" s="5">
        <f>MAU!AB6*Params!$B$59*Eras!AB$7*Params!$B$130*Params!$B$94</f>
        <v/>
      </c>
      <c r="AC153" s="5">
        <f>MAU!AC6*Params!$B$59*Eras!AC$7*Params!$B$130*Params!$B$94</f>
        <v/>
      </c>
      <c r="AD153" s="5">
        <f>MAU!AD6*Params!$B$59*Eras!AD$7*Params!$B$130*Params!$B$94</f>
        <v/>
      </c>
      <c r="AE153" s="5">
        <f>MAU!AE6*Params!$B$59*Eras!AE$7*Params!$B$130*Params!$B$94</f>
        <v/>
      </c>
      <c r="AF153" s="5">
        <f>MAU!AF6*Params!$B$59*Eras!AF$7*Params!$B$130*Params!$B$94</f>
        <v/>
      </c>
      <c r="AG153" s="5">
        <f>MAU!AG6*Params!$B$59*Eras!AG$7*Params!$B$130*Params!$B$94</f>
        <v/>
      </c>
      <c r="AH153" s="5">
        <f>MAU!AH6*Params!$B$59*Eras!AH$7*Params!$B$130*Params!$B$94</f>
        <v/>
      </c>
      <c r="AI153" s="5">
        <f>MAU!AI6*Params!$B$59*Eras!AI$7*Params!$B$130*Params!$B$94</f>
        <v/>
      </c>
      <c r="AJ153" s="5">
        <f>MAU!AJ6*Params!$B$59*Eras!AJ$7*Params!$B$130*Params!$B$94</f>
        <v/>
      </c>
      <c r="AK153" s="5">
        <f>MAU!AK6*Params!$B$59*Eras!AK$7*Params!$B$130*Params!$B$94</f>
        <v/>
      </c>
      <c r="AL153" s="5">
        <f>MAU!AL6*Params!$B$59*Eras!AL$7*Params!$B$130*Params!$B$94</f>
        <v/>
      </c>
      <c r="AM153" s="5">
        <f>MAU!AM6*Params!$B$59*Eras!AM$7*Params!$B$130*Params!$B$94</f>
        <v/>
      </c>
      <c r="AN153" s="5">
        <f>MAU!AN6*Params!$B$59*Eras!AN$7*Params!$B$130*Params!$B$94</f>
        <v/>
      </c>
      <c r="AO153" s="5">
        <f>MAU!AO6*Params!$B$59*Eras!AO$7*Params!$B$130*Params!$B$94</f>
        <v/>
      </c>
      <c r="AP153" s="5">
        <f>MAU!AP6*Params!$B$59*Eras!AP$7*Params!$B$130*Params!$B$94</f>
        <v/>
      </c>
      <c r="AQ153" s="5">
        <f>MAU!AQ6*Params!$B$59*Eras!AQ$7*Params!$B$130*Params!$B$94</f>
        <v/>
      </c>
      <c r="AR153" s="5">
        <f>MAU!AR6*Params!$B$59*Eras!AR$7*Params!$B$130*Params!$B$94</f>
        <v/>
      </c>
      <c r="AS153" s="5">
        <f>MAU!AS6*Params!$B$59*Eras!AS$7*Params!$B$130*Params!$B$94</f>
        <v/>
      </c>
      <c r="AT153" s="5">
        <f>MAU!AT6*Params!$B$59*Eras!AT$7*Params!$B$130*Params!$B$94</f>
        <v/>
      </c>
      <c r="AU153" s="5">
        <f>MAU!AU6*Params!$B$59*Eras!AU$7*Params!$B$130*Params!$B$94</f>
        <v/>
      </c>
      <c r="AV153" s="5">
        <f>MAU!AV6*Params!$B$59*Eras!AV$7*Params!$B$130*Params!$B$94</f>
        <v/>
      </c>
      <c r="AW153" s="5">
        <f>MAU!AW6*Params!$B$59*Eras!AW$7*Params!$B$130*Params!$B$94</f>
        <v/>
      </c>
      <c r="AX153" s="5">
        <f>MAU!AX6*Params!$B$59*Eras!AX$7*Params!$B$130*Params!$B$94</f>
        <v/>
      </c>
      <c r="AY153" s="5">
        <f>MAU!AY6*Params!$B$59*Eras!AY$7*Params!$B$130*Params!$B$94</f>
        <v/>
      </c>
      <c r="AZ153" s="5">
        <f>MAU!AZ6*Params!$B$59*Eras!AZ$7*Params!$B$130*Params!$B$94</f>
        <v/>
      </c>
      <c r="BA153" s="5">
        <f>MAU!BA6*Params!$B$59*Eras!BA$7*Params!$B$130*Params!$B$94</f>
        <v/>
      </c>
      <c r="BB153" s="5">
        <f>MAU!BB6*Params!$B$59*Eras!BB$7*Params!$B$130*Params!$B$94</f>
        <v/>
      </c>
      <c r="BC153" s="5">
        <f>MAU!BC6*Params!$B$59*Eras!BC$7*Params!$B$130*Params!$B$94</f>
        <v/>
      </c>
      <c r="BD153" s="5">
        <f>MAU!BD6*Params!$B$59*Eras!BD$7*Params!$B$130*Params!$B$94</f>
        <v/>
      </c>
      <c r="BE153" s="5">
        <f>MAU!BE6*Params!$B$59*Eras!BE$7*Params!$B$130*Params!$B$94</f>
        <v/>
      </c>
      <c r="BF153" s="5">
        <f>MAU!BF6*Params!$B$59*Eras!BF$7*Params!$B$130*Params!$B$94</f>
        <v/>
      </c>
      <c r="BG153" s="5">
        <f>MAU!BG6*Params!$B$59*Eras!BG$7*Params!$B$130*Params!$B$94</f>
        <v/>
      </c>
      <c r="BH153" s="5">
        <f>MAU!BH6*Params!$B$59*Eras!BH$7*Params!$B$130*Params!$B$94</f>
        <v/>
      </c>
      <c r="BI153" s="5">
        <f>MAU!BI6*Params!$B$59*Eras!BI$7*Params!$B$130*Params!$B$94</f>
        <v/>
      </c>
      <c r="BJ153" s="5">
        <f>MAU!BJ6*Params!$B$59*Eras!BJ$7*Params!$B$130*Params!$B$94</f>
        <v/>
      </c>
      <c r="BK153" s="5">
        <f>MAU!BK6*Params!$B$59*Eras!BK$7*Params!$B$130*Params!$B$94</f>
        <v/>
      </c>
      <c r="BL153" s="5">
        <f>MAU!BL6*Params!$B$59*Eras!BL$7*Params!$B$130*Params!$B$94</f>
        <v/>
      </c>
      <c r="BM153" s="5">
        <f>MAU!BM6*Params!$B$59*Eras!BM$7*Params!$B$130*Params!$B$94</f>
        <v/>
      </c>
      <c r="BN153" s="5">
        <f>MAU!BN6*Params!$B$59*Eras!BN$7*Params!$B$130*Params!$B$94</f>
        <v/>
      </c>
      <c r="BO153" s="5">
        <f>MAU!BO6*Params!$B$59*Eras!BO$7*Params!$B$130*Params!$B$94</f>
        <v/>
      </c>
      <c r="BP153" s="5">
        <f>MAU!BP6*Params!$B$59*Eras!BP$7*Params!$B$130*Params!$B$94</f>
        <v/>
      </c>
      <c r="BQ153" s="5">
        <f>MAU!BQ6*Params!$B$59*Eras!BQ$7*Params!$B$130*Params!$B$94</f>
        <v/>
      </c>
      <c r="BR153" s="5">
        <f>MAU!BR6*Params!$B$59*Eras!BR$7*Params!$B$130*Params!$B$94</f>
        <v/>
      </c>
      <c r="BS153" s="5">
        <f>MAU!BS6*Params!$B$59*Eras!BS$7*Params!$B$130*Params!$B$94</f>
        <v/>
      </c>
      <c r="BT153" s="5">
        <f>MAU!BT6*Params!$B$59*Eras!BT$7*Params!$B$130*Params!$B$94</f>
        <v/>
      </c>
      <c r="BU153" s="5">
        <f>MAU!BU6*Params!$B$59*Eras!BU$7*Params!$B$130*Params!$B$94</f>
        <v/>
      </c>
      <c r="BV153" s="5">
        <f>MAU!BV6*Params!$B$59*Eras!BV$7*Params!$B$130*Params!$B$94</f>
        <v/>
      </c>
    </row>
    <row r="154">
      <c r="A154" t="inlineStr">
        <is>
          <t>trial starts</t>
        </is>
      </c>
      <c r="B154" t="inlineStr">
        <is>
          <t>LATAM|BASIC_M</t>
        </is>
      </c>
      <c r="C154" s="5">
        <f>C153*Eras!C$8</f>
        <v/>
      </c>
      <c r="D154" s="5">
        <f>D153*Eras!D$8</f>
        <v/>
      </c>
      <c r="E154" s="5">
        <f>E153*Eras!E$8</f>
        <v/>
      </c>
      <c r="F154" s="5">
        <f>F153*Eras!F$8</f>
        <v/>
      </c>
      <c r="G154" s="5">
        <f>G153*Eras!G$8</f>
        <v/>
      </c>
      <c r="H154" s="5">
        <f>H153*Eras!H$8</f>
        <v/>
      </c>
      <c r="I154" s="5">
        <f>I153*Eras!I$8</f>
        <v/>
      </c>
      <c r="J154" s="5">
        <f>J153*Eras!J$8</f>
        <v/>
      </c>
      <c r="K154" s="5">
        <f>K153*Eras!K$8</f>
        <v/>
      </c>
      <c r="L154" s="5">
        <f>L153*Eras!L$8</f>
        <v/>
      </c>
      <c r="M154" s="5">
        <f>M153*Eras!M$8</f>
        <v/>
      </c>
      <c r="N154" s="5">
        <f>N153*Eras!N$8</f>
        <v/>
      </c>
      <c r="O154" s="5">
        <f>O153*Eras!O$8</f>
        <v/>
      </c>
      <c r="P154" s="5">
        <f>P153*Eras!P$8</f>
        <v/>
      </c>
      <c r="Q154" s="5">
        <f>Q153*Eras!Q$8</f>
        <v/>
      </c>
      <c r="R154" s="5">
        <f>R153*Eras!R$8</f>
        <v/>
      </c>
      <c r="S154" s="5">
        <f>S153*Eras!S$8</f>
        <v/>
      </c>
      <c r="T154" s="5">
        <f>T153*Eras!T$8</f>
        <v/>
      </c>
      <c r="U154" s="5">
        <f>U153*Eras!U$8</f>
        <v/>
      </c>
      <c r="V154" s="5">
        <f>V153*Eras!V$8</f>
        <v/>
      </c>
      <c r="W154" s="5">
        <f>W153*Eras!W$8</f>
        <v/>
      </c>
      <c r="X154" s="5">
        <f>X153*Eras!X$8</f>
        <v/>
      </c>
      <c r="Y154" s="5">
        <f>Y153*Eras!Y$8</f>
        <v/>
      </c>
      <c r="Z154" s="5">
        <f>Z153*Eras!Z$8</f>
        <v/>
      </c>
      <c r="AA154" s="5">
        <f>AA153*Eras!AA$8</f>
        <v/>
      </c>
      <c r="AB154" s="5">
        <f>AB153*Eras!AB$8</f>
        <v/>
      </c>
      <c r="AC154" s="5">
        <f>AC153*Eras!AC$8</f>
        <v/>
      </c>
      <c r="AD154" s="5">
        <f>AD153*Eras!AD$8</f>
        <v/>
      </c>
      <c r="AE154" s="5">
        <f>AE153*Eras!AE$8</f>
        <v/>
      </c>
      <c r="AF154" s="5">
        <f>AF153*Eras!AF$8</f>
        <v/>
      </c>
      <c r="AG154" s="5">
        <f>AG153*Eras!AG$8</f>
        <v/>
      </c>
      <c r="AH154" s="5">
        <f>AH153*Eras!AH$8</f>
        <v/>
      </c>
      <c r="AI154" s="5">
        <f>AI153*Eras!AI$8</f>
        <v/>
      </c>
      <c r="AJ154" s="5">
        <f>AJ153*Eras!AJ$8</f>
        <v/>
      </c>
      <c r="AK154" s="5">
        <f>AK153*Eras!AK$8</f>
        <v/>
      </c>
      <c r="AL154" s="5">
        <f>AL153*Eras!AL$8</f>
        <v/>
      </c>
      <c r="AM154" s="5">
        <f>AM153*Eras!AM$8</f>
        <v/>
      </c>
      <c r="AN154" s="5">
        <f>AN153*Eras!AN$8</f>
        <v/>
      </c>
      <c r="AO154" s="5">
        <f>AO153*Eras!AO$8</f>
        <v/>
      </c>
      <c r="AP154" s="5">
        <f>AP153*Eras!AP$8</f>
        <v/>
      </c>
      <c r="AQ154" s="5">
        <f>AQ153*Eras!AQ$8</f>
        <v/>
      </c>
      <c r="AR154" s="5">
        <f>AR153*Eras!AR$8</f>
        <v/>
      </c>
      <c r="AS154" s="5">
        <f>AS153*Eras!AS$8</f>
        <v/>
      </c>
      <c r="AT154" s="5">
        <f>AT153*Eras!AT$8</f>
        <v/>
      </c>
      <c r="AU154" s="5">
        <f>AU153*Eras!AU$8</f>
        <v/>
      </c>
      <c r="AV154" s="5">
        <f>AV153*Eras!AV$8</f>
        <v/>
      </c>
      <c r="AW154" s="5">
        <f>AW153*Eras!AW$8</f>
        <v/>
      </c>
      <c r="AX154" s="5">
        <f>AX153*Eras!AX$8</f>
        <v/>
      </c>
      <c r="AY154" s="5">
        <f>AY153*Eras!AY$8</f>
        <v/>
      </c>
      <c r="AZ154" s="5">
        <f>AZ153*Eras!AZ$8</f>
        <v/>
      </c>
      <c r="BA154" s="5">
        <f>BA153*Eras!BA$8</f>
        <v/>
      </c>
      <c r="BB154" s="5">
        <f>BB153*Eras!BB$8</f>
        <v/>
      </c>
      <c r="BC154" s="5">
        <f>BC153*Eras!BC$8</f>
        <v/>
      </c>
      <c r="BD154" s="5">
        <f>BD153*Eras!BD$8</f>
        <v/>
      </c>
      <c r="BE154" s="5">
        <f>BE153*Eras!BE$8</f>
        <v/>
      </c>
      <c r="BF154" s="5">
        <f>BF153*Eras!BF$8</f>
        <v/>
      </c>
      <c r="BG154" s="5">
        <f>BG153*Eras!BG$8</f>
        <v/>
      </c>
      <c r="BH154" s="5">
        <f>BH153*Eras!BH$8</f>
        <v/>
      </c>
      <c r="BI154" s="5">
        <f>BI153*Eras!BI$8</f>
        <v/>
      </c>
      <c r="BJ154" s="5">
        <f>BJ153*Eras!BJ$8</f>
        <v/>
      </c>
      <c r="BK154" s="5">
        <f>BK153*Eras!BK$8</f>
        <v/>
      </c>
      <c r="BL154" s="5">
        <f>BL153*Eras!BL$8</f>
        <v/>
      </c>
      <c r="BM154" s="5">
        <f>BM153*Eras!BM$8</f>
        <v/>
      </c>
      <c r="BN154" s="5">
        <f>BN153*Eras!BN$8</f>
        <v/>
      </c>
      <c r="BO154" s="5">
        <f>BO153*Eras!BO$8</f>
        <v/>
      </c>
      <c r="BP154" s="5">
        <f>BP153*Eras!BP$8</f>
        <v/>
      </c>
      <c r="BQ154" s="5">
        <f>BQ153*Eras!BQ$8</f>
        <v/>
      </c>
      <c r="BR154" s="5">
        <f>BR153*Eras!BR$8</f>
        <v/>
      </c>
      <c r="BS154" s="5">
        <f>BS153*Eras!BS$8</f>
        <v/>
      </c>
      <c r="BT154" s="5">
        <f>BT153*Eras!BT$8</f>
        <v/>
      </c>
      <c r="BU154" s="5">
        <f>BU153*Eras!BU$8</f>
        <v/>
      </c>
      <c r="BV154" s="5">
        <f>BV153*Eras!BV$8</f>
        <v/>
      </c>
    </row>
    <row r="155">
      <c r="A155" t="inlineStr">
        <is>
          <t>direct paid starts</t>
        </is>
      </c>
      <c r="B155" t="inlineStr">
        <is>
          <t>LATAM|BASIC_M</t>
        </is>
      </c>
      <c r="C155" s="5">
        <f>C153-C154</f>
        <v/>
      </c>
      <c r="D155" s="5">
        <f>D153-D154</f>
        <v/>
      </c>
      <c r="E155" s="5">
        <f>E153-E154</f>
        <v/>
      </c>
      <c r="F155" s="5">
        <f>F153-F154</f>
        <v/>
      </c>
      <c r="G155" s="5">
        <f>G153-G154</f>
        <v/>
      </c>
      <c r="H155" s="5">
        <f>H153-H154</f>
        <v/>
      </c>
      <c r="I155" s="5">
        <f>I153-I154</f>
        <v/>
      </c>
      <c r="J155" s="5">
        <f>J153-J154</f>
        <v/>
      </c>
      <c r="K155" s="5">
        <f>K153-K154</f>
        <v/>
      </c>
      <c r="L155" s="5">
        <f>L153-L154</f>
        <v/>
      </c>
      <c r="M155" s="5">
        <f>M153-M154</f>
        <v/>
      </c>
      <c r="N155" s="5">
        <f>N153-N154</f>
        <v/>
      </c>
      <c r="O155" s="5">
        <f>O153-O154</f>
        <v/>
      </c>
      <c r="P155" s="5">
        <f>P153-P154</f>
        <v/>
      </c>
      <c r="Q155" s="5">
        <f>Q153-Q154</f>
        <v/>
      </c>
      <c r="R155" s="5">
        <f>R153-R154</f>
        <v/>
      </c>
      <c r="S155" s="5">
        <f>S153-S154</f>
        <v/>
      </c>
      <c r="T155" s="5">
        <f>T153-T154</f>
        <v/>
      </c>
      <c r="U155" s="5">
        <f>U153-U154</f>
        <v/>
      </c>
      <c r="V155" s="5">
        <f>V153-V154</f>
        <v/>
      </c>
      <c r="W155" s="5">
        <f>W153-W154</f>
        <v/>
      </c>
      <c r="X155" s="5">
        <f>X153-X154</f>
        <v/>
      </c>
      <c r="Y155" s="5">
        <f>Y153-Y154</f>
        <v/>
      </c>
      <c r="Z155" s="5">
        <f>Z153-Z154</f>
        <v/>
      </c>
      <c r="AA155" s="5">
        <f>AA153-AA154</f>
        <v/>
      </c>
      <c r="AB155" s="5">
        <f>AB153-AB154</f>
        <v/>
      </c>
      <c r="AC155" s="5">
        <f>AC153-AC154</f>
        <v/>
      </c>
      <c r="AD155" s="5">
        <f>AD153-AD154</f>
        <v/>
      </c>
      <c r="AE155" s="5">
        <f>AE153-AE154</f>
        <v/>
      </c>
      <c r="AF155" s="5">
        <f>AF153-AF154</f>
        <v/>
      </c>
      <c r="AG155" s="5">
        <f>AG153-AG154</f>
        <v/>
      </c>
      <c r="AH155" s="5">
        <f>AH153-AH154</f>
        <v/>
      </c>
      <c r="AI155" s="5">
        <f>AI153-AI154</f>
        <v/>
      </c>
      <c r="AJ155" s="5">
        <f>AJ153-AJ154</f>
        <v/>
      </c>
      <c r="AK155" s="5">
        <f>AK153-AK154</f>
        <v/>
      </c>
      <c r="AL155" s="5">
        <f>AL153-AL154</f>
        <v/>
      </c>
      <c r="AM155" s="5">
        <f>AM153-AM154</f>
        <v/>
      </c>
      <c r="AN155" s="5">
        <f>AN153-AN154</f>
        <v/>
      </c>
      <c r="AO155" s="5">
        <f>AO153-AO154</f>
        <v/>
      </c>
      <c r="AP155" s="5">
        <f>AP153-AP154</f>
        <v/>
      </c>
      <c r="AQ155" s="5">
        <f>AQ153-AQ154</f>
        <v/>
      </c>
      <c r="AR155" s="5">
        <f>AR153-AR154</f>
        <v/>
      </c>
      <c r="AS155" s="5">
        <f>AS153-AS154</f>
        <v/>
      </c>
      <c r="AT155" s="5">
        <f>AT153-AT154</f>
        <v/>
      </c>
      <c r="AU155" s="5">
        <f>AU153-AU154</f>
        <v/>
      </c>
      <c r="AV155" s="5">
        <f>AV153-AV154</f>
        <v/>
      </c>
      <c r="AW155" s="5">
        <f>AW153-AW154</f>
        <v/>
      </c>
      <c r="AX155" s="5">
        <f>AX153-AX154</f>
        <v/>
      </c>
      <c r="AY155" s="5">
        <f>AY153-AY154</f>
        <v/>
      </c>
      <c r="AZ155" s="5">
        <f>AZ153-AZ154</f>
        <v/>
      </c>
      <c r="BA155" s="5">
        <f>BA153-BA154</f>
        <v/>
      </c>
      <c r="BB155" s="5">
        <f>BB153-BB154</f>
        <v/>
      </c>
      <c r="BC155" s="5">
        <f>BC153-BC154</f>
        <v/>
      </c>
      <c r="BD155" s="5">
        <f>BD153-BD154</f>
        <v/>
      </c>
      <c r="BE155" s="5">
        <f>BE153-BE154</f>
        <v/>
      </c>
      <c r="BF155" s="5">
        <f>BF153-BF154</f>
        <v/>
      </c>
      <c r="BG155" s="5">
        <f>BG153-BG154</f>
        <v/>
      </c>
      <c r="BH155" s="5">
        <f>BH153-BH154</f>
        <v/>
      </c>
      <c r="BI155" s="5">
        <f>BI153-BI154</f>
        <v/>
      </c>
      <c r="BJ155" s="5">
        <f>BJ153-BJ154</f>
        <v/>
      </c>
      <c r="BK155" s="5">
        <f>BK153-BK154</f>
        <v/>
      </c>
      <c r="BL155" s="5">
        <f>BL153-BL154</f>
        <v/>
      </c>
      <c r="BM155" s="5">
        <f>BM153-BM154</f>
        <v/>
      </c>
      <c r="BN155" s="5">
        <f>BN153-BN154</f>
        <v/>
      </c>
      <c r="BO155" s="5">
        <f>BO153-BO154</f>
        <v/>
      </c>
      <c r="BP155" s="5">
        <f>BP153-BP154</f>
        <v/>
      </c>
      <c r="BQ155" s="5">
        <f>BQ153-BQ154</f>
        <v/>
      </c>
      <c r="BR155" s="5">
        <f>BR153-BR154</f>
        <v/>
      </c>
      <c r="BS155" s="5">
        <f>BS153-BS154</f>
        <v/>
      </c>
      <c r="BT155" s="5">
        <f>BT153-BT154</f>
        <v/>
      </c>
      <c r="BU155" s="5">
        <f>BU153-BU154</f>
        <v/>
      </c>
      <c r="BV155" s="5">
        <f>BV153-BV154</f>
        <v/>
      </c>
    </row>
    <row r="156">
      <c r="A156" t="inlineStr">
        <is>
          <t>trials ending</t>
        </is>
      </c>
      <c r="B156" t="inlineStr">
        <is>
          <t>LATAM|BASIC_M</t>
        </is>
      </c>
      <c r="C156" s="5">
        <f>IF(C$2&gt;=Params!$B$6,INDEX($C$154:$BV$154,C$2-Params!$B$6+1),0)</f>
        <v/>
      </c>
      <c r="D156" s="5">
        <f>IF(D$2&gt;=Params!$B$6,INDEX($C$154:$BV$154,D$2-Params!$B$6+1),0)</f>
        <v/>
      </c>
      <c r="E156" s="5">
        <f>IF(E$2&gt;=Params!$B$6,INDEX($C$154:$BV$154,E$2-Params!$B$6+1),0)</f>
        <v/>
      </c>
      <c r="F156" s="5">
        <f>IF(F$2&gt;=Params!$B$6,INDEX($C$154:$BV$154,F$2-Params!$B$6+1),0)</f>
        <v/>
      </c>
      <c r="G156" s="5">
        <f>IF(G$2&gt;=Params!$B$6,INDEX($C$154:$BV$154,G$2-Params!$B$6+1),0)</f>
        <v/>
      </c>
      <c r="H156" s="5">
        <f>IF(H$2&gt;=Params!$B$6,INDEX($C$154:$BV$154,H$2-Params!$B$6+1),0)</f>
        <v/>
      </c>
      <c r="I156" s="5">
        <f>IF(I$2&gt;=Params!$B$6,INDEX($C$154:$BV$154,I$2-Params!$B$6+1),0)</f>
        <v/>
      </c>
      <c r="J156" s="5">
        <f>IF(J$2&gt;=Params!$B$6,INDEX($C$154:$BV$154,J$2-Params!$B$6+1),0)</f>
        <v/>
      </c>
      <c r="K156" s="5">
        <f>IF(K$2&gt;=Params!$B$6,INDEX($C$154:$BV$154,K$2-Params!$B$6+1),0)</f>
        <v/>
      </c>
      <c r="L156" s="5">
        <f>IF(L$2&gt;=Params!$B$6,INDEX($C$154:$BV$154,L$2-Params!$B$6+1),0)</f>
        <v/>
      </c>
      <c r="M156" s="5">
        <f>IF(M$2&gt;=Params!$B$6,INDEX($C$154:$BV$154,M$2-Params!$B$6+1),0)</f>
        <v/>
      </c>
      <c r="N156" s="5">
        <f>IF(N$2&gt;=Params!$B$6,INDEX($C$154:$BV$154,N$2-Params!$B$6+1),0)</f>
        <v/>
      </c>
      <c r="O156" s="5">
        <f>IF(O$2&gt;=Params!$B$6,INDEX($C$154:$BV$154,O$2-Params!$B$6+1),0)</f>
        <v/>
      </c>
      <c r="P156" s="5">
        <f>IF(P$2&gt;=Params!$B$6,INDEX($C$154:$BV$154,P$2-Params!$B$6+1),0)</f>
        <v/>
      </c>
      <c r="Q156" s="5">
        <f>IF(Q$2&gt;=Params!$B$6,INDEX($C$154:$BV$154,Q$2-Params!$B$6+1),0)</f>
        <v/>
      </c>
      <c r="R156" s="5">
        <f>IF(R$2&gt;=Params!$B$6,INDEX($C$154:$BV$154,R$2-Params!$B$6+1),0)</f>
        <v/>
      </c>
      <c r="S156" s="5">
        <f>IF(S$2&gt;=Params!$B$6,INDEX($C$154:$BV$154,S$2-Params!$B$6+1),0)</f>
        <v/>
      </c>
      <c r="T156" s="5">
        <f>IF(T$2&gt;=Params!$B$6,INDEX($C$154:$BV$154,T$2-Params!$B$6+1),0)</f>
        <v/>
      </c>
      <c r="U156" s="5">
        <f>IF(U$2&gt;=Params!$B$6,INDEX($C$154:$BV$154,U$2-Params!$B$6+1),0)</f>
        <v/>
      </c>
      <c r="V156" s="5">
        <f>IF(V$2&gt;=Params!$B$6,INDEX($C$154:$BV$154,V$2-Params!$B$6+1),0)</f>
        <v/>
      </c>
      <c r="W156" s="5">
        <f>IF(W$2&gt;=Params!$B$6,INDEX($C$154:$BV$154,W$2-Params!$B$6+1),0)</f>
        <v/>
      </c>
      <c r="X156" s="5">
        <f>IF(X$2&gt;=Params!$B$6,INDEX($C$154:$BV$154,X$2-Params!$B$6+1),0)</f>
        <v/>
      </c>
      <c r="Y156" s="5">
        <f>IF(Y$2&gt;=Params!$B$6,INDEX($C$154:$BV$154,Y$2-Params!$B$6+1),0)</f>
        <v/>
      </c>
      <c r="Z156" s="5">
        <f>IF(Z$2&gt;=Params!$B$6,INDEX($C$154:$BV$154,Z$2-Params!$B$6+1),0)</f>
        <v/>
      </c>
      <c r="AA156" s="5">
        <f>IF(AA$2&gt;=Params!$B$6,INDEX($C$154:$BV$154,AA$2-Params!$B$6+1),0)</f>
        <v/>
      </c>
      <c r="AB156" s="5">
        <f>IF(AB$2&gt;=Params!$B$6,INDEX($C$154:$BV$154,AB$2-Params!$B$6+1),0)</f>
        <v/>
      </c>
      <c r="AC156" s="5">
        <f>IF(AC$2&gt;=Params!$B$6,INDEX($C$154:$BV$154,AC$2-Params!$B$6+1),0)</f>
        <v/>
      </c>
      <c r="AD156" s="5">
        <f>IF(AD$2&gt;=Params!$B$6,INDEX($C$154:$BV$154,AD$2-Params!$B$6+1),0)</f>
        <v/>
      </c>
      <c r="AE156" s="5">
        <f>IF(AE$2&gt;=Params!$B$6,INDEX($C$154:$BV$154,AE$2-Params!$B$6+1),0)</f>
        <v/>
      </c>
      <c r="AF156" s="5">
        <f>IF(AF$2&gt;=Params!$B$6,INDEX($C$154:$BV$154,AF$2-Params!$B$6+1),0)</f>
        <v/>
      </c>
      <c r="AG156" s="5">
        <f>IF(AG$2&gt;=Params!$B$6,INDEX($C$154:$BV$154,AG$2-Params!$B$6+1),0)</f>
        <v/>
      </c>
      <c r="AH156" s="5">
        <f>IF(AH$2&gt;=Params!$B$6,INDEX($C$154:$BV$154,AH$2-Params!$B$6+1),0)</f>
        <v/>
      </c>
      <c r="AI156" s="5">
        <f>IF(AI$2&gt;=Params!$B$6,INDEX($C$154:$BV$154,AI$2-Params!$B$6+1),0)</f>
        <v/>
      </c>
      <c r="AJ156" s="5">
        <f>IF(AJ$2&gt;=Params!$B$6,INDEX($C$154:$BV$154,AJ$2-Params!$B$6+1),0)</f>
        <v/>
      </c>
      <c r="AK156" s="5">
        <f>IF(AK$2&gt;=Params!$B$6,INDEX($C$154:$BV$154,AK$2-Params!$B$6+1),0)</f>
        <v/>
      </c>
      <c r="AL156" s="5">
        <f>IF(AL$2&gt;=Params!$B$6,INDEX($C$154:$BV$154,AL$2-Params!$B$6+1),0)</f>
        <v/>
      </c>
      <c r="AM156" s="5">
        <f>IF(AM$2&gt;=Params!$B$6,INDEX($C$154:$BV$154,AM$2-Params!$B$6+1),0)</f>
        <v/>
      </c>
      <c r="AN156" s="5">
        <f>IF(AN$2&gt;=Params!$B$6,INDEX($C$154:$BV$154,AN$2-Params!$B$6+1),0)</f>
        <v/>
      </c>
      <c r="AO156" s="5">
        <f>IF(AO$2&gt;=Params!$B$6,INDEX($C$154:$BV$154,AO$2-Params!$B$6+1),0)</f>
        <v/>
      </c>
      <c r="AP156" s="5">
        <f>IF(AP$2&gt;=Params!$B$6,INDEX($C$154:$BV$154,AP$2-Params!$B$6+1),0)</f>
        <v/>
      </c>
      <c r="AQ156" s="5">
        <f>IF(AQ$2&gt;=Params!$B$6,INDEX($C$154:$BV$154,AQ$2-Params!$B$6+1),0)</f>
        <v/>
      </c>
      <c r="AR156" s="5">
        <f>IF(AR$2&gt;=Params!$B$6,INDEX($C$154:$BV$154,AR$2-Params!$B$6+1),0)</f>
        <v/>
      </c>
      <c r="AS156" s="5">
        <f>IF(AS$2&gt;=Params!$B$6,INDEX($C$154:$BV$154,AS$2-Params!$B$6+1),0)</f>
        <v/>
      </c>
      <c r="AT156" s="5">
        <f>IF(AT$2&gt;=Params!$B$6,INDEX($C$154:$BV$154,AT$2-Params!$B$6+1),0)</f>
        <v/>
      </c>
      <c r="AU156" s="5">
        <f>IF(AU$2&gt;=Params!$B$6,INDEX($C$154:$BV$154,AU$2-Params!$B$6+1),0)</f>
        <v/>
      </c>
      <c r="AV156" s="5">
        <f>IF(AV$2&gt;=Params!$B$6,INDEX($C$154:$BV$154,AV$2-Params!$B$6+1),0)</f>
        <v/>
      </c>
      <c r="AW156" s="5">
        <f>IF(AW$2&gt;=Params!$B$6,INDEX($C$154:$BV$154,AW$2-Params!$B$6+1),0)</f>
        <v/>
      </c>
      <c r="AX156" s="5">
        <f>IF(AX$2&gt;=Params!$B$6,INDEX($C$154:$BV$154,AX$2-Params!$B$6+1),0)</f>
        <v/>
      </c>
      <c r="AY156" s="5">
        <f>IF(AY$2&gt;=Params!$B$6,INDEX($C$154:$BV$154,AY$2-Params!$B$6+1),0)</f>
        <v/>
      </c>
      <c r="AZ156" s="5">
        <f>IF(AZ$2&gt;=Params!$B$6,INDEX($C$154:$BV$154,AZ$2-Params!$B$6+1),0)</f>
        <v/>
      </c>
      <c r="BA156" s="5">
        <f>IF(BA$2&gt;=Params!$B$6,INDEX($C$154:$BV$154,BA$2-Params!$B$6+1),0)</f>
        <v/>
      </c>
      <c r="BB156" s="5">
        <f>IF(BB$2&gt;=Params!$B$6,INDEX($C$154:$BV$154,BB$2-Params!$B$6+1),0)</f>
        <v/>
      </c>
      <c r="BC156" s="5">
        <f>IF(BC$2&gt;=Params!$B$6,INDEX($C$154:$BV$154,BC$2-Params!$B$6+1),0)</f>
        <v/>
      </c>
      <c r="BD156" s="5">
        <f>IF(BD$2&gt;=Params!$B$6,INDEX($C$154:$BV$154,BD$2-Params!$B$6+1),0)</f>
        <v/>
      </c>
      <c r="BE156" s="5">
        <f>IF(BE$2&gt;=Params!$B$6,INDEX($C$154:$BV$154,BE$2-Params!$B$6+1),0)</f>
        <v/>
      </c>
      <c r="BF156" s="5">
        <f>IF(BF$2&gt;=Params!$B$6,INDEX($C$154:$BV$154,BF$2-Params!$B$6+1),0)</f>
        <v/>
      </c>
      <c r="BG156" s="5">
        <f>IF(BG$2&gt;=Params!$B$6,INDEX($C$154:$BV$154,BG$2-Params!$B$6+1),0)</f>
        <v/>
      </c>
      <c r="BH156" s="5">
        <f>IF(BH$2&gt;=Params!$B$6,INDEX($C$154:$BV$154,BH$2-Params!$B$6+1),0)</f>
        <v/>
      </c>
      <c r="BI156" s="5">
        <f>IF(BI$2&gt;=Params!$B$6,INDEX($C$154:$BV$154,BI$2-Params!$B$6+1),0)</f>
        <v/>
      </c>
      <c r="BJ156" s="5">
        <f>IF(BJ$2&gt;=Params!$B$6,INDEX($C$154:$BV$154,BJ$2-Params!$B$6+1),0)</f>
        <v/>
      </c>
      <c r="BK156" s="5">
        <f>IF(BK$2&gt;=Params!$B$6,INDEX($C$154:$BV$154,BK$2-Params!$B$6+1),0)</f>
        <v/>
      </c>
      <c r="BL156" s="5">
        <f>IF(BL$2&gt;=Params!$B$6,INDEX($C$154:$BV$154,BL$2-Params!$B$6+1),0)</f>
        <v/>
      </c>
      <c r="BM156" s="5">
        <f>IF(BM$2&gt;=Params!$B$6,INDEX($C$154:$BV$154,BM$2-Params!$B$6+1),0)</f>
        <v/>
      </c>
      <c r="BN156" s="5">
        <f>IF(BN$2&gt;=Params!$B$6,INDEX($C$154:$BV$154,BN$2-Params!$B$6+1),0)</f>
        <v/>
      </c>
      <c r="BO156" s="5">
        <f>IF(BO$2&gt;=Params!$B$6,INDEX($C$154:$BV$154,BO$2-Params!$B$6+1),0)</f>
        <v/>
      </c>
      <c r="BP156" s="5">
        <f>IF(BP$2&gt;=Params!$B$6,INDEX($C$154:$BV$154,BP$2-Params!$B$6+1),0)</f>
        <v/>
      </c>
      <c r="BQ156" s="5">
        <f>IF(BQ$2&gt;=Params!$B$6,INDEX($C$154:$BV$154,BQ$2-Params!$B$6+1),0)</f>
        <v/>
      </c>
      <c r="BR156" s="5">
        <f>IF(BR$2&gt;=Params!$B$6,INDEX($C$154:$BV$154,BR$2-Params!$B$6+1),0)</f>
        <v/>
      </c>
      <c r="BS156" s="5">
        <f>IF(BS$2&gt;=Params!$B$6,INDEX($C$154:$BV$154,BS$2-Params!$B$6+1),0)</f>
        <v/>
      </c>
      <c r="BT156" s="5">
        <f>IF(BT$2&gt;=Params!$B$6,INDEX($C$154:$BV$154,BT$2-Params!$B$6+1),0)</f>
        <v/>
      </c>
      <c r="BU156" s="5">
        <f>IF(BU$2&gt;=Params!$B$6,INDEX($C$154:$BV$154,BU$2-Params!$B$6+1),0)</f>
        <v/>
      </c>
      <c r="BV156" s="5">
        <f>IF(BV$2&gt;=Params!$B$6,INDEX($C$154:$BV$154,BV$2-Params!$B$6+1),0)</f>
        <v/>
      </c>
    </row>
    <row r="157">
      <c r="A157" t="inlineStr">
        <is>
          <t>trial starts x conversion</t>
        </is>
      </c>
      <c r="B157" t="inlineStr">
        <is>
          <t>LATAM|BASIC_M</t>
        </is>
      </c>
      <c r="C157" s="5">
        <f>C154*Eras!C$9</f>
        <v/>
      </c>
      <c r="D157" s="5">
        <f>D154*Eras!D$9</f>
        <v/>
      </c>
      <c r="E157" s="5">
        <f>E154*Eras!E$9</f>
        <v/>
      </c>
      <c r="F157" s="5">
        <f>F154*Eras!F$9</f>
        <v/>
      </c>
      <c r="G157" s="5">
        <f>G154*Eras!G$9</f>
        <v/>
      </c>
      <c r="H157" s="5">
        <f>H154*Eras!H$9</f>
        <v/>
      </c>
      <c r="I157" s="5">
        <f>I154*Eras!I$9</f>
        <v/>
      </c>
      <c r="J157" s="5">
        <f>J154*Eras!J$9</f>
        <v/>
      </c>
      <c r="K157" s="5">
        <f>K154*Eras!K$9</f>
        <v/>
      </c>
      <c r="L157" s="5">
        <f>L154*Eras!L$9</f>
        <v/>
      </c>
      <c r="M157" s="5">
        <f>M154*Eras!M$9</f>
        <v/>
      </c>
      <c r="N157" s="5">
        <f>N154*Eras!N$9</f>
        <v/>
      </c>
      <c r="O157" s="5">
        <f>O154*Eras!O$9</f>
        <v/>
      </c>
      <c r="P157" s="5">
        <f>P154*Eras!P$9</f>
        <v/>
      </c>
      <c r="Q157" s="5">
        <f>Q154*Eras!Q$9</f>
        <v/>
      </c>
      <c r="R157" s="5">
        <f>R154*Eras!R$9</f>
        <v/>
      </c>
      <c r="S157" s="5">
        <f>S154*Eras!S$9</f>
        <v/>
      </c>
      <c r="T157" s="5">
        <f>T154*Eras!T$9</f>
        <v/>
      </c>
      <c r="U157" s="5">
        <f>U154*Eras!U$9</f>
        <v/>
      </c>
      <c r="V157" s="5">
        <f>V154*Eras!V$9</f>
        <v/>
      </c>
      <c r="W157" s="5">
        <f>W154*Eras!W$9</f>
        <v/>
      </c>
      <c r="X157" s="5">
        <f>X154*Eras!X$9</f>
        <v/>
      </c>
      <c r="Y157" s="5">
        <f>Y154*Eras!Y$9</f>
        <v/>
      </c>
      <c r="Z157" s="5">
        <f>Z154*Eras!Z$9</f>
        <v/>
      </c>
      <c r="AA157" s="5">
        <f>AA154*Eras!AA$9</f>
        <v/>
      </c>
      <c r="AB157" s="5">
        <f>AB154*Eras!AB$9</f>
        <v/>
      </c>
      <c r="AC157" s="5">
        <f>AC154*Eras!AC$9</f>
        <v/>
      </c>
      <c r="AD157" s="5">
        <f>AD154*Eras!AD$9</f>
        <v/>
      </c>
      <c r="AE157" s="5">
        <f>AE154*Eras!AE$9</f>
        <v/>
      </c>
      <c r="AF157" s="5">
        <f>AF154*Eras!AF$9</f>
        <v/>
      </c>
      <c r="AG157" s="5">
        <f>AG154*Eras!AG$9</f>
        <v/>
      </c>
      <c r="AH157" s="5">
        <f>AH154*Eras!AH$9</f>
        <v/>
      </c>
      <c r="AI157" s="5">
        <f>AI154*Eras!AI$9</f>
        <v/>
      </c>
      <c r="AJ157" s="5">
        <f>AJ154*Eras!AJ$9</f>
        <v/>
      </c>
      <c r="AK157" s="5">
        <f>AK154*Eras!AK$9</f>
        <v/>
      </c>
      <c r="AL157" s="5">
        <f>AL154*Eras!AL$9</f>
        <v/>
      </c>
      <c r="AM157" s="5">
        <f>AM154*Eras!AM$9</f>
        <v/>
      </c>
      <c r="AN157" s="5">
        <f>AN154*Eras!AN$9</f>
        <v/>
      </c>
      <c r="AO157" s="5">
        <f>AO154*Eras!AO$9</f>
        <v/>
      </c>
      <c r="AP157" s="5">
        <f>AP154*Eras!AP$9</f>
        <v/>
      </c>
      <c r="AQ157" s="5">
        <f>AQ154*Eras!AQ$9</f>
        <v/>
      </c>
      <c r="AR157" s="5">
        <f>AR154*Eras!AR$9</f>
        <v/>
      </c>
      <c r="AS157" s="5">
        <f>AS154*Eras!AS$9</f>
        <v/>
      </c>
      <c r="AT157" s="5">
        <f>AT154*Eras!AT$9</f>
        <v/>
      </c>
      <c r="AU157" s="5">
        <f>AU154*Eras!AU$9</f>
        <v/>
      </c>
      <c r="AV157" s="5">
        <f>AV154*Eras!AV$9</f>
        <v/>
      </c>
      <c r="AW157" s="5">
        <f>AW154*Eras!AW$9</f>
        <v/>
      </c>
      <c r="AX157" s="5">
        <f>AX154*Eras!AX$9</f>
        <v/>
      </c>
      <c r="AY157" s="5">
        <f>AY154*Eras!AY$9</f>
        <v/>
      </c>
      <c r="AZ157" s="5">
        <f>AZ154*Eras!AZ$9</f>
        <v/>
      </c>
      <c r="BA157" s="5">
        <f>BA154*Eras!BA$9</f>
        <v/>
      </c>
      <c r="BB157" s="5">
        <f>BB154*Eras!BB$9</f>
        <v/>
      </c>
      <c r="BC157" s="5">
        <f>BC154*Eras!BC$9</f>
        <v/>
      </c>
      <c r="BD157" s="5">
        <f>BD154*Eras!BD$9</f>
        <v/>
      </c>
      <c r="BE157" s="5">
        <f>BE154*Eras!BE$9</f>
        <v/>
      </c>
      <c r="BF157" s="5">
        <f>BF154*Eras!BF$9</f>
        <v/>
      </c>
      <c r="BG157" s="5">
        <f>BG154*Eras!BG$9</f>
        <v/>
      </c>
      <c r="BH157" s="5">
        <f>BH154*Eras!BH$9</f>
        <v/>
      </c>
      <c r="BI157" s="5">
        <f>BI154*Eras!BI$9</f>
        <v/>
      </c>
      <c r="BJ157" s="5">
        <f>BJ154*Eras!BJ$9</f>
        <v/>
      </c>
      <c r="BK157" s="5">
        <f>BK154*Eras!BK$9</f>
        <v/>
      </c>
      <c r="BL157" s="5">
        <f>BL154*Eras!BL$9</f>
        <v/>
      </c>
      <c r="BM157" s="5">
        <f>BM154*Eras!BM$9</f>
        <v/>
      </c>
      <c r="BN157" s="5">
        <f>BN154*Eras!BN$9</f>
        <v/>
      </c>
      <c r="BO157" s="5">
        <f>BO154*Eras!BO$9</f>
        <v/>
      </c>
      <c r="BP157" s="5">
        <f>BP154*Eras!BP$9</f>
        <v/>
      </c>
      <c r="BQ157" s="5">
        <f>BQ154*Eras!BQ$9</f>
        <v/>
      </c>
      <c r="BR157" s="5">
        <f>BR154*Eras!BR$9</f>
        <v/>
      </c>
      <c r="BS157" s="5">
        <f>BS154*Eras!BS$9</f>
        <v/>
      </c>
      <c r="BT157" s="5">
        <f>BT154*Eras!BT$9</f>
        <v/>
      </c>
      <c r="BU157" s="5">
        <f>BU154*Eras!BU$9</f>
        <v/>
      </c>
      <c r="BV157" s="5">
        <f>BV154*Eras!BV$9</f>
        <v/>
      </c>
    </row>
    <row r="158">
      <c r="A158" t="inlineStr">
        <is>
          <t>trials converted</t>
        </is>
      </c>
      <c r="B158" t="inlineStr">
        <is>
          <t>LATAM|BASIC_M</t>
        </is>
      </c>
      <c r="C158" s="5">
        <f>IF(C$2&gt;=Params!$B$6,INDEX($C$157:$BV$157,C$2-Params!$B$6+1),0)</f>
        <v/>
      </c>
      <c r="D158" s="5">
        <f>IF(D$2&gt;=Params!$B$6,INDEX($C$157:$BV$157,D$2-Params!$B$6+1),0)</f>
        <v/>
      </c>
      <c r="E158" s="5">
        <f>IF(E$2&gt;=Params!$B$6,INDEX($C$157:$BV$157,E$2-Params!$B$6+1),0)</f>
        <v/>
      </c>
      <c r="F158" s="5">
        <f>IF(F$2&gt;=Params!$B$6,INDEX($C$157:$BV$157,F$2-Params!$B$6+1),0)</f>
        <v/>
      </c>
      <c r="G158" s="5">
        <f>IF(G$2&gt;=Params!$B$6,INDEX($C$157:$BV$157,G$2-Params!$B$6+1),0)</f>
        <v/>
      </c>
      <c r="H158" s="5">
        <f>IF(H$2&gt;=Params!$B$6,INDEX($C$157:$BV$157,H$2-Params!$B$6+1),0)</f>
        <v/>
      </c>
      <c r="I158" s="5">
        <f>IF(I$2&gt;=Params!$B$6,INDEX($C$157:$BV$157,I$2-Params!$B$6+1),0)</f>
        <v/>
      </c>
      <c r="J158" s="5">
        <f>IF(J$2&gt;=Params!$B$6,INDEX($C$157:$BV$157,J$2-Params!$B$6+1),0)</f>
        <v/>
      </c>
      <c r="K158" s="5">
        <f>IF(K$2&gt;=Params!$B$6,INDEX($C$157:$BV$157,K$2-Params!$B$6+1),0)</f>
        <v/>
      </c>
      <c r="L158" s="5">
        <f>IF(L$2&gt;=Params!$B$6,INDEX($C$157:$BV$157,L$2-Params!$B$6+1),0)</f>
        <v/>
      </c>
      <c r="M158" s="5">
        <f>IF(M$2&gt;=Params!$B$6,INDEX($C$157:$BV$157,M$2-Params!$B$6+1),0)</f>
        <v/>
      </c>
      <c r="N158" s="5">
        <f>IF(N$2&gt;=Params!$B$6,INDEX($C$157:$BV$157,N$2-Params!$B$6+1),0)</f>
        <v/>
      </c>
      <c r="O158" s="5">
        <f>IF(O$2&gt;=Params!$B$6,INDEX($C$157:$BV$157,O$2-Params!$B$6+1),0)</f>
        <v/>
      </c>
      <c r="P158" s="5">
        <f>IF(P$2&gt;=Params!$B$6,INDEX($C$157:$BV$157,P$2-Params!$B$6+1),0)</f>
        <v/>
      </c>
      <c r="Q158" s="5">
        <f>IF(Q$2&gt;=Params!$B$6,INDEX($C$157:$BV$157,Q$2-Params!$B$6+1),0)</f>
        <v/>
      </c>
      <c r="R158" s="5">
        <f>IF(R$2&gt;=Params!$B$6,INDEX($C$157:$BV$157,R$2-Params!$B$6+1),0)</f>
        <v/>
      </c>
      <c r="S158" s="5">
        <f>IF(S$2&gt;=Params!$B$6,INDEX($C$157:$BV$157,S$2-Params!$B$6+1),0)</f>
        <v/>
      </c>
      <c r="T158" s="5">
        <f>IF(T$2&gt;=Params!$B$6,INDEX($C$157:$BV$157,T$2-Params!$B$6+1),0)</f>
        <v/>
      </c>
      <c r="U158" s="5">
        <f>IF(U$2&gt;=Params!$B$6,INDEX($C$157:$BV$157,U$2-Params!$B$6+1),0)</f>
        <v/>
      </c>
      <c r="V158" s="5">
        <f>IF(V$2&gt;=Params!$B$6,INDEX($C$157:$BV$157,V$2-Params!$B$6+1),0)</f>
        <v/>
      </c>
      <c r="W158" s="5">
        <f>IF(W$2&gt;=Params!$B$6,INDEX($C$157:$BV$157,W$2-Params!$B$6+1),0)</f>
        <v/>
      </c>
      <c r="X158" s="5">
        <f>IF(X$2&gt;=Params!$B$6,INDEX($C$157:$BV$157,X$2-Params!$B$6+1),0)</f>
        <v/>
      </c>
      <c r="Y158" s="5">
        <f>IF(Y$2&gt;=Params!$B$6,INDEX($C$157:$BV$157,Y$2-Params!$B$6+1),0)</f>
        <v/>
      </c>
      <c r="Z158" s="5">
        <f>IF(Z$2&gt;=Params!$B$6,INDEX($C$157:$BV$157,Z$2-Params!$B$6+1),0)</f>
        <v/>
      </c>
      <c r="AA158" s="5">
        <f>IF(AA$2&gt;=Params!$B$6,INDEX($C$157:$BV$157,AA$2-Params!$B$6+1),0)</f>
        <v/>
      </c>
      <c r="AB158" s="5">
        <f>IF(AB$2&gt;=Params!$B$6,INDEX($C$157:$BV$157,AB$2-Params!$B$6+1),0)</f>
        <v/>
      </c>
      <c r="AC158" s="5">
        <f>IF(AC$2&gt;=Params!$B$6,INDEX($C$157:$BV$157,AC$2-Params!$B$6+1),0)</f>
        <v/>
      </c>
      <c r="AD158" s="5">
        <f>IF(AD$2&gt;=Params!$B$6,INDEX($C$157:$BV$157,AD$2-Params!$B$6+1),0)</f>
        <v/>
      </c>
      <c r="AE158" s="5">
        <f>IF(AE$2&gt;=Params!$B$6,INDEX($C$157:$BV$157,AE$2-Params!$B$6+1),0)</f>
        <v/>
      </c>
      <c r="AF158" s="5">
        <f>IF(AF$2&gt;=Params!$B$6,INDEX($C$157:$BV$157,AF$2-Params!$B$6+1),0)</f>
        <v/>
      </c>
      <c r="AG158" s="5">
        <f>IF(AG$2&gt;=Params!$B$6,INDEX($C$157:$BV$157,AG$2-Params!$B$6+1),0)</f>
        <v/>
      </c>
      <c r="AH158" s="5">
        <f>IF(AH$2&gt;=Params!$B$6,INDEX($C$157:$BV$157,AH$2-Params!$B$6+1),0)</f>
        <v/>
      </c>
      <c r="AI158" s="5">
        <f>IF(AI$2&gt;=Params!$B$6,INDEX($C$157:$BV$157,AI$2-Params!$B$6+1),0)</f>
        <v/>
      </c>
      <c r="AJ158" s="5">
        <f>IF(AJ$2&gt;=Params!$B$6,INDEX($C$157:$BV$157,AJ$2-Params!$B$6+1),0)</f>
        <v/>
      </c>
      <c r="AK158" s="5">
        <f>IF(AK$2&gt;=Params!$B$6,INDEX($C$157:$BV$157,AK$2-Params!$B$6+1),0)</f>
        <v/>
      </c>
      <c r="AL158" s="5">
        <f>IF(AL$2&gt;=Params!$B$6,INDEX($C$157:$BV$157,AL$2-Params!$B$6+1),0)</f>
        <v/>
      </c>
      <c r="AM158" s="5">
        <f>IF(AM$2&gt;=Params!$B$6,INDEX($C$157:$BV$157,AM$2-Params!$B$6+1),0)</f>
        <v/>
      </c>
      <c r="AN158" s="5">
        <f>IF(AN$2&gt;=Params!$B$6,INDEX($C$157:$BV$157,AN$2-Params!$B$6+1),0)</f>
        <v/>
      </c>
      <c r="AO158" s="5">
        <f>IF(AO$2&gt;=Params!$B$6,INDEX($C$157:$BV$157,AO$2-Params!$B$6+1),0)</f>
        <v/>
      </c>
      <c r="AP158" s="5">
        <f>IF(AP$2&gt;=Params!$B$6,INDEX($C$157:$BV$157,AP$2-Params!$B$6+1),0)</f>
        <v/>
      </c>
      <c r="AQ158" s="5">
        <f>IF(AQ$2&gt;=Params!$B$6,INDEX($C$157:$BV$157,AQ$2-Params!$B$6+1),0)</f>
        <v/>
      </c>
      <c r="AR158" s="5">
        <f>IF(AR$2&gt;=Params!$B$6,INDEX($C$157:$BV$157,AR$2-Params!$B$6+1),0)</f>
        <v/>
      </c>
      <c r="AS158" s="5">
        <f>IF(AS$2&gt;=Params!$B$6,INDEX($C$157:$BV$157,AS$2-Params!$B$6+1),0)</f>
        <v/>
      </c>
      <c r="AT158" s="5">
        <f>IF(AT$2&gt;=Params!$B$6,INDEX($C$157:$BV$157,AT$2-Params!$B$6+1),0)</f>
        <v/>
      </c>
      <c r="AU158" s="5">
        <f>IF(AU$2&gt;=Params!$B$6,INDEX($C$157:$BV$157,AU$2-Params!$B$6+1),0)</f>
        <v/>
      </c>
      <c r="AV158" s="5">
        <f>IF(AV$2&gt;=Params!$B$6,INDEX($C$157:$BV$157,AV$2-Params!$B$6+1),0)</f>
        <v/>
      </c>
      <c r="AW158" s="5">
        <f>IF(AW$2&gt;=Params!$B$6,INDEX($C$157:$BV$157,AW$2-Params!$B$6+1),0)</f>
        <v/>
      </c>
      <c r="AX158" s="5">
        <f>IF(AX$2&gt;=Params!$B$6,INDEX($C$157:$BV$157,AX$2-Params!$B$6+1),0)</f>
        <v/>
      </c>
      <c r="AY158" s="5">
        <f>IF(AY$2&gt;=Params!$B$6,INDEX($C$157:$BV$157,AY$2-Params!$B$6+1),0)</f>
        <v/>
      </c>
      <c r="AZ158" s="5">
        <f>IF(AZ$2&gt;=Params!$B$6,INDEX($C$157:$BV$157,AZ$2-Params!$B$6+1),0)</f>
        <v/>
      </c>
      <c r="BA158" s="5">
        <f>IF(BA$2&gt;=Params!$B$6,INDEX($C$157:$BV$157,BA$2-Params!$B$6+1),0)</f>
        <v/>
      </c>
      <c r="BB158" s="5">
        <f>IF(BB$2&gt;=Params!$B$6,INDEX($C$157:$BV$157,BB$2-Params!$B$6+1),0)</f>
        <v/>
      </c>
      <c r="BC158" s="5">
        <f>IF(BC$2&gt;=Params!$B$6,INDEX($C$157:$BV$157,BC$2-Params!$B$6+1),0)</f>
        <v/>
      </c>
      <c r="BD158" s="5">
        <f>IF(BD$2&gt;=Params!$B$6,INDEX($C$157:$BV$157,BD$2-Params!$B$6+1),0)</f>
        <v/>
      </c>
      <c r="BE158" s="5">
        <f>IF(BE$2&gt;=Params!$B$6,INDEX($C$157:$BV$157,BE$2-Params!$B$6+1),0)</f>
        <v/>
      </c>
      <c r="BF158" s="5">
        <f>IF(BF$2&gt;=Params!$B$6,INDEX($C$157:$BV$157,BF$2-Params!$B$6+1),0)</f>
        <v/>
      </c>
      <c r="BG158" s="5">
        <f>IF(BG$2&gt;=Params!$B$6,INDEX($C$157:$BV$157,BG$2-Params!$B$6+1),0)</f>
        <v/>
      </c>
      <c r="BH158" s="5">
        <f>IF(BH$2&gt;=Params!$B$6,INDEX($C$157:$BV$157,BH$2-Params!$B$6+1),0)</f>
        <v/>
      </c>
      <c r="BI158" s="5">
        <f>IF(BI$2&gt;=Params!$B$6,INDEX($C$157:$BV$157,BI$2-Params!$B$6+1),0)</f>
        <v/>
      </c>
      <c r="BJ158" s="5">
        <f>IF(BJ$2&gt;=Params!$B$6,INDEX($C$157:$BV$157,BJ$2-Params!$B$6+1),0)</f>
        <v/>
      </c>
      <c r="BK158" s="5">
        <f>IF(BK$2&gt;=Params!$B$6,INDEX($C$157:$BV$157,BK$2-Params!$B$6+1),0)</f>
        <v/>
      </c>
      <c r="BL158" s="5">
        <f>IF(BL$2&gt;=Params!$B$6,INDEX($C$157:$BV$157,BL$2-Params!$B$6+1),0)</f>
        <v/>
      </c>
      <c r="BM158" s="5">
        <f>IF(BM$2&gt;=Params!$B$6,INDEX($C$157:$BV$157,BM$2-Params!$B$6+1),0)</f>
        <v/>
      </c>
      <c r="BN158" s="5">
        <f>IF(BN$2&gt;=Params!$B$6,INDEX($C$157:$BV$157,BN$2-Params!$B$6+1),0)</f>
        <v/>
      </c>
      <c r="BO158" s="5">
        <f>IF(BO$2&gt;=Params!$B$6,INDEX($C$157:$BV$157,BO$2-Params!$B$6+1),0)</f>
        <v/>
      </c>
      <c r="BP158" s="5">
        <f>IF(BP$2&gt;=Params!$B$6,INDEX($C$157:$BV$157,BP$2-Params!$B$6+1),0)</f>
        <v/>
      </c>
      <c r="BQ158" s="5">
        <f>IF(BQ$2&gt;=Params!$B$6,INDEX($C$157:$BV$157,BQ$2-Params!$B$6+1),0)</f>
        <v/>
      </c>
      <c r="BR158" s="5">
        <f>IF(BR$2&gt;=Params!$B$6,INDEX($C$157:$BV$157,BR$2-Params!$B$6+1),0)</f>
        <v/>
      </c>
      <c r="BS158" s="5">
        <f>IF(BS$2&gt;=Params!$B$6,INDEX($C$157:$BV$157,BS$2-Params!$B$6+1),0)</f>
        <v/>
      </c>
      <c r="BT158" s="5">
        <f>IF(BT$2&gt;=Params!$B$6,INDEX($C$157:$BV$157,BT$2-Params!$B$6+1),0)</f>
        <v/>
      </c>
      <c r="BU158" s="5">
        <f>IF(BU$2&gt;=Params!$B$6,INDEX($C$157:$BV$157,BU$2-Params!$B$6+1),0)</f>
        <v/>
      </c>
      <c r="BV158" s="5">
        <f>IF(BV$2&gt;=Params!$B$6,INDEX($C$157:$BV$157,BV$2-Params!$B$6+1),0)</f>
        <v/>
      </c>
    </row>
    <row r="159">
      <c r="A159" t="inlineStr">
        <is>
          <t>trials lost</t>
        </is>
      </c>
      <c r="B159" t="inlineStr">
        <is>
          <t>LATAM|BASIC_M</t>
        </is>
      </c>
      <c r="C159" s="5">
        <f>C156-C158</f>
        <v/>
      </c>
      <c r="D159" s="5">
        <f>D156-D158</f>
        <v/>
      </c>
      <c r="E159" s="5">
        <f>E156-E158</f>
        <v/>
      </c>
      <c r="F159" s="5">
        <f>F156-F158</f>
        <v/>
      </c>
      <c r="G159" s="5">
        <f>G156-G158</f>
        <v/>
      </c>
      <c r="H159" s="5">
        <f>H156-H158</f>
        <v/>
      </c>
      <c r="I159" s="5">
        <f>I156-I158</f>
        <v/>
      </c>
      <c r="J159" s="5">
        <f>J156-J158</f>
        <v/>
      </c>
      <c r="K159" s="5">
        <f>K156-K158</f>
        <v/>
      </c>
      <c r="L159" s="5">
        <f>L156-L158</f>
        <v/>
      </c>
      <c r="M159" s="5">
        <f>M156-M158</f>
        <v/>
      </c>
      <c r="N159" s="5">
        <f>N156-N158</f>
        <v/>
      </c>
      <c r="O159" s="5">
        <f>O156-O158</f>
        <v/>
      </c>
      <c r="P159" s="5">
        <f>P156-P158</f>
        <v/>
      </c>
      <c r="Q159" s="5">
        <f>Q156-Q158</f>
        <v/>
      </c>
      <c r="R159" s="5">
        <f>R156-R158</f>
        <v/>
      </c>
      <c r="S159" s="5">
        <f>S156-S158</f>
        <v/>
      </c>
      <c r="T159" s="5">
        <f>T156-T158</f>
        <v/>
      </c>
      <c r="U159" s="5">
        <f>U156-U158</f>
        <v/>
      </c>
      <c r="V159" s="5">
        <f>V156-V158</f>
        <v/>
      </c>
      <c r="W159" s="5">
        <f>W156-W158</f>
        <v/>
      </c>
      <c r="X159" s="5">
        <f>X156-X158</f>
        <v/>
      </c>
      <c r="Y159" s="5">
        <f>Y156-Y158</f>
        <v/>
      </c>
      <c r="Z159" s="5">
        <f>Z156-Z158</f>
        <v/>
      </c>
      <c r="AA159" s="5">
        <f>AA156-AA158</f>
        <v/>
      </c>
      <c r="AB159" s="5">
        <f>AB156-AB158</f>
        <v/>
      </c>
      <c r="AC159" s="5">
        <f>AC156-AC158</f>
        <v/>
      </c>
      <c r="AD159" s="5">
        <f>AD156-AD158</f>
        <v/>
      </c>
      <c r="AE159" s="5">
        <f>AE156-AE158</f>
        <v/>
      </c>
      <c r="AF159" s="5">
        <f>AF156-AF158</f>
        <v/>
      </c>
      <c r="AG159" s="5">
        <f>AG156-AG158</f>
        <v/>
      </c>
      <c r="AH159" s="5">
        <f>AH156-AH158</f>
        <v/>
      </c>
      <c r="AI159" s="5">
        <f>AI156-AI158</f>
        <v/>
      </c>
      <c r="AJ159" s="5">
        <f>AJ156-AJ158</f>
        <v/>
      </c>
      <c r="AK159" s="5">
        <f>AK156-AK158</f>
        <v/>
      </c>
      <c r="AL159" s="5">
        <f>AL156-AL158</f>
        <v/>
      </c>
      <c r="AM159" s="5">
        <f>AM156-AM158</f>
        <v/>
      </c>
      <c r="AN159" s="5">
        <f>AN156-AN158</f>
        <v/>
      </c>
      <c r="AO159" s="5">
        <f>AO156-AO158</f>
        <v/>
      </c>
      <c r="AP159" s="5">
        <f>AP156-AP158</f>
        <v/>
      </c>
      <c r="AQ159" s="5">
        <f>AQ156-AQ158</f>
        <v/>
      </c>
      <c r="AR159" s="5">
        <f>AR156-AR158</f>
        <v/>
      </c>
      <c r="AS159" s="5">
        <f>AS156-AS158</f>
        <v/>
      </c>
      <c r="AT159" s="5">
        <f>AT156-AT158</f>
        <v/>
      </c>
      <c r="AU159" s="5">
        <f>AU156-AU158</f>
        <v/>
      </c>
      <c r="AV159" s="5">
        <f>AV156-AV158</f>
        <v/>
      </c>
      <c r="AW159" s="5">
        <f>AW156-AW158</f>
        <v/>
      </c>
      <c r="AX159" s="5">
        <f>AX156-AX158</f>
        <v/>
      </c>
      <c r="AY159" s="5">
        <f>AY156-AY158</f>
        <v/>
      </c>
      <c r="AZ159" s="5">
        <f>AZ156-AZ158</f>
        <v/>
      </c>
      <c r="BA159" s="5">
        <f>BA156-BA158</f>
        <v/>
      </c>
      <c r="BB159" s="5">
        <f>BB156-BB158</f>
        <v/>
      </c>
      <c r="BC159" s="5">
        <f>BC156-BC158</f>
        <v/>
      </c>
      <c r="BD159" s="5">
        <f>BD156-BD158</f>
        <v/>
      </c>
      <c r="BE159" s="5">
        <f>BE156-BE158</f>
        <v/>
      </c>
      <c r="BF159" s="5">
        <f>BF156-BF158</f>
        <v/>
      </c>
      <c r="BG159" s="5">
        <f>BG156-BG158</f>
        <v/>
      </c>
      <c r="BH159" s="5">
        <f>BH156-BH158</f>
        <v/>
      </c>
      <c r="BI159" s="5">
        <f>BI156-BI158</f>
        <v/>
      </c>
      <c r="BJ159" s="5">
        <f>BJ156-BJ158</f>
        <v/>
      </c>
      <c r="BK159" s="5">
        <f>BK156-BK158</f>
        <v/>
      </c>
      <c r="BL159" s="5">
        <f>BL156-BL158</f>
        <v/>
      </c>
      <c r="BM159" s="5">
        <f>BM156-BM158</f>
        <v/>
      </c>
      <c r="BN159" s="5">
        <f>BN156-BN158</f>
        <v/>
      </c>
      <c r="BO159" s="5">
        <f>BO156-BO158</f>
        <v/>
      </c>
      <c r="BP159" s="5">
        <f>BP156-BP158</f>
        <v/>
      </c>
      <c r="BQ159" s="5">
        <f>BQ156-BQ158</f>
        <v/>
      </c>
      <c r="BR159" s="5">
        <f>BR156-BR158</f>
        <v/>
      </c>
      <c r="BS159" s="5">
        <f>BS156-BS158</f>
        <v/>
      </c>
      <c r="BT159" s="5">
        <f>BT156-BT158</f>
        <v/>
      </c>
      <c r="BU159" s="5">
        <f>BU156-BU158</f>
        <v/>
      </c>
      <c r="BV159" s="5">
        <f>BV156-BV158</f>
        <v/>
      </c>
    </row>
    <row r="160">
      <c r="A160" t="inlineStr">
        <is>
          <t>cum trial starts</t>
        </is>
      </c>
      <c r="B160" t="inlineStr">
        <is>
          <t>LATAM|BASIC_M</t>
        </is>
      </c>
      <c r="C160" s="5">
        <f>SUM($C154:C154)</f>
        <v/>
      </c>
      <c r="D160" s="5">
        <f>SUM($C154:D154)</f>
        <v/>
      </c>
      <c r="E160" s="5">
        <f>SUM($C154:E154)</f>
        <v/>
      </c>
      <c r="F160" s="5">
        <f>SUM($C154:F154)</f>
        <v/>
      </c>
      <c r="G160" s="5">
        <f>SUM($C154:G154)</f>
        <v/>
      </c>
      <c r="H160" s="5">
        <f>SUM($C154:H154)</f>
        <v/>
      </c>
      <c r="I160" s="5">
        <f>SUM($C154:I154)</f>
        <v/>
      </c>
      <c r="J160" s="5">
        <f>SUM($C154:J154)</f>
        <v/>
      </c>
      <c r="K160" s="5">
        <f>SUM($C154:K154)</f>
        <v/>
      </c>
      <c r="L160" s="5">
        <f>SUM($C154:L154)</f>
        <v/>
      </c>
      <c r="M160" s="5">
        <f>SUM($C154:M154)</f>
        <v/>
      </c>
      <c r="N160" s="5">
        <f>SUM($C154:N154)</f>
        <v/>
      </c>
      <c r="O160" s="5">
        <f>SUM($C154:O154)</f>
        <v/>
      </c>
      <c r="P160" s="5">
        <f>SUM($C154:P154)</f>
        <v/>
      </c>
      <c r="Q160" s="5">
        <f>SUM($C154:Q154)</f>
        <v/>
      </c>
      <c r="R160" s="5">
        <f>SUM($C154:R154)</f>
        <v/>
      </c>
      <c r="S160" s="5">
        <f>SUM($C154:S154)</f>
        <v/>
      </c>
      <c r="T160" s="5">
        <f>SUM($C154:T154)</f>
        <v/>
      </c>
      <c r="U160" s="5">
        <f>SUM($C154:U154)</f>
        <v/>
      </c>
      <c r="V160" s="5">
        <f>SUM($C154:V154)</f>
        <v/>
      </c>
      <c r="W160" s="5">
        <f>SUM($C154:W154)</f>
        <v/>
      </c>
      <c r="X160" s="5">
        <f>SUM($C154:X154)</f>
        <v/>
      </c>
      <c r="Y160" s="5">
        <f>SUM($C154:Y154)</f>
        <v/>
      </c>
      <c r="Z160" s="5">
        <f>SUM($C154:Z154)</f>
        <v/>
      </c>
      <c r="AA160" s="5">
        <f>SUM($C154:AA154)</f>
        <v/>
      </c>
      <c r="AB160" s="5">
        <f>SUM($C154:AB154)</f>
        <v/>
      </c>
      <c r="AC160" s="5">
        <f>SUM($C154:AC154)</f>
        <v/>
      </c>
      <c r="AD160" s="5">
        <f>SUM($C154:AD154)</f>
        <v/>
      </c>
      <c r="AE160" s="5">
        <f>SUM($C154:AE154)</f>
        <v/>
      </c>
      <c r="AF160" s="5">
        <f>SUM($C154:AF154)</f>
        <v/>
      </c>
      <c r="AG160" s="5">
        <f>SUM($C154:AG154)</f>
        <v/>
      </c>
      <c r="AH160" s="5">
        <f>SUM($C154:AH154)</f>
        <v/>
      </c>
      <c r="AI160" s="5">
        <f>SUM($C154:AI154)</f>
        <v/>
      </c>
      <c r="AJ160" s="5">
        <f>SUM($C154:AJ154)</f>
        <v/>
      </c>
      <c r="AK160" s="5">
        <f>SUM($C154:AK154)</f>
        <v/>
      </c>
      <c r="AL160" s="5">
        <f>SUM($C154:AL154)</f>
        <v/>
      </c>
      <c r="AM160" s="5">
        <f>SUM($C154:AM154)</f>
        <v/>
      </c>
      <c r="AN160" s="5">
        <f>SUM($C154:AN154)</f>
        <v/>
      </c>
      <c r="AO160" s="5">
        <f>SUM($C154:AO154)</f>
        <v/>
      </c>
      <c r="AP160" s="5">
        <f>SUM($C154:AP154)</f>
        <v/>
      </c>
      <c r="AQ160" s="5">
        <f>SUM($C154:AQ154)</f>
        <v/>
      </c>
      <c r="AR160" s="5">
        <f>SUM($C154:AR154)</f>
        <v/>
      </c>
      <c r="AS160" s="5">
        <f>SUM($C154:AS154)</f>
        <v/>
      </c>
      <c r="AT160" s="5">
        <f>SUM($C154:AT154)</f>
        <v/>
      </c>
      <c r="AU160" s="5">
        <f>SUM($C154:AU154)</f>
        <v/>
      </c>
      <c r="AV160" s="5">
        <f>SUM($C154:AV154)</f>
        <v/>
      </c>
      <c r="AW160" s="5">
        <f>SUM($C154:AW154)</f>
        <v/>
      </c>
      <c r="AX160" s="5">
        <f>SUM($C154:AX154)</f>
        <v/>
      </c>
      <c r="AY160" s="5">
        <f>SUM($C154:AY154)</f>
        <v/>
      </c>
      <c r="AZ160" s="5">
        <f>SUM($C154:AZ154)</f>
        <v/>
      </c>
      <c r="BA160" s="5">
        <f>SUM($C154:BA154)</f>
        <v/>
      </c>
      <c r="BB160" s="5">
        <f>SUM($C154:BB154)</f>
        <v/>
      </c>
      <c r="BC160" s="5">
        <f>SUM($C154:BC154)</f>
        <v/>
      </c>
      <c r="BD160" s="5">
        <f>SUM($C154:BD154)</f>
        <v/>
      </c>
      <c r="BE160" s="5">
        <f>SUM($C154:BE154)</f>
        <v/>
      </c>
      <c r="BF160" s="5">
        <f>SUM($C154:BF154)</f>
        <v/>
      </c>
      <c r="BG160" s="5">
        <f>SUM($C154:BG154)</f>
        <v/>
      </c>
      <c r="BH160" s="5">
        <f>SUM($C154:BH154)</f>
        <v/>
      </c>
      <c r="BI160" s="5">
        <f>SUM($C154:BI154)</f>
        <v/>
      </c>
      <c r="BJ160" s="5">
        <f>SUM($C154:BJ154)</f>
        <v/>
      </c>
      <c r="BK160" s="5">
        <f>SUM($C154:BK154)</f>
        <v/>
      </c>
      <c r="BL160" s="5">
        <f>SUM($C154:BL154)</f>
        <v/>
      </c>
      <c r="BM160" s="5">
        <f>SUM($C154:BM154)</f>
        <v/>
      </c>
      <c r="BN160" s="5">
        <f>SUM($C154:BN154)</f>
        <v/>
      </c>
      <c r="BO160" s="5">
        <f>SUM($C154:BO154)</f>
        <v/>
      </c>
      <c r="BP160" s="5">
        <f>SUM($C154:BP154)</f>
        <v/>
      </c>
      <c r="BQ160" s="5">
        <f>SUM($C154:BQ154)</f>
        <v/>
      </c>
      <c r="BR160" s="5">
        <f>SUM($C154:BR154)</f>
        <v/>
      </c>
      <c r="BS160" s="5">
        <f>SUM($C154:BS154)</f>
        <v/>
      </c>
      <c r="BT160" s="5">
        <f>SUM($C154:BT154)</f>
        <v/>
      </c>
      <c r="BU160" s="5">
        <f>SUM($C154:BU154)</f>
        <v/>
      </c>
      <c r="BV160" s="5">
        <f>SUM($C154:BV154)</f>
        <v/>
      </c>
    </row>
    <row r="161">
      <c r="A161" t="inlineStr">
        <is>
          <t>cum trials ending</t>
        </is>
      </c>
      <c r="B161" t="inlineStr">
        <is>
          <t>LATAM|BASIC_M</t>
        </is>
      </c>
      <c r="C161" s="5">
        <f>SUM($C156:C156)</f>
        <v/>
      </c>
      <c r="D161" s="5">
        <f>SUM($C156:D156)</f>
        <v/>
      </c>
      <c r="E161" s="5">
        <f>SUM($C156:E156)</f>
        <v/>
      </c>
      <c r="F161" s="5">
        <f>SUM($C156:F156)</f>
        <v/>
      </c>
      <c r="G161" s="5">
        <f>SUM($C156:G156)</f>
        <v/>
      </c>
      <c r="H161" s="5">
        <f>SUM($C156:H156)</f>
        <v/>
      </c>
      <c r="I161" s="5">
        <f>SUM($C156:I156)</f>
        <v/>
      </c>
      <c r="J161" s="5">
        <f>SUM($C156:J156)</f>
        <v/>
      </c>
      <c r="K161" s="5">
        <f>SUM($C156:K156)</f>
        <v/>
      </c>
      <c r="L161" s="5">
        <f>SUM($C156:L156)</f>
        <v/>
      </c>
      <c r="M161" s="5">
        <f>SUM($C156:M156)</f>
        <v/>
      </c>
      <c r="N161" s="5">
        <f>SUM($C156:N156)</f>
        <v/>
      </c>
      <c r="O161" s="5">
        <f>SUM($C156:O156)</f>
        <v/>
      </c>
      <c r="P161" s="5">
        <f>SUM($C156:P156)</f>
        <v/>
      </c>
      <c r="Q161" s="5">
        <f>SUM($C156:Q156)</f>
        <v/>
      </c>
      <c r="R161" s="5">
        <f>SUM($C156:R156)</f>
        <v/>
      </c>
      <c r="S161" s="5">
        <f>SUM($C156:S156)</f>
        <v/>
      </c>
      <c r="T161" s="5">
        <f>SUM($C156:T156)</f>
        <v/>
      </c>
      <c r="U161" s="5">
        <f>SUM($C156:U156)</f>
        <v/>
      </c>
      <c r="V161" s="5">
        <f>SUM($C156:V156)</f>
        <v/>
      </c>
      <c r="W161" s="5">
        <f>SUM($C156:W156)</f>
        <v/>
      </c>
      <c r="X161" s="5">
        <f>SUM($C156:X156)</f>
        <v/>
      </c>
      <c r="Y161" s="5">
        <f>SUM($C156:Y156)</f>
        <v/>
      </c>
      <c r="Z161" s="5">
        <f>SUM($C156:Z156)</f>
        <v/>
      </c>
      <c r="AA161" s="5">
        <f>SUM($C156:AA156)</f>
        <v/>
      </c>
      <c r="AB161" s="5">
        <f>SUM($C156:AB156)</f>
        <v/>
      </c>
      <c r="AC161" s="5">
        <f>SUM($C156:AC156)</f>
        <v/>
      </c>
      <c r="AD161" s="5">
        <f>SUM($C156:AD156)</f>
        <v/>
      </c>
      <c r="AE161" s="5">
        <f>SUM($C156:AE156)</f>
        <v/>
      </c>
      <c r="AF161" s="5">
        <f>SUM($C156:AF156)</f>
        <v/>
      </c>
      <c r="AG161" s="5">
        <f>SUM($C156:AG156)</f>
        <v/>
      </c>
      <c r="AH161" s="5">
        <f>SUM($C156:AH156)</f>
        <v/>
      </c>
      <c r="AI161" s="5">
        <f>SUM($C156:AI156)</f>
        <v/>
      </c>
      <c r="AJ161" s="5">
        <f>SUM($C156:AJ156)</f>
        <v/>
      </c>
      <c r="AK161" s="5">
        <f>SUM($C156:AK156)</f>
        <v/>
      </c>
      <c r="AL161" s="5">
        <f>SUM($C156:AL156)</f>
        <v/>
      </c>
      <c r="AM161" s="5">
        <f>SUM($C156:AM156)</f>
        <v/>
      </c>
      <c r="AN161" s="5">
        <f>SUM($C156:AN156)</f>
        <v/>
      </c>
      <c r="AO161" s="5">
        <f>SUM($C156:AO156)</f>
        <v/>
      </c>
      <c r="AP161" s="5">
        <f>SUM($C156:AP156)</f>
        <v/>
      </c>
      <c r="AQ161" s="5">
        <f>SUM($C156:AQ156)</f>
        <v/>
      </c>
      <c r="AR161" s="5">
        <f>SUM($C156:AR156)</f>
        <v/>
      </c>
      <c r="AS161" s="5">
        <f>SUM($C156:AS156)</f>
        <v/>
      </c>
      <c r="AT161" s="5">
        <f>SUM($C156:AT156)</f>
        <v/>
      </c>
      <c r="AU161" s="5">
        <f>SUM($C156:AU156)</f>
        <v/>
      </c>
      <c r="AV161" s="5">
        <f>SUM($C156:AV156)</f>
        <v/>
      </c>
      <c r="AW161" s="5">
        <f>SUM($C156:AW156)</f>
        <v/>
      </c>
      <c r="AX161" s="5">
        <f>SUM($C156:AX156)</f>
        <v/>
      </c>
      <c r="AY161" s="5">
        <f>SUM($C156:AY156)</f>
        <v/>
      </c>
      <c r="AZ161" s="5">
        <f>SUM($C156:AZ156)</f>
        <v/>
      </c>
      <c r="BA161" s="5">
        <f>SUM($C156:BA156)</f>
        <v/>
      </c>
      <c r="BB161" s="5">
        <f>SUM($C156:BB156)</f>
        <v/>
      </c>
      <c r="BC161" s="5">
        <f>SUM($C156:BC156)</f>
        <v/>
      </c>
      <c r="BD161" s="5">
        <f>SUM($C156:BD156)</f>
        <v/>
      </c>
      <c r="BE161" s="5">
        <f>SUM($C156:BE156)</f>
        <v/>
      </c>
      <c r="BF161" s="5">
        <f>SUM($C156:BF156)</f>
        <v/>
      </c>
      <c r="BG161" s="5">
        <f>SUM($C156:BG156)</f>
        <v/>
      </c>
      <c r="BH161" s="5">
        <f>SUM($C156:BH156)</f>
        <v/>
      </c>
      <c r="BI161" s="5">
        <f>SUM($C156:BI156)</f>
        <v/>
      </c>
      <c r="BJ161" s="5">
        <f>SUM($C156:BJ156)</f>
        <v/>
      </c>
      <c r="BK161" s="5">
        <f>SUM($C156:BK156)</f>
        <v/>
      </c>
      <c r="BL161" s="5">
        <f>SUM($C156:BL156)</f>
        <v/>
      </c>
      <c r="BM161" s="5">
        <f>SUM($C156:BM156)</f>
        <v/>
      </c>
      <c r="BN161" s="5">
        <f>SUM($C156:BN156)</f>
        <v/>
      </c>
      <c r="BO161" s="5">
        <f>SUM($C156:BO156)</f>
        <v/>
      </c>
      <c r="BP161" s="5">
        <f>SUM($C156:BP156)</f>
        <v/>
      </c>
      <c r="BQ161" s="5">
        <f>SUM($C156:BQ156)</f>
        <v/>
      </c>
      <c r="BR161" s="5">
        <f>SUM($C156:BR156)</f>
        <v/>
      </c>
      <c r="BS161" s="5">
        <f>SUM($C156:BS156)</f>
        <v/>
      </c>
      <c r="BT161" s="5">
        <f>SUM($C156:BT156)</f>
        <v/>
      </c>
      <c r="BU161" s="5">
        <f>SUM($C156:BU156)</f>
        <v/>
      </c>
      <c r="BV161" s="5">
        <f>SUM($C156:BV156)</f>
        <v/>
      </c>
    </row>
    <row r="162">
      <c r="A162" t="inlineStr">
        <is>
          <t>trials active</t>
        </is>
      </c>
      <c r="B162" t="inlineStr">
        <is>
          <t>LATAM|BASIC_M</t>
        </is>
      </c>
      <c r="C162" s="5">
        <f>C160-C161</f>
        <v/>
      </c>
      <c r="D162" s="5">
        <f>D160-D161</f>
        <v/>
      </c>
      <c r="E162" s="5">
        <f>E160-E161</f>
        <v/>
      </c>
      <c r="F162" s="5">
        <f>F160-F161</f>
        <v/>
      </c>
      <c r="G162" s="5">
        <f>G160-G161</f>
        <v/>
      </c>
      <c r="H162" s="5">
        <f>H160-H161</f>
        <v/>
      </c>
      <c r="I162" s="5">
        <f>I160-I161</f>
        <v/>
      </c>
      <c r="J162" s="5">
        <f>J160-J161</f>
        <v/>
      </c>
      <c r="K162" s="5">
        <f>K160-K161</f>
        <v/>
      </c>
      <c r="L162" s="5">
        <f>L160-L161</f>
        <v/>
      </c>
      <c r="M162" s="5">
        <f>M160-M161</f>
        <v/>
      </c>
      <c r="N162" s="5">
        <f>N160-N161</f>
        <v/>
      </c>
      <c r="O162" s="5">
        <f>O160-O161</f>
        <v/>
      </c>
      <c r="P162" s="5">
        <f>P160-P161</f>
        <v/>
      </c>
      <c r="Q162" s="5">
        <f>Q160-Q161</f>
        <v/>
      </c>
      <c r="R162" s="5">
        <f>R160-R161</f>
        <v/>
      </c>
      <c r="S162" s="5">
        <f>S160-S161</f>
        <v/>
      </c>
      <c r="T162" s="5">
        <f>T160-T161</f>
        <v/>
      </c>
      <c r="U162" s="5">
        <f>U160-U161</f>
        <v/>
      </c>
      <c r="V162" s="5">
        <f>V160-V161</f>
        <v/>
      </c>
      <c r="W162" s="5">
        <f>W160-W161</f>
        <v/>
      </c>
      <c r="X162" s="5">
        <f>X160-X161</f>
        <v/>
      </c>
      <c r="Y162" s="5">
        <f>Y160-Y161</f>
        <v/>
      </c>
      <c r="Z162" s="5">
        <f>Z160-Z161</f>
        <v/>
      </c>
      <c r="AA162" s="5">
        <f>AA160-AA161</f>
        <v/>
      </c>
      <c r="AB162" s="5">
        <f>AB160-AB161</f>
        <v/>
      </c>
      <c r="AC162" s="5">
        <f>AC160-AC161</f>
        <v/>
      </c>
      <c r="AD162" s="5">
        <f>AD160-AD161</f>
        <v/>
      </c>
      <c r="AE162" s="5">
        <f>AE160-AE161</f>
        <v/>
      </c>
      <c r="AF162" s="5">
        <f>AF160-AF161</f>
        <v/>
      </c>
      <c r="AG162" s="5">
        <f>AG160-AG161</f>
        <v/>
      </c>
      <c r="AH162" s="5">
        <f>AH160-AH161</f>
        <v/>
      </c>
      <c r="AI162" s="5">
        <f>AI160-AI161</f>
        <v/>
      </c>
      <c r="AJ162" s="5">
        <f>AJ160-AJ161</f>
        <v/>
      </c>
      <c r="AK162" s="5">
        <f>AK160-AK161</f>
        <v/>
      </c>
      <c r="AL162" s="5">
        <f>AL160-AL161</f>
        <v/>
      </c>
      <c r="AM162" s="5">
        <f>AM160-AM161</f>
        <v/>
      </c>
      <c r="AN162" s="5">
        <f>AN160-AN161</f>
        <v/>
      </c>
      <c r="AO162" s="5">
        <f>AO160-AO161</f>
        <v/>
      </c>
      <c r="AP162" s="5">
        <f>AP160-AP161</f>
        <v/>
      </c>
      <c r="AQ162" s="5">
        <f>AQ160-AQ161</f>
        <v/>
      </c>
      <c r="AR162" s="5">
        <f>AR160-AR161</f>
        <v/>
      </c>
      <c r="AS162" s="5">
        <f>AS160-AS161</f>
        <v/>
      </c>
      <c r="AT162" s="5">
        <f>AT160-AT161</f>
        <v/>
      </c>
      <c r="AU162" s="5">
        <f>AU160-AU161</f>
        <v/>
      </c>
      <c r="AV162" s="5">
        <f>AV160-AV161</f>
        <v/>
      </c>
      <c r="AW162" s="5">
        <f>AW160-AW161</f>
        <v/>
      </c>
      <c r="AX162" s="5">
        <f>AX160-AX161</f>
        <v/>
      </c>
      <c r="AY162" s="5">
        <f>AY160-AY161</f>
        <v/>
      </c>
      <c r="AZ162" s="5">
        <f>AZ160-AZ161</f>
        <v/>
      </c>
      <c r="BA162" s="5">
        <f>BA160-BA161</f>
        <v/>
      </c>
      <c r="BB162" s="5">
        <f>BB160-BB161</f>
        <v/>
      </c>
      <c r="BC162" s="5">
        <f>BC160-BC161</f>
        <v/>
      </c>
      <c r="BD162" s="5">
        <f>BD160-BD161</f>
        <v/>
      </c>
      <c r="BE162" s="5">
        <f>BE160-BE161</f>
        <v/>
      </c>
      <c r="BF162" s="5">
        <f>BF160-BF161</f>
        <v/>
      </c>
      <c r="BG162" s="5">
        <f>BG160-BG161</f>
        <v/>
      </c>
      <c r="BH162" s="5">
        <f>BH160-BH161</f>
        <v/>
      </c>
      <c r="BI162" s="5">
        <f>BI160-BI161</f>
        <v/>
      </c>
      <c r="BJ162" s="5">
        <f>BJ160-BJ161</f>
        <v/>
      </c>
      <c r="BK162" s="5">
        <f>BK160-BK161</f>
        <v/>
      </c>
      <c r="BL162" s="5">
        <f>BL160-BL161</f>
        <v/>
      </c>
      <c r="BM162" s="5">
        <f>BM160-BM161</f>
        <v/>
      </c>
      <c r="BN162" s="5">
        <f>BN160-BN161</f>
        <v/>
      </c>
      <c r="BO162" s="5">
        <f>BO160-BO161</f>
        <v/>
      </c>
      <c r="BP162" s="5">
        <f>BP160-BP161</f>
        <v/>
      </c>
      <c r="BQ162" s="5">
        <f>BQ160-BQ161</f>
        <v/>
      </c>
      <c r="BR162" s="5">
        <f>BR160-BR161</f>
        <v/>
      </c>
      <c r="BS162" s="5">
        <f>BS160-BS161</f>
        <v/>
      </c>
      <c r="BT162" s="5">
        <f>BT160-BT161</f>
        <v/>
      </c>
      <c r="BU162" s="5">
        <f>BU160-BU161</f>
        <v/>
      </c>
      <c r="BV162" s="5">
        <f>BV160-BV161</f>
        <v/>
      </c>
    </row>
    <row r="163">
      <c r="A163" t="inlineStr">
        <is>
          <t>paid starts</t>
        </is>
      </c>
      <c r="B163" t="inlineStr">
        <is>
          <t>LATAM|BASIC_M</t>
        </is>
      </c>
      <c r="C163" s="5">
        <f>C155+C158</f>
        <v/>
      </c>
      <c r="D163" s="5">
        <f>D155+D158</f>
        <v/>
      </c>
      <c r="E163" s="5">
        <f>E155+E158</f>
        <v/>
      </c>
      <c r="F163" s="5">
        <f>F155+F158</f>
        <v/>
      </c>
      <c r="G163" s="5">
        <f>G155+G158</f>
        <v/>
      </c>
      <c r="H163" s="5">
        <f>H155+H158</f>
        <v/>
      </c>
      <c r="I163" s="5">
        <f>I155+I158</f>
        <v/>
      </c>
      <c r="J163" s="5">
        <f>J155+J158</f>
        <v/>
      </c>
      <c r="K163" s="5">
        <f>K155+K158</f>
        <v/>
      </c>
      <c r="L163" s="5">
        <f>L155+L158</f>
        <v/>
      </c>
      <c r="M163" s="5">
        <f>M155+M158</f>
        <v/>
      </c>
      <c r="N163" s="5">
        <f>N155+N158</f>
        <v/>
      </c>
      <c r="O163" s="5">
        <f>O155+O158</f>
        <v/>
      </c>
      <c r="P163" s="5">
        <f>P155+P158</f>
        <v/>
      </c>
      <c r="Q163" s="5">
        <f>Q155+Q158</f>
        <v/>
      </c>
      <c r="R163" s="5">
        <f>R155+R158</f>
        <v/>
      </c>
      <c r="S163" s="5">
        <f>S155+S158</f>
        <v/>
      </c>
      <c r="T163" s="5">
        <f>T155+T158</f>
        <v/>
      </c>
      <c r="U163" s="5">
        <f>U155+U158</f>
        <v/>
      </c>
      <c r="V163" s="5">
        <f>V155+V158</f>
        <v/>
      </c>
      <c r="W163" s="5">
        <f>W155+W158</f>
        <v/>
      </c>
      <c r="X163" s="5">
        <f>X155+X158</f>
        <v/>
      </c>
      <c r="Y163" s="5">
        <f>Y155+Y158</f>
        <v/>
      </c>
      <c r="Z163" s="5">
        <f>Z155+Z158</f>
        <v/>
      </c>
      <c r="AA163" s="5">
        <f>AA155+AA158</f>
        <v/>
      </c>
      <c r="AB163" s="5">
        <f>AB155+AB158</f>
        <v/>
      </c>
      <c r="AC163" s="5">
        <f>AC155+AC158</f>
        <v/>
      </c>
      <c r="AD163" s="5">
        <f>AD155+AD158</f>
        <v/>
      </c>
      <c r="AE163" s="5">
        <f>AE155+AE158</f>
        <v/>
      </c>
      <c r="AF163" s="5">
        <f>AF155+AF158</f>
        <v/>
      </c>
      <c r="AG163" s="5">
        <f>AG155+AG158</f>
        <v/>
      </c>
      <c r="AH163" s="5">
        <f>AH155+AH158</f>
        <v/>
      </c>
      <c r="AI163" s="5">
        <f>AI155+AI158</f>
        <v/>
      </c>
      <c r="AJ163" s="5">
        <f>AJ155+AJ158</f>
        <v/>
      </c>
      <c r="AK163" s="5">
        <f>AK155+AK158</f>
        <v/>
      </c>
      <c r="AL163" s="5">
        <f>AL155+AL158</f>
        <v/>
      </c>
      <c r="AM163" s="5">
        <f>AM155+AM158</f>
        <v/>
      </c>
      <c r="AN163" s="5">
        <f>AN155+AN158</f>
        <v/>
      </c>
      <c r="AO163" s="5">
        <f>AO155+AO158</f>
        <v/>
      </c>
      <c r="AP163" s="5">
        <f>AP155+AP158</f>
        <v/>
      </c>
      <c r="AQ163" s="5">
        <f>AQ155+AQ158</f>
        <v/>
      </c>
      <c r="AR163" s="5">
        <f>AR155+AR158</f>
        <v/>
      </c>
      <c r="AS163" s="5">
        <f>AS155+AS158</f>
        <v/>
      </c>
      <c r="AT163" s="5">
        <f>AT155+AT158</f>
        <v/>
      </c>
      <c r="AU163" s="5">
        <f>AU155+AU158</f>
        <v/>
      </c>
      <c r="AV163" s="5">
        <f>AV155+AV158</f>
        <v/>
      </c>
      <c r="AW163" s="5">
        <f>AW155+AW158</f>
        <v/>
      </c>
      <c r="AX163" s="5">
        <f>AX155+AX158</f>
        <v/>
      </c>
      <c r="AY163" s="5">
        <f>AY155+AY158</f>
        <v/>
      </c>
      <c r="AZ163" s="5">
        <f>AZ155+AZ158</f>
        <v/>
      </c>
      <c r="BA163" s="5">
        <f>BA155+BA158</f>
        <v/>
      </c>
      <c r="BB163" s="5">
        <f>BB155+BB158</f>
        <v/>
      </c>
      <c r="BC163" s="5">
        <f>BC155+BC158</f>
        <v/>
      </c>
      <c r="BD163" s="5">
        <f>BD155+BD158</f>
        <v/>
      </c>
      <c r="BE163" s="5">
        <f>BE155+BE158</f>
        <v/>
      </c>
      <c r="BF163" s="5">
        <f>BF155+BF158</f>
        <v/>
      </c>
      <c r="BG163" s="5">
        <f>BG155+BG158</f>
        <v/>
      </c>
      <c r="BH163" s="5">
        <f>BH155+BH158</f>
        <v/>
      </c>
      <c r="BI163" s="5">
        <f>BI155+BI158</f>
        <v/>
      </c>
      <c r="BJ163" s="5">
        <f>BJ155+BJ158</f>
        <v/>
      </c>
      <c r="BK163" s="5">
        <f>BK155+BK158</f>
        <v/>
      </c>
      <c r="BL163" s="5">
        <f>BL155+BL158</f>
        <v/>
      </c>
      <c r="BM163" s="5">
        <f>BM155+BM158</f>
        <v/>
      </c>
      <c r="BN163" s="5">
        <f>BN155+BN158</f>
        <v/>
      </c>
      <c r="BO163" s="5">
        <f>BO155+BO158</f>
        <v/>
      </c>
      <c r="BP163" s="5">
        <f>BP155+BP158</f>
        <v/>
      </c>
      <c r="BQ163" s="5">
        <f>BQ155+BQ158</f>
        <v/>
      </c>
      <c r="BR163" s="5">
        <f>BR155+BR158</f>
        <v/>
      </c>
      <c r="BS163" s="5">
        <f>BS155+BS158</f>
        <v/>
      </c>
      <c r="BT163" s="5">
        <f>BT155+BT158</f>
        <v/>
      </c>
      <c r="BU163" s="5">
        <f>BU155+BU158</f>
        <v/>
      </c>
      <c r="BV163" s="5">
        <f>BV155+BV158</f>
        <v/>
      </c>
    </row>
    <row r="164">
      <c r="A164" t="inlineStr">
        <is>
          <t>paid starts @0</t>
        </is>
      </c>
      <c r="B164" t="inlineStr">
        <is>
          <t>LATAM|BASIC_M</t>
        </is>
      </c>
      <c r="C164" s="5">
        <f>C163*Eras!C$3</f>
        <v/>
      </c>
      <c r="D164" s="5">
        <f>D163*Eras!D$3</f>
        <v/>
      </c>
      <c r="E164" s="5">
        <f>E163*Eras!E$3</f>
        <v/>
      </c>
      <c r="F164" s="5">
        <f>F163*Eras!F$3</f>
        <v/>
      </c>
      <c r="G164" s="5">
        <f>G163*Eras!G$3</f>
        <v/>
      </c>
      <c r="H164" s="5">
        <f>H163*Eras!H$3</f>
        <v/>
      </c>
      <c r="I164" s="5">
        <f>I163*Eras!I$3</f>
        <v/>
      </c>
      <c r="J164" s="5">
        <f>J163*Eras!J$3</f>
        <v/>
      </c>
      <c r="K164" s="5">
        <f>K163*Eras!K$3</f>
        <v/>
      </c>
      <c r="L164" s="5">
        <f>L163*Eras!L$3</f>
        <v/>
      </c>
      <c r="M164" s="5">
        <f>M163*Eras!M$3</f>
        <v/>
      </c>
      <c r="N164" s="5">
        <f>N163*Eras!N$3</f>
        <v/>
      </c>
      <c r="O164" s="5">
        <f>O163*Eras!O$3</f>
        <v/>
      </c>
      <c r="P164" s="5">
        <f>P163*Eras!P$3</f>
        <v/>
      </c>
      <c r="Q164" s="5">
        <f>Q163*Eras!Q$3</f>
        <v/>
      </c>
      <c r="R164" s="5">
        <f>R163*Eras!R$3</f>
        <v/>
      </c>
      <c r="S164" s="5">
        <f>S163*Eras!S$3</f>
        <v/>
      </c>
      <c r="T164" s="5">
        <f>T163*Eras!T$3</f>
        <v/>
      </c>
      <c r="U164" s="5">
        <f>U163*Eras!U$3</f>
        <v/>
      </c>
      <c r="V164" s="5">
        <f>V163*Eras!V$3</f>
        <v/>
      </c>
      <c r="W164" s="5">
        <f>W163*Eras!W$3</f>
        <v/>
      </c>
      <c r="X164" s="5">
        <f>X163*Eras!X$3</f>
        <v/>
      </c>
      <c r="Y164" s="5">
        <f>Y163*Eras!Y$3</f>
        <v/>
      </c>
      <c r="Z164" s="5">
        <f>Z163*Eras!Z$3</f>
        <v/>
      </c>
      <c r="AA164" s="5">
        <f>AA163*Eras!AA$3</f>
        <v/>
      </c>
      <c r="AB164" s="5">
        <f>AB163*Eras!AB$3</f>
        <v/>
      </c>
      <c r="AC164" s="5">
        <f>AC163*Eras!AC$3</f>
        <v/>
      </c>
      <c r="AD164" s="5">
        <f>AD163*Eras!AD$3</f>
        <v/>
      </c>
      <c r="AE164" s="5">
        <f>AE163*Eras!AE$3</f>
        <v/>
      </c>
      <c r="AF164" s="5">
        <f>AF163*Eras!AF$3</f>
        <v/>
      </c>
      <c r="AG164" s="5">
        <f>AG163*Eras!AG$3</f>
        <v/>
      </c>
      <c r="AH164" s="5">
        <f>AH163*Eras!AH$3</f>
        <v/>
      </c>
      <c r="AI164" s="5">
        <f>AI163*Eras!AI$3</f>
        <v/>
      </c>
      <c r="AJ164" s="5">
        <f>AJ163*Eras!AJ$3</f>
        <v/>
      </c>
      <c r="AK164" s="5">
        <f>AK163*Eras!AK$3</f>
        <v/>
      </c>
      <c r="AL164" s="5">
        <f>AL163*Eras!AL$3</f>
        <v/>
      </c>
      <c r="AM164" s="5">
        <f>AM163*Eras!AM$3</f>
        <v/>
      </c>
      <c r="AN164" s="5">
        <f>AN163*Eras!AN$3</f>
        <v/>
      </c>
      <c r="AO164" s="5">
        <f>AO163*Eras!AO$3</f>
        <v/>
      </c>
      <c r="AP164" s="5">
        <f>AP163*Eras!AP$3</f>
        <v/>
      </c>
      <c r="AQ164" s="5">
        <f>AQ163*Eras!AQ$3</f>
        <v/>
      </c>
      <c r="AR164" s="5">
        <f>AR163*Eras!AR$3</f>
        <v/>
      </c>
      <c r="AS164" s="5">
        <f>AS163*Eras!AS$3</f>
        <v/>
      </c>
      <c r="AT164" s="5">
        <f>AT163*Eras!AT$3</f>
        <v/>
      </c>
      <c r="AU164" s="5">
        <f>AU163*Eras!AU$3</f>
        <v/>
      </c>
      <c r="AV164" s="5">
        <f>AV163*Eras!AV$3</f>
        <v/>
      </c>
      <c r="AW164" s="5">
        <f>AW163*Eras!AW$3</f>
        <v/>
      </c>
      <c r="AX164" s="5">
        <f>AX163*Eras!AX$3</f>
        <v/>
      </c>
      <c r="AY164" s="5">
        <f>AY163*Eras!AY$3</f>
        <v/>
      </c>
      <c r="AZ164" s="5">
        <f>AZ163*Eras!AZ$3</f>
        <v/>
      </c>
      <c r="BA164" s="5">
        <f>BA163*Eras!BA$3</f>
        <v/>
      </c>
      <c r="BB164" s="5">
        <f>BB163*Eras!BB$3</f>
        <v/>
      </c>
      <c r="BC164" s="5">
        <f>BC163*Eras!BC$3</f>
        <v/>
      </c>
      <c r="BD164" s="5">
        <f>BD163*Eras!BD$3</f>
        <v/>
      </c>
      <c r="BE164" s="5">
        <f>BE163*Eras!BE$3</f>
        <v/>
      </c>
      <c r="BF164" s="5">
        <f>BF163*Eras!BF$3</f>
        <v/>
      </c>
      <c r="BG164" s="5">
        <f>BG163*Eras!BG$3</f>
        <v/>
      </c>
      <c r="BH164" s="5">
        <f>BH163*Eras!BH$3</f>
        <v/>
      </c>
      <c r="BI164" s="5">
        <f>BI163*Eras!BI$3</f>
        <v/>
      </c>
      <c r="BJ164" s="5">
        <f>BJ163*Eras!BJ$3</f>
        <v/>
      </c>
      <c r="BK164" s="5">
        <f>BK163*Eras!BK$3</f>
        <v/>
      </c>
      <c r="BL164" s="5">
        <f>BL163*Eras!BL$3</f>
        <v/>
      </c>
      <c r="BM164" s="5">
        <f>BM163*Eras!BM$3</f>
        <v/>
      </c>
      <c r="BN164" s="5">
        <f>BN163*Eras!BN$3</f>
        <v/>
      </c>
      <c r="BO164" s="5">
        <f>BO163*Eras!BO$3</f>
        <v/>
      </c>
      <c r="BP164" s="5">
        <f>BP163*Eras!BP$3</f>
        <v/>
      </c>
      <c r="BQ164" s="5">
        <f>BQ163*Eras!BQ$3</f>
        <v/>
      </c>
      <c r="BR164" s="5">
        <f>BR163*Eras!BR$3</f>
        <v/>
      </c>
      <c r="BS164" s="5">
        <f>BS163*Eras!BS$3</f>
        <v/>
      </c>
      <c r="BT164" s="5">
        <f>BT163*Eras!BT$3</f>
        <v/>
      </c>
      <c r="BU164" s="5">
        <f>BU163*Eras!BU$3</f>
        <v/>
      </c>
      <c r="BV164" s="5">
        <f>BV163*Eras!BV$3</f>
        <v/>
      </c>
    </row>
    <row r="165">
      <c r="A165" t="inlineStr">
        <is>
          <t>paid starts @1</t>
        </is>
      </c>
      <c r="B165" t="inlineStr">
        <is>
          <t>LATAM|BASIC_M</t>
        </is>
      </c>
      <c r="C165" s="5">
        <f>C163*Eras!C$4</f>
        <v/>
      </c>
      <c r="D165" s="5">
        <f>D163*Eras!D$4</f>
        <v/>
      </c>
      <c r="E165" s="5">
        <f>E163*Eras!E$4</f>
        <v/>
      </c>
      <c r="F165" s="5">
        <f>F163*Eras!F$4</f>
        <v/>
      </c>
      <c r="G165" s="5">
        <f>G163*Eras!G$4</f>
        <v/>
      </c>
      <c r="H165" s="5">
        <f>H163*Eras!H$4</f>
        <v/>
      </c>
      <c r="I165" s="5">
        <f>I163*Eras!I$4</f>
        <v/>
      </c>
      <c r="J165" s="5">
        <f>J163*Eras!J$4</f>
        <v/>
      </c>
      <c r="K165" s="5">
        <f>K163*Eras!K$4</f>
        <v/>
      </c>
      <c r="L165" s="5">
        <f>L163*Eras!L$4</f>
        <v/>
      </c>
      <c r="M165" s="5">
        <f>M163*Eras!M$4</f>
        <v/>
      </c>
      <c r="N165" s="5">
        <f>N163*Eras!N$4</f>
        <v/>
      </c>
      <c r="O165" s="5">
        <f>O163*Eras!O$4</f>
        <v/>
      </c>
      <c r="P165" s="5">
        <f>P163*Eras!P$4</f>
        <v/>
      </c>
      <c r="Q165" s="5">
        <f>Q163*Eras!Q$4</f>
        <v/>
      </c>
      <c r="R165" s="5">
        <f>R163*Eras!R$4</f>
        <v/>
      </c>
      <c r="S165" s="5">
        <f>S163*Eras!S$4</f>
        <v/>
      </c>
      <c r="T165" s="5">
        <f>T163*Eras!T$4</f>
        <v/>
      </c>
      <c r="U165" s="5">
        <f>U163*Eras!U$4</f>
        <v/>
      </c>
      <c r="V165" s="5">
        <f>V163*Eras!V$4</f>
        <v/>
      </c>
      <c r="W165" s="5">
        <f>W163*Eras!W$4</f>
        <v/>
      </c>
      <c r="X165" s="5">
        <f>X163*Eras!X$4</f>
        <v/>
      </c>
      <c r="Y165" s="5">
        <f>Y163*Eras!Y$4</f>
        <v/>
      </c>
      <c r="Z165" s="5">
        <f>Z163*Eras!Z$4</f>
        <v/>
      </c>
      <c r="AA165" s="5">
        <f>AA163*Eras!AA$4</f>
        <v/>
      </c>
      <c r="AB165" s="5">
        <f>AB163*Eras!AB$4</f>
        <v/>
      </c>
      <c r="AC165" s="5">
        <f>AC163*Eras!AC$4</f>
        <v/>
      </c>
      <c r="AD165" s="5">
        <f>AD163*Eras!AD$4</f>
        <v/>
      </c>
      <c r="AE165" s="5">
        <f>AE163*Eras!AE$4</f>
        <v/>
      </c>
      <c r="AF165" s="5">
        <f>AF163*Eras!AF$4</f>
        <v/>
      </c>
      <c r="AG165" s="5">
        <f>AG163*Eras!AG$4</f>
        <v/>
      </c>
      <c r="AH165" s="5">
        <f>AH163*Eras!AH$4</f>
        <v/>
      </c>
      <c r="AI165" s="5">
        <f>AI163*Eras!AI$4</f>
        <v/>
      </c>
      <c r="AJ165" s="5">
        <f>AJ163*Eras!AJ$4</f>
        <v/>
      </c>
      <c r="AK165" s="5">
        <f>AK163*Eras!AK$4</f>
        <v/>
      </c>
      <c r="AL165" s="5">
        <f>AL163*Eras!AL$4</f>
        <v/>
      </c>
      <c r="AM165" s="5">
        <f>AM163*Eras!AM$4</f>
        <v/>
      </c>
      <c r="AN165" s="5">
        <f>AN163*Eras!AN$4</f>
        <v/>
      </c>
      <c r="AO165" s="5">
        <f>AO163*Eras!AO$4</f>
        <v/>
      </c>
      <c r="AP165" s="5">
        <f>AP163*Eras!AP$4</f>
        <v/>
      </c>
      <c r="AQ165" s="5">
        <f>AQ163*Eras!AQ$4</f>
        <v/>
      </c>
      <c r="AR165" s="5">
        <f>AR163*Eras!AR$4</f>
        <v/>
      </c>
      <c r="AS165" s="5">
        <f>AS163*Eras!AS$4</f>
        <v/>
      </c>
      <c r="AT165" s="5">
        <f>AT163*Eras!AT$4</f>
        <v/>
      </c>
      <c r="AU165" s="5">
        <f>AU163*Eras!AU$4</f>
        <v/>
      </c>
      <c r="AV165" s="5">
        <f>AV163*Eras!AV$4</f>
        <v/>
      </c>
      <c r="AW165" s="5">
        <f>AW163*Eras!AW$4</f>
        <v/>
      </c>
      <c r="AX165" s="5">
        <f>AX163*Eras!AX$4</f>
        <v/>
      </c>
      <c r="AY165" s="5">
        <f>AY163*Eras!AY$4</f>
        <v/>
      </c>
      <c r="AZ165" s="5">
        <f>AZ163*Eras!AZ$4</f>
        <v/>
      </c>
      <c r="BA165" s="5">
        <f>BA163*Eras!BA$4</f>
        <v/>
      </c>
      <c r="BB165" s="5">
        <f>BB163*Eras!BB$4</f>
        <v/>
      </c>
      <c r="BC165" s="5">
        <f>BC163*Eras!BC$4</f>
        <v/>
      </c>
      <c r="BD165" s="5">
        <f>BD163*Eras!BD$4</f>
        <v/>
      </c>
      <c r="BE165" s="5">
        <f>BE163*Eras!BE$4</f>
        <v/>
      </c>
      <c r="BF165" s="5">
        <f>BF163*Eras!BF$4</f>
        <v/>
      </c>
      <c r="BG165" s="5">
        <f>BG163*Eras!BG$4</f>
        <v/>
      </c>
      <c r="BH165" s="5">
        <f>BH163*Eras!BH$4</f>
        <v/>
      </c>
      <c r="BI165" s="5">
        <f>BI163*Eras!BI$4</f>
        <v/>
      </c>
      <c r="BJ165" s="5">
        <f>BJ163*Eras!BJ$4</f>
        <v/>
      </c>
      <c r="BK165" s="5">
        <f>BK163*Eras!BK$4</f>
        <v/>
      </c>
      <c r="BL165" s="5">
        <f>BL163*Eras!BL$4</f>
        <v/>
      </c>
      <c r="BM165" s="5">
        <f>BM163*Eras!BM$4</f>
        <v/>
      </c>
      <c r="BN165" s="5">
        <f>BN163*Eras!BN$4</f>
        <v/>
      </c>
      <c r="BO165" s="5">
        <f>BO163*Eras!BO$4</f>
        <v/>
      </c>
      <c r="BP165" s="5">
        <f>BP163*Eras!BP$4</f>
        <v/>
      </c>
      <c r="BQ165" s="5">
        <f>BQ163*Eras!BQ$4</f>
        <v/>
      </c>
      <c r="BR165" s="5">
        <f>BR163*Eras!BR$4</f>
        <v/>
      </c>
      <c r="BS165" s="5">
        <f>BS163*Eras!BS$4</f>
        <v/>
      </c>
      <c r="BT165" s="5">
        <f>BT163*Eras!BT$4</f>
        <v/>
      </c>
      <c r="BU165" s="5">
        <f>BU163*Eras!BU$4</f>
        <v/>
      </c>
      <c r="BV165" s="5">
        <f>BV163*Eras!BV$4</f>
        <v/>
      </c>
    </row>
    <row r="166">
      <c r="A166" t="inlineStr">
        <is>
          <t>paid starts @2</t>
        </is>
      </c>
      <c r="B166" t="inlineStr">
        <is>
          <t>LATAM|BASIC_M</t>
        </is>
      </c>
      <c r="C166" s="5">
        <f>C163*Eras!C$5</f>
        <v/>
      </c>
      <c r="D166" s="5">
        <f>D163*Eras!D$5</f>
        <v/>
      </c>
      <c r="E166" s="5">
        <f>E163*Eras!E$5</f>
        <v/>
      </c>
      <c r="F166" s="5">
        <f>F163*Eras!F$5</f>
        <v/>
      </c>
      <c r="G166" s="5">
        <f>G163*Eras!G$5</f>
        <v/>
      </c>
      <c r="H166" s="5">
        <f>H163*Eras!H$5</f>
        <v/>
      </c>
      <c r="I166" s="5">
        <f>I163*Eras!I$5</f>
        <v/>
      </c>
      <c r="J166" s="5">
        <f>J163*Eras!J$5</f>
        <v/>
      </c>
      <c r="K166" s="5">
        <f>K163*Eras!K$5</f>
        <v/>
      </c>
      <c r="L166" s="5">
        <f>L163*Eras!L$5</f>
        <v/>
      </c>
      <c r="M166" s="5">
        <f>M163*Eras!M$5</f>
        <v/>
      </c>
      <c r="N166" s="5">
        <f>N163*Eras!N$5</f>
        <v/>
      </c>
      <c r="O166" s="5">
        <f>O163*Eras!O$5</f>
        <v/>
      </c>
      <c r="P166" s="5">
        <f>P163*Eras!P$5</f>
        <v/>
      </c>
      <c r="Q166" s="5">
        <f>Q163*Eras!Q$5</f>
        <v/>
      </c>
      <c r="R166" s="5">
        <f>R163*Eras!R$5</f>
        <v/>
      </c>
      <c r="S166" s="5">
        <f>S163*Eras!S$5</f>
        <v/>
      </c>
      <c r="T166" s="5">
        <f>T163*Eras!T$5</f>
        <v/>
      </c>
      <c r="U166" s="5">
        <f>U163*Eras!U$5</f>
        <v/>
      </c>
      <c r="V166" s="5">
        <f>V163*Eras!V$5</f>
        <v/>
      </c>
      <c r="W166" s="5">
        <f>W163*Eras!W$5</f>
        <v/>
      </c>
      <c r="X166" s="5">
        <f>X163*Eras!X$5</f>
        <v/>
      </c>
      <c r="Y166" s="5">
        <f>Y163*Eras!Y$5</f>
        <v/>
      </c>
      <c r="Z166" s="5">
        <f>Z163*Eras!Z$5</f>
        <v/>
      </c>
      <c r="AA166" s="5">
        <f>AA163*Eras!AA$5</f>
        <v/>
      </c>
      <c r="AB166" s="5">
        <f>AB163*Eras!AB$5</f>
        <v/>
      </c>
      <c r="AC166" s="5">
        <f>AC163*Eras!AC$5</f>
        <v/>
      </c>
      <c r="AD166" s="5">
        <f>AD163*Eras!AD$5</f>
        <v/>
      </c>
      <c r="AE166" s="5">
        <f>AE163*Eras!AE$5</f>
        <v/>
      </c>
      <c r="AF166" s="5">
        <f>AF163*Eras!AF$5</f>
        <v/>
      </c>
      <c r="AG166" s="5">
        <f>AG163*Eras!AG$5</f>
        <v/>
      </c>
      <c r="AH166" s="5">
        <f>AH163*Eras!AH$5</f>
        <v/>
      </c>
      <c r="AI166" s="5">
        <f>AI163*Eras!AI$5</f>
        <v/>
      </c>
      <c r="AJ166" s="5">
        <f>AJ163*Eras!AJ$5</f>
        <v/>
      </c>
      <c r="AK166" s="5">
        <f>AK163*Eras!AK$5</f>
        <v/>
      </c>
      <c r="AL166" s="5">
        <f>AL163*Eras!AL$5</f>
        <v/>
      </c>
      <c r="AM166" s="5">
        <f>AM163*Eras!AM$5</f>
        <v/>
      </c>
      <c r="AN166" s="5">
        <f>AN163*Eras!AN$5</f>
        <v/>
      </c>
      <c r="AO166" s="5">
        <f>AO163*Eras!AO$5</f>
        <v/>
      </c>
      <c r="AP166" s="5">
        <f>AP163*Eras!AP$5</f>
        <v/>
      </c>
      <c r="AQ166" s="5">
        <f>AQ163*Eras!AQ$5</f>
        <v/>
      </c>
      <c r="AR166" s="5">
        <f>AR163*Eras!AR$5</f>
        <v/>
      </c>
      <c r="AS166" s="5">
        <f>AS163*Eras!AS$5</f>
        <v/>
      </c>
      <c r="AT166" s="5">
        <f>AT163*Eras!AT$5</f>
        <v/>
      </c>
      <c r="AU166" s="5">
        <f>AU163*Eras!AU$5</f>
        <v/>
      </c>
      <c r="AV166" s="5">
        <f>AV163*Eras!AV$5</f>
        <v/>
      </c>
      <c r="AW166" s="5">
        <f>AW163*Eras!AW$5</f>
        <v/>
      </c>
      <c r="AX166" s="5">
        <f>AX163*Eras!AX$5</f>
        <v/>
      </c>
      <c r="AY166" s="5">
        <f>AY163*Eras!AY$5</f>
        <v/>
      </c>
      <c r="AZ166" s="5">
        <f>AZ163*Eras!AZ$5</f>
        <v/>
      </c>
      <c r="BA166" s="5">
        <f>BA163*Eras!BA$5</f>
        <v/>
      </c>
      <c r="BB166" s="5">
        <f>BB163*Eras!BB$5</f>
        <v/>
      </c>
      <c r="BC166" s="5">
        <f>BC163*Eras!BC$5</f>
        <v/>
      </c>
      <c r="BD166" s="5">
        <f>BD163*Eras!BD$5</f>
        <v/>
      </c>
      <c r="BE166" s="5">
        <f>BE163*Eras!BE$5</f>
        <v/>
      </c>
      <c r="BF166" s="5">
        <f>BF163*Eras!BF$5</f>
        <v/>
      </c>
      <c r="BG166" s="5">
        <f>BG163*Eras!BG$5</f>
        <v/>
      </c>
      <c r="BH166" s="5">
        <f>BH163*Eras!BH$5</f>
        <v/>
      </c>
      <c r="BI166" s="5">
        <f>BI163*Eras!BI$5</f>
        <v/>
      </c>
      <c r="BJ166" s="5">
        <f>BJ163*Eras!BJ$5</f>
        <v/>
      </c>
      <c r="BK166" s="5">
        <f>BK163*Eras!BK$5</f>
        <v/>
      </c>
      <c r="BL166" s="5">
        <f>BL163*Eras!BL$5</f>
        <v/>
      </c>
      <c r="BM166" s="5">
        <f>BM163*Eras!BM$5</f>
        <v/>
      </c>
      <c r="BN166" s="5">
        <f>BN163*Eras!BN$5</f>
        <v/>
      </c>
      <c r="BO166" s="5">
        <f>BO163*Eras!BO$5</f>
        <v/>
      </c>
      <c r="BP166" s="5">
        <f>BP163*Eras!BP$5</f>
        <v/>
      </c>
      <c r="BQ166" s="5">
        <f>BQ163*Eras!BQ$5</f>
        <v/>
      </c>
      <c r="BR166" s="5">
        <f>BR163*Eras!BR$5</f>
        <v/>
      </c>
      <c r="BS166" s="5">
        <f>BS163*Eras!BS$5</f>
        <v/>
      </c>
      <c r="BT166" s="5">
        <f>BT163*Eras!BT$5</f>
        <v/>
      </c>
      <c r="BU166" s="5">
        <f>BU163*Eras!BU$5</f>
        <v/>
      </c>
      <c r="BV166" s="5">
        <f>BV163*Eras!BV$5</f>
        <v/>
      </c>
    </row>
    <row r="168">
      <c r="A168" t="inlineStr">
        <is>
          <t>gross adds</t>
        </is>
      </c>
      <c r="B168" t="inlineStr">
        <is>
          <t>LATAM|BASIC_A</t>
        </is>
      </c>
      <c r="C168" s="5">
        <f>MAU!C6*Params!$B$59*Eras!C$7*Params!$B$130*Params!$B$95</f>
        <v/>
      </c>
      <c r="D168" s="5">
        <f>MAU!D6*Params!$B$59*Eras!D$7*Params!$B$130*Params!$B$95</f>
        <v/>
      </c>
      <c r="E168" s="5">
        <f>MAU!E6*Params!$B$59*Eras!E$7*Params!$B$130*Params!$B$95</f>
        <v/>
      </c>
      <c r="F168" s="5">
        <f>MAU!F6*Params!$B$59*Eras!F$7*Params!$B$130*Params!$B$95</f>
        <v/>
      </c>
      <c r="G168" s="5">
        <f>MAU!G6*Params!$B$59*Eras!G$7*Params!$B$130*Params!$B$95</f>
        <v/>
      </c>
      <c r="H168" s="5">
        <f>MAU!H6*Params!$B$59*Eras!H$7*Params!$B$130*Params!$B$95</f>
        <v/>
      </c>
      <c r="I168" s="5">
        <f>MAU!I6*Params!$B$59*Eras!I$7*Params!$B$130*Params!$B$95</f>
        <v/>
      </c>
      <c r="J168" s="5">
        <f>MAU!J6*Params!$B$59*Eras!J$7*Params!$B$130*Params!$B$95</f>
        <v/>
      </c>
      <c r="K168" s="5">
        <f>MAU!K6*Params!$B$59*Eras!K$7*Params!$B$130*Params!$B$95</f>
        <v/>
      </c>
      <c r="L168" s="5">
        <f>MAU!L6*Params!$B$59*Eras!L$7*Params!$B$130*Params!$B$95</f>
        <v/>
      </c>
      <c r="M168" s="5">
        <f>MAU!M6*Params!$B$59*Eras!M$7*Params!$B$130*Params!$B$95</f>
        <v/>
      </c>
      <c r="N168" s="5">
        <f>MAU!N6*Params!$B$59*Eras!N$7*Params!$B$130*Params!$B$95</f>
        <v/>
      </c>
      <c r="O168" s="5">
        <f>MAU!O6*Params!$B$59*Eras!O$7*Params!$B$130*Params!$B$95</f>
        <v/>
      </c>
      <c r="P168" s="5">
        <f>MAU!P6*Params!$B$59*Eras!P$7*Params!$B$130*Params!$B$95</f>
        <v/>
      </c>
      <c r="Q168" s="5">
        <f>MAU!Q6*Params!$B$59*Eras!Q$7*Params!$B$130*Params!$B$95</f>
        <v/>
      </c>
      <c r="R168" s="5">
        <f>MAU!R6*Params!$B$59*Eras!R$7*Params!$B$130*Params!$B$95</f>
        <v/>
      </c>
      <c r="S168" s="5">
        <f>MAU!S6*Params!$B$59*Eras!S$7*Params!$B$130*Params!$B$95</f>
        <v/>
      </c>
      <c r="T168" s="5">
        <f>MAU!T6*Params!$B$59*Eras!T$7*Params!$B$130*Params!$B$95</f>
        <v/>
      </c>
      <c r="U168" s="5">
        <f>MAU!U6*Params!$B$59*Eras!U$7*Params!$B$130*Params!$B$95</f>
        <v/>
      </c>
      <c r="V168" s="5">
        <f>MAU!V6*Params!$B$59*Eras!V$7*Params!$B$130*Params!$B$95</f>
        <v/>
      </c>
      <c r="W168" s="5">
        <f>MAU!W6*Params!$B$59*Eras!W$7*Params!$B$130*Params!$B$95</f>
        <v/>
      </c>
      <c r="X168" s="5">
        <f>MAU!X6*Params!$B$59*Eras!X$7*Params!$B$130*Params!$B$95</f>
        <v/>
      </c>
      <c r="Y168" s="5">
        <f>MAU!Y6*Params!$B$59*Eras!Y$7*Params!$B$130*Params!$B$95</f>
        <v/>
      </c>
      <c r="Z168" s="5">
        <f>MAU!Z6*Params!$B$59*Eras!Z$7*Params!$B$130*Params!$B$95</f>
        <v/>
      </c>
      <c r="AA168" s="5">
        <f>MAU!AA6*Params!$B$59*Eras!AA$7*Params!$B$130*Params!$B$95</f>
        <v/>
      </c>
      <c r="AB168" s="5">
        <f>MAU!AB6*Params!$B$59*Eras!AB$7*Params!$B$130*Params!$B$95</f>
        <v/>
      </c>
      <c r="AC168" s="5">
        <f>MAU!AC6*Params!$B$59*Eras!AC$7*Params!$B$130*Params!$B$95</f>
        <v/>
      </c>
      <c r="AD168" s="5">
        <f>MAU!AD6*Params!$B$59*Eras!AD$7*Params!$B$130*Params!$B$95</f>
        <v/>
      </c>
      <c r="AE168" s="5">
        <f>MAU!AE6*Params!$B$59*Eras!AE$7*Params!$B$130*Params!$B$95</f>
        <v/>
      </c>
      <c r="AF168" s="5">
        <f>MAU!AF6*Params!$B$59*Eras!AF$7*Params!$B$130*Params!$B$95</f>
        <v/>
      </c>
      <c r="AG168" s="5">
        <f>MAU!AG6*Params!$B$59*Eras!AG$7*Params!$B$130*Params!$B$95</f>
        <v/>
      </c>
      <c r="AH168" s="5">
        <f>MAU!AH6*Params!$B$59*Eras!AH$7*Params!$B$130*Params!$B$95</f>
        <v/>
      </c>
      <c r="AI168" s="5">
        <f>MAU!AI6*Params!$B$59*Eras!AI$7*Params!$B$130*Params!$B$95</f>
        <v/>
      </c>
      <c r="AJ168" s="5">
        <f>MAU!AJ6*Params!$B$59*Eras!AJ$7*Params!$B$130*Params!$B$95</f>
        <v/>
      </c>
      <c r="AK168" s="5">
        <f>MAU!AK6*Params!$B$59*Eras!AK$7*Params!$B$130*Params!$B$95</f>
        <v/>
      </c>
      <c r="AL168" s="5">
        <f>MAU!AL6*Params!$B$59*Eras!AL$7*Params!$B$130*Params!$B$95</f>
        <v/>
      </c>
      <c r="AM168" s="5">
        <f>MAU!AM6*Params!$B$59*Eras!AM$7*Params!$B$130*Params!$B$95</f>
        <v/>
      </c>
      <c r="AN168" s="5">
        <f>MAU!AN6*Params!$B$59*Eras!AN$7*Params!$B$130*Params!$B$95</f>
        <v/>
      </c>
      <c r="AO168" s="5">
        <f>MAU!AO6*Params!$B$59*Eras!AO$7*Params!$B$130*Params!$B$95</f>
        <v/>
      </c>
      <c r="AP168" s="5">
        <f>MAU!AP6*Params!$B$59*Eras!AP$7*Params!$B$130*Params!$B$95</f>
        <v/>
      </c>
      <c r="AQ168" s="5">
        <f>MAU!AQ6*Params!$B$59*Eras!AQ$7*Params!$B$130*Params!$B$95</f>
        <v/>
      </c>
      <c r="AR168" s="5">
        <f>MAU!AR6*Params!$B$59*Eras!AR$7*Params!$B$130*Params!$B$95</f>
        <v/>
      </c>
      <c r="AS168" s="5">
        <f>MAU!AS6*Params!$B$59*Eras!AS$7*Params!$B$130*Params!$B$95</f>
        <v/>
      </c>
      <c r="AT168" s="5">
        <f>MAU!AT6*Params!$B$59*Eras!AT$7*Params!$B$130*Params!$B$95</f>
        <v/>
      </c>
      <c r="AU168" s="5">
        <f>MAU!AU6*Params!$B$59*Eras!AU$7*Params!$B$130*Params!$B$95</f>
        <v/>
      </c>
      <c r="AV168" s="5">
        <f>MAU!AV6*Params!$B$59*Eras!AV$7*Params!$B$130*Params!$B$95</f>
        <v/>
      </c>
      <c r="AW168" s="5">
        <f>MAU!AW6*Params!$B$59*Eras!AW$7*Params!$B$130*Params!$B$95</f>
        <v/>
      </c>
      <c r="AX168" s="5">
        <f>MAU!AX6*Params!$B$59*Eras!AX$7*Params!$B$130*Params!$B$95</f>
        <v/>
      </c>
      <c r="AY168" s="5">
        <f>MAU!AY6*Params!$B$59*Eras!AY$7*Params!$B$130*Params!$B$95</f>
        <v/>
      </c>
      <c r="AZ168" s="5">
        <f>MAU!AZ6*Params!$B$59*Eras!AZ$7*Params!$B$130*Params!$B$95</f>
        <v/>
      </c>
      <c r="BA168" s="5">
        <f>MAU!BA6*Params!$B$59*Eras!BA$7*Params!$B$130*Params!$B$95</f>
        <v/>
      </c>
      <c r="BB168" s="5">
        <f>MAU!BB6*Params!$B$59*Eras!BB$7*Params!$B$130*Params!$B$95</f>
        <v/>
      </c>
      <c r="BC168" s="5">
        <f>MAU!BC6*Params!$B$59*Eras!BC$7*Params!$B$130*Params!$B$95</f>
        <v/>
      </c>
      <c r="BD168" s="5">
        <f>MAU!BD6*Params!$B$59*Eras!BD$7*Params!$B$130*Params!$B$95</f>
        <v/>
      </c>
      <c r="BE168" s="5">
        <f>MAU!BE6*Params!$B$59*Eras!BE$7*Params!$B$130*Params!$B$95</f>
        <v/>
      </c>
      <c r="BF168" s="5">
        <f>MAU!BF6*Params!$B$59*Eras!BF$7*Params!$B$130*Params!$B$95</f>
        <v/>
      </c>
      <c r="BG168" s="5">
        <f>MAU!BG6*Params!$B$59*Eras!BG$7*Params!$B$130*Params!$B$95</f>
        <v/>
      </c>
      <c r="BH168" s="5">
        <f>MAU!BH6*Params!$B$59*Eras!BH$7*Params!$B$130*Params!$B$95</f>
        <v/>
      </c>
      <c r="BI168" s="5">
        <f>MAU!BI6*Params!$B$59*Eras!BI$7*Params!$B$130*Params!$B$95</f>
        <v/>
      </c>
      <c r="BJ168" s="5">
        <f>MAU!BJ6*Params!$B$59*Eras!BJ$7*Params!$B$130*Params!$B$95</f>
        <v/>
      </c>
      <c r="BK168" s="5">
        <f>MAU!BK6*Params!$B$59*Eras!BK$7*Params!$B$130*Params!$B$95</f>
        <v/>
      </c>
      <c r="BL168" s="5">
        <f>MAU!BL6*Params!$B$59*Eras!BL$7*Params!$B$130*Params!$B$95</f>
        <v/>
      </c>
      <c r="BM168" s="5">
        <f>MAU!BM6*Params!$B$59*Eras!BM$7*Params!$B$130*Params!$B$95</f>
        <v/>
      </c>
      <c r="BN168" s="5">
        <f>MAU!BN6*Params!$B$59*Eras!BN$7*Params!$B$130*Params!$B$95</f>
        <v/>
      </c>
      <c r="BO168" s="5">
        <f>MAU!BO6*Params!$B$59*Eras!BO$7*Params!$B$130*Params!$B$95</f>
        <v/>
      </c>
      <c r="BP168" s="5">
        <f>MAU!BP6*Params!$B$59*Eras!BP$7*Params!$B$130*Params!$B$95</f>
        <v/>
      </c>
      <c r="BQ168" s="5">
        <f>MAU!BQ6*Params!$B$59*Eras!BQ$7*Params!$B$130*Params!$B$95</f>
        <v/>
      </c>
      <c r="BR168" s="5">
        <f>MAU!BR6*Params!$B$59*Eras!BR$7*Params!$B$130*Params!$B$95</f>
        <v/>
      </c>
      <c r="BS168" s="5">
        <f>MAU!BS6*Params!$B$59*Eras!BS$7*Params!$B$130*Params!$B$95</f>
        <v/>
      </c>
      <c r="BT168" s="5">
        <f>MAU!BT6*Params!$B$59*Eras!BT$7*Params!$B$130*Params!$B$95</f>
        <v/>
      </c>
      <c r="BU168" s="5">
        <f>MAU!BU6*Params!$B$59*Eras!BU$7*Params!$B$130*Params!$B$95</f>
        <v/>
      </c>
      <c r="BV168" s="5">
        <f>MAU!BV6*Params!$B$59*Eras!BV$7*Params!$B$130*Params!$B$95</f>
        <v/>
      </c>
    </row>
    <row r="169">
      <c r="A169" t="inlineStr">
        <is>
          <t>trial starts</t>
        </is>
      </c>
      <c r="B169" t="inlineStr">
        <is>
          <t>LATAM|BASIC_A</t>
        </is>
      </c>
      <c r="C169" s="5">
        <f>C168*Eras!C$8</f>
        <v/>
      </c>
      <c r="D169" s="5">
        <f>D168*Eras!D$8</f>
        <v/>
      </c>
      <c r="E169" s="5">
        <f>E168*Eras!E$8</f>
        <v/>
      </c>
      <c r="F169" s="5">
        <f>F168*Eras!F$8</f>
        <v/>
      </c>
      <c r="G169" s="5">
        <f>G168*Eras!G$8</f>
        <v/>
      </c>
      <c r="H169" s="5">
        <f>H168*Eras!H$8</f>
        <v/>
      </c>
      <c r="I169" s="5">
        <f>I168*Eras!I$8</f>
        <v/>
      </c>
      <c r="J169" s="5">
        <f>J168*Eras!J$8</f>
        <v/>
      </c>
      <c r="K169" s="5">
        <f>K168*Eras!K$8</f>
        <v/>
      </c>
      <c r="L169" s="5">
        <f>L168*Eras!L$8</f>
        <v/>
      </c>
      <c r="M169" s="5">
        <f>M168*Eras!M$8</f>
        <v/>
      </c>
      <c r="N169" s="5">
        <f>N168*Eras!N$8</f>
        <v/>
      </c>
      <c r="O169" s="5">
        <f>O168*Eras!O$8</f>
        <v/>
      </c>
      <c r="P169" s="5">
        <f>P168*Eras!P$8</f>
        <v/>
      </c>
      <c r="Q169" s="5">
        <f>Q168*Eras!Q$8</f>
        <v/>
      </c>
      <c r="R169" s="5">
        <f>R168*Eras!R$8</f>
        <v/>
      </c>
      <c r="S169" s="5">
        <f>S168*Eras!S$8</f>
        <v/>
      </c>
      <c r="T169" s="5">
        <f>T168*Eras!T$8</f>
        <v/>
      </c>
      <c r="U169" s="5">
        <f>U168*Eras!U$8</f>
        <v/>
      </c>
      <c r="V169" s="5">
        <f>V168*Eras!V$8</f>
        <v/>
      </c>
      <c r="W169" s="5">
        <f>W168*Eras!W$8</f>
        <v/>
      </c>
      <c r="X169" s="5">
        <f>X168*Eras!X$8</f>
        <v/>
      </c>
      <c r="Y169" s="5">
        <f>Y168*Eras!Y$8</f>
        <v/>
      </c>
      <c r="Z169" s="5">
        <f>Z168*Eras!Z$8</f>
        <v/>
      </c>
      <c r="AA169" s="5">
        <f>AA168*Eras!AA$8</f>
        <v/>
      </c>
      <c r="AB169" s="5">
        <f>AB168*Eras!AB$8</f>
        <v/>
      </c>
      <c r="AC169" s="5">
        <f>AC168*Eras!AC$8</f>
        <v/>
      </c>
      <c r="AD169" s="5">
        <f>AD168*Eras!AD$8</f>
        <v/>
      </c>
      <c r="AE169" s="5">
        <f>AE168*Eras!AE$8</f>
        <v/>
      </c>
      <c r="AF169" s="5">
        <f>AF168*Eras!AF$8</f>
        <v/>
      </c>
      <c r="AG169" s="5">
        <f>AG168*Eras!AG$8</f>
        <v/>
      </c>
      <c r="AH169" s="5">
        <f>AH168*Eras!AH$8</f>
        <v/>
      </c>
      <c r="AI169" s="5">
        <f>AI168*Eras!AI$8</f>
        <v/>
      </c>
      <c r="AJ169" s="5">
        <f>AJ168*Eras!AJ$8</f>
        <v/>
      </c>
      <c r="AK169" s="5">
        <f>AK168*Eras!AK$8</f>
        <v/>
      </c>
      <c r="AL169" s="5">
        <f>AL168*Eras!AL$8</f>
        <v/>
      </c>
      <c r="AM169" s="5">
        <f>AM168*Eras!AM$8</f>
        <v/>
      </c>
      <c r="AN169" s="5">
        <f>AN168*Eras!AN$8</f>
        <v/>
      </c>
      <c r="AO169" s="5">
        <f>AO168*Eras!AO$8</f>
        <v/>
      </c>
      <c r="AP169" s="5">
        <f>AP168*Eras!AP$8</f>
        <v/>
      </c>
      <c r="AQ169" s="5">
        <f>AQ168*Eras!AQ$8</f>
        <v/>
      </c>
      <c r="AR169" s="5">
        <f>AR168*Eras!AR$8</f>
        <v/>
      </c>
      <c r="AS169" s="5">
        <f>AS168*Eras!AS$8</f>
        <v/>
      </c>
      <c r="AT169" s="5">
        <f>AT168*Eras!AT$8</f>
        <v/>
      </c>
      <c r="AU169" s="5">
        <f>AU168*Eras!AU$8</f>
        <v/>
      </c>
      <c r="AV169" s="5">
        <f>AV168*Eras!AV$8</f>
        <v/>
      </c>
      <c r="AW169" s="5">
        <f>AW168*Eras!AW$8</f>
        <v/>
      </c>
      <c r="AX169" s="5">
        <f>AX168*Eras!AX$8</f>
        <v/>
      </c>
      <c r="AY169" s="5">
        <f>AY168*Eras!AY$8</f>
        <v/>
      </c>
      <c r="AZ169" s="5">
        <f>AZ168*Eras!AZ$8</f>
        <v/>
      </c>
      <c r="BA169" s="5">
        <f>BA168*Eras!BA$8</f>
        <v/>
      </c>
      <c r="BB169" s="5">
        <f>BB168*Eras!BB$8</f>
        <v/>
      </c>
      <c r="BC169" s="5">
        <f>BC168*Eras!BC$8</f>
        <v/>
      </c>
      <c r="BD169" s="5">
        <f>BD168*Eras!BD$8</f>
        <v/>
      </c>
      <c r="BE169" s="5">
        <f>BE168*Eras!BE$8</f>
        <v/>
      </c>
      <c r="BF169" s="5">
        <f>BF168*Eras!BF$8</f>
        <v/>
      </c>
      <c r="BG169" s="5">
        <f>BG168*Eras!BG$8</f>
        <v/>
      </c>
      <c r="BH169" s="5">
        <f>BH168*Eras!BH$8</f>
        <v/>
      </c>
      <c r="BI169" s="5">
        <f>BI168*Eras!BI$8</f>
        <v/>
      </c>
      <c r="BJ169" s="5">
        <f>BJ168*Eras!BJ$8</f>
        <v/>
      </c>
      <c r="BK169" s="5">
        <f>BK168*Eras!BK$8</f>
        <v/>
      </c>
      <c r="BL169" s="5">
        <f>BL168*Eras!BL$8</f>
        <v/>
      </c>
      <c r="BM169" s="5">
        <f>BM168*Eras!BM$8</f>
        <v/>
      </c>
      <c r="BN169" s="5">
        <f>BN168*Eras!BN$8</f>
        <v/>
      </c>
      <c r="BO169" s="5">
        <f>BO168*Eras!BO$8</f>
        <v/>
      </c>
      <c r="BP169" s="5">
        <f>BP168*Eras!BP$8</f>
        <v/>
      </c>
      <c r="BQ169" s="5">
        <f>BQ168*Eras!BQ$8</f>
        <v/>
      </c>
      <c r="BR169" s="5">
        <f>BR168*Eras!BR$8</f>
        <v/>
      </c>
      <c r="BS169" s="5">
        <f>BS168*Eras!BS$8</f>
        <v/>
      </c>
      <c r="BT169" s="5">
        <f>BT168*Eras!BT$8</f>
        <v/>
      </c>
      <c r="BU169" s="5">
        <f>BU168*Eras!BU$8</f>
        <v/>
      </c>
      <c r="BV169" s="5">
        <f>BV168*Eras!BV$8</f>
        <v/>
      </c>
    </row>
    <row r="170">
      <c r="A170" t="inlineStr">
        <is>
          <t>direct paid starts</t>
        </is>
      </c>
      <c r="B170" t="inlineStr">
        <is>
          <t>LATAM|BASIC_A</t>
        </is>
      </c>
      <c r="C170" s="5">
        <f>C168-C169</f>
        <v/>
      </c>
      <c r="D170" s="5">
        <f>D168-D169</f>
        <v/>
      </c>
      <c r="E170" s="5">
        <f>E168-E169</f>
        <v/>
      </c>
      <c r="F170" s="5">
        <f>F168-F169</f>
        <v/>
      </c>
      <c r="G170" s="5">
        <f>G168-G169</f>
        <v/>
      </c>
      <c r="H170" s="5">
        <f>H168-H169</f>
        <v/>
      </c>
      <c r="I170" s="5">
        <f>I168-I169</f>
        <v/>
      </c>
      <c r="J170" s="5">
        <f>J168-J169</f>
        <v/>
      </c>
      <c r="K170" s="5">
        <f>K168-K169</f>
        <v/>
      </c>
      <c r="L170" s="5">
        <f>L168-L169</f>
        <v/>
      </c>
      <c r="M170" s="5">
        <f>M168-M169</f>
        <v/>
      </c>
      <c r="N170" s="5">
        <f>N168-N169</f>
        <v/>
      </c>
      <c r="O170" s="5">
        <f>O168-O169</f>
        <v/>
      </c>
      <c r="P170" s="5">
        <f>P168-P169</f>
        <v/>
      </c>
      <c r="Q170" s="5">
        <f>Q168-Q169</f>
        <v/>
      </c>
      <c r="R170" s="5">
        <f>R168-R169</f>
        <v/>
      </c>
      <c r="S170" s="5">
        <f>S168-S169</f>
        <v/>
      </c>
      <c r="T170" s="5">
        <f>T168-T169</f>
        <v/>
      </c>
      <c r="U170" s="5">
        <f>U168-U169</f>
        <v/>
      </c>
      <c r="V170" s="5">
        <f>V168-V169</f>
        <v/>
      </c>
      <c r="W170" s="5">
        <f>W168-W169</f>
        <v/>
      </c>
      <c r="X170" s="5">
        <f>X168-X169</f>
        <v/>
      </c>
      <c r="Y170" s="5">
        <f>Y168-Y169</f>
        <v/>
      </c>
      <c r="Z170" s="5">
        <f>Z168-Z169</f>
        <v/>
      </c>
      <c r="AA170" s="5">
        <f>AA168-AA169</f>
        <v/>
      </c>
      <c r="AB170" s="5">
        <f>AB168-AB169</f>
        <v/>
      </c>
      <c r="AC170" s="5">
        <f>AC168-AC169</f>
        <v/>
      </c>
      <c r="AD170" s="5">
        <f>AD168-AD169</f>
        <v/>
      </c>
      <c r="AE170" s="5">
        <f>AE168-AE169</f>
        <v/>
      </c>
      <c r="AF170" s="5">
        <f>AF168-AF169</f>
        <v/>
      </c>
      <c r="AG170" s="5">
        <f>AG168-AG169</f>
        <v/>
      </c>
      <c r="AH170" s="5">
        <f>AH168-AH169</f>
        <v/>
      </c>
      <c r="AI170" s="5">
        <f>AI168-AI169</f>
        <v/>
      </c>
      <c r="AJ170" s="5">
        <f>AJ168-AJ169</f>
        <v/>
      </c>
      <c r="AK170" s="5">
        <f>AK168-AK169</f>
        <v/>
      </c>
      <c r="AL170" s="5">
        <f>AL168-AL169</f>
        <v/>
      </c>
      <c r="AM170" s="5">
        <f>AM168-AM169</f>
        <v/>
      </c>
      <c r="AN170" s="5">
        <f>AN168-AN169</f>
        <v/>
      </c>
      <c r="AO170" s="5">
        <f>AO168-AO169</f>
        <v/>
      </c>
      <c r="AP170" s="5">
        <f>AP168-AP169</f>
        <v/>
      </c>
      <c r="AQ170" s="5">
        <f>AQ168-AQ169</f>
        <v/>
      </c>
      <c r="AR170" s="5">
        <f>AR168-AR169</f>
        <v/>
      </c>
      <c r="AS170" s="5">
        <f>AS168-AS169</f>
        <v/>
      </c>
      <c r="AT170" s="5">
        <f>AT168-AT169</f>
        <v/>
      </c>
      <c r="AU170" s="5">
        <f>AU168-AU169</f>
        <v/>
      </c>
      <c r="AV170" s="5">
        <f>AV168-AV169</f>
        <v/>
      </c>
      <c r="AW170" s="5">
        <f>AW168-AW169</f>
        <v/>
      </c>
      <c r="AX170" s="5">
        <f>AX168-AX169</f>
        <v/>
      </c>
      <c r="AY170" s="5">
        <f>AY168-AY169</f>
        <v/>
      </c>
      <c r="AZ170" s="5">
        <f>AZ168-AZ169</f>
        <v/>
      </c>
      <c r="BA170" s="5">
        <f>BA168-BA169</f>
        <v/>
      </c>
      <c r="BB170" s="5">
        <f>BB168-BB169</f>
        <v/>
      </c>
      <c r="BC170" s="5">
        <f>BC168-BC169</f>
        <v/>
      </c>
      <c r="BD170" s="5">
        <f>BD168-BD169</f>
        <v/>
      </c>
      <c r="BE170" s="5">
        <f>BE168-BE169</f>
        <v/>
      </c>
      <c r="BF170" s="5">
        <f>BF168-BF169</f>
        <v/>
      </c>
      <c r="BG170" s="5">
        <f>BG168-BG169</f>
        <v/>
      </c>
      <c r="BH170" s="5">
        <f>BH168-BH169</f>
        <v/>
      </c>
      <c r="BI170" s="5">
        <f>BI168-BI169</f>
        <v/>
      </c>
      <c r="BJ170" s="5">
        <f>BJ168-BJ169</f>
        <v/>
      </c>
      <c r="BK170" s="5">
        <f>BK168-BK169</f>
        <v/>
      </c>
      <c r="BL170" s="5">
        <f>BL168-BL169</f>
        <v/>
      </c>
      <c r="BM170" s="5">
        <f>BM168-BM169</f>
        <v/>
      </c>
      <c r="BN170" s="5">
        <f>BN168-BN169</f>
        <v/>
      </c>
      <c r="BO170" s="5">
        <f>BO168-BO169</f>
        <v/>
      </c>
      <c r="BP170" s="5">
        <f>BP168-BP169</f>
        <v/>
      </c>
      <c r="BQ170" s="5">
        <f>BQ168-BQ169</f>
        <v/>
      </c>
      <c r="BR170" s="5">
        <f>BR168-BR169</f>
        <v/>
      </c>
      <c r="BS170" s="5">
        <f>BS168-BS169</f>
        <v/>
      </c>
      <c r="BT170" s="5">
        <f>BT168-BT169</f>
        <v/>
      </c>
      <c r="BU170" s="5">
        <f>BU168-BU169</f>
        <v/>
      </c>
      <c r="BV170" s="5">
        <f>BV168-BV169</f>
        <v/>
      </c>
    </row>
    <row r="171">
      <c r="A171" t="inlineStr">
        <is>
          <t>trials ending</t>
        </is>
      </c>
      <c r="B171" t="inlineStr">
        <is>
          <t>LATAM|BASIC_A</t>
        </is>
      </c>
      <c r="C171" s="5">
        <f>IF(C$2&gt;=Params!$B$6,INDEX($C$169:$BV$169,C$2-Params!$B$6+1),0)</f>
        <v/>
      </c>
      <c r="D171" s="5">
        <f>IF(D$2&gt;=Params!$B$6,INDEX($C$169:$BV$169,D$2-Params!$B$6+1),0)</f>
        <v/>
      </c>
      <c r="E171" s="5">
        <f>IF(E$2&gt;=Params!$B$6,INDEX($C$169:$BV$169,E$2-Params!$B$6+1),0)</f>
        <v/>
      </c>
      <c r="F171" s="5">
        <f>IF(F$2&gt;=Params!$B$6,INDEX($C$169:$BV$169,F$2-Params!$B$6+1),0)</f>
        <v/>
      </c>
      <c r="G171" s="5">
        <f>IF(G$2&gt;=Params!$B$6,INDEX($C$169:$BV$169,G$2-Params!$B$6+1),0)</f>
        <v/>
      </c>
      <c r="H171" s="5">
        <f>IF(H$2&gt;=Params!$B$6,INDEX($C$169:$BV$169,H$2-Params!$B$6+1),0)</f>
        <v/>
      </c>
      <c r="I171" s="5">
        <f>IF(I$2&gt;=Params!$B$6,INDEX($C$169:$BV$169,I$2-Params!$B$6+1),0)</f>
        <v/>
      </c>
      <c r="J171" s="5">
        <f>IF(J$2&gt;=Params!$B$6,INDEX($C$169:$BV$169,J$2-Params!$B$6+1),0)</f>
        <v/>
      </c>
      <c r="K171" s="5">
        <f>IF(K$2&gt;=Params!$B$6,INDEX($C$169:$BV$169,K$2-Params!$B$6+1),0)</f>
        <v/>
      </c>
      <c r="L171" s="5">
        <f>IF(L$2&gt;=Params!$B$6,INDEX($C$169:$BV$169,L$2-Params!$B$6+1),0)</f>
        <v/>
      </c>
      <c r="M171" s="5">
        <f>IF(M$2&gt;=Params!$B$6,INDEX($C$169:$BV$169,M$2-Params!$B$6+1),0)</f>
        <v/>
      </c>
      <c r="N171" s="5">
        <f>IF(N$2&gt;=Params!$B$6,INDEX($C$169:$BV$169,N$2-Params!$B$6+1),0)</f>
        <v/>
      </c>
      <c r="O171" s="5">
        <f>IF(O$2&gt;=Params!$B$6,INDEX($C$169:$BV$169,O$2-Params!$B$6+1),0)</f>
        <v/>
      </c>
      <c r="P171" s="5">
        <f>IF(P$2&gt;=Params!$B$6,INDEX($C$169:$BV$169,P$2-Params!$B$6+1),0)</f>
        <v/>
      </c>
      <c r="Q171" s="5">
        <f>IF(Q$2&gt;=Params!$B$6,INDEX($C$169:$BV$169,Q$2-Params!$B$6+1),0)</f>
        <v/>
      </c>
      <c r="R171" s="5">
        <f>IF(R$2&gt;=Params!$B$6,INDEX($C$169:$BV$169,R$2-Params!$B$6+1),0)</f>
        <v/>
      </c>
      <c r="S171" s="5">
        <f>IF(S$2&gt;=Params!$B$6,INDEX($C$169:$BV$169,S$2-Params!$B$6+1),0)</f>
        <v/>
      </c>
      <c r="T171" s="5">
        <f>IF(T$2&gt;=Params!$B$6,INDEX($C$169:$BV$169,T$2-Params!$B$6+1),0)</f>
        <v/>
      </c>
      <c r="U171" s="5">
        <f>IF(U$2&gt;=Params!$B$6,INDEX($C$169:$BV$169,U$2-Params!$B$6+1),0)</f>
        <v/>
      </c>
      <c r="V171" s="5">
        <f>IF(V$2&gt;=Params!$B$6,INDEX($C$169:$BV$169,V$2-Params!$B$6+1),0)</f>
        <v/>
      </c>
      <c r="W171" s="5">
        <f>IF(W$2&gt;=Params!$B$6,INDEX($C$169:$BV$169,W$2-Params!$B$6+1),0)</f>
        <v/>
      </c>
      <c r="X171" s="5">
        <f>IF(X$2&gt;=Params!$B$6,INDEX($C$169:$BV$169,X$2-Params!$B$6+1),0)</f>
        <v/>
      </c>
      <c r="Y171" s="5">
        <f>IF(Y$2&gt;=Params!$B$6,INDEX($C$169:$BV$169,Y$2-Params!$B$6+1),0)</f>
        <v/>
      </c>
      <c r="Z171" s="5">
        <f>IF(Z$2&gt;=Params!$B$6,INDEX($C$169:$BV$169,Z$2-Params!$B$6+1),0)</f>
        <v/>
      </c>
      <c r="AA171" s="5">
        <f>IF(AA$2&gt;=Params!$B$6,INDEX($C$169:$BV$169,AA$2-Params!$B$6+1),0)</f>
        <v/>
      </c>
      <c r="AB171" s="5">
        <f>IF(AB$2&gt;=Params!$B$6,INDEX($C$169:$BV$169,AB$2-Params!$B$6+1),0)</f>
        <v/>
      </c>
      <c r="AC171" s="5">
        <f>IF(AC$2&gt;=Params!$B$6,INDEX($C$169:$BV$169,AC$2-Params!$B$6+1),0)</f>
        <v/>
      </c>
      <c r="AD171" s="5">
        <f>IF(AD$2&gt;=Params!$B$6,INDEX($C$169:$BV$169,AD$2-Params!$B$6+1),0)</f>
        <v/>
      </c>
      <c r="AE171" s="5">
        <f>IF(AE$2&gt;=Params!$B$6,INDEX($C$169:$BV$169,AE$2-Params!$B$6+1),0)</f>
        <v/>
      </c>
      <c r="AF171" s="5">
        <f>IF(AF$2&gt;=Params!$B$6,INDEX($C$169:$BV$169,AF$2-Params!$B$6+1),0)</f>
        <v/>
      </c>
      <c r="AG171" s="5">
        <f>IF(AG$2&gt;=Params!$B$6,INDEX($C$169:$BV$169,AG$2-Params!$B$6+1),0)</f>
        <v/>
      </c>
      <c r="AH171" s="5">
        <f>IF(AH$2&gt;=Params!$B$6,INDEX($C$169:$BV$169,AH$2-Params!$B$6+1),0)</f>
        <v/>
      </c>
      <c r="AI171" s="5">
        <f>IF(AI$2&gt;=Params!$B$6,INDEX($C$169:$BV$169,AI$2-Params!$B$6+1),0)</f>
        <v/>
      </c>
      <c r="AJ171" s="5">
        <f>IF(AJ$2&gt;=Params!$B$6,INDEX($C$169:$BV$169,AJ$2-Params!$B$6+1),0)</f>
        <v/>
      </c>
      <c r="AK171" s="5">
        <f>IF(AK$2&gt;=Params!$B$6,INDEX($C$169:$BV$169,AK$2-Params!$B$6+1),0)</f>
        <v/>
      </c>
      <c r="AL171" s="5">
        <f>IF(AL$2&gt;=Params!$B$6,INDEX($C$169:$BV$169,AL$2-Params!$B$6+1),0)</f>
        <v/>
      </c>
      <c r="AM171" s="5">
        <f>IF(AM$2&gt;=Params!$B$6,INDEX($C$169:$BV$169,AM$2-Params!$B$6+1),0)</f>
        <v/>
      </c>
      <c r="AN171" s="5">
        <f>IF(AN$2&gt;=Params!$B$6,INDEX($C$169:$BV$169,AN$2-Params!$B$6+1),0)</f>
        <v/>
      </c>
      <c r="AO171" s="5">
        <f>IF(AO$2&gt;=Params!$B$6,INDEX($C$169:$BV$169,AO$2-Params!$B$6+1),0)</f>
        <v/>
      </c>
      <c r="AP171" s="5">
        <f>IF(AP$2&gt;=Params!$B$6,INDEX($C$169:$BV$169,AP$2-Params!$B$6+1),0)</f>
        <v/>
      </c>
      <c r="AQ171" s="5">
        <f>IF(AQ$2&gt;=Params!$B$6,INDEX($C$169:$BV$169,AQ$2-Params!$B$6+1),0)</f>
        <v/>
      </c>
      <c r="AR171" s="5">
        <f>IF(AR$2&gt;=Params!$B$6,INDEX($C$169:$BV$169,AR$2-Params!$B$6+1),0)</f>
        <v/>
      </c>
      <c r="AS171" s="5">
        <f>IF(AS$2&gt;=Params!$B$6,INDEX($C$169:$BV$169,AS$2-Params!$B$6+1),0)</f>
        <v/>
      </c>
      <c r="AT171" s="5">
        <f>IF(AT$2&gt;=Params!$B$6,INDEX($C$169:$BV$169,AT$2-Params!$B$6+1),0)</f>
        <v/>
      </c>
      <c r="AU171" s="5">
        <f>IF(AU$2&gt;=Params!$B$6,INDEX($C$169:$BV$169,AU$2-Params!$B$6+1),0)</f>
        <v/>
      </c>
      <c r="AV171" s="5">
        <f>IF(AV$2&gt;=Params!$B$6,INDEX($C$169:$BV$169,AV$2-Params!$B$6+1),0)</f>
        <v/>
      </c>
      <c r="AW171" s="5">
        <f>IF(AW$2&gt;=Params!$B$6,INDEX($C$169:$BV$169,AW$2-Params!$B$6+1),0)</f>
        <v/>
      </c>
      <c r="AX171" s="5">
        <f>IF(AX$2&gt;=Params!$B$6,INDEX($C$169:$BV$169,AX$2-Params!$B$6+1),0)</f>
        <v/>
      </c>
      <c r="AY171" s="5">
        <f>IF(AY$2&gt;=Params!$B$6,INDEX($C$169:$BV$169,AY$2-Params!$B$6+1),0)</f>
        <v/>
      </c>
      <c r="AZ171" s="5">
        <f>IF(AZ$2&gt;=Params!$B$6,INDEX($C$169:$BV$169,AZ$2-Params!$B$6+1),0)</f>
        <v/>
      </c>
      <c r="BA171" s="5">
        <f>IF(BA$2&gt;=Params!$B$6,INDEX($C$169:$BV$169,BA$2-Params!$B$6+1),0)</f>
        <v/>
      </c>
      <c r="BB171" s="5">
        <f>IF(BB$2&gt;=Params!$B$6,INDEX($C$169:$BV$169,BB$2-Params!$B$6+1),0)</f>
        <v/>
      </c>
      <c r="BC171" s="5">
        <f>IF(BC$2&gt;=Params!$B$6,INDEX($C$169:$BV$169,BC$2-Params!$B$6+1),0)</f>
        <v/>
      </c>
      <c r="BD171" s="5">
        <f>IF(BD$2&gt;=Params!$B$6,INDEX($C$169:$BV$169,BD$2-Params!$B$6+1),0)</f>
        <v/>
      </c>
      <c r="BE171" s="5">
        <f>IF(BE$2&gt;=Params!$B$6,INDEX($C$169:$BV$169,BE$2-Params!$B$6+1),0)</f>
        <v/>
      </c>
      <c r="BF171" s="5">
        <f>IF(BF$2&gt;=Params!$B$6,INDEX($C$169:$BV$169,BF$2-Params!$B$6+1),0)</f>
        <v/>
      </c>
      <c r="BG171" s="5">
        <f>IF(BG$2&gt;=Params!$B$6,INDEX($C$169:$BV$169,BG$2-Params!$B$6+1),0)</f>
        <v/>
      </c>
      <c r="BH171" s="5">
        <f>IF(BH$2&gt;=Params!$B$6,INDEX($C$169:$BV$169,BH$2-Params!$B$6+1),0)</f>
        <v/>
      </c>
      <c r="BI171" s="5">
        <f>IF(BI$2&gt;=Params!$B$6,INDEX($C$169:$BV$169,BI$2-Params!$B$6+1),0)</f>
        <v/>
      </c>
      <c r="BJ171" s="5">
        <f>IF(BJ$2&gt;=Params!$B$6,INDEX($C$169:$BV$169,BJ$2-Params!$B$6+1),0)</f>
        <v/>
      </c>
      <c r="BK171" s="5">
        <f>IF(BK$2&gt;=Params!$B$6,INDEX($C$169:$BV$169,BK$2-Params!$B$6+1),0)</f>
        <v/>
      </c>
      <c r="BL171" s="5">
        <f>IF(BL$2&gt;=Params!$B$6,INDEX($C$169:$BV$169,BL$2-Params!$B$6+1),0)</f>
        <v/>
      </c>
      <c r="BM171" s="5">
        <f>IF(BM$2&gt;=Params!$B$6,INDEX($C$169:$BV$169,BM$2-Params!$B$6+1),0)</f>
        <v/>
      </c>
      <c r="BN171" s="5">
        <f>IF(BN$2&gt;=Params!$B$6,INDEX($C$169:$BV$169,BN$2-Params!$B$6+1),0)</f>
        <v/>
      </c>
      <c r="BO171" s="5">
        <f>IF(BO$2&gt;=Params!$B$6,INDEX($C$169:$BV$169,BO$2-Params!$B$6+1),0)</f>
        <v/>
      </c>
      <c r="BP171" s="5">
        <f>IF(BP$2&gt;=Params!$B$6,INDEX($C$169:$BV$169,BP$2-Params!$B$6+1),0)</f>
        <v/>
      </c>
      <c r="BQ171" s="5">
        <f>IF(BQ$2&gt;=Params!$B$6,INDEX($C$169:$BV$169,BQ$2-Params!$B$6+1),0)</f>
        <v/>
      </c>
      <c r="BR171" s="5">
        <f>IF(BR$2&gt;=Params!$B$6,INDEX($C$169:$BV$169,BR$2-Params!$B$6+1),0)</f>
        <v/>
      </c>
      <c r="BS171" s="5">
        <f>IF(BS$2&gt;=Params!$B$6,INDEX($C$169:$BV$169,BS$2-Params!$B$6+1),0)</f>
        <v/>
      </c>
      <c r="BT171" s="5">
        <f>IF(BT$2&gt;=Params!$B$6,INDEX($C$169:$BV$169,BT$2-Params!$B$6+1),0)</f>
        <v/>
      </c>
      <c r="BU171" s="5">
        <f>IF(BU$2&gt;=Params!$B$6,INDEX($C$169:$BV$169,BU$2-Params!$B$6+1),0)</f>
        <v/>
      </c>
      <c r="BV171" s="5">
        <f>IF(BV$2&gt;=Params!$B$6,INDEX($C$169:$BV$169,BV$2-Params!$B$6+1),0)</f>
        <v/>
      </c>
    </row>
    <row r="172">
      <c r="A172" t="inlineStr">
        <is>
          <t>trial starts x conversion</t>
        </is>
      </c>
      <c r="B172" t="inlineStr">
        <is>
          <t>LATAM|BASIC_A</t>
        </is>
      </c>
      <c r="C172" s="5">
        <f>C169*Eras!C$9</f>
        <v/>
      </c>
      <c r="D172" s="5">
        <f>D169*Eras!D$9</f>
        <v/>
      </c>
      <c r="E172" s="5">
        <f>E169*Eras!E$9</f>
        <v/>
      </c>
      <c r="F172" s="5">
        <f>F169*Eras!F$9</f>
        <v/>
      </c>
      <c r="G172" s="5">
        <f>G169*Eras!G$9</f>
        <v/>
      </c>
      <c r="H172" s="5">
        <f>H169*Eras!H$9</f>
        <v/>
      </c>
      <c r="I172" s="5">
        <f>I169*Eras!I$9</f>
        <v/>
      </c>
      <c r="J172" s="5">
        <f>J169*Eras!J$9</f>
        <v/>
      </c>
      <c r="K172" s="5">
        <f>K169*Eras!K$9</f>
        <v/>
      </c>
      <c r="L172" s="5">
        <f>L169*Eras!L$9</f>
        <v/>
      </c>
      <c r="M172" s="5">
        <f>M169*Eras!M$9</f>
        <v/>
      </c>
      <c r="N172" s="5">
        <f>N169*Eras!N$9</f>
        <v/>
      </c>
      <c r="O172" s="5">
        <f>O169*Eras!O$9</f>
        <v/>
      </c>
      <c r="P172" s="5">
        <f>P169*Eras!P$9</f>
        <v/>
      </c>
      <c r="Q172" s="5">
        <f>Q169*Eras!Q$9</f>
        <v/>
      </c>
      <c r="R172" s="5">
        <f>R169*Eras!R$9</f>
        <v/>
      </c>
      <c r="S172" s="5">
        <f>S169*Eras!S$9</f>
        <v/>
      </c>
      <c r="T172" s="5">
        <f>T169*Eras!T$9</f>
        <v/>
      </c>
      <c r="U172" s="5">
        <f>U169*Eras!U$9</f>
        <v/>
      </c>
      <c r="V172" s="5">
        <f>V169*Eras!V$9</f>
        <v/>
      </c>
      <c r="W172" s="5">
        <f>W169*Eras!W$9</f>
        <v/>
      </c>
      <c r="X172" s="5">
        <f>X169*Eras!X$9</f>
        <v/>
      </c>
      <c r="Y172" s="5">
        <f>Y169*Eras!Y$9</f>
        <v/>
      </c>
      <c r="Z172" s="5">
        <f>Z169*Eras!Z$9</f>
        <v/>
      </c>
      <c r="AA172" s="5">
        <f>AA169*Eras!AA$9</f>
        <v/>
      </c>
      <c r="AB172" s="5">
        <f>AB169*Eras!AB$9</f>
        <v/>
      </c>
      <c r="AC172" s="5">
        <f>AC169*Eras!AC$9</f>
        <v/>
      </c>
      <c r="AD172" s="5">
        <f>AD169*Eras!AD$9</f>
        <v/>
      </c>
      <c r="AE172" s="5">
        <f>AE169*Eras!AE$9</f>
        <v/>
      </c>
      <c r="AF172" s="5">
        <f>AF169*Eras!AF$9</f>
        <v/>
      </c>
      <c r="AG172" s="5">
        <f>AG169*Eras!AG$9</f>
        <v/>
      </c>
      <c r="AH172" s="5">
        <f>AH169*Eras!AH$9</f>
        <v/>
      </c>
      <c r="AI172" s="5">
        <f>AI169*Eras!AI$9</f>
        <v/>
      </c>
      <c r="AJ172" s="5">
        <f>AJ169*Eras!AJ$9</f>
        <v/>
      </c>
      <c r="AK172" s="5">
        <f>AK169*Eras!AK$9</f>
        <v/>
      </c>
      <c r="AL172" s="5">
        <f>AL169*Eras!AL$9</f>
        <v/>
      </c>
      <c r="AM172" s="5">
        <f>AM169*Eras!AM$9</f>
        <v/>
      </c>
      <c r="AN172" s="5">
        <f>AN169*Eras!AN$9</f>
        <v/>
      </c>
      <c r="AO172" s="5">
        <f>AO169*Eras!AO$9</f>
        <v/>
      </c>
      <c r="AP172" s="5">
        <f>AP169*Eras!AP$9</f>
        <v/>
      </c>
      <c r="AQ172" s="5">
        <f>AQ169*Eras!AQ$9</f>
        <v/>
      </c>
      <c r="AR172" s="5">
        <f>AR169*Eras!AR$9</f>
        <v/>
      </c>
      <c r="AS172" s="5">
        <f>AS169*Eras!AS$9</f>
        <v/>
      </c>
      <c r="AT172" s="5">
        <f>AT169*Eras!AT$9</f>
        <v/>
      </c>
      <c r="AU172" s="5">
        <f>AU169*Eras!AU$9</f>
        <v/>
      </c>
      <c r="AV172" s="5">
        <f>AV169*Eras!AV$9</f>
        <v/>
      </c>
      <c r="AW172" s="5">
        <f>AW169*Eras!AW$9</f>
        <v/>
      </c>
      <c r="AX172" s="5">
        <f>AX169*Eras!AX$9</f>
        <v/>
      </c>
      <c r="AY172" s="5">
        <f>AY169*Eras!AY$9</f>
        <v/>
      </c>
      <c r="AZ172" s="5">
        <f>AZ169*Eras!AZ$9</f>
        <v/>
      </c>
      <c r="BA172" s="5">
        <f>BA169*Eras!BA$9</f>
        <v/>
      </c>
      <c r="BB172" s="5">
        <f>BB169*Eras!BB$9</f>
        <v/>
      </c>
      <c r="BC172" s="5">
        <f>BC169*Eras!BC$9</f>
        <v/>
      </c>
      <c r="BD172" s="5">
        <f>BD169*Eras!BD$9</f>
        <v/>
      </c>
      <c r="BE172" s="5">
        <f>BE169*Eras!BE$9</f>
        <v/>
      </c>
      <c r="BF172" s="5">
        <f>BF169*Eras!BF$9</f>
        <v/>
      </c>
      <c r="BG172" s="5">
        <f>BG169*Eras!BG$9</f>
        <v/>
      </c>
      <c r="BH172" s="5">
        <f>BH169*Eras!BH$9</f>
        <v/>
      </c>
      <c r="BI172" s="5">
        <f>BI169*Eras!BI$9</f>
        <v/>
      </c>
      <c r="BJ172" s="5">
        <f>BJ169*Eras!BJ$9</f>
        <v/>
      </c>
      <c r="BK172" s="5">
        <f>BK169*Eras!BK$9</f>
        <v/>
      </c>
      <c r="BL172" s="5">
        <f>BL169*Eras!BL$9</f>
        <v/>
      </c>
      <c r="BM172" s="5">
        <f>BM169*Eras!BM$9</f>
        <v/>
      </c>
      <c r="BN172" s="5">
        <f>BN169*Eras!BN$9</f>
        <v/>
      </c>
      <c r="BO172" s="5">
        <f>BO169*Eras!BO$9</f>
        <v/>
      </c>
      <c r="BP172" s="5">
        <f>BP169*Eras!BP$9</f>
        <v/>
      </c>
      <c r="BQ172" s="5">
        <f>BQ169*Eras!BQ$9</f>
        <v/>
      </c>
      <c r="BR172" s="5">
        <f>BR169*Eras!BR$9</f>
        <v/>
      </c>
      <c r="BS172" s="5">
        <f>BS169*Eras!BS$9</f>
        <v/>
      </c>
      <c r="BT172" s="5">
        <f>BT169*Eras!BT$9</f>
        <v/>
      </c>
      <c r="BU172" s="5">
        <f>BU169*Eras!BU$9</f>
        <v/>
      </c>
      <c r="BV172" s="5">
        <f>BV169*Eras!BV$9</f>
        <v/>
      </c>
    </row>
    <row r="173">
      <c r="A173" t="inlineStr">
        <is>
          <t>trials converted</t>
        </is>
      </c>
      <c r="B173" t="inlineStr">
        <is>
          <t>LATAM|BASIC_A</t>
        </is>
      </c>
      <c r="C173" s="5">
        <f>IF(C$2&gt;=Params!$B$6,INDEX($C$172:$BV$172,C$2-Params!$B$6+1),0)</f>
        <v/>
      </c>
      <c r="D173" s="5">
        <f>IF(D$2&gt;=Params!$B$6,INDEX($C$172:$BV$172,D$2-Params!$B$6+1),0)</f>
        <v/>
      </c>
      <c r="E173" s="5">
        <f>IF(E$2&gt;=Params!$B$6,INDEX($C$172:$BV$172,E$2-Params!$B$6+1),0)</f>
        <v/>
      </c>
      <c r="F173" s="5">
        <f>IF(F$2&gt;=Params!$B$6,INDEX($C$172:$BV$172,F$2-Params!$B$6+1),0)</f>
        <v/>
      </c>
      <c r="G173" s="5">
        <f>IF(G$2&gt;=Params!$B$6,INDEX($C$172:$BV$172,G$2-Params!$B$6+1),0)</f>
        <v/>
      </c>
      <c r="H173" s="5">
        <f>IF(H$2&gt;=Params!$B$6,INDEX($C$172:$BV$172,H$2-Params!$B$6+1),0)</f>
        <v/>
      </c>
      <c r="I173" s="5">
        <f>IF(I$2&gt;=Params!$B$6,INDEX($C$172:$BV$172,I$2-Params!$B$6+1),0)</f>
        <v/>
      </c>
      <c r="J173" s="5">
        <f>IF(J$2&gt;=Params!$B$6,INDEX($C$172:$BV$172,J$2-Params!$B$6+1),0)</f>
        <v/>
      </c>
      <c r="K173" s="5">
        <f>IF(K$2&gt;=Params!$B$6,INDEX($C$172:$BV$172,K$2-Params!$B$6+1),0)</f>
        <v/>
      </c>
      <c r="L173" s="5">
        <f>IF(L$2&gt;=Params!$B$6,INDEX($C$172:$BV$172,L$2-Params!$B$6+1),0)</f>
        <v/>
      </c>
      <c r="M173" s="5">
        <f>IF(M$2&gt;=Params!$B$6,INDEX($C$172:$BV$172,M$2-Params!$B$6+1),0)</f>
        <v/>
      </c>
      <c r="N173" s="5">
        <f>IF(N$2&gt;=Params!$B$6,INDEX($C$172:$BV$172,N$2-Params!$B$6+1),0)</f>
        <v/>
      </c>
      <c r="O173" s="5">
        <f>IF(O$2&gt;=Params!$B$6,INDEX($C$172:$BV$172,O$2-Params!$B$6+1),0)</f>
        <v/>
      </c>
      <c r="P173" s="5">
        <f>IF(P$2&gt;=Params!$B$6,INDEX($C$172:$BV$172,P$2-Params!$B$6+1),0)</f>
        <v/>
      </c>
      <c r="Q173" s="5">
        <f>IF(Q$2&gt;=Params!$B$6,INDEX($C$172:$BV$172,Q$2-Params!$B$6+1),0)</f>
        <v/>
      </c>
      <c r="R173" s="5">
        <f>IF(R$2&gt;=Params!$B$6,INDEX($C$172:$BV$172,R$2-Params!$B$6+1),0)</f>
        <v/>
      </c>
      <c r="S173" s="5">
        <f>IF(S$2&gt;=Params!$B$6,INDEX($C$172:$BV$172,S$2-Params!$B$6+1),0)</f>
        <v/>
      </c>
      <c r="T173" s="5">
        <f>IF(T$2&gt;=Params!$B$6,INDEX($C$172:$BV$172,T$2-Params!$B$6+1),0)</f>
        <v/>
      </c>
      <c r="U173" s="5">
        <f>IF(U$2&gt;=Params!$B$6,INDEX($C$172:$BV$172,U$2-Params!$B$6+1),0)</f>
        <v/>
      </c>
      <c r="V173" s="5">
        <f>IF(V$2&gt;=Params!$B$6,INDEX($C$172:$BV$172,V$2-Params!$B$6+1),0)</f>
        <v/>
      </c>
      <c r="W173" s="5">
        <f>IF(W$2&gt;=Params!$B$6,INDEX($C$172:$BV$172,W$2-Params!$B$6+1),0)</f>
        <v/>
      </c>
      <c r="X173" s="5">
        <f>IF(X$2&gt;=Params!$B$6,INDEX($C$172:$BV$172,X$2-Params!$B$6+1),0)</f>
        <v/>
      </c>
      <c r="Y173" s="5">
        <f>IF(Y$2&gt;=Params!$B$6,INDEX($C$172:$BV$172,Y$2-Params!$B$6+1),0)</f>
        <v/>
      </c>
      <c r="Z173" s="5">
        <f>IF(Z$2&gt;=Params!$B$6,INDEX($C$172:$BV$172,Z$2-Params!$B$6+1),0)</f>
        <v/>
      </c>
      <c r="AA173" s="5">
        <f>IF(AA$2&gt;=Params!$B$6,INDEX($C$172:$BV$172,AA$2-Params!$B$6+1),0)</f>
        <v/>
      </c>
      <c r="AB173" s="5">
        <f>IF(AB$2&gt;=Params!$B$6,INDEX($C$172:$BV$172,AB$2-Params!$B$6+1),0)</f>
        <v/>
      </c>
      <c r="AC173" s="5">
        <f>IF(AC$2&gt;=Params!$B$6,INDEX($C$172:$BV$172,AC$2-Params!$B$6+1),0)</f>
        <v/>
      </c>
      <c r="AD173" s="5">
        <f>IF(AD$2&gt;=Params!$B$6,INDEX($C$172:$BV$172,AD$2-Params!$B$6+1),0)</f>
        <v/>
      </c>
      <c r="AE173" s="5">
        <f>IF(AE$2&gt;=Params!$B$6,INDEX($C$172:$BV$172,AE$2-Params!$B$6+1),0)</f>
        <v/>
      </c>
      <c r="AF173" s="5">
        <f>IF(AF$2&gt;=Params!$B$6,INDEX($C$172:$BV$172,AF$2-Params!$B$6+1),0)</f>
        <v/>
      </c>
      <c r="AG173" s="5">
        <f>IF(AG$2&gt;=Params!$B$6,INDEX($C$172:$BV$172,AG$2-Params!$B$6+1),0)</f>
        <v/>
      </c>
      <c r="AH173" s="5">
        <f>IF(AH$2&gt;=Params!$B$6,INDEX($C$172:$BV$172,AH$2-Params!$B$6+1),0)</f>
        <v/>
      </c>
      <c r="AI173" s="5">
        <f>IF(AI$2&gt;=Params!$B$6,INDEX($C$172:$BV$172,AI$2-Params!$B$6+1),0)</f>
        <v/>
      </c>
      <c r="AJ173" s="5">
        <f>IF(AJ$2&gt;=Params!$B$6,INDEX($C$172:$BV$172,AJ$2-Params!$B$6+1),0)</f>
        <v/>
      </c>
      <c r="AK173" s="5">
        <f>IF(AK$2&gt;=Params!$B$6,INDEX($C$172:$BV$172,AK$2-Params!$B$6+1),0)</f>
        <v/>
      </c>
      <c r="AL173" s="5">
        <f>IF(AL$2&gt;=Params!$B$6,INDEX($C$172:$BV$172,AL$2-Params!$B$6+1),0)</f>
        <v/>
      </c>
      <c r="AM173" s="5">
        <f>IF(AM$2&gt;=Params!$B$6,INDEX($C$172:$BV$172,AM$2-Params!$B$6+1),0)</f>
        <v/>
      </c>
      <c r="AN173" s="5">
        <f>IF(AN$2&gt;=Params!$B$6,INDEX($C$172:$BV$172,AN$2-Params!$B$6+1),0)</f>
        <v/>
      </c>
      <c r="AO173" s="5">
        <f>IF(AO$2&gt;=Params!$B$6,INDEX($C$172:$BV$172,AO$2-Params!$B$6+1),0)</f>
        <v/>
      </c>
      <c r="AP173" s="5">
        <f>IF(AP$2&gt;=Params!$B$6,INDEX($C$172:$BV$172,AP$2-Params!$B$6+1),0)</f>
        <v/>
      </c>
      <c r="AQ173" s="5">
        <f>IF(AQ$2&gt;=Params!$B$6,INDEX($C$172:$BV$172,AQ$2-Params!$B$6+1),0)</f>
        <v/>
      </c>
      <c r="AR173" s="5">
        <f>IF(AR$2&gt;=Params!$B$6,INDEX($C$172:$BV$172,AR$2-Params!$B$6+1),0)</f>
        <v/>
      </c>
      <c r="AS173" s="5">
        <f>IF(AS$2&gt;=Params!$B$6,INDEX($C$172:$BV$172,AS$2-Params!$B$6+1),0)</f>
        <v/>
      </c>
      <c r="AT173" s="5">
        <f>IF(AT$2&gt;=Params!$B$6,INDEX($C$172:$BV$172,AT$2-Params!$B$6+1),0)</f>
        <v/>
      </c>
      <c r="AU173" s="5">
        <f>IF(AU$2&gt;=Params!$B$6,INDEX($C$172:$BV$172,AU$2-Params!$B$6+1),0)</f>
        <v/>
      </c>
      <c r="AV173" s="5">
        <f>IF(AV$2&gt;=Params!$B$6,INDEX($C$172:$BV$172,AV$2-Params!$B$6+1),0)</f>
        <v/>
      </c>
      <c r="AW173" s="5">
        <f>IF(AW$2&gt;=Params!$B$6,INDEX($C$172:$BV$172,AW$2-Params!$B$6+1),0)</f>
        <v/>
      </c>
      <c r="AX173" s="5">
        <f>IF(AX$2&gt;=Params!$B$6,INDEX($C$172:$BV$172,AX$2-Params!$B$6+1),0)</f>
        <v/>
      </c>
      <c r="AY173" s="5">
        <f>IF(AY$2&gt;=Params!$B$6,INDEX($C$172:$BV$172,AY$2-Params!$B$6+1),0)</f>
        <v/>
      </c>
      <c r="AZ173" s="5">
        <f>IF(AZ$2&gt;=Params!$B$6,INDEX($C$172:$BV$172,AZ$2-Params!$B$6+1),0)</f>
        <v/>
      </c>
      <c r="BA173" s="5">
        <f>IF(BA$2&gt;=Params!$B$6,INDEX($C$172:$BV$172,BA$2-Params!$B$6+1),0)</f>
        <v/>
      </c>
      <c r="BB173" s="5">
        <f>IF(BB$2&gt;=Params!$B$6,INDEX($C$172:$BV$172,BB$2-Params!$B$6+1),0)</f>
        <v/>
      </c>
      <c r="BC173" s="5">
        <f>IF(BC$2&gt;=Params!$B$6,INDEX($C$172:$BV$172,BC$2-Params!$B$6+1),0)</f>
        <v/>
      </c>
      <c r="BD173" s="5">
        <f>IF(BD$2&gt;=Params!$B$6,INDEX($C$172:$BV$172,BD$2-Params!$B$6+1),0)</f>
        <v/>
      </c>
      <c r="BE173" s="5">
        <f>IF(BE$2&gt;=Params!$B$6,INDEX($C$172:$BV$172,BE$2-Params!$B$6+1),0)</f>
        <v/>
      </c>
      <c r="BF173" s="5">
        <f>IF(BF$2&gt;=Params!$B$6,INDEX($C$172:$BV$172,BF$2-Params!$B$6+1),0)</f>
        <v/>
      </c>
      <c r="BG173" s="5">
        <f>IF(BG$2&gt;=Params!$B$6,INDEX($C$172:$BV$172,BG$2-Params!$B$6+1),0)</f>
        <v/>
      </c>
      <c r="BH173" s="5">
        <f>IF(BH$2&gt;=Params!$B$6,INDEX($C$172:$BV$172,BH$2-Params!$B$6+1),0)</f>
        <v/>
      </c>
      <c r="BI173" s="5">
        <f>IF(BI$2&gt;=Params!$B$6,INDEX($C$172:$BV$172,BI$2-Params!$B$6+1),0)</f>
        <v/>
      </c>
      <c r="BJ173" s="5">
        <f>IF(BJ$2&gt;=Params!$B$6,INDEX($C$172:$BV$172,BJ$2-Params!$B$6+1),0)</f>
        <v/>
      </c>
      <c r="BK173" s="5">
        <f>IF(BK$2&gt;=Params!$B$6,INDEX($C$172:$BV$172,BK$2-Params!$B$6+1),0)</f>
        <v/>
      </c>
      <c r="BL173" s="5">
        <f>IF(BL$2&gt;=Params!$B$6,INDEX($C$172:$BV$172,BL$2-Params!$B$6+1),0)</f>
        <v/>
      </c>
      <c r="BM173" s="5">
        <f>IF(BM$2&gt;=Params!$B$6,INDEX($C$172:$BV$172,BM$2-Params!$B$6+1),0)</f>
        <v/>
      </c>
      <c r="BN173" s="5">
        <f>IF(BN$2&gt;=Params!$B$6,INDEX($C$172:$BV$172,BN$2-Params!$B$6+1),0)</f>
        <v/>
      </c>
      <c r="BO173" s="5">
        <f>IF(BO$2&gt;=Params!$B$6,INDEX($C$172:$BV$172,BO$2-Params!$B$6+1),0)</f>
        <v/>
      </c>
      <c r="BP173" s="5">
        <f>IF(BP$2&gt;=Params!$B$6,INDEX($C$172:$BV$172,BP$2-Params!$B$6+1),0)</f>
        <v/>
      </c>
      <c r="BQ173" s="5">
        <f>IF(BQ$2&gt;=Params!$B$6,INDEX($C$172:$BV$172,BQ$2-Params!$B$6+1),0)</f>
        <v/>
      </c>
      <c r="BR173" s="5">
        <f>IF(BR$2&gt;=Params!$B$6,INDEX($C$172:$BV$172,BR$2-Params!$B$6+1),0)</f>
        <v/>
      </c>
      <c r="BS173" s="5">
        <f>IF(BS$2&gt;=Params!$B$6,INDEX($C$172:$BV$172,BS$2-Params!$B$6+1),0)</f>
        <v/>
      </c>
      <c r="BT173" s="5">
        <f>IF(BT$2&gt;=Params!$B$6,INDEX($C$172:$BV$172,BT$2-Params!$B$6+1),0)</f>
        <v/>
      </c>
      <c r="BU173" s="5">
        <f>IF(BU$2&gt;=Params!$B$6,INDEX($C$172:$BV$172,BU$2-Params!$B$6+1),0)</f>
        <v/>
      </c>
      <c r="BV173" s="5">
        <f>IF(BV$2&gt;=Params!$B$6,INDEX($C$172:$BV$172,BV$2-Params!$B$6+1),0)</f>
        <v/>
      </c>
    </row>
    <row r="174">
      <c r="A174" t="inlineStr">
        <is>
          <t>trials lost</t>
        </is>
      </c>
      <c r="B174" t="inlineStr">
        <is>
          <t>LATAM|BASIC_A</t>
        </is>
      </c>
      <c r="C174" s="5">
        <f>C171-C173</f>
        <v/>
      </c>
      <c r="D174" s="5">
        <f>D171-D173</f>
        <v/>
      </c>
      <c r="E174" s="5">
        <f>E171-E173</f>
        <v/>
      </c>
      <c r="F174" s="5">
        <f>F171-F173</f>
        <v/>
      </c>
      <c r="G174" s="5">
        <f>G171-G173</f>
        <v/>
      </c>
      <c r="H174" s="5">
        <f>H171-H173</f>
        <v/>
      </c>
      <c r="I174" s="5">
        <f>I171-I173</f>
        <v/>
      </c>
      <c r="J174" s="5">
        <f>J171-J173</f>
        <v/>
      </c>
      <c r="K174" s="5">
        <f>K171-K173</f>
        <v/>
      </c>
      <c r="L174" s="5">
        <f>L171-L173</f>
        <v/>
      </c>
      <c r="M174" s="5">
        <f>M171-M173</f>
        <v/>
      </c>
      <c r="N174" s="5">
        <f>N171-N173</f>
        <v/>
      </c>
      <c r="O174" s="5">
        <f>O171-O173</f>
        <v/>
      </c>
      <c r="P174" s="5">
        <f>P171-P173</f>
        <v/>
      </c>
      <c r="Q174" s="5">
        <f>Q171-Q173</f>
        <v/>
      </c>
      <c r="R174" s="5">
        <f>R171-R173</f>
        <v/>
      </c>
      <c r="S174" s="5">
        <f>S171-S173</f>
        <v/>
      </c>
      <c r="T174" s="5">
        <f>T171-T173</f>
        <v/>
      </c>
      <c r="U174" s="5">
        <f>U171-U173</f>
        <v/>
      </c>
      <c r="V174" s="5">
        <f>V171-V173</f>
        <v/>
      </c>
      <c r="W174" s="5">
        <f>W171-W173</f>
        <v/>
      </c>
      <c r="X174" s="5">
        <f>X171-X173</f>
        <v/>
      </c>
      <c r="Y174" s="5">
        <f>Y171-Y173</f>
        <v/>
      </c>
      <c r="Z174" s="5">
        <f>Z171-Z173</f>
        <v/>
      </c>
      <c r="AA174" s="5">
        <f>AA171-AA173</f>
        <v/>
      </c>
      <c r="AB174" s="5">
        <f>AB171-AB173</f>
        <v/>
      </c>
      <c r="AC174" s="5">
        <f>AC171-AC173</f>
        <v/>
      </c>
      <c r="AD174" s="5">
        <f>AD171-AD173</f>
        <v/>
      </c>
      <c r="AE174" s="5">
        <f>AE171-AE173</f>
        <v/>
      </c>
      <c r="AF174" s="5">
        <f>AF171-AF173</f>
        <v/>
      </c>
      <c r="AG174" s="5">
        <f>AG171-AG173</f>
        <v/>
      </c>
      <c r="AH174" s="5">
        <f>AH171-AH173</f>
        <v/>
      </c>
      <c r="AI174" s="5">
        <f>AI171-AI173</f>
        <v/>
      </c>
      <c r="AJ174" s="5">
        <f>AJ171-AJ173</f>
        <v/>
      </c>
      <c r="AK174" s="5">
        <f>AK171-AK173</f>
        <v/>
      </c>
      <c r="AL174" s="5">
        <f>AL171-AL173</f>
        <v/>
      </c>
      <c r="AM174" s="5">
        <f>AM171-AM173</f>
        <v/>
      </c>
      <c r="AN174" s="5">
        <f>AN171-AN173</f>
        <v/>
      </c>
      <c r="AO174" s="5">
        <f>AO171-AO173</f>
        <v/>
      </c>
      <c r="AP174" s="5">
        <f>AP171-AP173</f>
        <v/>
      </c>
      <c r="AQ174" s="5">
        <f>AQ171-AQ173</f>
        <v/>
      </c>
      <c r="AR174" s="5">
        <f>AR171-AR173</f>
        <v/>
      </c>
      <c r="AS174" s="5">
        <f>AS171-AS173</f>
        <v/>
      </c>
      <c r="AT174" s="5">
        <f>AT171-AT173</f>
        <v/>
      </c>
      <c r="AU174" s="5">
        <f>AU171-AU173</f>
        <v/>
      </c>
      <c r="AV174" s="5">
        <f>AV171-AV173</f>
        <v/>
      </c>
      <c r="AW174" s="5">
        <f>AW171-AW173</f>
        <v/>
      </c>
      <c r="AX174" s="5">
        <f>AX171-AX173</f>
        <v/>
      </c>
      <c r="AY174" s="5">
        <f>AY171-AY173</f>
        <v/>
      </c>
      <c r="AZ174" s="5">
        <f>AZ171-AZ173</f>
        <v/>
      </c>
      <c r="BA174" s="5">
        <f>BA171-BA173</f>
        <v/>
      </c>
      <c r="BB174" s="5">
        <f>BB171-BB173</f>
        <v/>
      </c>
      <c r="BC174" s="5">
        <f>BC171-BC173</f>
        <v/>
      </c>
      <c r="BD174" s="5">
        <f>BD171-BD173</f>
        <v/>
      </c>
      <c r="BE174" s="5">
        <f>BE171-BE173</f>
        <v/>
      </c>
      <c r="BF174" s="5">
        <f>BF171-BF173</f>
        <v/>
      </c>
      <c r="BG174" s="5">
        <f>BG171-BG173</f>
        <v/>
      </c>
      <c r="BH174" s="5">
        <f>BH171-BH173</f>
        <v/>
      </c>
      <c r="BI174" s="5">
        <f>BI171-BI173</f>
        <v/>
      </c>
      <c r="BJ174" s="5">
        <f>BJ171-BJ173</f>
        <v/>
      </c>
      <c r="BK174" s="5">
        <f>BK171-BK173</f>
        <v/>
      </c>
      <c r="BL174" s="5">
        <f>BL171-BL173</f>
        <v/>
      </c>
      <c r="BM174" s="5">
        <f>BM171-BM173</f>
        <v/>
      </c>
      <c r="BN174" s="5">
        <f>BN171-BN173</f>
        <v/>
      </c>
      <c r="BO174" s="5">
        <f>BO171-BO173</f>
        <v/>
      </c>
      <c r="BP174" s="5">
        <f>BP171-BP173</f>
        <v/>
      </c>
      <c r="BQ174" s="5">
        <f>BQ171-BQ173</f>
        <v/>
      </c>
      <c r="BR174" s="5">
        <f>BR171-BR173</f>
        <v/>
      </c>
      <c r="BS174" s="5">
        <f>BS171-BS173</f>
        <v/>
      </c>
      <c r="BT174" s="5">
        <f>BT171-BT173</f>
        <v/>
      </c>
      <c r="BU174" s="5">
        <f>BU171-BU173</f>
        <v/>
      </c>
      <c r="BV174" s="5">
        <f>BV171-BV173</f>
        <v/>
      </c>
    </row>
    <row r="175">
      <c r="A175" t="inlineStr">
        <is>
          <t>cum trial starts</t>
        </is>
      </c>
      <c r="B175" t="inlineStr">
        <is>
          <t>LATAM|BASIC_A</t>
        </is>
      </c>
      <c r="C175" s="5">
        <f>SUM($C169:C169)</f>
        <v/>
      </c>
      <c r="D175" s="5">
        <f>SUM($C169:D169)</f>
        <v/>
      </c>
      <c r="E175" s="5">
        <f>SUM($C169:E169)</f>
        <v/>
      </c>
      <c r="F175" s="5">
        <f>SUM($C169:F169)</f>
        <v/>
      </c>
      <c r="G175" s="5">
        <f>SUM($C169:G169)</f>
        <v/>
      </c>
      <c r="H175" s="5">
        <f>SUM($C169:H169)</f>
        <v/>
      </c>
      <c r="I175" s="5">
        <f>SUM($C169:I169)</f>
        <v/>
      </c>
      <c r="J175" s="5">
        <f>SUM($C169:J169)</f>
        <v/>
      </c>
      <c r="K175" s="5">
        <f>SUM($C169:K169)</f>
        <v/>
      </c>
      <c r="L175" s="5">
        <f>SUM($C169:L169)</f>
        <v/>
      </c>
      <c r="M175" s="5">
        <f>SUM($C169:M169)</f>
        <v/>
      </c>
      <c r="N175" s="5">
        <f>SUM($C169:N169)</f>
        <v/>
      </c>
      <c r="O175" s="5">
        <f>SUM($C169:O169)</f>
        <v/>
      </c>
      <c r="P175" s="5">
        <f>SUM($C169:P169)</f>
        <v/>
      </c>
      <c r="Q175" s="5">
        <f>SUM($C169:Q169)</f>
        <v/>
      </c>
      <c r="R175" s="5">
        <f>SUM($C169:R169)</f>
        <v/>
      </c>
      <c r="S175" s="5">
        <f>SUM($C169:S169)</f>
        <v/>
      </c>
      <c r="T175" s="5">
        <f>SUM($C169:T169)</f>
        <v/>
      </c>
      <c r="U175" s="5">
        <f>SUM($C169:U169)</f>
        <v/>
      </c>
      <c r="V175" s="5">
        <f>SUM($C169:V169)</f>
        <v/>
      </c>
      <c r="W175" s="5">
        <f>SUM($C169:W169)</f>
        <v/>
      </c>
      <c r="X175" s="5">
        <f>SUM($C169:X169)</f>
        <v/>
      </c>
      <c r="Y175" s="5">
        <f>SUM($C169:Y169)</f>
        <v/>
      </c>
      <c r="Z175" s="5">
        <f>SUM($C169:Z169)</f>
        <v/>
      </c>
      <c r="AA175" s="5">
        <f>SUM($C169:AA169)</f>
        <v/>
      </c>
      <c r="AB175" s="5">
        <f>SUM($C169:AB169)</f>
        <v/>
      </c>
      <c r="AC175" s="5">
        <f>SUM($C169:AC169)</f>
        <v/>
      </c>
      <c r="AD175" s="5">
        <f>SUM($C169:AD169)</f>
        <v/>
      </c>
      <c r="AE175" s="5">
        <f>SUM($C169:AE169)</f>
        <v/>
      </c>
      <c r="AF175" s="5">
        <f>SUM($C169:AF169)</f>
        <v/>
      </c>
      <c r="AG175" s="5">
        <f>SUM($C169:AG169)</f>
        <v/>
      </c>
      <c r="AH175" s="5">
        <f>SUM($C169:AH169)</f>
        <v/>
      </c>
      <c r="AI175" s="5">
        <f>SUM($C169:AI169)</f>
        <v/>
      </c>
      <c r="AJ175" s="5">
        <f>SUM($C169:AJ169)</f>
        <v/>
      </c>
      <c r="AK175" s="5">
        <f>SUM($C169:AK169)</f>
        <v/>
      </c>
      <c r="AL175" s="5">
        <f>SUM($C169:AL169)</f>
        <v/>
      </c>
      <c r="AM175" s="5">
        <f>SUM($C169:AM169)</f>
        <v/>
      </c>
      <c r="AN175" s="5">
        <f>SUM($C169:AN169)</f>
        <v/>
      </c>
      <c r="AO175" s="5">
        <f>SUM($C169:AO169)</f>
        <v/>
      </c>
      <c r="AP175" s="5">
        <f>SUM($C169:AP169)</f>
        <v/>
      </c>
      <c r="AQ175" s="5">
        <f>SUM($C169:AQ169)</f>
        <v/>
      </c>
      <c r="AR175" s="5">
        <f>SUM($C169:AR169)</f>
        <v/>
      </c>
      <c r="AS175" s="5">
        <f>SUM($C169:AS169)</f>
        <v/>
      </c>
      <c r="AT175" s="5">
        <f>SUM($C169:AT169)</f>
        <v/>
      </c>
      <c r="AU175" s="5">
        <f>SUM($C169:AU169)</f>
        <v/>
      </c>
      <c r="AV175" s="5">
        <f>SUM($C169:AV169)</f>
        <v/>
      </c>
      <c r="AW175" s="5">
        <f>SUM($C169:AW169)</f>
        <v/>
      </c>
      <c r="AX175" s="5">
        <f>SUM($C169:AX169)</f>
        <v/>
      </c>
      <c r="AY175" s="5">
        <f>SUM($C169:AY169)</f>
        <v/>
      </c>
      <c r="AZ175" s="5">
        <f>SUM($C169:AZ169)</f>
        <v/>
      </c>
      <c r="BA175" s="5">
        <f>SUM($C169:BA169)</f>
        <v/>
      </c>
      <c r="BB175" s="5">
        <f>SUM($C169:BB169)</f>
        <v/>
      </c>
      <c r="BC175" s="5">
        <f>SUM($C169:BC169)</f>
        <v/>
      </c>
      <c r="BD175" s="5">
        <f>SUM($C169:BD169)</f>
        <v/>
      </c>
      <c r="BE175" s="5">
        <f>SUM($C169:BE169)</f>
        <v/>
      </c>
      <c r="BF175" s="5">
        <f>SUM($C169:BF169)</f>
        <v/>
      </c>
      <c r="BG175" s="5">
        <f>SUM($C169:BG169)</f>
        <v/>
      </c>
      <c r="BH175" s="5">
        <f>SUM($C169:BH169)</f>
        <v/>
      </c>
      <c r="BI175" s="5">
        <f>SUM($C169:BI169)</f>
        <v/>
      </c>
      <c r="BJ175" s="5">
        <f>SUM($C169:BJ169)</f>
        <v/>
      </c>
      <c r="BK175" s="5">
        <f>SUM($C169:BK169)</f>
        <v/>
      </c>
      <c r="BL175" s="5">
        <f>SUM($C169:BL169)</f>
        <v/>
      </c>
      <c r="BM175" s="5">
        <f>SUM($C169:BM169)</f>
        <v/>
      </c>
      <c r="BN175" s="5">
        <f>SUM($C169:BN169)</f>
        <v/>
      </c>
      <c r="BO175" s="5">
        <f>SUM($C169:BO169)</f>
        <v/>
      </c>
      <c r="BP175" s="5">
        <f>SUM($C169:BP169)</f>
        <v/>
      </c>
      <c r="BQ175" s="5">
        <f>SUM($C169:BQ169)</f>
        <v/>
      </c>
      <c r="BR175" s="5">
        <f>SUM($C169:BR169)</f>
        <v/>
      </c>
      <c r="BS175" s="5">
        <f>SUM($C169:BS169)</f>
        <v/>
      </c>
      <c r="BT175" s="5">
        <f>SUM($C169:BT169)</f>
        <v/>
      </c>
      <c r="BU175" s="5">
        <f>SUM($C169:BU169)</f>
        <v/>
      </c>
      <c r="BV175" s="5">
        <f>SUM($C169:BV169)</f>
        <v/>
      </c>
    </row>
    <row r="176">
      <c r="A176" t="inlineStr">
        <is>
          <t>cum trials ending</t>
        </is>
      </c>
      <c r="B176" t="inlineStr">
        <is>
          <t>LATAM|BASIC_A</t>
        </is>
      </c>
      <c r="C176" s="5">
        <f>SUM($C171:C171)</f>
        <v/>
      </c>
      <c r="D176" s="5">
        <f>SUM($C171:D171)</f>
        <v/>
      </c>
      <c r="E176" s="5">
        <f>SUM($C171:E171)</f>
        <v/>
      </c>
      <c r="F176" s="5">
        <f>SUM($C171:F171)</f>
        <v/>
      </c>
      <c r="G176" s="5">
        <f>SUM($C171:G171)</f>
        <v/>
      </c>
      <c r="H176" s="5">
        <f>SUM($C171:H171)</f>
        <v/>
      </c>
      <c r="I176" s="5">
        <f>SUM($C171:I171)</f>
        <v/>
      </c>
      <c r="J176" s="5">
        <f>SUM($C171:J171)</f>
        <v/>
      </c>
      <c r="K176" s="5">
        <f>SUM($C171:K171)</f>
        <v/>
      </c>
      <c r="L176" s="5">
        <f>SUM($C171:L171)</f>
        <v/>
      </c>
      <c r="M176" s="5">
        <f>SUM($C171:M171)</f>
        <v/>
      </c>
      <c r="N176" s="5">
        <f>SUM($C171:N171)</f>
        <v/>
      </c>
      <c r="O176" s="5">
        <f>SUM($C171:O171)</f>
        <v/>
      </c>
      <c r="P176" s="5">
        <f>SUM($C171:P171)</f>
        <v/>
      </c>
      <c r="Q176" s="5">
        <f>SUM($C171:Q171)</f>
        <v/>
      </c>
      <c r="R176" s="5">
        <f>SUM($C171:R171)</f>
        <v/>
      </c>
      <c r="S176" s="5">
        <f>SUM($C171:S171)</f>
        <v/>
      </c>
      <c r="T176" s="5">
        <f>SUM($C171:T171)</f>
        <v/>
      </c>
      <c r="U176" s="5">
        <f>SUM($C171:U171)</f>
        <v/>
      </c>
      <c r="V176" s="5">
        <f>SUM($C171:V171)</f>
        <v/>
      </c>
      <c r="W176" s="5">
        <f>SUM($C171:W171)</f>
        <v/>
      </c>
      <c r="X176" s="5">
        <f>SUM($C171:X171)</f>
        <v/>
      </c>
      <c r="Y176" s="5">
        <f>SUM($C171:Y171)</f>
        <v/>
      </c>
      <c r="Z176" s="5">
        <f>SUM($C171:Z171)</f>
        <v/>
      </c>
      <c r="AA176" s="5">
        <f>SUM($C171:AA171)</f>
        <v/>
      </c>
      <c r="AB176" s="5">
        <f>SUM($C171:AB171)</f>
        <v/>
      </c>
      <c r="AC176" s="5">
        <f>SUM($C171:AC171)</f>
        <v/>
      </c>
      <c r="AD176" s="5">
        <f>SUM($C171:AD171)</f>
        <v/>
      </c>
      <c r="AE176" s="5">
        <f>SUM($C171:AE171)</f>
        <v/>
      </c>
      <c r="AF176" s="5">
        <f>SUM($C171:AF171)</f>
        <v/>
      </c>
      <c r="AG176" s="5">
        <f>SUM($C171:AG171)</f>
        <v/>
      </c>
      <c r="AH176" s="5">
        <f>SUM($C171:AH171)</f>
        <v/>
      </c>
      <c r="AI176" s="5">
        <f>SUM($C171:AI171)</f>
        <v/>
      </c>
      <c r="AJ176" s="5">
        <f>SUM($C171:AJ171)</f>
        <v/>
      </c>
      <c r="AK176" s="5">
        <f>SUM($C171:AK171)</f>
        <v/>
      </c>
      <c r="AL176" s="5">
        <f>SUM($C171:AL171)</f>
        <v/>
      </c>
      <c r="AM176" s="5">
        <f>SUM($C171:AM171)</f>
        <v/>
      </c>
      <c r="AN176" s="5">
        <f>SUM($C171:AN171)</f>
        <v/>
      </c>
      <c r="AO176" s="5">
        <f>SUM($C171:AO171)</f>
        <v/>
      </c>
      <c r="AP176" s="5">
        <f>SUM($C171:AP171)</f>
        <v/>
      </c>
      <c r="AQ176" s="5">
        <f>SUM($C171:AQ171)</f>
        <v/>
      </c>
      <c r="AR176" s="5">
        <f>SUM($C171:AR171)</f>
        <v/>
      </c>
      <c r="AS176" s="5">
        <f>SUM($C171:AS171)</f>
        <v/>
      </c>
      <c r="AT176" s="5">
        <f>SUM($C171:AT171)</f>
        <v/>
      </c>
      <c r="AU176" s="5">
        <f>SUM($C171:AU171)</f>
        <v/>
      </c>
      <c r="AV176" s="5">
        <f>SUM($C171:AV171)</f>
        <v/>
      </c>
      <c r="AW176" s="5">
        <f>SUM($C171:AW171)</f>
        <v/>
      </c>
      <c r="AX176" s="5">
        <f>SUM($C171:AX171)</f>
        <v/>
      </c>
      <c r="AY176" s="5">
        <f>SUM($C171:AY171)</f>
        <v/>
      </c>
      <c r="AZ176" s="5">
        <f>SUM($C171:AZ171)</f>
        <v/>
      </c>
      <c r="BA176" s="5">
        <f>SUM($C171:BA171)</f>
        <v/>
      </c>
      <c r="BB176" s="5">
        <f>SUM($C171:BB171)</f>
        <v/>
      </c>
      <c r="BC176" s="5">
        <f>SUM($C171:BC171)</f>
        <v/>
      </c>
      <c r="BD176" s="5">
        <f>SUM($C171:BD171)</f>
        <v/>
      </c>
      <c r="BE176" s="5">
        <f>SUM($C171:BE171)</f>
        <v/>
      </c>
      <c r="BF176" s="5">
        <f>SUM($C171:BF171)</f>
        <v/>
      </c>
      <c r="BG176" s="5">
        <f>SUM($C171:BG171)</f>
        <v/>
      </c>
      <c r="BH176" s="5">
        <f>SUM($C171:BH171)</f>
        <v/>
      </c>
      <c r="BI176" s="5">
        <f>SUM($C171:BI171)</f>
        <v/>
      </c>
      <c r="BJ176" s="5">
        <f>SUM($C171:BJ171)</f>
        <v/>
      </c>
      <c r="BK176" s="5">
        <f>SUM($C171:BK171)</f>
        <v/>
      </c>
      <c r="BL176" s="5">
        <f>SUM($C171:BL171)</f>
        <v/>
      </c>
      <c r="BM176" s="5">
        <f>SUM($C171:BM171)</f>
        <v/>
      </c>
      <c r="BN176" s="5">
        <f>SUM($C171:BN171)</f>
        <v/>
      </c>
      <c r="BO176" s="5">
        <f>SUM($C171:BO171)</f>
        <v/>
      </c>
      <c r="BP176" s="5">
        <f>SUM($C171:BP171)</f>
        <v/>
      </c>
      <c r="BQ176" s="5">
        <f>SUM($C171:BQ171)</f>
        <v/>
      </c>
      <c r="BR176" s="5">
        <f>SUM($C171:BR171)</f>
        <v/>
      </c>
      <c r="BS176" s="5">
        <f>SUM($C171:BS171)</f>
        <v/>
      </c>
      <c r="BT176" s="5">
        <f>SUM($C171:BT171)</f>
        <v/>
      </c>
      <c r="BU176" s="5">
        <f>SUM($C171:BU171)</f>
        <v/>
      </c>
      <c r="BV176" s="5">
        <f>SUM($C171:BV171)</f>
        <v/>
      </c>
    </row>
    <row r="177">
      <c r="A177" t="inlineStr">
        <is>
          <t>trials active</t>
        </is>
      </c>
      <c r="B177" t="inlineStr">
        <is>
          <t>LATAM|BASIC_A</t>
        </is>
      </c>
      <c r="C177" s="5">
        <f>C175-C176</f>
        <v/>
      </c>
      <c r="D177" s="5">
        <f>D175-D176</f>
        <v/>
      </c>
      <c r="E177" s="5">
        <f>E175-E176</f>
        <v/>
      </c>
      <c r="F177" s="5">
        <f>F175-F176</f>
        <v/>
      </c>
      <c r="G177" s="5">
        <f>G175-G176</f>
        <v/>
      </c>
      <c r="H177" s="5">
        <f>H175-H176</f>
        <v/>
      </c>
      <c r="I177" s="5">
        <f>I175-I176</f>
        <v/>
      </c>
      <c r="J177" s="5">
        <f>J175-J176</f>
        <v/>
      </c>
      <c r="K177" s="5">
        <f>K175-K176</f>
        <v/>
      </c>
      <c r="L177" s="5">
        <f>L175-L176</f>
        <v/>
      </c>
      <c r="M177" s="5">
        <f>M175-M176</f>
        <v/>
      </c>
      <c r="N177" s="5">
        <f>N175-N176</f>
        <v/>
      </c>
      <c r="O177" s="5">
        <f>O175-O176</f>
        <v/>
      </c>
      <c r="P177" s="5">
        <f>P175-P176</f>
        <v/>
      </c>
      <c r="Q177" s="5">
        <f>Q175-Q176</f>
        <v/>
      </c>
      <c r="R177" s="5">
        <f>R175-R176</f>
        <v/>
      </c>
      <c r="S177" s="5">
        <f>S175-S176</f>
        <v/>
      </c>
      <c r="T177" s="5">
        <f>T175-T176</f>
        <v/>
      </c>
      <c r="U177" s="5">
        <f>U175-U176</f>
        <v/>
      </c>
      <c r="V177" s="5">
        <f>V175-V176</f>
        <v/>
      </c>
      <c r="W177" s="5">
        <f>W175-W176</f>
        <v/>
      </c>
      <c r="X177" s="5">
        <f>X175-X176</f>
        <v/>
      </c>
      <c r="Y177" s="5">
        <f>Y175-Y176</f>
        <v/>
      </c>
      <c r="Z177" s="5">
        <f>Z175-Z176</f>
        <v/>
      </c>
      <c r="AA177" s="5">
        <f>AA175-AA176</f>
        <v/>
      </c>
      <c r="AB177" s="5">
        <f>AB175-AB176</f>
        <v/>
      </c>
      <c r="AC177" s="5">
        <f>AC175-AC176</f>
        <v/>
      </c>
      <c r="AD177" s="5">
        <f>AD175-AD176</f>
        <v/>
      </c>
      <c r="AE177" s="5">
        <f>AE175-AE176</f>
        <v/>
      </c>
      <c r="AF177" s="5">
        <f>AF175-AF176</f>
        <v/>
      </c>
      <c r="AG177" s="5">
        <f>AG175-AG176</f>
        <v/>
      </c>
      <c r="AH177" s="5">
        <f>AH175-AH176</f>
        <v/>
      </c>
      <c r="AI177" s="5">
        <f>AI175-AI176</f>
        <v/>
      </c>
      <c r="AJ177" s="5">
        <f>AJ175-AJ176</f>
        <v/>
      </c>
      <c r="AK177" s="5">
        <f>AK175-AK176</f>
        <v/>
      </c>
      <c r="AL177" s="5">
        <f>AL175-AL176</f>
        <v/>
      </c>
      <c r="AM177" s="5">
        <f>AM175-AM176</f>
        <v/>
      </c>
      <c r="AN177" s="5">
        <f>AN175-AN176</f>
        <v/>
      </c>
      <c r="AO177" s="5">
        <f>AO175-AO176</f>
        <v/>
      </c>
      <c r="AP177" s="5">
        <f>AP175-AP176</f>
        <v/>
      </c>
      <c r="AQ177" s="5">
        <f>AQ175-AQ176</f>
        <v/>
      </c>
      <c r="AR177" s="5">
        <f>AR175-AR176</f>
        <v/>
      </c>
      <c r="AS177" s="5">
        <f>AS175-AS176</f>
        <v/>
      </c>
      <c r="AT177" s="5">
        <f>AT175-AT176</f>
        <v/>
      </c>
      <c r="AU177" s="5">
        <f>AU175-AU176</f>
        <v/>
      </c>
      <c r="AV177" s="5">
        <f>AV175-AV176</f>
        <v/>
      </c>
      <c r="AW177" s="5">
        <f>AW175-AW176</f>
        <v/>
      </c>
      <c r="AX177" s="5">
        <f>AX175-AX176</f>
        <v/>
      </c>
      <c r="AY177" s="5">
        <f>AY175-AY176</f>
        <v/>
      </c>
      <c r="AZ177" s="5">
        <f>AZ175-AZ176</f>
        <v/>
      </c>
      <c r="BA177" s="5">
        <f>BA175-BA176</f>
        <v/>
      </c>
      <c r="BB177" s="5">
        <f>BB175-BB176</f>
        <v/>
      </c>
      <c r="BC177" s="5">
        <f>BC175-BC176</f>
        <v/>
      </c>
      <c r="BD177" s="5">
        <f>BD175-BD176</f>
        <v/>
      </c>
      <c r="BE177" s="5">
        <f>BE175-BE176</f>
        <v/>
      </c>
      <c r="BF177" s="5">
        <f>BF175-BF176</f>
        <v/>
      </c>
      <c r="BG177" s="5">
        <f>BG175-BG176</f>
        <v/>
      </c>
      <c r="BH177" s="5">
        <f>BH175-BH176</f>
        <v/>
      </c>
      <c r="BI177" s="5">
        <f>BI175-BI176</f>
        <v/>
      </c>
      <c r="BJ177" s="5">
        <f>BJ175-BJ176</f>
        <v/>
      </c>
      <c r="BK177" s="5">
        <f>BK175-BK176</f>
        <v/>
      </c>
      <c r="BL177" s="5">
        <f>BL175-BL176</f>
        <v/>
      </c>
      <c r="BM177" s="5">
        <f>BM175-BM176</f>
        <v/>
      </c>
      <c r="BN177" s="5">
        <f>BN175-BN176</f>
        <v/>
      </c>
      <c r="BO177" s="5">
        <f>BO175-BO176</f>
        <v/>
      </c>
      <c r="BP177" s="5">
        <f>BP175-BP176</f>
        <v/>
      </c>
      <c r="BQ177" s="5">
        <f>BQ175-BQ176</f>
        <v/>
      </c>
      <c r="BR177" s="5">
        <f>BR175-BR176</f>
        <v/>
      </c>
      <c r="BS177" s="5">
        <f>BS175-BS176</f>
        <v/>
      </c>
      <c r="BT177" s="5">
        <f>BT175-BT176</f>
        <v/>
      </c>
      <c r="BU177" s="5">
        <f>BU175-BU176</f>
        <v/>
      </c>
      <c r="BV177" s="5">
        <f>BV175-BV176</f>
        <v/>
      </c>
    </row>
    <row r="178">
      <c r="A178" t="inlineStr">
        <is>
          <t>paid starts</t>
        </is>
      </c>
      <c r="B178" t="inlineStr">
        <is>
          <t>LATAM|BASIC_A</t>
        </is>
      </c>
      <c r="C178" s="5">
        <f>C170+C173</f>
        <v/>
      </c>
      <c r="D178" s="5">
        <f>D170+D173</f>
        <v/>
      </c>
      <c r="E178" s="5">
        <f>E170+E173</f>
        <v/>
      </c>
      <c r="F178" s="5">
        <f>F170+F173</f>
        <v/>
      </c>
      <c r="G178" s="5">
        <f>G170+G173</f>
        <v/>
      </c>
      <c r="H178" s="5">
        <f>H170+H173</f>
        <v/>
      </c>
      <c r="I178" s="5">
        <f>I170+I173</f>
        <v/>
      </c>
      <c r="J178" s="5">
        <f>J170+J173</f>
        <v/>
      </c>
      <c r="K178" s="5">
        <f>K170+K173</f>
        <v/>
      </c>
      <c r="L178" s="5">
        <f>L170+L173</f>
        <v/>
      </c>
      <c r="M178" s="5">
        <f>M170+M173</f>
        <v/>
      </c>
      <c r="N178" s="5">
        <f>N170+N173</f>
        <v/>
      </c>
      <c r="O178" s="5">
        <f>O170+O173</f>
        <v/>
      </c>
      <c r="P178" s="5">
        <f>P170+P173</f>
        <v/>
      </c>
      <c r="Q178" s="5">
        <f>Q170+Q173</f>
        <v/>
      </c>
      <c r="R178" s="5">
        <f>R170+R173</f>
        <v/>
      </c>
      <c r="S178" s="5">
        <f>S170+S173</f>
        <v/>
      </c>
      <c r="T178" s="5">
        <f>T170+T173</f>
        <v/>
      </c>
      <c r="U178" s="5">
        <f>U170+U173</f>
        <v/>
      </c>
      <c r="V178" s="5">
        <f>V170+V173</f>
        <v/>
      </c>
      <c r="W178" s="5">
        <f>W170+W173</f>
        <v/>
      </c>
      <c r="X178" s="5">
        <f>X170+X173</f>
        <v/>
      </c>
      <c r="Y178" s="5">
        <f>Y170+Y173</f>
        <v/>
      </c>
      <c r="Z178" s="5">
        <f>Z170+Z173</f>
        <v/>
      </c>
      <c r="AA178" s="5">
        <f>AA170+AA173</f>
        <v/>
      </c>
      <c r="AB178" s="5">
        <f>AB170+AB173</f>
        <v/>
      </c>
      <c r="AC178" s="5">
        <f>AC170+AC173</f>
        <v/>
      </c>
      <c r="AD178" s="5">
        <f>AD170+AD173</f>
        <v/>
      </c>
      <c r="AE178" s="5">
        <f>AE170+AE173</f>
        <v/>
      </c>
      <c r="AF178" s="5">
        <f>AF170+AF173</f>
        <v/>
      </c>
      <c r="AG178" s="5">
        <f>AG170+AG173</f>
        <v/>
      </c>
      <c r="AH178" s="5">
        <f>AH170+AH173</f>
        <v/>
      </c>
      <c r="AI178" s="5">
        <f>AI170+AI173</f>
        <v/>
      </c>
      <c r="AJ178" s="5">
        <f>AJ170+AJ173</f>
        <v/>
      </c>
      <c r="AK178" s="5">
        <f>AK170+AK173</f>
        <v/>
      </c>
      <c r="AL178" s="5">
        <f>AL170+AL173</f>
        <v/>
      </c>
      <c r="AM178" s="5">
        <f>AM170+AM173</f>
        <v/>
      </c>
      <c r="AN178" s="5">
        <f>AN170+AN173</f>
        <v/>
      </c>
      <c r="AO178" s="5">
        <f>AO170+AO173</f>
        <v/>
      </c>
      <c r="AP178" s="5">
        <f>AP170+AP173</f>
        <v/>
      </c>
      <c r="AQ178" s="5">
        <f>AQ170+AQ173</f>
        <v/>
      </c>
      <c r="AR178" s="5">
        <f>AR170+AR173</f>
        <v/>
      </c>
      <c r="AS178" s="5">
        <f>AS170+AS173</f>
        <v/>
      </c>
      <c r="AT178" s="5">
        <f>AT170+AT173</f>
        <v/>
      </c>
      <c r="AU178" s="5">
        <f>AU170+AU173</f>
        <v/>
      </c>
      <c r="AV178" s="5">
        <f>AV170+AV173</f>
        <v/>
      </c>
      <c r="AW178" s="5">
        <f>AW170+AW173</f>
        <v/>
      </c>
      <c r="AX178" s="5">
        <f>AX170+AX173</f>
        <v/>
      </c>
      <c r="AY178" s="5">
        <f>AY170+AY173</f>
        <v/>
      </c>
      <c r="AZ178" s="5">
        <f>AZ170+AZ173</f>
        <v/>
      </c>
      <c r="BA178" s="5">
        <f>BA170+BA173</f>
        <v/>
      </c>
      <c r="BB178" s="5">
        <f>BB170+BB173</f>
        <v/>
      </c>
      <c r="BC178" s="5">
        <f>BC170+BC173</f>
        <v/>
      </c>
      <c r="BD178" s="5">
        <f>BD170+BD173</f>
        <v/>
      </c>
      <c r="BE178" s="5">
        <f>BE170+BE173</f>
        <v/>
      </c>
      <c r="BF178" s="5">
        <f>BF170+BF173</f>
        <v/>
      </c>
      <c r="BG178" s="5">
        <f>BG170+BG173</f>
        <v/>
      </c>
      <c r="BH178" s="5">
        <f>BH170+BH173</f>
        <v/>
      </c>
      <c r="BI178" s="5">
        <f>BI170+BI173</f>
        <v/>
      </c>
      <c r="BJ178" s="5">
        <f>BJ170+BJ173</f>
        <v/>
      </c>
      <c r="BK178" s="5">
        <f>BK170+BK173</f>
        <v/>
      </c>
      <c r="BL178" s="5">
        <f>BL170+BL173</f>
        <v/>
      </c>
      <c r="BM178" s="5">
        <f>BM170+BM173</f>
        <v/>
      </c>
      <c r="BN178" s="5">
        <f>BN170+BN173</f>
        <v/>
      </c>
      <c r="BO178" s="5">
        <f>BO170+BO173</f>
        <v/>
      </c>
      <c r="BP178" s="5">
        <f>BP170+BP173</f>
        <v/>
      </c>
      <c r="BQ178" s="5">
        <f>BQ170+BQ173</f>
        <v/>
      </c>
      <c r="BR178" s="5">
        <f>BR170+BR173</f>
        <v/>
      </c>
      <c r="BS178" s="5">
        <f>BS170+BS173</f>
        <v/>
      </c>
      <c r="BT178" s="5">
        <f>BT170+BT173</f>
        <v/>
      </c>
      <c r="BU178" s="5">
        <f>BU170+BU173</f>
        <v/>
      </c>
      <c r="BV178" s="5">
        <f>BV170+BV173</f>
        <v/>
      </c>
    </row>
    <row r="179">
      <c r="A179" t="inlineStr">
        <is>
          <t>paid starts @0</t>
        </is>
      </c>
      <c r="B179" t="inlineStr">
        <is>
          <t>LATAM|BASIC_A</t>
        </is>
      </c>
      <c r="C179" s="5">
        <f>C178*Eras!C$3</f>
        <v/>
      </c>
      <c r="D179" s="5">
        <f>D178*Eras!D$3</f>
        <v/>
      </c>
      <c r="E179" s="5">
        <f>E178*Eras!E$3</f>
        <v/>
      </c>
      <c r="F179" s="5">
        <f>F178*Eras!F$3</f>
        <v/>
      </c>
      <c r="G179" s="5">
        <f>G178*Eras!G$3</f>
        <v/>
      </c>
      <c r="H179" s="5">
        <f>H178*Eras!H$3</f>
        <v/>
      </c>
      <c r="I179" s="5">
        <f>I178*Eras!I$3</f>
        <v/>
      </c>
      <c r="J179" s="5">
        <f>J178*Eras!J$3</f>
        <v/>
      </c>
      <c r="K179" s="5">
        <f>K178*Eras!K$3</f>
        <v/>
      </c>
      <c r="L179" s="5">
        <f>L178*Eras!L$3</f>
        <v/>
      </c>
      <c r="M179" s="5">
        <f>M178*Eras!M$3</f>
        <v/>
      </c>
      <c r="N179" s="5">
        <f>N178*Eras!N$3</f>
        <v/>
      </c>
      <c r="O179" s="5">
        <f>O178*Eras!O$3</f>
        <v/>
      </c>
      <c r="P179" s="5">
        <f>P178*Eras!P$3</f>
        <v/>
      </c>
      <c r="Q179" s="5">
        <f>Q178*Eras!Q$3</f>
        <v/>
      </c>
      <c r="R179" s="5">
        <f>R178*Eras!R$3</f>
        <v/>
      </c>
      <c r="S179" s="5">
        <f>S178*Eras!S$3</f>
        <v/>
      </c>
      <c r="T179" s="5">
        <f>T178*Eras!T$3</f>
        <v/>
      </c>
      <c r="U179" s="5">
        <f>U178*Eras!U$3</f>
        <v/>
      </c>
      <c r="V179" s="5">
        <f>V178*Eras!V$3</f>
        <v/>
      </c>
      <c r="W179" s="5">
        <f>W178*Eras!W$3</f>
        <v/>
      </c>
      <c r="X179" s="5">
        <f>X178*Eras!X$3</f>
        <v/>
      </c>
      <c r="Y179" s="5">
        <f>Y178*Eras!Y$3</f>
        <v/>
      </c>
      <c r="Z179" s="5">
        <f>Z178*Eras!Z$3</f>
        <v/>
      </c>
      <c r="AA179" s="5">
        <f>AA178*Eras!AA$3</f>
        <v/>
      </c>
      <c r="AB179" s="5">
        <f>AB178*Eras!AB$3</f>
        <v/>
      </c>
      <c r="AC179" s="5">
        <f>AC178*Eras!AC$3</f>
        <v/>
      </c>
      <c r="AD179" s="5">
        <f>AD178*Eras!AD$3</f>
        <v/>
      </c>
      <c r="AE179" s="5">
        <f>AE178*Eras!AE$3</f>
        <v/>
      </c>
      <c r="AF179" s="5">
        <f>AF178*Eras!AF$3</f>
        <v/>
      </c>
      <c r="AG179" s="5">
        <f>AG178*Eras!AG$3</f>
        <v/>
      </c>
      <c r="AH179" s="5">
        <f>AH178*Eras!AH$3</f>
        <v/>
      </c>
      <c r="AI179" s="5">
        <f>AI178*Eras!AI$3</f>
        <v/>
      </c>
      <c r="AJ179" s="5">
        <f>AJ178*Eras!AJ$3</f>
        <v/>
      </c>
      <c r="AK179" s="5">
        <f>AK178*Eras!AK$3</f>
        <v/>
      </c>
      <c r="AL179" s="5">
        <f>AL178*Eras!AL$3</f>
        <v/>
      </c>
      <c r="AM179" s="5">
        <f>AM178*Eras!AM$3</f>
        <v/>
      </c>
      <c r="AN179" s="5">
        <f>AN178*Eras!AN$3</f>
        <v/>
      </c>
      <c r="AO179" s="5">
        <f>AO178*Eras!AO$3</f>
        <v/>
      </c>
      <c r="AP179" s="5">
        <f>AP178*Eras!AP$3</f>
        <v/>
      </c>
      <c r="AQ179" s="5">
        <f>AQ178*Eras!AQ$3</f>
        <v/>
      </c>
      <c r="AR179" s="5">
        <f>AR178*Eras!AR$3</f>
        <v/>
      </c>
      <c r="AS179" s="5">
        <f>AS178*Eras!AS$3</f>
        <v/>
      </c>
      <c r="AT179" s="5">
        <f>AT178*Eras!AT$3</f>
        <v/>
      </c>
      <c r="AU179" s="5">
        <f>AU178*Eras!AU$3</f>
        <v/>
      </c>
      <c r="AV179" s="5">
        <f>AV178*Eras!AV$3</f>
        <v/>
      </c>
      <c r="AW179" s="5">
        <f>AW178*Eras!AW$3</f>
        <v/>
      </c>
      <c r="AX179" s="5">
        <f>AX178*Eras!AX$3</f>
        <v/>
      </c>
      <c r="AY179" s="5">
        <f>AY178*Eras!AY$3</f>
        <v/>
      </c>
      <c r="AZ179" s="5">
        <f>AZ178*Eras!AZ$3</f>
        <v/>
      </c>
      <c r="BA179" s="5">
        <f>BA178*Eras!BA$3</f>
        <v/>
      </c>
      <c r="BB179" s="5">
        <f>BB178*Eras!BB$3</f>
        <v/>
      </c>
      <c r="BC179" s="5">
        <f>BC178*Eras!BC$3</f>
        <v/>
      </c>
      <c r="BD179" s="5">
        <f>BD178*Eras!BD$3</f>
        <v/>
      </c>
      <c r="BE179" s="5">
        <f>BE178*Eras!BE$3</f>
        <v/>
      </c>
      <c r="BF179" s="5">
        <f>BF178*Eras!BF$3</f>
        <v/>
      </c>
      <c r="BG179" s="5">
        <f>BG178*Eras!BG$3</f>
        <v/>
      </c>
      <c r="BH179" s="5">
        <f>BH178*Eras!BH$3</f>
        <v/>
      </c>
      <c r="BI179" s="5">
        <f>BI178*Eras!BI$3</f>
        <v/>
      </c>
      <c r="BJ179" s="5">
        <f>BJ178*Eras!BJ$3</f>
        <v/>
      </c>
      <c r="BK179" s="5">
        <f>BK178*Eras!BK$3</f>
        <v/>
      </c>
      <c r="BL179" s="5">
        <f>BL178*Eras!BL$3</f>
        <v/>
      </c>
      <c r="BM179" s="5">
        <f>BM178*Eras!BM$3</f>
        <v/>
      </c>
      <c r="BN179" s="5">
        <f>BN178*Eras!BN$3</f>
        <v/>
      </c>
      <c r="BO179" s="5">
        <f>BO178*Eras!BO$3</f>
        <v/>
      </c>
      <c r="BP179" s="5">
        <f>BP178*Eras!BP$3</f>
        <v/>
      </c>
      <c r="BQ179" s="5">
        <f>BQ178*Eras!BQ$3</f>
        <v/>
      </c>
      <c r="BR179" s="5">
        <f>BR178*Eras!BR$3</f>
        <v/>
      </c>
      <c r="BS179" s="5">
        <f>BS178*Eras!BS$3</f>
        <v/>
      </c>
      <c r="BT179" s="5">
        <f>BT178*Eras!BT$3</f>
        <v/>
      </c>
      <c r="BU179" s="5">
        <f>BU178*Eras!BU$3</f>
        <v/>
      </c>
      <c r="BV179" s="5">
        <f>BV178*Eras!BV$3</f>
        <v/>
      </c>
    </row>
    <row r="180">
      <c r="A180" t="inlineStr">
        <is>
          <t>paid starts @1</t>
        </is>
      </c>
      <c r="B180" t="inlineStr">
        <is>
          <t>LATAM|BASIC_A</t>
        </is>
      </c>
      <c r="C180" s="5">
        <f>C178*Eras!C$4</f>
        <v/>
      </c>
      <c r="D180" s="5">
        <f>D178*Eras!D$4</f>
        <v/>
      </c>
      <c r="E180" s="5">
        <f>E178*Eras!E$4</f>
        <v/>
      </c>
      <c r="F180" s="5">
        <f>F178*Eras!F$4</f>
        <v/>
      </c>
      <c r="G180" s="5">
        <f>G178*Eras!G$4</f>
        <v/>
      </c>
      <c r="H180" s="5">
        <f>H178*Eras!H$4</f>
        <v/>
      </c>
      <c r="I180" s="5">
        <f>I178*Eras!I$4</f>
        <v/>
      </c>
      <c r="J180" s="5">
        <f>J178*Eras!J$4</f>
        <v/>
      </c>
      <c r="K180" s="5">
        <f>K178*Eras!K$4</f>
        <v/>
      </c>
      <c r="L180" s="5">
        <f>L178*Eras!L$4</f>
        <v/>
      </c>
      <c r="M180" s="5">
        <f>M178*Eras!M$4</f>
        <v/>
      </c>
      <c r="N180" s="5">
        <f>N178*Eras!N$4</f>
        <v/>
      </c>
      <c r="O180" s="5">
        <f>O178*Eras!O$4</f>
        <v/>
      </c>
      <c r="P180" s="5">
        <f>P178*Eras!P$4</f>
        <v/>
      </c>
      <c r="Q180" s="5">
        <f>Q178*Eras!Q$4</f>
        <v/>
      </c>
      <c r="R180" s="5">
        <f>R178*Eras!R$4</f>
        <v/>
      </c>
      <c r="S180" s="5">
        <f>S178*Eras!S$4</f>
        <v/>
      </c>
      <c r="T180" s="5">
        <f>T178*Eras!T$4</f>
        <v/>
      </c>
      <c r="U180" s="5">
        <f>U178*Eras!U$4</f>
        <v/>
      </c>
      <c r="V180" s="5">
        <f>V178*Eras!V$4</f>
        <v/>
      </c>
      <c r="W180" s="5">
        <f>W178*Eras!W$4</f>
        <v/>
      </c>
      <c r="X180" s="5">
        <f>X178*Eras!X$4</f>
        <v/>
      </c>
      <c r="Y180" s="5">
        <f>Y178*Eras!Y$4</f>
        <v/>
      </c>
      <c r="Z180" s="5">
        <f>Z178*Eras!Z$4</f>
        <v/>
      </c>
      <c r="AA180" s="5">
        <f>AA178*Eras!AA$4</f>
        <v/>
      </c>
      <c r="AB180" s="5">
        <f>AB178*Eras!AB$4</f>
        <v/>
      </c>
      <c r="AC180" s="5">
        <f>AC178*Eras!AC$4</f>
        <v/>
      </c>
      <c r="AD180" s="5">
        <f>AD178*Eras!AD$4</f>
        <v/>
      </c>
      <c r="AE180" s="5">
        <f>AE178*Eras!AE$4</f>
        <v/>
      </c>
      <c r="AF180" s="5">
        <f>AF178*Eras!AF$4</f>
        <v/>
      </c>
      <c r="AG180" s="5">
        <f>AG178*Eras!AG$4</f>
        <v/>
      </c>
      <c r="AH180" s="5">
        <f>AH178*Eras!AH$4</f>
        <v/>
      </c>
      <c r="AI180" s="5">
        <f>AI178*Eras!AI$4</f>
        <v/>
      </c>
      <c r="AJ180" s="5">
        <f>AJ178*Eras!AJ$4</f>
        <v/>
      </c>
      <c r="AK180" s="5">
        <f>AK178*Eras!AK$4</f>
        <v/>
      </c>
      <c r="AL180" s="5">
        <f>AL178*Eras!AL$4</f>
        <v/>
      </c>
      <c r="AM180" s="5">
        <f>AM178*Eras!AM$4</f>
        <v/>
      </c>
      <c r="AN180" s="5">
        <f>AN178*Eras!AN$4</f>
        <v/>
      </c>
      <c r="AO180" s="5">
        <f>AO178*Eras!AO$4</f>
        <v/>
      </c>
      <c r="AP180" s="5">
        <f>AP178*Eras!AP$4</f>
        <v/>
      </c>
      <c r="AQ180" s="5">
        <f>AQ178*Eras!AQ$4</f>
        <v/>
      </c>
      <c r="AR180" s="5">
        <f>AR178*Eras!AR$4</f>
        <v/>
      </c>
      <c r="AS180" s="5">
        <f>AS178*Eras!AS$4</f>
        <v/>
      </c>
      <c r="AT180" s="5">
        <f>AT178*Eras!AT$4</f>
        <v/>
      </c>
      <c r="AU180" s="5">
        <f>AU178*Eras!AU$4</f>
        <v/>
      </c>
      <c r="AV180" s="5">
        <f>AV178*Eras!AV$4</f>
        <v/>
      </c>
      <c r="AW180" s="5">
        <f>AW178*Eras!AW$4</f>
        <v/>
      </c>
      <c r="AX180" s="5">
        <f>AX178*Eras!AX$4</f>
        <v/>
      </c>
      <c r="AY180" s="5">
        <f>AY178*Eras!AY$4</f>
        <v/>
      </c>
      <c r="AZ180" s="5">
        <f>AZ178*Eras!AZ$4</f>
        <v/>
      </c>
      <c r="BA180" s="5">
        <f>BA178*Eras!BA$4</f>
        <v/>
      </c>
      <c r="BB180" s="5">
        <f>BB178*Eras!BB$4</f>
        <v/>
      </c>
      <c r="BC180" s="5">
        <f>BC178*Eras!BC$4</f>
        <v/>
      </c>
      <c r="BD180" s="5">
        <f>BD178*Eras!BD$4</f>
        <v/>
      </c>
      <c r="BE180" s="5">
        <f>BE178*Eras!BE$4</f>
        <v/>
      </c>
      <c r="BF180" s="5">
        <f>BF178*Eras!BF$4</f>
        <v/>
      </c>
      <c r="BG180" s="5">
        <f>BG178*Eras!BG$4</f>
        <v/>
      </c>
      <c r="BH180" s="5">
        <f>BH178*Eras!BH$4</f>
        <v/>
      </c>
      <c r="BI180" s="5">
        <f>BI178*Eras!BI$4</f>
        <v/>
      </c>
      <c r="BJ180" s="5">
        <f>BJ178*Eras!BJ$4</f>
        <v/>
      </c>
      <c r="BK180" s="5">
        <f>BK178*Eras!BK$4</f>
        <v/>
      </c>
      <c r="BL180" s="5">
        <f>BL178*Eras!BL$4</f>
        <v/>
      </c>
      <c r="BM180" s="5">
        <f>BM178*Eras!BM$4</f>
        <v/>
      </c>
      <c r="BN180" s="5">
        <f>BN178*Eras!BN$4</f>
        <v/>
      </c>
      <c r="BO180" s="5">
        <f>BO178*Eras!BO$4</f>
        <v/>
      </c>
      <c r="BP180" s="5">
        <f>BP178*Eras!BP$4</f>
        <v/>
      </c>
      <c r="BQ180" s="5">
        <f>BQ178*Eras!BQ$4</f>
        <v/>
      </c>
      <c r="BR180" s="5">
        <f>BR178*Eras!BR$4</f>
        <v/>
      </c>
      <c r="BS180" s="5">
        <f>BS178*Eras!BS$4</f>
        <v/>
      </c>
      <c r="BT180" s="5">
        <f>BT178*Eras!BT$4</f>
        <v/>
      </c>
      <c r="BU180" s="5">
        <f>BU178*Eras!BU$4</f>
        <v/>
      </c>
      <c r="BV180" s="5">
        <f>BV178*Eras!BV$4</f>
        <v/>
      </c>
    </row>
    <row r="181">
      <c r="A181" t="inlineStr">
        <is>
          <t>paid starts @2</t>
        </is>
      </c>
      <c r="B181" t="inlineStr">
        <is>
          <t>LATAM|BASIC_A</t>
        </is>
      </c>
      <c r="C181" s="5">
        <f>C178*Eras!C$5</f>
        <v/>
      </c>
      <c r="D181" s="5">
        <f>D178*Eras!D$5</f>
        <v/>
      </c>
      <c r="E181" s="5">
        <f>E178*Eras!E$5</f>
        <v/>
      </c>
      <c r="F181" s="5">
        <f>F178*Eras!F$5</f>
        <v/>
      </c>
      <c r="G181" s="5">
        <f>G178*Eras!G$5</f>
        <v/>
      </c>
      <c r="H181" s="5">
        <f>H178*Eras!H$5</f>
        <v/>
      </c>
      <c r="I181" s="5">
        <f>I178*Eras!I$5</f>
        <v/>
      </c>
      <c r="J181" s="5">
        <f>J178*Eras!J$5</f>
        <v/>
      </c>
      <c r="K181" s="5">
        <f>K178*Eras!K$5</f>
        <v/>
      </c>
      <c r="L181" s="5">
        <f>L178*Eras!L$5</f>
        <v/>
      </c>
      <c r="M181" s="5">
        <f>M178*Eras!M$5</f>
        <v/>
      </c>
      <c r="N181" s="5">
        <f>N178*Eras!N$5</f>
        <v/>
      </c>
      <c r="O181" s="5">
        <f>O178*Eras!O$5</f>
        <v/>
      </c>
      <c r="P181" s="5">
        <f>P178*Eras!P$5</f>
        <v/>
      </c>
      <c r="Q181" s="5">
        <f>Q178*Eras!Q$5</f>
        <v/>
      </c>
      <c r="R181" s="5">
        <f>R178*Eras!R$5</f>
        <v/>
      </c>
      <c r="S181" s="5">
        <f>S178*Eras!S$5</f>
        <v/>
      </c>
      <c r="T181" s="5">
        <f>T178*Eras!T$5</f>
        <v/>
      </c>
      <c r="U181" s="5">
        <f>U178*Eras!U$5</f>
        <v/>
      </c>
      <c r="V181" s="5">
        <f>V178*Eras!V$5</f>
        <v/>
      </c>
      <c r="W181" s="5">
        <f>W178*Eras!W$5</f>
        <v/>
      </c>
      <c r="X181" s="5">
        <f>X178*Eras!X$5</f>
        <v/>
      </c>
      <c r="Y181" s="5">
        <f>Y178*Eras!Y$5</f>
        <v/>
      </c>
      <c r="Z181" s="5">
        <f>Z178*Eras!Z$5</f>
        <v/>
      </c>
      <c r="AA181" s="5">
        <f>AA178*Eras!AA$5</f>
        <v/>
      </c>
      <c r="AB181" s="5">
        <f>AB178*Eras!AB$5</f>
        <v/>
      </c>
      <c r="AC181" s="5">
        <f>AC178*Eras!AC$5</f>
        <v/>
      </c>
      <c r="AD181" s="5">
        <f>AD178*Eras!AD$5</f>
        <v/>
      </c>
      <c r="AE181" s="5">
        <f>AE178*Eras!AE$5</f>
        <v/>
      </c>
      <c r="AF181" s="5">
        <f>AF178*Eras!AF$5</f>
        <v/>
      </c>
      <c r="AG181" s="5">
        <f>AG178*Eras!AG$5</f>
        <v/>
      </c>
      <c r="AH181" s="5">
        <f>AH178*Eras!AH$5</f>
        <v/>
      </c>
      <c r="AI181" s="5">
        <f>AI178*Eras!AI$5</f>
        <v/>
      </c>
      <c r="AJ181" s="5">
        <f>AJ178*Eras!AJ$5</f>
        <v/>
      </c>
      <c r="AK181" s="5">
        <f>AK178*Eras!AK$5</f>
        <v/>
      </c>
      <c r="AL181" s="5">
        <f>AL178*Eras!AL$5</f>
        <v/>
      </c>
      <c r="AM181" s="5">
        <f>AM178*Eras!AM$5</f>
        <v/>
      </c>
      <c r="AN181" s="5">
        <f>AN178*Eras!AN$5</f>
        <v/>
      </c>
      <c r="AO181" s="5">
        <f>AO178*Eras!AO$5</f>
        <v/>
      </c>
      <c r="AP181" s="5">
        <f>AP178*Eras!AP$5</f>
        <v/>
      </c>
      <c r="AQ181" s="5">
        <f>AQ178*Eras!AQ$5</f>
        <v/>
      </c>
      <c r="AR181" s="5">
        <f>AR178*Eras!AR$5</f>
        <v/>
      </c>
      <c r="AS181" s="5">
        <f>AS178*Eras!AS$5</f>
        <v/>
      </c>
      <c r="AT181" s="5">
        <f>AT178*Eras!AT$5</f>
        <v/>
      </c>
      <c r="AU181" s="5">
        <f>AU178*Eras!AU$5</f>
        <v/>
      </c>
      <c r="AV181" s="5">
        <f>AV178*Eras!AV$5</f>
        <v/>
      </c>
      <c r="AW181" s="5">
        <f>AW178*Eras!AW$5</f>
        <v/>
      </c>
      <c r="AX181" s="5">
        <f>AX178*Eras!AX$5</f>
        <v/>
      </c>
      <c r="AY181" s="5">
        <f>AY178*Eras!AY$5</f>
        <v/>
      </c>
      <c r="AZ181" s="5">
        <f>AZ178*Eras!AZ$5</f>
        <v/>
      </c>
      <c r="BA181" s="5">
        <f>BA178*Eras!BA$5</f>
        <v/>
      </c>
      <c r="BB181" s="5">
        <f>BB178*Eras!BB$5</f>
        <v/>
      </c>
      <c r="BC181" s="5">
        <f>BC178*Eras!BC$5</f>
        <v/>
      </c>
      <c r="BD181" s="5">
        <f>BD178*Eras!BD$5</f>
        <v/>
      </c>
      <c r="BE181" s="5">
        <f>BE178*Eras!BE$5</f>
        <v/>
      </c>
      <c r="BF181" s="5">
        <f>BF178*Eras!BF$5</f>
        <v/>
      </c>
      <c r="BG181" s="5">
        <f>BG178*Eras!BG$5</f>
        <v/>
      </c>
      <c r="BH181" s="5">
        <f>BH178*Eras!BH$5</f>
        <v/>
      </c>
      <c r="BI181" s="5">
        <f>BI178*Eras!BI$5</f>
        <v/>
      </c>
      <c r="BJ181" s="5">
        <f>BJ178*Eras!BJ$5</f>
        <v/>
      </c>
      <c r="BK181" s="5">
        <f>BK178*Eras!BK$5</f>
        <v/>
      </c>
      <c r="BL181" s="5">
        <f>BL178*Eras!BL$5</f>
        <v/>
      </c>
      <c r="BM181" s="5">
        <f>BM178*Eras!BM$5</f>
        <v/>
      </c>
      <c r="BN181" s="5">
        <f>BN178*Eras!BN$5</f>
        <v/>
      </c>
      <c r="BO181" s="5">
        <f>BO178*Eras!BO$5</f>
        <v/>
      </c>
      <c r="BP181" s="5">
        <f>BP178*Eras!BP$5</f>
        <v/>
      </c>
      <c r="BQ181" s="5">
        <f>BQ178*Eras!BQ$5</f>
        <v/>
      </c>
      <c r="BR181" s="5">
        <f>BR178*Eras!BR$5</f>
        <v/>
      </c>
      <c r="BS181" s="5">
        <f>BS178*Eras!BS$5</f>
        <v/>
      </c>
      <c r="BT181" s="5">
        <f>BT178*Eras!BT$5</f>
        <v/>
      </c>
      <c r="BU181" s="5">
        <f>BU178*Eras!BU$5</f>
        <v/>
      </c>
      <c r="BV181" s="5">
        <f>BV178*Eras!BV$5</f>
        <v/>
      </c>
    </row>
    <row r="183">
      <c r="A183" t="inlineStr">
        <is>
          <t>gross adds</t>
        </is>
      </c>
      <c r="B183" t="inlineStr">
        <is>
          <t>APAC|NITRO_M</t>
        </is>
      </c>
      <c r="C183" s="5">
        <f>MAU!C7*Params!$B$60*Eras!C$7*Params!$B$130*Params!$B$92</f>
        <v/>
      </c>
      <c r="D183" s="5">
        <f>MAU!D7*Params!$B$60*Eras!D$7*Params!$B$130*Params!$B$92</f>
        <v/>
      </c>
      <c r="E183" s="5">
        <f>MAU!E7*Params!$B$60*Eras!E$7*Params!$B$130*Params!$B$92</f>
        <v/>
      </c>
      <c r="F183" s="5">
        <f>MAU!F7*Params!$B$60*Eras!F$7*Params!$B$130*Params!$B$92</f>
        <v/>
      </c>
      <c r="G183" s="5">
        <f>MAU!G7*Params!$B$60*Eras!G$7*Params!$B$130*Params!$B$92</f>
        <v/>
      </c>
      <c r="H183" s="5">
        <f>MAU!H7*Params!$B$60*Eras!H$7*Params!$B$130*Params!$B$92</f>
        <v/>
      </c>
      <c r="I183" s="5">
        <f>MAU!I7*Params!$B$60*Eras!I$7*Params!$B$130*Params!$B$92</f>
        <v/>
      </c>
      <c r="J183" s="5">
        <f>MAU!J7*Params!$B$60*Eras!J$7*Params!$B$130*Params!$B$92</f>
        <v/>
      </c>
      <c r="K183" s="5">
        <f>MAU!K7*Params!$B$60*Eras!K$7*Params!$B$130*Params!$B$92</f>
        <v/>
      </c>
      <c r="L183" s="5">
        <f>MAU!L7*Params!$B$60*Eras!L$7*Params!$B$130*Params!$B$92</f>
        <v/>
      </c>
      <c r="M183" s="5">
        <f>MAU!M7*Params!$B$60*Eras!M$7*Params!$B$130*Params!$B$92</f>
        <v/>
      </c>
      <c r="N183" s="5">
        <f>MAU!N7*Params!$B$60*Eras!N$7*Params!$B$130*Params!$B$92</f>
        <v/>
      </c>
      <c r="O183" s="5">
        <f>MAU!O7*Params!$B$60*Eras!O$7*Params!$B$130*Params!$B$92</f>
        <v/>
      </c>
      <c r="P183" s="5">
        <f>MAU!P7*Params!$B$60*Eras!P$7*Params!$B$130*Params!$B$92</f>
        <v/>
      </c>
      <c r="Q183" s="5">
        <f>MAU!Q7*Params!$B$60*Eras!Q$7*Params!$B$130*Params!$B$92</f>
        <v/>
      </c>
      <c r="R183" s="5">
        <f>MAU!R7*Params!$B$60*Eras!R$7*Params!$B$130*Params!$B$92</f>
        <v/>
      </c>
      <c r="S183" s="5">
        <f>MAU!S7*Params!$B$60*Eras!S$7*Params!$B$130*Params!$B$92</f>
        <v/>
      </c>
      <c r="T183" s="5">
        <f>MAU!T7*Params!$B$60*Eras!T$7*Params!$B$130*Params!$B$92</f>
        <v/>
      </c>
      <c r="U183" s="5">
        <f>MAU!U7*Params!$B$60*Eras!U$7*Params!$B$130*Params!$B$92</f>
        <v/>
      </c>
      <c r="V183" s="5">
        <f>MAU!V7*Params!$B$60*Eras!V$7*Params!$B$130*Params!$B$92</f>
        <v/>
      </c>
      <c r="W183" s="5">
        <f>MAU!W7*Params!$B$60*Eras!W$7*Params!$B$130*Params!$B$92</f>
        <v/>
      </c>
      <c r="X183" s="5">
        <f>MAU!X7*Params!$B$60*Eras!X$7*Params!$B$130*Params!$B$92</f>
        <v/>
      </c>
      <c r="Y183" s="5">
        <f>MAU!Y7*Params!$B$60*Eras!Y$7*Params!$B$130*Params!$B$92</f>
        <v/>
      </c>
      <c r="Z183" s="5">
        <f>MAU!Z7*Params!$B$60*Eras!Z$7*Params!$B$130*Params!$B$92</f>
        <v/>
      </c>
      <c r="AA183" s="5">
        <f>MAU!AA7*Params!$B$60*Eras!AA$7*Params!$B$130*Params!$B$92</f>
        <v/>
      </c>
      <c r="AB183" s="5">
        <f>MAU!AB7*Params!$B$60*Eras!AB$7*Params!$B$130*Params!$B$92</f>
        <v/>
      </c>
      <c r="AC183" s="5">
        <f>MAU!AC7*Params!$B$60*Eras!AC$7*Params!$B$130*Params!$B$92</f>
        <v/>
      </c>
      <c r="AD183" s="5">
        <f>MAU!AD7*Params!$B$60*Eras!AD$7*Params!$B$130*Params!$B$92</f>
        <v/>
      </c>
      <c r="AE183" s="5">
        <f>MAU!AE7*Params!$B$60*Eras!AE$7*Params!$B$130*Params!$B$92</f>
        <v/>
      </c>
      <c r="AF183" s="5">
        <f>MAU!AF7*Params!$B$60*Eras!AF$7*Params!$B$130*Params!$B$92</f>
        <v/>
      </c>
      <c r="AG183" s="5">
        <f>MAU!AG7*Params!$B$60*Eras!AG$7*Params!$B$130*Params!$B$92</f>
        <v/>
      </c>
      <c r="AH183" s="5">
        <f>MAU!AH7*Params!$B$60*Eras!AH$7*Params!$B$130*Params!$B$92</f>
        <v/>
      </c>
      <c r="AI183" s="5">
        <f>MAU!AI7*Params!$B$60*Eras!AI$7*Params!$B$130*Params!$B$92</f>
        <v/>
      </c>
      <c r="AJ183" s="5">
        <f>MAU!AJ7*Params!$B$60*Eras!AJ$7*Params!$B$130*Params!$B$92</f>
        <v/>
      </c>
      <c r="AK183" s="5">
        <f>MAU!AK7*Params!$B$60*Eras!AK$7*Params!$B$130*Params!$B$92</f>
        <v/>
      </c>
      <c r="AL183" s="5">
        <f>MAU!AL7*Params!$B$60*Eras!AL$7*Params!$B$130*Params!$B$92</f>
        <v/>
      </c>
      <c r="AM183" s="5">
        <f>MAU!AM7*Params!$B$60*Eras!AM$7*Params!$B$130*Params!$B$92</f>
        <v/>
      </c>
      <c r="AN183" s="5">
        <f>MAU!AN7*Params!$B$60*Eras!AN$7*Params!$B$130*Params!$B$92</f>
        <v/>
      </c>
      <c r="AO183" s="5">
        <f>MAU!AO7*Params!$B$60*Eras!AO$7*Params!$B$130*Params!$B$92</f>
        <v/>
      </c>
      <c r="AP183" s="5">
        <f>MAU!AP7*Params!$B$60*Eras!AP$7*Params!$B$130*Params!$B$92</f>
        <v/>
      </c>
      <c r="AQ183" s="5">
        <f>MAU!AQ7*Params!$B$60*Eras!AQ$7*Params!$B$130*Params!$B$92</f>
        <v/>
      </c>
      <c r="AR183" s="5">
        <f>MAU!AR7*Params!$B$60*Eras!AR$7*Params!$B$130*Params!$B$92</f>
        <v/>
      </c>
      <c r="AS183" s="5">
        <f>MAU!AS7*Params!$B$60*Eras!AS$7*Params!$B$130*Params!$B$92</f>
        <v/>
      </c>
      <c r="AT183" s="5">
        <f>MAU!AT7*Params!$B$60*Eras!AT$7*Params!$B$130*Params!$B$92</f>
        <v/>
      </c>
      <c r="AU183" s="5">
        <f>MAU!AU7*Params!$B$60*Eras!AU$7*Params!$B$130*Params!$B$92</f>
        <v/>
      </c>
      <c r="AV183" s="5">
        <f>MAU!AV7*Params!$B$60*Eras!AV$7*Params!$B$130*Params!$B$92</f>
        <v/>
      </c>
      <c r="AW183" s="5">
        <f>MAU!AW7*Params!$B$60*Eras!AW$7*Params!$B$130*Params!$B$92</f>
        <v/>
      </c>
      <c r="AX183" s="5">
        <f>MAU!AX7*Params!$B$60*Eras!AX$7*Params!$B$130*Params!$B$92</f>
        <v/>
      </c>
      <c r="AY183" s="5">
        <f>MAU!AY7*Params!$B$60*Eras!AY$7*Params!$B$130*Params!$B$92</f>
        <v/>
      </c>
      <c r="AZ183" s="5">
        <f>MAU!AZ7*Params!$B$60*Eras!AZ$7*Params!$B$130*Params!$B$92</f>
        <v/>
      </c>
      <c r="BA183" s="5">
        <f>MAU!BA7*Params!$B$60*Eras!BA$7*Params!$B$130*Params!$B$92</f>
        <v/>
      </c>
      <c r="BB183" s="5">
        <f>MAU!BB7*Params!$B$60*Eras!BB$7*Params!$B$130*Params!$B$92</f>
        <v/>
      </c>
      <c r="BC183" s="5">
        <f>MAU!BC7*Params!$B$60*Eras!BC$7*Params!$B$130*Params!$B$92</f>
        <v/>
      </c>
      <c r="BD183" s="5">
        <f>MAU!BD7*Params!$B$60*Eras!BD$7*Params!$B$130*Params!$B$92</f>
        <v/>
      </c>
      <c r="BE183" s="5">
        <f>MAU!BE7*Params!$B$60*Eras!BE$7*Params!$B$130*Params!$B$92</f>
        <v/>
      </c>
      <c r="BF183" s="5">
        <f>MAU!BF7*Params!$B$60*Eras!BF$7*Params!$B$130*Params!$B$92</f>
        <v/>
      </c>
      <c r="BG183" s="5">
        <f>MAU!BG7*Params!$B$60*Eras!BG$7*Params!$B$130*Params!$B$92</f>
        <v/>
      </c>
      <c r="BH183" s="5">
        <f>MAU!BH7*Params!$B$60*Eras!BH$7*Params!$B$130*Params!$B$92</f>
        <v/>
      </c>
      <c r="BI183" s="5">
        <f>MAU!BI7*Params!$B$60*Eras!BI$7*Params!$B$130*Params!$B$92</f>
        <v/>
      </c>
      <c r="BJ183" s="5">
        <f>MAU!BJ7*Params!$B$60*Eras!BJ$7*Params!$B$130*Params!$B$92</f>
        <v/>
      </c>
      <c r="BK183" s="5">
        <f>MAU!BK7*Params!$B$60*Eras!BK$7*Params!$B$130*Params!$B$92</f>
        <v/>
      </c>
      <c r="BL183" s="5">
        <f>MAU!BL7*Params!$B$60*Eras!BL$7*Params!$B$130*Params!$B$92</f>
        <v/>
      </c>
      <c r="BM183" s="5">
        <f>MAU!BM7*Params!$B$60*Eras!BM$7*Params!$B$130*Params!$B$92</f>
        <v/>
      </c>
      <c r="BN183" s="5">
        <f>MAU!BN7*Params!$B$60*Eras!BN$7*Params!$B$130*Params!$B$92</f>
        <v/>
      </c>
      <c r="BO183" s="5">
        <f>MAU!BO7*Params!$B$60*Eras!BO$7*Params!$B$130*Params!$B$92</f>
        <v/>
      </c>
      <c r="BP183" s="5">
        <f>MAU!BP7*Params!$B$60*Eras!BP$7*Params!$B$130*Params!$B$92</f>
        <v/>
      </c>
      <c r="BQ183" s="5">
        <f>MAU!BQ7*Params!$B$60*Eras!BQ$7*Params!$B$130*Params!$B$92</f>
        <v/>
      </c>
      <c r="BR183" s="5">
        <f>MAU!BR7*Params!$B$60*Eras!BR$7*Params!$B$130*Params!$B$92</f>
        <v/>
      </c>
      <c r="BS183" s="5">
        <f>MAU!BS7*Params!$B$60*Eras!BS$7*Params!$B$130*Params!$B$92</f>
        <v/>
      </c>
      <c r="BT183" s="5">
        <f>MAU!BT7*Params!$B$60*Eras!BT$7*Params!$B$130*Params!$B$92</f>
        <v/>
      </c>
      <c r="BU183" s="5">
        <f>MAU!BU7*Params!$B$60*Eras!BU$7*Params!$B$130*Params!$B$92</f>
        <v/>
      </c>
      <c r="BV183" s="5">
        <f>MAU!BV7*Params!$B$60*Eras!BV$7*Params!$B$130*Params!$B$92</f>
        <v/>
      </c>
    </row>
    <row r="184">
      <c r="A184" t="inlineStr">
        <is>
          <t>trial starts</t>
        </is>
      </c>
      <c r="B184" t="inlineStr">
        <is>
          <t>APAC|NITRO_M</t>
        </is>
      </c>
      <c r="C184" s="5">
        <f>C183*Eras!C$8</f>
        <v/>
      </c>
      <c r="D184" s="5">
        <f>D183*Eras!D$8</f>
        <v/>
      </c>
      <c r="E184" s="5">
        <f>E183*Eras!E$8</f>
        <v/>
      </c>
      <c r="F184" s="5">
        <f>F183*Eras!F$8</f>
        <v/>
      </c>
      <c r="G184" s="5">
        <f>G183*Eras!G$8</f>
        <v/>
      </c>
      <c r="H184" s="5">
        <f>H183*Eras!H$8</f>
        <v/>
      </c>
      <c r="I184" s="5">
        <f>I183*Eras!I$8</f>
        <v/>
      </c>
      <c r="J184" s="5">
        <f>J183*Eras!J$8</f>
        <v/>
      </c>
      <c r="K184" s="5">
        <f>K183*Eras!K$8</f>
        <v/>
      </c>
      <c r="L184" s="5">
        <f>L183*Eras!L$8</f>
        <v/>
      </c>
      <c r="M184" s="5">
        <f>M183*Eras!M$8</f>
        <v/>
      </c>
      <c r="N184" s="5">
        <f>N183*Eras!N$8</f>
        <v/>
      </c>
      <c r="O184" s="5">
        <f>O183*Eras!O$8</f>
        <v/>
      </c>
      <c r="P184" s="5">
        <f>P183*Eras!P$8</f>
        <v/>
      </c>
      <c r="Q184" s="5">
        <f>Q183*Eras!Q$8</f>
        <v/>
      </c>
      <c r="R184" s="5">
        <f>R183*Eras!R$8</f>
        <v/>
      </c>
      <c r="S184" s="5">
        <f>S183*Eras!S$8</f>
        <v/>
      </c>
      <c r="T184" s="5">
        <f>T183*Eras!T$8</f>
        <v/>
      </c>
      <c r="U184" s="5">
        <f>U183*Eras!U$8</f>
        <v/>
      </c>
      <c r="V184" s="5">
        <f>V183*Eras!V$8</f>
        <v/>
      </c>
      <c r="W184" s="5">
        <f>W183*Eras!W$8</f>
        <v/>
      </c>
      <c r="X184" s="5">
        <f>X183*Eras!X$8</f>
        <v/>
      </c>
      <c r="Y184" s="5">
        <f>Y183*Eras!Y$8</f>
        <v/>
      </c>
      <c r="Z184" s="5">
        <f>Z183*Eras!Z$8</f>
        <v/>
      </c>
      <c r="AA184" s="5">
        <f>AA183*Eras!AA$8</f>
        <v/>
      </c>
      <c r="AB184" s="5">
        <f>AB183*Eras!AB$8</f>
        <v/>
      </c>
      <c r="AC184" s="5">
        <f>AC183*Eras!AC$8</f>
        <v/>
      </c>
      <c r="AD184" s="5">
        <f>AD183*Eras!AD$8</f>
        <v/>
      </c>
      <c r="AE184" s="5">
        <f>AE183*Eras!AE$8</f>
        <v/>
      </c>
      <c r="AF184" s="5">
        <f>AF183*Eras!AF$8</f>
        <v/>
      </c>
      <c r="AG184" s="5">
        <f>AG183*Eras!AG$8</f>
        <v/>
      </c>
      <c r="AH184" s="5">
        <f>AH183*Eras!AH$8</f>
        <v/>
      </c>
      <c r="AI184" s="5">
        <f>AI183*Eras!AI$8</f>
        <v/>
      </c>
      <c r="AJ184" s="5">
        <f>AJ183*Eras!AJ$8</f>
        <v/>
      </c>
      <c r="AK184" s="5">
        <f>AK183*Eras!AK$8</f>
        <v/>
      </c>
      <c r="AL184" s="5">
        <f>AL183*Eras!AL$8</f>
        <v/>
      </c>
      <c r="AM184" s="5">
        <f>AM183*Eras!AM$8</f>
        <v/>
      </c>
      <c r="AN184" s="5">
        <f>AN183*Eras!AN$8</f>
        <v/>
      </c>
      <c r="AO184" s="5">
        <f>AO183*Eras!AO$8</f>
        <v/>
      </c>
      <c r="AP184" s="5">
        <f>AP183*Eras!AP$8</f>
        <v/>
      </c>
      <c r="AQ184" s="5">
        <f>AQ183*Eras!AQ$8</f>
        <v/>
      </c>
      <c r="AR184" s="5">
        <f>AR183*Eras!AR$8</f>
        <v/>
      </c>
      <c r="AS184" s="5">
        <f>AS183*Eras!AS$8</f>
        <v/>
      </c>
      <c r="AT184" s="5">
        <f>AT183*Eras!AT$8</f>
        <v/>
      </c>
      <c r="AU184" s="5">
        <f>AU183*Eras!AU$8</f>
        <v/>
      </c>
      <c r="AV184" s="5">
        <f>AV183*Eras!AV$8</f>
        <v/>
      </c>
      <c r="AW184" s="5">
        <f>AW183*Eras!AW$8</f>
        <v/>
      </c>
      <c r="AX184" s="5">
        <f>AX183*Eras!AX$8</f>
        <v/>
      </c>
      <c r="AY184" s="5">
        <f>AY183*Eras!AY$8</f>
        <v/>
      </c>
      <c r="AZ184" s="5">
        <f>AZ183*Eras!AZ$8</f>
        <v/>
      </c>
      <c r="BA184" s="5">
        <f>BA183*Eras!BA$8</f>
        <v/>
      </c>
      <c r="BB184" s="5">
        <f>BB183*Eras!BB$8</f>
        <v/>
      </c>
      <c r="BC184" s="5">
        <f>BC183*Eras!BC$8</f>
        <v/>
      </c>
      <c r="BD184" s="5">
        <f>BD183*Eras!BD$8</f>
        <v/>
      </c>
      <c r="BE184" s="5">
        <f>BE183*Eras!BE$8</f>
        <v/>
      </c>
      <c r="BF184" s="5">
        <f>BF183*Eras!BF$8</f>
        <v/>
      </c>
      <c r="BG184" s="5">
        <f>BG183*Eras!BG$8</f>
        <v/>
      </c>
      <c r="BH184" s="5">
        <f>BH183*Eras!BH$8</f>
        <v/>
      </c>
      <c r="BI184" s="5">
        <f>BI183*Eras!BI$8</f>
        <v/>
      </c>
      <c r="BJ184" s="5">
        <f>BJ183*Eras!BJ$8</f>
        <v/>
      </c>
      <c r="BK184" s="5">
        <f>BK183*Eras!BK$8</f>
        <v/>
      </c>
      <c r="BL184" s="5">
        <f>BL183*Eras!BL$8</f>
        <v/>
      </c>
      <c r="BM184" s="5">
        <f>BM183*Eras!BM$8</f>
        <v/>
      </c>
      <c r="BN184" s="5">
        <f>BN183*Eras!BN$8</f>
        <v/>
      </c>
      <c r="BO184" s="5">
        <f>BO183*Eras!BO$8</f>
        <v/>
      </c>
      <c r="BP184" s="5">
        <f>BP183*Eras!BP$8</f>
        <v/>
      </c>
      <c r="BQ184" s="5">
        <f>BQ183*Eras!BQ$8</f>
        <v/>
      </c>
      <c r="BR184" s="5">
        <f>BR183*Eras!BR$8</f>
        <v/>
      </c>
      <c r="BS184" s="5">
        <f>BS183*Eras!BS$8</f>
        <v/>
      </c>
      <c r="BT184" s="5">
        <f>BT183*Eras!BT$8</f>
        <v/>
      </c>
      <c r="BU184" s="5">
        <f>BU183*Eras!BU$8</f>
        <v/>
      </c>
      <c r="BV184" s="5">
        <f>BV183*Eras!BV$8</f>
        <v/>
      </c>
    </row>
    <row r="185">
      <c r="A185" t="inlineStr">
        <is>
          <t>direct paid starts</t>
        </is>
      </c>
      <c r="B185" t="inlineStr">
        <is>
          <t>APAC|NITRO_M</t>
        </is>
      </c>
      <c r="C185" s="5">
        <f>C183-C184</f>
        <v/>
      </c>
      <c r="D185" s="5">
        <f>D183-D184</f>
        <v/>
      </c>
      <c r="E185" s="5">
        <f>E183-E184</f>
        <v/>
      </c>
      <c r="F185" s="5">
        <f>F183-F184</f>
        <v/>
      </c>
      <c r="G185" s="5">
        <f>G183-G184</f>
        <v/>
      </c>
      <c r="H185" s="5">
        <f>H183-H184</f>
        <v/>
      </c>
      <c r="I185" s="5">
        <f>I183-I184</f>
        <v/>
      </c>
      <c r="J185" s="5">
        <f>J183-J184</f>
        <v/>
      </c>
      <c r="K185" s="5">
        <f>K183-K184</f>
        <v/>
      </c>
      <c r="L185" s="5">
        <f>L183-L184</f>
        <v/>
      </c>
      <c r="M185" s="5">
        <f>M183-M184</f>
        <v/>
      </c>
      <c r="N185" s="5">
        <f>N183-N184</f>
        <v/>
      </c>
      <c r="O185" s="5">
        <f>O183-O184</f>
        <v/>
      </c>
      <c r="P185" s="5">
        <f>P183-P184</f>
        <v/>
      </c>
      <c r="Q185" s="5">
        <f>Q183-Q184</f>
        <v/>
      </c>
      <c r="R185" s="5">
        <f>R183-R184</f>
        <v/>
      </c>
      <c r="S185" s="5">
        <f>S183-S184</f>
        <v/>
      </c>
      <c r="T185" s="5">
        <f>T183-T184</f>
        <v/>
      </c>
      <c r="U185" s="5">
        <f>U183-U184</f>
        <v/>
      </c>
      <c r="V185" s="5">
        <f>V183-V184</f>
        <v/>
      </c>
      <c r="W185" s="5">
        <f>W183-W184</f>
        <v/>
      </c>
      <c r="X185" s="5">
        <f>X183-X184</f>
        <v/>
      </c>
      <c r="Y185" s="5">
        <f>Y183-Y184</f>
        <v/>
      </c>
      <c r="Z185" s="5">
        <f>Z183-Z184</f>
        <v/>
      </c>
      <c r="AA185" s="5">
        <f>AA183-AA184</f>
        <v/>
      </c>
      <c r="AB185" s="5">
        <f>AB183-AB184</f>
        <v/>
      </c>
      <c r="AC185" s="5">
        <f>AC183-AC184</f>
        <v/>
      </c>
      <c r="AD185" s="5">
        <f>AD183-AD184</f>
        <v/>
      </c>
      <c r="AE185" s="5">
        <f>AE183-AE184</f>
        <v/>
      </c>
      <c r="AF185" s="5">
        <f>AF183-AF184</f>
        <v/>
      </c>
      <c r="AG185" s="5">
        <f>AG183-AG184</f>
        <v/>
      </c>
      <c r="AH185" s="5">
        <f>AH183-AH184</f>
        <v/>
      </c>
      <c r="AI185" s="5">
        <f>AI183-AI184</f>
        <v/>
      </c>
      <c r="AJ185" s="5">
        <f>AJ183-AJ184</f>
        <v/>
      </c>
      <c r="AK185" s="5">
        <f>AK183-AK184</f>
        <v/>
      </c>
      <c r="AL185" s="5">
        <f>AL183-AL184</f>
        <v/>
      </c>
      <c r="AM185" s="5">
        <f>AM183-AM184</f>
        <v/>
      </c>
      <c r="AN185" s="5">
        <f>AN183-AN184</f>
        <v/>
      </c>
      <c r="AO185" s="5">
        <f>AO183-AO184</f>
        <v/>
      </c>
      <c r="AP185" s="5">
        <f>AP183-AP184</f>
        <v/>
      </c>
      <c r="AQ185" s="5">
        <f>AQ183-AQ184</f>
        <v/>
      </c>
      <c r="AR185" s="5">
        <f>AR183-AR184</f>
        <v/>
      </c>
      <c r="AS185" s="5">
        <f>AS183-AS184</f>
        <v/>
      </c>
      <c r="AT185" s="5">
        <f>AT183-AT184</f>
        <v/>
      </c>
      <c r="AU185" s="5">
        <f>AU183-AU184</f>
        <v/>
      </c>
      <c r="AV185" s="5">
        <f>AV183-AV184</f>
        <v/>
      </c>
      <c r="AW185" s="5">
        <f>AW183-AW184</f>
        <v/>
      </c>
      <c r="AX185" s="5">
        <f>AX183-AX184</f>
        <v/>
      </c>
      <c r="AY185" s="5">
        <f>AY183-AY184</f>
        <v/>
      </c>
      <c r="AZ185" s="5">
        <f>AZ183-AZ184</f>
        <v/>
      </c>
      <c r="BA185" s="5">
        <f>BA183-BA184</f>
        <v/>
      </c>
      <c r="BB185" s="5">
        <f>BB183-BB184</f>
        <v/>
      </c>
      <c r="BC185" s="5">
        <f>BC183-BC184</f>
        <v/>
      </c>
      <c r="BD185" s="5">
        <f>BD183-BD184</f>
        <v/>
      </c>
      <c r="BE185" s="5">
        <f>BE183-BE184</f>
        <v/>
      </c>
      <c r="BF185" s="5">
        <f>BF183-BF184</f>
        <v/>
      </c>
      <c r="BG185" s="5">
        <f>BG183-BG184</f>
        <v/>
      </c>
      <c r="BH185" s="5">
        <f>BH183-BH184</f>
        <v/>
      </c>
      <c r="BI185" s="5">
        <f>BI183-BI184</f>
        <v/>
      </c>
      <c r="BJ185" s="5">
        <f>BJ183-BJ184</f>
        <v/>
      </c>
      <c r="BK185" s="5">
        <f>BK183-BK184</f>
        <v/>
      </c>
      <c r="BL185" s="5">
        <f>BL183-BL184</f>
        <v/>
      </c>
      <c r="BM185" s="5">
        <f>BM183-BM184</f>
        <v/>
      </c>
      <c r="BN185" s="5">
        <f>BN183-BN184</f>
        <v/>
      </c>
      <c r="BO185" s="5">
        <f>BO183-BO184</f>
        <v/>
      </c>
      <c r="BP185" s="5">
        <f>BP183-BP184</f>
        <v/>
      </c>
      <c r="BQ185" s="5">
        <f>BQ183-BQ184</f>
        <v/>
      </c>
      <c r="BR185" s="5">
        <f>BR183-BR184</f>
        <v/>
      </c>
      <c r="BS185" s="5">
        <f>BS183-BS184</f>
        <v/>
      </c>
      <c r="BT185" s="5">
        <f>BT183-BT184</f>
        <v/>
      </c>
      <c r="BU185" s="5">
        <f>BU183-BU184</f>
        <v/>
      </c>
      <c r="BV185" s="5">
        <f>BV183-BV184</f>
        <v/>
      </c>
    </row>
    <row r="186">
      <c r="A186" t="inlineStr">
        <is>
          <t>trials ending</t>
        </is>
      </c>
      <c r="B186" t="inlineStr">
        <is>
          <t>APAC|NITRO_M</t>
        </is>
      </c>
      <c r="C186" s="5">
        <f>IF(C$2&gt;=Params!$B$6,INDEX($C$184:$BV$184,C$2-Params!$B$6+1),0)</f>
        <v/>
      </c>
      <c r="D186" s="5">
        <f>IF(D$2&gt;=Params!$B$6,INDEX($C$184:$BV$184,D$2-Params!$B$6+1),0)</f>
        <v/>
      </c>
      <c r="E186" s="5">
        <f>IF(E$2&gt;=Params!$B$6,INDEX($C$184:$BV$184,E$2-Params!$B$6+1),0)</f>
        <v/>
      </c>
      <c r="F186" s="5">
        <f>IF(F$2&gt;=Params!$B$6,INDEX($C$184:$BV$184,F$2-Params!$B$6+1),0)</f>
        <v/>
      </c>
      <c r="G186" s="5">
        <f>IF(G$2&gt;=Params!$B$6,INDEX($C$184:$BV$184,G$2-Params!$B$6+1),0)</f>
        <v/>
      </c>
      <c r="H186" s="5">
        <f>IF(H$2&gt;=Params!$B$6,INDEX($C$184:$BV$184,H$2-Params!$B$6+1),0)</f>
        <v/>
      </c>
      <c r="I186" s="5">
        <f>IF(I$2&gt;=Params!$B$6,INDEX($C$184:$BV$184,I$2-Params!$B$6+1),0)</f>
        <v/>
      </c>
      <c r="J186" s="5">
        <f>IF(J$2&gt;=Params!$B$6,INDEX($C$184:$BV$184,J$2-Params!$B$6+1),0)</f>
        <v/>
      </c>
      <c r="K186" s="5">
        <f>IF(K$2&gt;=Params!$B$6,INDEX($C$184:$BV$184,K$2-Params!$B$6+1),0)</f>
        <v/>
      </c>
      <c r="L186" s="5">
        <f>IF(L$2&gt;=Params!$B$6,INDEX($C$184:$BV$184,L$2-Params!$B$6+1),0)</f>
        <v/>
      </c>
      <c r="M186" s="5">
        <f>IF(M$2&gt;=Params!$B$6,INDEX($C$184:$BV$184,M$2-Params!$B$6+1),0)</f>
        <v/>
      </c>
      <c r="N186" s="5">
        <f>IF(N$2&gt;=Params!$B$6,INDEX($C$184:$BV$184,N$2-Params!$B$6+1),0)</f>
        <v/>
      </c>
      <c r="O186" s="5">
        <f>IF(O$2&gt;=Params!$B$6,INDEX($C$184:$BV$184,O$2-Params!$B$6+1),0)</f>
        <v/>
      </c>
      <c r="P186" s="5">
        <f>IF(P$2&gt;=Params!$B$6,INDEX($C$184:$BV$184,P$2-Params!$B$6+1),0)</f>
        <v/>
      </c>
      <c r="Q186" s="5">
        <f>IF(Q$2&gt;=Params!$B$6,INDEX($C$184:$BV$184,Q$2-Params!$B$6+1),0)</f>
        <v/>
      </c>
      <c r="R186" s="5">
        <f>IF(R$2&gt;=Params!$B$6,INDEX($C$184:$BV$184,R$2-Params!$B$6+1),0)</f>
        <v/>
      </c>
      <c r="S186" s="5">
        <f>IF(S$2&gt;=Params!$B$6,INDEX($C$184:$BV$184,S$2-Params!$B$6+1),0)</f>
        <v/>
      </c>
      <c r="T186" s="5">
        <f>IF(T$2&gt;=Params!$B$6,INDEX($C$184:$BV$184,T$2-Params!$B$6+1),0)</f>
        <v/>
      </c>
      <c r="U186" s="5">
        <f>IF(U$2&gt;=Params!$B$6,INDEX($C$184:$BV$184,U$2-Params!$B$6+1),0)</f>
        <v/>
      </c>
      <c r="V186" s="5">
        <f>IF(V$2&gt;=Params!$B$6,INDEX($C$184:$BV$184,V$2-Params!$B$6+1),0)</f>
        <v/>
      </c>
      <c r="W186" s="5">
        <f>IF(W$2&gt;=Params!$B$6,INDEX($C$184:$BV$184,W$2-Params!$B$6+1),0)</f>
        <v/>
      </c>
      <c r="X186" s="5">
        <f>IF(X$2&gt;=Params!$B$6,INDEX($C$184:$BV$184,X$2-Params!$B$6+1),0)</f>
        <v/>
      </c>
      <c r="Y186" s="5">
        <f>IF(Y$2&gt;=Params!$B$6,INDEX($C$184:$BV$184,Y$2-Params!$B$6+1),0)</f>
        <v/>
      </c>
      <c r="Z186" s="5">
        <f>IF(Z$2&gt;=Params!$B$6,INDEX($C$184:$BV$184,Z$2-Params!$B$6+1),0)</f>
        <v/>
      </c>
      <c r="AA186" s="5">
        <f>IF(AA$2&gt;=Params!$B$6,INDEX($C$184:$BV$184,AA$2-Params!$B$6+1),0)</f>
        <v/>
      </c>
      <c r="AB186" s="5">
        <f>IF(AB$2&gt;=Params!$B$6,INDEX($C$184:$BV$184,AB$2-Params!$B$6+1),0)</f>
        <v/>
      </c>
      <c r="AC186" s="5">
        <f>IF(AC$2&gt;=Params!$B$6,INDEX($C$184:$BV$184,AC$2-Params!$B$6+1),0)</f>
        <v/>
      </c>
      <c r="AD186" s="5">
        <f>IF(AD$2&gt;=Params!$B$6,INDEX($C$184:$BV$184,AD$2-Params!$B$6+1),0)</f>
        <v/>
      </c>
      <c r="AE186" s="5">
        <f>IF(AE$2&gt;=Params!$B$6,INDEX($C$184:$BV$184,AE$2-Params!$B$6+1),0)</f>
        <v/>
      </c>
      <c r="AF186" s="5">
        <f>IF(AF$2&gt;=Params!$B$6,INDEX($C$184:$BV$184,AF$2-Params!$B$6+1),0)</f>
        <v/>
      </c>
      <c r="AG186" s="5">
        <f>IF(AG$2&gt;=Params!$B$6,INDEX($C$184:$BV$184,AG$2-Params!$B$6+1),0)</f>
        <v/>
      </c>
      <c r="AH186" s="5">
        <f>IF(AH$2&gt;=Params!$B$6,INDEX($C$184:$BV$184,AH$2-Params!$B$6+1),0)</f>
        <v/>
      </c>
      <c r="AI186" s="5">
        <f>IF(AI$2&gt;=Params!$B$6,INDEX($C$184:$BV$184,AI$2-Params!$B$6+1),0)</f>
        <v/>
      </c>
      <c r="AJ186" s="5">
        <f>IF(AJ$2&gt;=Params!$B$6,INDEX($C$184:$BV$184,AJ$2-Params!$B$6+1),0)</f>
        <v/>
      </c>
      <c r="AK186" s="5">
        <f>IF(AK$2&gt;=Params!$B$6,INDEX($C$184:$BV$184,AK$2-Params!$B$6+1),0)</f>
        <v/>
      </c>
      <c r="AL186" s="5">
        <f>IF(AL$2&gt;=Params!$B$6,INDEX($C$184:$BV$184,AL$2-Params!$B$6+1),0)</f>
        <v/>
      </c>
      <c r="AM186" s="5">
        <f>IF(AM$2&gt;=Params!$B$6,INDEX($C$184:$BV$184,AM$2-Params!$B$6+1),0)</f>
        <v/>
      </c>
      <c r="AN186" s="5">
        <f>IF(AN$2&gt;=Params!$B$6,INDEX($C$184:$BV$184,AN$2-Params!$B$6+1),0)</f>
        <v/>
      </c>
      <c r="AO186" s="5">
        <f>IF(AO$2&gt;=Params!$B$6,INDEX($C$184:$BV$184,AO$2-Params!$B$6+1),0)</f>
        <v/>
      </c>
      <c r="AP186" s="5">
        <f>IF(AP$2&gt;=Params!$B$6,INDEX($C$184:$BV$184,AP$2-Params!$B$6+1),0)</f>
        <v/>
      </c>
      <c r="AQ186" s="5">
        <f>IF(AQ$2&gt;=Params!$B$6,INDEX($C$184:$BV$184,AQ$2-Params!$B$6+1),0)</f>
        <v/>
      </c>
      <c r="AR186" s="5">
        <f>IF(AR$2&gt;=Params!$B$6,INDEX($C$184:$BV$184,AR$2-Params!$B$6+1),0)</f>
        <v/>
      </c>
      <c r="AS186" s="5">
        <f>IF(AS$2&gt;=Params!$B$6,INDEX($C$184:$BV$184,AS$2-Params!$B$6+1),0)</f>
        <v/>
      </c>
      <c r="AT186" s="5">
        <f>IF(AT$2&gt;=Params!$B$6,INDEX($C$184:$BV$184,AT$2-Params!$B$6+1),0)</f>
        <v/>
      </c>
      <c r="AU186" s="5">
        <f>IF(AU$2&gt;=Params!$B$6,INDEX($C$184:$BV$184,AU$2-Params!$B$6+1),0)</f>
        <v/>
      </c>
      <c r="AV186" s="5">
        <f>IF(AV$2&gt;=Params!$B$6,INDEX($C$184:$BV$184,AV$2-Params!$B$6+1),0)</f>
        <v/>
      </c>
      <c r="AW186" s="5">
        <f>IF(AW$2&gt;=Params!$B$6,INDEX($C$184:$BV$184,AW$2-Params!$B$6+1),0)</f>
        <v/>
      </c>
      <c r="AX186" s="5">
        <f>IF(AX$2&gt;=Params!$B$6,INDEX($C$184:$BV$184,AX$2-Params!$B$6+1),0)</f>
        <v/>
      </c>
      <c r="AY186" s="5">
        <f>IF(AY$2&gt;=Params!$B$6,INDEX($C$184:$BV$184,AY$2-Params!$B$6+1),0)</f>
        <v/>
      </c>
      <c r="AZ186" s="5">
        <f>IF(AZ$2&gt;=Params!$B$6,INDEX($C$184:$BV$184,AZ$2-Params!$B$6+1),0)</f>
        <v/>
      </c>
      <c r="BA186" s="5">
        <f>IF(BA$2&gt;=Params!$B$6,INDEX($C$184:$BV$184,BA$2-Params!$B$6+1),0)</f>
        <v/>
      </c>
      <c r="BB186" s="5">
        <f>IF(BB$2&gt;=Params!$B$6,INDEX($C$184:$BV$184,BB$2-Params!$B$6+1),0)</f>
        <v/>
      </c>
      <c r="BC186" s="5">
        <f>IF(BC$2&gt;=Params!$B$6,INDEX($C$184:$BV$184,BC$2-Params!$B$6+1),0)</f>
        <v/>
      </c>
      <c r="BD186" s="5">
        <f>IF(BD$2&gt;=Params!$B$6,INDEX($C$184:$BV$184,BD$2-Params!$B$6+1),0)</f>
        <v/>
      </c>
      <c r="BE186" s="5">
        <f>IF(BE$2&gt;=Params!$B$6,INDEX($C$184:$BV$184,BE$2-Params!$B$6+1),0)</f>
        <v/>
      </c>
      <c r="BF186" s="5">
        <f>IF(BF$2&gt;=Params!$B$6,INDEX($C$184:$BV$184,BF$2-Params!$B$6+1),0)</f>
        <v/>
      </c>
      <c r="BG186" s="5">
        <f>IF(BG$2&gt;=Params!$B$6,INDEX($C$184:$BV$184,BG$2-Params!$B$6+1),0)</f>
        <v/>
      </c>
      <c r="BH186" s="5">
        <f>IF(BH$2&gt;=Params!$B$6,INDEX($C$184:$BV$184,BH$2-Params!$B$6+1),0)</f>
        <v/>
      </c>
      <c r="BI186" s="5">
        <f>IF(BI$2&gt;=Params!$B$6,INDEX($C$184:$BV$184,BI$2-Params!$B$6+1),0)</f>
        <v/>
      </c>
      <c r="BJ186" s="5">
        <f>IF(BJ$2&gt;=Params!$B$6,INDEX($C$184:$BV$184,BJ$2-Params!$B$6+1),0)</f>
        <v/>
      </c>
      <c r="BK186" s="5">
        <f>IF(BK$2&gt;=Params!$B$6,INDEX($C$184:$BV$184,BK$2-Params!$B$6+1),0)</f>
        <v/>
      </c>
      <c r="BL186" s="5">
        <f>IF(BL$2&gt;=Params!$B$6,INDEX($C$184:$BV$184,BL$2-Params!$B$6+1),0)</f>
        <v/>
      </c>
      <c r="BM186" s="5">
        <f>IF(BM$2&gt;=Params!$B$6,INDEX($C$184:$BV$184,BM$2-Params!$B$6+1),0)</f>
        <v/>
      </c>
      <c r="BN186" s="5">
        <f>IF(BN$2&gt;=Params!$B$6,INDEX($C$184:$BV$184,BN$2-Params!$B$6+1),0)</f>
        <v/>
      </c>
      <c r="BO186" s="5">
        <f>IF(BO$2&gt;=Params!$B$6,INDEX($C$184:$BV$184,BO$2-Params!$B$6+1),0)</f>
        <v/>
      </c>
      <c r="BP186" s="5">
        <f>IF(BP$2&gt;=Params!$B$6,INDEX($C$184:$BV$184,BP$2-Params!$B$6+1),0)</f>
        <v/>
      </c>
      <c r="BQ186" s="5">
        <f>IF(BQ$2&gt;=Params!$B$6,INDEX($C$184:$BV$184,BQ$2-Params!$B$6+1),0)</f>
        <v/>
      </c>
      <c r="BR186" s="5">
        <f>IF(BR$2&gt;=Params!$B$6,INDEX($C$184:$BV$184,BR$2-Params!$B$6+1),0)</f>
        <v/>
      </c>
      <c r="BS186" s="5">
        <f>IF(BS$2&gt;=Params!$B$6,INDEX($C$184:$BV$184,BS$2-Params!$B$6+1),0)</f>
        <v/>
      </c>
      <c r="BT186" s="5">
        <f>IF(BT$2&gt;=Params!$B$6,INDEX($C$184:$BV$184,BT$2-Params!$B$6+1),0)</f>
        <v/>
      </c>
      <c r="BU186" s="5">
        <f>IF(BU$2&gt;=Params!$B$6,INDEX($C$184:$BV$184,BU$2-Params!$B$6+1),0)</f>
        <v/>
      </c>
      <c r="BV186" s="5">
        <f>IF(BV$2&gt;=Params!$B$6,INDEX($C$184:$BV$184,BV$2-Params!$B$6+1),0)</f>
        <v/>
      </c>
    </row>
    <row r="187">
      <c r="A187" t="inlineStr">
        <is>
          <t>trial starts x conversion</t>
        </is>
      </c>
      <c r="B187" t="inlineStr">
        <is>
          <t>APAC|NITRO_M</t>
        </is>
      </c>
      <c r="C187" s="5">
        <f>C184*Eras!C$9</f>
        <v/>
      </c>
      <c r="D187" s="5">
        <f>D184*Eras!D$9</f>
        <v/>
      </c>
      <c r="E187" s="5">
        <f>E184*Eras!E$9</f>
        <v/>
      </c>
      <c r="F187" s="5">
        <f>F184*Eras!F$9</f>
        <v/>
      </c>
      <c r="G187" s="5">
        <f>G184*Eras!G$9</f>
        <v/>
      </c>
      <c r="H187" s="5">
        <f>H184*Eras!H$9</f>
        <v/>
      </c>
      <c r="I187" s="5">
        <f>I184*Eras!I$9</f>
        <v/>
      </c>
      <c r="J187" s="5">
        <f>J184*Eras!J$9</f>
        <v/>
      </c>
      <c r="K187" s="5">
        <f>K184*Eras!K$9</f>
        <v/>
      </c>
      <c r="L187" s="5">
        <f>L184*Eras!L$9</f>
        <v/>
      </c>
      <c r="M187" s="5">
        <f>M184*Eras!M$9</f>
        <v/>
      </c>
      <c r="N187" s="5">
        <f>N184*Eras!N$9</f>
        <v/>
      </c>
      <c r="O187" s="5">
        <f>O184*Eras!O$9</f>
        <v/>
      </c>
      <c r="P187" s="5">
        <f>P184*Eras!P$9</f>
        <v/>
      </c>
      <c r="Q187" s="5">
        <f>Q184*Eras!Q$9</f>
        <v/>
      </c>
      <c r="R187" s="5">
        <f>R184*Eras!R$9</f>
        <v/>
      </c>
      <c r="S187" s="5">
        <f>S184*Eras!S$9</f>
        <v/>
      </c>
      <c r="T187" s="5">
        <f>T184*Eras!T$9</f>
        <v/>
      </c>
      <c r="U187" s="5">
        <f>U184*Eras!U$9</f>
        <v/>
      </c>
      <c r="V187" s="5">
        <f>V184*Eras!V$9</f>
        <v/>
      </c>
      <c r="W187" s="5">
        <f>W184*Eras!W$9</f>
        <v/>
      </c>
      <c r="X187" s="5">
        <f>X184*Eras!X$9</f>
        <v/>
      </c>
      <c r="Y187" s="5">
        <f>Y184*Eras!Y$9</f>
        <v/>
      </c>
      <c r="Z187" s="5">
        <f>Z184*Eras!Z$9</f>
        <v/>
      </c>
      <c r="AA187" s="5">
        <f>AA184*Eras!AA$9</f>
        <v/>
      </c>
      <c r="AB187" s="5">
        <f>AB184*Eras!AB$9</f>
        <v/>
      </c>
      <c r="AC187" s="5">
        <f>AC184*Eras!AC$9</f>
        <v/>
      </c>
      <c r="AD187" s="5">
        <f>AD184*Eras!AD$9</f>
        <v/>
      </c>
      <c r="AE187" s="5">
        <f>AE184*Eras!AE$9</f>
        <v/>
      </c>
      <c r="AF187" s="5">
        <f>AF184*Eras!AF$9</f>
        <v/>
      </c>
      <c r="AG187" s="5">
        <f>AG184*Eras!AG$9</f>
        <v/>
      </c>
      <c r="AH187" s="5">
        <f>AH184*Eras!AH$9</f>
        <v/>
      </c>
      <c r="AI187" s="5">
        <f>AI184*Eras!AI$9</f>
        <v/>
      </c>
      <c r="AJ187" s="5">
        <f>AJ184*Eras!AJ$9</f>
        <v/>
      </c>
      <c r="AK187" s="5">
        <f>AK184*Eras!AK$9</f>
        <v/>
      </c>
      <c r="AL187" s="5">
        <f>AL184*Eras!AL$9</f>
        <v/>
      </c>
      <c r="AM187" s="5">
        <f>AM184*Eras!AM$9</f>
        <v/>
      </c>
      <c r="AN187" s="5">
        <f>AN184*Eras!AN$9</f>
        <v/>
      </c>
      <c r="AO187" s="5">
        <f>AO184*Eras!AO$9</f>
        <v/>
      </c>
      <c r="AP187" s="5">
        <f>AP184*Eras!AP$9</f>
        <v/>
      </c>
      <c r="AQ187" s="5">
        <f>AQ184*Eras!AQ$9</f>
        <v/>
      </c>
      <c r="AR187" s="5">
        <f>AR184*Eras!AR$9</f>
        <v/>
      </c>
      <c r="AS187" s="5">
        <f>AS184*Eras!AS$9</f>
        <v/>
      </c>
      <c r="AT187" s="5">
        <f>AT184*Eras!AT$9</f>
        <v/>
      </c>
      <c r="AU187" s="5">
        <f>AU184*Eras!AU$9</f>
        <v/>
      </c>
      <c r="AV187" s="5">
        <f>AV184*Eras!AV$9</f>
        <v/>
      </c>
      <c r="AW187" s="5">
        <f>AW184*Eras!AW$9</f>
        <v/>
      </c>
      <c r="AX187" s="5">
        <f>AX184*Eras!AX$9</f>
        <v/>
      </c>
      <c r="AY187" s="5">
        <f>AY184*Eras!AY$9</f>
        <v/>
      </c>
      <c r="AZ187" s="5">
        <f>AZ184*Eras!AZ$9</f>
        <v/>
      </c>
      <c r="BA187" s="5">
        <f>BA184*Eras!BA$9</f>
        <v/>
      </c>
      <c r="BB187" s="5">
        <f>BB184*Eras!BB$9</f>
        <v/>
      </c>
      <c r="BC187" s="5">
        <f>BC184*Eras!BC$9</f>
        <v/>
      </c>
      <c r="BD187" s="5">
        <f>BD184*Eras!BD$9</f>
        <v/>
      </c>
      <c r="BE187" s="5">
        <f>BE184*Eras!BE$9</f>
        <v/>
      </c>
      <c r="BF187" s="5">
        <f>BF184*Eras!BF$9</f>
        <v/>
      </c>
      <c r="BG187" s="5">
        <f>BG184*Eras!BG$9</f>
        <v/>
      </c>
      <c r="BH187" s="5">
        <f>BH184*Eras!BH$9</f>
        <v/>
      </c>
      <c r="BI187" s="5">
        <f>BI184*Eras!BI$9</f>
        <v/>
      </c>
      <c r="BJ187" s="5">
        <f>BJ184*Eras!BJ$9</f>
        <v/>
      </c>
      <c r="BK187" s="5">
        <f>BK184*Eras!BK$9</f>
        <v/>
      </c>
      <c r="BL187" s="5">
        <f>BL184*Eras!BL$9</f>
        <v/>
      </c>
      <c r="BM187" s="5">
        <f>BM184*Eras!BM$9</f>
        <v/>
      </c>
      <c r="BN187" s="5">
        <f>BN184*Eras!BN$9</f>
        <v/>
      </c>
      <c r="BO187" s="5">
        <f>BO184*Eras!BO$9</f>
        <v/>
      </c>
      <c r="BP187" s="5">
        <f>BP184*Eras!BP$9</f>
        <v/>
      </c>
      <c r="BQ187" s="5">
        <f>BQ184*Eras!BQ$9</f>
        <v/>
      </c>
      <c r="BR187" s="5">
        <f>BR184*Eras!BR$9</f>
        <v/>
      </c>
      <c r="BS187" s="5">
        <f>BS184*Eras!BS$9</f>
        <v/>
      </c>
      <c r="BT187" s="5">
        <f>BT184*Eras!BT$9</f>
        <v/>
      </c>
      <c r="BU187" s="5">
        <f>BU184*Eras!BU$9</f>
        <v/>
      </c>
      <c r="BV187" s="5">
        <f>BV184*Eras!BV$9</f>
        <v/>
      </c>
    </row>
    <row r="188">
      <c r="A188" t="inlineStr">
        <is>
          <t>trials converted</t>
        </is>
      </c>
      <c r="B188" t="inlineStr">
        <is>
          <t>APAC|NITRO_M</t>
        </is>
      </c>
      <c r="C188" s="5">
        <f>IF(C$2&gt;=Params!$B$6,INDEX($C$187:$BV$187,C$2-Params!$B$6+1),0)</f>
        <v/>
      </c>
      <c r="D188" s="5">
        <f>IF(D$2&gt;=Params!$B$6,INDEX($C$187:$BV$187,D$2-Params!$B$6+1),0)</f>
        <v/>
      </c>
      <c r="E188" s="5">
        <f>IF(E$2&gt;=Params!$B$6,INDEX($C$187:$BV$187,E$2-Params!$B$6+1),0)</f>
        <v/>
      </c>
      <c r="F188" s="5">
        <f>IF(F$2&gt;=Params!$B$6,INDEX($C$187:$BV$187,F$2-Params!$B$6+1),0)</f>
        <v/>
      </c>
      <c r="G188" s="5">
        <f>IF(G$2&gt;=Params!$B$6,INDEX($C$187:$BV$187,G$2-Params!$B$6+1),0)</f>
        <v/>
      </c>
      <c r="H188" s="5">
        <f>IF(H$2&gt;=Params!$B$6,INDEX($C$187:$BV$187,H$2-Params!$B$6+1),0)</f>
        <v/>
      </c>
      <c r="I188" s="5">
        <f>IF(I$2&gt;=Params!$B$6,INDEX($C$187:$BV$187,I$2-Params!$B$6+1),0)</f>
        <v/>
      </c>
      <c r="J188" s="5">
        <f>IF(J$2&gt;=Params!$B$6,INDEX($C$187:$BV$187,J$2-Params!$B$6+1),0)</f>
        <v/>
      </c>
      <c r="K188" s="5">
        <f>IF(K$2&gt;=Params!$B$6,INDEX($C$187:$BV$187,K$2-Params!$B$6+1),0)</f>
        <v/>
      </c>
      <c r="L188" s="5">
        <f>IF(L$2&gt;=Params!$B$6,INDEX($C$187:$BV$187,L$2-Params!$B$6+1),0)</f>
        <v/>
      </c>
      <c r="M188" s="5">
        <f>IF(M$2&gt;=Params!$B$6,INDEX($C$187:$BV$187,M$2-Params!$B$6+1),0)</f>
        <v/>
      </c>
      <c r="N188" s="5">
        <f>IF(N$2&gt;=Params!$B$6,INDEX($C$187:$BV$187,N$2-Params!$B$6+1),0)</f>
        <v/>
      </c>
      <c r="O188" s="5">
        <f>IF(O$2&gt;=Params!$B$6,INDEX($C$187:$BV$187,O$2-Params!$B$6+1),0)</f>
        <v/>
      </c>
      <c r="P188" s="5">
        <f>IF(P$2&gt;=Params!$B$6,INDEX($C$187:$BV$187,P$2-Params!$B$6+1),0)</f>
        <v/>
      </c>
      <c r="Q188" s="5">
        <f>IF(Q$2&gt;=Params!$B$6,INDEX($C$187:$BV$187,Q$2-Params!$B$6+1),0)</f>
        <v/>
      </c>
      <c r="R188" s="5">
        <f>IF(R$2&gt;=Params!$B$6,INDEX($C$187:$BV$187,R$2-Params!$B$6+1),0)</f>
        <v/>
      </c>
      <c r="S188" s="5">
        <f>IF(S$2&gt;=Params!$B$6,INDEX($C$187:$BV$187,S$2-Params!$B$6+1),0)</f>
        <v/>
      </c>
      <c r="T188" s="5">
        <f>IF(T$2&gt;=Params!$B$6,INDEX($C$187:$BV$187,T$2-Params!$B$6+1),0)</f>
        <v/>
      </c>
      <c r="U188" s="5">
        <f>IF(U$2&gt;=Params!$B$6,INDEX($C$187:$BV$187,U$2-Params!$B$6+1),0)</f>
        <v/>
      </c>
      <c r="V188" s="5">
        <f>IF(V$2&gt;=Params!$B$6,INDEX($C$187:$BV$187,V$2-Params!$B$6+1),0)</f>
        <v/>
      </c>
      <c r="W188" s="5">
        <f>IF(W$2&gt;=Params!$B$6,INDEX($C$187:$BV$187,W$2-Params!$B$6+1),0)</f>
        <v/>
      </c>
      <c r="X188" s="5">
        <f>IF(X$2&gt;=Params!$B$6,INDEX($C$187:$BV$187,X$2-Params!$B$6+1),0)</f>
        <v/>
      </c>
      <c r="Y188" s="5">
        <f>IF(Y$2&gt;=Params!$B$6,INDEX($C$187:$BV$187,Y$2-Params!$B$6+1),0)</f>
        <v/>
      </c>
      <c r="Z188" s="5">
        <f>IF(Z$2&gt;=Params!$B$6,INDEX($C$187:$BV$187,Z$2-Params!$B$6+1),0)</f>
        <v/>
      </c>
      <c r="AA188" s="5">
        <f>IF(AA$2&gt;=Params!$B$6,INDEX($C$187:$BV$187,AA$2-Params!$B$6+1),0)</f>
        <v/>
      </c>
      <c r="AB188" s="5">
        <f>IF(AB$2&gt;=Params!$B$6,INDEX($C$187:$BV$187,AB$2-Params!$B$6+1),0)</f>
        <v/>
      </c>
      <c r="AC188" s="5">
        <f>IF(AC$2&gt;=Params!$B$6,INDEX($C$187:$BV$187,AC$2-Params!$B$6+1),0)</f>
        <v/>
      </c>
      <c r="AD188" s="5">
        <f>IF(AD$2&gt;=Params!$B$6,INDEX($C$187:$BV$187,AD$2-Params!$B$6+1),0)</f>
        <v/>
      </c>
      <c r="AE188" s="5">
        <f>IF(AE$2&gt;=Params!$B$6,INDEX($C$187:$BV$187,AE$2-Params!$B$6+1),0)</f>
        <v/>
      </c>
      <c r="AF188" s="5">
        <f>IF(AF$2&gt;=Params!$B$6,INDEX($C$187:$BV$187,AF$2-Params!$B$6+1),0)</f>
        <v/>
      </c>
      <c r="AG188" s="5">
        <f>IF(AG$2&gt;=Params!$B$6,INDEX($C$187:$BV$187,AG$2-Params!$B$6+1),0)</f>
        <v/>
      </c>
      <c r="AH188" s="5">
        <f>IF(AH$2&gt;=Params!$B$6,INDEX($C$187:$BV$187,AH$2-Params!$B$6+1),0)</f>
        <v/>
      </c>
      <c r="AI188" s="5">
        <f>IF(AI$2&gt;=Params!$B$6,INDEX($C$187:$BV$187,AI$2-Params!$B$6+1),0)</f>
        <v/>
      </c>
      <c r="AJ188" s="5">
        <f>IF(AJ$2&gt;=Params!$B$6,INDEX($C$187:$BV$187,AJ$2-Params!$B$6+1),0)</f>
        <v/>
      </c>
      <c r="AK188" s="5">
        <f>IF(AK$2&gt;=Params!$B$6,INDEX($C$187:$BV$187,AK$2-Params!$B$6+1),0)</f>
        <v/>
      </c>
      <c r="AL188" s="5">
        <f>IF(AL$2&gt;=Params!$B$6,INDEX($C$187:$BV$187,AL$2-Params!$B$6+1),0)</f>
        <v/>
      </c>
      <c r="AM188" s="5">
        <f>IF(AM$2&gt;=Params!$B$6,INDEX($C$187:$BV$187,AM$2-Params!$B$6+1),0)</f>
        <v/>
      </c>
      <c r="AN188" s="5">
        <f>IF(AN$2&gt;=Params!$B$6,INDEX($C$187:$BV$187,AN$2-Params!$B$6+1),0)</f>
        <v/>
      </c>
      <c r="AO188" s="5">
        <f>IF(AO$2&gt;=Params!$B$6,INDEX($C$187:$BV$187,AO$2-Params!$B$6+1),0)</f>
        <v/>
      </c>
      <c r="AP188" s="5">
        <f>IF(AP$2&gt;=Params!$B$6,INDEX($C$187:$BV$187,AP$2-Params!$B$6+1),0)</f>
        <v/>
      </c>
      <c r="AQ188" s="5">
        <f>IF(AQ$2&gt;=Params!$B$6,INDEX($C$187:$BV$187,AQ$2-Params!$B$6+1),0)</f>
        <v/>
      </c>
      <c r="AR188" s="5">
        <f>IF(AR$2&gt;=Params!$B$6,INDEX($C$187:$BV$187,AR$2-Params!$B$6+1),0)</f>
        <v/>
      </c>
      <c r="AS188" s="5">
        <f>IF(AS$2&gt;=Params!$B$6,INDEX($C$187:$BV$187,AS$2-Params!$B$6+1),0)</f>
        <v/>
      </c>
      <c r="AT188" s="5">
        <f>IF(AT$2&gt;=Params!$B$6,INDEX($C$187:$BV$187,AT$2-Params!$B$6+1),0)</f>
        <v/>
      </c>
      <c r="AU188" s="5">
        <f>IF(AU$2&gt;=Params!$B$6,INDEX($C$187:$BV$187,AU$2-Params!$B$6+1),0)</f>
        <v/>
      </c>
      <c r="AV188" s="5">
        <f>IF(AV$2&gt;=Params!$B$6,INDEX($C$187:$BV$187,AV$2-Params!$B$6+1),0)</f>
        <v/>
      </c>
      <c r="AW188" s="5">
        <f>IF(AW$2&gt;=Params!$B$6,INDEX($C$187:$BV$187,AW$2-Params!$B$6+1),0)</f>
        <v/>
      </c>
      <c r="AX188" s="5">
        <f>IF(AX$2&gt;=Params!$B$6,INDEX($C$187:$BV$187,AX$2-Params!$B$6+1),0)</f>
        <v/>
      </c>
      <c r="AY188" s="5">
        <f>IF(AY$2&gt;=Params!$B$6,INDEX($C$187:$BV$187,AY$2-Params!$B$6+1),0)</f>
        <v/>
      </c>
      <c r="AZ188" s="5">
        <f>IF(AZ$2&gt;=Params!$B$6,INDEX($C$187:$BV$187,AZ$2-Params!$B$6+1),0)</f>
        <v/>
      </c>
      <c r="BA188" s="5">
        <f>IF(BA$2&gt;=Params!$B$6,INDEX($C$187:$BV$187,BA$2-Params!$B$6+1),0)</f>
        <v/>
      </c>
      <c r="BB188" s="5">
        <f>IF(BB$2&gt;=Params!$B$6,INDEX($C$187:$BV$187,BB$2-Params!$B$6+1),0)</f>
        <v/>
      </c>
      <c r="BC188" s="5">
        <f>IF(BC$2&gt;=Params!$B$6,INDEX($C$187:$BV$187,BC$2-Params!$B$6+1),0)</f>
        <v/>
      </c>
      <c r="BD188" s="5">
        <f>IF(BD$2&gt;=Params!$B$6,INDEX($C$187:$BV$187,BD$2-Params!$B$6+1),0)</f>
        <v/>
      </c>
      <c r="BE188" s="5">
        <f>IF(BE$2&gt;=Params!$B$6,INDEX($C$187:$BV$187,BE$2-Params!$B$6+1),0)</f>
        <v/>
      </c>
      <c r="BF188" s="5">
        <f>IF(BF$2&gt;=Params!$B$6,INDEX($C$187:$BV$187,BF$2-Params!$B$6+1),0)</f>
        <v/>
      </c>
      <c r="BG188" s="5">
        <f>IF(BG$2&gt;=Params!$B$6,INDEX($C$187:$BV$187,BG$2-Params!$B$6+1),0)</f>
        <v/>
      </c>
      <c r="BH188" s="5">
        <f>IF(BH$2&gt;=Params!$B$6,INDEX($C$187:$BV$187,BH$2-Params!$B$6+1),0)</f>
        <v/>
      </c>
      <c r="BI188" s="5">
        <f>IF(BI$2&gt;=Params!$B$6,INDEX($C$187:$BV$187,BI$2-Params!$B$6+1),0)</f>
        <v/>
      </c>
      <c r="BJ188" s="5">
        <f>IF(BJ$2&gt;=Params!$B$6,INDEX($C$187:$BV$187,BJ$2-Params!$B$6+1),0)</f>
        <v/>
      </c>
      <c r="BK188" s="5">
        <f>IF(BK$2&gt;=Params!$B$6,INDEX($C$187:$BV$187,BK$2-Params!$B$6+1),0)</f>
        <v/>
      </c>
      <c r="BL188" s="5">
        <f>IF(BL$2&gt;=Params!$B$6,INDEX($C$187:$BV$187,BL$2-Params!$B$6+1),0)</f>
        <v/>
      </c>
      <c r="BM188" s="5">
        <f>IF(BM$2&gt;=Params!$B$6,INDEX($C$187:$BV$187,BM$2-Params!$B$6+1),0)</f>
        <v/>
      </c>
      <c r="BN188" s="5">
        <f>IF(BN$2&gt;=Params!$B$6,INDEX($C$187:$BV$187,BN$2-Params!$B$6+1),0)</f>
        <v/>
      </c>
      <c r="BO188" s="5">
        <f>IF(BO$2&gt;=Params!$B$6,INDEX($C$187:$BV$187,BO$2-Params!$B$6+1),0)</f>
        <v/>
      </c>
      <c r="BP188" s="5">
        <f>IF(BP$2&gt;=Params!$B$6,INDEX($C$187:$BV$187,BP$2-Params!$B$6+1),0)</f>
        <v/>
      </c>
      <c r="BQ188" s="5">
        <f>IF(BQ$2&gt;=Params!$B$6,INDEX($C$187:$BV$187,BQ$2-Params!$B$6+1),0)</f>
        <v/>
      </c>
      <c r="BR188" s="5">
        <f>IF(BR$2&gt;=Params!$B$6,INDEX($C$187:$BV$187,BR$2-Params!$B$6+1),0)</f>
        <v/>
      </c>
      <c r="BS188" s="5">
        <f>IF(BS$2&gt;=Params!$B$6,INDEX($C$187:$BV$187,BS$2-Params!$B$6+1),0)</f>
        <v/>
      </c>
      <c r="BT188" s="5">
        <f>IF(BT$2&gt;=Params!$B$6,INDEX($C$187:$BV$187,BT$2-Params!$B$6+1),0)</f>
        <v/>
      </c>
      <c r="BU188" s="5">
        <f>IF(BU$2&gt;=Params!$B$6,INDEX($C$187:$BV$187,BU$2-Params!$B$6+1),0)</f>
        <v/>
      </c>
      <c r="BV188" s="5">
        <f>IF(BV$2&gt;=Params!$B$6,INDEX($C$187:$BV$187,BV$2-Params!$B$6+1),0)</f>
        <v/>
      </c>
    </row>
    <row r="189">
      <c r="A189" t="inlineStr">
        <is>
          <t>trials lost</t>
        </is>
      </c>
      <c r="B189" t="inlineStr">
        <is>
          <t>APAC|NITRO_M</t>
        </is>
      </c>
      <c r="C189" s="5">
        <f>C186-C188</f>
        <v/>
      </c>
      <c r="D189" s="5">
        <f>D186-D188</f>
        <v/>
      </c>
      <c r="E189" s="5">
        <f>E186-E188</f>
        <v/>
      </c>
      <c r="F189" s="5">
        <f>F186-F188</f>
        <v/>
      </c>
      <c r="G189" s="5">
        <f>G186-G188</f>
        <v/>
      </c>
      <c r="H189" s="5">
        <f>H186-H188</f>
        <v/>
      </c>
      <c r="I189" s="5">
        <f>I186-I188</f>
        <v/>
      </c>
      <c r="J189" s="5">
        <f>J186-J188</f>
        <v/>
      </c>
      <c r="K189" s="5">
        <f>K186-K188</f>
        <v/>
      </c>
      <c r="L189" s="5">
        <f>L186-L188</f>
        <v/>
      </c>
      <c r="M189" s="5">
        <f>M186-M188</f>
        <v/>
      </c>
      <c r="N189" s="5">
        <f>N186-N188</f>
        <v/>
      </c>
      <c r="O189" s="5">
        <f>O186-O188</f>
        <v/>
      </c>
      <c r="P189" s="5">
        <f>P186-P188</f>
        <v/>
      </c>
      <c r="Q189" s="5">
        <f>Q186-Q188</f>
        <v/>
      </c>
      <c r="R189" s="5">
        <f>R186-R188</f>
        <v/>
      </c>
      <c r="S189" s="5">
        <f>S186-S188</f>
        <v/>
      </c>
      <c r="T189" s="5">
        <f>T186-T188</f>
        <v/>
      </c>
      <c r="U189" s="5">
        <f>U186-U188</f>
        <v/>
      </c>
      <c r="V189" s="5">
        <f>V186-V188</f>
        <v/>
      </c>
      <c r="W189" s="5">
        <f>W186-W188</f>
        <v/>
      </c>
      <c r="X189" s="5">
        <f>X186-X188</f>
        <v/>
      </c>
      <c r="Y189" s="5">
        <f>Y186-Y188</f>
        <v/>
      </c>
      <c r="Z189" s="5">
        <f>Z186-Z188</f>
        <v/>
      </c>
      <c r="AA189" s="5">
        <f>AA186-AA188</f>
        <v/>
      </c>
      <c r="AB189" s="5">
        <f>AB186-AB188</f>
        <v/>
      </c>
      <c r="AC189" s="5">
        <f>AC186-AC188</f>
        <v/>
      </c>
      <c r="AD189" s="5">
        <f>AD186-AD188</f>
        <v/>
      </c>
      <c r="AE189" s="5">
        <f>AE186-AE188</f>
        <v/>
      </c>
      <c r="AF189" s="5">
        <f>AF186-AF188</f>
        <v/>
      </c>
      <c r="AG189" s="5">
        <f>AG186-AG188</f>
        <v/>
      </c>
      <c r="AH189" s="5">
        <f>AH186-AH188</f>
        <v/>
      </c>
      <c r="AI189" s="5">
        <f>AI186-AI188</f>
        <v/>
      </c>
      <c r="AJ189" s="5">
        <f>AJ186-AJ188</f>
        <v/>
      </c>
      <c r="AK189" s="5">
        <f>AK186-AK188</f>
        <v/>
      </c>
      <c r="AL189" s="5">
        <f>AL186-AL188</f>
        <v/>
      </c>
      <c r="AM189" s="5">
        <f>AM186-AM188</f>
        <v/>
      </c>
      <c r="AN189" s="5">
        <f>AN186-AN188</f>
        <v/>
      </c>
      <c r="AO189" s="5">
        <f>AO186-AO188</f>
        <v/>
      </c>
      <c r="AP189" s="5">
        <f>AP186-AP188</f>
        <v/>
      </c>
      <c r="AQ189" s="5">
        <f>AQ186-AQ188</f>
        <v/>
      </c>
      <c r="AR189" s="5">
        <f>AR186-AR188</f>
        <v/>
      </c>
      <c r="AS189" s="5">
        <f>AS186-AS188</f>
        <v/>
      </c>
      <c r="AT189" s="5">
        <f>AT186-AT188</f>
        <v/>
      </c>
      <c r="AU189" s="5">
        <f>AU186-AU188</f>
        <v/>
      </c>
      <c r="AV189" s="5">
        <f>AV186-AV188</f>
        <v/>
      </c>
      <c r="AW189" s="5">
        <f>AW186-AW188</f>
        <v/>
      </c>
      <c r="AX189" s="5">
        <f>AX186-AX188</f>
        <v/>
      </c>
      <c r="AY189" s="5">
        <f>AY186-AY188</f>
        <v/>
      </c>
      <c r="AZ189" s="5">
        <f>AZ186-AZ188</f>
        <v/>
      </c>
      <c r="BA189" s="5">
        <f>BA186-BA188</f>
        <v/>
      </c>
      <c r="BB189" s="5">
        <f>BB186-BB188</f>
        <v/>
      </c>
      <c r="BC189" s="5">
        <f>BC186-BC188</f>
        <v/>
      </c>
      <c r="BD189" s="5">
        <f>BD186-BD188</f>
        <v/>
      </c>
      <c r="BE189" s="5">
        <f>BE186-BE188</f>
        <v/>
      </c>
      <c r="BF189" s="5">
        <f>BF186-BF188</f>
        <v/>
      </c>
      <c r="BG189" s="5">
        <f>BG186-BG188</f>
        <v/>
      </c>
      <c r="BH189" s="5">
        <f>BH186-BH188</f>
        <v/>
      </c>
      <c r="BI189" s="5">
        <f>BI186-BI188</f>
        <v/>
      </c>
      <c r="BJ189" s="5">
        <f>BJ186-BJ188</f>
        <v/>
      </c>
      <c r="BK189" s="5">
        <f>BK186-BK188</f>
        <v/>
      </c>
      <c r="BL189" s="5">
        <f>BL186-BL188</f>
        <v/>
      </c>
      <c r="BM189" s="5">
        <f>BM186-BM188</f>
        <v/>
      </c>
      <c r="BN189" s="5">
        <f>BN186-BN188</f>
        <v/>
      </c>
      <c r="BO189" s="5">
        <f>BO186-BO188</f>
        <v/>
      </c>
      <c r="BP189" s="5">
        <f>BP186-BP188</f>
        <v/>
      </c>
      <c r="BQ189" s="5">
        <f>BQ186-BQ188</f>
        <v/>
      </c>
      <c r="BR189" s="5">
        <f>BR186-BR188</f>
        <v/>
      </c>
      <c r="BS189" s="5">
        <f>BS186-BS188</f>
        <v/>
      </c>
      <c r="BT189" s="5">
        <f>BT186-BT188</f>
        <v/>
      </c>
      <c r="BU189" s="5">
        <f>BU186-BU188</f>
        <v/>
      </c>
      <c r="BV189" s="5">
        <f>BV186-BV188</f>
        <v/>
      </c>
    </row>
    <row r="190">
      <c r="A190" t="inlineStr">
        <is>
          <t>cum trial starts</t>
        </is>
      </c>
      <c r="B190" t="inlineStr">
        <is>
          <t>APAC|NITRO_M</t>
        </is>
      </c>
      <c r="C190" s="5">
        <f>SUM($C184:C184)</f>
        <v/>
      </c>
      <c r="D190" s="5">
        <f>SUM($C184:D184)</f>
        <v/>
      </c>
      <c r="E190" s="5">
        <f>SUM($C184:E184)</f>
        <v/>
      </c>
      <c r="F190" s="5">
        <f>SUM($C184:F184)</f>
        <v/>
      </c>
      <c r="G190" s="5">
        <f>SUM($C184:G184)</f>
        <v/>
      </c>
      <c r="H190" s="5">
        <f>SUM($C184:H184)</f>
        <v/>
      </c>
      <c r="I190" s="5">
        <f>SUM($C184:I184)</f>
        <v/>
      </c>
      <c r="J190" s="5">
        <f>SUM($C184:J184)</f>
        <v/>
      </c>
      <c r="K190" s="5">
        <f>SUM($C184:K184)</f>
        <v/>
      </c>
      <c r="L190" s="5">
        <f>SUM($C184:L184)</f>
        <v/>
      </c>
      <c r="M190" s="5">
        <f>SUM($C184:M184)</f>
        <v/>
      </c>
      <c r="N190" s="5">
        <f>SUM($C184:N184)</f>
        <v/>
      </c>
      <c r="O190" s="5">
        <f>SUM($C184:O184)</f>
        <v/>
      </c>
      <c r="P190" s="5">
        <f>SUM($C184:P184)</f>
        <v/>
      </c>
      <c r="Q190" s="5">
        <f>SUM($C184:Q184)</f>
        <v/>
      </c>
      <c r="R190" s="5">
        <f>SUM($C184:R184)</f>
        <v/>
      </c>
      <c r="S190" s="5">
        <f>SUM($C184:S184)</f>
        <v/>
      </c>
      <c r="T190" s="5">
        <f>SUM($C184:T184)</f>
        <v/>
      </c>
      <c r="U190" s="5">
        <f>SUM($C184:U184)</f>
        <v/>
      </c>
      <c r="V190" s="5">
        <f>SUM($C184:V184)</f>
        <v/>
      </c>
      <c r="W190" s="5">
        <f>SUM($C184:W184)</f>
        <v/>
      </c>
      <c r="X190" s="5">
        <f>SUM($C184:X184)</f>
        <v/>
      </c>
      <c r="Y190" s="5">
        <f>SUM($C184:Y184)</f>
        <v/>
      </c>
      <c r="Z190" s="5">
        <f>SUM($C184:Z184)</f>
        <v/>
      </c>
      <c r="AA190" s="5">
        <f>SUM($C184:AA184)</f>
        <v/>
      </c>
      <c r="AB190" s="5">
        <f>SUM($C184:AB184)</f>
        <v/>
      </c>
      <c r="AC190" s="5">
        <f>SUM($C184:AC184)</f>
        <v/>
      </c>
      <c r="AD190" s="5">
        <f>SUM($C184:AD184)</f>
        <v/>
      </c>
      <c r="AE190" s="5">
        <f>SUM($C184:AE184)</f>
        <v/>
      </c>
      <c r="AF190" s="5">
        <f>SUM($C184:AF184)</f>
        <v/>
      </c>
      <c r="AG190" s="5">
        <f>SUM($C184:AG184)</f>
        <v/>
      </c>
      <c r="AH190" s="5">
        <f>SUM($C184:AH184)</f>
        <v/>
      </c>
      <c r="AI190" s="5">
        <f>SUM($C184:AI184)</f>
        <v/>
      </c>
      <c r="AJ190" s="5">
        <f>SUM($C184:AJ184)</f>
        <v/>
      </c>
      <c r="AK190" s="5">
        <f>SUM($C184:AK184)</f>
        <v/>
      </c>
      <c r="AL190" s="5">
        <f>SUM($C184:AL184)</f>
        <v/>
      </c>
      <c r="AM190" s="5">
        <f>SUM($C184:AM184)</f>
        <v/>
      </c>
      <c r="AN190" s="5">
        <f>SUM($C184:AN184)</f>
        <v/>
      </c>
      <c r="AO190" s="5">
        <f>SUM($C184:AO184)</f>
        <v/>
      </c>
      <c r="AP190" s="5">
        <f>SUM($C184:AP184)</f>
        <v/>
      </c>
      <c r="AQ190" s="5">
        <f>SUM($C184:AQ184)</f>
        <v/>
      </c>
      <c r="AR190" s="5">
        <f>SUM($C184:AR184)</f>
        <v/>
      </c>
      <c r="AS190" s="5">
        <f>SUM($C184:AS184)</f>
        <v/>
      </c>
      <c r="AT190" s="5">
        <f>SUM($C184:AT184)</f>
        <v/>
      </c>
      <c r="AU190" s="5">
        <f>SUM($C184:AU184)</f>
        <v/>
      </c>
      <c r="AV190" s="5">
        <f>SUM($C184:AV184)</f>
        <v/>
      </c>
      <c r="AW190" s="5">
        <f>SUM($C184:AW184)</f>
        <v/>
      </c>
      <c r="AX190" s="5">
        <f>SUM($C184:AX184)</f>
        <v/>
      </c>
      <c r="AY190" s="5">
        <f>SUM($C184:AY184)</f>
        <v/>
      </c>
      <c r="AZ190" s="5">
        <f>SUM($C184:AZ184)</f>
        <v/>
      </c>
      <c r="BA190" s="5">
        <f>SUM($C184:BA184)</f>
        <v/>
      </c>
      <c r="BB190" s="5">
        <f>SUM($C184:BB184)</f>
        <v/>
      </c>
      <c r="BC190" s="5">
        <f>SUM($C184:BC184)</f>
        <v/>
      </c>
      <c r="BD190" s="5">
        <f>SUM($C184:BD184)</f>
        <v/>
      </c>
      <c r="BE190" s="5">
        <f>SUM($C184:BE184)</f>
        <v/>
      </c>
      <c r="BF190" s="5">
        <f>SUM($C184:BF184)</f>
        <v/>
      </c>
      <c r="BG190" s="5">
        <f>SUM($C184:BG184)</f>
        <v/>
      </c>
      <c r="BH190" s="5">
        <f>SUM($C184:BH184)</f>
        <v/>
      </c>
      <c r="BI190" s="5">
        <f>SUM($C184:BI184)</f>
        <v/>
      </c>
      <c r="BJ190" s="5">
        <f>SUM($C184:BJ184)</f>
        <v/>
      </c>
      <c r="BK190" s="5">
        <f>SUM($C184:BK184)</f>
        <v/>
      </c>
      <c r="BL190" s="5">
        <f>SUM($C184:BL184)</f>
        <v/>
      </c>
      <c r="BM190" s="5">
        <f>SUM($C184:BM184)</f>
        <v/>
      </c>
      <c r="BN190" s="5">
        <f>SUM($C184:BN184)</f>
        <v/>
      </c>
      <c r="BO190" s="5">
        <f>SUM($C184:BO184)</f>
        <v/>
      </c>
      <c r="BP190" s="5">
        <f>SUM($C184:BP184)</f>
        <v/>
      </c>
      <c r="BQ190" s="5">
        <f>SUM($C184:BQ184)</f>
        <v/>
      </c>
      <c r="BR190" s="5">
        <f>SUM($C184:BR184)</f>
        <v/>
      </c>
      <c r="BS190" s="5">
        <f>SUM($C184:BS184)</f>
        <v/>
      </c>
      <c r="BT190" s="5">
        <f>SUM($C184:BT184)</f>
        <v/>
      </c>
      <c r="BU190" s="5">
        <f>SUM($C184:BU184)</f>
        <v/>
      </c>
      <c r="BV190" s="5">
        <f>SUM($C184:BV184)</f>
        <v/>
      </c>
    </row>
    <row r="191">
      <c r="A191" t="inlineStr">
        <is>
          <t>cum trials ending</t>
        </is>
      </c>
      <c r="B191" t="inlineStr">
        <is>
          <t>APAC|NITRO_M</t>
        </is>
      </c>
      <c r="C191" s="5">
        <f>SUM($C186:C186)</f>
        <v/>
      </c>
      <c r="D191" s="5">
        <f>SUM($C186:D186)</f>
        <v/>
      </c>
      <c r="E191" s="5">
        <f>SUM($C186:E186)</f>
        <v/>
      </c>
      <c r="F191" s="5">
        <f>SUM($C186:F186)</f>
        <v/>
      </c>
      <c r="G191" s="5">
        <f>SUM($C186:G186)</f>
        <v/>
      </c>
      <c r="H191" s="5">
        <f>SUM($C186:H186)</f>
        <v/>
      </c>
      <c r="I191" s="5">
        <f>SUM($C186:I186)</f>
        <v/>
      </c>
      <c r="J191" s="5">
        <f>SUM($C186:J186)</f>
        <v/>
      </c>
      <c r="K191" s="5">
        <f>SUM($C186:K186)</f>
        <v/>
      </c>
      <c r="L191" s="5">
        <f>SUM($C186:L186)</f>
        <v/>
      </c>
      <c r="M191" s="5">
        <f>SUM($C186:M186)</f>
        <v/>
      </c>
      <c r="N191" s="5">
        <f>SUM($C186:N186)</f>
        <v/>
      </c>
      <c r="O191" s="5">
        <f>SUM($C186:O186)</f>
        <v/>
      </c>
      <c r="P191" s="5">
        <f>SUM($C186:P186)</f>
        <v/>
      </c>
      <c r="Q191" s="5">
        <f>SUM($C186:Q186)</f>
        <v/>
      </c>
      <c r="R191" s="5">
        <f>SUM($C186:R186)</f>
        <v/>
      </c>
      <c r="S191" s="5">
        <f>SUM($C186:S186)</f>
        <v/>
      </c>
      <c r="T191" s="5">
        <f>SUM($C186:T186)</f>
        <v/>
      </c>
      <c r="U191" s="5">
        <f>SUM($C186:U186)</f>
        <v/>
      </c>
      <c r="V191" s="5">
        <f>SUM($C186:V186)</f>
        <v/>
      </c>
      <c r="W191" s="5">
        <f>SUM($C186:W186)</f>
        <v/>
      </c>
      <c r="X191" s="5">
        <f>SUM($C186:X186)</f>
        <v/>
      </c>
      <c r="Y191" s="5">
        <f>SUM($C186:Y186)</f>
        <v/>
      </c>
      <c r="Z191" s="5">
        <f>SUM($C186:Z186)</f>
        <v/>
      </c>
      <c r="AA191" s="5">
        <f>SUM($C186:AA186)</f>
        <v/>
      </c>
      <c r="AB191" s="5">
        <f>SUM($C186:AB186)</f>
        <v/>
      </c>
      <c r="AC191" s="5">
        <f>SUM($C186:AC186)</f>
        <v/>
      </c>
      <c r="AD191" s="5">
        <f>SUM($C186:AD186)</f>
        <v/>
      </c>
      <c r="AE191" s="5">
        <f>SUM($C186:AE186)</f>
        <v/>
      </c>
      <c r="AF191" s="5">
        <f>SUM($C186:AF186)</f>
        <v/>
      </c>
      <c r="AG191" s="5">
        <f>SUM($C186:AG186)</f>
        <v/>
      </c>
      <c r="AH191" s="5">
        <f>SUM($C186:AH186)</f>
        <v/>
      </c>
      <c r="AI191" s="5">
        <f>SUM($C186:AI186)</f>
        <v/>
      </c>
      <c r="AJ191" s="5">
        <f>SUM($C186:AJ186)</f>
        <v/>
      </c>
      <c r="AK191" s="5">
        <f>SUM($C186:AK186)</f>
        <v/>
      </c>
      <c r="AL191" s="5">
        <f>SUM($C186:AL186)</f>
        <v/>
      </c>
      <c r="AM191" s="5">
        <f>SUM($C186:AM186)</f>
        <v/>
      </c>
      <c r="AN191" s="5">
        <f>SUM($C186:AN186)</f>
        <v/>
      </c>
      <c r="AO191" s="5">
        <f>SUM($C186:AO186)</f>
        <v/>
      </c>
      <c r="AP191" s="5">
        <f>SUM($C186:AP186)</f>
        <v/>
      </c>
      <c r="AQ191" s="5">
        <f>SUM($C186:AQ186)</f>
        <v/>
      </c>
      <c r="AR191" s="5">
        <f>SUM($C186:AR186)</f>
        <v/>
      </c>
      <c r="AS191" s="5">
        <f>SUM($C186:AS186)</f>
        <v/>
      </c>
      <c r="AT191" s="5">
        <f>SUM($C186:AT186)</f>
        <v/>
      </c>
      <c r="AU191" s="5">
        <f>SUM($C186:AU186)</f>
        <v/>
      </c>
      <c r="AV191" s="5">
        <f>SUM($C186:AV186)</f>
        <v/>
      </c>
      <c r="AW191" s="5">
        <f>SUM($C186:AW186)</f>
        <v/>
      </c>
      <c r="AX191" s="5">
        <f>SUM($C186:AX186)</f>
        <v/>
      </c>
      <c r="AY191" s="5">
        <f>SUM($C186:AY186)</f>
        <v/>
      </c>
      <c r="AZ191" s="5">
        <f>SUM($C186:AZ186)</f>
        <v/>
      </c>
      <c r="BA191" s="5">
        <f>SUM($C186:BA186)</f>
        <v/>
      </c>
      <c r="BB191" s="5">
        <f>SUM($C186:BB186)</f>
        <v/>
      </c>
      <c r="BC191" s="5">
        <f>SUM($C186:BC186)</f>
        <v/>
      </c>
      <c r="BD191" s="5">
        <f>SUM($C186:BD186)</f>
        <v/>
      </c>
      <c r="BE191" s="5">
        <f>SUM($C186:BE186)</f>
        <v/>
      </c>
      <c r="BF191" s="5">
        <f>SUM($C186:BF186)</f>
        <v/>
      </c>
      <c r="BG191" s="5">
        <f>SUM($C186:BG186)</f>
        <v/>
      </c>
      <c r="BH191" s="5">
        <f>SUM($C186:BH186)</f>
        <v/>
      </c>
      <c r="BI191" s="5">
        <f>SUM($C186:BI186)</f>
        <v/>
      </c>
      <c r="BJ191" s="5">
        <f>SUM($C186:BJ186)</f>
        <v/>
      </c>
      <c r="BK191" s="5">
        <f>SUM($C186:BK186)</f>
        <v/>
      </c>
      <c r="BL191" s="5">
        <f>SUM($C186:BL186)</f>
        <v/>
      </c>
      <c r="BM191" s="5">
        <f>SUM($C186:BM186)</f>
        <v/>
      </c>
      <c r="BN191" s="5">
        <f>SUM($C186:BN186)</f>
        <v/>
      </c>
      <c r="BO191" s="5">
        <f>SUM($C186:BO186)</f>
        <v/>
      </c>
      <c r="BP191" s="5">
        <f>SUM($C186:BP186)</f>
        <v/>
      </c>
      <c r="BQ191" s="5">
        <f>SUM($C186:BQ186)</f>
        <v/>
      </c>
      <c r="BR191" s="5">
        <f>SUM($C186:BR186)</f>
        <v/>
      </c>
      <c r="BS191" s="5">
        <f>SUM($C186:BS186)</f>
        <v/>
      </c>
      <c r="BT191" s="5">
        <f>SUM($C186:BT186)</f>
        <v/>
      </c>
      <c r="BU191" s="5">
        <f>SUM($C186:BU186)</f>
        <v/>
      </c>
      <c r="BV191" s="5">
        <f>SUM($C186:BV186)</f>
        <v/>
      </c>
    </row>
    <row r="192">
      <c r="A192" t="inlineStr">
        <is>
          <t>trials active</t>
        </is>
      </c>
      <c r="B192" t="inlineStr">
        <is>
          <t>APAC|NITRO_M</t>
        </is>
      </c>
      <c r="C192" s="5">
        <f>C190-C191</f>
        <v/>
      </c>
      <c r="D192" s="5">
        <f>D190-D191</f>
        <v/>
      </c>
      <c r="E192" s="5">
        <f>E190-E191</f>
        <v/>
      </c>
      <c r="F192" s="5">
        <f>F190-F191</f>
        <v/>
      </c>
      <c r="G192" s="5">
        <f>G190-G191</f>
        <v/>
      </c>
      <c r="H192" s="5">
        <f>H190-H191</f>
        <v/>
      </c>
      <c r="I192" s="5">
        <f>I190-I191</f>
        <v/>
      </c>
      <c r="J192" s="5">
        <f>J190-J191</f>
        <v/>
      </c>
      <c r="K192" s="5">
        <f>K190-K191</f>
        <v/>
      </c>
      <c r="L192" s="5">
        <f>L190-L191</f>
        <v/>
      </c>
      <c r="M192" s="5">
        <f>M190-M191</f>
        <v/>
      </c>
      <c r="N192" s="5">
        <f>N190-N191</f>
        <v/>
      </c>
      <c r="O192" s="5">
        <f>O190-O191</f>
        <v/>
      </c>
      <c r="P192" s="5">
        <f>P190-P191</f>
        <v/>
      </c>
      <c r="Q192" s="5">
        <f>Q190-Q191</f>
        <v/>
      </c>
      <c r="R192" s="5">
        <f>R190-R191</f>
        <v/>
      </c>
      <c r="S192" s="5">
        <f>S190-S191</f>
        <v/>
      </c>
      <c r="T192" s="5">
        <f>T190-T191</f>
        <v/>
      </c>
      <c r="U192" s="5">
        <f>U190-U191</f>
        <v/>
      </c>
      <c r="V192" s="5">
        <f>V190-V191</f>
        <v/>
      </c>
      <c r="W192" s="5">
        <f>W190-W191</f>
        <v/>
      </c>
      <c r="X192" s="5">
        <f>X190-X191</f>
        <v/>
      </c>
      <c r="Y192" s="5">
        <f>Y190-Y191</f>
        <v/>
      </c>
      <c r="Z192" s="5">
        <f>Z190-Z191</f>
        <v/>
      </c>
      <c r="AA192" s="5">
        <f>AA190-AA191</f>
        <v/>
      </c>
      <c r="AB192" s="5">
        <f>AB190-AB191</f>
        <v/>
      </c>
      <c r="AC192" s="5">
        <f>AC190-AC191</f>
        <v/>
      </c>
      <c r="AD192" s="5">
        <f>AD190-AD191</f>
        <v/>
      </c>
      <c r="AE192" s="5">
        <f>AE190-AE191</f>
        <v/>
      </c>
      <c r="AF192" s="5">
        <f>AF190-AF191</f>
        <v/>
      </c>
      <c r="AG192" s="5">
        <f>AG190-AG191</f>
        <v/>
      </c>
      <c r="AH192" s="5">
        <f>AH190-AH191</f>
        <v/>
      </c>
      <c r="AI192" s="5">
        <f>AI190-AI191</f>
        <v/>
      </c>
      <c r="AJ192" s="5">
        <f>AJ190-AJ191</f>
        <v/>
      </c>
      <c r="AK192" s="5">
        <f>AK190-AK191</f>
        <v/>
      </c>
      <c r="AL192" s="5">
        <f>AL190-AL191</f>
        <v/>
      </c>
      <c r="AM192" s="5">
        <f>AM190-AM191</f>
        <v/>
      </c>
      <c r="AN192" s="5">
        <f>AN190-AN191</f>
        <v/>
      </c>
      <c r="AO192" s="5">
        <f>AO190-AO191</f>
        <v/>
      </c>
      <c r="AP192" s="5">
        <f>AP190-AP191</f>
        <v/>
      </c>
      <c r="AQ192" s="5">
        <f>AQ190-AQ191</f>
        <v/>
      </c>
      <c r="AR192" s="5">
        <f>AR190-AR191</f>
        <v/>
      </c>
      <c r="AS192" s="5">
        <f>AS190-AS191</f>
        <v/>
      </c>
      <c r="AT192" s="5">
        <f>AT190-AT191</f>
        <v/>
      </c>
      <c r="AU192" s="5">
        <f>AU190-AU191</f>
        <v/>
      </c>
      <c r="AV192" s="5">
        <f>AV190-AV191</f>
        <v/>
      </c>
      <c r="AW192" s="5">
        <f>AW190-AW191</f>
        <v/>
      </c>
      <c r="AX192" s="5">
        <f>AX190-AX191</f>
        <v/>
      </c>
      <c r="AY192" s="5">
        <f>AY190-AY191</f>
        <v/>
      </c>
      <c r="AZ192" s="5">
        <f>AZ190-AZ191</f>
        <v/>
      </c>
      <c r="BA192" s="5">
        <f>BA190-BA191</f>
        <v/>
      </c>
      <c r="BB192" s="5">
        <f>BB190-BB191</f>
        <v/>
      </c>
      <c r="BC192" s="5">
        <f>BC190-BC191</f>
        <v/>
      </c>
      <c r="BD192" s="5">
        <f>BD190-BD191</f>
        <v/>
      </c>
      <c r="BE192" s="5">
        <f>BE190-BE191</f>
        <v/>
      </c>
      <c r="BF192" s="5">
        <f>BF190-BF191</f>
        <v/>
      </c>
      <c r="BG192" s="5">
        <f>BG190-BG191</f>
        <v/>
      </c>
      <c r="BH192" s="5">
        <f>BH190-BH191</f>
        <v/>
      </c>
      <c r="BI192" s="5">
        <f>BI190-BI191</f>
        <v/>
      </c>
      <c r="BJ192" s="5">
        <f>BJ190-BJ191</f>
        <v/>
      </c>
      <c r="BK192" s="5">
        <f>BK190-BK191</f>
        <v/>
      </c>
      <c r="BL192" s="5">
        <f>BL190-BL191</f>
        <v/>
      </c>
      <c r="BM192" s="5">
        <f>BM190-BM191</f>
        <v/>
      </c>
      <c r="BN192" s="5">
        <f>BN190-BN191</f>
        <v/>
      </c>
      <c r="BO192" s="5">
        <f>BO190-BO191</f>
        <v/>
      </c>
      <c r="BP192" s="5">
        <f>BP190-BP191</f>
        <v/>
      </c>
      <c r="BQ192" s="5">
        <f>BQ190-BQ191</f>
        <v/>
      </c>
      <c r="BR192" s="5">
        <f>BR190-BR191</f>
        <v/>
      </c>
      <c r="BS192" s="5">
        <f>BS190-BS191</f>
        <v/>
      </c>
      <c r="BT192" s="5">
        <f>BT190-BT191</f>
        <v/>
      </c>
      <c r="BU192" s="5">
        <f>BU190-BU191</f>
        <v/>
      </c>
      <c r="BV192" s="5">
        <f>BV190-BV191</f>
        <v/>
      </c>
    </row>
    <row r="193">
      <c r="A193" t="inlineStr">
        <is>
          <t>paid starts</t>
        </is>
      </c>
      <c r="B193" t="inlineStr">
        <is>
          <t>APAC|NITRO_M</t>
        </is>
      </c>
      <c r="C193" s="5">
        <f>C185+C188</f>
        <v/>
      </c>
      <c r="D193" s="5">
        <f>D185+D188</f>
        <v/>
      </c>
      <c r="E193" s="5">
        <f>E185+E188</f>
        <v/>
      </c>
      <c r="F193" s="5">
        <f>F185+F188</f>
        <v/>
      </c>
      <c r="G193" s="5">
        <f>G185+G188</f>
        <v/>
      </c>
      <c r="H193" s="5">
        <f>H185+H188</f>
        <v/>
      </c>
      <c r="I193" s="5">
        <f>I185+I188</f>
        <v/>
      </c>
      <c r="J193" s="5">
        <f>J185+J188</f>
        <v/>
      </c>
      <c r="K193" s="5">
        <f>K185+K188</f>
        <v/>
      </c>
      <c r="L193" s="5">
        <f>L185+L188</f>
        <v/>
      </c>
      <c r="M193" s="5">
        <f>M185+M188</f>
        <v/>
      </c>
      <c r="N193" s="5">
        <f>N185+N188</f>
        <v/>
      </c>
      <c r="O193" s="5">
        <f>O185+O188</f>
        <v/>
      </c>
      <c r="P193" s="5">
        <f>P185+P188</f>
        <v/>
      </c>
      <c r="Q193" s="5">
        <f>Q185+Q188</f>
        <v/>
      </c>
      <c r="R193" s="5">
        <f>R185+R188</f>
        <v/>
      </c>
      <c r="S193" s="5">
        <f>S185+S188</f>
        <v/>
      </c>
      <c r="T193" s="5">
        <f>T185+T188</f>
        <v/>
      </c>
      <c r="U193" s="5">
        <f>U185+U188</f>
        <v/>
      </c>
      <c r="V193" s="5">
        <f>V185+V188</f>
        <v/>
      </c>
      <c r="W193" s="5">
        <f>W185+W188</f>
        <v/>
      </c>
      <c r="X193" s="5">
        <f>X185+X188</f>
        <v/>
      </c>
      <c r="Y193" s="5">
        <f>Y185+Y188</f>
        <v/>
      </c>
      <c r="Z193" s="5">
        <f>Z185+Z188</f>
        <v/>
      </c>
      <c r="AA193" s="5">
        <f>AA185+AA188</f>
        <v/>
      </c>
      <c r="AB193" s="5">
        <f>AB185+AB188</f>
        <v/>
      </c>
      <c r="AC193" s="5">
        <f>AC185+AC188</f>
        <v/>
      </c>
      <c r="AD193" s="5">
        <f>AD185+AD188</f>
        <v/>
      </c>
      <c r="AE193" s="5">
        <f>AE185+AE188</f>
        <v/>
      </c>
      <c r="AF193" s="5">
        <f>AF185+AF188</f>
        <v/>
      </c>
      <c r="AG193" s="5">
        <f>AG185+AG188</f>
        <v/>
      </c>
      <c r="AH193" s="5">
        <f>AH185+AH188</f>
        <v/>
      </c>
      <c r="AI193" s="5">
        <f>AI185+AI188</f>
        <v/>
      </c>
      <c r="AJ193" s="5">
        <f>AJ185+AJ188</f>
        <v/>
      </c>
      <c r="AK193" s="5">
        <f>AK185+AK188</f>
        <v/>
      </c>
      <c r="AL193" s="5">
        <f>AL185+AL188</f>
        <v/>
      </c>
      <c r="AM193" s="5">
        <f>AM185+AM188</f>
        <v/>
      </c>
      <c r="AN193" s="5">
        <f>AN185+AN188</f>
        <v/>
      </c>
      <c r="AO193" s="5">
        <f>AO185+AO188</f>
        <v/>
      </c>
      <c r="AP193" s="5">
        <f>AP185+AP188</f>
        <v/>
      </c>
      <c r="AQ193" s="5">
        <f>AQ185+AQ188</f>
        <v/>
      </c>
      <c r="AR193" s="5">
        <f>AR185+AR188</f>
        <v/>
      </c>
      <c r="AS193" s="5">
        <f>AS185+AS188</f>
        <v/>
      </c>
      <c r="AT193" s="5">
        <f>AT185+AT188</f>
        <v/>
      </c>
      <c r="AU193" s="5">
        <f>AU185+AU188</f>
        <v/>
      </c>
      <c r="AV193" s="5">
        <f>AV185+AV188</f>
        <v/>
      </c>
      <c r="AW193" s="5">
        <f>AW185+AW188</f>
        <v/>
      </c>
      <c r="AX193" s="5">
        <f>AX185+AX188</f>
        <v/>
      </c>
      <c r="AY193" s="5">
        <f>AY185+AY188</f>
        <v/>
      </c>
      <c r="AZ193" s="5">
        <f>AZ185+AZ188</f>
        <v/>
      </c>
      <c r="BA193" s="5">
        <f>BA185+BA188</f>
        <v/>
      </c>
      <c r="BB193" s="5">
        <f>BB185+BB188</f>
        <v/>
      </c>
      <c r="BC193" s="5">
        <f>BC185+BC188</f>
        <v/>
      </c>
      <c r="BD193" s="5">
        <f>BD185+BD188</f>
        <v/>
      </c>
      <c r="BE193" s="5">
        <f>BE185+BE188</f>
        <v/>
      </c>
      <c r="BF193" s="5">
        <f>BF185+BF188</f>
        <v/>
      </c>
      <c r="BG193" s="5">
        <f>BG185+BG188</f>
        <v/>
      </c>
      <c r="BH193" s="5">
        <f>BH185+BH188</f>
        <v/>
      </c>
      <c r="BI193" s="5">
        <f>BI185+BI188</f>
        <v/>
      </c>
      <c r="BJ193" s="5">
        <f>BJ185+BJ188</f>
        <v/>
      </c>
      <c r="BK193" s="5">
        <f>BK185+BK188</f>
        <v/>
      </c>
      <c r="BL193" s="5">
        <f>BL185+BL188</f>
        <v/>
      </c>
      <c r="BM193" s="5">
        <f>BM185+BM188</f>
        <v/>
      </c>
      <c r="BN193" s="5">
        <f>BN185+BN188</f>
        <v/>
      </c>
      <c r="BO193" s="5">
        <f>BO185+BO188</f>
        <v/>
      </c>
      <c r="BP193" s="5">
        <f>BP185+BP188</f>
        <v/>
      </c>
      <c r="BQ193" s="5">
        <f>BQ185+BQ188</f>
        <v/>
      </c>
      <c r="BR193" s="5">
        <f>BR185+BR188</f>
        <v/>
      </c>
      <c r="BS193" s="5">
        <f>BS185+BS188</f>
        <v/>
      </c>
      <c r="BT193" s="5">
        <f>BT185+BT188</f>
        <v/>
      </c>
      <c r="BU193" s="5">
        <f>BU185+BU188</f>
        <v/>
      </c>
      <c r="BV193" s="5">
        <f>BV185+BV188</f>
        <v/>
      </c>
    </row>
    <row r="194">
      <c r="A194" t="inlineStr">
        <is>
          <t>paid starts @0</t>
        </is>
      </c>
      <c r="B194" t="inlineStr">
        <is>
          <t>APAC|NITRO_M</t>
        </is>
      </c>
      <c r="C194" s="5">
        <f>C193*Eras!C$3</f>
        <v/>
      </c>
      <c r="D194" s="5">
        <f>D193*Eras!D$3</f>
        <v/>
      </c>
      <c r="E194" s="5">
        <f>E193*Eras!E$3</f>
        <v/>
      </c>
      <c r="F194" s="5">
        <f>F193*Eras!F$3</f>
        <v/>
      </c>
      <c r="G194" s="5">
        <f>G193*Eras!G$3</f>
        <v/>
      </c>
      <c r="H194" s="5">
        <f>H193*Eras!H$3</f>
        <v/>
      </c>
      <c r="I194" s="5">
        <f>I193*Eras!I$3</f>
        <v/>
      </c>
      <c r="J194" s="5">
        <f>J193*Eras!J$3</f>
        <v/>
      </c>
      <c r="K194" s="5">
        <f>K193*Eras!K$3</f>
        <v/>
      </c>
      <c r="L194" s="5">
        <f>L193*Eras!L$3</f>
        <v/>
      </c>
      <c r="M194" s="5">
        <f>M193*Eras!M$3</f>
        <v/>
      </c>
      <c r="N194" s="5">
        <f>N193*Eras!N$3</f>
        <v/>
      </c>
      <c r="O194" s="5">
        <f>O193*Eras!O$3</f>
        <v/>
      </c>
      <c r="P194" s="5">
        <f>P193*Eras!P$3</f>
        <v/>
      </c>
      <c r="Q194" s="5">
        <f>Q193*Eras!Q$3</f>
        <v/>
      </c>
      <c r="R194" s="5">
        <f>R193*Eras!R$3</f>
        <v/>
      </c>
      <c r="S194" s="5">
        <f>S193*Eras!S$3</f>
        <v/>
      </c>
      <c r="T194" s="5">
        <f>T193*Eras!T$3</f>
        <v/>
      </c>
      <c r="U194" s="5">
        <f>U193*Eras!U$3</f>
        <v/>
      </c>
      <c r="V194" s="5">
        <f>V193*Eras!V$3</f>
        <v/>
      </c>
      <c r="W194" s="5">
        <f>W193*Eras!W$3</f>
        <v/>
      </c>
      <c r="X194" s="5">
        <f>X193*Eras!X$3</f>
        <v/>
      </c>
      <c r="Y194" s="5">
        <f>Y193*Eras!Y$3</f>
        <v/>
      </c>
      <c r="Z194" s="5">
        <f>Z193*Eras!Z$3</f>
        <v/>
      </c>
      <c r="AA194" s="5">
        <f>AA193*Eras!AA$3</f>
        <v/>
      </c>
      <c r="AB194" s="5">
        <f>AB193*Eras!AB$3</f>
        <v/>
      </c>
      <c r="AC194" s="5">
        <f>AC193*Eras!AC$3</f>
        <v/>
      </c>
      <c r="AD194" s="5">
        <f>AD193*Eras!AD$3</f>
        <v/>
      </c>
      <c r="AE194" s="5">
        <f>AE193*Eras!AE$3</f>
        <v/>
      </c>
      <c r="AF194" s="5">
        <f>AF193*Eras!AF$3</f>
        <v/>
      </c>
      <c r="AG194" s="5">
        <f>AG193*Eras!AG$3</f>
        <v/>
      </c>
      <c r="AH194" s="5">
        <f>AH193*Eras!AH$3</f>
        <v/>
      </c>
      <c r="AI194" s="5">
        <f>AI193*Eras!AI$3</f>
        <v/>
      </c>
      <c r="AJ194" s="5">
        <f>AJ193*Eras!AJ$3</f>
        <v/>
      </c>
      <c r="AK194" s="5">
        <f>AK193*Eras!AK$3</f>
        <v/>
      </c>
      <c r="AL194" s="5">
        <f>AL193*Eras!AL$3</f>
        <v/>
      </c>
      <c r="AM194" s="5">
        <f>AM193*Eras!AM$3</f>
        <v/>
      </c>
      <c r="AN194" s="5">
        <f>AN193*Eras!AN$3</f>
        <v/>
      </c>
      <c r="AO194" s="5">
        <f>AO193*Eras!AO$3</f>
        <v/>
      </c>
      <c r="AP194" s="5">
        <f>AP193*Eras!AP$3</f>
        <v/>
      </c>
      <c r="AQ194" s="5">
        <f>AQ193*Eras!AQ$3</f>
        <v/>
      </c>
      <c r="AR194" s="5">
        <f>AR193*Eras!AR$3</f>
        <v/>
      </c>
      <c r="AS194" s="5">
        <f>AS193*Eras!AS$3</f>
        <v/>
      </c>
      <c r="AT194" s="5">
        <f>AT193*Eras!AT$3</f>
        <v/>
      </c>
      <c r="AU194" s="5">
        <f>AU193*Eras!AU$3</f>
        <v/>
      </c>
      <c r="AV194" s="5">
        <f>AV193*Eras!AV$3</f>
        <v/>
      </c>
      <c r="AW194" s="5">
        <f>AW193*Eras!AW$3</f>
        <v/>
      </c>
      <c r="AX194" s="5">
        <f>AX193*Eras!AX$3</f>
        <v/>
      </c>
      <c r="AY194" s="5">
        <f>AY193*Eras!AY$3</f>
        <v/>
      </c>
      <c r="AZ194" s="5">
        <f>AZ193*Eras!AZ$3</f>
        <v/>
      </c>
      <c r="BA194" s="5">
        <f>BA193*Eras!BA$3</f>
        <v/>
      </c>
      <c r="BB194" s="5">
        <f>BB193*Eras!BB$3</f>
        <v/>
      </c>
      <c r="BC194" s="5">
        <f>BC193*Eras!BC$3</f>
        <v/>
      </c>
      <c r="BD194" s="5">
        <f>BD193*Eras!BD$3</f>
        <v/>
      </c>
      <c r="BE194" s="5">
        <f>BE193*Eras!BE$3</f>
        <v/>
      </c>
      <c r="BF194" s="5">
        <f>BF193*Eras!BF$3</f>
        <v/>
      </c>
      <c r="BG194" s="5">
        <f>BG193*Eras!BG$3</f>
        <v/>
      </c>
      <c r="BH194" s="5">
        <f>BH193*Eras!BH$3</f>
        <v/>
      </c>
      <c r="BI194" s="5">
        <f>BI193*Eras!BI$3</f>
        <v/>
      </c>
      <c r="BJ194" s="5">
        <f>BJ193*Eras!BJ$3</f>
        <v/>
      </c>
      <c r="BK194" s="5">
        <f>BK193*Eras!BK$3</f>
        <v/>
      </c>
      <c r="BL194" s="5">
        <f>BL193*Eras!BL$3</f>
        <v/>
      </c>
      <c r="BM194" s="5">
        <f>BM193*Eras!BM$3</f>
        <v/>
      </c>
      <c r="BN194" s="5">
        <f>BN193*Eras!BN$3</f>
        <v/>
      </c>
      <c r="BO194" s="5">
        <f>BO193*Eras!BO$3</f>
        <v/>
      </c>
      <c r="BP194" s="5">
        <f>BP193*Eras!BP$3</f>
        <v/>
      </c>
      <c r="BQ194" s="5">
        <f>BQ193*Eras!BQ$3</f>
        <v/>
      </c>
      <c r="BR194" s="5">
        <f>BR193*Eras!BR$3</f>
        <v/>
      </c>
      <c r="BS194" s="5">
        <f>BS193*Eras!BS$3</f>
        <v/>
      </c>
      <c r="BT194" s="5">
        <f>BT193*Eras!BT$3</f>
        <v/>
      </c>
      <c r="BU194" s="5">
        <f>BU193*Eras!BU$3</f>
        <v/>
      </c>
      <c r="BV194" s="5">
        <f>BV193*Eras!BV$3</f>
        <v/>
      </c>
    </row>
    <row r="195">
      <c r="A195" t="inlineStr">
        <is>
          <t>paid starts @1</t>
        </is>
      </c>
      <c r="B195" t="inlineStr">
        <is>
          <t>APAC|NITRO_M</t>
        </is>
      </c>
      <c r="C195" s="5">
        <f>C193*Eras!C$4</f>
        <v/>
      </c>
      <c r="D195" s="5">
        <f>D193*Eras!D$4</f>
        <v/>
      </c>
      <c r="E195" s="5">
        <f>E193*Eras!E$4</f>
        <v/>
      </c>
      <c r="F195" s="5">
        <f>F193*Eras!F$4</f>
        <v/>
      </c>
      <c r="G195" s="5">
        <f>G193*Eras!G$4</f>
        <v/>
      </c>
      <c r="H195" s="5">
        <f>H193*Eras!H$4</f>
        <v/>
      </c>
      <c r="I195" s="5">
        <f>I193*Eras!I$4</f>
        <v/>
      </c>
      <c r="J195" s="5">
        <f>J193*Eras!J$4</f>
        <v/>
      </c>
      <c r="K195" s="5">
        <f>K193*Eras!K$4</f>
        <v/>
      </c>
      <c r="L195" s="5">
        <f>L193*Eras!L$4</f>
        <v/>
      </c>
      <c r="M195" s="5">
        <f>M193*Eras!M$4</f>
        <v/>
      </c>
      <c r="N195" s="5">
        <f>N193*Eras!N$4</f>
        <v/>
      </c>
      <c r="O195" s="5">
        <f>O193*Eras!O$4</f>
        <v/>
      </c>
      <c r="P195" s="5">
        <f>P193*Eras!P$4</f>
        <v/>
      </c>
      <c r="Q195" s="5">
        <f>Q193*Eras!Q$4</f>
        <v/>
      </c>
      <c r="R195" s="5">
        <f>R193*Eras!R$4</f>
        <v/>
      </c>
      <c r="S195" s="5">
        <f>S193*Eras!S$4</f>
        <v/>
      </c>
      <c r="T195" s="5">
        <f>T193*Eras!T$4</f>
        <v/>
      </c>
      <c r="U195" s="5">
        <f>U193*Eras!U$4</f>
        <v/>
      </c>
      <c r="V195" s="5">
        <f>V193*Eras!V$4</f>
        <v/>
      </c>
      <c r="W195" s="5">
        <f>W193*Eras!W$4</f>
        <v/>
      </c>
      <c r="X195" s="5">
        <f>X193*Eras!X$4</f>
        <v/>
      </c>
      <c r="Y195" s="5">
        <f>Y193*Eras!Y$4</f>
        <v/>
      </c>
      <c r="Z195" s="5">
        <f>Z193*Eras!Z$4</f>
        <v/>
      </c>
      <c r="AA195" s="5">
        <f>AA193*Eras!AA$4</f>
        <v/>
      </c>
      <c r="AB195" s="5">
        <f>AB193*Eras!AB$4</f>
        <v/>
      </c>
      <c r="AC195" s="5">
        <f>AC193*Eras!AC$4</f>
        <v/>
      </c>
      <c r="AD195" s="5">
        <f>AD193*Eras!AD$4</f>
        <v/>
      </c>
      <c r="AE195" s="5">
        <f>AE193*Eras!AE$4</f>
        <v/>
      </c>
      <c r="AF195" s="5">
        <f>AF193*Eras!AF$4</f>
        <v/>
      </c>
      <c r="AG195" s="5">
        <f>AG193*Eras!AG$4</f>
        <v/>
      </c>
      <c r="AH195" s="5">
        <f>AH193*Eras!AH$4</f>
        <v/>
      </c>
      <c r="AI195" s="5">
        <f>AI193*Eras!AI$4</f>
        <v/>
      </c>
      <c r="AJ195" s="5">
        <f>AJ193*Eras!AJ$4</f>
        <v/>
      </c>
      <c r="AK195" s="5">
        <f>AK193*Eras!AK$4</f>
        <v/>
      </c>
      <c r="AL195" s="5">
        <f>AL193*Eras!AL$4</f>
        <v/>
      </c>
      <c r="AM195" s="5">
        <f>AM193*Eras!AM$4</f>
        <v/>
      </c>
      <c r="AN195" s="5">
        <f>AN193*Eras!AN$4</f>
        <v/>
      </c>
      <c r="AO195" s="5">
        <f>AO193*Eras!AO$4</f>
        <v/>
      </c>
      <c r="AP195" s="5">
        <f>AP193*Eras!AP$4</f>
        <v/>
      </c>
      <c r="AQ195" s="5">
        <f>AQ193*Eras!AQ$4</f>
        <v/>
      </c>
      <c r="AR195" s="5">
        <f>AR193*Eras!AR$4</f>
        <v/>
      </c>
      <c r="AS195" s="5">
        <f>AS193*Eras!AS$4</f>
        <v/>
      </c>
      <c r="AT195" s="5">
        <f>AT193*Eras!AT$4</f>
        <v/>
      </c>
      <c r="AU195" s="5">
        <f>AU193*Eras!AU$4</f>
        <v/>
      </c>
      <c r="AV195" s="5">
        <f>AV193*Eras!AV$4</f>
        <v/>
      </c>
      <c r="AW195" s="5">
        <f>AW193*Eras!AW$4</f>
        <v/>
      </c>
      <c r="AX195" s="5">
        <f>AX193*Eras!AX$4</f>
        <v/>
      </c>
      <c r="AY195" s="5">
        <f>AY193*Eras!AY$4</f>
        <v/>
      </c>
      <c r="AZ195" s="5">
        <f>AZ193*Eras!AZ$4</f>
        <v/>
      </c>
      <c r="BA195" s="5">
        <f>BA193*Eras!BA$4</f>
        <v/>
      </c>
      <c r="BB195" s="5">
        <f>BB193*Eras!BB$4</f>
        <v/>
      </c>
      <c r="BC195" s="5">
        <f>BC193*Eras!BC$4</f>
        <v/>
      </c>
      <c r="BD195" s="5">
        <f>BD193*Eras!BD$4</f>
        <v/>
      </c>
      <c r="BE195" s="5">
        <f>BE193*Eras!BE$4</f>
        <v/>
      </c>
      <c r="BF195" s="5">
        <f>BF193*Eras!BF$4</f>
        <v/>
      </c>
      <c r="BG195" s="5">
        <f>BG193*Eras!BG$4</f>
        <v/>
      </c>
      <c r="BH195" s="5">
        <f>BH193*Eras!BH$4</f>
        <v/>
      </c>
      <c r="BI195" s="5">
        <f>BI193*Eras!BI$4</f>
        <v/>
      </c>
      <c r="BJ195" s="5">
        <f>BJ193*Eras!BJ$4</f>
        <v/>
      </c>
      <c r="BK195" s="5">
        <f>BK193*Eras!BK$4</f>
        <v/>
      </c>
      <c r="BL195" s="5">
        <f>BL193*Eras!BL$4</f>
        <v/>
      </c>
      <c r="BM195" s="5">
        <f>BM193*Eras!BM$4</f>
        <v/>
      </c>
      <c r="BN195" s="5">
        <f>BN193*Eras!BN$4</f>
        <v/>
      </c>
      <c r="BO195" s="5">
        <f>BO193*Eras!BO$4</f>
        <v/>
      </c>
      <c r="BP195" s="5">
        <f>BP193*Eras!BP$4</f>
        <v/>
      </c>
      <c r="BQ195" s="5">
        <f>BQ193*Eras!BQ$4</f>
        <v/>
      </c>
      <c r="BR195" s="5">
        <f>BR193*Eras!BR$4</f>
        <v/>
      </c>
      <c r="BS195" s="5">
        <f>BS193*Eras!BS$4</f>
        <v/>
      </c>
      <c r="BT195" s="5">
        <f>BT193*Eras!BT$4</f>
        <v/>
      </c>
      <c r="BU195" s="5">
        <f>BU193*Eras!BU$4</f>
        <v/>
      </c>
      <c r="BV195" s="5">
        <f>BV193*Eras!BV$4</f>
        <v/>
      </c>
    </row>
    <row r="196">
      <c r="A196" t="inlineStr">
        <is>
          <t>paid starts @2</t>
        </is>
      </c>
      <c r="B196" t="inlineStr">
        <is>
          <t>APAC|NITRO_M</t>
        </is>
      </c>
      <c r="C196" s="5">
        <f>C193*Eras!C$5</f>
        <v/>
      </c>
      <c r="D196" s="5">
        <f>D193*Eras!D$5</f>
        <v/>
      </c>
      <c r="E196" s="5">
        <f>E193*Eras!E$5</f>
        <v/>
      </c>
      <c r="F196" s="5">
        <f>F193*Eras!F$5</f>
        <v/>
      </c>
      <c r="G196" s="5">
        <f>G193*Eras!G$5</f>
        <v/>
      </c>
      <c r="H196" s="5">
        <f>H193*Eras!H$5</f>
        <v/>
      </c>
      <c r="I196" s="5">
        <f>I193*Eras!I$5</f>
        <v/>
      </c>
      <c r="J196" s="5">
        <f>J193*Eras!J$5</f>
        <v/>
      </c>
      <c r="K196" s="5">
        <f>K193*Eras!K$5</f>
        <v/>
      </c>
      <c r="L196" s="5">
        <f>L193*Eras!L$5</f>
        <v/>
      </c>
      <c r="M196" s="5">
        <f>M193*Eras!M$5</f>
        <v/>
      </c>
      <c r="N196" s="5">
        <f>N193*Eras!N$5</f>
        <v/>
      </c>
      <c r="O196" s="5">
        <f>O193*Eras!O$5</f>
        <v/>
      </c>
      <c r="P196" s="5">
        <f>P193*Eras!P$5</f>
        <v/>
      </c>
      <c r="Q196" s="5">
        <f>Q193*Eras!Q$5</f>
        <v/>
      </c>
      <c r="R196" s="5">
        <f>R193*Eras!R$5</f>
        <v/>
      </c>
      <c r="S196" s="5">
        <f>S193*Eras!S$5</f>
        <v/>
      </c>
      <c r="T196" s="5">
        <f>T193*Eras!T$5</f>
        <v/>
      </c>
      <c r="U196" s="5">
        <f>U193*Eras!U$5</f>
        <v/>
      </c>
      <c r="V196" s="5">
        <f>V193*Eras!V$5</f>
        <v/>
      </c>
      <c r="W196" s="5">
        <f>W193*Eras!W$5</f>
        <v/>
      </c>
      <c r="X196" s="5">
        <f>X193*Eras!X$5</f>
        <v/>
      </c>
      <c r="Y196" s="5">
        <f>Y193*Eras!Y$5</f>
        <v/>
      </c>
      <c r="Z196" s="5">
        <f>Z193*Eras!Z$5</f>
        <v/>
      </c>
      <c r="AA196" s="5">
        <f>AA193*Eras!AA$5</f>
        <v/>
      </c>
      <c r="AB196" s="5">
        <f>AB193*Eras!AB$5</f>
        <v/>
      </c>
      <c r="AC196" s="5">
        <f>AC193*Eras!AC$5</f>
        <v/>
      </c>
      <c r="AD196" s="5">
        <f>AD193*Eras!AD$5</f>
        <v/>
      </c>
      <c r="AE196" s="5">
        <f>AE193*Eras!AE$5</f>
        <v/>
      </c>
      <c r="AF196" s="5">
        <f>AF193*Eras!AF$5</f>
        <v/>
      </c>
      <c r="AG196" s="5">
        <f>AG193*Eras!AG$5</f>
        <v/>
      </c>
      <c r="AH196" s="5">
        <f>AH193*Eras!AH$5</f>
        <v/>
      </c>
      <c r="AI196" s="5">
        <f>AI193*Eras!AI$5</f>
        <v/>
      </c>
      <c r="AJ196" s="5">
        <f>AJ193*Eras!AJ$5</f>
        <v/>
      </c>
      <c r="AK196" s="5">
        <f>AK193*Eras!AK$5</f>
        <v/>
      </c>
      <c r="AL196" s="5">
        <f>AL193*Eras!AL$5</f>
        <v/>
      </c>
      <c r="AM196" s="5">
        <f>AM193*Eras!AM$5</f>
        <v/>
      </c>
      <c r="AN196" s="5">
        <f>AN193*Eras!AN$5</f>
        <v/>
      </c>
      <c r="AO196" s="5">
        <f>AO193*Eras!AO$5</f>
        <v/>
      </c>
      <c r="AP196" s="5">
        <f>AP193*Eras!AP$5</f>
        <v/>
      </c>
      <c r="AQ196" s="5">
        <f>AQ193*Eras!AQ$5</f>
        <v/>
      </c>
      <c r="AR196" s="5">
        <f>AR193*Eras!AR$5</f>
        <v/>
      </c>
      <c r="AS196" s="5">
        <f>AS193*Eras!AS$5</f>
        <v/>
      </c>
      <c r="AT196" s="5">
        <f>AT193*Eras!AT$5</f>
        <v/>
      </c>
      <c r="AU196" s="5">
        <f>AU193*Eras!AU$5</f>
        <v/>
      </c>
      <c r="AV196" s="5">
        <f>AV193*Eras!AV$5</f>
        <v/>
      </c>
      <c r="AW196" s="5">
        <f>AW193*Eras!AW$5</f>
        <v/>
      </c>
      <c r="AX196" s="5">
        <f>AX193*Eras!AX$5</f>
        <v/>
      </c>
      <c r="AY196" s="5">
        <f>AY193*Eras!AY$5</f>
        <v/>
      </c>
      <c r="AZ196" s="5">
        <f>AZ193*Eras!AZ$5</f>
        <v/>
      </c>
      <c r="BA196" s="5">
        <f>BA193*Eras!BA$5</f>
        <v/>
      </c>
      <c r="BB196" s="5">
        <f>BB193*Eras!BB$5</f>
        <v/>
      </c>
      <c r="BC196" s="5">
        <f>BC193*Eras!BC$5</f>
        <v/>
      </c>
      <c r="BD196" s="5">
        <f>BD193*Eras!BD$5</f>
        <v/>
      </c>
      <c r="BE196" s="5">
        <f>BE193*Eras!BE$5</f>
        <v/>
      </c>
      <c r="BF196" s="5">
        <f>BF193*Eras!BF$5</f>
        <v/>
      </c>
      <c r="BG196" s="5">
        <f>BG193*Eras!BG$5</f>
        <v/>
      </c>
      <c r="BH196" s="5">
        <f>BH193*Eras!BH$5</f>
        <v/>
      </c>
      <c r="BI196" s="5">
        <f>BI193*Eras!BI$5</f>
        <v/>
      </c>
      <c r="BJ196" s="5">
        <f>BJ193*Eras!BJ$5</f>
        <v/>
      </c>
      <c r="BK196" s="5">
        <f>BK193*Eras!BK$5</f>
        <v/>
      </c>
      <c r="BL196" s="5">
        <f>BL193*Eras!BL$5</f>
        <v/>
      </c>
      <c r="BM196" s="5">
        <f>BM193*Eras!BM$5</f>
        <v/>
      </c>
      <c r="BN196" s="5">
        <f>BN193*Eras!BN$5</f>
        <v/>
      </c>
      <c r="BO196" s="5">
        <f>BO193*Eras!BO$5</f>
        <v/>
      </c>
      <c r="BP196" s="5">
        <f>BP193*Eras!BP$5</f>
        <v/>
      </c>
      <c r="BQ196" s="5">
        <f>BQ193*Eras!BQ$5</f>
        <v/>
      </c>
      <c r="BR196" s="5">
        <f>BR193*Eras!BR$5</f>
        <v/>
      </c>
      <c r="BS196" s="5">
        <f>BS193*Eras!BS$5</f>
        <v/>
      </c>
      <c r="BT196" s="5">
        <f>BT193*Eras!BT$5</f>
        <v/>
      </c>
      <c r="BU196" s="5">
        <f>BU193*Eras!BU$5</f>
        <v/>
      </c>
      <c r="BV196" s="5">
        <f>BV193*Eras!BV$5</f>
        <v/>
      </c>
    </row>
    <row r="198">
      <c r="A198" t="inlineStr">
        <is>
          <t>gross adds</t>
        </is>
      </c>
      <c r="B198" t="inlineStr">
        <is>
          <t>APAC|NITRO_A</t>
        </is>
      </c>
      <c r="C198" s="5">
        <f>MAU!C7*Params!$B$60*Eras!C$7*Params!$B$130*Params!$B$93</f>
        <v/>
      </c>
      <c r="D198" s="5">
        <f>MAU!D7*Params!$B$60*Eras!D$7*Params!$B$130*Params!$B$93</f>
        <v/>
      </c>
      <c r="E198" s="5">
        <f>MAU!E7*Params!$B$60*Eras!E$7*Params!$B$130*Params!$B$93</f>
        <v/>
      </c>
      <c r="F198" s="5">
        <f>MAU!F7*Params!$B$60*Eras!F$7*Params!$B$130*Params!$B$93</f>
        <v/>
      </c>
      <c r="G198" s="5">
        <f>MAU!G7*Params!$B$60*Eras!G$7*Params!$B$130*Params!$B$93</f>
        <v/>
      </c>
      <c r="H198" s="5">
        <f>MAU!H7*Params!$B$60*Eras!H$7*Params!$B$130*Params!$B$93</f>
        <v/>
      </c>
      <c r="I198" s="5">
        <f>MAU!I7*Params!$B$60*Eras!I$7*Params!$B$130*Params!$B$93</f>
        <v/>
      </c>
      <c r="J198" s="5">
        <f>MAU!J7*Params!$B$60*Eras!J$7*Params!$B$130*Params!$B$93</f>
        <v/>
      </c>
      <c r="K198" s="5">
        <f>MAU!K7*Params!$B$60*Eras!K$7*Params!$B$130*Params!$B$93</f>
        <v/>
      </c>
      <c r="L198" s="5">
        <f>MAU!L7*Params!$B$60*Eras!L$7*Params!$B$130*Params!$B$93</f>
        <v/>
      </c>
      <c r="M198" s="5">
        <f>MAU!M7*Params!$B$60*Eras!M$7*Params!$B$130*Params!$B$93</f>
        <v/>
      </c>
      <c r="N198" s="5">
        <f>MAU!N7*Params!$B$60*Eras!N$7*Params!$B$130*Params!$B$93</f>
        <v/>
      </c>
      <c r="O198" s="5">
        <f>MAU!O7*Params!$B$60*Eras!O$7*Params!$B$130*Params!$B$93</f>
        <v/>
      </c>
      <c r="P198" s="5">
        <f>MAU!P7*Params!$B$60*Eras!P$7*Params!$B$130*Params!$B$93</f>
        <v/>
      </c>
      <c r="Q198" s="5">
        <f>MAU!Q7*Params!$B$60*Eras!Q$7*Params!$B$130*Params!$B$93</f>
        <v/>
      </c>
      <c r="R198" s="5">
        <f>MAU!R7*Params!$B$60*Eras!R$7*Params!$B$130*Params!$B$93</f>
        <v/>
      </c>
      <c r="S198" s="5">
        <f>MAU!S7*Params!$B$60*Eras!S$7*Params!$B$130*Params!$B$93</f>
        <v/>
      </c>
      <c r="T198" s="5">
        <f>MAU!T7*Params!$B$60*Eras!T$7*Params!$B$130*Params!$B$93</f>
        <v/>
      </c>
      <c r="U198" s="5">
        <f>MAU!U7*Params!$B$60*Eras!U$7*Params!$B$130*Params!$B$93</f>
        <v/>
      </c>
      <c r="V198" s="5">
        <f>MAU!V7*Params!$B$60*Eras!V$7*Params!$B$130*Params!$B$93</f>
        <v/>
      </c>
      <c r="W198" s="5">
        <f>MAU!W7*Params!$B$60*Eras!W$7*Params!$B$130*Params!$B$93</f>
        <v/>
      </c>
      <c r="X198" s="5">
        <f>MAU!X7*Params!$B$60*Eras!X$7*Params!$B$130*Params!$B$93</f>
        <v/>
      </c>
      <c r="Y198" s="5">
        <f>MAU!Y7*Params!$B$60*Eras!Y$7*Params!$B$130*Params!$B$93</f>
        <v/>
      </c>
      <c r="Z198" s="5">
        <f>MAU!Z7*Params!$B$60*Eras!Z$7*Params!$B$130*Params!$B$93</f>
        <v/>
      </c>
      <c r="AA198" s="5">
        <f>MAU!AA7*Params!$B$60*Eras!AA$7*Params!$B$130*Params!$B$93</f>
        <v/>
      </c>
      <c r="AB198" s="5">
        <f>MAU!AB7*Params!$B$60*Eras!AB$7*Params!$B$130*Params!$B$93</f>
        <v/>
      </c>
      <c r="AC198" s="5">
        <f>MAU!AC7*Params!$B$60*Eras!AC$7*Params!$B$130*Params!$B$93</f>
        <v/>
      </c>
      <c r="AD198" s="5">
        <f>MAU!AD7*Params!$B$60*Eras!AD$7*Params!$B$130*Params!$B$93</f>
        <v/>
      </c>
      <c r="AE198" s="5">
        <f>MAU!AE7*Params!$B$60*Eras!AE$7*Params!$B$130*Params!$B$93</f>
        <v/>
      </c>
      <c r="AF198" s="5">
        <f>MAU!AF7*Params!$B$60*Eras!AF$7*Params!$B$130*Params!$B$93</f>
        <v/>
      </c>
      <c r="AG198" s="5">
        <f>MAU!AG7*Params!$B$60*Eras!AG$7*Params!$B$130*Params!$B$93</f>
        <v/>
      </c>
      <c r="AH198" s="5">
        <f>MAU!AH7*Params!$B$60*Eras!AH$7*Params!$B$130*Params!$B$93</f>
        <v/>
      </c>
      <c r="AI198" s="5">
        <f>MAU!AI7*Params!$B$60*Eras!AI$7*Params!$B$130*Params!$B$93</f>
        <v/>
      </c>
      <c r="AJ198" s="5">
        <f>MAU!AJ7*Params!$B$60*Eras!AJ$7*Params!$B$130*Params!$B$93</f>
        <v/>
      </c>
      <c r="AK198" s="5">
        <f>MAU!AK7*Params!$B$60*Eras!AK$7*Params!$B$130*Params!$B$93</f>
        <v/>
      </c>
      <c r="AL198" s="5">
        <f>MAU!AL7*Params!$B$60*Eras!AL$7*Params!$B$130*Params!$B$93</f>
        <v/>
      </c>
      <c r="AM198" s="5">
        <f>MAU!AM7*Params!$B$60*Eras!AM$7*Params!$B$130*Params!$B$93</f>
        <v/>
      </c>
      <c r="AN198" s="5">
        <f>MAU!AN7*Params!$B$60*Eras!AN$7*Params!$B$130*Params!$B$93</f>
        <v/>
      </c>
      <c r="AO198" s="5">
        <f>MAU!AO7*Params!$B$60*Eras!AO$7*Params!$B$130*Params!$B$93</f>
        <v/>
      </c>
      <c r="AP198" s="5">
        <f>MAU!AP7*Params!$B$60*Eras!AP$7*Params!$B$130*Params!$B$93</f>
        <v/>
      </c>
      <c r="AQ198" s="5">
        <f>MAU!AQ7*Params!$B$60*Eras!AQ$7*Params!$B$130*Params!$B$93</f>
        <v/>
      </c>
      <c r="AR198" s="5">
        <f>MAU!AR7*Params!$B$60*Eras!AR$7*Params!$B$130*Params!$B$93</f>
        <v/>
      </c>
      <c r="AS198" s="5">
        <f>MAU!AS7*Params!$B$60*Eras!AS$7*Params!$B$130*Params!$B$93</f>
        <v/>
      </c>
      <c r="AT198" s="5">
        <f>MAU!AT7*Params!$B$60*Eras!AT$7*Params!$B$130*Params!$B$93</f>
        <v/>
      </c>
      <c r="AU198" s="5">
        <f>MAU!AU7*Params!$B$60*Eras!AU$7*Params!$B$130*Params!$B$93</f>
        <v/>
      </c>
      <c r="AV198" s="5">
        <f>MAU!AV7*Params!$B$60*Eras!AV$7*Params!$B$130*Params!$B$93</f>
        <v/>
      </c>
      <c r="AW198" s="5">
        <f>MAU!AW7*Params!$B$60*Eras!AW$7*Params!$B$130*Params!$B$93</f>
        <v/>
      </c>
      <c r="AX198" s="5">
        <f>MAU!AX7*Params!$B$60*Eras!AX$7*Params!$B$130*Params!$B$93</f>
        <v/>
      </c>
      <c r="AY198" s="5">
        <f>MAU!AY7*Params!$B$60*Eras!AY$7*Params!$B$130*Params!$B$93</f>
        <v/>
      </c>
      <c r="AZ198" s="5">
        <f>MAU!AZ7*Params!$B$60*Eras!AZ$7*Params!$B$130*Params!$B$93</f>
        <v/>
      </c>
      <c r="BA198" s="5">
        <f>MAU!BA7*Params!$B$60*Eras!BA$7*Params!$B$130*Params!$B$93</f>
        <v/>
      </c>
      <c r="BB198" s="5">
        <f>MAU!BB7*Params!$B$60*Eras!BB$7*Params!$B$130*Params!$B$93</f>
        <v/>
      </c>
      <c r="BC198" s="5">
        <f>MAU!BC7*Params!$B$60*Eras!BC$7*Params!$B$130*Params!$B$93</f>
        <v/>
      </c>
      <c r="BD198" s="5">
        <f>MAU!BD7*Params!$B$60*Eras!BD$7*Params!$B$130*Params!$B$93</f>
        <v/>
      </c>
      <c r="BE198" s="5">
        <f>MAU!BE7*Params!$B$60*Eras!BE$7*Params!$B$130*Params!$B$93</f>
        <v/>
      </c>
      <c r="BF198" s="5">
        <f>MAU!BF7*Params!$B$60*Eras!BF$7*Params!$B$130*Params!$B$93</f>
        <v/>
      </c>
      <c r="BG198" s="5">
        <f>MAU!BG7*Params!$B$60*Eras!BG$7*Params!$B$130*Params!$B$93</f>
        <v/>
      </c>
      <c r="BH198" s="5">
        <f>MAU!BH7*Params!$B$60*Eras!BH$7*Params!$B$130*Params!$B$93</f>
        <v/>
      </c>
      <c r="BI198" s="5">
        <f>MAU!BI7*Params!$B$60*Eras!BI$7*Params!$B$130*Params!$B$93</f>
        <v/>
      </c>
      <c r="BJ198" s="5">
        <f>MAU!BJ7*Params!$B$60*Eras!BJ$7*Params!$B$130*Params!$B$93</f>
        <v/>
      </c>
      <c r="BK198" s="5">
        <f>MAU!BK7*Params!$B$60*Eras!BK$7*Params!$B$130*Params!$B$93</f>
        <v/>
      </c>
      <c r="BL198" s="5">
        <f>MAU!BL7*Params!$B$60*Eras!BL$7*Params!$B$130*Params!$B$93</f>
        <v/>
      </c>
      <c r="BM198" s="5">
        <f>MAU!BM7*Params!$B$60*Eras!BM$7*Params!$B$130*Params!$B$93</f>
        <v/>
      </c>
      <c r="BN198" s="5">
        <f>MAU!BN7*Params!$B$60*Eras!BN$7*Params!$B$130*Params!$B$93</f>
        <v/>
      </c>
      <c r="BO198" s="5">
        <f>MAU!BO7*Params!$B$60*Eras!BO$7*Params!$B$130*Params!$B$93</f>
        <v/>
      </c>
      <c r="BP198" s="5">
        <f>MAU!BP7*Params!$B$60*Eras!BP$7*Params!$B$130*Params!$B$93</f>
        <v/>
      </c>
      <c r="BQ198" s="5">
        <f>MAU!BQ7*Params!$B$60*Eras!BQ$7*Params!$B$130*Params!$B$93</f>
        <v/>
      </c>
      <c r="BR198" s="5">
        <f>MAU!BR7*Params!$B$60*Eras!BR$7*Params!$B$130*Params!$B$93</f>
        <v/>
      </c>
      <c r="BS198" s="5">
        <f>MAU!BS7*Params!$B$60*Eras!BS$7*Params!$B$130*Params!$B$93</f>
        <v/>
      </c>
      <c r="BT198" s="5">
        <f>MAU!BT7*Params!$B$60*Eras!BT$7*Params!$B$130*Params!$B$93</f>
        <v/>
      </c>
      <c r="BU198" s="5">
        <f>MAU!BU7*Params!$B$60*Eras!BU$7*Params!$B$130*Params!$B$93</f>
        <v/>
      </c>
      <c r="BV198" s="5">
        <f>MAU!BV7*Params!$B$60*Eras!BV$7*Params!$B$130*Params!$B$93</f>
        <v/>
      </c>
    </row>
    <row r="199">
      <c r="A199" t="inlineStr">
        <is>
          <t>trial starts</t>
        </is>
      </c>
      <c r="B199" t="inlineStr">
        <is>
          <t>APAC|NITRO_A</t>
        </is>
      </c>
      <c r="C199" s="5">
        <f>C198*Eras!C$8</f>
        <v/>
      </c>
      <c r="D199" s="5">
        <f>D198*Eras!D$8</f>
        <v/>
      </c>
      <c r="E199" s="5">
        <f>E198*Eras!E$8</f>
        <v/>
      </c>
      <c r="F199" s="5">
        <f>F198*Eras!F$8</f>
        <v/>
      </c>
      <c r="G199" s="5">
        <f>G198*Eras!G$8</f>
        <v/>
      </c>
      <c r="H199" s="5">
        <f>H198*Eras!H$8</f>
        <v/>
      </c>
      <c r="I199" s="5">
        <f>I198*Eras!I$8</f>
        <v/>
      </c>
      <c r="J199" s="5">
        <f>J198*Eras!J$8</f>
        <v/>
      </c>
      <c r="K199" s="5">
        <f>K198*Eras!K$8</f>
        <v/>
      </c>
      <c r="L199" s="5">
        <f>L198*Eras!L$8</f>
        <v/>
      </c>
      <c r="M199" s="5">
        <f>M198*Eras!M$8</f>
        <v/>
      </c>
      <c r="N199" s="5">
        <f>N198*Eras!N$8</f>
        <v/>
      </c>
      <c r="O199" s="5">
        <f>O198*Eras!O$8</f>
        <v/>
      </c>
      <c r="P199" s="5">
        <f>P198*Eras!P$8</f>
        <v/>
      </c>
      <c r="Q199" s="5">
        <f>Q198*Eras!Q$8</f>
        <v/>
      </c>
      <c r="R199" s="5">
        <f>R198*Eras!R$8</f>
        <v/>
      </c>
      <c r="S199" s="5">
        <f>S198*Eras!S$8</f>
        <v/>
      </c>
      <c r="T199" s="5">
        <f>T198*Eras!T$8</f>
        <v/>
      </c>
      <c r="U199" s="5">
        <f>U198*Eras!U$8</f>
        <v/>
      </c>
      <c r="V199" s="5">
        <f>V198*Eras!V$8</f>
        <v/>
      </c>
      <c r="W199" s="5">
        <f>W198*Eras!W$8</f>
        <v/>
      </c>
      <c r="X199" s="5">
        <f>X198*Eras!X$8</f>
        <v/>
      </c>
      <c r="Y199" s="5">
        <f>Y198*Eras!Y$8</f>
        <v/>
      </c>
      <c r="Z199" s="5">
        <f>Z198*Eras!Z$8</f>
        <v/>
      </c>
      <c r="AA199" s="5">
        <f>AA198*Eras!AA$8</f>
        <v/>
      </c>
      <c r="AB199" s="5">
        <f>AB198*Eras!AB$8</f>
        <v/>
      </c>
      <c r="AC199" s="5">
        <f>AC198*Eras!AC$8</f>
        <v/>
      </c>
      <c r="AD199" s="5">
        <f>AD198*Eras!AD$8</f>
        <v/>
      </c>
      <c r="AE199" s="5">
        <f>AE198*Eras!AE$8</f>
        <v/>
      </c>
      <c r="AF199" s="5">
        <f>AF198*Eras!AF$8</f>
        <v/>
      </c>
      <c r="AG199" s="5">
        <f>AG198*Eras!AG$8</f>
        <v/>
      </c>
      <c r="AH199" s="5">
        <f>AH198*Eras!AH$8</f>
        <v/>
      </c>
      <c r="AI199" s="5">
        <f>AI198*Eras!AI$8</f>
        <v/>
      </c>
      <c r="AJ199" s="5">
        <f>AJ198*Eras!AJ$8</f>
        <v/>
      </c>
      <c r="AK199" s="5">
        <f>AK198*Eras!AK$8</f>
        <v/>
      </c>
      <c r="AL199" s="5">
        <f>AL198*Eras!AL$8</f>
        <v/>
      </c>
      <c r="AM199" s="5">
        <f>AM198*Eras!AM$8</f>
        <v/>
      </c>
      <c r="AN199" s="5">
        <f>AN198*Eras!AN$8</f>
        <v/>
      </c>
      <c r="AO199" s="5">
        <f>AO198*Eras!AO$8</f>
        <v/>
      </c>
      <c r="AP199" s="5">
        <f>AP198*Eras!AP$8</f>
        <v/>
      </c>
      <c r="AQ199" s="5">
        <f>AQ198*Eras!AQ$8</f>
        <v/>
      </c>
      <c r="AR199" s="5">
        <f>AR198*Eras!AR$8</f>
        <v/>
      </c>
      <c r="AS199" s="5">
        <f>AS198*Eras!AS$8</f>
        <v/>
      </c>
      <c r="AT199" s="5">
        <f>AT198*Eras!AT$8</f>
        <v/>
      </c>
      <c r="AU199" s="5">
        <f>AU198*Eras!AU$8</f>
        <v/>
      </c>
      <c r="AV199" s="5">
        <f>AV198*Eras!AV$8</f>
        <v/>
      </c>
      <c r="AW199" s="5">
        <f>AW198*Eras!AW$8</f>
        <v/>
      </c>
      <c r="AX199" s="5">
        <f>AX198*Eras!AX$8</f>
        <v/>
      </c>
      <c r="AY199" s="5">
        <f>AY198*Eras!AY$8</f>
        <v/>
      </c>
      <c r="AZ199" s="5">
        <f>AZ198*Eras!AZ$8</f>
        <v/>
      </c>
      <c r="BA199" s="5">
        <f>BA198*Eras!BA$8</f>
        <v/>
      </c>
      <c r="BB199" s="5">
        <f>BB198*Eras!BB$8</f>
        <v/>
      </c>
      <c r="BC199" s="5">
        <f>BC198*Eras!BC$8</f>
        <v/>
      </c>
      <c r="BD199" s="5">
        <f>BD198*Eras!BD$8</f>
        <v/>
      </c>
      <c r="BE199" s="5">
        <f>BE198*Eras!BE$8</f>
        <v/>
      </c>
      <c r="BF199" s="5">
        <f>BF198*Eras!BF$8</f>
        <v/>
      </c>
      <c r="BG199" s="5">
        <f>BG198*Eras!BG$8</f>
        <v/>
      </c>
      <c r="BH199" s="5">
        <f>BH198*Eras!BH$8</f>
        <v/>
      </c>
      <c r="BI199" s="5">
        <f>BI198*Eras!BI$8</f>
        <v/>
      </c>
      <c r="BJ199" s="5">
        <f>BJ198*Eras!BJ$8</f>
        <v/>
      </c>
      <c r="BK199" s="5">
        <f>BK198*Eras!BK$8</f>
        <v/>
      </c>
      <c r="BL199" s="5">
        <f>BL198*Eras!BL$8</f>
        <v/>
      </c>
      <c r="BM199" s="5">
        <f>BM198*Eras!BM$8</f>
        <v/>
      </c>
      <c r="BN199" s="5">
        <f>BN198*Eras!BN$8</f>
        <v/>
      </c>
      <c r="BO199" s="5">
        <f>BO198*Eras!BO$8</f>
        <v/>
      </c>
      <c r="BP199" s="5">
        <f>BP198*Eras!BP$8</f>
        <v/>
      </c>
      <c r="BQ199" s="5">
        <f>BQ198*Eras!BQ$8</f>
        <v/>
      </c>
      <c r="BR199" s="5">
        <f>BR198*Eras!BR$8</f>
        <v/>
      </c>
      <c r="BS199" s="5">
        <f>BS198*Eras!BS$8</f>
        <v/>
      </c>
      <c r="BT199" s="5">
        <f>BT198*Eras!BT$8</f>
        <v/>
      </c>
      <c r="BU199" s="5">
        <f>BU198*Eras!BU$8</f>
        <v/>
      </c>
      <c r="BV199" s="5">
        <f>BV198*Eras!BV$8</f>
        <v/>
      </c>
    </row>
    <row r="200">
      <c r="A200" t="inlineStr">
        <is>
          <t>direct paid starts</t>
        </is>
      </c>
      <c r="B200" t="inlineStr">
        <is>
          <t>APAC|NITRO_A</t>
        </is>
      </c>
      <c r="C200" s="5">
        <f>C198-C199</f>
        <v/>
      </c>
      <c r="D200" s="5">
        <f>D198-D199</f>
        <v/>
      </c>
      <c r="E200" s="5">
        <f>E198-E199</f>
        <v/>
      </c>
      <c r="F200" s="5">
        <f>F198-F199</f>
        <v/>
      </c>
      <c r="G200" s="5">
        <f>G198-G199</f>
        <v/>
      </c>
      <c r="H200" s="5">
        <f>H198-H199</f>
        <v/>
      </c>
      <c r="I200" s="5">
        <f>I198-I199</f>
        <v/>
      </c>
      <c r="J200" s="5">
        <f>J198-J199</f>
        <v/>
      </c>
      <c r="K200" s="5">
        <f>K198-K199</f>
        <v/>
      </c>
      <c r="L200" s="5">
        <f>L198-L199</f>
        <v/>
      </c>
      <c r="M200" s="5">
        <f>M198-M199</f>
        <v/>
      </c>
      <c r="N200" s="5">
        <f>N198-N199</f>
        <v/>
      </c>
      <c r="O200" s="5">
        <f>O198-O199</f>
        <v/>
      </c>
      <c r="P200" s="5">
        <f>P198-P199</f>
        <v/>
      </c>
      <c r="Q200" s="5">
        <f>Q198-Q199</f>
        <v/>
      </c>
      <c r="R200" s="5">
        <f>R198-R199</f>
        <v/>
      </c>
      <c r="S200" s="5">
        <f>S198-S199</f>
        <v/>
      </c>
      <c r="T200" s="5">
        <f>T198-T199</f>
        <v/>
      </c>
      <c r="U200" s="5">
        <f>U198-U199</f>
        <v/>
      </c>
      <c r="V200" s="5">
        <f>V198-V199</f>
        <v/>
      </c>
      <c r="W200" s="5">
        <f>W198-W199</f>
        <v/>
      </c>
      <c r="X200" s="5">
        <f>X198-X199</f>
        <v/>
      </c>
      <c r="Y200" s="5">
        <f>Y198-Y199</f>
        <v/>
      </c>
      <c r="Z200" s="5">
        <f>Z198-Z199</f>
        <v/>
      </c>
      <c r="AA200" s="5">
        <f>AA198-AA199</f>
        <v/>
      </c>
      <c r="AB200" s="5">
        <f>AB198-AB199</f>
        <v/>
      </c>
      <c r="AC200" s="5">
        <f>AC198-AC199</f>
        <v/>
      </c>
      <c r="AD200" s="5">
        <f>AD198-AD199</f>
        <v/>
      </c>
      <c r="AE200" s="5">
        <f>AE198-AE199</f>
        <v/>
      </c>
      <c r="AF200" s="5">
        <f>AF198-AF199</f>
        <v/>
      </c>
      <c r="AG200" s="5">
        <f>AG198-AG199</f>
        <v/>
      </c>
      <c r="AH200" s="5">
        <f>AH198-AH199</f>
        <v/>
      </c>
      <c r="AI200" s="5">
        <f>AI198-AI199</f>
        <v/>
      </c>
      <c r="AJ200" s="5">
        <f>AJ198-AJ199</f>
        <v/>
      </c>
      <c r="AK200" s="5">
        <f>AK198-AK199</f>
        <v/>
      </c>
      <c r="AL200" s="5">
        <f>AL198-AL199</f>
        <v/>
      </c>
      <c r="AM200" s="5">
        <f>AM198-AM199</f>
        <v/>
      </c>
      <c r="AN200" s="5">
        <f>AN198-AN199</f>
        <v/>
      </c>
      <c r="AO200" s="5">
        <f>AO198-AO199</f>
        <v/>
      </c>
      <c r="AP200" s="5">
        <f>AP198-AP199</f>
        <v/>
      </c>
      <c r="AQ200" s="5">
        <f>AQ198-AQ199</f>
        <v/>
      </c>
      <c r="AR200" s="5">
        <f>AR198-AR199</f>
        <v/>
      </c>
      <c r="AS200" s="5">
        <f>AS198-AS199</f>
        <v/>
      </c>
      <c r="AT200" s="5">
        <f>AT198-AT199</f>
        <v/>
      </c>
      <c r="AU200" s="5">
        <f>AU198-AU199</f>
        <v/>
      </c>
      <c r="AV200" s="5">
        <f>AV198-AV199</f>
        <v/>
      </c>
      <c r="AW200" s="5">
        <f>AW198-AW199</f>
        <v/>
      </c>
      <c r="AX200" s="5">
        <f>AX198-AX199</f>
        <v/>
      </c>
      <c r="AY200" s="5">
        <f>AY198-AY199</f>
        <v/>
      </c>
      <c r="AZ200" s="5">
        <f>AZ198-AZ199</f>
        <v/>
      </c>
      <c r="BA200" s="5">
        <f>BA198-BA199</f>
        <v/>
      </c>
      <c r="BB200" s="5">
        <f>BB198-BB199</f>
        <v/>
      </c>
      <c r="BC200" s="5">
        <f>BC198-BC199</f>
        <v/>
      </c>
      <c r="BD200" s="5">
        <f>BD198-BD199</f>
        <v/>
      </c>
      <c r="BE200" s="5">
        <f>BE198-BE199</f>
        <v/>
      </c>
      <c r="BF200" s="5">
        <f>BF198-BF199</f>
        <v/>
      </c>
      <c r="BG200" s="5">
        <f>BG198-BG199</f>
        <v/>
      </c>
      <c r="BH200" s="5">
        <f>BH198-BH199</f>
        <v/>
      </c>
      <c r="BI200" s="5">
        <f>BI198-BI199</f>
        <v/>
      </c>
      <c r="BJ200" s="5">
        <f>BJ198-BJ199</f>
        <v/>
      </c>
      <c r="BK200" s="5">
        <f>BK198-BK199</f>
        <v/>
      </c>
      <c r="BL200" s="5">
        <f>BL198-BL199</f>
        <v/>
      </c>
      <c r="BM200" s="5">
        <f>BM198-BM199</f>
        <v/>
      </c>
      <c r="BN200" s="5">
        <f>BN198-BN199</f>
        <v/>
      </c>
      <c r="BO200" s="5">
        <f>BO198-BO199</f>
        <v/>
      </c>
      <c r="BP200" s="5">
        <f>BP198-BP199</f>
        <v/>
      </c>
      <c r="BQ200" s="5">
        <f>BQ198-BQ199</f>
        <v/>
      </c>
      <c r="BR200" s="5">
        <f>BR198-BR199</f>
        <v/>
      </c>
      <c r="BS200" s="5">
        <f>BS198-BS199</f>
        <v/>
      </c>
      <c r="BT200" s="5">
        <f>BT198-BT199</f>
        <v/>
      </c>
      <c r="BU200" s="5">
        <f>BU198-BU199</f>
        <v/>
      </c>
      <c r="BV200" s="5">
        <f>BV198-BV199</f>
        <v/>
      </c>
    </row>
    <row r="201">
      <c r="A201" t="inlineStr">
        <is>
          <t>trials ending</t>
        </is>
      </c>
      <c r="B201" t="inlineStr">
        <is>
          <t>APAC|NITRO_A</t>
        </is>
      </c>
      <c r="C201" s="5">
        <f>IF(C$2&gt;=Params!$B$6,INDEX($C$199:$BV$199,C$2-Params!$B$6+1),0)</f>
        <v/>
      </c>
      <c r="D201" s="5">
        <f>IF(D$2&gt;=Params!$B$6,INDEX($C$199:$BV$199,D$2-Params!$B$6+1),0)</f>
        <v/>
      </c>
      <c r="E201" s="5">
        <f>IF(E$2&gt;=Params!$B$6,INDEX($C$199:$BV$199,E$2-Params!$B$6+1),0)</f>
        <v/>
      </c>
      <c r="F201" s="5">
        <f>IF(F$2&gt;=Params!$B$6,INDEX($C$199:$BV$199,F$2-Params!$B$6+1),0)</f>
        <v/>
      </c>
      <c r="G201" s="5">
        <f>IF(G$2&gt;=Params!$B$6,INDEX($C$199:$BV$199,G$2-Params!$B$6+1),0)</f>
        <v/>
      </c>
      <c r="H201" s="5">
        <f>IF(H$2&gt;=Params!$B$6,INDEX($C$199:$BV$199,H$2-Params!$B$6+1),0)</f>
        <v/>
      </c>
      <c r="I201" s="5">
        <f>IF(I$2&gt;=Params!$B$6,INDEX($C$199:$BV$199,I$2-Params!$B$6+1),0)</f>
        <v/>
      </c>
      <c r="J201" s="5">
        <f>IF(J$2&gt;=Params!$B$6,INDEX($C$199:$BV$199,J$2-Params!$B$6+1),0)</f>
        <v/>
      </c>
      <c r="K201" s="5">
        <f>IF(K$2&gt;=Params!$B$6,INDEX($C$199:$BV$199,K$2-Params!$B$6+1),0)</f>
        <v/>
      </c>
      <c r="L201" s="5">
        <f>IF(L$2&gt;=Params!$B$6,INDEX($C$199:$BV$199,L$2-Params!$B$6+1),0)</f>
        <v/>
      </c>
      <c r="M201" s="5">
        <f>IF(M$2&gt;=Params!$B$6,INDEX($C$199:$BV$199,M$2-Params!$B$6+1),0)</f>
        <v/>
      </c>
      <c r="N201" s="5">
        <f>IF(N$2&gt;=Params!$B$6,INDEX($C$199:$BV$199,N$2-Params!$B$6+1),0)</f>
        <v/>
      </c>
      <c r="O201" s="5">
        <f>IF(O$2&gt;=Params!$B$6,INDEX($C$199:$BV$199,O$2-Params!$B$6+1),0)</f>
        <v/>
      </c>
      <c r="P201" s="5">
        <f>IF(P$2&gt;=Params!$B$6,INDEX($C$199:$BV$199,P$2-Params!$B$6+1),0)</f>
        <v/>
      </c>
      <c r="Q201" s="5">
        <f>IF(Q$2&gt;=Params!$B$6,INDEX($C$199:$BV$199,Q$2-Params!$B$6+1),0)</f>
        <v/>
      </c>
      <c r="R201" s="5">
        <f>IF(R$2&gt;=Params!$B$6,INDEX($C$199:$BV$199,R$2-Params!$B$6+1),0)</f>
        <v/>
      </c>
      <c r="S201" s="5">
        <f>IF(S$2&gt;=Params!$B$6,INDEX($C$199:$BV$199,S$2-Params!$B$6+1),0)</f>
        <v/>
      </c>
      <c r="T201" s="5">
        <f>IF(T$2&gt;=Params!$B$6,INDEX($C$199:$BV$199,T$2-Params!$B$6+1),0)</f>
        <v/>
      </c>
      <c r="U201" s="5">
        <f>IF(U$2&gt;=Params!$B$6,INDEX($C$199:$BV$199,U$2-Params!$B$6+1),0)</f>
        <v/>
      </c>
      <c r="V201" s="5">
        <f>IF(V$2&gt;=Params!$B$6,INDEX($C$199:$BV$199,V$2-Params!$B$6+1),0)</f>
        <v/>
      </c>
      <c r="W201" s="5">
        <f>IF(W$2&gt;=Params!$B$6,INDEX($C$199:$BV$199,W$2-Params!$B$6+1),0)</f>
        <v/>
      </c>
      <c r="X201" s="5">
        <f>IF(X$2&gt;=Params!$B$6,INDEX($C$199:$BV$199,X$2-Params!$B$6+1),0)</f>
        <v/>
      </c>
      <c r="Y201" s="5">
        <f>IF(Y$2&gt;=Params!$B$6,INDEX($C$199:$BV$199,Y$2-Params!$B$6+1),0)</f>
        <v/>
      </c>
      <c r="Z201" s="5">
        <f>IF(Z$2&gt;=Params!$B$6,INDEX($C$199:$BV$199,Z$2-Params!$B$6+1),0)</f>
        <v/>
      </c>
      <c r="AA201" s="5">
        <f>IF(AA$2&gt;=Params!$B$6,INDEX($C$199:$BV$199,AA$2-Params!$B$6+1),0)</f>
        <v/>
      </c>
      <c r="AB201" s="5">
        <f>IF(AB$2&gt;=Params!$B$6,INDEX($C$199:$BV$199,AB$2-Params!$B$6+1),0)</f>
        <v/>
      </c>
      <c r="AC201" s="5">
        <f>IF(AC$2&gt;=Params!$B$6,INDEX($C$199:$BV$199,AC$2-Params!$B$6+1),0)</f>
        <v/>
      </c>
      <c r="AD201" s="5">
        <f>IF(AD$2&gt;=Params!$B$6,INDEX($C$199:$BV$199,AD$2-Params!$B$6+1),0)</f>
        <v/>
      </c>
      <c r="AE201" s="5">
        <f>IF(AE$2&gt;=Params!$B$6,INDEX($C$199:$BV$199,AE$2-Params!$B$6+1),0)</f>
        <v/>
      </c>
      <c r="AF201" s="5">
        <f>IF(AF$2&gt;=Params!$B$6,INDEX($C$199:$BV$199,AF$2-Params!$B$6+1),0)</f>
        <v/>
      </c>
      <c r="AG201" s="5">
        <f>IF(AG$2&gt;=Params!$B$6,INDEX($C$199:$BV$199,AG$2-Params!$B$6+1),0)</f>
        <v/>
      </c>
      <c r="AH201" s="5">
        <f>IF(AH$2&gt;=Params!$B$6,INDEX($C$199:$BV$199,AH$2-Params!$B$6+1),0)</f>
        <v/>
      </c>
      <c r="AI201" s="5">
        <f>IF(AI$2&gt;=Params!$B$6,INDEX($C$199:$BV$199,AI$2-Params!$B$6+1),0)</f>
        <v/>
      </c>
      <c r="AJ201" s="5">
        <f>IF(AJ$2&gt;=Params!$B$6,INDEX($C$199:$BV$199,AJ$2-Params!$B$6+1),0)</f>
        <v/>
      </c>
      <c r="AK201" s="5">
        <f>IF(AK$2&gt;=Params!$B$6,INDEX($C$199:$BV$199,AK$2-Params!$B$6+1),0)</f>
        <v/>
      </c>
      <c r="AL201" s="5">
        <f>IF(AL$2&gt;=Params!$B$6,INDEX($C$199:$BV$199,AL$2-Params!$B$6+1),0)</f>
        <v/>
      </c>
      <c r="AM201" s="5">
        <f>IF(AM$2&gt;=Params!$B$6,INDEX($C$199:$BV$199,AM$2-Params!$B$6+1),0)</f>
        <v/>
      </c>
      <c r="AN201" s="5">
        <f>IF(AN$2&gt;=Params!$B$6,INDEX($C$199:$BV$199,AN$2-Params!$B$6+1),0)</f>
        <v/>
      </c>
      <c r="AO201" s="5">
        <f>IF(AO$2&gt;=Params!$B$6,INDEX($C$199:$BV$199,AO$2-Params!$B$6+1),0)</f>
        <v/>
      </c>
      <c r="AP201" s="5">
        <f>IF(AP$2&gt;=Params!$B$6,INDEX($C$199:$BV$199,AP$2-Params!$B$6+1),0)</f>
        <v/>
      </c>
      <c r="AQ201" s="5">
        <f>IF(AQ$2&gt;=Params!$B$6,INDEX($C$199:$BV$199,AQ$2-Params!$B$6+1),0)</f>
        <v/>
      </c>
      <c r="AR201" s="5">
        <f>IF(AR$2&gt;=Params!$B$6,INDEX($C$199:$BV$199,AR$2-Params!$B$6+1),0)</f>
        <v/>
      </c>
      <c r="AS201" s="5">
        <f>IF(AS$2&gt;=Params!$B$6,INDEX($C$199:$BV$199,AS$2-Params!$B$6+1),0)</f>
        <v/>
      </c>
      <c r="AT201" s="5">
        <f>IF(AT$2&gt;=Params!$B$6,INDEX($C$199:$BV$199,AT$2-Params!$B$6+1),0)</f>
        <v/>
      </c>
      <c r="AU201" s="5">
        <f>IF(AU$2&gt;=Params!$B$6,INDEX($C$199:$BV$199,AU$2-Params!$B$6+1),0)</f>
        <v/>
      </c>
      <c r="AV201" s="5">
        <f>IF(AV$2&gt;=Params!$B$6,INDEX($C$199:$BV$199,AV$2-Params!$B$6+1),0)</f>
        <v/>
      </c>
      <c r="AW201" s="5">
        <f>IF(AW$2&gt;=Params!$B$6,INDEX($C$199:$BV$199,AW$2-Params!$B$6+1),0)</f>
        <v/>
      </c>
      <c r="AX201" s="5">
        <f>IF(AX$2&gt;=Params!$B$6,INDEX($C$199:$BV$199,AX$2-Params!$B$6+1),0)</f>
        <v/>
      </c>
      <c r="AY201" s="5">
        <f>IF(AY$2&gt;=Params!$B$6,INDEX($C$199:$BV$199,AY$2-Params!$B$6+1),0)</f>
        <v/>
      </c>
      <c r="AZ201" s="5">
        <f>IF(AZ$2&gt;=Params!$B$6,INDEX($C$199:$BV$199,AZ$2-Params!$B$6+1),0)</f>
        <v/>
      </c>
      <c r="BA201" s="5">
        <f>IF(BA$2&gt;=Params!$B$6,INDEX($C$199:$BV$199,BA$2-Params!$B$6+1),0)</f>
        <v/>
      </c>
      <c r="BB201" s="5">
        <f>IF(BB$2&gt;=Params!$B$6,INDEX($C$199:$BV$199,BB$2-Params!$B$6+1),0)</f>
        <v/>
      </c>
      <c r="BC201" s="5">
        <f>IF(BC$2&gt;=Params!$B$6,INDEX($C$199:$BV$199,BC$2-Params!$B$6+1),0)</f>
        <v/>
      </c>
      <c r="BD201" s="5">
        <f>IF(BD$2&gt;=Params!$B$6,INDEX($C$199:$BV$199,BD$2-Params!$B$6+1),0)</f>
        <v/>
      </c>
      <c r="BE201" s="5">
        <f>IF(BE$2&gt;=Params!$B$6,INDEX($C$199:$BV$199,BE$2-Params!$B$6+1),0)</f>
        <v/>
      </c>
      <c r="BF201" s="5">
        <f>IF(BF$2&gt;=Params!$B$6,INDEX($C$199:$BV$199,BF$2-Params!$B$6+1),0)</f>
        <v/>
      </c>
      <c r="BG201" s="5">
        <f>IF(BG$2&gt;=Params!$B$6,INDEX($C$199:$BV$199,BG$2-Params!$B$6+1),0)</f>
        <v/>
      </c>
      <c r="BH201" s="5">
        <f>IF(BH$2&gt;=Params!$B$6,INDEX($C$199:$BV$199,BH$2-Params!$B$6+1),0)</f>
        <v/>
      </c>
      <c r="BI201" s="5">
        <f>IF(BI$2&gt;=Params!$B$6,INDEX($C$199:$BV$199,BI$2-Params!$B$6+1),0)</f>
        <v/>
      </c>
      <c r="BJ201" s="5">
        <f>IF(BJ$2&gt;=Params!$B$6,INDEX($C$199:$BV$199,BJ$2-Params!$B$6+1),0)</f>
        <v/>
      </c>
      <c r="BK201" s="5">
        <f>IF(BK$2&gt;=Params!$B$6,INDEX($C$199:$BV$199,BK$2-Params!$B$6+1),0)</f>
        <v/>
      </c>
      <c r="BL201" s="5">
        <f>IF(BL$2&gt;=Params!$B$6,INDEX($C$199:$BV$199,BL$2-Params!$B$6+1),0)</f>
        <v/>
      </c>
      <c r="BM201" s="5">
        <f>IF(BM$2&gt;=Params!$B$6,INDEX($C$199:$BV$199,BM$2-Params!$B$6+1),0)</f>
        <v/>
      </c>
      <c r="BN201" s="5">
        <f>IF(BN$2&gt;=Params!$B$6,INDEX($C$199:$BV$199,BN$2-Params!$B$6+1),0)</f>
        <v/>
      </c>
      <c r="BO201" s="5">
        <f>IF(BO$2&gt;=Params!$B$6,INDEX($C$199:$BV$199,BO$2-Params!$B$6+1),0)</f>
        <v/>
      </c>
      <c r="BP201" s="5">
        <f>IF(BP$2&gt;=Params!$B$6,INDEX($C$199:$BV$199,BP$2-Params!$B$6+1),0)</f>
        <v/>
      </c>
      <c r="BQ201" s="5">
        <f>IF(BQ$2&gt;=Params!$B$6,INDEX($C$199:$BV$199,BQ$2-Params!$B$6+1),0)</f>
        <v/>
      </c>
      <c r="BR201" s="5">
        <f>IF(BR$2&gt;=Params!$B$6,INDEX($C$199:$BV$199,BR$2-Params!$B$6+1),0)</f>
        <v/>
      </c>
      <c r="BS201" s="5">
        <f>IF(BS$2&gt;=Params!$B$6,INDEX($C$199:$BV$199,BS$2-Params!$B$6+1),0)</f>
        <v/>
      </c>
      <c r="BT201" s="5">
        <f>IF(BT$2&gt;=Params!$B$6,INDEX($C$199:$BV$199,BT$2-Params!$B$6+1),0)</f>
        <v/>
      </c>
      <c r="BU201" s="5">
        <f>IF(BU$2&gt;=Params!$B$6,INDEX($C$199:$BV$199,BU$2-Params!$B$6+1),0)</f>
        <v/>
      </c>
      <c r="BV201" s="5">
        <f>IF(BV$2&gt;=Params!$B$6,INDEX($C$199:$BV$199,BV$2-Params!$B$6+1),0)</f>
        <v/>
      </c>
    </row>
    <row r="202">
      <c r="A202" t="inlineStr">
        <is>
          <t>trial starts x conversion</t>
        </is>
      </c>
      <c r="B202" t="inlineStr">
        <is>
          <t>APAC|NITRO_A</t>
        </is>
      </c>
      <c r="C202" s="5">
        <f>C199*Eras!C$9</f>
        <v/>
      </c>
      <c r="D202" s="5">
        <f>D199*Eras!D$9</f>
        <v/>
      </c>
      <c r="E202" s="5">
        <f>E199*Eras!E$9</f>
        <v/>
      </c>
      <c r="F202" s="5">
        <f>F199*Eras!F$9</f>
        <v/>
      </c>
      <c r="G202" s="5">
        <f>G199*Eras!G$9</f>
        <v/>
      </c>
      <c r="H202" s="5">
        <f>H199*Eras!H$9</f>
        <v/>
      </c>
      <c r="I202" s="5">
        <f>I199*Eras!I$9</f>
        <v/>
      </c>
      <c r="J202" s="5">
        <f>J199*Eras!J$9</f>
        <v/>
      </c>
      <c r="K202" s="5">
        <f>K199*Eras!K$9</f>
        <v/>
      </c>
      <c r="L202" s="5">
        <f>L199*Eras!L$9</f>
        <v/>
      </c>
      <c r="M202" s="5">
        <f>M199*Eras!M$9</f>
        <v/>
      </c>
      <c r="N202" s="5">
        <f>N199*Eras!N$9</f>
        <v/>
      </c>
      <c r="O202" s="5">
        <f>O199*Eras!O$9</f>
        <v/>
      </c>
      <c r="P202" s="5">
        <f>P199*Eras!P$9</f>
        <v/>
      </c>
      <c r="Q202" s="5">
        <f>Q199*Eras!Q$9</f>
        <v/>
      </c>
      <c r="R202" s="5">
        <f>R199*Eras!R$9</f>
        <v/>
      </c>
      <c r="S202" s="5">
        <f>S199*Eras!S$9</f>
        <v/>
      </c>
      <c r="T202" s="5">
        <f>T199*Eras!T$9</f>
        <v/>
      </c>
      <c r="U202" s="5">
        <f>U199*Eras!U$9</f>
        <v/>
      </c>
      <c r="V202" s="5">
        <f>V199*Eras!V$9</f>
        <v/>
      </c>
      <c r="W202" s="5">
        <f>W199*Eras!W$9</f>
        <v/>
      </c>
      <c r="X202" s="5">
        <f>X199*Eras!X$9</f>
        <v/>
      </c>
      <c r="Y202" s="5">
        <f>Y199*Eras!Y$9</f>
        <v/>
      </c>
      <c r="Z202" s="5">
        <f>Z199*Eras!Z$9</f>
        <v/>
      </c>
      <c r="AA202" s="5">
        <f>AA199*Eras!AA$9</f>
        <v/>
      </c>
      <c r="AB202" s="5">
        <f>AB199*Eras!AB$9</f>
        <v/>
      </c>
      <c r="AC202" s="5">
        <f>AC199*Eras!AC$9</f>
        <v/>
      </c>
      <c r="AD202" s="5">
        <f>AD199*Eras!AD$9</f>
        <v/>
      </c>
      <c r="AE202" s="5">
        <f>AE199*Eras!AE$9</f>
        <v/>
      </c>
      <c r="AF202" s="5">
        <f>AF199*Eras!AF$9</f>
        <v/>
      </c>
      <c r="AG202" s="5">
        <f>AG199*Eras!AG$9</f>
        <v/>
      </c>
      <c r="AH202" s="5">
        <f>AH199*Eras!AH$9</f>
        <v/>
      </c>
      <c r="AI202" s="5">
        <f>AI199*Eras!AI$9</f>
        <v/>
      </c>
      <c r="AJ202" s="5">
        <f>AJ199*Eras!AJ$9</f>
        <v/>
      </c>
      <c r="AK202" s="5">
        <f>AK199*Eras!AK$9</f>
        <v/>
      </c>
      <c r="AL202" s="5">
        <f>AL199*Eras!AL$9</f>
        <v/>
      </c>
      <c r="AM202" s="5">
        <f>AM199*Eras!AM$9</f>
        <v/>
      </c>
      <c r="AN202" s="5">
        <f>AN199*Eras!AN$9</f>
        <v/>
      </c>
      <c r="AO202" s="5">
        <f>AO199*Eras!AO$9</f>
        <v/>
      </c>
      <c r="AP202" s="5">
        <f>AP199*Eras!AP$9</f>
        <v/>
      </c>
      <c r="AQ202" s="5">
        <f>AQ199*Eras!AQ$9</f>
        <v/>
      </c>
      <c r="AR202" s="5">
        <f>AR199*Eras!AR$9</f>
        <v/>
      </c>
      <c r="AS202" s="5">
        <f>AS199*Eras!AS$9</f>
        <v/>
      </c>
      <c r="AT202" s="5">
        <f>AT199*Eras!AT$9</f>
        <v/>
      </c>
      <c r="AU202" s="5">
        <f>AU199*Eras!AU$9</f>
        <v/>
      </c>
      <c r="AV202" s="5">
        <f>AV199*Eras!AV$9</f>
        <v/>
      </c>
      <c r="AW202" s="5">
        <f>AW199*Eras!AW$9</f>
        <v/>
      </c>
      <c r="AX202" s="5">
        <f>AX199*Eras!AX$9</f>
        <v/>
      </c>
      <c r="AY202" s="5">
        <f>AY199*Eras!AY$9</f>
        <v/>
      </c>
      <c r="AZ202" s="5">
        <f>AZ199*Eras!AZ$9</f>
        <v/>
      </c>
      <c r="BA202" s="5">
        <f>BA199*Eras!BA$9</f>
        <v/>
      </c>
      <c r="BB202" s="5">
        <f>BB199*Eras!BB$9</f>
        <v/>
      </c>
      <c r="BC202" s="5">
        <f>BC199*Eras!BC$9</f>
        <v/>
      </c>
      <c r="BD202" s="5">
        <f>BD199*Eras!BD$9</f>
        <v/>
      </c>
      <c r="BE202" s="5">
        <f>BE199*Eras!BE$9</f>
        <v/>
      </c>
      <c r="BF202" s="5">
        <f>BF199*Eras!BF$9</f>
        <v/>
      </c>
      <c r="BG202" s="5">
        <f>BG199*Eras!BG$9</f>
        <v/>
      </c>
      <c r="BH202" s="5">
        <f>BH199*Eras!BH$9</f>
        <v/>
      </c>
      <c r="BI202" s="5">
        <f>BI199*Eras!BI$9</f>
        <v/>
      </c>
      <c r="BJ202" s="5">
        <f>BJ199*Eras!BJ$9</f>
        <v/>
      </c>
      <c r="BK202" s="5">
        <f>BK199*Eras!BK$9</f>
        <v/>
      </c>
      <c r="BL202" s="5">
        <f>BL199*Eras!BL$9</f>
        <v/>
      </c>
      <c r="BM202" s="5">
        <f>BM199*Eras!BM$9</f>
        <v/>
      </c>
      <c r="BN202" s="5">
        <f>BN199*Eras!BN$9</f>
        <v/>
      </c>
      <c r="BO202" s="5">
        <f>BO199*Eras!BO$9</f>
        <v/>
      </c>
      <c r="BP202" s="5">
        <f>BP199*Eras!BP$9</f>
        <v/>
      </c>
      <c r="BQ202" s="5">
        <f>BQ199*Eras!BQ$9</f>
        <v/>
      </c>
      <c r="BR202" s="5">
        <f>BR199*Eras!BR$9</f>
        <v/>
      </c>
      <c r="BS202" s="5">
        <f>BS199*Eras!BS$9</f>
        <v/>
      </c>
      <c r="BT202" s="5">
        <f>BT199*Eras!BT$9</f>
        <v/>
      </c>
      <c r="BU202" s="5">
        <f>BU199*Eras!BU$9</f>
        <v/>
      </c>
      <c r="BV202" s="5">
        <f>BV199*Eras!BV$9</f>
        <v/>
      </c>
    </row>
    <row r="203">
      <c r="A203" t="inlineStr">
        <is>
          <t>trials converted</t>
        </is>
      </c>
      <c r="B203" t="inlineStr">
        <is>
          <t>APAC|NITRO_A</t>
        </is>
      </c>
      <c r="C203" s="5">
        <f>IF(C$2&gt;=Params!$B$6,INDEX($C$202:$BV$202,C$2-Params!$B$6+1),0)</f>
        <v/>
      </c>
      <c r="D203" s="5">
        <f>IF(D$2&gt;=Params!$B$6,INDEX($C$202:$BV$202,D$2-Params!$B$6+1),0)</f>
        <v/>
      </c>
      <c r="E203" s="5">
        <f>IF(E$2&gt;=Params!$B$6,INDEX($C$202:$BV$202,E$2-Params!$B$6+1),0)</f>
        <v/>
      </c>
      <c r="F203" s="5">
        <f>IF(F$2&gt;=Params!$B$6,INDEX($C$202:$BV$202,F$2-Params!$B$6+1),0)</f>
        <v/>
      </c>
      <c r="G203" s="5">
        <f>IF(G$2&gt;=Params!$B$6,INDEX($C$202:$BV$202,G$2-Params!$B$6+1),0)</f>
        <v/>
      </c>
      <c r="H203" s="5">
        <f>IF(H$2&gt;=Params!$B$6,INDEX($C$202:$BV$202,H$2-Params!$B$6+1),0)</f>
        <v/>
      </c>
      <c r="I203" s="5">
        <f>IF(I$2&gt;=Params!$B$6,INDEX($C$202:$BV$202,I$2-Params!$B$6+1),0)</f>
        <v/>
      </c>
      <c r="J203" s="5">
        <f>IF(J$2&gt;=Params!$B$6,INDEX($C$202:$BV$202,J$2-Params!$B$6+1),0)</f>
        <v/>
      </c>
      <c r="K203" s="5">
        <f>IF(K$2&gt;=Params!$B$6,INDEX($C$202:$BV$202,K$2-Params!$B$6+1),0)</f>
        <v/>
      </c>
      <c r="L203" s="5">
        <f>IF(L$2&gt;=Params!$B$6,INDEX($C$202:$BV$202,L$2-Params!$B$6+1),0)</f>
        <v/>
      </c>
      <c r="M203" s="5">
        <f>IF(M$2&gt;=Params!$B$6,INDEX($C$202:$BV$202,M$2-Params!$B$6+1),0)</f>
        <v/>
      </c>
      <c r="N203" s="5">
        <f>IF(N$2&gt;=Params!$B$6,INDEX($C$202:$BV$202,N$2-Params!$B$6+1),0)</f>
        <v/>
      </c>
      <c r="O203" s="5">
        <f>IF(O$2&gt;=Params!$B$6,INDEX($C$202:$BV$202,O$2-Params!$B$6+1),0)</f>
        <v/>
      </c>
      <c r="P203" s="5">
        <f>IF(P$2&gt;=Params!$B$6,INDEX($C$202:$BV$202,P$2-Params!$B$6+1),0)</f>
        <v/>
      </c>
      <c r="Q203" s="5">
        <f>IF(Q$2&gt;=Params!$B$6,INDEX($C$202:$BV$202,Q$2-Params!$B$6+1),0)</f>
        <v/>
      </c>
      <c r="R203" s="5">
        <f>IF(R$2&gt;=Params!$B$6,INDEX($C$202:$BV$202,R$2-Params!$B$6+1),0)</f>
        <v/>
      </c>
      <c r="S203" s="5">
        <f>IF(S$2&gt;=Params!$B$6,INDEX($C$202:$BV$202,S$2-Params!$B$6+1),0)</f>
        <v/>
      </c>
      <c r="T203" s="5">
        <f>IF(T$2&gt;=Params!$B$6,INDEX($C$202:$BV$202,T$2-Params!$B$6+1),0)</f>
        <v/>
      </c>
      <c r="U203" s="5">
        <f>IF(U$2&gt;=Params!$B$6,INDEX($C$202:$BV$202,U$2-Params!$B$6+1),0)</f>
        <v/>
      </c>
      <c r="V203" s="5">
        <f>IF(V$2&gt;=Params!$B$6,INDEX($C$202:$BV$202,V$2-Params!$B$6+1),0)</f>
        <v/>
      </c>
      <c r="W203" s="5">
        <f>IF(W$2&gt;=Params!$B$6,INDEX($C$202:$BV$202,W$2-Params!$B$6+1),0)</f>
        <v/>
      </c>
      <c r="X203" s="5">
        <f>IF(X$2&gt;=Params!$B$6,INDEX($C$202:$BV$202,X$2-Params!$B$6+1),0)</f>
        <v/>
      </c>
      <c r="Y203" s="5">
        <f>IF(Y$2&gt;=Params!$B$6,INDEX($C$202:$BV$202,Y$2-Params!$B$6+1),0)</f>
        <v/>
      </c>
      <c r="Z203" s="5">
        <f>IF(Z$2&gt;=Params!$B$6,INDEX($C$202:$BV$202,Z$2-Params!$B$6+1),0)</f>
        <v/>
      </c>
      <c r="AA203" s="5">
        <f>IF(AA$2&gt;=Params!$B$6,INDEX($C$202:$BV$202,AA$2-Params!$B$6+1),0)</f>
        <v/>
      </c>
      <c r="AB203" s="5">
        <f>IF(AB$2&gt;=Params!$B$6,INDEX($C$202:$BV$202,AB$2-Params!$B$6+1),0)</f>
        <v/>
      </c>
      <c r="AC203" s="5">
        <f>IF(AC$2&gt;=Params!$B$6,INDEX($C$202:$BV$202,AC$2-Params!$B$6+1),0)</f>
        <v/>
      </c>
      <c r="AD203" s="5">
        <f>IF(AD$2&gt;=Params!$B$6,INDEX($C$202:$BV$202,AD$2-Params!$B$6+1),0)</f>
        <v/>
      </c>
      <c r="AE203" s="5">
        <f>IF(AE$2&gt;=Params!$B$6,INDEX($C$202:$BV$202,AE$2-Params!$B$6+1),0)</f>
        <v/>
      </c>
      <c r="AF203" s="5">
        <f>IF(AF$2&gt;=Params!$B$6,INDEX($C$202:$BV$202,AF$2-Params!$B$6+1),0)</f>
        <v/>
      </c>
      <c r="AG203" s="5">
        <f>IF(AG$2&gt;=Params!$B$6,INDEX($C$202:$BV$202,AG$2-Params!$B$6+1),0)</f>
        <v/>
      </c>
      <c r="AH203" s="5">
        <f>IF(AH$2&gt;=Params!$B$6,INDEX($C$202:$BV$202,AH$2-Params!$B$6+1),0)</f>
        <v/>
      </c>
      <c r="AI203" s="5">
        <f>IF(AI$2&gt;=Params!$B$6,INDEX($C$202:$BV$202,AI$2-Params!$B$6+1),0)</f>
        <v/>
      </c>
      <c r="AJ203" s="5">
        <f>IF(AJ$2&gt;=Params!$B$6,INDEX($C$202:$BV$202,AJ$2-Params!$B$6+1),0)</f>
        <v/>
      </c>
      <c r="AK203" s="5">
        <f>IF(AK$2&gt;=Params!$B$6,INDEX($C$202:$BV$202,AK$2-Params!$B$6+1),0)</f>
        <v/>
      </c>
      <c r="AL203" s="5">
        <f>IF(AL$2&gt;=Params!$B$6,INDEX($C$202:$BV$202,AL$2-Params!$B$6+1),0)</f>
        <v/>
      </c>
      <c r="AM203" s="5">
        <f>IF(AM$2&gt;=Params!$B$6,INDEX($C$202:$BV$202,AM$2-Params!$B$6+1),0)</f>
        <v/>
      </c>
      <c r="AN203" s="5">
        <f>IF(AN$2&gt;=Params!$B$6,INDEX($C$202:$BV$202,AN$2-Params!$B$6+1),0)</f>
        <v/>
      </c>
      <c r="AO203" s="5">
        <f>IF(AO$2&gt;=Params!$B$6,INDEX($C$202:$BV$202,AO$2-Params!$B$6+1),0)</f>
        <v/>
      </c>
      <c r="AP203" s="5">
        <f>IF(AP$2&gt;=Params!$B$6,INDEX($C$202:$BV$202,AP$2-Params!$B$6+1),0)</f>
        <v/>
      </c>
      <c r="AQ203" s="5">
        <f>IF(AQ$2&gt;=Params!$B$6,INDEX($C$202:$BV$202,AQ$2-Params!$B$6+1),0)</f>
        <v/>
      </c>
      <c r="AR203" s="5">
        <f>IF(AR$2&gt;=Params!$B$6,INDEX($C$202:$BV$202,AR$2-Params!$B$6+1),0)</f>
        <v/>
      </c>
      <c r="AS203" s="5">
        <f>IF(AS$2&gt;=Params!$B$6,INDEX($C$202:$BV$202,AS$2-Params!$B$6+1),0)</f>
        <v/>
      </c>
      <c r="AT203" s="5">
        <f>IF(AT$2&gt;=Params!$B$6,INDEX($C$202:$BV$202,AT$2-Params!$B$6+1),0)</f>
        <v/>
      </c>
      <c r="AU203" s="5">
        <f>IF(AU$2&gt;=Params!$B$6,INDEX($C$202:$BV$202,AU$2-Params!$B$6+1),0)</f>
        <v/>
      </c>
      <c r="AV203" s="5">
        <f>IF(AV$2&gt;=Params!$B$6,INDEX($C$202:$BV$202,AV$2-Params!$B$6+1),0)</f>
        <v/>
      </c>
      <c r="AW203" s="5">
        <f>IF(AW$2&gt;=Params!$B$6,INDEX($C$202:$BV$202,AW$2-Params!$B$6+1),0)</f>
        <v/>
      </c>
      <c r="AX203" s="5">
        <f>IF(AX$2&gt;=Params!$B$6,INDEX($C$202:$BV$202,AX$2-Params!$B$6+1),0)</f>
        <v/>
      </c>
      <c r="AY203" s="5">
        <f>IF(AY$2&gt;=Params!$B$6,INDEX($C$202:$BV$202,AY$2-Params!$B$6+1),0)</f>
        <v/>
      </c>
      <c r="AZ203" s="5">
        <f>IF(AZ$2&gt;=Params!$B$6,INDEX($C$202:$BV$202,AZ$2-Params!$B$6+1),0)</f>
        <v/>
      </c>
      <c r="BA203" s="5">
        <f>IF(BA$2&gt;=Params!$B$6,INDEX($C$202:$BV$202,BA$2-Params!$B$6+1),0)</f>
        <v/>
      </c>
      <c r="BB203" s="5">
        <f>IF(BB$2&gt;=Params!$B$6,INDEX($C$202:$BV$202,BB$2-Params!$B$6+1),0)</f>
        <v/>
      </c>
      <c r="BC203" s="5">
        <f>IF(BC$2&gt;=Params!$B$6,INDEX($C$202:$BV$202,BC$2-Params!$B$6+1),0)</f>
        <v/>
      </c>
      <c r="BD203" s="5">
        <f>IF(BD$2&gt;=Params!$B$6,INDEX($C$202:$BV$202,BD$2-Params!$B$6+1),0)</f>
        <v/>
      </c>
      <c r="BE203" s="5">
        <f>IF(BE$2&gt;=Params!$B$6,INDEX($C$202:$BV$202,BE$2-Params!$B$6+1),0)</f>
        <v/>
      </c>
      <c r="BF203" s="5">
        <f>IF(BF$2&gt;=Params!$B$6,INDEX($C$202:$BV$202,BF$2-Params!$B$6+1),0)</f>
        <v/>
      </c>
      <c r="BG203" s="5">
        <f>IF(BG$2&gt;=Params!$B$6,INDEX($C$202:$BV$202,BG$2-Params!$B$6+1),0)</f>
        <v/>
      </c>
      <c r="BH203" s="5">
        <f>IF(BH$2&gt;=Params!$B$6,INDEX($C$202:$BV$202,BH$2-Params!$B$6+1),0)</f>
        <v/>
      </c>
      <c r="BI203" s="5">
        <f>IF(BI$2&gt;=Params!$B$6,INDEX($C$202:$BV$202,BI$2-Params!$B$6+1),0)</f>
        <v/>
      </c>
      <c r="BJ203" s="5">
        <f>IF(BJ$2&gt;=Params!$B$6,INDEX($C$202:$BV$202,BJ$2-Params!$B$6+1),0)</f>
        <v/>
      </c>
      <c r="BK203" s="5">
        <f>IF(BK$2&gt;=Params!$B$6,INDEX($C$202:$BV$202,BK$2-Params!$B$6+1),0)</f>
        <v/>
      </c>
      <c r="BL203" s="5">
        <f>IF(BL$2&gt;=Params!$B$6,INDEX($C$202:$BV$202,BL$2-Params!$B$6+1),0)</f>
        <v/>
      </c>
      <c r="BM203" s="5">
        <f>IF(BM$2&gt;=Params!$B$6,INDEX($C$202:$BV$202,BM$2-Params!$B$6+1),0)</f>
        <v/>
      </c>
      <c r="BN203" s="5">
        <f>IF(BN$2&gt;=Params!$B$6,INDEX($C$202:$BV$202,BN$2-Params!$B$6+1),0)</f>
        <v/>
      </c>
      <c r="BO203" s="5">
        <f>IF(BO$2&gt;=Params!$B$6,INDEX($C$202:$BV$202,BO$2-Params!$B$6+1),0)</f>
        <v/>
      </c>
      <c r="BP203" s="5">
        <f>IF(BP$2&gt;=Params!$B$6,INDEX($C$202:$BV$202,BP$2-Params!$B$6+1),0)</f>
        <v/>
      </c>
      <c r="BQ203" s="5">
        <f>IF(BQ$2&gt;=Params!$B$6,INDEX($C$202:$BV$202,BQ$2-Params!$B$6+1),0)</f>
        <v/>
      </c>
      <c r="BR203" s="5">
        <f>IF(BR$2&gt;=Params!$B$6,INDEX($C$202:$BV$202,BR$2-Params!$B$6+1),0)</f>
        <v/>
      </c>
      <c r="BS203" s="5">
        <f>IF(BS$2&gt;=Params!$B$6,INDEX($C$202:$BV$202,BS$2-Params!$B$6+1),0)</f>
        <v/>
      </c>
      <c r="BT203" s="5">
        <f>IF(BT$2&gt;=Params!$B$6,INDEX($C$202:$BV$202,BT$2-Params!$B$6+1),0)</f>
        <v/>
      </c>
      <c r="BU203" s="5">
        <f>IF(BU$2&gt;=Params!$B$6,INDEX($C$202:$BV$202,BU$2-Params!$B$6+1),0)</f>
        <v/>
      </c>
      <c r="BV203" s="5">
        <f>IF(BV$2&gt;=Params!$B$6,INDEX($C$202:$BV$202,BV$2-Params!$B$6+1),0)</f>
        <v/>
      </c>
    </row>
    <row r="204">
      <c r="A204" t="inlineStr">
        <is>
          <t>trials lost</t>
        </is>
      </c>
      <c r="B204" t="inlineStr">
        <is>
          <t>APAC|NITRO_A</t>
        </is>
      </c>
      <c r="C204" s="5">
        <f>C201-C203</f>
        <v/>
      </c>
      <c r="D204" s="5">
        <f>D201-D203</f>
        <v/>
      </c>
      <c r="E204" s="5">
        <f>E201-E203</f>
        <v/>
      </c>
      <c r="F204" s="5">
        <f>F201-F203</f>
        <v/>
      </c>
      <c r="G204" s="5">
        <f>G201-G203</f>
        <v/>
      </c>
      <c r="H204" s="5">
        <f>H201-H203</f>
        <v/>
      </c>
      <c r="I204" s="5">
        <f>I201-I203</f>
        <v/>
      </c>
      <c r="J204" s="5">
        <f>J201-J203</f>
        <v/>
      </c>
      <c r="K204" s="5">
        <f>K201-K203</f>
        <v/>
      </c>
      <c r="L204" s="5">
        <f>L201-L203</f>
        <v/>
      </c>
      <c r="M204" s="5">
        <f>M201-M203</f>
        <v/>
      </c>
      <c r="N204" s="5">
        <f>N201-N203</f>
        <v/>
      </c>
      <c r="O204" s="5">
        <f>O201-O203</f>
        <v/>
      </c>
      <c r="P204" s="5">
        <f>P201-P203</f>
        <v/>
      </c>
      <c r="Q204" s="5">
        <f>Q201-Q203</f>
        <v/>
      </c>
      <c r="R204" s="5">
        <f>R201-R203</f>
        <v/>
      </c>
      <c r="S204" s="5">
        <f>S201-S203</f>
        <v/>
      </c>
      <c r="T204" s="5">
        <f>T201-T203</f>
        <v/>
      </c>
      <c r="U204" s="5">
        <f>U201-U203</f>
        <v/>
      </c>
      <c r="V204" s="5">
        <f>V201-V203</f>
        <v/>
      </c>
      <c r="W204" s="5">
        <f>W201-W203</f>
        <v/>
      </c>
      <c r="X204" s="5">
        <f>X201-X203</f>
        <v/>
      </c>
      <c r="Y204" s="5">
        <f>Y201-Y203</f>
        <v/>
      </c>
      <c r="Z204" s="5">
        <f>Z201-Z203</f>
        <v/>
      </c>
      <c r="AA204" s="5">
        <f>AA201-AA203</f>
        <v/>
      </c>
      <c r="AB204" s="5">
        <f>AB201-AB203</f>
        <v/>
      </c>
      <c r="AC204" s="5">
        <f>AC201-AC203</f>
        <v/>
      </c>
      <c r="AD204" s="5">
        <f>AD201-AD203</f>
        <v/>
      </c>
      <c r="AE204" s="5">
        <f>AE201-AE203</f>
        <v/>
      </c>
      <c r="AF204" s="5">
        <f>AF201-AF203</f>
        <v/>
      </c>
      <c r="AG204" s="5">
        <f>AG201-AG203</f>
        <v/>
      </c>
      <c r="AH204" s="5">
        <f>AH201-AH203</f>
        <v/>
      </c>
      <c r="AI204" s="5">
        <f>AI201-AI203</f>
        <v/>
      </c>
      <c r="AJ204" s="5">
        <f>AJ201-AJ203</f>
        <v/>
      </c>
      <c r="AK204" s="5">
        <f>AK201-AK203</f>
        <v/>
      </c>
      <c r="AL204" s="5">
        <f>AL201-AL203</f>
        <v/>
      </c>
      <c r="AM204" s="5">
        <f>AM201-AM203</f>
        <v/>
      </c>
      <c r="AN204" s="5">
        <f>AN201-AN203</f>
        <v/>
      </c>
      <c r="AO204" s="5">
        <f>AO201-AO203</f>
        <v/>
      </c>
      <c r="AP204" s="5">
        <f>AP201-AP203</f>
        <v/>
      </c>
      <c r="AQ204" s="5">
        <f>AQ201-AQ203</f>
        <v/>
      </c>
      <c r="AR204" s="5">
        <f>AR201-AR203</f>
        <v/>
      </c>
      <c r="AS204" s="5">
        <f>AS201-AS203</f>
        <v/>
      </c>
      <c r="AT204" s="5">
        <f>AT201-AT203</f>
        <v/>
      </c>
      <c r="AU204" s="5">
        <f>AU201-AU203</f>
        <v/>
      </c>
      <c r="AV204" s="5">
        <f>AV201-AV203</f>
        <v/>
      </c>
      <c r="AW204" s="5">
        <f>AW201-AW203</f>
        <v/>
      </c>
      <c r="AX204" s="5">
        <f>AX201-AX203</f>
        <v/>
      </c>
      <c r="AY204" s="5">
        <f>AY201-AY203</f>
        <v/>
      </c>
      <c r="AZ204" s="5">
        <f>AZ201-AZ203</f>
        <v/>
      </c>
      <c r="BA204" s="5">
        <f>BA201-BA203</f>
        <v/>
      </c>
      <c r="BB204" s="5">
        <f>BB201-BB203</f>
        <v/>
      </c>
      <c r="BC204" s="5">
        <f>BC201-BC203</f>
        <v/>
      </c>
      <c r="BD204" s="5">
        <f>BD201-BD203</f>
        <v/>
      </c>
      <c r="BE204" s="5">
        <f>BE201-BE203</f>
        <v/>
      </c>
      <c r="BF204" s="5">
        <f>BF201-BF203</f>
        <v/>
      </c>
      <c r="BG204" s="5">
        <f>BG201-BG203</f>
        <v/>
      </c>
      <c r="BH204" s="5">
        <f>BH201-BH203</f>
        <v/>
      </c>
      <c r="BI204" s="5">
        <f>BI201-BI203</f>
        <v/>
      </c>
      <c r="BJ204" s="5">
        <f>BJ201-BJ203</f>
        <v/>
      </c>
      <c r="BK204" s="5">
        <f>BK201-BK203</f>
        <v/>
      </c>
      <c r="BL204" s="5">
        <f>BL201-BL203</f>
        <v/>
      </c>
      <c r="BM204" s="5">
        <f>BM201-BM203</f>
        <v/>
      </c>
      <c r="BN204" s="5">
        <f>BN201-BN203</f>
        <v/>
      </c>
      <c r="BO204" s="5">
        <f>BO201-BO203</f>
        <v/>
      </c>
      <c r="BP204" s="5">
        <f>BP201-BP203</f>
        <v/>
      </c>
      <c r="BQ204" s="5">
        <f>BQ201-BQ203</f>
        <v/>
      </c>
      <c r="BR204" s="5">
        <f>BR201-BR203</f>
        <v/>
      </c>
      <c r="BS204" s="5">
        <f>BS201-BS203</f>
        <v/>
      </c>
      <c r="BT204" s="5">
        <f>BT201-BT203</f>
        <v/>
      </c>
      <c r="BU204" s="5">
        <f>BU201-BU203</f>
        <v/>
      </c>
      <c r="BV204" s="5">
        <f>BV201-BV203</f>
        <v/>
      </c>
    </row>
    <row r="205">
      <c r="A205" t="inlineStr">
        <is>
          <t>cum trial starts</t>
        </is>
      </c>
      <c r="B205" t="inlineStr">
        <is>
          <t>APAC|NITRO_A</t>
        </is>
      </c>
      <c r="C205" s="5">
        <f>SUM($C199:C199)</f>
        <v/>
      </c>
      <c r="D205" s="5">
        <f>SUM($C199:D199)</f>
        <v/>
      </c>
      <c r="E205" s="5">
        <f>SUM($C199:E199)</f>
        <v/>
      </c>
      <c r="F205" s="5">
        <f>SUM($C199:F199)</f>
        <v/>
      </c>
      <c r="G205" s="5">
        <f>SUM($C199:G199)</f>
        <v/>
      </c>
      <c r="H205" s="5">
        <f>SUM($C199:H199)</f>
        <v/>
      </c>
      <c r="I205" s="5">
        <f>SUM($C199:I199)</f>
        <v/>
      </c>
      <c r="J205" s="5">
        <f>SUM($C199:J199)</f>
        <v/>
      </c>
      <c r="K205" s="5">
        <f>SUM($C199:K199)</f>
        <v/>
      </c>
      <c r="L205" s="5">
        <f>SUM($C199:L199)</f>
        <v/>
      </c>
      <c r="M205" s="5">
        <f>SUM($C199:M199)</f>
        <v/>
      </c>
      <c r="N205" s="5">
        <f>SUM($C199:N199)</f>
        <v/>
      </c>
      <c r="O205" s="5">
        <f>SUM($C199:O199)</f>
        <v/>
      </c>
      <c r="P205" s="5">
        <f>SUM($C199:P199)</f>
        <v/>
      </c>
      <c r="Q205" s="5">
        <f>SUM($C199:Q199)</f>
        <v/>
      </c>
      <c r="R205" s="5">
        <f>SUM($C199:R199)</f>
        <v/>
      </c>
      <c r="S205" s="5">
        <f>SUM($C199:S199)</f>
        <v/>
      </c>
      <c r="T205" s="5">
        <f>SUM($C199:T199)</f>
        <v/>
      </c>
      <c r="U205" s="5">
        <f>SUM($C199:U199)</f>
        <v/>
      </c>
      <c r="V205" s="5">
        <f>SUM($C199:V199)</f>
        <v/>
      </c>
      <c r="W205" s="5">
        <f>SUM($C199:W199)</f>
        <v/>
      </c>
      <c r="X205" s="5">
        <f>SUM($C199:X199)</f>
        <v/>
      </c>
      <c r="Y205" s="5">
        <f>SUM($C199:Y199)</f>
        <v/>
      </c>
      <c r="Z205" s="5">
        <f>SUM($C199:Z199)</f>
        <v/>
      </c>
      <c r="AA205" s="5">
        <f>SUM($C199:AA199)</f>
        <v/>
      </c>
      <c r="AB205" s="5">
        <f>SUM($C199:AB199)</f>
        <v/>
      </c>
      <c r="AC205" s="5">
        <f>SUM($C199:AC199)</f>
        <v/>
      </c>
      <c r="AD205" s="5">
        <f>SUM($C199:AD199)</f>
        <v/>
      </c>
      <c r="AE205" s="5">
        <f>SUM($C199:AE199)</f>
        <v/>
      </c>
      <c r="AF205" s="5">
        <f>SUM($C199:AF199)</f>
        <v/>
      </c>
      <c r="AG205" s="5">
        <f>SUM($C199:AG199)</f>
        <v/>
      </c>
      <c r="AH205" s="5">
        <f>SUM($C199:AH199)</f>
        <v/>
      </c>
      <c r="AI205" s="5">
        <f>SUM($C199:AI199)</f>
        <v/>
      </c>
      <c r="AJ205" s="5">
        <f>SUM($C199:AJ199)</f>
        <v/>
      </c>
      <c r="AK205" s="5">
        <f>SUM($C199:AK199)</f>
        <v/>
      </c>
      <c r="AL205" s="5">
        <f>SUM($C199:AL199)</f>
        <v/>
      </c>
      <c r="AM205" s="5">
        <f>SUM($C199:AM199)</f>
        <v/>
      </c>
      <c r="AN205" s="5">
        <f>SUM($C199:AN199)</f>
        <v/>
      </c>
      <c r="AO205" s="5">
        <f>SUM($C199:AO199)</f>
        <v/>
      </c>
      <c r="AP205" s="5">
        <f>SUM($C199:AP199)</f>
        <v/>
      </c>
      <c r="AQ205" s="5">
        <f>SUM($C199:AQ199)</f>
        <v/>
      </c>
      <c r="AR205" s="5">
        <f>SUM($C199:AR199)</f>
        <v/>
      </c>
      <c r="AS205" s="5">
        <f>SUM($C199:AS199)</f>
        <v/>
      </c>
      <c r="AT205" s="5">
        <f>SUM($C199:AT199)</f>
        <v/>
      </c>
      <c r="AU205" s="5">
        <f>SUM($C199:AU199)</f>
        <v/>
      </c>
      <c r="AV205" s="5">
        <f>SUM($C199:AV199)</f>
        <v/>
      </c>
      <c r="AW205" s="5">
        <f>SUM($C199:AW199)</f>
        <v/>
      </c>
      <c r="AX205" s="5">
        <f>SUM($C199:AX199)</f>
        <v/>
      </c>
      <c r="AY205" s="5">
        <f>SUM($C199:AY199)</f>
        <v/>
      </c>
      <c r="AZ205" s="5">
        <f>SUM($C199:AZ199)</f>
        <v/>
      </c>
      <c r="BA205" s="5">
        <f>SUM($C199:BA199)</f>
        <v/>
      </c>
      <c r="BB205" s="5">
        <f>SUM($C199:BB199)</f>
        <v/>
      </c>
      <c r="BC205" s="5">
        <f>SUM($C199:BC199)</f>
        <v/>
      </c>
      <c r="BD205" s="5">
        <f>SUM($C199:BD199)</f>
        <v/>
      </c>
      <c r="BE205" s="5">
        <f>SUM($C199:BE199)</f>
        <v/>
      </c>
      <c r="BF205" s="5">
        <f>SUM($C199:BF199)</f>
        <v/>
      </c>
      <c r="BG205" s="5">
        <f>SUM($C199:BG199)</f>
        <v/>
      </c>
      <c r="BH205" s="5">
        <f>SUM($C199:BH199)</f>
        <v/>
      </c>
      <c r="BI205" s="5">
        <f>SUM($C199:BI199)</f>
        <v/>
      </c>
      <c r="BJ205" s="5">
        <f>SUM($C199:BJ199)</f>
        <v/>
      </c>
      <c r="BK205" s="5">
        <f>SUM($C199:BK199)</f>
        <v/>
      </c>
      <c r="BL205" s="5">
        <f>SUM($C199:BL199)</f>
        <v/>
      </c>
      <c r="BM205" s="5">
        <f>SUM($C199:BM199)</f>
        <v/>
      </c>
      <c r="BN205" s="5">
        <f>SUM($C199:BN199)</f>
        <v/>
      </c>
      <c r="BO205" s="5">
        <f>SUM($C199:BO199)</f>
        <v/>
      </c>
      <c r="BP205" s="5">
        <f>SUM($C199:BP199)</f>
        <v/>
      </c>
      <c r="BQ205" s="5">
        <f>SUM($C199:BQ199)</f>
        <v/>
      </c>
      <c r="BR205" s="5">
        <f>SUM($C199:BR199)</f>
        <v/>
      </c>
      <c r="BS205" s="5">
        <f>SUM($C199:BS199)</f>
        <v/>
      </c>
      <c r="BT205" s="5">
        <f>SUM($C199:BT199)</f>
        <v/>
      </c>
      <c r="BU205" s="5">
        <f>SUM($C199:BU199)</f>
        <v/>
      </c>
      <c r="BV205" s="5">
        <f>SUM($C199:BV199)</f>
        <v/>
      </c>
    </row>
    <row r="206">
      <c r="A206" t="inlineStr">
        <is>
          <t>cum trials ending</t>
        </is>
      </c>
      <c r="B206" t="inlineStr">
        <is>
          <t>APAC|NITRO_A</t>
        </is>
      </c>
      <c r="C206" s="5">
        <f>SUM($C201:C201)</f>
        <v/>
      </c>
      <c r="D206" s="5">
        <f>SUM($C201:D201)</f>
        <v/>
      </c>
      <c r="E206" s="5">
        <f>SUM($C201:E201)</f>
        <v/>
      </c>
      <c r="F206" s="5">
        <f>SUM($C201:F201)</f>
        <v/>
      </c>
      <c r="G206" s="5">
        <f>SUM($C201:G201)</f>
        <v/>
      </c>
      <c r="H206" s="5">
        <f>SUM($C201:H201)</f>
        <v/>
      </c>
      <c r="I206" s="5">
        <f>SUM($C201:I201)</f>
        <v/>
      </c>
      <c r="J206" s="5">
        <f>SUM($C201:J201)</f>
        <v/>
      </c>
      <c r="K206" s="5">
        <f>SUM($C201:K201)</f>
        <v/>
      </c>
      <c r="L206" s="5">
        <f>SUM($C201:L201)</f>
        <v/>
      </c>
      <c r="M206" s="5">
        <f>SUM($C201:M201)</f>
        <v/>
      </c>
      <c r="N206" s="5">
        <f>SUM($C201:N201)</f>
        <v/>
      </c>
      <c r="O206" s="5">
        <f>SUM($C201:O201)</f>
        <v/>
      </c>
      <c r="P206" s="5">
        <f>SUM($C201:P201)</f>
        <v/>
      </c>
      <c r="Q206" s="5">
        <f>SUM($C201:Q201)</f>
        <v/>
      </c>
      <c r="R206" s="5">
        <f>SUM($C201:R201)</f>
        <v/>
      </c>
      <c r="S206" s="5">
        <f>SUM($C201:S201)</f>
        <v/>
      </c>
      <c r="T206" s="5">
        <f>SUM($C201:T201)</f>
        <v/>
      </c>
      <c r="U206" s="5">
        <f>SUM($C201:U201)</f>
        <v/>
      </c>
      <c r="V206" s="5">
        <f>SUM($C201:V201)</f>
        <v/>
      </c>
      <c r="W206" s="5">
        <f>SUM($C201:W201)</f>
        <v/>
      </c>
      <c r="X206" s="5">
        <f>SUM($C201:X201)</f>
        <v/>
      </c>
      <c r="Y206" s="5">
        <f>SUM($C201:Y201)</f>
        <v/>
      </c>
      <c r="Z206" s="5">
        <f>SUM($C201:Z201)</f>
        <v/>
      </c>
      <c r="AA206" s="5">
        <f>SUM($C201:AA201)</f>
        <v/>
      </c>
      <c r="AB206" s="5">
        <f>SUM($C201:AB201)</f>
        <v/>
      </c>
      <c r="AC206" s="5">
        <f>SUM($C201:AC201)</f>
        <v/>
      </c>
      <c r="AD206" s="5">
        <f>SUM($C201:AD201)</f>
        <v/>
      </c>
      <c r="AE206" s="5">
        <f>SUM($C201:AE201)</f>
        <v/>
      </c>
      <c r="AF206" s="5">
        <f>SUM($C201:AF201)</f>
        <v/>
      </c>
      <c r="AG206" s="5">
        <f>SUM($C201:AG201)</f>
        <v/>
      </c>
      <c r="AH206" s="5">
        <f>SUM($C201:AH201)</f>
        <v/>
      </c>
      <c r="AI206" s="5">
        <f>SUM($C201:AI201)</f>
        <v/>
      </c>
      <c r="AJ206" s="5">
        <f>SUM($C201:AJ201)</f>
        <v/>
      </c>
      <c r="AK206" s="5">
        <f>SUM($C201:AK201)</f>
        <v/>
      </c>
      <c r="AL206" s="5">
        <f>SUM($C201:AL201)</f>
        <v/>
      </c>
      <c r="AM206" s="5">
        <f>SUM($C201:AM201)</f>
        <v/>
      </c>
      <c r="AN206" s="5">
        <f>SUM($C201:AN201)</f>
        <v/>
      </c>
      <c r="AO206" s="5">
        <f>SUM($C201:AO201)</f>
        <v/>
      </c>
      <c r="AP206" s="5">
        <f>SUM($C201:AP201)</f>
        <v/>
      </c>
      <c r="AQ206" s="5">
        <f>SUM($C201:AQ201)</f>
        <v/>
      </c>
      <c r="AR206" s="5">
        <f>SUM($C201:AR201)</f>
        <v/>
      </c>
      <c r="AS206" s="5">
        <f>SUM($C201:AS201)</f>
        <v/>
      </c>
      <c r="AT206" s="5">
        <f>SUM($C201:AT201)</f>
        <v/>
      </c>
      <c r="AU206" s="5">
        <f>SUM($C201:AU201)</f>
        <v/>
      </c>
      <c r="AV206" s="5">
        <f>SUM($C201:AV201)</f>
        <v/>
      </c>
      <c r="AW206" s="5">
        <f>SUM($C201:AW201)</f>
        <v/>
      </c>
      <c r="AX206" s="5">
        <f>SUM($C201:AX201)</f>
        <v/>
      </c>
      <c r="AY206" s="5">
        <f>SUM($C201:AY201)</f>
        <v/>
      </c>
      <c r="AZ206" s="5">
        <f>SUM($C201:AZ201)</f>
        <v/>
      </c>
      <c r="BA206" s="5">
        <f>SUM($C201:BA201)</f>
        <v/>
      </c>
      <c r="BB206" s="5">
        <f>SUM($C201:BB201)</f>
        <v/>
      </c>
      <c r="BC206" s="5">
        <f>SUM($C201:BC201)</f>
        <v/>
      </c>
      <c r="BD206" s="5">
        <f>SUM($C201:BD201)</f>
        <v/>
      </c>
      <c r="BE206" s="5">
        <f>SUM($C201:BE201)</f>
        <v/>
      </c>
      <c r="BF206" s="5">
        <f>SUM($C201:BF201)</f>
        <v/>
      </c>
      <c r="BG206" s="5">
        <f>SUM($C201:BG201)</f>
        <v/>
      </c>
      <c r="BH206" s="5">
        <f>SUM($C201:BH201)</f>
        <v/>
      </c>
      <c r="BI206" s="5">
        <f>SUM($C201:BI201)</f>
        <v/>
      </c>
      <c r="BJ206" s="5">
        <f>SUM($C201:BJ201)</f>
        <v/>
      </c>
      <c r="BK206" s="5">
        <f>SUM($C201:BK201)</f>
        <v/>
      </c>
      <c r="BL206" s="5">
        <f>SUM($C201:BL201)</f>
        <v/>
      </c>
      <c r="BM206" s="5">
        <f>SUM($C201:BM201)</f>
        <v/>
      </c>
      <c r="BN206" s="5">
        <f>SUM($C201:BN201)</f>
        <v/>
      </c>
      <c r="BO206" s="5">
        <f>SUM($C201:BO201)</f>
        <v/>
      </c>
      <c r="BP206" s="5">
        <f>SUM($C201:BP201)</f>
        <v/>
      </c>
      <c r="BQ206" s="5">
        <f>SUM($C201:BQ201)</f>
        <v/>
      </c>
      <c r="BR206" s="5">
        <f>SUM($C201:BR201)</f>
        <v/>
      </c>
      <c r="BS206" s="5">
        <f>SUM($C201:BS201)</f>
        <v/>
      </c>
      <c r="BT206" s="5">
        <f>SUM($C201:BT201)</f>
        <v/>
      </c>
      <c r="BU206" s="5">
        <f>SUM($C201:BU201)</f>
        <v/>
      </c>
      <c r="BV206" s="5">
        <f>SUM($C201:BV201)</f>
        <v/>
      </c>
    </row>
    <row r="207">
      <c r="A207" t="inlineStr">
        <is>
          <t>trials active</t>
        </is>
      </c>
      <c r="B207" t="inlineStr">
        <is>
          <t>APAC|NITRO_A</t>
        </is>
      </c>
      <c r="C207" s="5">
        <f>C205-C206</f>
        <v/>
      </c>
      <c r="D207" s="5">
        <f>D205-D206</f>
        <v/>
      </c>
      <c r="E207" s="5">
        <f>E205-E206</f>
        <v/>
      </c>
      <c r="F207" s="5">
        <f>F205-F206</f>
        <v/>
      </c>
      <c r="G207" s="5">
        <f>G205-G206</f>
        <v/>
      </c>
      <c r="H207" s="5">
        <f>H205-H206</f>
        <v/>
      </c>
      <c r="I207" s="5">
        <f>I205-I206</f>
        <v/>
      </c>
      <c r="J207" s="5">
        <f>J205-J206</f>
        <v/>
      </c>
      <c r="K207" s="5">
        <f>K205-K206</f>
        <v/>
      </c>
      <c r="L207" s="5">
        <f>L205-L206</f>
        <v/>
      </c>
      <c r="M207" s="5">
        <f>M205-M206</f>
        <v/>
      </c>
      <c r="N207" s="5">
        <f>N205-N206</f>
        <v/>
      </c>
      <c r="O207" s="5">
        <f>O205-O206</f>
        <v/>
      </c>
      <c r="P207" s="5">
        <f>P205-P206</f>
        <v/>
      </c>
      <c r="Q207" s="5">
        <f>Q205-Q206</f>
        <v/>
      </c>
      <c r="R207" s="5">
        <f>R205-R206</f>
        <v/>
      </c>
      <c r="S207" s="5">
        <f>S205-S206</f>
        <v/>
      </c>
      <c r="T207" s="5">
        <f>T205-T206</f>
        <v/>
      </c>
      <c r="U207" s="5">
        <f>U205-U206</f>
        <v/>
      </c>
      <c r="V207" s="5">
        <f>V205-V206</f>
        <v/>
      </c>
      <c r="W207" s="5">
        <f>W205-W206</f>
        <v/>
      </c>
      <c r="X207" s="5">
        <f>X205-X206</f>
        <v/>
      </c>
      <c r="Y207" s="5">
        <f>Y205-Y206</f>
        <v/>
      </c>
      <c r="Z207" s="5">
        <f>Z205-Z206</f>
        <v/>
      </c>
      <c r="AA207" s="5">
        <f>AA205-AA206</f>
        <v/>
      </c>
      <c r="AB207" s="5">
        <f>AB205-AB206</f>
        <v/>
      </c>
      <c r="AC207" s="5">
        <f>AC205-AC206</f>
        <v/>
      </c>
      <c r="AD207" s="5">
        <f>AD205-AD206</f>
        <v/>
      </c>
      <c r="AE207" s="5">
        <f>AE205-AE206</f>
        <v/>
      </c>
      <c r="AF207" s="5">
        <f>AF205-AF206</f>
        <v/>
      </c>
      <c r="AG207" s="5">
        <f>AG205-AG206</f>
        <v/>
      </c>
      <c r="AH207" s="5">
        <f>AH205-AH206</f>
        <v/>
      </c>
      <c r="AI207" s="5">
        <f>AI205-AI206</f>
        <v/>
      </c>
      <c r="AJ207" s="5">
        <f>AJ205-AJ206</f>
        <v/>
      </c>
      <c r="AK207" s="5">
        <f>AK205-AK206</f>
        <v/>
      </c>
      <c r="AL207" s="5">
        <f>AL205-AL206</f>
        <v/>
      </c>
      <c r="AM207" s="5">
        <f>AM205-AM206</f>
        <v/>
      </c>
      <c r="AN207" s="5">
        <f>AN205-AN206</f>
        <v/>
      </c>
      <c r="AO207" s="5">
        <f>AO205-AO206</f>
        <v/>
      </c>
      <c r="AP207" s="5">
        <f>AP205-AP206</f>
        <v/>
      </c>
      <c r="AQ207" s="5">
        <f>AQ205-AQ206</f>
        <v/>
      </c>
      <c r="AR207" s="5">
        <f>AR205-AR206</f>
        <v/>
      </c>
      <c r="AS207" s="5">
        <f>AS205-AS206</f>
        <v/>
      </c>
      <c r="AT207" s="5">
        <f>AT205-AT206</f>
        <v/>
      </c>
      <c r="AU207" s="5">
        <f>AU205-AU206</f>
        <v/>
      </c>
      <c r="AV207" s="5">
        <f>AV205-AV206</f>
        <v/>
      </c>
      <c r="AW207" s="5">
        <f>AW205-AW206</f>
        <v/>
      </c>
      <c r="AX207" s="5">
        <f>AX205-AX206</f>
        <v/>
      </c>
      <c r="AY207" s="5">
        <f>AY205-AY206</f>
        <v/>
      </c>
      <c r="AZ207" s="5">
        <f>AZ205-AZ206</f>
        <v/>
      </c>
      <c r="BA207" s="5">
        <f>BA205-BA206</f>
        <v/>
      </c>
      <c r="BB207" s="5">
        <f>BB205-BB206</f>
        <v/>
      </c>
      <c r="BC207" s="5">
        <f>BC205-BC206</f>
        <v/>
      </c>
      <c r="BD207" s="5">
        <f>BD205-BD206</f>
        <v/>
      </c>
      <c r="BE207" s="5">
        <f>BE205-BE206</f>
        <v/>
      </c>
      <c r="BF207" s="5">
        <f>BF205-BF206</f>
        <v/>
      </c>
      <c r="BG207" s="5">
        <f>BG205-BG206</f>
        <v/>
      </c>
      <c r="BH207" s="5">
        <f>BH205-BH206</f>
        <v/>
      </c>
      <c r="BI207" s="5">
        <f>BI205-BI206</f>
        <v/>
      </c>
      <c r="BJ207" s="5">
        <f>BJ205-BJ206</f>
        <v/>
      </c>
      <c r="BK207" s="5">
        <f>BK205-BK206</f>
        <v/>
      </c>
      <c r="BL207" s="5">
        <f>BL205-BL206</f>
        <v/>
      </c>
      <c r="BM207" s="5">
        <f>BM205-BM206</f>
        <v/>
      </c>
      <c r="BN207" s="5">
        <f>BN205-BN206</f>
        <v/>
      </c>
      <c r="BO207" s="5">
        <f>BO205-BO206</f>
        <v/>
      </c>
      <c r="BP207" s="5">
        <f>BP205-BP206</f>
        <v/>
      </c>
      <c r="BQ207" s="5">
        <f>BQ205-BQ206</f>
        <v/>
      </c>
      <c r="BR207" s="5">
        <f>BR205-BR206</f>
        <v/>
      </c>
      <c r="BS207" s="5">
        <f>BS205-BS206</f>
        <v/>
      </c>
      <c r="BT207" s="5">
        <f>BT205-BT206</f>
        <v/>
      </c>
      <c r="BU207" s="5">
        <f>BU205-BU206</f>
        <v/>
      </c>
      <c r="BV207" s="5">
        <f>BV205-BV206</f>
        <v/>
      </c>
    </row>
    <row r="208">
      <c r="A208" t="inlineStr">
        <is>
          <t>paid starts</t>
        </is>
      </c>
      <c r="B208" t="inlineStr">
        <is>
          <t>APAC|NITRO_A</t>
        </is>
      </c>
      <c r="C208" s="5">
        <f>C200+C203</f>
        <v/>
      </c>
      <c r="D208" s="5">
        <f>D200+D203</f>
        <v/>
      </c>
      <c r="E208" s="5">
        <f>E200+E203</f>
        <v/>
      </c>
      <c r="F208" s="5">
        <f>F200+F203</f>
        <v/>
      </c>
      <c r="G208" s="5">
        <f>G200+G203</f>
        <v/>
      </c>
      <c r="H208" s="5">
        <f>H200+H203</f>
        <v/>
      </c>
      <c r="I208" s="5">
        <f>I200+I203</f>
        <v/>
      </c>
      <c r="J208" s="5">
        <f>J200+J203</f>
        <v/>
      </c>
      <c r="K208" s="5">
        <f>K200+K203</f>
        <v/>
      </c>
      <c r="L208" s="5">
        <f>L200+L203</f>
        <v/>
      </c>
      <c r="M208" s="5">
        <f>M200+M203</f>
        <v/>
      </c>
      <c r="N208" s="5">
        <f>N200+N203</f>
        <v/>
      </c>
      <c r="O208" s="5">
        <f>O200+O203</f>
        <v/>
      </c>
      <c r="P208" s="5">
        <f>P200+P203</f>
        <v/>
      </c>
      <c r="Q208" s="5">
        <f>Q200+Q203</f>
        <v/>
      </c>
      <c r="R208" s="5">
        <f>R200+R203</f>
        <v/>
      </c>
      <c r="S208" s="5">
        <f>S200+S203</f>
        <v/>
      </c>
      <c r="T208" s="5">
        <f>T200+T203</f>
        <v/>
      </c>
      <c r="U208" s="5">
        <f>U200+U203</f>
        <v/>
      </c>
      <c r="V208" s="5">
        <f>V200+V203</f>
        <v/>
      </c>
      <c r="W208" s="5">
        <f>W200+W203</f>
        <v/>
      </c>
      <c r="X208" s="5">
        <f>X200+X203</f>
        <v/>
      </c>
      <c r="Y208" s="5">
        <f>Y200+Y203</f>
        <v/>
      </c>
      <c r="Z208" s="5">
        <f>Z200+Z203</f>
        <v/>
      </c>
      <c r="AA208" s="5">
        <f>AA200+AA203</f>
        <v/>
      </c>
      <c r="AB208" s="5">
        <f>AB200+AB203</f>
        <v/>
      </c>
      <c r="AC208" s="5">
        <f>AC200+AC203</f>
        <v/>
      </c>
      <c r="AD208" s="5">
        <f>AD200+AD203</f>
        <v/>
      </c>
      <c r="AE208" s="5">
        <f>AE200+AE203</f>
        <v/>
      </c>
      <c r="AF208" s="5">
        <f>AF200+AF203</f>
        <v/>
      </c>
      <c r="AG208" s="5">
        <f>AG200+AG203</f>
        <v/>
      </c>
      <c r="AH208" s="5">
        <f>AH200+AH203</f>
        <v/>
      </c>
      <c r="AI208" s="5">
        <f>AI200+AI203</f>
        <v/>
      </c>
      <c r="AJ208" s="5">
        <f>AJ200+AJ203</f>
        <v/>
      </c>
      <c r="AK208" s="5">
        <f>AK200+AK203</f>
        <v/>
      </c>
      <c r="AL208" s="5">
        <f>AL200+AL203</f>
        <v/>
      </c>
      <c r="AM208" s="5">
        <f>AM200+AM203</f>
        <v/>
      </c>
      <c r="AN208" s="5">
        <f>AN200+AN203</f>
        <v/>
      </c>
      <c r="AO208" s="5">
        <f>AO200+AO203</f>
        <v/>
      </c>
      <c r="AP208" s="5">
        <f>AP200+AP203</f>
        <v/>
      </c>
      <c r="AQ208" s="5">
        <f>AQ200+AQ203</f>
        <v/>
      </c>
      <c r="AR208" s="5">
        <f>AR200+AR203</f>
        <v/>
      </c>
      <c r="AS208" s="5">
        <f>AS200+AS203</f>
        <v/>
      </c>
      <c r="AT208" s="5">
        <f>AT200+AT203</f>
        <v/>
      </c>
      <c r="AU208" s="5">
        <f>AU200+AU203</f>
        <v/>
      </c>
      <c r="AV208" s="5">
        <f>AV200+AV203</f>
        <v/>
      </c>
      <c r="AW208" s="5">
        <f>AW200+AW203</f>
        <v/>
      </c>
      <c r="AX208" s="5">
        <f>AX200+AX203</f>
        <v/>
      </c>
      <c r="AY208" s="5">
        <f>AY200+AY203</f>
        <v/>
      </c>
      <c r="AZ208" s="5">
        <f>AZ200+AZ203</f>
        <v/>
      </c>
      <c r="BA208" s="5">
        <f>BA200+BA203</f>
        <v/>
      </c>
      <c r="BB208" s="5">
        <f>BB200+BB203</f>
        <v/>
      </c>
      <c r="BC208" s="5">
        <f>BC200+BC203</f>
        <v/>
      </c>
      <c r="BD208" s="5">
        <f>BD200+BD203</f>
        <v/>
      </c>
      <c r="BE208" s="5">
        <f>BE200+BE203</f>
        <v/>
      </c>
      <c r="BF208" s="5">
        <f>BF200+BF203</f>
        <v/>
      </c>
      <c r="BG208" s="5">
        <f>BG200+BG203</f>
        <v/>
      </c>
      <c r="BH208" s="5">
        <f>BH200+BH203</f>
        <v/>
      </c>
      <c r="BI208" s="5">
        <f>BI200+BI203</f>
        <v/>
      </c>
      <c r="BJ208" s="5">
        <f>BJ200+BJ203</f>
        <v/>
      </c>
      <c r="BK208" s="5">
        <f>BK200+BK203</f>
        <v/>
      </c>
      <c r="BL208" s="5">
        <f>BL200+BL203</f>
        <v/>
      </c>
      <c r="BM208" s="5">
        <f>BM200+BM203</f>
        <v/>
      </c>
      <c r="BN208" s="5">
        <f>BN200+BN203</f>
        <v/>
      </c>
      <c r="BO208" s="5">
        <f>BO200+BO203</f>
        <v/>
      </c>
      <c r="BP208" s="5">
        <f>BP200+BP203</f>
        <v/>
      </c>
      <c r="BQ208" s="5">
        <f>BQ200+BQ203</f>
        <v/>
      </c>
      <c r="BR208" s="5">
        <f>BR200+BR203</f>
        <v/>
      </c>
      <c r="BS208" s="5">
        <f>BS200+BS203</f>
        <v/>
      </c>
      <c r="BT208" s="5">
        <f>BT200+BT203</f>
        <v/>
      </c>
      <c r="BU208" s="5">
        <f>BU200+BU203</f>
        <v/>
      </c>
      <c r="BV208" s="5">
        <f>BV200+BV203</f>
        <v/>
      </c>
    </row>
    <row r="209">
      <c r="A209" t="inlineStr">
        <is>
          <t>paid starts @0</t>
        </is>
      </c>
      <c r="B209" t="inlineStr">
        <is>
          <t>APAC|NITRO_A</t>
        </is>
      </c>
      <c r="C209" s="5">
        <f>C208*Eras!C$3</f>
        <v/>
      </c>
      <c r="D209" s="5">
        <f>D208*Eras!D$3</f>
        <v/>
      </c>
      <c r="E209" s="5">
        <f>E208*Eras!E$3</f>
        <v/>
      </c>
      <c r="F209" s="5">
        <f>F208*Eras!F$3</f>
        <v/>
      </c>
      <c r="G209" s="5">
        <f>G208*Eras!G$3</f>
        <v/>
      </c>
      <c r="H209" s="5">
        <f>H208*Eras!H$3</f>
        <v/>
      </c>
      <c r="I209" s="5">
        <f>I208*Eras!I$3</f>
        <v/>
      </c>
      <c r="J209" s="5">
        <f>J208*Eras!J$3</f>
        <v/>
      </c>
      <c r="K209" s="5">
        <f>K208*Eras!K$3</f>
        <v/>
      </c>
      <c r="L209" s="5">
        <f>L208*Eras!L$3</f>
        <v/>
      </c>
      <c r="M209" s="5">
        <f>M208*Eras!M$3</f>
        <v/>
      </c>
      <c r="N209" s="5">
        <f>N208*Eras!N$3</f>
        <v/>
      </c>
      <c r="O209" s="5">
        <f>O208*Eras!O$3</f>
        <v/>
      </c>
      <c r="P209" s="5">
        <f>P208*Eras!P$3</f>
        <v/>
      </c>
      <c r="Q209" s="5">
        <f>Q208*Eras!Q$3</f>
        <v/>
      </c>
      <c r="R209" s="5">
        <f>R208*Eras!R$3</f>
        <v/>
      </c>
      <c r="S209" s="5">
        <f>S208*Eras!S$3</f>
        <v/>
      </c>
      <c r="T209" s="5">
        <f>T208*Eras!T$3</f>
        <v/>
      </c>
      <c r="U209" s="5">
        <f>U208*Eras!U$3</f>
        <v/>
      </c>
      <c r="V209" s="5">
        <f>V208*Eras!V$3</f>
        <v/>
      </c>
      <c r="W209" s="5">
        <f>W208*Eras!W$3</f>
        <v/>
      </c>
      <c r="X209" s="5">
        <f>X208*Eras!X$3</f>
        <v/>
      </c>
      <c r="Y209" s="5">
        <f>Y208*Eras!Y$3</f>
        <v/>
      </c>
      <c r="Z209" s="5">
        <f>Z208*Eras!Z$3</f>
        <v/>
      </c>
      <c r="AA209" s="5">
        <f>AA208*Eras!AA$3</f>
        <v/>
      </c>
      <c r="AB209" s="5">
        <f>AB208*Eras!AB$3</f>
        <v/>
      </c>
      <c r="AC209" s="5">
        <f>AC208*Eras!AC$3</f>
        <v/>
      </c>
      <c r="AD209" s="5">
        <f>AD208*Eras!AD$3</f>
        <v/>
      </c>
      <c r="AE209" s="5">
        <f>AE208*Eras!AE$3</f>
        <v/>
      </c>
      <c r="AF209" s="5">
        <f>AF208*Eras!AF$3</f>
        <v/>
      </c>
      <c r="AG209" s="5">
        <f>AG208*Eras!AG$3</f>
        <v/>
      </c>
      <c r="AH209" s="5">
        <f>AH208*Eras!AH$3</f>
        <v/>
      </c>
      <c r="AI209" s="5">
        <f>AI208*Eras!AI$3</f>
        <v/>
      </c>
      <c r="AJ209" s="5">
        <f>AJ208*Eras!AJ$3</f>
        <v/>
      </c>
      <c r="AK209" s="5">
        <f>AK208*Eras!AK$3</f>
        <v/>
      </c>
      <c r="AL209" s="5">
        <f>AL208*Eras!AL$3</f>
        <v/>
      </c>
      <c r="AM209" s="5">
        <f>AM208*Eras!AM$3</f>
        <v/>
      </c>
      <c r="AN209" s="5">
        <f>AN208*Eras!AN$3</f>
        <v/>
      </c>
      <c r="AO209" s="5">
        <f>AO208*Eras!AO$3</f>
        <v/>
      </c>
      <c r="AP209" s="5">
        <f>AP208*Eras!AP$3</f>
        <v/>
      </c>
      <c r="AQ209" s="5">
        <f>AQ208*Eras!AQ$3</f>
        <v/>
      </c>
      <c r="AR209" s="5">
        <f>AR208*Eras!AR$3</f>
        <v/>
      </c>
      <c r="AS209" s="5">
        <f>AS208*Eras!AS$3</f>
        <v/>
      </c>
      <c r="AT209" s="5">
        <f>AT208*Eras!AT$3</f>
        <v/>
      </c>
      <c r="AU209" s="5">
        <f>AU208*Eras!AU$3</f>
        <v/>
      </c>
      <c r="AV209" s="5">
        <f>AV208*Eras!AV$3</f>
        <v/>
      </c>
      <c r="AW209" s="5">
        <f>AW208*Eras!AW$3</f>
        <v/>
      </c>
      <c r="AX209" s="5">
        <f>AX208*Eras!AX$3</f>
        <v/>
      </c>
      <c r="AY209" s="5">
        <f>AY208*Eras!AY$3</f>
        <v/>
      </c>
      <c r="AZ209" s="5">
        <f>AZ208*Eras!AZ$3</f>
        <v/>
      </c>
      <c r="BA209" s="5">
        <f>BA208*Eras!BA$3</f>
        <v/>
      </c>
      <c r="BB209" s="5">
        <f>BB208*Eras!BB$3</f>
        <v/>
      </c>
      <c r="BC209" s="5">
        <f>BC208*Eras!BC$3</f>
        <v/>
      </c>
      <c r="BD209" s="5">
        <f>BD208*Eras!BD$3</f>
        <v/>
      </c>
      <c r="BE209" s="5">
        <f>BE208*Eras!BE$3</f>
        <v/>
      </c>
      <c r="BF209" s="5">
        <f>BF208*Eras!BF$3</f>
        <v/>
      </c>
      <c r="BG209" s="5">
        <f>BG208*Eras!BG$3</f>
        <v/>
      </c>
      <c r="BH209" s="5">
        <f>BH208*Eras!BH$3</f>
        <v/>
      </c>
      <c r="BI209" s="5">
        <f>BI208*Eras!BI$3</f>
        <v/>
      </c>
      <c r="BJ209" s="5">
        <f>BJ208*Eras!BJ$3</f>
        <v/>
      </c>
      <c r="BK209" s="5">
        <f>BK208*Eras!BK$3</f>
        <v/>
      </c>
      <c r="BL209" s="5">
        <f>BL208*Eras!BL$3</f>
        <v/>
      </c>
      <c r="BM209" s="5">
        <f>BM208*Eras!BM$3</f>
        <v/>
      </c>
      <c r="BN209" s="5">
        <f>BN208*Eras!BN$3</f>
        <v/>
      </c>
      <c r="BO209" s="5">
        <f>BO208*Eras!BO$3</f>
        <v/>
      </c>
      <c r="BP209" s="5">
        <f>BP208*Eras!BP$3</f>
        <v/>
      </c>
      <c r="BQ209" s="5">
        <f>BQ208*Eras!BQ$3</f>
        <v/>
      </c>
      <c r="BR209" s="5">
        <f>BR208*Eras!BR$3</f>
        <v/>
      </c>
      <c r="BS209" s="5">
        <f>BS208*Eras!BS$3</f>
        <v/>
      </c>
      <c r="BT209" s="5">
        <f>BT208*Eras!BT$3</f>
        <v/>
      </c>
      <c r="BU209" s="5">
        <f>BU208*Eras!BU$3</f>
        <v/>
      </c>
      <c r="BV209" s="5">
        <f>BV208*Eras!BV$3</f>
        <v/>
      </c>
    </row>
    <row r="210">
      <c r="A210" t="inlineStr">
        <is>
          <t>paid starts @1</t>
        </is>
      </c>
      <c r="B210" t="inlineStr">
        <is>
          <t>APAC|NITRO_A</t>
        </is>
      </c>
      <c r="C210" s="5">
        <f>C208*Eras!C$4</f>
        <v/>
      </c>
      <c r="D210" s="5">
        <f>D208*Eras!D$4</f>
        <v/>
      </c>
      <c r="E210" s="5">
        <f>E208*Eras!E$4</f>
        <v/>
      </c>
      <c r="F210" s="5">
        <f>F208*Eras!F$4</f>
        <v/>
      </c>
      <c r="G210" s="5">
        <f>G208*Eras!G$4</f>
        <v/>
      </c>
      <c r="H210" s="5">
        <f>H208*Eras!H$4</f>
        <v/>
      </c>
      <c r="I210" s="5">
        <f>I208*Eras!I$4</f>
        <v/>
      </c>
      <c r="J210" s="5">
        <f>J208*Eras!J$4</f>
        <v/>
      </c>
      <c r="K210" s="5">
        <f>K208*Eras!K$4</f>
        <v/>
      </c>
      <c r="L210" s="5">
        <f>L208*Eras!L$4</f>
        <v/>
      </c>
      <c r="M210" s="5">
        <f>M208*Eras!M$4</f>
        <v/>
      </c>
      <c r="N210" s="5">
        <f>N208*Eras!N$4</f>
        <v/>
      </c>
      <c r="O210" s="5">
        <f>O208*Eras!O$4</f>
        <v/>
      </c>
      <c r="P210" s="5">
        <f>P208*Eras!P$4</f>
        <v/>
      </c>
      <c r="Q210" s="5">
        <f>Q208*Eras!Q$4</f>
        <v/>
      </c>
      <c r="R210" s="5">
        <f>R208*Eras!R$4</f>
        <v/>
      </c>
      <c r="S210" s="5">
        <f>S208*Eras!S$4</f>
        <v/>
      </c>
      <c r="T210" s="5">
        <f>T208*Eras!T$4</f>
        <v/>
      </c>
      <c r="U210" s="5">
        <f>U208*Eras!U$4</f>
        <v/>
      </c>
      <c r="V210" s="5">
        <f>V208*Eras!V$4</f>
        <v/>
      </c>
      <c r="W210" s="5">
        <f>W208*Eras!W$4</f>
        <v/>
      </c>
      <c r="X210" s="5">
        <f>X208*Eras!X$4</f>
        <v/>
      </c>
      <c r="Y210" s="5">
        <f>Y208*Eras!Y$4</f>
        <v/>
      </c>
      <c r="Z210" s="5">
        <f>Z208*Eras!Z$4</f>
        <v/>
      </c>
      <c r="AA210" s="5">
        <f>AA208*Eras!AA$4</f>
        <v/>
      </c>
      <c r="AB210" s="5">
        <f>AB208*Eras!AB$4</f>
        <v/>
      </c>
      <c r="AC210" s="5">
        <f>AC208*Eras!AC$4</f>
        <v/>
      </c>
      <c r="AD210" s="5">
        <f>AD208*Eras!AD$4</f>
        <v/>
      </c>
      <c r="AE210" s="5">
        <f>AE208*Eras!AE$4</f>
        <v/>
      </c>
      <c r="AF210" s="5">
        <f>AF208*Eras!AF$4</f>
        <v/>
      </c>
      <c r="AG210" s="5">
        <f>AG208*Eras!AG$4</f>
        <v/>
      </c>
      <c r="AH210" s="5">
        <f>AH208*Eras!AH$4</f>
        <v/>
      </c>
      <c r="AI210" s="5">
        <f>AI208*Eras!AI$4</f>
        <v/>
      </c>
      <c r="AJ210" s="5">
        <f>AJ208*Eras!AJ$4</f>
        <v/>
      </c>
      <c r="AK210" s="5">
        <f>AK208*Eras!AK$4</f>
        <v/>
      </c>
      <c r="AL210" s="5">
        <f>AL208*Eras!AL$4</f>
        <v/>
      </c>
      <c r="AM210" s="5">
        <f>AM208*Eras!AM$4</f>
        <v/>
      </c>
      <c r="AN210" s="5">
        <f>AN208*Eras!AN$4</f>
        <v/>
      </c>
      <c r="AO210" s="5">
        <f>AO208*Eras!AO$4</f>
        <v/>
      </c>
      <c r="AP210" s="5">
        <f>AP208*Eras!AP$4</f>
        <v/>
      </c>
      <c r="AQ210" s="5">
        <f>AQ208*Eras!AQ$4</f>
        <v/>
      </c>
      <c r="AR210" s="5">
        <f>AR208*Eras!AR$4</f>
        <v/>
      </c>
      <c r="AS210" s="5">
        <f>AS208*Eras!AS$4</f>
        <v/>
      </c>
      <c r="AT210" s="5">
        <f>AT208*Eras!AT$4</f>
        <v/>
      </c>
      <c r="AU210" s="5">
        <f>AU208*Eras!AU$4</f>
        <v/>
      </c>
      <c r="AV210" s="5">
        <f>AV208*Eras!AV$4</f>
        <v/>
      </c>
      <c r="AW210" s="5">
        <f>AW208*Eras!AW$4</f>
        <v/>
      </c>
      <c r="AX210" s="5">
        <f>AX208*Eras!AX$4</f>
        <v/>
      </c>
      <c r="AY210" s="5">
        <f>AY208*Eras!AY$4</f>
        <v/>
      </c>
      <c r="AZ210" s="5">
        <f>AZ208*Eras!AZ$4</f>
        <v/>
      </c>
      <c r="BA210" s="5">
        <f>BA208*Eras!BA$4</f>
        <v/>
      </c>
      <c r="BB210" s="5">
        <f>BB208*Eras!BB$4</f>
        <v/>
      </c>
      <c r="BC210" s="5">
        <f>BC208*Eras!BC$4</f>
        <v/>
      </c>
      <c r="BD210" s="5">
        <f>BD208*Eras!BD$4</f>
        <v/>
      </c>
      <c r="BE210" s="5">
        <f>BE208*Eras!BE$4</f>
        <v/>
      </c>
      <c r="BF210" s="5">
        <f>BF208*Eras!BF$4</f>
        <v/>
      </c>
      <c r="BG210" s="5">
        <f>BG208*Eras!BG$4</f>
        <v/>
      </c>
      <c r="BH210" s="5">
        <f>BH208*Eras!BH$4</f>
        <v/>
      </c>
      <c r="BI210" s="5">
        <f>BI208*Eras!BI$4</f>
        <v/>
      </c>
      <c r="BJ210" s="5">
        <f>BJ208*Eras!BJ$4</f>
        <v/>
      </c>
      <c r="BK210" s="5">
        <f>BK208*Eras!BK$4</f>
        <v/>
      </c>
      <c r="BL210" s="5">
        <f>BL208*Eras!BL$4</f>
        <v/>
      </c>
      <c r="BM210" s="5">
        <f>BM208*Eras!BM$4</f>
        <v/>
      </c>
      <c r="BN210" s="5">
        <f>BN208*Eras!BN$4</f>
        <v/>
      </c>
      <c r="BO210" s="5">
        <f>BO208*Eras!BO$4</f>
        <v/>
      </c>
      <c r="BP210" s="5">
        <f>BP208*Eras!BP$4</f>
        <v/>
      </c>
      <c r="BQ210" s="5">
        <f>BQ208*Eras!BQ$4</f>
        <v/>
      </c>
      <c r="BR210" s="5">
        <f>BR208*Eras!BR$4</f>
        <v/>
      </c>
      <c r="BS210" s="5">
        <f>BS208*Eras!BS$4</f>
        <v/>
      </c>
      <c r="BT210" s="5">
        <f>BT208*Eras!BT$4</f>
        <v/>
      </c>
      <c r="BU210" s="5">
        <f>BU208*Eras!BU$4</f>
        <v/>
      </c>
      <c r="BV210" s="5">
        <f>BV208*Eras!BV$4</f>
        <v/>
      </c>
    </row>
    <row r="211">
      <c r="A211" t="inlineStr">
        <is>
          <t>paid starts @2</t>
        </is>
      </c>
      <c r="B211" t="inlineStr">
        <is>
          <t>APAC|NITRO_A</t>
        </is>
      </c>
      <c r="C211" s="5">
        <f>C208*Eras!C$5</f>
        <v/>
      </c>
      <c r="D211" s="5">
        <f>D208*Eras!D$5</f>
        <v/>
      </c>
      <c r="E211" s="5">
        <f>E208*Eras!E$5</f>
        <v/>
      </c>
      <c r="F211" s="5">
        <f>F208*Eras!F$5</f>
        <v/>
      </c>
      <c r="G211" s="5">
        <f>G208*Eras!G$5</f>
        <v/>
      </c>
      <c r="H211" s="5">
        <f>H208*Eras!H$5</f>
        <v/>
      </c>
      <c r="I211" s="5">
        <f>I208*Eras!I$5</f>
        <v/>
      </c>
      <c r="J211" s="5">
        <f>J208*Eras!J$5</f>
        <v/>
      </c>
      <c r="K211" s="5">
        <f>K208*Eras!K$5</f>
        <v/>
      </c>
      <c r="L211" s="5">
        <f>L208*Eras!L$5</f>
        <v/>
      </c>
      <c r="M211" s="5">
        <f>M208*Eras!M$5</f>
        <v/>
      </c>
      <c r="N211" s="5">
        <f>N208*Eras!N$5</f>
        <v/>
      </c>
      <c r="O211" s="5">
        <f>O208*Eras!O$5</f>
        <v/>
      </c>
      <c r="P211" s="5">
        <f>P208*Eras!P$5</f>
        <v/>
      </c>
      <c r="Q211" s="5">
        <f>Q208*Eras!Q$5</f>
        <v/>
      </c>
      <c r="R211" s="5">
        <f>R208*Eras!R$5</f>
        <v/>
      </c>
      <c r="S211" s="5">
        <f>S208*Eras!S$5</f>
        <v/>
      </c>
      <c r="T211" s="5">
        <f>T208*Eras!T$5</f>
        <v/>
      </c>
      <c r="U211" s="5">
        <f>U208*Eras!U$5</f>
        <v/>
      </c>
      <c r="V211" s="5">
        <f>V208*Eras!V$5</f>
        <v/>
      </c>
      <c r="W211" s="5">
        <f>W208*Eras!W$5</f>
        <v/>
      </c>
      <c r="X211" s="5">
        <f>X208*Eras!X$5</f>
        <v/>
      </c>
      <c r="Y211" s="5">
        <f>Y208*Eras!Y$5</f>
        <v/>
      </c>
      <c r="Z211" s="5">
        <f>Z208*Eras!Z$5</f>
        <v/>
      </c>
      <c r="AA211" s="5">
        <f>AA208*Eras!AA$5</f>
        <v/>
      </c>
      <c r="AB211" s="5">
        <f>AB208*Eras!AB$5</f>
        <v/>
      </c>
      <c r="AC211" s="5">
        <f>AC208*Eras!AC$5</f>
        <v/>
      </c>
      <c r="AD211" s="5">
        <f>AD208*Eras!AD$5</f>
        <v/>
      </c>
      <c r="AE211" s="5">
        <f>AE208*Eras!AE$5</f>
        <v/>
      </c>
      <c r="AF211" s="5">
        <f>AF208*Eras!AF$5</f>
        <v/>
      </c>
      <c r="AG211" s="5">
        <f>AG208*Eras!AG$5</f>
        <v/>
      </c>
      <c r="AH211" s="5">
        <f>AH208*Eras!AH$5</f>
        <v/>
      </c>
      <c r="AI211" s="5">
        <f>AI208*Eras!AI$5</f>
        <v/>
      </c>
      <c r="AJ211" s="5">
        <f>AJ208*Eras!AJ$5</f>
        <v/>
      </c>
      <c r="AK211" s="5">
        <f>AK208*Eras!AK$5</f>
        <v/>
      </c>
      <c r="AL211" s="5">
        <f>AL208*Eras!AL$5</f>
        <v/>
      </c>
      <c r="AM211" s="5">
        <f>AM208*Eras!AM$5</f>
        <v/>
      </c>
      <c r="AN211" s="5">
        <f>AN208*Eras!AN$5</f>
        <v/>
      </c>
      <c r="AO211" s="5">
        <f>AO208*Eras!AO$5</f>
        <v/>
      </c>
      <c r="AP211" s="5">
        <f>AP208*Eras!AP$5</f>
        <v/>
      </c>
      <c r="AQ211" s="5">
        <f>AQ208*Eras!AQ$5</f>
        <v/>
      </c>
      <c r="AR211" s="5">
        <f>AR208*Eras!AR$5</f>
        <v/>
      </c>
      <c r="AS211" s="5">
        <f>AS208*Eras!AS$5</f>
        <v/>
      </c>
      <c r="AT211" s="5">
        <f>AT208*Eras!AT$5</f>
        <v/>
      </c>
      <c r="AU211" s="5">
        <f>AU208*Eras!AU$5</f>
        <v/>
      </c>
      <c r="AV211" s="5">
        <f>AV208*Eras!AV$5</f>
        <v/>
      </c>
      <c r="AW211" s="5">
        <f>AW208*Eras!AW$5</f>
        <v/>
      </c>
      <c r="AX211" s="5">
        <f>AX208*Eras!AX$5</f>
        <v/>
      </c>
      <c r="AY211" s="5">
        <f>AY208*Eras!AY$5</f>
        <v/>
      </c>
      <c r="AZ211" s="5">
        <f>AZ208*Eras!AZ$5</f>
        <v/>
      </c>
      <c r="BA211" s="5">
        <f>BA208*Eras!BA$5</f>
        <v/>
      </c>
      <c r="BB211" s="5">
        <f>BB208*Eras!BB$5</f>
        <v/>
      </c>
      <c r="BC211" s="5">
        <f>BC208*Eras!BC$5</f>
        <v/>
      </c>
      <c r="BD211" s="5">
        <f>BD208*Eras!BD$5</f>
        <v/>
      </c>
      <c r="BE211" s="5">
        <f>BE208*Eras!BE$5</f>
        <v/>
      </c>
      <c r="BF211" s="5">
        <f>BF208*Eras!BF$5</f>
        <v/>
      </c>
      <c r="BG211" s="5">
        <f>BG208*Eras!BG$5</f>
        <v/>
      </c>
      <c r="BH211" s="5">
        <f>BH208*Eras!BH$5</f>
        <v/>
      </c>
      <c r="BI211" s="5">
        <f>BI208*Eras!BI$5</f>
        <v/>
      </c>
      <c r="BJ211" s="5">
        <f>BJ208*Eras!BJ$5</f>
        <v/>
      </c>
      <c r="BK211" s="5">
        <f>BK208*Eras!BK$5</f>
        <v/>
      </c>
      <c r="BL211" s="5">
        <f>BL208*Eras!BL$5</f>
        <v/>
      </c>
      <c r="BM211" s="5">
        <f>BM208*Eras!BM$5</f>
        <v/>
      </c>
      <c r="BN211" s="5">
        <f>BN208*Eras!BN$5</f>
        <v/>
      </c>
      <c r="BO211" s="5">
        <f>BO208*Eras!BO$5</f>
        <v/>
      </c>
      <c r="BP211" s="5">
        <f>BP208*Eras!BP$5</f>
        <v/>
      </c>
      <c r="BQ211" s="5">
        <f>BQ208*Eras!BQ$5</f>
        <v/>
      </c>
      <c r="BR211" s="5">
        <f>BR208*Eras!BR$5</f>
        <v/>
      </c>
      <c r="BS211" s="5">
        <f>BS208*Eras!BS$5</f>
        <v/>
      </c>
      <c r="BT211" s="5">
        <f>BT208*Eras!BT$5</f>
        <v/>
      </c>
      <c r="BU211" s="5">
        <f>BU208*Eras!BU$5</f>
        <v/>
      </c>
      <c r="BV211" s="5">
        <f>BV208*Eras!BV$5</f>
        <v/>
      </c>
    </row>
    <row r="213">
      <c r="A213" t="inlineStr">
        <is>
          <t>gross adds</t>
        </is>
      </c>
      <c r="B213" t="inlineStr">
        <is>
          <t>APAC|BASIC_M</t>
        </is>
      </c>
      <c r="C213" s="5">
        <f>MAU!C7*Params!$B$60*Eras!C$7*Params!$B$130*Params!$B$94</f>
        <v/>
      </c>
      <c r="D213" s="5">
        <f>MAU!D7*Params!$B$60*Eras!D$7*Params!$B$130*Params!$B$94</f>
        <v/>
      </c>
      <c r="E213" s="5">
        <f>MAU!E7*Params!$B$60*Eras!E$7*Params!$B$130*Params!$B$94</f>
        <v/>
      </c>
      <c r="F213" s="5">
        <f>MAU!F7*Params!$B$60*Eras!F$7*Params!$B$130*Params!$B$94</f>
        <v/>
      </c>
      <c r="G213" s="5">
        <f>MAU!G7*Params!$B$60*Eras!G$7*Params!$B$130*Params!$B$94</f>
        <v/>
      </c>
      <c r="H213" s="5">
        <f>MAU!H7*Params!$B$60*Eras!H$7*Params!$B$130*Params!$B$94</f>
        <v/>
      </c>
      <c r="I213" s="5">
        <f>MAU!I7*Params!$B$60*Eras!I$7*Params!$B$130*Params!$B$94</f>
        <v/>
      </c>
      <c r="J213" s="5">
        <f>MAU!J7*Params!$B$60*Eras!J$7*Params!$B$130*Params!$B$94</f>
        <v/>
      </c>
      <c r="K213" s="5">
        <f>MAU!K7*Params!$B$60*Eras!K$7*Params!$B$130*Params!$B$94</f>
        <v/>
      </c>
      <c r="L213" s="5">
        <f>MAU!L7*Params!$B$60*Eras!L$7*Params!$B$130*Params!$B$94</f>
        <v/>
      </c>
      <c r="M213" s="5">
        <f>MAU!M7*Params!$B$60*Eras!M$7*Params!$B$130*Params!$B$94</f>
        <v/>
      </c>
      <c r="N213" s="5">
        <f>MAU!N7*Params!$B$60*Eras!N$7*Params!$B$130*Params!$B$94</f>
        <v/>
      </c>
      <c r="O213" s="5">
        <f>MAU!O7*Params!$B$60*Eras!O$7*Params!$B$130*Params!$B$94</f>
        <v/>
      </c>
      <c r="P213" s="5">
        <f>MAU!P7*Params!$B$60*Eras!P$7*Params!$B$130*Params!$B$94</f>
        <v/>
      </c>
      <c r="Q213" s="5">
        <f>MAU!Q7*Params!$B$60*Eras!Q$7*Params!$B$130*Params!$B$94</f>
        <v/>
      </c>
      <c r="R213" s="5">
        <f>MAU!R7*Params!$B$60*Eras!R$7*Params!$B$130*Params!$B$94</f>
        <v/>
      </c>
      <c r="S213" s="5">
        <f>MAU!S7*Params!$B$60*Eras!S$7*Params!$B$130*Params!$B$94</f>
        <v/>
      </c>
      <c r="T213" s="5">
        <f>MAU!T7*Params!$B$60*Eras!T$7*Params!$B$130*Params!$B$94</f>
        <v/>
      </c>
      <c r="U213" s="5">
        <f>MAU!U7*Params!$B$60*Eras!U$7*Params!$B$130*Params!$B$94</f>
        <v/>
      </c>
      <c r="V213" s="5">
        <f>MAU!V7*Params!$B$60*Eras!V$7*Params!$B$130*Params!$B$94</f>
        <v/>
      </c>
      <c r="W213" s="5">
        <f>MAU!W7*Params!$B$60*Eras!W$7*Params!$B$130*Params!$B$94</f>
        <v/>
      </c>
      <c r="X213" s="5">
        <f>MAU!X7*Params!$B$60*Eras!X$7*Params!$B$130*Params!$B$94</f>
        <v/>
      </c>
      <c r="Y213" s="5">
        <f>MAU!Y7*Params!$B$60*Eras!Y$7*Params!$B$130*Params!$B$94</f>
        <v/>
      </c>
      <c r="Z213" s="5">
        <f>MAU!Z7*Params!$B$60*Eras!Z$7*Params!$B$130*Params!$B$94</f>
        <v/>
      </c>
      <c r="AA213" s="5">
        <f>MAU!AA7*Params!$B$60*Eras!AA$7*Params!$B$130*Params!$B$94</f>
        <v/>
      </c>
      <c r="AB213" s="5">
        <f>MAU!AB7*Params!$B$60*Eras!AB$7*Params!$B$130*Params!$B$94</f>
        <v/>
      </c>
      <c r="AC213" s="5">
        <f>MAU!AC7*Params!$B$60*Eras!AC$7*Params!$B$130*Params!$B$94</f>
        <v/>
      </c>
      <c r="AD213" s="5">
        <f>MAU!AD7*Params!$B$60*Eras!AD$7*Params!$B$130*Params!$B$94</f>
        <v/>
      </c>
      <c r="AE213" s="5">
        <f>MAU!AE7*Params!$B$60*Eras!AE$7*Params!$B$130*Params!$B$94</f>
        <v/>
      </c>
      <c r="AF213" s="5">
        <f>MAU!AF7*Params!$B$60*Eras!AF$7*Params!$B$130*Params!$B$94</f>
        <v/>
      </c>
      <c r="AG213" s="5">
        <f>MAU!AG7*Params!$B$60*Eras!AG$7*Params!$B$130*Params!$B$94</f>
        <v/>
      </c>
      <c r="AH213" s="5">
        <f>MAU!AH7*Params!$B$60*Eras!AH$7*Params!$B$130*Params!$B$94</f>
        <v/>
      </c>
      <c r="AI213" s="5">
        <f>MAU!AI7*Params!$B$60*Eras!AI$7*Params!$B$130*Params!$B$94</f>
        <v/>
      </c>
      <c r="AJ213" s="5">
        <f>MAU!AJ7*Params!$B$60*Eras!AJ$7*Params!$B$130*Params!$B$94</f>
        <v/>
      </c>
      <c r="AK213" s="5">
        <f>MAU!AK7*Params!$B$60*Eras!AK$7*Params!$B$130*Params!$B$94</f>
        <v/>
      </c>
      <c r="AL213" s="5">
        <f>MAU!AL7*Params!$B$60*Eras!AL$7*Params!$B$130*Params!$B$94</f>
        <v/>
      </c>
      <c r="AM213" s="5">
        <f>MAU!AM7*Params!$B$60*Eras!AM$7*Params!$B$130*Params!$B$94</f>
        <v/>
      </c>
      <c r="AN213" s="5">
        <f>MAU!AN7*Params!$B$60*Eras!AN$7*Params!$B$130*Params!$B$94</f>
        <v/>
      </c>
      <c r="AO213" s="5">
        <f>MAU!AO7*Params!$B$60*Eras!AO$7*Params!$B$130*Params!$B$94</f>
        <v/>
      </c>
      <c r="AP213" s="5">
        <f>MAU!AP7*Params!$B$60*Eras!AP$7*Params!$B$130*Params!$B$94</f>
        <v/>
      </c>
      <c r="AQ213" s="5">
        <f>MAU!AQ7*Params!$B$60*Eras!AQ$7*Params!$B$130*Params!$B$94</f>
        <v/>
      </c>
      <c r="AR213" s="5">
        <f>MAU!AR7*Params!$B$60*Eras!AR$7*Params!$B$130*Params!$B$94</f>
        <v/>
      </c>
      <c r="AS213" s="5">
        <f>MAU!AS7*Params!$B$60*Eras!AS$7*Params!$B$130*Params!$B$94</f>
        <v/>
      </c>
      <c r="AT213" s="5">
        <f>MAU!AT7*Params!$B$60*Eras!AT$7*Params!$B$130*Params!$B$94</f>
        <v/>
      </c>
      <c r="AU213" s="5">
        <f>MAU!AU7*Params!$B$60*Eras!AU$7*Params!$B$130*Params!$B$94</f>
        <v/>
      </c>
      <c r="AV213" s="5">
        <f>MAU!AV7*Params!$B$60*Eras!AV$7*Params!$B$130*Params!$B$94</f>
        <v/>
      </c>
      <c r="AW213" s="5">
        <f>MAU!AW7*Params!$B$60*Eras!AW$7*Params!$B$130*Params!$B$94</f>
        <v/>
      </c>
      <c r="AX213" s="5">
        <f>MAU!AX7*Params!$B$60*Eras!AX$7*Params!$B$130*Params!$B$94</f>
        <v/>
      </c>
      <c r="AY213" s="5">
        <f>MAU!AY7*Params!$B$60*Eras!AY$7*Params!$B$130*Params!$B$94</f>
        <v/>
      </c>
      <c r="AZ213" s="5">
        <f>MAU!AZ7*Params!$B$60*Eras!AZ$7*Params!$B$130*Params!$B$94</f>
        <v/>
      </c>
      <c r="BA213" s="5">
        <f>MAU!BA7*Params!$B$60*Eras!BA$7*Params!$B$130*Params!$B$94</f>
        <v/>
      </c>
      <c r="BB213" s="5">
        <f>MAU!BB7*Params!$B$60*Eras!BB$7*Params!$B$130*Params!$B$94</f>
        <v/>
      </c>
      <c r="BC213" s="5">
        <f>MAU!BC7*Params!$B$60*Eras!BC$7*Params!$B$130*Params!$B$94</f>
        <v/>
      </c>
      <c r="BD213" s="5">
        <f>MAU!BD7*Params!$B$60*Eras!BD$7*Params!$B$130*Params!$B$94</f>
        <v/>
      </c>
      <c r="BE213" s="5">
        <f>MAU!BE7*Params!$B$60*Eras!BE$7*Params!$B$130*Params!$B$94</f>
        <v/>
      </c>
      <c r="BF213" s="5">
        <f>MAU!BF7*Params!$B$60*Eras!BF$7*Params!$B$130*Params!$B$94</f>
        <v/>
      </c>
      <c r="BG213" s="5">
        <f>MAU!BG7*Params!$B$60*Eras!BG$7*Params!$B$130*Params!$B$94</f>
        <v/>
      </c>
      <c r="BH213" s="5">
        <f>MAU!BH7*Params!$B$60*Eras!BH$7*Params!$B$130*Params!$B$94</f>
        <v/>
      </c>
      <c r="BI213" s="5">
        <f>MAU!BI7*Params!$B$60*Eras!BI$7*Params!$B$130*Params!$B$94</f>
        <v/>
      </c>
      <c r="BJ213" s="5">
        <f>MAU!BJ7*Params!$B$60*Eras!BJ$7*Params!$B$130*Params!$B$94</f>
        <v/>
      </c>
      <c r="BK213" s="5">
        <f>MAU!BK7*Params!$B$60*Eras!BK$7*Params!$B$130*Params!$B$94</f>
        <v/>
      </c>
      <c r="BL213" s="5">
        <f>MAU!BL7*Params!$B$60*Eras!BL$7*Params!$B$130*Params!$B$94</f>
        <v/>
      </c>
      <c r="BM213" s="5">
        <f>MAU!BM7*Params!$B$60*Eras!BM$7*Params!$B$130*Params!$B$94</f>
        <v/>
      </c>
      <c r="BN213" s="5">
        <f>MAU!BN7*Params!$B$60*Eras!BN$7*Params!$B$130*Params!$B$94</f>
        <v/>
      </c>
      <c r="BO213" s="5">
        <f>MAU!BO7*Params!$B$60*Eras!BO$7*Params!$B$130*Params!$B$94</f>
        <v/>
      </c>
      <c r="BP213" s="5">
        <f>MAU!BP7*Params!$B$60*Eras!BP$7*Params!$B$130*Params!$B$94</f>
        <v/>
      </c>
      <c r="BQ213" s="5">
        <f>MAU!BQ7*Params!$B$60*Eras!BQ$7*Params!$B$130*Params!$B$94</f>
        <v/>
      </c>
      <c r="BR213" s="5">
        <f>MAU!BR7*Params!$B$60*Eras!BR$7*Params!$B$130*Params!$B$94</f>
        <v/>
      </c>
      <c r="BS213" s="5">
        <f>MAU!BS7*Params!$B$60*Eras!BS$7*Params!$B$130*Params!$B$94</f>
        <v/>
      </c>
      <c r="BT213" s="5">
        <f>MAU!BT7*Params!$B$60*Eras!BT$7*Params!$B$130*Params!$B$94</f>
        <v/>
      </c>
      <c r="BU213" s="5">
        <f>MAU!BU7*Params!$B$60*Eras!BU$7*Params!$B$130*Params!$B$94</f>
        <v/>
      </c>
      <c r="BV213" s="5">
        <f>MAU!BV7*Params!$B$60*Eras!BV$7*Params!$B$130*Params!$B$94</f>
        <v/>
      </c>
    </row>
    <row r="214">
      <c r="A214" t="inlineStr">
        <is>
          <t>trial starts</t>
        </is>
      </c>
      <c r="B214" t="inlineStr">
        <is>
          <t>APAC|BASIC_M</t>
        </is>
      </c>
      <c r="C214" s="5">
        <f>C213*Eras!C$8</f>
        <v/>
      </c>
      <c r="D214" s="5">
        <f>D213*Eras!D$8</f>
        <v/>
      </c>
      <c r="E214" s="5">
        <f>E213*Eras!E$8</f>
        <v/>
      </c>
      <c r="F214" s="5">
        <f>F213*Eras!F$8</f>
        <v/>
      </c>
      <c r="G214" s="5">
        <f>G213*Eras!G$8</f>
        <v/>
      </c>
      <c r="H214" s="5">
        <f>H213*Eras!H$8</f>
        <v/>
      </c>
      <c r="I214" s="5">
        <f>I213*Eras!I$8</f>
        <v/>
      </c>
      <c r="J214" s="5">
        <f>J213*Eras!J$8</f>
        <v/>
      </c>
      <c r="K214" s="5">
        <f>K213*Eras!K$8</f>
        <v/>
      </c>
      <c r="L214" s="5">
        <f>L213*Eras!L$8</f>
        <v/>
      </c>
      <c r="M214" s="5">
        <f>M213*Eras!M$8</f>
        <v/>
      </c>
      <c r="N214" s="5">
        <f>N213*Eras!N$8</f>
        <v/>
      </c>
      <c r="O214" s="5">
        <f>O213*Eras!O$8</f>
        <v/>
      </c>
      <c r="P214" s="5">
        <f>P213*Eras!P$8</f>
        <v/>
      </c>
      <c r="Q214" s="5">
        <f>Q213*Eras!Q$8</f>
        <v/>
      </c>
      <c r="R214" s="5">
        <f>R213*Eras!R$8</f>
        <v/>
      </c>
      <c r="S214" s="5">
        <f>S213*Eras!S$8</f>
        <v/>
      </c>
      <c r="T214" s="5">
        <f>T213*Eras!T$8</f>
        <v/>
      </c>
      <c r="U214" s="5">
        <f>U213*Eras!U$8</f>
        <v/>
      </c>
      <c r="V214" s="5">
        <f>V213*Eras!V$8</f>
        <v/>
      </c>
      <c r="W214" s="5">
        <f>W213*Eras!W$8</f>
        <v/>
      </c>
      <c r="X214" s="5">
        <f>X213*Eras!X$8</f>
        <v/>
      </c>
      <c r="Y214" s="5">
        <f>Y213*Eras!Y$8</f>
        <v/>
      </c>
      <c r="Z214" s="5">
        <f>Z213*Eras!Z$8</f>
        <v/>
      </c>
      <c r="AA214" s="5">
        <f>AA213*Eras!AA$8</f>
        <v/>
      </c>
      <c r="AB214" s="5">
        <f>AB213*Eras!AB$8</f>
        <v/>
      </c>
      <c r="AC214" s="5">
        <f>AC213*Eras!AC$8</f>
        <v/>
      </c>
      <c r="AD214" s="5">
        <f>AD213*Eras!AD$8</f>
        <v/>
      </c>
      <c r="AE214" s="5">
        <f>AE213*Eras!AE$8</f>
        <v/>
      </c>
      <c r="AF214" s="5">
        <f>AF213*Eras!AF$8</f>
        <v/>
      </c>
      <c r="AG214" s="5">
        <f>AG213*Eras!AG$8</f>
        <v/>
      </c>
      <c r="AH214" s="5">
        <f>AH213*Eras!AH$8</f>
        <v/>
      </c>
      <c r="AI214" s="5">
        <f>AI213*Eras!AI$8</f>
        <v/>
      </c>
      <c r="AJ214" s="5">
        <f>AJ213*Eras!AJ$8</f>
        <v/>
      </c>
      <c r="AK214" s="5">
        <f>AK213*Eras!AK$8</f>
        <v/>
      </c>
      <c r="AL214" s="5">
        <f>AL213*Eras!AL$8</f>
        <v/>
      </c>
      <c r="AM214" s="5">
        <f>AM213*Eras!AM$8</f>
        <v/>
      </c>
      <c r="AN214" s="5">
        <f>AN213*Eras!AN$8</f>
        <v/>
      </c>
      <c r="AO214" s="5">
        <f>AO213*Eras!AO$8</f>
        <v/>
      </c>
      <c r="AP214" s="5">
        <f>AP213*Eras!AP$8</f>
        <v/>
      </c>
      <c r="AQ214" s="5">
        <f>AQ213*Eras!AQ$8</f>
        <v/>
      </c>
      <c r="AR214" s="5">
        <f>AR213*Eras!AR$8</f>
        <v/>
      </c>
      <c r="AS214" s="5">
        <f>AS213*Eras!AS$8</f>
        <v/>
      </c>
      <c r="AT214" s="5">
        <f>AT213*Eras!AT$8</f>
        <v/>
      </c>
      <c r="AU214" s="5">
        <f>AU213*Eras!AU$8</f>
        <v/>
      </c>
      <c r="AV214" s="5">
        <f>AV213*Eras!AV$8</f>
        <v/>
      </c>
      <c r="AW214" s="5">
        <f>AW213*Eras!AW$8</f>
        <v/>
      </c>
      <c r="AX214" s="5">
        <f>AX213*Eras!AX$8</f>
        <v/>
      </c>
      <c r="AY214" s="5">
        <f>AY213*Eras!AY$8</f>
        <v/>
      </c>
      <c r="AZ214" s="5">
        <f>AZ213*Eras!AZ$8</f>
        <v/>
      </c>
      <c r="BA214" s="5">
        <f>BA213*Eras!BA$8</f>
        <v/>
      </c>
      <c r="BB214" s="5">
        <f>BB213*Eras!BB$8</f>
        <v/>
      </c>
      <c r="BC214" s="5">
        <f>BC213*Eras!BC$8</f>
        <v/>
      </c>
      <c r="BD214" s="5">
        <f>BD213*Eras!BD$8</f>
        <v/>
      </c>
      <c r="BE214" s="5">
        <f>BE213*Eras!BE$8</f>
        <v/>
      </c>
      <c r="BF214" s="5">
        <f>BF213*Eras!BF$8</f>
        <v/>
      </c>
      <c r="BG214" s="5">
        <f>BG213*Eras!BG$8</f>
        <v/>
      </c>
      <c r="BH214" s="5">
        <f>BH213*Eras!BH$8</f>
        <v/>
      </c>
      <c r="BI214" s="5">
        <f>BI213*Eras!BI$8</f>
        <v/>
      </c>
      <c r="BJ214" s="5">
        <f>BJ213*Eras!BJ$8</f>
        <v/>
      </c>
      <c r="BK214" s="5">
        <f>BK213*Eras!BK$8</f>
        <v/>
      </c>
      <c r="BL214" s="5">
        <f>BL213*Eras!BL$8</f>
        <v/>
      </c>
      <c r="BM214" s="5">
        <f>BM213*Eras!BM$8</f>
        <v/>
      </c>
      <c r="BN214" s="5">
        <f>BN213*Eras!BN$8</f>
        <v/>
      </c>
      <c r="BO214" s="5">
        <f>BO213*Eras!BO$8</f>
        <v/>
      </c>
      <c r="BP214" s="5">
        <f>BP213*Eras!BP$8</f>
        <v/>
      </c>
      <c r="BQ214" s="5">
        <f>BQ213*Eras!BQ$8</f>
        <v/>
      </c>
      <c r="BR214" s="5">
        <f>BR213*Eras!BR$8</f>
        <v/>
      </c>
      <c r="BS214" s="5">
        <f>BS213*Eras!BS$8</f>
        <v/>
      </c>
      <c r="BT214" s="5">
        <f>BT213*Eras!BT$8</f>
        <v/>
      </c>
      <c r="BU214" s="5">
        <f>BU213*Eras!BU$8</f>
        <v/>
      </c>
      <c r="BV214" s="5">
        <f>BV213*Eras!BV$8</f>
        <v/>
      </c>
    </row>
    <row r="215">
      <c r="A215" t="inlineStr">
        <is>
          <t>direct paid starts</t>
        </is>
      </c>
      <c r="B215" t="inlineStr">
        <is>
          <t>APAC|BASIC_M</t>
        </is>
      </c>
      <c r="C215" s="5">
        <f>C213-C214</f>
        <v/>
      </c>
      <c r="D215" s="5">
        <f>D213-D214</f>
        <v/>
      </c>
      <c r="E215" s="5">
        <f>E213-E214</f>
        <v/>
      </c>
      <c r="F215" s="5">
        <f>F213-F214</f>
        <v/>
      </c>
      <c r="G215" s="5">
        <f>G213-G214</f>
        <v/>
      </c>
      <c r="H215" s="5">
        <f>H213-H214</f>
        <v/>
      </c>
      <c r="I215" s="5">
        <f>I213-I214</f>
        <v/>
      </c>
      <c r="J215" s="5">
        <f>J213-J214</f>
        <v/>
      </c>
      <c r="K215" s="5">
        <f>K213-K214</f>
        <v/>
      </c>
      <c r="L215" s="5">
        <f>L213-L214</f>
        <v/>
      </c>
      <c r="M215" s="5">
        <f>M213-M214</f>
        <v/>
      </c>
      <c r="N215" s="5">
        <f>N213-N214</f>
        <v/>
      </c>
      <c r="O215" s="5">
        <f>O213-O214</f>
        <v/>
      </c>
      <c r="P215" s="5">
        <f>P213-P214</f>
        <v/>
      </c>
      <c r="Q215" s="5">
        <f>Q213-Q214</f>
        <v/>
      </c>
      <c r="R215" s="5">
        <f>R213-R214</f>
        <v/>
      </c>
      <c r="S215" s="5">
        <f>S213-S214</f>
        <v/>
      </c>
      <c r="T215" s="5">
        <f>T213-T214</f>
        <v/>
      </c>
      <c r="U215" s="5">
        <f>U213-U214</f>
        <v/>
      </c>
      <c r="V215" s="5">
        <f>V213-V214</f>
        <v/>
      </c>
      <c r="W215" s="5">
        <f>W213-W214</f>
        <v/>
      </c>
      <c r="X215" s="5">
        <f>X213-X214</f>
        <v/>
      </c>
      <c r="Y215" s="5">
        <f>Y213-Y214</f>
        <v/>
      </c>
      <c r="Z215" s="5">
        <f>Z213-Z214</f>
        <v/>
      </c>
      <c r="AA215" s="5">
        <f>AA213-AA214</f>
        <v/>
      </c>
      <c r="AB215" s="5">
        <f>AB213-AB214</f>
        <v/>
      </c>
      <c r="AC215" s="5">
        <f>AC213-AC214</f>
        <v/>
      </c>
      <c r="AD215" s="5">
        <f>AD213-AD214</f>
        <v/>
      </c>
      <c r="AE215" s="5">
        <f>AE213-AE214</f>
        <v/>
      </c>
      <c r="AF215" s="5">
        <f>AF213-AF214</f>
        <v/>
      </c>
      <c r="AG215" s="5">
        <f>AG213-AG214</f>
        <v/>
      </c>
      <c r="AH215" s="5">
        <f>AH213-AH214</f>
        <v/>
      </c>
      <c r="AI215" s="5">
        <f>AI213-AI214</f>
        <v/>
      </c>
      <c r="AJ215" s="5">
        <f>AJ213-AJ214</f>
        <v/>
      </c>
      <c r="AK215" s="5">
        <f>AK213-AK214</f>
        <v/>
      </c>
      <c r="AL215" s="5">
        <f>AL213-AL214</f>
        <v/>
      </c>
      <c r="AM215" s="5">
        <f>AM213-AM214</f>
        <v/>
      </c>
      <c r="AN215" s="5">
        <f>AN213-AN214</f>
        <v/>
      </c>
      <c r="AO215" s="5">
        <f>AO213-AO214</f>
        <v/>
      </c>
      <c r="AP215" s="5">
        <f>AP213-AP214</f>
        <v/>
      </c>
      <c r="AQ215" s="5">
        <f>AQ213-AQ214</f>
        <v/>
      </c>
      <c r="AR215" s="5">
        <f>AR213-AR214</f>
        <v/>
      </c>
      <c r="AS215" s="5">
        <f>AS213-AS214</f>
        <v/>
      </c>
      <c r="AT215" s="5">
        <f>AT213-AT214</f>
        <v/>
      </c>
      <c r="AU215" s="5">
        <f>AU213-AU214</f>
        <v/>
      </c>
      <c r="AV215" s="5">
        <f>AV213-AV214</f>
        <v/>
      </c>
      <c r="AW215" s="5">
        <f>AW213-AW214</f>
        <v/>
      </c>
      <c r="AX215" s="5">
        <f>AX213-AX214</f>
        <v/>
      </c>
      <c r="AY215" s="5">
        <f>AY213-AY214</f>
        <v/>
      </c>
      <c r="AZ215" s="5">
        <f>AZ213-AZ214</f>
        <v/>
      </c>
      <c r="BA215" s="5">
        <f>BA213-BA214</f>
        <v/>
      </c>
      <c r="BB215" s="5">
        <f>BB213-BB214</f>
        <v/>
      </c>
      <c r="BC215" s="5">
        <f>BC213-BC214</f>
        <v/>
      </c>
      <c r="BD215" s="5">
        <f>BD213-BD214</f>
        <v/>
      </c>
      <c r="BE215" s="5">
        <f>BE213-BE214</f>
        <v/>
      </c>
      <c r="BF215" s="5">
        <f>BF213-BF214</f>
        <v/>
      </c>
      <c r="BG215" s="5">
        <f>BG213-BG214</f>
        <v/>
      </c>
      <c r="BH215" s="5">
        <f>BH213-BH214</f>
        <v/>
      </c>
      <c r="BI215" s="5">
        <f>BI213-BI214</f>
        <v/>
      </c>
      <c r="BJ215" s="5">
        <f>BJ213-BJ214</f>
        <v/>
      </c>
      <c r="BK215" s="5">
        <f>BK213-BK214</f>
        <v/>
      </c>
      <c r="BL215" s="5">
        <f>BL213-BL214</f>
        <v/>
      </c>
      <c r="BM215" s="5">
        <f>BM213-BM214</f>
        <v/>
      </c>
      <c r="BN215" s="5">
        <f>BN213-BN214</f>
        <v/>
      </c>
      <c r="BO215" s="5">
        <f>BO213-BO214</f>
        <v/>
      </c>
      <c r="BP215" s="5">
        <f>BP213-BP214</f>
        <v/>
      </c>
      <c r="BQ215" s="5">
        <f>BQ213-BQ214</f>
        <v/>
      </c>
      <c r="BR215" s="5">
        <f>BR213-BR214</f>
        <v/>
      </c>
      <c r="BS215" s="5">
        <f>BS213-BS214</f>
        <v/>
      </c>
      <c r="BT215" s="5">
        <f>BT213-BT214</f>
        <v/>
      </c>
      <c r="BU215" s="5">
        <f>BU213-BU214</f>
        <v/>
      </c>
      <c r="BV215" s="5">
        <f>BV213-BV214</f>
        <v/>
      </c>
    </row>
    <row r="216">
      <c r="A216" t="inlineStr">
        <is>
          <t>trials ending</t>
        </is>
      </c>
      <c r="B216" t="inlineStr">
        <is>
          <t>APAC|BASIC_M</t>
        </is>
      </c>
      <c r="C216" s="5">
        <f>IF(C$2&gt;=Params!$B$6,INDEX($C$214:$BV$214,C$2-Params!$B$6+1),0)</f>
        <v/>
      </c>
      <c r="D216" s="5">
        <f>IF(D$2&gt;=Params!$B$6,INDEX($C$214:$BV$214,D$2-Params!$B$6+1),0)</f>
        <v/>
      </c>
      <c r="E216" s="5">
        <f>IF(E$2&gt;=Params!$B$6,INDEX($C$214:$BV$214,E$2-Params!$B$6+1),0)</f>
        <v/>
      </c>
      <c r="F216" s="5">
        <f>IF(F$2&gt;=Params!$B$6,INDEX($C$214:$BV$214,F$2-Params!$B$6+1),0)</f>
        <v/>
      </c>
      <c r="G216" s="5">
        <f>IF(G$2&gt;=Params!$B$6,INDEX($C$214:$BV$214,G$2-Params!$B$6+1),0)</f>
        <v/>
      </c>
      <c r="H216" s="5">
        <f>IF(H$2&gt;=Params!$B$6,INDEX($C$214:$BV$214,H$2-Params!$B$6+1),0)</f>
        <v/>
      </c>
      <c r="I216" s="5">
        <f>IF(I$2&gt;=Params!$B$6,INDEX($C$214:$BV$214,I$2-Params!$B$6+1),0)</f>
        <v/>
      </c>
      <c r="J216" s="5">
        <f>IF(J$2&gt;=Params!$B$6,INDEX($C$214:$BV$214,J$2-Params!$B$6+1),0)</f>
        <v/>
      </c>
      <c r="K216" s="5">
        <f>IF(K$2&gt;=Params!$B$6,INDEX($C$214:$BV$214,K$2-Params!$B$6+1),0)</f>
        <v/>
      </c>
      <c r="L216" s="5">
        <f>IF(L$2&gt;=Params!$B$6,INDEX($C$214:$BV$214,L$2-Params!$B$6+1),0)</f>
        <v/>
      </c>
      <c r="M216" s="5">
        <f>IF(M$2&gt;=Params!$B$6,INDEX($C$214:$BV$214,M$2-Params!$B$6+1),0)</f>
        <v/>
      </c>
      <c r="N216" s="5">
        <f>IF(N$2&gt;=Params!$B$6,INDEX($C$214:$BV$214,N$2-Params!$B$6+1),0)</f>
        <v/>
      </c>
      <c r="O216" s="5">
        <f>IF(O$2&gt;=Params!$B$6,INDEX($C$214:$BV$214,O$2-Params!$B$6+1),0)</f>
        <v/>
      </c>
      <c r="P216" s="5">
        <f>IF(P$2&gt;=Params!$B$6,INDEX($C$214:$BV$214,P$2-Params!$B$6+1),0)</f>
        <v/>
      </c>
      <c r="Q216" s="5">
        <f>IF(Q$2&gt;=Params!$B$6,INDEX($C$214:$BV$214,Q$2-Params!$B$6+1),0)</f>
        <v/>
      </c>
      <c r="R216" s="5">
        <f>IF(R$2&gt;=Params!$B$6,INDEX($C$214:$BV$214,R$2-Params!$B$6+1),0)</f>
        <v/>
      </c>
      <c r="S216" s="5">
        <f>IF(S$2&gt;=Params!$B$6,INDEX($C$214:$BV$214,S$2-Params!$B$6+1),0)</f>
        <v/>
      </c>
      <c r="T216" s="5">
        <f>IF(T$2&gt;=Params!$B$6,INDEX($C$214:$BV$214,T$2-Params!$B$6+1),0)</f>
        <v/>
      </c>
      <c r="U216" s="5">
        <f>IF(U$2&gt;=Params!$B$6,INDEX($C$214:$BV$214,U$2-Params!$B$6+1),0)</f>
        <v/>
      </c>
      <c r="V216" s="5">
        <f>IF(V$2&gt;=Params!$B$6,INDEX($C$214:$BV$214,V$2-Params!$B$6+1),0)</f>
        <v/>
      </c>
      <c r="W216" s="5">
        <f>IF(W$2&gt;=Params!$B$6,INDEX($C$214:$BV$214,W$2-Params!$B$6+1),0)</f>
        <v/>
      </c>
      <c r="X216" s="5">
        <f>IF(X$2&gt;=Params!$B$6,INDEX($C$214:$BV$214,X$2-Params!$B$6+1),0)</f>
        <v/>
      </c>
      <c r="Y216" s="5">
        <f>IF(Y$2&gt;=Params!$B$6,INDEX($C$214:$BV$214,Y$2-Params!$B$6+1),0)</f>
        <v/>
      </c>
      <c r="Z216" s="5">
        <f>IF(Z$2&gt;=Params!$B$6,INDEX($C$214:$BV$214,Z$2-Params!$B$6+1),0)</f>
        <v/>
      </c>
      <c r="AA216" s="5">
        <f>IF(AA$2&gt;=Params!$B$6,INDEX($C$214:$BV$214,AA$2-Params!$B$6+1),0)</f>
        <v/>
      </c>
      <c r="AB216" s="5">
        <f>IF(AB$2&gt;=Params!$B$6,INDEX($C$214:$BV$214,AB$2-Params!$B$6+1),0)</f>
        <v/>
      </c>
      <c r="AC216" s="5">
        <f>IF(AC$2&gt;=Params!$B$6,INDEX($C$214:$BV$214,AC$2-Params!$B$6+1),0)</f>
        <v/>
      </c>
      <c r="AD216" s="5">
        <f>IF(AD$2&gt;=Params!$B$6,INDEX($C$214:$BV$214,AD$2-Params!$B$6+1),0)</f>
        <v/>
      </c>
      <c r="AE216" s="5">
        <f>IF(AE$2&gt;=Params!$B$6,INDEX($C$214:$BV$214,AE$2-Params!$B$6+1),0)</f>
        <v/>
      </c>
      <c r="AF216" s="5">
        <f>IF(AF$2&gt;=Params!$B$6,INDEX($C$214:$BV$214,AF$2-Params!$B$6+1),0)</f>
        <v/>
      </c>
      <c r="AG216" s="5">
        <f>IF(AG$2&gt;=Params!$B$6,INDEX($C$214:$BV$214,AG$2-Params!$B$6+1),0)</f>
        <v/>
      </c>
      <c r="AH216" s="5">
        <f>IF(AH$2&gt;=Params!$B$6,INDEX($C$214:$BV$214,AH$2-Params!$B$6+1),0)</f>
        <v/>
      </c>
      <c r="AI216" s="5">
        <f>IF(AI$2&gt;=Params!$B$6,INDEX($C$214:$BV$214,AI$2-Params!$B$6+1),0)</f>
        <v/>
      </c>
      <c r="AJ216" s="5">
        <f>IF(AJ$2&gt;=Params!$B$6,INDEX($C$214:$BV$214,AJ$2-Params!$B$6+1),0)</f>
        <v/>
      </c>
      <c r="AK216" s="5">
        <f>IF(AK$2&gt;=Params!$B$6,INDEX($C$214:$BV$214,AK$2-Params!$B$6+1),0)</f>
        <v/>
      </c>
      <c r="AL216" s="5">
        <f>IF(AL$2&gt;=Params!$B$6,INDEX($C$214:$BV$214,AL$2-Params!$B$6+1),0)</f>
        <v/>
      </c>
      <c r="AM216" s="5">
        <f>IF(AM$2&gt;=Params!$B$6,INDEX($C$214:$BV$214,AM$2-Params!$B$6+1),0)</f>
        <v/>
      </c>
      <c r="AN216" s="5">
        <f>IF(AN$2&gt;=Params!$B$6,INDEX($C$214:$BV$214,AN$2-Params!$B$6+1),0)</f>
        <v/>
      </c>
      <c r="AO216" s="5">
        <f>IF(AO$2&gt;=Params!$B$6,INDEX($C$214:$BV$214,AO$2-Params!$B$6+1),0)</f>
        <v/>
      </c>
      <c r="AP216" s="5">
        <f>IF(AP$2&gt;=Params!$B$6,INDEX($C$214:$BV$214,AP$2-Params!$B$6+1),0)</f>
        <v/>
      </c>
      <c r="AQ216" s="5">
        <f>IF(AQ$2&gt;=Params!$B$6,INDEX($C$214:$BV$214,AQ$2-Params!$B$6+1),0)</f>
        <v/>
      </c>
      <c r="AR216" s="5">
        <f>IF(AR$2&gt;=Params!$B$6,INDEX($C$214:$BV$214,AR$2-Params!$B$6+1),0)</f>
        <v/>
      </c>
      <c r="AS216" s="5">
        <f>IF(AS$2&gt;=Params!$B$6,INDEX($C$214:$BV$214,AS$2-Params!$B$6+1),0)</f>
        <v/>
      </c>
      <c r="AT216" s="5">
        <f>IF(AT$2&gt;=Params!$B$6,INDEX($C$214:$BV$214,AT$2-Params!$B$6+1),0)</f>
        <v/>
      </c>
      <c r="AU216" s="5">
        <f>IF(AU$2&gt;=Params!$B$6,INDEX($C$214:$BV$214,AU$2-Params!$B$6+1),0)</f>
        <v/>
      </c>
      <c r="AV216" s="5">
        <f>IF(AV$2&gt;=Params!$B$6,INDEX($C$214:$BV$214,AV$2-Params!$B$6+1),0)</f>
        <v/>
      </c>
      <c r="AW216" s="5">
        <f>IF(AW$2&gt;=Params!$B$6,INDEX($C$214:$BV$214,AW$2-Params!$B$6+1),0)</f>
        <v/>
      </c>
      <c r="AX216" s="5">
        <f>IF(AX$2&gt;=Params!$B$6,INDEX($C$214:$BV$214,AX$2-Params!$B$6+1),0)</f>
        <v/>
      </c>
      <c r="AY216" s="5">
        <f>IF(AY$2&gt;=Params!$B$6,INDEX($C$214:$BV$214,AY$2-Params!$B$6+1),0)</f>
        <v/>
      </c>
      <c r="AZ216" s="5">
        <f>IF(AZ$2&gt;=Params!$B$6,INDEX($C$214:$BV$214,AZ$2-Params!$B$6+1),0)</f>
        <v/>
      </c>
      <c r="BA216" s="5">
        <f>IF(BA$2&gt;=Params!$B$6,INDEX($C$214:$BV$214,BA$2-Params!$B$6+1),0)</f>
        <v/>
      </c>
      <c r="BB216" s="5">
        <f>IF(BB$2&gt;=Params!$B$6,INDEX($C$214:$BV$214,BB$2-Params!$B$6+1),0)</f>
        <v/>
      </c>
      <c r="BC216" s="5">
        <f>IF(BC$2&gt;=Params!$B$6,INDEX($C$214:$BV$214,BC$2-Params!$B$6+1),0)</f>
        <v/>
      </c>
      <c r="BD216" s="5">
        <f>IF(BD$2&gt;=Params!$B$6,INDEX($C$214:$BV$214,BD$2-Params!$B$6+1),0)</f>
        <v/>
      </c>
      <c r="BE216" s="5">
        <f>IF(BE$2&gt;=Params!$B$6,INDEX($C$214:$BV$214,BE$2-Params!$B$6+1),0)</f>
        <v/>
      </c>
      <c r="BF216" s="5">
        <f>IF(BF$2&gt;=Params!$B$6,INDEX($C$214:$BV$214,BF$2-Params!$B$6+1),0)</f>
        <v/>
      </c>
      <c r="BG216" s="5">
        <f>IF(BG$2&gt;=Params!$B$6,INDEX($C$214:$BV$214,BG$2-Params!$B$6+1),0)</f>
        <v/>
      </c>
      <c r="BH216" s="5">
        <f>IF(BH$2&gt;=Params!$B$6,INDEX($C$214:$BV$214,BH$2-Params!$B$6+1),0)</f>
        <v/>
      </c>
      <c r="BI216" s="5">
        <f>IF(BI$2&gt;=Params!$B$6,INDEX($C$214:$BV$214,BI$2-Params!$B$6+1),0)</f>
        <v/>
      </c>
      <c r="BJ216" s="5">
        <f>IF(BJ$2&gt;=Params!$B$6,INDEX($C$214:$BV$214,BJ$2-Params!$B$6+1),0)</f>
        <v/>
      </c>
      <c r="BK216" s="5">
        <f>IF(BK$2&gt;=Params!$B$6,INDEX($C$214:$BV$214,BK$2-Params!$B$6+1),0)</f>
        <v/>
      </c>
      <c r="BL216" s="5">
        <f>IF(BL$2&gt;=Params!$B$6,INDEX($C$214:$BV$214,BL$2-Params!$B$6+1),0)</f>
        <v/>
      </c>
      <c r="BM216" s="5">
        <f>IF(BM$2&gt;=Params!$B$6,INDEX($C$214:$BV$214,BM$2-Params!$B$6+1),0)</f>
        <v/>
      </c>
      <c r="BN216" s="5">
        <f>IF(BN$2&gt;=Params!$B$6,INDEX($C$214:$BV$214,BN$2-Params!$B$6+1),0)</f>
        <v/>
      </c>
      <c r="BO216" s="5">
        <f>IF(BO$2&gt;=Params!$B$6,INDEX($C$214:$BV$214,BO$2-Params!$B$6+1),0)</f>
        <v/>
      </c>
      <c r="BP216" s="5">
        <f>IF(BP$2&gt;=Params!$B$6,INDEX($C$214:$BV$214,BP$2-Params!$B$6+1),0)</f>
        <v/>
      </c>
      <c r="BQ216" s="5">
        <f>IF(BQ$2&gt;=Params!$B$6,INDEX($C$214:$BV$214,BQ$2-Params!$B$6+1),0)</f>
        <v/>
      </c>
      <c r="BR216" s="5">
        <f>IF(BR$2&gt;=Params!$B$6,INDEX($C$214:$BV$214,BR$2-Params!$B$6+1),0)</f>
        <v/>
      </c>
      <c r="BS216" s="5">
        <f>IF(BS$2&gt;=Params!$B$6,INDEX($C$214:$BV$214,BS$2-Params!$B$6+1),0)</f>
        <v/>
      </c>
      <c r="BT216" s="5">
        <f>IF(BT$2&gt;=Params!$B$6,INDEX($C$214:$BV$214,BT$2-Params!$B$6+1),0)</f>
        <v/>
      </c>
      <c r="BU216" s="5">
        <f>IF(BU$2&gt;=Params!$B$6,INDEX($C$214:$BV$214,BU$2-Params!$B$6+1),0)</f>
        <v/>
      </c>
      <c r="BV216" s="5">
        <f>IF(BV$2&gt;=Params!$B$6,INDEX($C$214:$BV$214,BV$2-Params!$B$6+1),0)</f>
        <v/>
      </c>
    </row>
    <row r="217">
      <c r="A217" t="inlineStr">
        <is>
          <t>trial starts x conversion</t>
        </is>
      </c>
      <c r="B217" t="inlineStr">
        <is>
          <t>APAC|BASIC_M</t>
        </is>
      </c>
      <c r="C217" s="5">
        <f>C214*Eras!C$9</f>
        <v/>
      </c>
      <c r="D217" s="5">
        <f>D214*Eras!D$9</f>
        <v/>
      </c>
      <c r="E217" s="5">
        <f>E214*Eras!E$9</f>
        <v/>
      </c>
      <c r="F217" s="5">
        <f>F214*Eras!F$9</f>
        <v/>
      </c>
      <c r="G217" s="5">
        <f>G214*Eras!G$9</f>
        <v/>
      </c>
      <c r="H217" s="5">
        <f>H214*Eras!H$9</f>
        <v/>
      </c>
      <c r="I217" s="5">
        <f>I214*Eras!I$9</f>
        <v/>
      </c>
      <c r="J217" s="5">
        <f>J214*Eras!J$9</f>
        <v/>
      </c>
      <c r="K217" s="5">
        <f>K214*Eras!K$9</f>
        <v/>
      </c>
      <c r="L217" s="5">
        <f>L214*Eras!L$9</f>
        <v/>
      </c>
      <c r="M217" s="5">
        <f>M214*Eras!M$9</f>
        <v/>
      </c>
      <c r="N217" s="5">
        <f>N214*Eras!N$9</f>
        <v/>
      </c>
      <c r="O217" s="5">
        <f>O214*Eras!O$9</f>
        <v/>
      </c>
      <c r="P217" s="5">
        <f>P214*Eras!P$9</f>
        <v/>
      </c>
      <c r="Q217" s="5">
        <f>Q214*Eras!Q$9</f>
        <v/>
      </c>
      <c r="R217" s="5">
        <f>R214*Eras!R$9</f>
        <v/>
      </c>
      <c r="S217" s="5">
        <f>S214*Eras!S$9</f>
        <v/>
      </c>
      <c r="T217" s="5">
        <f>T214*Eras!T$9</f>
        <v/>
      </c>
      <c r="U217" s="5">
        <f>U214*Eras!U$9</f>
        <v/>
      </c>
      <c r="V217" s="5">
        <f>V214*Eras!V$9</f>
        <v/>
      </c>
      <c r="W217" s="5">
        <f>W214*Eras!W$9</f>
        <v/>
      </c>
      <c r="X217" s="5">
        <f>X214*Eras!X$9</f>
        <v/>
      </c>
      <c r="Y217" s="5">
        <f>Y214*Eras!Y$9</f>
        <v/>
      </c>
      <c r="Z217" s="5">
        <f>Z214*Eras!Z$9</f>
        <v/>
      </c>
      <c r="AA217" s="5">
        <f>AA214*Eras!AA$9</f>
        <v/>
      </c>
      <c r="AB217" s="5">
        <f>AB214*Eras!AB$9</f>
        <v/>
      </c>
      <c r="AC217" s="5">
        <f>AC214*Eras!AC$9</f>
        <v/>
      </c>
      <c r="AD217" s="5">
        <f>AD214*Eras!AD$9</f>
        <v/>
      </c>
      <c r="AE217" s="5">
        <f>AE214*Eras!AE$9</f>
        <v/>
      </c>
      <c r="AF217" s="5">
        <f>AF214*Eras!AF$9</f>
        <v/>
      </c>
      <c r="AG217" s="5">
        <f>AG214*Eras!AG$9</f>
        <v/>
      </c>
      <c r="AH217" s="5">
        <f>AH214*Eras!AH$9</f>
        <v/>
      </c>
      <c r="AI217" s="5">
        <f>AI214*Eras!AI$9</f>
        <v/>
      </c>
      <c r="AJ217" s="5">
        <f>AJ214*Eras!AJ$9</f>
        <v/>
      </c>
      <c r="AK217" s="5">
        <f>AK214*Eras!AK$9</f>
        <v/>
      </c>
      <c r="AL217" s="5">
        <f>AL214*Eras!AL$9</f>
        <v/>
      </c>
      <c r="AM217" s="5">
        <f>AM214*Eras!AM$9</f>
        <v/>
      </c>
      <c r="AN217" s="5">
        <f>AN214*Eras!AN$9</f>
        <v/>
      </c>
      <c r="AO217" s="5">
        <f>AO214*Eras!AO$9</f>
        <v/>
      </c>
      <c r="AP217" s="5">
        <f>AP214*Eras!AP$9</f>
        <v/>
      </c>
      <c r="AQ217" s="5">
        <f>AQ214*Eras!AQ$9</f>
        <v/>
      </c>
      <c r="AR217" s="5">
        <f>AR214*Eras!AR$9</f>
        <v/>
      </c>
      <c r="AS217" s="5">
        <f>AS214*Eras!AS$9</f>
        <v/>
      </c>
      <c r="AT217" s="5">
        <f>AT214*Eras!AT$9</f>
        <v/>
      </c>
      <c r="AU217" s="5">
        <f>AU214*Eras!AU$9</f>
        <v/>
      </c>
      <c r="AV217" s="5">
        <f>AV214*Eras!AV$9</f>
        <v/>
      </c>
      <c r="AW217" s="5">
        <f>AW214*Eras!AW$9</f>
        <v/>
      </c>
      <c r="AX217" s="5">
        <f>AX214*Eras!AX$9</f>
        <v/>
      </c>
      <c r="AY217" s="5">
        <f>AY214*Eras!AY$9</f>
        <v/>
      </c>
      <c r="AZ217" s="5">
        <f>AZ214*Eras!AZ$9</f>
        <v/>
      </c>
      <c r="BA217" s="5">
        <f>BA214*Eras!BA$9</f>
        <v/>
      </c>
      <c r="BB217" s="5">
        <f>BB214*Eras!BB$9</f>
        <v/>
      </c>
      <c r="BC217" s="5">
        <f>BC214*Eras!BC$9</f>
        <v/>
      </c>
      <c r="BD217" s="5">
        <f>BD214*Eras!BD$9</f>
        <v/>
      </c>
      <c r="BE217" s="5">
        <f>BE214*Eras!BE$9</f>
        <v/>
      </c>
      <c r="BF217" s="5">
        <f>BF214*Eras!BF$9</f>
        <v/>
      </c>
      <c r="BG217" s="5">
        <f>BG214*Eras!BG$9</f>
        <v/>
      </c>
      <c r="BH217" s="5">
        <f>BH214*Eras!BH$9</f>
        <v/>
      </c>
      <c r="BI217" s="5">
        <f>BI214*Eras!BI$9</f>
        <v/>
      </c>
      <c r="BJ217" s="5">
        <f>BJ214*Eras!BJ$9</f>
        <v/>
      </c>
      <c r="BK217" s="5">
        <f>BK214*Eras!BK$9</f>
        <v/>
      </c>
      <c r="BL217" s="5">
        <f>BL214*Eras!BL$9</f>
        <v/>
      </c>
      <c r="BM217" s="5">
        <f>BM214*Eras!BM$9</f>
        <v/>
      </c>
      <c r="BN217" s="5">
        <f>BN214*Eras!BN$9</f>
        <v/>
      </c>
      <c r="BO217" s="5">
        <f>BO214*Eras!BO$9</f>
        <v/>
      </c>
      <c r="BP217" s="5">
        <f>BP214*Eras!BP$9</f>
        <v/>
      </c>
      <c r="BQ217" s="5">
        <f>BQ214*Eras!BQ$9</f>
        <v/>
      </c>
      <c r="BR217" s="5">
        <f>BR214*Eras!BR$9</f>
        <v/>
      </c>
      <c r="BS217" s="5">
        <f>BS214*Eras!BS$9</f>
        <v/>
      </c>
      <c r="BT217" s="5">
        <f>BT214*Eras!BT$9</f>
        <v/>
      </c>
      <c r="BU217" s="5">
        <f>BU214*Eras!BU$9</f>
        <v/>
      </c>
      <c r="BV217" s="5">
        <f>BV214*Eras!BV$9</f>
        <v/>
      </c>
    </row>
    <row r="218">
      <c r="A218" t="inlineStr">
        <is>
          <t>trials converted</t>
        </is>
      </c>
      <c r="B218" t="inlineStr">
        <is>
          <t>APAC|BASIC_M</t>
        </is>
      </c>
      <c r="C218" s="5">
        <f>IF(C$2&gt;=Params!$B$6,INDEX($C$217:$BV$217,C$2-Params!$B$6+1),0)</f>
        <v/>
      </c>
      <c r="D218" s="5">
        <f>IF(D$2&gt;=Params!$B$6,INDEX($C$217:$BV$217,D$2-Params!$B$6+1),0)</f>
        <v/>
      </c>
      <c r="E218" s="5">
        <f>IF(E$2&gt;=Params!$B$6,INDEX($C$217:$BV$217,E$2-Params!$B$6+1),0)</f>
        <v/>
      </c>
      <c r="F218" s="5">
        <f>IF(F$2&gt;=Params!$B$6,INDEX($C$217:$BV$217,F$2-Params!$B$6+1),0)</f>
        <v/>
      </c>
      <c r="G218" s="5">
        <f>IF(G$2&gt;=Params!$B$6,INDEX($C$217:$BV$217,G$2-Params!$B$6+1),0)</f>
        <v/>
      </c>
      <c r="H218" s="5">
        <f>IF(H$2&gt;=Params!$B$6,INDEX($C$217:$BV$217,H$2-Params!$B$6+1),0)</f>
        <v/>
      </c>
      <c r="I218" s="5">
        <f>IF(I$2&gt;=Params!$B$6,INDEX($C$217:$BV$217,I$2-Params!$B$6+1),0)</f>
        <v/>
      </c>
      <c r="J218" s="5">
        <f>IF(J$2&gt;=Params!$B$6,INDEX($C$217:$BV$217,J$2-Params!$B$6+1),0)</f>
        <v/>
      </c>
      <c r="K218" s="5">
        <f>IF(K$2&gt;=Params!$B$6,INDEX($C$217:$BV$217,K$2-Params!$B$6+1),0)</f>
        <v/>
      </c>
      <c r="L218" s="5">
        <f>IF(L$2&gt;=Params!$B$6,INDEX($C$217:$BV$217,L$2-Params!$B$6+1),0)</f>
        <v/>
      </c>
      <c r="M218" s="5">
        <f>IF(M$2&gt;=Params!$B$6,INDEX($C$217:$BV$217,M$2-Params!$B$6+1),0)</f>
        <v/>
      </c>
      <c r="N218" s="5">
        <f>IF(N$2&gt;=Params!$B$6,INDEX($C$217:$BV$217,N$2-Params!$B$6+1),0)</f>
        <v/>
      </c>
      <c r="O218" s="5">
        <f>IF(O$2&gt;=Params!$B$6,INDEX($C$217:$BV$217,O$2-Params!$B$6+1),0)</f>
        <v/>
      </c>
      <c r="P218" s="5">
        <f>IF(P$2&gt;=Params!$B$6,INDEX($C$217:$BV$217,P$2-Params!$B$6+1),0)</f>
        <v/>
      </c>
      <c r="Q218" s="5">
        <f>IF(Q$2&gt;=Params!$B$6,INDEX($C$217:$BV$217,Q$2-Params!$B$6+1),0)</f>
        <v/>
      </c>
      <c r="R218" s="5">
        <f>IF(R$2&gt;=Params!$B$6,INDEX($C$217:$BV$217,R$2-Params!$B$6+1),0)</f>
        <v/>
      </c>
      <c r="S218" s="5">
        <f>IF(S$2&gt;=Params!$B$6,INDEX($C$217:$BV$217,S$2-Params!$B$6+1),0)</f>
        <v/>
      </c>
      <c r="T218" s="5">
        <f>IF(T$2&gt;=Params!$B$6,INDEX($C$217:$BV$217,T$2-Params!$B$6+1),0)</f>
        <v/>
      </c>
      <c r="U218" s="5">
        <f>IF(U$2&gt;=Params!$B$6,INDEX($C$217:$BV$217,U$2-Params!$B$6+1),0)</f>
        <v/>
      </c>
      <c r="V218" s="5">
        <f>IF(V$2&gt;=Params!$B$6,INDEX($C$217:$BV$217,V$2-Params!$B$6+1),0)</f>
        <v/>
      </c>
      <c r="W218" s="5">
        <f>IF(W$2&gt;=Params!$B$6,INDEX($C$217:$BV$217,W$2-Params!$B$6+1),0)</f>
        <v/>
      </c>
      <c r="X218" s="5">
        <f>IF(X$2&gt;=Params!$B$6,INDEX($C$217:$BV$217,X$2-Params!$B$6+1),0)</f>
        <v/>
      </c>
      <c r="Y218" s="5">
        <f>IF(Y$2&gt;=Params!$B$6,INDEX($C$217:$BV$217,Y$2-Params!$B$6+1),0)</f>
        <v/>
      </c>
      <c r="Z218" s="5">
        <f>IF(Z$2&gt;=Params!$B$6,INDEX($C$217:$BV$217,Z$2-Params!$B$6+1),0)</f>
        <v/>
      </c>
      <c r="AA218" s="5">
        <f>IF(AA$2&gt;=Params!$B$6,INDEX($C$217:$BV$217,AA$2-Params!$B$6+1),0)</f>
        <v/>
      </c>
      <c r="AB218" s="5">
        <f>IF(AB$2&gt;=Params!$B$6,INDEX($C$217:$BV$217,AB$2-Params!$B$6+1),0)</f>
        <v/>
      </c>
      <c r="AC218" s="5">
        <f>IF(AC$2&gt;=Params!$B$6,INDEX($C$217:$BV$217,AC$2-Params!$B$6+1),0)</f>
        <v/>
      </c>
      <c r="AD218" s="5">
        <f>IF(AD$2&gt;=Params!$B$6,INDEX($C$217:$BV$217,AD$2-Params!$B$6+1),0)</f>
        <v/>
      </c>
      <c r="AE218" s="5">
        <f>IF(AE$2&gt;=Params!$B$6,INDEX($C$217:$BV$217,AE$2-Params!$B$6+1),0)</f>
        <v/>
      </c>
      <c r="AF218" s="5">
        <f>IF(AF$2&gt;=Params!$B$6,INDEX($C$217:$BV$217,AF$2-Params!$B$6+1),0)</f>
        <v/>
      </c>
      <c r="AG218" s="5">
        <f>IF(AG$2&gt;=Params!$B$6,INDEX($C$217:$BV$217,AG$2-Params!$B$6+1),0)</f>
        <v/>
      </c>
      <c r="AH218" s="5">
        <f>IF(AH$2&gt;=Params!$B$6,INDEX($C$217:$BV$217,AH$2-Params!$B$6+1),0)</f>
        <v/>
      </c>
      <c r="AI218" s="5">
        <f>IF(AI$2&gt;=Params!$B$6,INDEX($C$217:$BV$217,AI$2-Params!$B$6+1),0)</f>
        <v/>
      </c>
      <c r="AJ218" s="5">
        <f>IF(AJ$2&gt;=Params!$B$6,INDEX($C$217:$BV$217,AJ$2-Params!$B$6+1),0)</f>
        <v/>
      </c>
      <c r="AK218" s="5">
        <f>IF(AK$2&gt;=Params!$B$6,INDEX($C$217:$BV$217,AK$2-Params!$B$6+1),0)</f>
        <v/>
      </c>
      <c r="AL218" s="5">
        <f>IF(AL$2&gt;=Params!$B$6,INDEX($C$217:$BV$217,AL$2-Params!$B$6+1),0)</f>
        <v/>
      </c>
      <c r="AM218" s="5">
        <f>IF(AM$2&gt;=Params!$B$6,INDEX($C$217:$BV$217,AM$2-Params!$B$6+1),0)</f>
        <v/>
      </c>
      <c r="AN218" s="5">
        <f>IF(AN$2&gt;=Params!$B$6,INDEX($C$217:$BV$217,AN$2-Params!$B$6+1),0)</f>
        <v/>
      </c>
      <c r="AO218" s="5">
        <f>IF(AO$2&gt;=Params!$B$6,INDEX($C$217:$BV$217,AO$2-Params!$B$6+1),0)</f>
        <v/>
      </c>
      <c r="AP218" s="5">
        <f>IF(AP$2&gt;=Params!$B$6,INDEX($C$217:$BV$217,AP$2-Params!$B$6+1),0)</f>
        <v/>
      </c>
      <c r="AQ218" s="5">
        <f>IF(AQ$2&gt;=Params!$B$6,INDEX($C$217:$BV$217,AQ$2-Params!$B$6+1),0)</f>
        <v/>
      </c>
      <c r="AR218" s="5">
        <f>IF(AR$2&gt;=Params!$B$6,INDEX($C$217:$BV$217,AR$2-Params!$B$6+1),0)</f>
        <v/>
      </c>
      <c r="AS218" s="5">
        <f>IF(AS$2&gt;=Params!$B$6,INDEX($C$217:$BV$217,AS$2-Params!$B$6+1),0)</f>
        <v/>
      </c>
      <c r="AT218" s="5">
        <f>IF(AT$2&gt;=Params!$B$6,INDEX($C$217:$BV$217,AT$2-Params!$B$6+1),0)</f>
        <v/>
      </c>
      <c r="AU218" s="5">
        <f>IF(AU$2&gt;=Params!$B$6,INDEX($C$217:$BV$217,AU$2-Params!$B$6+1),0)</f>
        <v/>
      </c>
      <c r="AV218" s="5">
        <f>IF(AV$2&gt;=Params!$B$6,INDEX($C$217:$BV$217,AV$2-Params!$B$6+1),0)</f>
        <v/>
      </c>
      <c r="AW218" s="5">
        <f>IF(AW$2&gt;=Params!$B$6,INDEX($C$217:$BV$217,AW$2-Params!$B$6+1),0)</f>
        <v/>
      </c>
      <c r="AX218" s="5">
        <f>IF(AX$2&gt;=Params!$B$6,INDEX($C$217:$BV$217,AX$2-Params!$B$6+1),0)</f>
        <v/>
      </c>
      <c r="AY218" s="5">
        <f>IF(AY$2&gt;=Params!$B$6,INDEX($C$217:$BV$217,AY$2-Params!$B$6+1),0)</f>
        <v/>
      </c>
      <c r="AZ218" s="5">
        <f>IF(AZ$2&gt;=Params!$B$6,INDEX($C$217:$BV$217,AZ$2-Params!$B$6+1),0)</f>
        <v/>
      </c>
      <c r="BA218" s="5">
        <f>IF(BA$2&gt;=Params!$B$6,INDEX($C$217:$BV$217,BA$2-Params!$B$6+1),0)</f>
        <v/>
      </c>
      <c r="BB218" s="5">
        <f>IF(BB$2&gt;=Params!$B$6,INDEX($C$217:$BV$217,BB$2-Params!$B$6+1),0)</f>
        <v/>
      </c>
      <c r="BC218" s="5">
        <f>IF(BC$2&gt;=Params!$B$6,INDEX($C$217:$BV$217,BC$2-Params!$B$6+1),0)</f>
        <v/>
      </c>
      <c r="BD218" s="5">
        <f>IF(BD$2&gt;=Params!$B$6,INDEX($C$217:$BV$217,BD$2-Params!$B$6+1),0)</f>
        <v/>
      </c>
      <c r="BE218" s="5">
        <f>IF(BE$2&gt;=Params!$B$6,INDEX($C$217:$BV$217,BE$2-Params!$B$6+1),0)</f>
        <v/>
      </c>
      <c r="BF218" s="5">
        <f>IF(BF$2&gt;=Params!$B$6,INDEX($C$217:$BV$217,BF$2-Params!$B$6+1),0)</f>
        <v/>
      </c>
      <c r="BG218" s="5">
        <f>IF(BG$2&gt;=Params!$B$6,INDEX($C$217:$BV$217,BG$2-Params!$B$6+1),0)</f>
        <v/>
      </c>
      <c r="BH218" s="5">
        <f>IF(BH$2&gt;=Params!$B$6,INDEX($C$217:$BV$217,BH$2-Params!$B$6+1),0)</f>
        <v/>
      </c>
      <c r="BI218" s="5">
        <f>IF(BI$2&gt;=Params!$B$6,INDEX($C$217:$BV$217,BI$2-Params!$B$6+1),0)</f>
        <v/>
      </c>
      <c r="BJ218" s="5">
        <f>IF(BJ$2&gt;=Params!$B$6,INDEX($C$217:$BV$217,BJ$2-Params!$B$6+1),0)</f>
        <v/>
      </c>
      <c r="BK218" s="5">
        <f>IF(BK$2&gt;=Params!$B$6,INDEX($C$217:$BV$217,BK$2-Params!$B$6+1),0)</f>
        <v/>
      </c>
      <c r="BL218" s="5">
        <f>IF(BL$2&gt;=Params!$B$6,INDEX($C$217:$BV$217,BL$2-Params!$B$6+1),0)</f>
        <v/>
      </c>
      <c r="BM218" s="5">
        <f>IF(BM$2&gt;=Params!$B$6,INDEX($C$217:$BV$217,BM$2-Params!$B$6+1),0)</f>
        <v/>
      </c>
      <c r="BN218" s="5">
        <f>IF(BN$2&gt;=Params!$B$6,INDEX($C$217:$BV$217,BN$2-Params!$B$6+1),0)</f>
        <v/>
      </c>
      <c r="BO218" s="5">
        <f>IF(BO$2&gt;=Params!$B$6,INDEX($C$217:$BV$217,BO$2-Params!$B$6+1),0)</f>
        <v/>
      </c>
      <c r="BP218" s="5">
        <f>IF(BP$2&gt;=Params!$B$6,INDEX($C$217:$BV$217,BP$2-Params!$B$6+1),0)</f>
        <v/>
      </c>
      <c r="BQ218" s="5">
        <f>IF(BQ$2&gt;=Params!$B$6,INDEX($C$217:$BV$217,BQ$2-Params!$B$6+1),0)</f>
        <v/>
      </c>
      <c r="BR218" s="5">
        <f>IF(BR$2&gt;=Params!$B$6,INDEX($C$217:$BV$217,BR$2-Params!$B$6+1),0)</f>
        <v/>
      </c>
      <c r="BS218" s="5">
        <f>IF(BS$2&gt;=Params!$B$6,INDEX($C$217:$BV$217,BS$2-Params!$B$6+1),0)</f>
        <v/>
      </c>
      <c r="BT218" s="5">
        <f>IF(BT$2&gt;=Params!$B$6,INDEX($C$217:$BV$217,BT$2-Params!$B$6+1),0)</f>
        <v/>
      </c>
      <c r="BU218" s="5">
        <f>IF(BU$2&gt;=Params!$B$6,INDEX($C$217:$BV$217,BU$2-Params!$B$6+1),0)</f>
        <v/>
      </c>
      <c r="BV218" s="5">
        <f>IF(BV$2&gt;=Params!$B$6,INDEX($C$217:$BV$217,BV$2-Params!$B$6+1),0)</f>
        <v/>
      </c>
    </row>
    <row r="219">
      <c r="A219" t="inlineStr">
        <is>
          <t>trials lost</t>
        </is>
      </c>
      <c r="B219" t="inlineStr">
        <is>
          <t>APAC|BASIC_M</t>
        </is>
      </c>
      <c r="C219" s="5">
        <f>C216-C218</f>
        <v/>
      </c>
      <c r="D219" s="5">
        <f>D216-D218</f>
        <v/>
      </c>
      <c r="E219" s="5">
        <f>E216-E218</f>
        <v/>
      </c>
      <c r="F219" s="5">
        <f>F216-F218</f>
        <v/>
      </c>
      <c r="G219" s="5">
        <f>G216-G218</f>
        <v/>
      </c>
      <c r="H219" s="5">
        <f>H216-H218</f>
        <v/>
      </c>
      <c r="I219" s="5">
        <f>I216-I218</f>
        <v/>
      </c>
      <c r="J219" s="5">
        <f>J216-J218</f>
        <v/>
      </c>
      <c r="K219" s="5">
        <f>K216-K218</f>
        <v/>
      </c>
      <c r="L219" s="5">
        <f>L216-L218</f>
        <v/>
      </c>
      <c r="M219" s="5">
        <f>M216-M218</f>
        <v/>
      </c>
      <c r="N219" s="5">
        <f>N216-N218</f>
        <v/>
      </c>
      <c r="O219" s="5">
        <f>O216-O218</f>
        <v/>
      </c>
      <c r="P219" s="5">
        <f>P216-P218</f>
        <v/>
      </c>
      <c r="Q219" s="5">
        <f>Q216-Q218</f>
        <v/>
      </c>
      <c r="R219" s="5">
        <f>R216-R218</f>
        <v/>
      </c>
      <c r="S219" s="5">
        <f>S216-S218</f>
        <v/>
      </c>
      <c r="T219" s="5">
        <f>T216-T218</f>
        <v/>
      </c>
      <c r="U219" s="5">
        <f>U216-U218</f>
        <v/>
      </c>
      <c r="V219" s="5">
        <f>V216-V218</f>
        <v/>
      </c>
      <c r="W219" s="5">
        <f>W216-W218</f>
        <v/>
      </c>
      <c r="X219" s="5">
        <f>X216-X218</f>
        <v/>
      </c>
      <c r="Y219" s="5">
        <f>Y216-Y218</f>
        <v/>
      </c>
      <c r="Z219" s="5">
        <f>Z216-Z218</f>
        <v/>
      </c>
      <c r="AA219" s="5">
        <f>AA216-AA218</f>
        <v/>
      </c>
      <c r="AB219" s="5">
        <f>AB216-AB218</f>
        <v/>
      </c>
      <c r="AC219" s="5">
        <f>AC216-AC218</f>
        <v/>
      </c>
      <c r="AD219" s="5">
        <f>AD216-AD218</f>
        <v/>
      </c>
      <c r="AE219" s="5">
        <f>AE216-AE218</f>
        <v/>
      </c>
      <c r="AF219" s="5">
        <f>AF216-AF218</f>
        <v/>
      </c>
      <c r="AG219" s="5">
        <f>AG216-AG218</f>
        <v/>
      </c>
      <c r="AH219" s="5">
        <f>AH216-AH218</f>
        <v/>
      </c>
      <c r="AI219" s="5">
        <f>AI216-AI218</f>
        <v/>
      </c>
      <c r="AJ219" s="5">
        <f>AJ216-AJ218</f>
        <v/>
      </c>
      <c r="AK219" s="5">
        <f>AK216-AK218</f>
        <v/>
      </c>
      <c r="AL219" s="5">
        <f>AL216-AL218</f>
        <v/>
      </c>
      <c r="AM219" s="5">
        <f>AM216-AM218</f>
        <v/>
      </c>
      <c r="AN219" s="5">
        <f>AN216-AN218</f>
        <v/>
      </c>
      <c r="AO219" s="5">
        <f>AO216-AO218</f>
        <v/>
      </c>
      <c r="AP219" s="5">
        <f>AP216-AP218</f>
        <v/>
      </c>
      <c r="AQ219" s="5">
        <f>AQ216-AQ218</f>
        <v/>
      </c>
      <c r="AR219" s="5">
        <f>AR216-AR218</f>
        <v/>
      </c>
      <c r="AS219" s="5">
        <f>AS216-AS218</f>
        <v/>
      </c>
      <c r="AT219" s="5">
        <f>AT216-AT218</f>
        <v/>
      </c>
      <c r="AU219" s="5">
        <f>AU216-AU218</f>
        <v/>
      </c>
      <c r="AV219" s="5">
        <f>AV216-AV218</f>
        <v/>
      </c>
      <c r="AW219" s="5">
        <f>AW216-AW218</f>
        <v/>
      </c>
      <c r="AX219" s="5">
        <f>AX216-AX218</f>
        <v/>
      </c>
      <c r="AY219" s="5">
        <f>AY216-AY218</f>
        <v/>
      </c>
      <c r="AZ219" s="5">
        <f>AZ216-AZ218</f>
        <v/>
      </c>
      <c r="BA219" s="5">
        <f>BA216-BA218</f>
        <v/>
      </c>
      <c r="BB219" s="5">
        <f>BB216-BB218</f>
        <v/>
      </c>
      <c r="BC219" s="5">
        <f>BC216-BC218</f>
        <v/>
      </c>
      <c r="BD219" s="5">
        <f>BD216-BD218</f>
        <v/>
      </c>
      <c r="BE219" s="5">
        <f>BE216-BE218</f>
        <v/>
      </c>
      <c r="BF219" s="5">
        <f>BF216-BF218</f>
        <v/>
      </c>
      <c r="BG219" s="5">
        <f>BG216-BG218</f>
        <v/>
      </c>
      <c r="BH219" s="5">
        <f>BH216-BH218</f>
        <v/>
      </c>
      <c r="BI219" s="5">
        <f>BI216-BI218</f>
        <v/>
      </c>
      <c r="BJ219" s="5">
        <f>BJ216-BJ218</f>
        <v/>
      </c>
      <c r="BK219" s="5">
        <f>BK216-BK218</f>
        <v/>
      </c>
      <c r="BL219" s="5">
        <f>BL216-BL218</f>
        <v/>
      </c>
      <c r="BM219" s="5">
        <f>BM216-BM218</f>
        <v/>
      </c>
      <c r="BN219" s="5">
        <f>BN216-BN218</f>
        <v/>
      </c>
      <c r="BO219" s="5">
        <f>BO216-BO218</f>
        <v/>
      </c>
      <c r="BP219" s="5">
        <f>BP216-BP218</f>
        <v/>
      </c>
      <c r="BQ219" s="5">
        <f>BQ216-BQ218</f>
        <v/>
      </c>
      <c r="BR219" s="5">
        <f>BR216-BR218</f>
        <v/>
      </c>
      <c r="BS219" s="5">
        <f>BS216-BS218</f>
        <v/>
      </c>
      <c r="BT219" s="5">
        <f>BT216-BT218</f>
        <v/>
      </c>
      <c r="BU219" s="5">
        <f>BU216-BU218</f>
        <v/>
      </c>
      <c r="BV219" s="5">
        <f>BV216-BV218</f>
        <v/>
      </c>
    </row>
    <row r="220">
      <c r="A220" t="inlineStr">
        <is>
          <t>cum trial starts</t>
        </is>
      </c>
      <c r="B220" t="inlineStr">
        <is>
          <t>APAC|BASIC_M</t>
        </is>
      </c>
      <c r="C220" s="5">
        <f>SUM($C214:C214)</f>
        <v/>
      </c>
      <c r="D220" s="5">
        <f>SUM($C214:D214)</f>
        <v/>
      </c>
      <c r="E220" s="5">
        <f>SUM($C214:E214)</f>
        <v/>
      </c>
      <c r="F220" s="5">
        <f>SUM($C214:F214)</f>
        <v/>
      </c>
      <c r="G220" s="5">
        <f>SUM($C214:G214)</f>
        <v/>
      </c>
      <c r="H220" s="5">
        <f>SUM($C214:H214)</f>
        <v/>
      </c>
      <c r="I220" s="5">
        <f>SUM($C214:I214)</f>
        <v/>
      </c>
      <c r="J220" s="5">
        <f>SUM($C214:J214)</f>
        <v/>
      </c>
      <c r="K220" s="5">
        <f>SUM($C214:K214)</f>
        <v/>
      </c>
      <c r="L220" s="5">
        <f>SUM($C214:L214)</f>
        <v/>
      </c>
      <c r="M220" s="5">
        <f>SUM($C214:M214)</f>
        <v/>
      </c>
      <c r="N220" s="5">
        <f>SUM($C214:N214)</f>
        <v/>
      </c>
      <c r="O220" s="5">
        <f>SUM($C214:O214)</f>
        <v/>
      </c>
      <c r="P220" s="5">
        <f>SUM($C214:P214)</f>
        <v/>
      </c>
      <c r="Q220" s="5">
        <f>SUM($C214:Q214)</f>
        <v/>
      </c>
      <c r="R220" s="5">
        <f>SUM($C214:R214)</f>
        <v/>
      </c>
      <c r="S220" s="5">
        <f>SUM($C214:S214)</f>
        <v/>
      </c>
      <c r="T220" s="5">
        <f>SUM($C214:T214)</f>
        <v/>
      </c>
      <c r="U220" s="5">
        <f>SUM($C214:U214)</f>
        <v/>
      </c>
      <c r="V220" s="5">
        <f>SUM($C214:V214)</f>
        <v/>
      </c>
      <c r="W220" s="5">
        <f>SUM($C214:W214)</f>
        <v/>
      </c>
      <c r="X220" s="5">
        <f>SUM($C214:X214)</f>
        <v/>
      </c>
      <c r="Y220" s="5">
        <f>SUM($C214:Y214)</f>
        <v/>
      </c>
      <c r="Z220" s="5">
        <f>SUM($C214:Z214)</f>
        <v/>
      </c>
      <c r="AA220" s="5">
        <f>SUM($C214:AA214)</f>
        <v/>
      </c>
      <c r="AB220" s="5">
        <f>SUM($C214:AB214)</f>
        <v/>
      </c>
      <c r="AC220" s="5">
        <f>SUM($C214:AC214)</f>
        <v/>
      </c>
      <c r="AD220" s="5">
        <f>SUM($C214:AD214)</f>
        <v/>
      </c>
      <c r="AE220" s="5">
        <f>SUM($C214:AE214)</f>
        <v/>
      </c>
      <c r="AF220" s="5">
        <f>SUM($C214:AF214)</f>
        <v/>
      </c>
      <c r="AG220" s="5">
        <f>SUM($C214:AG214)</f>
        <v/>
      </c>
      <c r="AH220" s="5">
        <f>SUM($C214:AH214)</f>
        <v/>
      </c>
      <c r="AI220" s="5">
        <f>SUM($C214:AI214)</f>
        <v/>
      </c>
      <c r="AJ220" s="5">
        <f>SUM($C214:AJ214)</f>
        <v/>
      </c>
      <c r="AK220" s="5">
        <f>SUM($C214:AK214)</f>
        <v/>
      </c>
      <c r="AL220" s="5">
        <f>SUM($C214:AL214)</f>
        <v/>
      </c>
      <c r="AM220" s="5">
        <f>SUM($C214:AM214)</f>
        <v/>
      </c>
      <c r="AN220" s="5">
        <f>SUM($C214:AN214)</f>
        <v/>
      </c>
      <c r="AO220" s="5">
        <f>SUM($C214:AO214)</f>
        <v/>
      </c>
      <c r="AP220" s="5">
        <f>SUM($C214:AP214)</f>
        <v/>
      </c>
      <c r="AQ220" s="5">
        <f>SUM($C214:AQ214)</f>
        <v/>
      </c>
      <c r="AR220" s="5">
        <f>SUM($C214:AR214)</f>
        <v/>
      </c>
      <c r="AS220" s="5">
        <f>SUM($C214:AS214)</f>
        <v/>
      </c>
      <c r="AT220" s="5">
        <f>SUM($C214:AT214)</f>
        <v/>
      </c>
      <c r="AU220" s="5">
        <f>SUM($C214:AU214)</f>
        <v/>
      </c>
      <c r="AV220" s="5">
        <f>SUM($C214:AV214)</f>
        <v/>
      </c>
      <c r="AW220" s="5">
        <f>SUM($C214:AW214)</f>
        <v/>
      </c>
      <c r="AX220" s="5">
        <f>SUM($C214:AX214)</f>
        <v/>
      </c>
      <c r="AY220" s="5">
        <f>SUM($C214:AY214)</f>
        <v/>
      </c>
      <c r="AZ220" s="5">
        <f>SUM($C214:AZ214)</f>
        <v/>
      </c>
      <c r="BA220" s="5">
        <f>SUM($C214:BA214)</f>
        <v/>
      </c>
      <c r="BB220" s="5">
        <f>SUM($C214:BB214)</f>
        <v/>
      </c>
      <c r="BC220" s="5">
        <f>SUM($C214:BC214)</f>
        <v/>
      </c>
      <c r="BD220" s="5">
        <f>SUM($C214:BD214)</f>
        <v/>
      </c>
      <c r="BE220" s="5">
        <f>SUM($C214:BE214)</f>
        <v/>
      </c>
      <c r="BF220" s="5">
        <f>SUM($C214:BF214)</f>
        <v/>
      </c>
      <c r="BG220" s="5">
        <f>SUM($C214:BG214)</f>
        <v/>
      </c>
      <c r="BH220" s="5">
        <f>SUM($C214:BH214)</f>
        <v/>
      </c>
      <c r="BI220" s="5">
        <f>SUM($C214:BI214)</f>
        <v/>
      </c>
      <c r="BJ220" s="5">
        <f>SUM($C214:BJ214)</f>
        <v/>
      </c>
      <c r="BK220" s="5">
        <f>SUM($C214:BK214)</f>
        <v/>
      </c>
      <c r="BL220" s="5">
        <f>SUM($C214:BL214)</f>
        <v/>
      </c>
      <c r="BM220" s="5">
        <f>SUM($C214:BM214)</f>
        <v/>
      </c>
      <c r="BN220" s="5">
        <f>SUM($C214:BN214)</f>
        <v/>
      </c>
      <c r="BO220" s="5">
        <f>SUM($C214:BO214)</f>
        <v/>
      </c>
      <c r="BP220" s="5">
        <f>SUM($C214:BP214)</f>
        <v/>
      </c>
      <c r="BQ220" s="5">
        <f>SUM($C214:BQ214)</f>
        <v/>
      </c>
      <c r="BR220" s="5">
        <f>SUM($C214:BR214)</f>
        <v/>
      </c>
      <c r="BS220" s="5">
        <f>SUM($C214:BS214)</f>
        <v/>
      </c>
      <c r="BT220" s="5">
        <f>SUM($C214:BT214)</f>
        <v/>
      </c>
      <c r="BU220" s="5">
        <f>SUM($C214:BU214)</f>
        <v/>
      </c>
      <c r="BV220" s="5">
        <f>SUM($C214:BV214)</f>
        <v/>
      </c>
    </row>
    <row r="221">
      <c r="A221" t="inlineStr">
        <is>
          <t>cum trials ending</t>
        </is>
      </c>
      <c r="B221" t="inlineStr">
        <is>
          <t>APAC|BASIC_M</t>
        </is>
      </c>
      <c r="C221" s="5">
        <f>SUM($C216:C216)</f>
        <v/>
      </c>
      <c r="D221" s="5">
        <f>SUM($C216:D216)</f>
        <v/>
      </c>
      <c r="E221" s="5">
        <f>SUM($C216:E216)</f>
        <v/>
      </c>
      <c r="F221" s="5">
        <f>SUM($C216:F216)</f>
        <v/>
      </c>
      <c r="G221" s="5">
        <f>SUM($C216:G216)</f>
        <v/>
      </c>
      <c r="H221" s="5">
        <f>SUM($C216:H216)</f>
        <v/>
      </c>
      <c r="I221" s="5">
        <f>SUM($C216:I216)</f>
        <v/>
      </c>
      <c r="J221" s="5">
        <f>SUM($C216:J216)</f>
        <v/>
      </c>
      <c r="K221" s="5">
        <f>SUM($C216:K216)</f>
        <v/>
      </c>
      <c r="L221" s="5">
        <f>SUM($C216:L216)</f>
        <v/>
      </c>
      <c r="M221" s="5">
        <f>SUM($C216:M216)</f>
        <v/>
      </c>
      <c r="N221" s="5">
        <f>SUM($C216:N216)</f>
        <v/>
      </c>
      <c r="O221" s="5">
        <f>SUM($C216:O216)</f>
        <v/>
      </c>
      <c r="P221" s="5">
        <f>SUM($C216:P216)</f>
        <v/>
      </c>
      <c r="Q221" s="5">
        <f>SUM($C216:Q216)</f>
        <v/>
      </c>
      <c r="R221" s="5">
        <f>SUM($C216:R216)</f>
        <v/>
      </c>
      <c r="S221" s="5">
        <f>SUM($C216:S216)</f>
        <v/>
      </c>
      <c r="T221" s="5">
        <f>SUM($C216:T216)</f>
        <v/>
      </c>
      <c r="U221" s="5">
        <f>SUM($C216:U216)</f>
        <v/>
      </c>
      <c r="V221" s="5">
        <f>SUM($C216:V216)</f>
        <v/>
      </c>
      <c r="W221" s="5">
        <f>SUM($C216:W216)</f>
        <v/>
      </c>
      <c r="X221" s="5">
        <f>SUM($C216:X216)</f>
        <v/>
      </c>
      <c r="Y221" s="5">
        <f>SUM($C216:Y216)</f>
        <v/>
      </c>
      <c r="Z221" s="5">
        <f>SUM($C216:Z216)</f>
        <v/>
      </c>
      <c r="AA221" s="5">
        <f>SUM($C216:AA216)</f>
        <v/>
      </c>
      <c r="AB221" s="5">
        <f>SUM($C216:AB216)</f>
        <v/>
      </c>
      <c r="AC221" s="5">
        <f>SUM($C216:AC216)</f>
        <v/>
      </c>
      <c r="AD221" s="5">
        <f>SUM($C216:AD216)</f>
        <v/>
      </c>
      <c r="AE221" s="5">
        <f>SUM($C216:AE216)</f>
        <v/>
      </c>
      <c r="AF221" s="5">
        <f>SUM($C216:AF216)</f>
        <v/>
      </c>
      <c r="AG221" s="5">
        <f>SUM($C216:AG216)</f>
        <v/>
      </c>
      <c r="AH221" s="5">
        <f>SUM($C216:AH216)</f>
        <v/>
      </c>
      <c r="AI221" s="5">
        <f>SUM($C216:AI216)</f>
        <v/>
      </c>
      <c r="AJ221" s="5">
        <f>SUM($C216:AJ216)</f>
        <v/>
      </c>
      <c r="AK221" s="5">
        <f>SUM($C216:AK216)</f>
        <v/>
      </c>
      <c r="AL221" s="5">
        <f>SUM($C216:AL216)</f>
        <v/>
      </c>
      <c r="AM221" s="5">
        <f>SUM($C216:AM216)</f>
        <v/>
      </c>
      <c r="AN221" s="5">
        <f>SUM($C216:AN216)</f>
        <v/>
      </c>
      <c r="AO221" s="5">
        <f>SUM($C216:AO216)</f>
        <v/>
      </c>
      <c r="AP221" s="5">
        <f>SUM($C216:AP216)</f>
        <v/>
      </c>
      <c r="AQ221" s="5">
        <f>SUM($C216:AQ216)</f>
        <v/>
      </c>
      <c r="AR221" s="5">
        <f>SUM($C216:AR216)</f>
        <v/>
      </c>
      <c r="AS221" s="5">
        <f>SUM($C216:AS216)</f>
        <v/>
      </c>
      <c r="AT221" s="5">
        <f>SUM($C216:AT216)</f>
        <v/>
      </c>
      <c r="AU221" s="5">
        <f>SUM($C216:AU216)</f>
        <v/>
      </c>
      <c r="AV221" s="5">
        <f>SUM($C216:AV216)</f>
        <v/>
      </c>
      <c r="AW221" s="5">
        <f>SUM($C216:AW216)</f>
        <v/>
      </c>
      <c r="AX221" s="5">
        <f>SUM($C216:AX216)</f>
        <v/>
      </c>
      <c r="AY221" s="5">
        <f>SUM($C216:AY216)</f>
        <v/>
      </c>
      <c r="AZ221" s="5">
        <f>SUM($C216:AZ216)</f>
        <v/>
      </c>
      <c r="BA221" s="5">
        <f>SUM($C216:BA216)</f>
        <v/>
      </c>
      <c r="BB221" s="5">
        <f>SUM($C216:BB216)</f>
        <v/>
      </c>
      <c r="BC221" s="5">
        <f>SUM($C216:BC216)</f>
        <v/>
      </c>
      <c r="BD221" s="5">
        <f>SUM($C216:BD216)</f>
        <v/>
      </c>
      <c r="BE221" s="5">
        <f>SUM($C216:BE216)</f>
        <v/>
      </c>
      <c r="BF221" s="5">
        <f>SUM($C216:BF216)</f>
        <v/>
      </c>
      <c r="BG221" s="5">
        <f>SUM($C216:BG216)</f>
        <v/>
      </c>
      <c r="BH221" s="5">
        <f>SUM($C216:BH216)</f>
        <v/>
      </c>
      <c r="BI221" s="5">
        <f>SUM($C216:BI216)</f>
        <v/>
      </c>
      <c r="BJ221" s="5">
        <f>SUM($C216:BJ216)</f>
        <v/>
      </c>
      <c r="BK221" s="5">
        <f>SUM($C216:BK216)</f>
        <v/>
      </c>
      <c r="BL221" s="5">
        <f>SUM($C216:BL216)</f>
        <v/>
      </c>
      <c r="BM221" s="5">
        <f>SUM($C216:BM216)</f>
        <v/>
      </c>
      <c r="BN221" s="5">
        <f>SUM($C216:BN216)</f>
        <v/>
      </c>
      <c r="BO221" s="5">
        <f>SUM($C216:BO216)</f>
        <v/>
      </c>
      <c r="BP221" s="5">
        <f>SUM($C216:BP216)</f>
        <v/>
      </c>
      <c r="BQ221" s="5">
        <f>SUM($C216:BQ216)</f>
        <v/>
      </c>
      <c r="BR221" s="5">
        <f>SUM($C216:BR216)</f>
        <v/>
      </c>
      <c r="BS221" s="5">
        <f>SUM($C216:BS216)</f>
        <v/>
      </c>
      <c r="BT221" s="5">
        <f>SUM($C216:BT216)</f>
        <v/>
      </c>
      <c r="BU221" s="5">
        <f>SUM($C216:BU216)</f>
        <v/>
      </c>
      <c r="BV221" s="5">
        <f>SUM($C216:BV216)</f>
        <v/>
      </c>
    </row>
    <row r="222">
      <c r="A222" t="inlineStr">
        <is>
          <t>trials active</t>
        </is>
      </c>
      <c r="B222" t="inlineStr">
        <is>
          <t>APAC|BASIC_M</t>
        </is>
      </c>
      <c r="C222" s="5">
        <f>C220-C221</f>
        <v/>
      </c>
      <c r="D222" s="5">
        <f>D220-D221</f>
        <v/>
      </c>
      <c r="E222" s="5">
        <f>E220-E221</f>
        <v/>
      </c>
      <c r="F222" s="5">
        <f>F220-F221</f>
        <v/>
      </c>
      <c r="G222" s="5">
        <f>G220-G221</f>
        <v/>
      </c>
      <c r="H222" s="5">
        <f>H220-H221</f>
        <v/>
      </c>
      <c r="I222" s="5">
        <f>I220-I221</f>
        <v/>
      </c>
      <c r="J222" s="5">
        <f>J220-J221</f>
        <v/>
      </c>
      <c r="K222" s="5">
        <f>K220-K221</f>
        <v/>
      </c>
      <c r="L222" s="5">
        <f>L220-L221</f>
        <v/>
      </c>
      <c r="M222" s="5">
        <f>M220-M221</f>
        <v/>
      </c>
      <c r="N222" s="5">
        <f>N220-N221</f>
        <v/>
      </c>
      <c r="O222" s="5">
        <f>O220-O221</f>
        <v/>
      </c>
      <c r="P222" s="5">
        <f>P220-P221</f>
        <v/>
      </c>
      <c r="Q222" s="5">
        <f>Q220-Q221</f>
        <v/>
      </c>
      <c r="R222" s="5">
        <f>R220-R221</f>
        <v/>
      </c>
      <c r="S222" s="5">
        <f>S220-S221</f>
        <v/>
      </c>
      <c r="T222" s="5">
        <f>T220-T221</f>
        <v/>
      </c>
      <c r="U222" s="5">
        <f>U220-U221</f>
        <v/>
      </c>
      <c r="V222" s="5">
        <f>V220-V221</f>
        <v/>
      </c>
      <c r="W222" s="5">
        <f>W220-W221</f>
        <v/>
      </c>
      <c r="X222" s="5">
        <f>X220-X221</f>
        <v/>
      </c>
      <c r="Y222" s="5">
        <f>Y220-Y221</f>
        <v/>
      </c>
      <c r="Z222" s="5">
        <f>Z220-Z221</f>
        <v/>
      </c>
      <c r="AA222" s="5">
        <f>AA220-AA221</f>
        <v/>
      </c>
      <c r="AB222" s="5">
        <f>AB220-AB221</f>
        <v/>
      </c>
      <c r="AC222" s="5">
        <f>AC220-AC221</f>
        <v/>
      </c>
      <c r="AD222" s="5">
        <f>AD220-AD221</f>
        <v/>
      </c>
      <c r="AE222" s="5">
        <f>AE220-AE221</f>
        <v/>
      </c>
      <c r="AF222" s="5">
        <f>AF220-AF221</f>
        <v/>
      </c>
      <c r="AG222" s="5">
        <f>AG220-AG221</f>
        <v/>
      </c>
      <c r="AH222" s="5">
        <f>AH220-AH221</f>
        <v/>
      </c>
      <c r="AI222" s="5">
        <f>AI220-AI221</f>
        <v/>
      </c>
      <c r="AJ222" s="5">
        <f>AJ220-AJ221</f>
        <v/>
      </c>
      <c r="AK222" s="5">
        <f>AK220-AK221</f>
        <v/>
      </c>
      <c r="AL222" s="5">
        <f>AL220-AL221</f>
        <v/>
      </c>
      <c r="AM222" s="5">
        <f>AM220-AM221</f>
        <v/>
      </c>
      <c r="AN222" s="5">
        <f>AN220-AN221</f>
        <v/>
      </c>
      <c r="AO222" s="5">
        <f>AO220-AO221</f>
        <v/>
      </c>
      <c r="AP222" s="5">
        <f>AP220-AP221</f>
        <v/>
      </c>
      <c r="AQ222" s="5">
        <f>AQ220-AQ221</f>
        <v/>
      </c>
      <c r="AR222" s="5">
        <f>AR220-AR221</f>
        <v/>
      </c>
      <c r="AS222" s="5">
        <f>AS220-AS221</f>
        <v/>
      </c>
      <c r="AT222" s="5">
        <f>AT220-AT221</f>
        <v/>
      </c>
      <c r="AU222" s="5">
        <f>AU220-AU221</f>
        <v/>
      </c>
      <c r="AV222" s="5">
        <f>AV220-AV221</f>
        <v/>
      </c>
      <c r="AW222" s="5">
        <f>AW220-AW221</f>
        <v/>
      </c>
      <c r="AX222" s="5">
        <f>AX220-AX221</f>
        <v/>
      </c>
      <c r="AY222" s="5">
        <f>AY220-AY221</f>
        <v/>
      </c>
      <c r="AZ222" s="5">
        <f>AZ220-AZ221</f>
        <v/>
      </c>
      <c r="BA222" s="5">
        <f>BA220-BA221</f>
        <v/>
      </c>
      <c r="BB222" s="5">
        <f>BB220-BB221</f>
        <v/>
      </c>
      <c r="BC222" s="5">
        <f>BC220-BC221</f>
        <v/>
      </c>
      <c r="BD222" s="5">
        <f>BD220-BD221</f>
        <v/>
      </c>
      <c r="BE222" s="5">
        <f>BE220-BE221</f>
        <v/>
      </c>
      <c r="BF222" s="5">
        <f>BF220-BF221</f>
        <v/>
      </c>
      <c r="BG222" s="5">
        <f>BG220-BG221</f>
        <v/>
      </c>
      <c r="BH222" s="5">
        <f>BH220-BH221</f>
        <v/>
      </c>
      <c r="BI222" s="5">
        <f>BI220-BI221</f>
        <v/>
      </c>
      <c r="BJ222" s="5">
        <f>BJ220-BJ221</f>
        <v/>
      </c>
      <c r="BK222" s="5">
        <f>BK220-BK221</f>
        <v/>
      </c>
      <c r="BL222" s="5">
        <f>BL220-BL221</f>
        <v/>
      </c>
      <c r="BM222" s="5">
        <f>BM220-BM221</f>
        <v/>
      </c>
      <c r="BN222" s="5">
        <f>BN220-BN221</f>
        <v/>
      </c>
      <c r="BO222" s="5">
        <f>BO220-BO221</f>
        <v/>
      </c>
      <c r="BP222" s="5">
        <f>BP220-BP221</f>
        <v/>
      </c>
      <c r="BQ222" s="5">
        <f>BQ220-BQ221</f>
        <v/>
      </c>
      <c r="BR222" s="5">
        <f>BR220-BR221</f>
        <v/>
      </c>
      <c r="BS222" s="5">
        <f>BS220-BS221</f>
        <v/>
      </c>
      <c r="BT222" s="5">
        <f>BT220-BT221</f>
        <v/>
      </c>
      <c r="BU222" s="5">
        <f>BU220-BU221</f>
        <v/>
      </c>
      <c r="BV222" s="5">
        <f>BV220-BV221</f>
        <v/>
      </c>
    </row>
    <row r="223">
      <c r="A223" t="inlineStr">
        <is>
          <t>paid starts</t>
        </is>
      </c>
      <c r="B223" t="inlineStr">
        <is>
          <t>APAC|BASIC_M</t>
        </is>
      </c>
      <c r="C223" s="5">
        <f>C215+C218</f>
        <v/>
      </c>
      <c r="D223" s="5">
        <f>D215+D218</f>
        <v/>
      </c>
      <c r="E223" s="5">
        <f>E215+E218</f>
        <v/>
      </c>
      <c r="F223" s="5">
        <f>F215+F218</f>
        <v/>
      </c>
      <c r="G223" s="5">
        <f>G215+G218</f>
        <v/>
      </c>
      <c r="H223" s="5">
        <f>H215+H218</f>
        <v/>
      </c>
      <c r="I223" s="5">
        <f>I215+I218</f>
        <v/>
      </c>
      <c r="J223" s="5">
        <f>J215+J218</f>
        <v/>
      </c>
      <c r="K223" s="5">
        <f>K215+K218</f>
        <v/>
      </c>
      <c r="L223" s="5">
        <f>L215+L218</f>
        <v/>
      </c>
      <c r="M223" s="5">
        <f>M215+M218</f>
        <v/>
      </c>
      <c r="N223" s="5">
        <f>N215+N218</f>
        <v/>
      </c>
      <c r="O223" s="5">
        <f>O215+O218</f>
        <v/>
      </c>
      <c r="P223" s="5">
        <f>P215+P218</f>
        <v/>
      </c>
      <c r="Q223" s="5">
        <f>Q215+Q218</f>
        <v/>
      </c>
      <c r="R223" s="5">
        <f>R215+R218</f>
        <v/>
      </c>
      <c r="S223" s="5">
        <f>S215+S218</f>
        <v/>
      </c>
      <c r="T223" s="5">
        <f>T215+T218</f>
        <v/>
      </c>
      <c r="U223" s="5">
        <f>U215+U218</f>
        <v/>
      </c>
      <c r="V223" s="5">
        <f>V215+V218</f>
        <v/>
      </c>
      <c r="W223" s="5">
        <f>W215+W218</f>
        <v/>
      </c>
      <c r="X223" s="5">
        <f>X215+X218</f>
        <v/>
      </c>
      <c r="Y223" s="5">
        <f>Y215+Y218</f>
        <v/>
      </c>
      <c r="Z223" s="5">
        <f>Z215+Z218</f>
        <v/>
      </c>
      <c r="AA223" s="5">
        <f>AA215+AA218</f>
        <v/>
      </c>
      <c r="AB223" s="5">
        <f>AB215+AB218</f>
        <v/>
      </c>
      <c r="AC223" s="5">
        <f>AC215+AC218</f>
        <v/>
      </c>
      <c r="AD223" s="5">
        <f>AD215+AD218</f>
        <v/>
      </c>
      <c r="AE223" s="5">
        <f>AE215+AE218</f>
        <v/>
      </c>
      <c r="AF223" s="5">
        <f>AF215+AF218</f>
        <v/>
      </c>
      <c r="AG223" s="5">
        <f>AG215+AG218</f>
        <v/>
      </c>
      <c r="AH223" s="5">
        <f>AH215+AH218</f>
        <v/>
      </c>
      <c r="AI223" s="5">
        <f>AI215+AI218</f>
        <v/>
      </c>
      <c r="AJ223" s="5">
        <f>AJ215+AJ218</f>
        <v/>
      </c>
      <c r="AK223" s="5">
        <f>AK215+AK218</f>
        <v/>
      </c>
      <c r="AL223" s="5">
        <f>AL215+AL218</f>
        <v/>
      </c>
      <c r="AM223" s="5">
        <f>AM215+AM218</f>
        <v/>
      </c>
      <c r="AN223" s="5">
        <f>AN215+AN218</f>
        <v/>
      </c>
      <c r="AO223" s="5">
        <f>AO215+AO218</f>
        <v/>
      </c>
      <c r="AP223" s="5">
        <f>AP215+AP218</f>
        <v/>
      </c>
      <c r="AQ223" s="5">
        <f>AQ215+AQ218</f>
        <v/>
      </c>
      <c r="AR223" s="5">
        <f>AR215+AR218</f>
        <v/>
      </c>
      <c r="AS223" s="5">
        <f>AS215+AS218</f>
        <v/>
      </c>
      <c r="AT223" s="5">
        <f>AT215+AT218</f>
        <v/>
      </c>
      <c r="AU223" s="5">
        <f>AU215+AU218</f>
        <v/>
      </c>
      <c r="AV223" s="5">
        <f>AV215+AV218</f>
        <v/>
      </c>
      <c r="AW223" s="5">
        <f>AW215+AW218</f>
        <v/>
      </c>
      <c r="AX223" s="5">
        <f>AX215+AX218</f>
        <v/>
      </c>
      <c r="AY223" s="5">
        <f>AY215+AY218</f>
        <v/>
      </c>
      <c r="AZ223" s="5">
        <f>AZ215+AZ218</f>
        <v/>
      </c>
      <c r="BA223" s="5">
        <f>BA215+BA218</f>
        <v/>
      </c>
      <c r="BB223" s="5">
        <f>BB215+BB218</f>
        <v/>
      </c>
      <c r="BC223" s="5">
        <f>BC215+BC218</f>
        <v/>
      </c>
      <c r="BD223" s="5">
        <f>BD215+BD218</f>
        <v/>
      </c>
      <c r="BE223" s="5">
        <f>BE215+BE218</f>
        <v/>
      </c>
      <c r="BF223" s="5">
        <f>BF215+BF218</f>
        <v/>
      </c>
      <c r="BG223" s="5">
        <f>BG215+BG218</f>
        <v/>
      </c>
      <c r="BH223" s="5">
        <f>BH215+BH218</f>
        <v/>
      </c>
      <c r="BI223" s="5">
        <f>BI215+BI218</f>
        <v/>
      </c>
      <c r="BJ223" s="5">
        <f>BJ215+BJ218</f>
        <v/>
      </c>
      <c r="BK223" s="5">
        <f>BK215+BK218</f>
        <v/>
      </c>
      <c r="BL223" s="5">
        <f>BL215+BL218</f>
        <v/>
      </c>
      <c r="BM223" s="5">
        <f>BM215+BM218</f>
        <v/>
      </c>
      <c r="BN223" s="5">
        <f>BN215+BN218</f>
        <v/>
      </c>
      <c r="BO223" s="5">
        <f>BO215+BO218</f>
        <v/>
      </c>
      <c r="BP223" s="5">
        <f>BP215+BP218</f>
        <v/>
      </c>
      <c r="BQ223" s="5">
        <f>BQ215+BQ218</f>
        <v/>
      </c>
      <c r="BR223" s="5">
        <f>BR215+BR218</f>
        <v/>
      </c>
      <c r="BS223" s="5">
        <f>BS215+BS218</f>
        <v/>
      </c>
      <c r="BT223" s="5">
        <f>BT215+BT218</f>
        <v/>
      </c>
      <c r="BU223" s="5">
        <f>BU215+BU218</f>
        <v/>
      </c>
      <c r="BV223" s="5">
        <f>BV215+BV218</f>
        <v/>
      </c>
    </row>
    <row r="224">
      <c r="A224" t="inlineStr">
        <is>
          <t>paid starts @0</t>
        </is>
      </c>
      <c r="B224" t="inlineStr">
        <is>
          <t>APAC|BASIC_M</t>
        </is>
      </c>
      <c r="C224" s="5">
        <f>C223*Eras!C$3</f>
        <v/>
      </c>
      <c r="D224" s="5">
        <f>D223*Eras!D$3</f>
        <v/>
      </c>
      <c r="E224" s="5">
        <f>E223*Eras!E$3</f>
        <v/>
      </c>
      <c r="F224" s="5">
        <f>F223*Eras!F$3</f>
        <v/>
      </c>
      <c r="G224" s="5">
        <f>G223*Eras!G$3</f>
        <v/>
      </c>
      <c r="H224" s="5">
        <f>H223*Eras!H$3</f>
        <v/>
      </c>
      <c r="I224" s="5">
        <f>I223*Eras!I$3</f>
        <v/>
      </c>
      <c r="J224" s="5">
        <f>J223*Eras!J$3</f>
        <v/>
      </c>
      <c r="K224" s="5">
        <f>K223*Eras!K$3</f>
        <v/>
      </c>
      <c r="L224" s="5">
        <f>L223*Eras!L$3</f>
        <v/>
      </c>
      <c r="M224" s="5">
        <f>M223*Eras!M$3</f>
        <v/>
      </c>
      <c r="N224" s="5">
        <f>N223*Eras!N$3</f>
        <v/>
      </c>
      <c r="O224" s="5">
        <f>O223*Eras!O$3</f>
        <v/>
      </c>
      <c r="P224" s="5">
        <f>P223*Eras!P$3</f>
        <v/>
      </c>
      <c r="Q224" s="5">
        <f>Q223*Eras!Q$3</f>
        <v/>
      </c>
      <c r="R224" s="5">
        <f>R223*Eras!R$3</f>
        <v/>
      </c>
      <c r="S224" s="5">
        <f>S223*Eras!S$3</f>
        <v/>
      </c>
      <c r="T224" s="5">
        <f>T223*Eras!T$3</f>
        <v/>
      </c>
      <c r="U224" s="5">
        <f>U223*Eras!U$3</f>
        <v/>
      </c>
      <c r="V224" s="5">
        <f>V223*Eras!V$3</f>
        <v/>
      </c>
      <c r="W224" s="5">
        <f>W223*Eras!W$3</f>
        <v/>
      </c>
      <c r="X224" s="5">
        <f>X223*Eras!X$3</f>
        <v/>
      </c>
      <c r="Y224" s="5">
        <f>Y223*Eras!Y$3</f>
        <v/>
      </c>
      <c r="Z224" s="5">
        <f>Z223*Eras!Z$3</f>
        <v/>
      </c>
      <c r="AA224" s="5">
        <f>AA223*Eras!AA$3</f>
        <v/>
      </c>
      <c r="AB224" s="5">
        <f>AB223*Eras!AB$3</f>
        <v/>
      </c>
      <c r="AC224" s="5">
        <f>AC223*Eras!AC$3</f>
        <v/>
      </c>
      <c r="AD224" s="5">
        <f>AD223*Eras!AD$3</f>
        <v/>
      </c>
      <c r="AE224" s="5">
        <f>AE223*Eras!AE$3</f>
        <v/>
      </c>
      <c r="AF224" s="5">
        <f>AF223*Eras!AF$3</f>
        <v/>
      </c>
      <c r="AG224" s="5">
        <f>AG223*Eras!AG$3</f>
        <v/>
      </c>
      <c r="AH224" s="5">
        <f>AH223*Eras!AH$3</f>
        <v/>
      </c>
      <c r="AI224" s="5">
        <f>AI223*Eras!AI$3</f>
        <v/>
      </c>
      <c r="AJ224" s="5">
        <f>AJ223*Eras!AJ$3</f>
        <v/>
      </c>
      <c r="AK224" s="5">
        <f>AK223*Eras!AK$3</f>
        <v/>
      </c>
      <c r="AL224" s="5">
        <f>AL223*Eras!AL$3</f>
        <v/>
      </c>
      <c r="AM224" s="5">
        <f>AM223*Eras!AM$3</f>
        <v/>
      </c>
      <c r="AN224" s="5">
        <f>AN223*Eras!AN$3</f>
        <v/>
      </c>
      <c r="AO224" s="5">
        <f>AO223*Eras!AO$3</f>
        <v/>
      </c>
      <c r="AP224" s="5">
        <f>AP223*Eras!AP$3</f>
        <v/>
      </c>
      <c r="AQ224" s="5">
        <f>AQ223*Eras!AQ$3</f>
        <v/>
      </c>
      <c r="AR224" s="5">
        <f>AR223*Eras!AR$3</f>
        <v/>
      </c>
      <c r="AS224" s="5">
        <f>AS223*Eras!AS$3</f>
        <v/>
      </c>
      <c r="AT224" s="5">
        <f>AT223*Eras!AT$3</f>
        <v/>
      </c>
      <c r="AU224" s="5">
        <f>AU223*Eras!AU$3</f>
        <v/>
      </c>
      <c r="AV224" s="5">
        <f>AV223*Eras!AV$3</f>
        <v/>
      </c>
      <c r="AW224" s="5">
        <f>AW223*Eras!AW$3</f>
        <v/>
      </c>
      <c r="AX224" s="5">
        <f>AX223*Eras!AX$3</f>
        <v/>
      </c>
      <c r="AY224" s="5">
        <f>AY223*Eras!AY$3</f>
        <v/>
      </c>
      <c r="AZ224" s="5">
        <f>AZ223*Eras!AZ$3</f>
        <v/>
      </c>
      <c r="BA224" s="5">
        <f>BA223*Eras!BA$3</f>
        <v/>
      </c>
      <c r="BB224" s="5">
        <f>BB223*Eras!BB$3</f>
        <v/>
      </c>
      <c r="BC224" s="5">
        <f>BC223*Eras!BC$3</f>
        <v/>
      </c>
      <c r="BD224" s="5">
        <f>BD223*Eras!BD$3</f>
        <v/>
      </c>
      <c r="BE224" s="5">
        <f>BE223*Eras!BE$3</f>
        <v/>
      </c>
      <c r="BF224" s="5">
        <f>BF223*Eras!BF$3</f>
        <v/>
      </c>
      <c r="BG224" s="5">
        <f>BG223*Eras!BG$3</f>
        <v/>
      </c>
      <c r="BH224" s="5">
        <f>BH223*Eras!BH$3</f>
        <v/>
      </c>
      <c r="BI224" s="5">
        <f>BI223*Eras!BI$3</f>
        <v/>
      </c>
      <c r="BJ224" s="5">
        <f>BJ223*Eras!BJ$3</f>
        <v/>
      </c>
      <c r="BK224" s="5">
        <f>BK223*Eras!BK$3</f>
        <v/>
      </c>
      <c r="BL224" s="5">
        <f>BL223*Eras!BL$3</f>
        <v/>
      </c>
      <c r="BM224" s="5">
        <f>BM223*Eras!BM$3</f>
        <v/>
      </c>
      <c r="BN224" s="5">
        <f>BN223*Eras!BN$3</f>
        <v/>
      </c>
      <c r="BO224" s="5">
        <f>BO223*Eras!BO$3</f>
        <v/>
      </c>
      <c r="BP224" s="5">
        <f>BP223*Eras!BP$3</f>
        <v/>
      </c>
      <c r="BQ224" s="5">
        <f>BQ223*Eras!BQ$3</f>
        <v/>
      </c>
      <c r="BR224" s="5">
        <f>BR223*Eras!BR$3</f>
        <v/>
      </c>
      <c r="BS224" s="5">
        <f>BS223*Eras!BS$3</f>
        <v/>
      </c>
      <c r="BT224" s="5">
        <f>BT223*Eras!BT$3</f>
        <v/>
      </c>
      <c r="BU224" s="5">
        <f>BU223*Eras!BU$3</f>
        <v/>
      </c>
      <c r="BV224" s="5">
        <f>BV223*Eras!BV$3</f>
        <v/>
      </c>
    </row>
    <row r="225">
      <c r="A225" t="inlineStr">
        <is>
          <t>paid starts @1</t>
        </is>
      </c>
      <c r="B225" t="inlineStr">
        <is>
          <t>APAC|BASIC_M</t>
        </is>
      </c>
      <c r="C225" s="5">
        <f>C223*Eras!C$4</f>
        <v/>
      </c>
      <c r="D225" s="5">
        <f>D223*Eras!D$4</f>
        <v/>
      </c>
      <c r="E225" s="5">
        <f>E223*Eras!E$4</f>
        <v/>
      </c>
      <c r="F225" s="5">
        <f>F223*Eras!F$4</f>
        <v/>
      </c>
      <c r="G225" s="5">
        <f>G223*Eras!G$4</f>
        <v/>
      </c>
      <c r="H225" s="5">
        <f>H223*Eras!H$4</f>
        <v/>
      </c>
      <c r="I225" s="5">
        <f>I223*Eras!I$4</f>
        <v/>
      </c>
      <c r="J225" s="5">
        <f>J223*Eras!J$4</f>
        <v/>
      </c>
      <c r="K225" s="5">
        <f>K223*Eras!K$4</f>
        <v/>
      </c>
      <c r="L225" s="5">
        <f>L223*Eras!L$4</f>
        <v/>
      </c>
      <c r="M225" s="5">
        <f>M223*Eras!M$4</f>
        <v/>
      </c>
      <c r="N225" s="5">
        <f>N223*Eras!N$4</f>
        <v/>
      </c>
      <c r="O225" s="5">
        <f>O223*Eras!O$4</f>
        <v/>
      </c>
      <c r="P225" s="5">
        <f>P223*Eras!P$4</f>
        <v/>
      </c>
      <c r="Q225" s="5">
        <f>Q223*Eras!Q$4</f>
        <v/>
      </c>
      <c r="R225" s="5">
        <f>R223*Eras!R$4</f>
        <v/>
      </c>
      <c r="S225" s="5">
        <f>S223*Eras!S$4</f>
        <v/>
      </c>
      <c r="T225" s="5">
        <f>T223*Eras!T$4</f>
        <v/>
      </c>
      <c r="U225" s="5">
        <f>U223*Eras!U$4</f>
        <v/>
      </c>
      <c r="V225" s="5">
        <f>V223*Eras!V$4</f>
        <v/>
      </c>
      <c r="W225" s="5">
        <f>W223*Eras!W$4</f>
        <v/>
      </c>
      <c r="X225" s="5">
        <f>X223*Eras!X$4</f>
        <v/>
      </c>
      <c r="Y225" s="5">
        <f>Y223*Eras!Y$4</f>
        <v/>
      </c>
      <c r="Z225" s="5">
        <f>Z223*Eras!Z$4</f>
        <v/>
      </c>
      <c r="AA225" s="5">
        <f>AA223*Eras!AA$4</f>
        <v/>
      </c>
      <c r="AB225" s="5">
        <f>AB223*Eras!AB$4</f>
        <v/>
      </c>
      <c r="AC225" s="5">
        <f>AC223*Eras!AC$4</f>
        <v/>
      </c>
      <c r="AD225" s="5">
        <f>AD223*Eras!AD$4</f>
        <v/>
      </c>
      <c r="AE225" s="5">
        <f>AE223*Eras!AE$4</f>
        <v/>
      </c>
      <c r="AF225" s="5">
        <f>AF223*Eras!AF$4</f>
        <v/>
      </c>
      <c r="AG225" s="5">
        <f>AG223*Eras!AG$4</f>
        <v/>
      </c>
      <c r="AH225" s="5">
        <f>AH223*Eras!AH$4</f>
        <v/>
      </c>
      <c r="AI225" s="5">
        <f>AI223*Eras!AI$4</f>
        <v/>
      </c>
      <c r="AJ225" s="5">
        <f>AJ223*Eras!AJ$4</f>
        <v/>
      </c>
      <c r="AK225" s="5">
        <f>AK223*Eras!AK$4</f>
        <v/>
      </c>
      <c r="AL225" s="5">
        <f>AL223*Eras!AL$4</f>
        <v/>
      </c>
      <c r="AM225" s="5">
        <f>AM223*Eras!AM$4</f>
        <v/>
      </c>
      <c r="AN225" s="5">
        <f>AN223*Eras!AN$4</f>
        <v/>
      </c>
      <c r="AO225" s="5">
        <f>AO223*Eras!AO$4</f>
        <v/>
      </c>
      <c r="AP225" s="5">
        <f>AP223*Eras!AP$4</f>
        <v/>
      </c>
      <c r="AQ225" s="5">
        <f>AQ223*Eras!AQ$4</f>
        <v/>
      </c>
      <c r="AR225" s="5">
        <f>AR223*Eras!AR$4</f>
        <v/>
      </c>
      <c r="AS225" s="5">
        <f>AS223*Eras!AS$4</f>
        <v/>
      </c>
      <c r="AT225" s="5">
        <f>AT223*Eras!AT$4</f>
        <v/>
      </c>
      <c r="AU225" s="5">
        <f>AU223*Eras!AU$4</f>
        <v/>
      </c>
      <c r="AV225" s="5">
        <f>AV223*Eras!AV$4</f>
        <v/>
      </c>
      <c r="AW225" s="5">
        <f>AW223*Eras!AW$4</f>
        <v/>
      </c>
      <c r="AX225" s="5">
        <f>AX223*Eras!AX$4</f>
        <v/>
      </c>
      <c r="AY225" s="5">
        <f>AY223*Eras!AY$4</f>
        <v/>
      </c>
      <c r="AZ225" s="5">
        <f>AZ223*Eras!AZ$4</f>
        <v/>
      </c>
      <c r="BA225" s="5">
        <f>BA223*Eras!BA$4</f>
        <v/>
      </c>
      <c r="BB225" s="5">
        <f>BB223*Eras!BB$4</f>
        <v/>
      </c>
      <c r="BC225" s="5">
        <f>BC223*Eras!BC$4</f>
        <v/>
      </c>
      <c r="BD225" s="5">
        <f>BD223*Eras!BD$4</f>
        <v/>
      </c>
      <c r="BE225" s="5">
        <f>BE223*Eras!BE$4</f>
        <v/>
      </c>
      <c r="BF225" s="5">
        <f>BF223*Eras!BF$4</f>
        <v/>
      </c>
      <c r="BG225" s="5">
        <f>BG223*Eras!BG$4</f>
        <v/>
      </c>
      <c r="BH225" s="5">
        <f>BH223*Eras!BH$4</f>
        <v/>
      </c>
      <c r="BI225" s="5">
        <f>BI223*Eras!BI$4</f>
        <v/>
      </c>
      <c r="BJ225" s="5">
        <f>BJ223*Eras!BJ$4</f>
        <v/>
      </c>
      <c r="BK225" s="5">
        <f>BK223*Eras!BK$4</f>
        <v/>
      </c>
      <c r="BL225" s="5">
        <f>BL223*Eras!BL$4</f>
        <v/>
      </c>
      <c r="BM225" s="5">
        <f>BM223*Eras!BM$4</f>
        <v/>
      </c>
      <c r="BN225" s="5">
        <f>BN223*Eras!BN$4</f>
        <v/>
      </c>
      <c r="BO225" s="5">
        <f>BO223*Eras!BO$4</f>
        <v/>
      </c>
      <c r="BP225" s="5">
        <f>BP223*Eras!BP$4</f>
        <v/>
      </c>
      <c r="BQ225" s="5">
        <f>BQ223*Eras!BQ$4</f>
        <v/>
      </c>
      <c r="BR225" s="5">
        <f>BR223*Eras!BR$4</f>
        <v/>
      </c>
      <c r="BS225" s="5">
        <f>BS223*Eras!BS$4</f>
        <v/>
      </c>
      <c r="BT225" s="5">
        <f>BT223*Eras!BT$4</f>
        <v/>
      </c>
      <c r="BU225" s="5">
        <f>BU223*Eras!BU$4</f>
        <v/>
      </c>
      <c r="BV225" s="5">
        <f>BV223*Eras!BV$4</f>
        <v/>
      </c>
    </row>
    <row r="226">
      <c r="A226" t="inlineStr">
        <is>
          <t>paid starts @2</t>
        </is>
      </c>
      <c r="B226" t="inlineStr">
        <is>
          <t>APAC|BASIC_M</t>
        </is>
      </c>
      <c r="C226" s="5">
        <f>C223*Eras!C$5</f>
        <v/>
      </c>
      <c r="D226" s="5">
        <f>D223*Eras!D$5</f>
        <v/>
      </c>
      <c r="E226" s="5">
        <f>E223*Eras!E$5</f>
        <v/>
      </c>
      <c r="F226" s="5">
        <f>F223*Eras!F$5</f>
        <v/>
      </c>
      <c r="G226" s="5">
        <f>G223*Eras!G$5</f>
        <v/>
      </c>
      <c r="H226" s="5">
        <f>H223*Eras!H$5</f>
        <v/>
      </c>
      <c r="I226" s="5">
        <f>I223*Eras!I$5</f>
        <v/>
      </c>
      <c r="J226" s="5">
        <f>J223*Eras!J$5</f>
        <v/>
      </c>
      <c r="K226" s="5">
        <f>K223*Eras!K$5</f>
        <v/>
      </c>
      <c r="L226" s="5">
        <f>L223*Eras!L$5</f>
        <v/>
      </c>
      <c r="M226" s="5">
        <f>M223*Eras!M$5</f>
        <v/>
      </c>
      <c r="N226" s="5">
        <f>N223*Eras!N$5</f>
        <v/>
      </c>
      <c r="O226" s="5">
        <f>O223*Eras!O$5</f>
        <v/>
      </c>
      <c r="P226" s="5">
        <f>P223*Eras!P$5</f>
        <v/>
      </c>
      <c r="Q226" s="5">
        <f>Q223*Eras!Q$5</f>
        <v/>
      </c>
      <c r="R226" s="5">
        <f>R223*Eras!R$5</f>
        <v/>
      </c>
      <c r="S226" s="5">
        <f>S223*Eras!S$5</f>
        <v/>
      </c>
      <c r="T226" s="5">
        <f>T223*Eras!T$5</f>
        <v/>
      </c>
      <c r="U226" s="5">
        <f>U223*Eras!U$5</f>
        <v/>
      </c>
      <c r="V226" s="5">
        <f>V223*Eras!V$5</f>
        <v/>
      </c>
      <c r="W226" s="5">
        <f>W223*Eras!W$5</f>
        <v/>
      </c>
      <c r="X226" s="5">
        <f>X223*Eras!X$5</f>
        <v/>
      </c>
      <c r="Y226" s="5">
        <f>Y223*Eras!Y$5</f>
        <v/>
      </c>
      <c r="Z226" s="5">
        <f>Z223*Eras!Z$5</f>
        <v/>
      </c>
      <c r="AA226" s="5">
        <f>AA223*Eras!AA$5</f>
        <v/>
      </c>
      <c r="AB226" s="5">
        <f>AB223*Eras!AB$5</f>
        <v/>
      </c>
      <c r="AC226" s="5">
        <f>AC223*Eras!AC$5</f>
        <v/>
      </c>
      <c r="AD226" s="5">
        <f>AD223*Eras!AD$5</f>
        <v/>
      </c>
      <c r="AE226" s="5">
        <f>AE223*Eras!AE$5</f>
        <v/>
      </c>
      <c r="AF226" s="5">
        <f>AF223*Eras!AF$5</f>
        <v/>
      </c>
      <c r="AG226" s="5">
        <f>AG223*Eras!AG$5</f>
        <v/>
      </c>
      <c r="AH226" s="5">
        <f>AH223*Eras!AH$5</f>
        <v/>
      </c>
      <c r="AI226" s="5">
        <f>AI223*Eras!AI$5</f>
        <v/>
      </c>
      <c r="AJ226" s="5">
        <f>AJ223*Eras!AJ$5</f>
        <v/>
      </c>
      <c r="AK226" s="5">
        <f>AK223*Eras!AK$5</f>
        <v/>
      </c>
      <c r="AL226" s="5">
        <f>AL223*Eras!AL$5</f>
        <v/>
      </c>
      <c r="AM226" s="5">
        <f>AM223*Eras!AM$5</f>
        <v/>
      </c>
      <c r="AN226" s="5">
        <f>AN223*Eras!AN$5</f>
        <v/>
      </c>
      <c r="AO226" s="5">
        <f>AO223*Eras!AO$5</f>
        <v/>
      </c>
      <c r="AP226" s="5">
        <f>AP223*Eras!AP$5</f>
        <v/>
      </c>
      <c r="AQ226" s="5">
        <f>AQ223*Eras!AQ$5</f>
        <v/>
      </c>
      <c r="AR226" s="5">
        <f>AR223*Eras!AR$5</f>
        <v/>
      </c>
      <c r="AS226" s="5">
        <f>AS223*Eras!AS$5</f>
        <v/>
      </c>
      <c r="AT226" s="5">
        <f>AT223*Eras!AT$5</f>
        <v/>
      </c>
      <c r="AU226" s="5">
        <f>AU223*Eras!AU$5</f>
        <v/>
      </c>
      <c r="AV226" s="5">
        <f>AV223*Eras!AV$5</f>
        <v/>
      </c>
      <c r="AW226" s="5">
        <f>AW223*Eras!AW$5</f>
        <v/>
      </c>
      <c r="AX226" s="5">
        <f>AX223*Eras!AX$5</f>
        <v/>
      </c>
      <c r="AY226" s="5">
        <f>AY223*Eras!AY$5</f>
        <v/>
      </c>
      <c r="AZ226" s="5">
        <f>AZ223*Eras!AZ$5</f>
        <v/>
      </c>
      <c r="BA226" s="5">
        <f>BA223*Eras!BA$5</f>
        <v/>
      </c>
      <c r="BB226" s="5">
        <f>BB223*Eras!BB$5</f>
        <v/>
      </c>
      <c r="BC226" s="5">
        <f>BC223*Eras!BC$5</f>
        <v/>
      </c>
      <c r="BD226" s="5">
        <f>BD223*Eras!BD$5</f>
        <v/>
      </c>
      <c r="BE226" s="5">
        <f>BE223*Eras!BE$5</f>
        <v/>
      </c>
      <c r="BF226" s="5">
        <f>BF223*Eras!BF$5</f>
        <v/>
      </c>
      <c r="BG226" s="5">
        <f>BG223*Eras!BG$5</f>
        <v/>
      </c>
      <c r="BH226" s="5">
        <f>BH223*Eras!BH$5</f>
        <v/>
      </c>
      <c r="BI226" s="5">
        <f>BI223*Eras!BI$5</f>
        <v/>
      </c>
      <c r="BJ226" s="5">
        <f>BJ223*Eras!BJ$5</f>
        <v/>
      </c>
      <c r="BK226" s="5">
        <f>BK223*Eras!BK$5</f>
        <v/>
      </c>
      <c r="BL226" s="5">
        <f>BL223*Eras!BL$5</f>
        <v/>
      </c>
      <c r="BM226" s="5">
        <f>BM223*Eras!BM$5</f>
        <v/>
      </c>
      <c r="BN226" s="5">
        <f>BN223*Eras!BN$5</f>
        <v/>
      </c>
      <c r="BO226" s="5">
        <f>BO223*Eras!BO$5</f>
        <v/>
      </c>
      <c r="BP226" s="5">
        <f>BP223*Eras!BP$5</f>
        <v/>
      </c>
      <c r="BQ226" s="5">
        <f>BQ223*Eras!BQ$5</f>
        <v/>
      </c>
      <c r="BR226" s="5">
        <f>BR223*Eras!BR$5</f>
        <v/>
      </c>
      <c r="BS226" s="5">
        <f>BS223*Eras!BS$5</f>
        <v/>
      </c>
      <c r="BT226" s="5">
        <f>BT223*Eras!BT$5</f>
        <v/>
      </c>
      <c r="BU226" s="5">
        <f>BU223*Eras!BU$5</f>
        <v/>
      </c>
      <c r="BV226" s="5">
        <f>BV223*Eras!BV$5</f>
        <v/>
      </c>
    </row>
    <row r="228">
      <c r="A228" t="inlineStr">
        <is>
          <t>gross adds</t>
        </is>
      </c>
      <c r="B228" t="inlineStr">
        <is>
          <t>APAC|BASIC_A</t>
        </is>
      </c>
      <c r="C228" s="5">
        <f>MAU!C7*Params!$B$60*Eras!C$7*Params!$B$130*Params!$B$95</f>
        <v/>
      </c>
      <c r="D228" s="5">
        <f>MAU!D7*Params!$B$60*Eras!D$7*Params!$B$130*Params!$B$95</f>
        <v/>
      </c>
      <c r="E228" s="5">
        <f>MAU!E7*Params!$B$60*Eras!E$7*Params!$B$130*Params!$B$95</f>
        <v/>
      </c>
      <c r="F228" s="5">
        <f>MAU!F7*Params!$B$60*Eras!F$7*Params!$B$130*Params!$B$95</f>
        <v/>
      </c>
      <c r="G228" s="5">
        <f>MAU!G7*Params!$B$60*Eras!G$7*Params!$B$130*Params!$B$95</f>
        <v/>
      </c>
      <c r="H228" s="5">
        <f>MAU!H7*Params!$B$60*Eras!H$7*Params!$B$130*Params!$B$95</f>
        <v/>
      </c>
      <c r="I228" s="5">
        <f>MAU!I7*Params!$B$60*Eras!I$7*Params!$B$130*Params!$B$95</f>
        <v/>
      </c>
      <c r="J228" s="5">
        <f>MAU!J7*Params!$B$60*Eras!J$7*Params!$B$130*Params!$B$95</f>
        <v/>
      </c>
      <c r="K228" s="5">
        <f>MAU!K7*Params!$B$60*Eras!K$7*Params!$B$130*Params!$B$95</f>
        <v/>
      </c>
      <c r="L228" s="5">
        <f>MAU!L7*Params!$B$60*Eras!L$7*Params!$B$130*Params!$B$95</f>
        <v/>
      </c>
      <c r="M228" s="5">
        <f>MAU!M7*Params!$B$60*Eras!M$7*Params!$B$130*Params!$B$95</f>
        <v/>
      </c>
      <c r="N228" s="5">
        <f>MAU!N7*Params!$B$60*Eras!N$7*Params!$B$130*Params!$B$95</f>
        <v/>
      </c>
      <c r="O228" s="5">
        <f>MAU!O7*Params!$B$60*Eras!O$7*Params!$B$130*Params!$B$95</f>
        <v/>
      </c>
      <c r="P228" s="5">
        <f>MAU!P7*Params!$B$60*Eras!P$7*Params!$B$130*Params!$B$95</f>
        <v/>
      </c>
      <c r="Q228" s="5">
        <f>MAU!Q7*Params!$B$60*Eras!Q$7*Params!$B$130*Params!$B$95</f>
        <v/>
      </c>
      <c r="R228" s="5">
        <f>MAU!R7*Params!$B$60*Eras!R$7*Params!$B$130*Params!$B$95</f>
        <v/>
      </c>
      <c r="S228" s="5">
        <f>MAU!S7*Params!$B$60*Eras!S$7*Params!$B$130*Params!$B$95</f>
        <v/>
      </c>
      <c r="T228" s="5">
        <f>MAU!T7*Params!$B$60*Eras!T$7*Params!$B$130*Params!$B$95</f>
        <v/>
      </c>
      <c r="U228" s="5">
        <f>MAU!U7*Params!$B$60*Eras!U$7*Params!$B$130*Params!$B$95</f>
        <v/>
      </c>
      <c r="V228" s="5">
        <f>MAU!V7*Params!$B$60*Eras!V$7*Params!$B$130*Params!$B$95</f>
        <v/>
      </c>
      <c r="W228" s="5">
        <f>MAU!W7*Params!$B$60*Eras!W$7*Params!$B$130*Params!$B$95</f>
        <v/>
      </c>
      <c r="X228" s="5">
        <f>MAU!X7*Params!$B$60*Eras!X$7*Params!$B$130*Params!$B$95</f>
        <v/>
      </c>
      <c r="Y228" s="5">
        <f>MAU!Y7*Params!$B$60*Eras!Y$7*Params!$B$130*Params!$B$95</f>
        <v/>
      </c>
      <c r="Z228" s="5">
        <f>MAU!Z7*Params!$B$60*Eras!Z$7*Params!$B$130*Params!$B$95</f>
        <v/>
      </c>
      <c r="AA228" s="5">
        <f>MAU!AA7*Params!$B$60*Eras!AA$7*Params!$B$130*Params!$B$95</f>
        <v/>
      </c>
      <c r="AB228" s="5">
        <f>MAU!AB7*Params!$B$60*Eras!AB$7*Params!$B$130*Params!$B$95</f>
        <v/>
      </c>
      <c r="AC228" s="5">
        <f>MAU!AC7*Params!$B$60*Eras!AC$7*Params!$B$130*Params!$B$95</f>
        <v/>
      </c>
      <c r="AD228" s="5">
        <f>MAU!AD7*Params!$B$60*Eras!AD$7*Params!$B$130*Params!$B$95</f>
        <v/>
      </c>
      <c r="AE228" s="5">
        <f>MAU!AE7*Params!$B$60*Eras!AE$7*Params!$B$130*Params!$B$95</f>
        <v/>
      </c>
      <c r="AF228" s="5">
        <f>MAU!AF7*Params!$B$60*Eras!AF$7*Params!$B$130*Params!$B$95</f>
        <v/>
      </c>
      <c r="AG228" s="5">
        <f>MAU!AG7*Params!$B$60*Eras!AG$7*Params!$B$130*Params!$B$95</f>
        <v/>
      </c>
      <c r="AH228" s="5">
        <f>MAU!AH7*Params!$B$60*Eras!AH$7*Params!$B$130*Params!$B$95</f>
        <v/>
      </c>
      <c r="AI228" s="5">
        <f>MAU!AI7*Params!$B$60*Eras!AI$7*Params!$B$130*Params!$B$95</f>
        <v/>
      </c>
      <c r="AJ228" s="5">
        <f>MAU!AJ7*Params!$B$60*Eras!AJ$7*Params!$B$130*Params!$B$95</f>
        <v/>
      </c>
      <c r="AK228" s="5">
        <f>MAU!AK7*Params!$B$60*Eras!AK$7*Params!$B$130*Params!$B$95</f>
        <v/>
      </c>
      <c r="AL228" s="5">
        <f>MAU!AL7*Params!$B$60*Eras!AL$7*Params!$B$130*Params!$B$95</f>
        <v/>
      </c>
      <c r="AM228" s="5">
        <f>MAU!AM7*Params!$B$60*Eras!AM$7*Params!$B$130*Params!$B$95</f>
        <v/>
      </c>
      <c r="AN228" s="5">
        <f>MAU!AN7*Params!$B$60*Eras!AN$7*Params!$B$130*Params!$B$95</f>
        <v/>
      </c>
      <c r="AO228" s="5">
        <f>MAU!AO7*Params!$B$60*Eras!AO$7*Params!$B$130*Params!$B$95</f>
        <v/>
      </c>
      <c r="AP228" s="5">
        <f>MAU!AP7*Params!$B$60*Eras!AP$7*Params!$B$130*Params!$B$95</f>
        <v/>
      </c>
      <c r="AQ228" s="5">
        <f>MAU!AQ7*Params!$B$60*Eras!AQ$7*Params!$B$130*Params!$B$95</f>
        <v/>
      </c>
      <c r="AR228" s="5">
        <f>MAU!AR7*Params!$B$60*Eras!AR$7*Params!$B$130*Params!$B$95</f>
        <v/>
      </c>
      <c r="AS228" s="5">
        <f>MAU!AS7*Params!$B$60*Eras!AS$7*Params!$B$130*Params!$B$95</f>
        <v/>
      </c>
      <c r="AT228" s="5">
        <f>MAU!AT7*Params!$B$60*Eras!AT$7*Params!$B$130*Params!$B$95</f>
        <v/>
      </c>
      <c r="AU228" s="5">
        <f>MAU!AU7*Params!$B$60*Eras!AU$7*Params!$B$130*Params!$B$95</f>
        <v/>
      </c>
      <c r="AV228" s="5">
        <f>MAU!AV7*Params!$B$60*Eras!AV$7*Params!$B$130*Params!$B$95</f>
        <v/>
      </c>
      <c r="AW228" s="5">
        <f>MAU!AW7*Params!$B$60*Eras!AW$7*Params!$B$130*Params!$B$95</f>
        <v/>
      </c>
      <c r="AX228" s="5">
        <f>MAU!AX7*Params!$B$60*Eras!AX$7*Params!$B$130*Params!$B$95</f>
        <v/>
      </c>
      <c r="AY228" s="5">
        <f>MAU!AY7*Params!$B$60*Eras!AY$7*Params!$B$130*Params!$B$95</f>
        <v/>
      </c>
      <c r="AZ228" s="5">
        <f>MAU!AZ7*Params!$B$60*Eras!AZ$7*Params!$B$130*Params!$B$95</f>
        <v/>
      </c>
      <c r="BA228" s="5">
        <f>MAU!BA7*Params!$B$60*Eras!BA$7*Params!$B$130*Params!$B$95</f>
        <v/>
      </c>
      <c r="BB228" s="5">
        <f>MAU!BB7*Params!$B$60*Eras!BB$7*Params!$B$130*Params!$B$95</f>
        <v/>
      </c>
      <c r="BC228" s="5">
        <f>MAU!BC7*Params!$B$60*Eras!BC$7*Params!$B$130*Params!$B$95</f>
        <v/>
      </c>
      <c r="BD228" s="5">
        <f>MAU!BD7*Params!$B$60*Eras!BD$7*Params!$B$130*Params!$B$95</f>
        <v/>
      </c>
      <c r="BE228" s="5">
        <f>MAU!BE7*Params!$B$60*Eras!BE$7*Params!$B$130*Params!$B$95</f>
        <v/>
      </c>
      <c r="BF228" s="5">
        <f>MAU!BF7*Params!$B$60*Eras!BF$7*Params!$B$130*Params!$B$95</f>
        <v/>
      </c>
      <c r="BG228" s="5">
        <f>MAU!BG7*Params!$B$60*Eras!BG$7*Params!$B$130*Params!$B$95</f>
        <v/>
      </c>
      <c r="BH228" s="5">
        <f>MAU!BH7*Params!$B$60*Eras!BH$7*Params!$B$130*Params!$B$95</f>
        <v/>
      </c>
      <c r="BI228" s="5">
        <f>MAU!BI7*Params!$B$60*Eras!BI$7*Params!$B$130*Params!$B$95</f>
        <v/>
      </c>
      <c r="BJ228" s="5">
        <f>MAU!BJ7*Params!$B$60*Eras!BJ$7*Params!$B$130*Params!$B$95</f>
        <v/>
      </c>
      <c r="BK228" s="5">
        <f>MAU!BK7*Params!$B$60*Eras!BK$7*Params!$B$130*Params!$B$95</f>
        <v/>
      </c>
      <c r="BL228" s="5">
        <f>MAU!BL7*Params!$B$60*Eras!BL$7*Params!$B$130*Params!$B$95</f>
        <v/>
      </c>
      <c r="BM228" s="5">
        <f>MAU!BM7*Params!$B$60*Eras!BM$7*Params!$B$130*Params!$B$95</f>
        <v/>
      </c>
      <c r="BN228" s="5">
        <f>MAU!BN7*Params!$B$60*Eras!BN$7*Params!$B$130*Params!$B$95</f>
        <v/>
      </c>
      <c r="BO228" s="5">
        <f>MAU!BO7*Params!$B$60*Eras!BO$7*Params!$B$130*Params!$B$95</f>
        <v/>
      </c>
      <c r="BP228" s="5">
        <f>MAU!BP7*Params!$B$60*Eras!BP$7*Params!$B$130*Params!$B$95</f>
        <v/>
      </c>
      <c r="BQ228" s="5">
        <f>MAU!BQ7*Params!$B$60*Eras!BQ$7*Params!$B$130*Params!$B$95</f>
        <v/>
      </c>
      <c r="BR228" s="5">
        <f>MAU!BR7*Params!$B$60*Eras!BR$7*Params!$B$130*Params!$B$95</f>
        <v/>
      </c>
      <c r="BS228" s="5">
        <f>MAU!BS7*Params!$B$60*Eras!BS$7*Params!$B$130*Params!$B$95</f>
        <v/>
      </c>
      <c r="BT228" s="5">
        <f>MAU!BT7*Params!$B$60*Eras!BT$7*Params!$B$130*Params!$B$95</f>
        <v/>
      </c>
      <c r="BU228" s="5">
        <f>MAU!BU7*Params!$B$60*Eras!BU$7*Params!$B$130*Params!$B$95</f>
        <v/>
      </c>
      <c r="BV228" s="5">
        <f>MAU!BV7*Params!$B$60*Eras!BV$7*Params!$B$130*Params!$B$95</f>
        <v/>
      </c>
    </row>
    <row r="229">
      <c r="A229" t="inlineStr">
        <is>
          <t>trial starts</t>
        </is>
      </c>
      <c r="B229" t="inlineStr">
        <is>
          <t>APAC|BASIC_A</t>
        </is>
      </c>
      <c r="C229" s="5">
        <f>C228*Eras!C$8</f>
        <v/>
      </c>
      <c r="D229" s="5">
        <f>D228*Eras!D$8</f>
        <v/>
      </c>
      <c r="E229" s="5">
        <f>E228*Eras!E$8</f>
        <v/>
      </c>
      <c r="F229" s="5">
        <f>F228*Eras!F$8</f>
        <v/>
      </c>
      <c r="G229" s="5">
        <f>G228*Eras!G$8</f>
        <v/>
      </c>
      <c r="H229" s="5">
        <f>H228*Eras!H$8</f>
        <v/>
      </c>
      <c r="I229" s="5">
        <f>I228*Eras!I$8</f>
        <v/>
      </c>
      <c r="J229" s="5">
        <f>J228*Eras!J$8</f>
        <v/>
      </c>
      <c r="K229" s="5">
        <f>K228*Eras!K$8</f>
        <v/>
      </c>
      <c r="L229" s="5">
        <f>L228*Eras!L$8</f>
        <v/>
      </c>
      <c r="M229" s="5">
        <f>M228*Eras!M$8</f>
        <v/>
      </c>
      <c r="N229" s="5">
        <f>N228*Eras!N$8</f>
        <v/>
      </c>
      <c r="O229" s="5">
        <f>O228*Eras!O$8</f>
        <v/>
      </c>
      <c r="P229" s="5">
        <f>P228*Eras!P$8</f>
        <v/>
      </c>
      <c r="Q229" s="5">
        <f>Q228*Eras!Q$8</f>
        <v/>
      </c>
      <c r="R229" s="5">
        <f>R228*Eras!R$8</f>
        <v/>
      </c>
      <c r="S229" s="5">
        <f>S228*Eras!S$8</f>
        <v/>
      </c>
      <c r="T229" s="5">
        <f>T228*Eras!T$8</f>
        <v/>
      </c>
      <c r="U229" s="5">
        <f>U228*Eras!U$8</f>
        <v/>
      </c>
      <c r="V229" s="5">
        <f>V228*Eras!V$8</f>
        <v/>
      </c>
      <c r="W229" s="5">
        <f>W228*Eras!W$8</f>
        <v/>
      </c>
      <c r="X229" s="5">
        <f>X228*Eras!X$8</f>
        <v/>
      </c>
      <c r="Y229" s="5">
        <f>Y228*Eras!Y$8</f>
        <v/>
      </c>
      <c r="Z229" s="5">
        <f>Z228*Eras!Z$8</f>
        <v/>
      </c>
      <c r="AA229" s="5">
        <f>AA228*Eras!AA$8</f>
        <v/>
      </c>
      <c r="AB229" s="5">
        <f>AB228*Eras!AB$8</f>
        <v/>
      </c>
      <c r="AC229" s="5">
        <f>AC228*Eras!AC$8</f>
        <v/>
      </c>
      <c r="AD229" s="5">
        <f>AD228*Eras!AD$8</f>
        <v/>
      </c>
      <c r="AE229" s="5">
        <f>AE228*Eras!AE$8</f>
        <v/>
      </c>
      <c r="AF229" s="5">
        <f>AF228*Eras!AF$8</f>
        <v/>
      </c>
      <c r="AG229" s="5">
        <f>AG228*Eras!AG$8</f>
        <v/>
      </c>
      <c r="AH229" s="5">
        <f>AH228*Eras!AH$8</f>
        <v/>
      </c>
      <c r="AI229" s="5">
        <f>AI228*Eras!AI$8</f>
        <v/>
      </c>
      <c r="AJ229" s="5">
        <f>AJ228*Eras!AJ$8</f>
        <v/>
      </c>
      <c r="AK229" s="5">
        <f>AK228*Eras!AK$8</f>
        <v/>
      </c>
      <c r="AL229" s="5">
        <f>AL228*Eras!AL$8</f>
        <v/>
      </c>
      <c r="AM229" s="5">
        <f>AM228*Eras!AM$8</f>
        <v/>
      </c>
      <c r="AN229" s="5">
        <f>AN228*Eras!AN$8</f>
        <v/>
      </c>
      <c r="AO229" s="5">
        <f>AO228*Eras!AO$8</f>
        <v/>
      </c>
      <c r="AP229" s="5">
        <f>AP228*Eras!AP$8</f>
        <v/>
      </c>
      <c r="AQ229" s="5">
        <f>AQ228*Eras!AQ$8</f>
        <v/>
      </c>
      <c r="AR229" s="5">
        <f>AR228*Eras!AR$8</f>
        <v/>
      </c>
      <c r="AS229" s="5">
        <f>AS228*Eras!AS$8</f>
        <v/>
      </c>
      <c r="AT229" s="5">
        <f>AT228*Eras!AT$8</f>
        <v/>
      </c>
      <c r="AU229" s="5">
        <f>AU228*Eras!AU$8</f>
        <v/>
      </c>
      <c r="AV229" s="5">
        <f>AV228*Eras!AV$8</f>
        <v/>
      </c>
      <c r="AW229" s="5">
        <f>AW228*Eras!AW$8</f>
        <v/>
      </c>
      <c r="AX229" s="5">
        <f>AX228*Eras!AX$8</f>
        <v/>
      </c>
      <c r="AY229" s="5">
        <f>AY228*Eras!AY$8</f>
        <v/>
      </c>
      <c r="AZ229" s="5">
        <f>AZ228*Eras!AZ$8</f>
        <v/>
      </c>
      <c r="BA229" s="5">
        <f>BA228*Eras!BA$8</f>
        <v/>
      </c>
      <c r="BB229" s="5">
        <f>BB228*Eras!BB$8</f>
        <v/>
      </c>
      <c r="BC229" s="5">
        <f>BC228*Eras!BC$8</f>
        <v/>
      </c>
      <c r="BD229" s="5">
        <f>BD228*Eras!BD$8</f>
        <v/>
      </c>
      <c r="BE229" s="5">
        <f>BE228*Eras!BE$8</f>
        <v/>
      </c>
      <c r="BF229" s="5">
        <f>BF228*Eras!BF$8</f>
        <v/>
      </c>
      <c r="BG229" s="5">
        <f>BG228*Eras!BG$8</f>
        <v/>
      </c>
      <c r="BH229" s="5">
        <f>BH228*Eras!BH$8</f>
        <v/>
      </c>
      <c r="BI229" s="5">
        <f>BI228*Eras!BI$8</f>
        <v/>
      </c>
      <c r="BJ229" s="5">
        <f>BJ228*Eras!BJ$8</f>
        <v/>
      </c>
      <c r="BK229" s="5">
        <f>BK228*Eras!BK$8</f>
        <v/>
      </c>
      <c r="BL229" s="5">
        <f>BL228*Eras!BL$8</f>
        <v/>
      </c>
      <c r="BM229" s="5">
        <f>BM228*Eras!BM$8</f>
        <v/>
      </c>
      <c r="BN229" s="5">
        <f>BN228*Eras!BN$8</f>
        <v/>
      </c>
      <c r="BO229" s="5">
        <f>BO228*Eras!BO$8</f>
        <v/>
      </c>
      <c r="BP229" s="5">
        <f>BP228*Eras!BP$8</f>
        <v/>
      </c>
      <c r="BQ229" s="5">
        <f>BQ228*Eras!BQ$8</f>
        <v/>
      </c>
      <c r="BR229" s="5">
        <f>BR228*Eras!BR$8</f>
        <v/>
      </c>
      <c r="BS229" s="5">
        <f>BS228*Eras!BS$8</f>
        <v/>
      </c>
      <c r="BT229" s="5">
        <f>BT228*Eras!BT$8</f>
        <v/>
      </c>
      <c r="BU229" s="5">
        <f>BU228*Eras!BU$8</f>
        <v/>
      </c>
      <c r="BV229" s="5">
        <f>BV228*Eras!BV$8</f>
        <v/>
      </c>
    </row>
    <row r="230">
      <c r="A230" t="inlineStr">
        <is>
          <t>direct paid starts</t>
        </is>
      </c>
      <c r="B230" t="inlineStr">
        <is>
          <t>APAC|BASIC_A</t>
        </is>
      </c>
      <c r="C230" s="5">
        <f>C228-C229</f>
        <v/>
      </c>
      <c r="D230" s="5">
        <f>D228-D229</f>
        <v/>
      </c>
      <c r="E230" s="5">
        <f>E228-E229</f>
        <v/>
      </c>
      <c r="F230" s="5">
        <f>F228-F229</f>
        <v/>
      </c>
      <c r="G230" s="5">
        <f>G228-G229</f>
        <v/>
      </c>
      <c r="H230" s="5">
        <f>H228-H229</f>
        <v/>
      </c>
      <c r="I230" s="5">
        <f>I228-I229</f>
        <v/>
      </c>
      <c r="J230" s="5">
        <f>J228-J229</f>
        <v/>
      </c>
      <c r="K230" s="5">
        <f>K228-K229</f>
        <v/>
      </c>
      <c r="L230" s="5">
        <f>L228-L229</f>
        <v/>
      </c>
      <c r="M230" s="5">
        <f>M228-M229</f>
        <v/>
      </c>
      <c r="N230" s="5">
        <f>N228-N229</f>
        <v/>
      </c>
      <c r="O230" s="5">
        <f>O228-O229</f>
        <v/>
      </c>
      <c r="P230" s="5">
        <f>P228-P229</f>
        <v/>
      </c>
      <c r="Q230" s="5">
        <f>Q228-Q229</f>
        <v/>
      </c>
      <c r="R230" s="5">
        <f>R228-R229</f>
        <v/>
      </c>
      <c r="S230" s="5">
        <f>S228-S229</f>
        <v/>
      </c>
      <c r="T230" s="5">
        <f>T228-T229</f>
        <v/>
      </c>
      <c r="U230" s="5">
        <f>U228-U229</f>
        <v/>
      </c>
      <c r="V230" s="5">
        <f>V228-V229</f>
        <v/>
      </c>
      <c r="W230" s="5">
        <f>W228-W229</f>
        <v/>
      </c>
      <c r="X230" s="5">
        <f>X228-X229</f>
        <v/>
      </c>
      <c r="Y230" s="5">
        <f>Y228-Y229</f>
        <v/>
      </c>
      <c r="Z230" s="5">
        <f>Z228-Z229</f>
        <v/>
      </c>
      <c r="AA230" s="5">
        <f>AA228-AA229</f>
        <v/>
      </c>
      <c r="AB230" s="5">
        <f>AB228-AB229</f>
        <v/>
      </c>
      <c r="AC230" s="5">
        <f>AC228-AC229</f>
        <v/>
      </c>
      <c r="AD230" s="5">
        <f>AD228-AD229</f>
        <v/>
      </c>
      <c r="AE230" s="5">
        <f>AE228-AE229</f>
        <v/>
      </c>
      <c r="AF230" s="5">
        <f>AF228-AF229</f>
        <v/>
      </c>
      <c r="AG230" s="5">
        <f>AG228-AG229</f>
        <v/>
      </c>
      <c r="AH230" s="5">
        <f>AH228-AH229</f>
        <v/>
      </c>
      <c r="AI230" s="5">
        <f>AI228-AI229</f>
        <v/>
      </c>
      <c r="AJ230" s="5">
        <f>AJ228-AJ229</f>
        <v/>
      </c>
      <c r="AK230" s="5">
        <f>AK228-AK229</f>
        <v/>
      </c>
      <c r="AL230" s="5">
        <f>AL228-AL229</f>
        <v/>
      </c>
      <c r="AM230" s="5">
        <f>AM228-AM229</f>
        <v/>
      </c>
      <c r="AN230" s="5">
        <f>AN228-AN229</f>
        <v/>
      </c>
      <c r="AO230" s="5">
        <f>AO228-AO229</f>
        <v/>
      </c>
      <c r="AP230" s="5">
        <f>AP228-AP229</f>
        <v/>
      </c>
      <c r="AQ230" s="5">
        <f>AQ228-AQ229</f>
        <v/>
      </c>
      <c r="AR230" s="5">
        <f>AR228-AR229</f>
        <v/>
      </c>
      <c r="AS230" s="5">
        <f>AS228-AS229</f>
        <v/>
      </c>
      <c r="AT230" s="5">
        <f>AT228-AT229</f>
        <v/>
      </c>
      <c r="AU230" s="5">
        <f>AU228-AU229</f>
        <v/>
      </c>
      <c r="AV230" s="5">
        <f>AV228-AV229</f>
        <v/>
      </c>
      <c r="AW230" s="5">
        <f>AW228-AW229</f>
        <v/>
      </c>
      <c r="AX230" s="5">
        <f>AX228-AX229</f>
        <v/>
      </c>
      <c r="AY230" s="5">
        <f>AY228-AY229</f>
        <v/>
      </c>
      <c r="AZ230" s="5">
        <f>AZ228-AZ229</f>
        <v/>
      </c>
      <c r="BA230" s="5">
        <f>BA228-BA229</f>
        <v/>
      </c>
      <c r="BB230" s="5">
        <f>BB228-BB229</f>
        <v/>
      </c>
      <c r="BC230" s="5">
        <f>BC228-BC229</f>
        <v/>
      </c>
      <c r="BD230" s="5">
        <f>BD228-BD229</f>
        <v/>
      </c>
      <c r="BE230" s="5">
        <f>BE228-BE229</f>
        <v/>
      </c>
      <c r="BF230" s="5">
        <f>BF228-BF229</f>
        <v/>
      </c>
      <c r="BG230" s="5">
        <f>BG228-BG229</f>
        <v/>
      </c>
      <c r="BH230" s="5">
        <f>BH228-BH229</f>
        <v/>
      </c>
      <c r="BI230" s="5">
        <f>BI228-BI229</f>
        <v/>
      </c>
      <c r="BJ230" s="5">
        <f>BJ228-BJ229</f>
        <v/>
      </c>
      <c r="BK230" s="5">
        <f>BK228-BK229</f>
        <v/>
      </c>
      <c r="BL230" s="5">
        <f>BL228-BL229</f>
        <v/>
      </c>
      <c r="BM230" s="5">
        <f>BM228-BM229</f>
        <v/>
      </c>
      <c r="BN230" s="5">
        <f>BN228-BN229</f>
        <v/>
      </c>
      <c r="BO230" s="5">
        <f>BO228-BO229</f>
        <v/>
      </c>
      <c r="BP230" s="5">
        <f>BP228-BP229</f>
        <v/>
      </c>
      <c r="BQ230" s="5">
        <f>BQ228-BQ229</f>
        <v/>
      </c>
      <c r="BR230" s="5">
        <f>BR228-BR229</f>
        <v/>
      </c>
      <c r="BS230" s="5">
        <f>BS228-BS229</f>
        <v/>
      </c>
      <c r="BT230" s="5">
        <f>BT228-BT229</f>
        <v/>
      </c>
      <c r="BU230" s="5">
        <f>BU228-BU229</f>
        <v/>
      </c>
      <c r="BV230" s="5">
        <f>BV228-BV229</f>
        <v/>
      </c>
    </row>
    <row r="231">
      <c r="A231" t="inlineStr">
        <is>
          <t>trials ending</t>
        </is>
      </c>
      <c r="B231" t="inlineStr">
        <is>
          <t>APAC|BASIC_A</t>
        </is>
      </c>
      <c r="C231" s="5">
        <f>IF(C$2&gt;=Params!$B$6,INDEX($C$229:$BV$229,C$2-Params!$B$6+1),0)</f>
        <v/>
      </c>
      <c r="D231" s="5">
        <f>IF(D$2&gt;=Params!$B$6,INDEX($C$229:$BV$229,D$2-Params!$B$6+1),0)</f>
        <v/>
      </c>
      <c r="E231" s="5">
        <f>IF(E$2&gt;=Params!$B$6,INDEX($C$229:$BV$229,E$2-Params!$B$6+1),0)</f>
        <v/>
      </c>
      <c r="F231" s="5">
        <f>IF(F$2&gt;=Params!$B$6,INDEX($C$229:$BV$229,F$2-Params!$B$6+1),0)</f>
        <v/>
      </c>
      <c r="G231" s="5">
        <f>IF(G$2&gt;=Params!$B$6,INDEX($C$229:$BV$229,G$2-Params!$B$6+1),0)</f>
        <v/>
      </c>
      <c r="H231" s="5">
        <f>IF(H$2&gt;=Params!$B$6,INDEX($C$229:$BV$229,H$2-Params!$B$6+1),0)</f>
        <v/>
      </c>
      <c r="I231" s="5">
        <f>IF(I$2&gt;=Params!$B$6,INDEX($C$229:$BV$229,I$2-Params!$B$6+1),0)</f>
        <v/>
      </c>
      <c r="J231" s="5">
        <f>IF(J$2&gt;=Params!$B$6,INDEX($C$229:$BV$229,J$2-Params!$B$6+1),0)</f>
        <v/>
      </c>
      <c r="K231" s="5">
        <f>IF(K$2&gt;=Params!$B$6,INDEX($C$229:$BV$229,K$2-Params!$B$6+1),0)</f>
        <v/>
      </c>
      <c r="L231" s="5">
        <f>IF(L$2&gt;=Params!$B$6,INDEX($C$229:$BV$229,L$2-Params!$B$6+1),0)</f>
        <v/>
      </c>
      <c r="M231" s="5">
        <f>IF(M$2&gt;=Params!$B$6,INDEX($C$229:$BV$229,M$2-Params!$B$6+1),0)</f>
        <v/>
      </c>
      <c r="N231" s="5">
        <f>IF(N$2&gt;=Params!$B$6,INDEX($C$229:$BV$229,N$2-Params!$B$6+1),0)</f>
        <v/>
      </c>
      <c r="O231" s="5">
        <f>IF(O$2&gt;=Params!$B$6,INDEX($C$229:$BV$229,O$2-Params!$B$6+1),0)</f>
        <v/>
      </c>
      <c r="P231" s="5">
        <f>IF(P$2&gt;=Params!$B$6,INDEX($C$229:$BV$229,P$2-Params!$B$6+1),0)</f>
        <v/>
      </c>
      <c r="Q231" s="5">
        <f>IF(Q$2&gt;=Params!$B$6,INDEX($C$229:$BV$229,Q$2-Params!$B$6+1),0)</f>
        <v/>
      </c>
      <c r="R231" s="5">
        <f>IF(R$2&gt;=Params!$B$6,INDEX($C$229:$BV$229,R$2-Params!$B$6+1),0)</f>
        <v/>
      </c>
      <c r="S231" s="5">
        <f>IF(S$2&gt;=Params!$B$6,INDEX($C$229:$BV$229,S$2-Params!$B$6+1),0)</f>
        <v/>
      </c>
      <c r="T231" s="5">
        <f>IF(T$2&gt;=Params!$B$6,INDEX($C$229:$BV$229,T$2-Params!$B$6+1),0)</f>
        <v/>
      </c>
      <c r="U231" s="5">
        <f>IF(U$2&gt;=Params!$B$6,INDEX($C$229:$BV$229,U$2-Params!$B$6+1),0)</f>
        <v/>
      </c>
      <c r="V231" s="5">
        <f>IF(V$2&gt;=Params!$B$6,INDEX($C$229:$BV$229,V$2-Params!$B$6+1),0)</f>
        <v/>
      </c>
      <c r="W231" s="5">
        <f>IF(W$2&gt;=Params!$B$6,INDEX($C$229:$BV$229,W$2-Params!$B$6+1),0)</f>
        <v/>
      </c>
      <c r="X231" s="5">
        <f>IF(X$2&gt;=Params!$B$6,INDEX($C$229:$BV$229,X$2-Params!$B$6+1),0)</f>
        <v/>
      </c>
      <c r="Y231" s="5">
        <f>IF(Y$2&gt;=Params!$B$6,INDEX($C$229:$BV$229,Y$2-Params!$B$6+1),0)</f>
        <v/>
      </c>
      <c r="Z231" s="5">
        <f>IF(Z$2&gt;=Params!$B$6,INDEX($C$229:$BV$229,Z$2-Params!$B$6+1),0)</f>
        <v/>
      </c>
      <c r="AA231" s="5">
        <f>IF(AA$2&gt;=Params!$B$6,INDEX($C$229:$BV$229,AA$2-Params!$B$6+1),0)</f>
        <v/>
      </c>
      <c r="AB231" s="5">
        <f>IF(AB$2&gt;=Params!$B$6,INDEX($C$229:$BV$229,AB$2-Params!$B$6+1),0)</f>
        <v/>
      </c>
      <c r="AC231" s="5">
        <f>IF(AC$2&gt;=Params!$B$6,INDEX($C$229:$BV$229,AC$2-Params!$B$6+1),0)</f>
        <v/>
      </c>
      <c r="AD231" s="5">
        <f>IF(AD$2&gt;=Params!$B$6,INDEX($C$229:$BV$229,AD$2-Params!$B$6+1),0)</f>
        <v/>
      </c>
      <c r="AE231" s="5">
        <f>IF(AE$2&gt;=Params!$B$6,INDEX($C$229:$BV$229,AE$2-Params!$B$6+1),0)</f>
        <v/>
      </c>
      <c r="AF231" s="5">
        <f>IF(AF$2&gt;=Params!$B$6,INDEX($C$229:$BV$229,AF$2-Params!$B$6+1),0)</f>
        <v/>
      </c>
      <c r="AG231" s="5">
        <f>IF(AG$2&gt;=Params!$B$6,INDEX($C$229:$BV$229,AG$2-Params!$B$6+1),0)</f>
        <v/>
      </c>
      <c r="AH231" s="5">
        <f>IF(AH$2&gt;=Params!$B$6,INDEX($C$229:$BV$229,AH$2-Params!$B$6+1),0)</f>
        <v/>
      </c>
      <c r="AI231" s="5">
        <f>IF(AI$2&gt;=Params!$B$6,INDEX($C$229:$BV$229,AI$2-Params!$B$6+1),0)</f>
        <v/>
      </c>
      <c r="AJ231" s="5">
        <f>IF(AJ$2&gt;=Params!$B$6,INDEX($C$229:$BV$229,AJ$2-Params!$B$6+1),0)</f>
        <v/>
      </c>
      <c r="AK231" s="5">
        <f>IF(AK$2&gt;=Params!$B$6,INDEX($C$229:$BV$229,AK$2-Params!$B$6+1),0)</f>
        <v/>
      </c>
      <c r="AL231" s="5">
        <f>IF(AL$2&gt;=Params!$B$6,INDEX($C$229:$BV$229,AL$2-Params!$B$6+1),0)</f>
        <v/>
      </c>
      <c r="AM231" s="5">
        <f>IF(AM$2&gt;=Params!$B$6,INDEX($C$229:$BV$229,AM$2-Params!$B$6+1),0)</f>
        <v/>
      </c>
      <c r="AN231" s="5">
        <f>IF(AN$2&gt;=Params!$B$6,INDEX($C$229:$BV$229,AN$2-Params!$B$6+1),0)</f>
        <v/>
      </c>
      <c r="AO231" s="5">
        <f>IF(AO$2&gt;=Params!$B$6,INDEX($C$229:$BV$229,AO$2-Params!$B$6+1),0)</f>
        <v/>
      </c>
      <c r="AP231" s="5">
        <f>IF(AP$2&gt;=Params!$B$6,INDEX($C$229:$BV$229,AP$2-Params!$B$6+1),0)</f>
        <v/>
      </c>
      <c r="AQ231" s="5">
        <f>IF(AQ$2&gt;=Params!$B$6,INDEX($C$229:$BV$229,AQ$2-Params!$B$6+1),0)</f>
        <v/>
      </c>
      <c r="AR231" s="5">
        <f>IF(AR$2&gt;=Params!$B$6,INDEX($C$229:$BV$229,AR$2-Params!$B$6+1),0)</f>
        <v/>
      </c>
      <c r="AS231" s="5">
        <f>IF(AS$2&gt;=Params!$B$6,INDEX($C$229:$BV$229,AS$2-Params!$B$6+1),0)</f>
        <v/>
      </c>
      <c r="AT231" s="5">
        <f>IF(AT$2&gt;=Params!$B$6,INDEX($C$229:$BV$229,AT$2-Params!$B$6+1),0)</f>
        <v/>
      </c>
      <c r="AU231" s="5">
        <f>IF(AU$2&gt;=Params!$B$6,INDEX($C$229:$BV$229,AU$2-Params!$B$6+1),0)</f>
        <v/>
      </c>
      <c r="AV231" s="5">
        <f>IF(AV$2&gt;=Params!$B$6,INDEX($C$229:$BV$229,AV$2-Params!$B$6+1),0)</f>
        <v/>
      </c>
      <c r="AW231" s="5">
        <f>IF(AW$2&gt;=Params!$B$6,INDEX($C$229:$BV$229,AW$2-Params!$B$6+1),0)</f>
        <v/>
      </c>
      <c r="AX231" s="5">
        <f>IF(AX$2&gt;=Params!$B$6,INDEX($C$229:$BV$229,AX$2-Params!$B$6+1),0)</f>
        <v/>
      </c>
      <c r="AY231" s="5">
        <f>IF(AY$2&gt;=Params!$B$6,INDEX($C$229:$BV$229,AY$2-Params!$B$6+1),0)</f>
        <v/>
      </c>
      <c r="AZ231" s="5">
        <f>IF(AZ$2&gt;=Params!$B$6,INDEX($C$229:$BV$229,AZ$2-Params!$B$6+1),0)</f>
        <v/>
      </c>
      <c r="BA231" s="5">
        <f>IF(BA$2&gt;=Params!$B$6,INDEX($C$229:$BV$229,BA$2-Params!$B$6+1),0)</f>
        <v/>
      </c>
      <c r="BB231" s="5">
        <f>IF(BB$2&gt;=Params!$B$6,INDEX($C$229:$BV$229,BB$2-Params!$B$6+1),0)</f>
        <v/>
      </c>
      <c r="BC231" s="5">
        <f>IF(BC$2&gt;=Params!$B$6,INDEX($C$229:$BV$229,BC$2-Params!$B$6+1),0)</f>
        <v/>
      </c>
      <c r="BD231" s="5">
        <f>IF(BD$2&gt;=Params!$B$6,INDEX($C$229:$BV$229,BD$2-Params!$B$6+1),0)</f>
        <v/>
      </c>
      <c r="BE231" s="5">
        <f>IF(BE$2&gt;=Params!$B$6,INDEX($C$229:$BV$229,BE$2-Params!$B$6+1),0)</f>
        <v/>
      </c>
      <c r="BF231" s="5">
        <f>IF(BF$2&gt;=Params!$B$6,INDEX($C$229:$BV$229,BF$2-Params!$B$6+1),0)</f>
        <v/>
      </c>
      <c r="BG231" s="5">
        <f>IF(BG$2&gt;=Params!$B$6,INDEX($C$229:$BV$229,BG$2-Params!$B$6+1),0)</f>
        <v/>
      </c>
      <c r="BH231" s="5">
        <f>IF(BH$2&gt;=Params!$B$6,INDEX($C$229:$BV$229,BH$2-Params!$B$6+1),0)</f>
        <v/>
      </c>
      <c r="BI231" s="5">
        <f>IF(BI$2&gt;=Params!$B$6,INDEX($C$229:$BV$229,BI$2-Params!$B$6+1),0)</f>
        <v/>
      </c>
      <c r="BJ231" s="5">
        <f>IF(BJ$2&gt;=Params!$B$6,INDEX($C$229:$BV$229,BJ$2-Params!$B$6+1),0)</f>
        <v/>
      </c>
      <c r="BK231" s="5">
        <f>IF(BK$2&gt;=Params!$B$6,INDEX($C$229:$BV$229,BK$2-Params!$B$6+1),0)</f>
        <v/>
      </c>
      <c r="BL231" s="5">
        <f>IF(BL$2&gt;=Params!$B$6,INDEX($C$229:$BV$229,BL$2-Params!$B$6+1),0)</f>
        <v/>
      </c>
      <c r="BM231" s="5">
        <f>IF(BM$2&gt;=Params!$B$6,INDEX($C$229:$BV$229,BM$2-Params!$B$6+1),0)</f>
        <v/>
      </c>
      <c r="BN231" s="5">
        <f>IF(BN$2&gt;=Params!$B$6,INDEX($C$229:$BV$229,BN$2-Params!$B$6+1),0)</f>
        <v/>
      </c>
      <c r="BO231" s="5">
        <f>IF(BO$2&gt;=Params!$B$6,INDEX($C$229:$BV$229,BO$2-Params!$B$6+1),0)</f>
        <v/>
      </c>
      <c r="BP231" s="5">
        <f>IF(BP$2&gt;=Params!$B$6,INDEX($C$229:$BV$229,BP$2-Params!$B$6+1),0)</f>
        <v/>
      </c>
      <c r="BQ231" s="5">
        <f>IF(BQ$2&gt;=Params!$B$6,INDEX($C$229:$BV$229,BQ$2-Params!$B$6+1),0)</f>
        <v/>
      </c>
      <c r="BR231" s="5">
        <f>IF(BR$2&gt;=Params!$B$6,INDEX($C$229:$BV$229,BR$2-Params!$B$6+1),0)</f>
        <v/>
      </c>
      <c r="BS231" s="5">
        <f>IF(BS$2&gt;=Params!$B$6,INDEX($C$229:$BV$229,BS$2-Params!$B$6+1),0)</f>
        <v/>
      </c>
      <c r="BT231" s="5">
        <f>IF(BT$2&gt;=Params!$B$6,INDEX($C$229:$BV$229,BT$2-Params!$B$6+1),0)</f>
        <v/>
      </c>
      <c r="BU231" s="5">
        <f>IF(BU$2&gt;=Params!$B$6,INDEX($C$229:$BV$229,BU$2-Params!$B$6+1),0)</f>
        <v/>
      </c>
      <c r="BV231" s="5">
        <f>IF(BV$2&gt;=Params!$B$6,INDEX($C$229:$BV$229,BV$2-Params!$B$6+1),0)</f>
        <v/>
      </c>
    </row>
    <row r="232">
      <c r="A232" t="inlineStr">
        <is>
          <t>trial starts x conversion</t>
        </is>
      </c>
      <c r="B232" t="inlineStr">
        <is>
          <t>APAC|BASIC_A</t>
        </is>
      </c>
      <c r="C232" s="5">
        <f>C229*Eras!C$9</f>
        <v/>
      </c>
      <c r="D232" s="5">
        <f>D229*Eras!D$9</f>
        <v/>
      </c>
      <c r="E232" s="5">
        <f>E229*Eras!E$9</f>
        <v/>
      </c>
      <c r="F232" s="5">
        <f>F229*Eras!F$9</f>
        <v/>
      </c>
      <c r="G232" s="5">
        <f>G229*Eras!G$9</f>
        <v/>
      </c>
      <c r="H232" s="5">
        <f>H229*Eras!H$9</f>
        <v/>
      </c>
      <c r="I232" s="5">
        <f>I229*Eras!I$9</f>
        <v/>
      </c>
      <c r="J232" s="5">
        <f>J229*Eras!J$9</f>
        <v/>
      </c>
      <c r="K232" s="5">
        <f>K229*Eras!K$9</f>
        <v/>
      </c>
      <c r="L232" s="5">
        <f>L229*Eras!L$9</f>
        <v/>
      </c>
      <c r="M232" s="5">
        <f>M229*Eras!M$9</f>
        <v/>
      </c>
      <c r="N232" s="5">
        <f>N229*Eras!N$9</f>
        <v/>
      </c>
      <c r="O232" s="5">
        <f>O229*Eras!O$9</f>
        <v/>
      </c>
      <c r="P232" s="5">
        <f>P229*Eras!P$9</f>
        <v/>
      </c>
      <c r="Q232" s="5">
        <f>Q229*Eras!Q$9</f>
        <v/>
      </c>
      <c r="R232" s="5">
        <f>R229*Eras!R$9</f>
        <v/>
      </c>
      <c r="S232" s="5">
        <f>S229*Eras!S$9</f>
        <v/>
      </c>
      <c r="T232" s="5">
        <f>T229*Eras!T$9</f>
        <v/>
      </c>
      <c r="U232" s="5">
        <f>U229*Eras!U$9</f>
        <v/>
      </c>
      <c r="V232" s="5">
        <f>V229*Eras!V$9</f>
        <v/>
      </c>
      <c r="W232" s="5">
        <f>W229*Eras!W$9</f>
        <v/>
      </c>
      <c r="X232" s="5">
        <f>X229*Eras!X$9</f>
        <v/>
      </c>
      <c r="Y232" s="5">
        <f>Y229*Eras!Y$9</f>
        <v/>
      </c>
      <c r="Z232" s="5">
        <f>Z229*Eras!Z$9</f>
        <v/>
      </c>
      <c r="AA232" s="5">
        <f>AA229*Eras!AA$9</f>
        <v/>
      </c>
      <c r="AB232" s="5">
        <f>AB229*Eras!AB$9</f>
        <v/>
      </c>
      <c r="AC232" s="5">
        <f>AC229*Eras!AC$9</f>
        <v/>
      </c>
      <c r="AD232" s="5">
        <f>AD229*Eras!AD$9</f>
        <v/>
      </c>
      <c r="AE232" s="5">
        <f>AE229*Eras!AE$9</f>
        <v/>
      </c>
      <c r="AF232" s="5">
        <f>AF229*Eras!AF$9</f>
        <v/>
      </c>
      <c r="AG232" s="5">
        <f>AG229*Eras!AG$9</f>
        <v/>
      </c>
      <c r="AH232" s="5">
        <f>AH229*Eras!AH$9</f>
        <v/>
      </c>
      <c r="AI232" s="5">
        <f>AI229*Eras!AI$9</f>
        <v/>
      </c>
      <c r="AJ232" s="5">
        <f>AJ229*Eras!AJ$9</f>
        <v/>
      </c>
      <c r="AK232" s="5">
        <f>AK229*Eras!AK$9</f>
        <v/>
      </c>
      <c r="AL232" s="5">
        <f>AL229*Eras!AL$9</f>
        <v/>
      </c>
      <c r="AM232" s="5">
        <f>AM229*Eras!AM$9</f>
        <v/>
      </c>
      <c r="AN232" s="5">
        <f>AN229*Eras!AN$9</f>
        <v/>
      </c>
      <c r="AO232" s="5">
        <f>AO229*Eras!AO$9</f>
        <v/>
      </c>
      <c r="AP232" s="5">
        <f>AP229*Eras!AP$9</f>
        <v/>
      </c>
      <c r="AQ232" s="5">
        <f>AQ229*Eras!AQ$9</f>
        <v/>
      </c>
      <c r="AR232" s="5">
        <f>AR229*Eras!AR$9</f>
        <v/>
      </c>
      <c r="AS232" s="5">
        <f>AS229*Eras!AS$9</f>
        <v/>
      </c>
      <c r="AT232" s="5">
        <f>AT229*Eras!AT$9</f>
        <v/>
      </c>
      <c r="AU232" s="5">
        <f>AU229*Eras!AU$9</f>
        <v/>
      </c>
      <c r="AV232" s="5">
        <f>AV229*Eras!AV$9</f>
        <v/>
      </c>
      <c r="AW232" s="5">
        <f>AW229*Eras!AW$9</f>
        <v/>
      </c>
      <c r="AX232" s="5">
        <f>AX229*Eras!AX$9</f>
        <v/>
      </c>
      <c r="AY232" s="5">
        <f>AY229*Eras!AY$9</f>
        <v/>
      </c>
      <c r="AZ232" s="5">
        <f>AZ229*Eras!AZ$9</f>
        <v/>
      </c>
      <c r="BA232" s="5">
        <f>BA229*Eras!BA$9</f>
        <v/>
      </c>
      <c r="BB232" s="5">
        <f>BB229*Eras!BB$9</f>
        <v/>
      </c>
      <c r="BC232" s="5">
        <f>BC229*Eras!BC$9</f>
        <v/>
      </c>
      <c r="BD232" s="5">
        <f>BD229*Eras!BD$9</f>
        <v/>
      </c>
      <c r="BE232" s="5">
        <f>BE229*Eras!BE$9</f>
        <v/>
      </c>
      <c r="BF232" s="5">
        <f>BF229*Eras!BF$9</f>
        <v/>
      </c>
      <c r="BG232" s="5">
        <f>BG229*Eras!BG$9</f>
        <v/>
      </c>
      <c r="BH232" s="5">
        <f>BH229*Eras!BH$9</f>
        <v/>
      </c>
      <c r="BI232" s="5">
        <f>BI229*Eras!BI$9</f>
        <v/>
      </c>
      <c r="BJ232" s="5">
        <f>BJ229*Eras!BJ$9</f>
        <v/>
      </c>
      <c r="BK232" s="5">
        <f>BK229*Eras!BK$9</f>
        <v/>
      </c>
      <c r="BL232" s="5">
        <f>BL229*Eras!BL$9</f>
        <v/>
      </c>
      <c r="BM232" s="5">
        <f>BM229*Eras!BM$9</f>
        <v/>
      </c>
      <c r="BN232" s="5">
        <f>BN229*Eras!BN$9</f>
        <v/>
      </c>
      <c r="BO232" s="5">
        <f>BO229*Eras!BO$9</f>
        <v/>
      </c>
      <c r="BP232" s="5">
        <f>BP229*Eras!BP$9</f>
        <v/>
      </c>
      <c r="BQ232" s="5">
        <f>BQ229*Eras!BQ$9</f>
        <v/>
      </c>
      <c r="BR232" s="5">
        <f>BR229*Eras!BR$9</f>
        <v/>
      </c>
      <c r="BS232" s="5">
        <f>BS229*Eras!BS$9</f>
        <v/>
      </c>
      <c r="BT232" s="5">
        <f>BT229*Eras!BT$9</f>
        <v/>
      </c>
      <c r="BU232" s="5">
        <f>BU229*Eras!BU$9</f>
        <v/>
      </c>
      <c r="BV232" s="5">
        <f>BV229*Eras!BV$9</f>
        <v/>
      </c>
    </row>
    <row r="233">
      <c r="A233" t="inlineStr">
        <is>
          <t>trials converted</t>
        </is>
      </c>
      <c r="B233" t="inlineStr">
        <is>
          <t>APAC|BASIC_A</t>
        </is>
      </c>
      <c r="C233" s="5">
        <f>IF(C$2&gt;=Params!$B$6,INDEX($C$232:$BV$232,C$2-Params!$B$6+1),0)</f>
        <v/>
      </c>
      <c r="D233" s="5">
        <f>IF(D$2&gt;=Params!$B$6,INDEX($C$232:$BV$232,D$2-Params!$B$6+1),0)</f>
        <v/>
      </c>
      <c r="E233" s="5">
        <f>IF(E$2&gt;=Params!$B$6,INDEX($C$232:$BV$232,E$2-Params!$B$6+1),0)</f>
        <v/>
      </c>
      <c r="F233" s="5">
        <f>IF(F$2&gt;=Params!$B$6,INDEX($C$232:$BV$232,F$2-Params!$B$6+1),0)</f>
        <v/>
      </c>
      <c r="G233" s="5">
        <f>IF(G$2&gt;=Params!$B$6,INDEX($C$232:$BV$232,G$2-Params!$B$6+1),0)</f>
        <v/>
      </c>
      <c r="H233" s="5">
        <f>IF(H$2&gt;=Params!$B$6,INDEX($C$232:$BV$232,H$2-Params!$B$6+1),0)</f>
        <v/>
      </c>
      <c r="I233" s="5">
        <f>IF(I$2&gt;=Params!$B$6,INDEX($C$232:$BV$232,I$2-Params!$B$6+1),0)</f>
        <v/>
      </c>
      <c r="J233" s="5">
        <f>IF(J$2&gt;=Params!$B$6,INDEX($C$232:$BV$232,J$2-Params!$B$6+1),0)</f>
        <v/>
      </c>
      <c r="K233" s="5">
        <f>IF(K$2&gt;=Params!$B$6,INDEX($C$232:$BV$232,K$2-Params!$B$6+1),0)</f>
        <v/>
      </c>
      <c r="L233" s="5">
        <f>IF(L$2&gt;=Params!$B$6,INDEX($C$232:$BV$232,L$2-Params!$B$6+1),0)</f>
        <v/>
      </c>
      <c r="M233" s="5">
        <f>IF(M$2&gt;=Params!$B$6,INDEX($C$232:$BV$232,M$2-Params!$B$6+1),0)</f>
        <v/>
      </c>
      <c r="N233" s="5">
        <f>IF(N$2&gt;=Params!$B$6,INDEX($C$232:$BV$232,N$2-Params!$B$6+1),0)</f>
        <v/>
      </c>
      <c r="O233" s="5">
        <f>IF(O$2&gt;=Params!$B$6,INDEX($C$232:$BV$232,O$2-Params!$B$6+1),0)</f>
        <v/>
      </c>
      <c r="P233" s="5">
        <f>IF(P$2&gt;=Params!$B$6,INDEX($C$232:$BV$232,P$2-Params!$B$6+1),0)</f>
        <v/>
      </c>
      <c r="Q233" s="5">
        <f>IF(Q$2&gt;=Params!$B$6,INDEX($C$232:$BV$232,Q$2-Params!$B$6+1),0)</f>
        <v/>
      </c>
      <c r="R233" s="5">
        <f>IF(R$2&gt;=Params!$B$6,INDEX($C$232:$BV$232,R$2-Params!$B$6+1),0)</f>
        <v/>
      </c>
      <c r="S233" s="5">
        <f>IF(S$2&gt;=Params!$B$6,INDEX($C$232:$BV$232,S$2-Params!$B$6+1),0)</f>
        <v/>
      </c>
      <c r="T233" s="5">
        <f>IF(T$2&gt;=Params!$B$6,INDEX($C$232:$BV$232,T$2-Params!$B$6+1),0)</f>
        <v/>
      </c>
      <c r="U233" s="5">
        <f>IF(U$2&gt;=Params!$B$6,INDEX($C$232:$BV$232,U$2-Params!$B$6+1),0)</f>
        <v/>
      </c>
      <c r="V233" s="5">
        <f>IF(V$2&gt;=Params!$B$6,INDEX($C$232:$BV$232,V$2-Params!$B$6+1),0)</f>
        <v/>
      </c>
      <c r="W233" s="5">
        <f>IF(W$2&gt;=Params!$B$6,INDEX($C$232:$BV$232,W$2-Params!$B$6+1),0)</f>
        <v/>
      </c>
      <c r="X233" s="5">
        <f>IF(X$2&gt;=Params!$B$6,INDEX($C$232:$BV$232,X$2-Params!$B$6+1),0)</f>
        <v/>
      </c>
      <c r="Y233" s="5">
        <f>IF(Y$2&gt;=Params!$B$6,INDEX($C$232:$BV$232,Y$2-Params!$B$6+1),0)</f>
        <v/>
      </c>
      <c r="Z233" s="5">
        <f>IF(Z$2&gt;=Params!$B$6,INDEX($C$232:$BV$232,Z$2-Params!$B$6+1),0)</f>
        <v/>
      </c>
      <c r="AA233" s="5">
        <f>IF(AA$2&gt;=Params!$B$6,INDEX($C$232:$BV$232,AA$2-Params!$B$6+1),0)</f>
        <v/>
      </c>
      <c r="AB233" s="5">
        <f>IF(AB$2&gt;=Params!$B$6,INDEX($C$232:$BV$232,AB$2-Params!$B$6+1),0)</f>
        <v/>
      </c>
      <c r="AC233" s="5">
        <f>IF(AC$2&gt;=Params!$B$6,INDEX($C$232:$BV$232,AC$2-Params!$B$6+1),0)</f>
        <v/>
      </c>
      <c r="AD233" s="5">
        <f>IF(AD$2&gt;=Params!$B$6,INDEX($C$232:$BV$232,AD$2-Params!$B$6+1),0)</f>
        <v/>
      </c>
      <c r="AE233" s="5">
        <f>IF(AE$2&gt;=Params!$B$6,INDEX($C$232:$BV$232,AE$2-Params!$B$6+1),0)</f>
        <v/>
      </c>
      <c r="AF233" s="5">
        <f>IF(AF$2&gt;=Params!$B$6,INDEX($C$232:$BV$232,AF$2-Params!$B$6+1),0)</f>
        <v/>
      </c>
      <c r="AG233" s="5">
        <f>IF(AG$2&gt;=Params!$B$6,INDEX($C$232:$BV$232,AG$2-Params!$B$6+1),0)</f>
        <v/>
      </c>
      <c r="AH233" s="5">
        <f>IF(AH$2&gt;=Params!$B$6,INDEX($C$232:$BV$232,AH$2-Params!$B$6+1),0)</f>
        <v/>
      </c>
      <c r="AI233" s="5">
        <f>IF(AI$2&gt;=Params!$B$6,INDEX($C$232:$BV$232,AI$2-Params!$B$6+1),0)</f>
        <v/>
      </c>
      <c r="AJ233" s="5">
        <f>IF(AJ$2&gt;=Params!$B$6,INDEX($C$232:$BV$232,AJ$2-Params!$B$6+1),0)</f>
        <v/>
      </c>
      <c r="AK233" s="5">
        <f>IF(AK$2&gt;=Params!$B$6,INDEX($C$232:$BV$232,AK$2-Params!$B$6+1),0)</f>
        <v/>
      </c>
      <c r="AL233" s="5">
        <f>IF(AL$2&gt;=Params!$B$6,INDEX($C$232:$BV$232,AL$2-Params!$B$6+1),0)</f>
        <v/>
      </c>
      <c r="AM233" s="5">
        <f>IF(AM$2&gt;=Params!$B$6,INDEX($C$232:$BV$232,AM$2-Params!$B$6+1),0)</f>
        <v/>
      </c>
      <c r="AN233" s="5">
        <f>IF(AN$2&gt;=Params!$B$6,INDEX($C$232:$BV$232,AN$2-Params!$B$6+1),0)</f>
        <v/>
      </c>
      <c r="AO233" s="5">
        <f>IF(AO$2&gt;=Params!$B$6,INDEX($C$232:$BV$232,AO$2-Params!$B$6+1),0)</f>
        <v/>
      </c>
      <c r="AP233" s="5">
        <f>IF(AP$2&gt;=Params!$B$6,INDEX($C$232:$BV$232,AP$2-Params!$B$6+1),0)</f>
        <v/>
      </c>
      <c r="AQ233" s="5">
        <f>IF(AQ$2&gt;=Params!$B$6,INDEX($C$232:$BV$232,AQ$2-Params!$B$6+1),0)</f>
        <v/>
      </c>
      <c r="AR233" s="5">
        <f>IF(AR$2&gt;=Params!$B$6,INDEX($C$232:$BV$232,AR$2-Params!$B$6+1),0)</f>
        <v/>
      </c>
      <c r="AS233" s="5">
        <f>IF(AS$2&gt;=Params!$B$6,INDEX($C$232:$BV$232,AS$2-Params!$B$6+1),0)</f>
        <v/>
      </c>
      <c r="AT233" s="5">
        <f>IF(AT$2&gt;=Params!$B$6,INDEX($C$232:$BV$232,AT$2-Params!$B$6+1),0)</f>
        <v/>
      </c>
      <c r="AU233" s="5">
        <f>IF(AU$2&gt;=Params!$B$6,INDEX($C$232:$BV$232,AU$2-Params!$B$6+1),0)</f>
        <v/>
      </c>
      <c r="AV233" s="5">
        <f>IF(AV$2&gt;=Params!$B$6,INDEX($C$232:$BV$232,AV$2-Params!$B$6+1),0)</f>
        <v/>
      </c>
      <c r="AW233" s="5">
        <f>IF(AW$2&gt;=Params!$B$6,INDEX($C$232:$BV$232,AW$2-Params!$B$6+1),0)</f>
        <v/>
      </c>
      <c r="AX233" s="5">
        <f>IF(AX$2&gt;=Params!$B$6,INDEX($C$232:$BV$232,AX$2-Params!$B$6+1),0)</f>
        <v/>
      </c>
      <c r="AY233" s="5">
        <f>IF(AY$2&gt;=Params!$B$6,INDEX($C$232:$BV$232,AY$2-Params!$B$6+1),0)</f>
        <v/>
      </c>
      <c r="AZ233" s="5">
        <f>IF(AZ$2&gt;=Params!$B$6,INDEX($C$232:$BV$232,AZ$2-Params!$B$6+1),0)</f>
        <v/>
      </c>
      <c r="BA233" s="5">
        <f>IF(BA$2&gt;=Params!$B$6,INDEX($C$232:$BV$232,BA$2-Params!$B$6+1),0)</f>
        <v/>
      </c>
      <c r="BB233" s="5">
        <f>IF(BB$2&gt;=Params!$B$6,INDEX($C$232:$BV$232,BB$2-Params!$B$6+1),0)</f>
        <v/>
      </c>
      <c r="BC233" s="5">
        <f>IF(BC$2&gt;=Params!$B$6,INDEX($C$232:$BV$232,BC$2-Params!$B$6+1),0)</f>
        <v/>
      </c>
      <c r="BD233" s="5">
        <f>IF(BD$2&gt;=Params!$B$6,INDEX($C$232:$BV$232,BD$2-Params!$B$6+1),0)</f>
        <v/>
      </c>
      <c r="BE233" s="5">
        <f>IF(BE$2&gt;=Params!$B$6,INDEX($C$232:$BV$232,BE$2-Params!$B$6+1),0)</f>
        <v/>
      </c>
      <c r="BF233" s="5">
        <f>IF(BF$2&gt;=Params!$B$6,INDEX($C$232:$BV$232,BF$2-Params!$B$6+1),0)</f>
        <v/>
      </c>
      <c r="BG233" s="5">
        <f>IF(BG$2&gt;=Params!$B$6,INDEX($C$232:$BV$232,BG$2-Params!$B$6+1),0)</f>
        <v/>
      </c>
      <c r="BH233" s="5">
        <f>IF(BH$2&gt;=Params!$B$6,INDEX($C$232:$BV$232,BH$2-Params!$B$6+1),0)</f>
        <v/>
      </c>
      <c r="BI233" s="5">
        <f>IF(BI$2&gt;=Params!$B$6,INDEX($C$232:$BV$232,BI$2-Params!$B$6+1),0)</f>
        <v/>
      </c>
      <c r="BJ233" s="5">
        <f>IF(BJ$2&gt;=Params!$B$6,INDEX($C$232:$BV$232,BJ$2-Params!$B$6+1),0)</f>
        <v/>
      </c>
      <c r="BK233" s="5">
        <f>IF(BK$2&gt;=Params!$B$6,INDEX($C$232:$BV$232,BK$2-Params!$B$6+1),0)</f>
        <v/>
      </c>
      <c r="BL233" s="5">
        <f>IF(BL$2&gt;=Params!$B$6,INDEX($C$232:$BV$232,BL$2-Params!$B$6+1),0)</f>
        <v/>
      </c>
      <c r="BM233" s="5">
        <f>IF(BM$2&gt;=Params!$B$6,INDEX($C$232:$BV$232,BM$2-Params!$B$6+1),0)</f>
        <v/>
      </c>
      <c r="BN233" s="5">
        <f>IF(BN$2&gt;=Params!$B$6,INDEX($C$232:$BV$232,BN$2-Params!$B$6+1),0)</f>
        <v/>
      </c>
      <c r="BO233" s="5">
        <f>IF(BO$2&gt;=Params!$B$6,INDEX($C$232:$BV$232,BO$2-Params!$B$6+1),0)</f>
        <v/>
      </c>
      <c r="BP233" s="5">
        <f>IF(BP$2&gt;=Params!$B$6,INDEX($C$232:$BV$232,BP$2-Params!$B$6+1),0)</f>
        <v/>
      </c>
      <c r="BQ233" s="5">
        <f>IF(BQ$2&gt;=Params!$B$6,INDEX($C$232:$BV$232,BQ$2-Params!$B$6+1),0)</f>
        <v/>
      </c>
      <c r="BR233" s="5">
        <f>IF(BR$2&gt;=Params!$B$6,INDEX($C$232:$BV$232,BR$2-Params!$B$6+1),0)</f>
        <v/>
      </c>
      <c r="BS233" s="5">
        <f>IF(BS$2&gt;=Params!$B$6,INDEX($C$232:$BV$232,BS$2-Params!$B$6+1),0)</f>
        <v/>
      </c>
      <c r="BT233" s="5">
        <f>IF(BT$2&gt;=Params!$B$6,INDEX($C$232:$BV$232,BT$2-Params!$B$6+1),0)</f>
        <v/>
      </c>
      <c r="BU233" s="5">
        <f>IF(BU$2&gt;=Params!$B$6,INDEX($C$232:$BV$232,BU$2-Params!$B$6+1),0)</f>
        <v/>
      </c>
      <c r="BV233" s="5">
        <f>IF(BV$2&gt;=Params!$B$6,INDEX($C$232:$BV$232,BV$2-Params!$B$6+1),0)</f>
        <v/>
      </c>
    </row>
    <row r="234">
      <c r="A234" t="inlineStr">
        <is>
          <t>trials lost</t>
        </is>
      </c>
      <c r="B234" t="inlineStr">
        <is>
          <t>APAC|BASIC_A</t>
        </is>
      </c>
      <c r="C234" s="5">
        <f>C231-C233</f>
        <v/>
      </c>
      <c r="D234" s="5">
        <f>D231-D233</f>
        <v/>
      </c>
      <c r="E234" s="5">
        <f>E231-E233</f>
        <v/>
      </c>
      <c r="F234" s="5">
        <f>F231-F233</f>
        <v/>
      </c>
      <c r="G234" s="5">
        <f>G231-G233</f>
        <v/>
      </c>
      <c r="H234" s="5">
        <f>H231-H233</f>
        <v/>
      </c>
      <c r="I234" s="5">
        <f>I231-I233</f>
        <v/>
      </c>
      <c r="J234" s="5">
        <f>J231-J233</f>
        <v/>
      </c>
      <c r="K234" s="5">
        <f>K231-K233</f>
        <v/>
      </c>
      <c r="L234" s="5">
        <f>L231-L233</f>
        <v/>
      </c>
      <c r="M234" s="5">
        <f>M231-M233</f>
        <v/>
      </c>
      <c r="N234" s="5">
        <f>N231-N233</f>
        <v/>
      </c>
      <c r="O234" s="5">
        <f>O231-O233</f>
        <v/>
      </c>
      <c r="P234" s="5">
        <f>P231-P233</f>
        <v/>
      </c>
      <c r="Q234" s="5">
        <f>Q231-Q233</f>
        <v/>
      </c>
      <c r="R234" s="5">
        <f>R231-R233</f>
        <v/>
      </c>
      <c r="S234" s="5">
        <f>S231-S233</f>
        <v/>
      </c>
      <c r="T234" s="5">
        <f>T231-T233</f>
        <v/>
      </c>
      <c r="U234" s="5">
        <f>U231-U233</f>
        <v/>
      </c>
      <c r="V234" s="5">
        <f>V231-V233</f>
        <v/>
      </c>
      <c r="W234" s="5">
        <f>W231-W233</f>
        <v/>
      </c>
      <c r="X234" s="5">
        <f>X231-X233</f>
        <v/>
      </c>
      <c r="Y234" s="5">
        <f>Y231-Y233</f>
        <v/>
      </c>
      <c r="Z234" s="5">
        <f>Z231-Z233</f>
        <v/>
      </c>
      <c r="AA234" s="5">
        <f>AA231-AA233</f>
        <v/>
      </c>
      <c r="AB234" s="5">
        <f>AB231-AB233</f>
        <v/>
      </c>
      <c r="AC234" s="5">
        <f>AC231-AC233</f>
        <v/>
      </c>
      <c r="AD234" s="5">
        <f>AD231-AD233</f>
        <v/>
      </c>
      <c r="AE234" s="5">
        <f>AE231-AE233</f>
        <v/>
      </c>
      <c r="AF234" s="5">
        <f>AF231-AF233</f>
        <v/>
      </c>
      <c r="AG234" s="5">
        <f>AG231-AG233</f>
        <v/>
      </c>
      <c r="AH234" s="5">
        <f>AH231-AH233</f>
        <v/>
      </c>
      <c r="AI234" s="5">
        <f>AI231-AI233</f>
        <v/>
      </c>
      <c r="AJ234" s="5">
        <f>AJ231-AJ233</f>
        <v/>
      </c>
      <c r="AK234" s="5">
        <f>AK231-AK233</f>
        <v/>
      </c>
      <c r="AL234" s="5">
        <f>AL231-AL233</f>
        <v/>
      </c>
      <c r="AM234" s="5">
        <f>AM231-AM233</f>
        <v/>
      </c>
      <c r="AN234" s="5">
        <f>AN231-AN233</f>
        <v/>
      </c>
      <c r="AO234" s="5">
        <f>AO231-AO233</f>
        <v/>
      </c>
      <c r="AP234" s="5">
        <f>AP231-AP233</f>
        <v/>
      </c>
      <c r="AQ234" s="5">
        <f>AQ231-AQ233</f>
        <v/>
      </c>
      <c r="AR234" s="5">
        <f>AR231-AR233</f>
        <v/>
      </c>
      <c r="AS234" s="5">
        <f>AS231-AS233</f>
        <v/>
      </c>
      <c r="AT234" s="5">
        <f>AT231-AT233</f>
        <v/>
      </c>
      <c r="AU234" s="5">
        <f>AU231-AU233</f>
        <v/>
      </c>
      <c r="AV234" s="5">
        <f>AV231-AV233</f>
        <v/>
      </c>
      <c r="AW234" s="5">
        <f>AW231-AW233</f>
        <v/>
      </c>
      <c r="AX234" s="5">
        <f>AX231-AX233</f>
        <v/>
      </c>
      <c r="AY234" s="5">
        <f>AY231-AY233</f>
        <v/>
      </c>
      <c r="AZ234" s="5">
        <f>AZ231-AZ233</f>
        <v/>
      </c>
      <c r="BA234" s="5">
        <f>BA231-BA233</f>
        <v/>
      </c>
      <c r="BB234" s="5">
        <f>BB231-BB233</f>
        <v/>
      </c>
      <c r="BC234" s="5">
        <f>BC231-BC233</f>
        <v/>
      </c>
      <c r="BD234" s="5">
        <f>BD231-BD233</f>
        <v/>
      </c>
      <c r="BE234" s="5">
        <f>BE231-BE233</f>
        <v/>
      </c>
      <c r="BF234" s="5">
        <f>BF231-BF233</f>
        <v/>
      </c>
      <c r="BG234" s="5">
        <f>BG231-BG233</f>
        <v/>
      </c>
      <c r="BH234" s="5">
        <f>BH231-BH233</f>
        <v/>
      </c>
      <c r="BI234" s="5">
        <f>BI231-BI233</f>
        <v/>
      </c>
      <c r="BJ234" s="5">
        <f>BJ231-BJ233</f>
        <v/>
      </c>
      <c r="BK234" s="5">
        <f>BK231-BK233</f>
        <v/>
      </c>
      <c r="BL234" s="5">
        <f>BL231-BL233</f>
        <v/>
      </c>
      <c r="BM234" s="5">
        <f>BM231-BM233</f>
        <v/>
      </c>
      <c r="BN234" s="5">
        <f>BN231-BN233</f>
        <v/>
      </c>
      <c r="BO234" s="5">
        <f>BO231-BO233</f>
        <v/>
      </c>
      <c r="BP234" s="5">
        <f>BP231-BP233</f>
        <v/>
      </c>
      <c r="BQ234" s="5">
        <f>BQ231-BQ233</f>
        <v/>
      </c>
      <c r="BR234" s="5">
        <f>BR231-BR233</f>
        <v/>
      </c>
      <c r="BS234" s="5">
        <f>BS231-BS233</f>
        <v/>
      </c>
      <c r="BT234" s="5">
        <f>BT231-BT233</f>
        <v/>
      </c>
      <c r="BU234" s="5">
        <f>BU231-BU233</f>
        <v/>
      </c>
      <c r="BV234" s="5">
        <f>BV231-BV233</f>
        <v/>
      </c>
    </row>
    <row r="235">
      <c r="A235" t="inlineStr">
        <is>
          <t>cum trial starts</t>
        </is>
      </c>
      <c r="B235" t="inlineStr">
        <is>
          <t>APAC|BASIC_A</t>
        </is>
      </c>
      <c r="C235" s="5">
        <f>SUM($C229:C229)</f>
        <v/>
      </c>
      <c r="D235" s="5">
        <f>SUM($C229:D229)</f>
        <v/>
      </c>
      <c r="E235" s="5">
        <f>SUM($C229:E229)</f>
        <v/>
      </c>
      <c r="F235" s="5">
        <f>SUM($C229:F229)</f>
        <v/>
      </c>
      <c r="G235" s="5">
        <f>SUM($C229:G229)</f>
        <v/>
      </c>
      <c r="H235" s="5">
        <f>SUM($C229:H229)</f>
        <v/>
      </c>
      <c r="I235" s="5">
        <f>SUM($C229:I229)</f>
        <v/>
      </c>
      <c r="J235" s="5">
        <f>SUM($C229:J229)</f>
        <v/>
      </c>
      <c r="K235" s="5">
        <f>SUM($C229:K229)</f>
        <v/>
      </c>
      <c r="L235" s="5">
        <f>SUM($C229:L229)</f>
        <v/>
      </c>
      <c r="M235" s="5">
        <f>SUM($C229:M229)</f>
        <v/>
      </c>
      <c r="N235" s="5">
        <f>SUM($C229:N229)</f>
        <v/>
      </c>
      <c r="O235" s="5">
        <f>SUM($C229:O229)</f>
        <v/>
      </c>
      <c r="P235" s="5">
        <f>SUM($C229:P229)</f>
        <v/>
      </c>
      <c r="Q235" s="5">
        <f>SUM($C229:Q229)</f>
        <v/>
      </c>
      <c r="R235" s="5">
        <f>SUM($C229:R229)</f>
        <v/>
      </c>
      <c r="S235" s="5">
        <f>SUM($C229:S229)</f>
        <v/>
      </c>
      <c r="T235" s="5">
        <f>SUM($C229:T229)</f>
        <v/>
      </c>
      <c r="U235" s="5">
        <f>SUM($C229:U229)</f>
        <v/>
      </c>
      <c r="V235" s="5">
        <f>SUM($C229:V229)</f>
        <v/>
      </c>
      <c r="W235" s="5">
        <f>SUM($C229:W229)</f>
        <v/>
      </c>
      <c r="X235" s="5">
        <f>SUM($C229:X229)</f>
        <v/>
      </c>
      <c r="Y235" s="5">
        <f>SUM($C229:Y229)</f>
        <v/>
      </c>
      <c r="Z235" s="5">
        <f>SUM($C229:Z229)</f>
        <v/>
      </c>
      <c r="AA235" s="5">
        <f>SUM($C229:AA229)</f>
        <v/>
      </c>
      <c r="AB235" s="5">
        <f>SUM($C229:AB229)</f>
        <v/>
      </c>
      <c r="AC235" s="5">
        <f>SUM($C229:AC229)</f>
        <v/>
      </c>
      <c r="AD235" s="5">
        <f>SUM($C229:AD229)</f>
        <v/>
      </c>
      <c r="AE235" s="5">
        <f>SUM($C229:AE229)</f>
        <v/>
      </c>
      <c r="AF235" s="5">
        <f>SUM($C229:AF229)</f>
        <v/>
      </c>
      <c r="AG235" s="5">
        <f>SUM($C229:AG229)</f>
        <v/>
      </c>
      <c r="AH235" s="5">
        <f>SUM($C229:AH229)</f>
        <v/>
      </c>
      <c r="AI235" s="5">
        <f>SUM($C229:AI229)</f>
        <v/>
      </c>
      <c r="AJ235" s="5">
        <f>SUM($C229:AJ229)</f>
        <v/>
      </c>
      <c r="AK235" s="5">
        <f>SUM($C229:AK229)</f>
        <v/>
      </c>
      <c r="AL235" s="5">
        <f>SUM($C229:AL229)</f>
        <v/>
      </c>
      <c r="AM235" s="5">
        <f>SUM($C229:AM229)</f>
        <v/>
      </c>
      <c r="AN235" s="5">
        <f>SUM($C229:AN229)</f>
        <v/>
      </c>
      <c r="AO235" s="5">
        <f>SUM($C229:AO229)</f>
        <v/>
      </c>
      <c r="AP235" s="5">
        <f>SUM($C229:AP229)</f>
        <v/>
      </c>
      <c r="AQ235" s="5">
        <f>SUM($C229:AQ229)</f>
        <v/>
      </c>
      <c r="AR235" s="5">
        <f>SUM($C229:AR229)</f>
        <v/>
      </c>
      <c r="AS235" s="5">
        <f>SUM($C229:AS229)</f>
        <v/>
      </c>
      <c r="AT235" s="5">
        <f>SUM($C229:AT229)</f>
        <v/>
      </c>
      <c r="AU235" s="5">
        <f>SUM($C229:AU229)</f>
        <v/>
      </c>
      <c r="AV235" s="5">
        <f>SUM($C229:AV229)</f>
        <v/>
      </c>
      <c r="AW235" s="5">
        <f>SUM($C229:AW229)</f>
        <v/>
      </c>
      <c r="AX235" s="5">
        <f>SUM($C229:AX229)</f>
        <v/>
      </c>
      <c r="AY235" s="5">
        <f>SUM($C229:AY229)</f>
        <v/>
      </c>
      <c r="AZ235" s="5">
        <f>SUM($C229:AZ229)</f>
        <v/>
      </c>
      <c r="BA235" s="5">
        <f>SUM($C229:BA229)</f>
        <v/>
      </c>
      <c r="BB235" s="5">
        <f>SUM($C229:BB229)</f>
        <v/>
      </c>
      <c r="BC235" s="5">
        <f>SUM($C229:BC229)</f>
        <v/>
      </c>
      <c r="BD235" s="5">
        <f>SUM($C229:BD229)</f>
        <v/>
      </c>
      <c r="BE235" s="5">
        <f>SUM($C229:BE229)</f>
        <v/>
      </c>
      <c r="BF235" s="5">
        <f>SUM($C229:BF229)</f>
        <v/>
      </c>
      <c r="BG235" s="5">
        <f>SUM($C229:BG229)</f>
        <v/>
      </c>
      <c r="BH235" s="5">
        <f>SUM($C229:BH229)</f>
        <v/>
      </c>
      <c r="BI235" s="5">
        <f>SUM($C229:BI229)</f>
        <v/>
      </c>
      <c r="BJ235" s="5">
        <f>SUM($C229:BJ229)</f>
        <v/>
      </c>
      <c r="BK235" s="5">
        <f>SUM($C229:BK229)</f>
        <v/>
      </c>
      <c r="BL235" s="5">
        <f>SUM($C229:BL229)</f>
        <v/>
      </c>
      <c r="BM235" s="5">
        <f>SUM($C229:BM229)</f>
        <v/>
      </c>
      <c r="BN235" s="5">
        <f>SUM($C229:BN229)</f>
        <v/>
      </c>
      <c r="BO235" s="5">
        <f>SUM($C229:BO229)</f>
        <v/>
      </c>
      <c r="BP235" s="5">
        <f>SUM($C229:BP229)</f>
        <v/>
      </c>
      <c r="BQ235" s="5">
        <f>SUM($C229:BQ229)</f>
        <v/>
      </c>
      <c r="BR235" s="5">
        <f>SUM($C229:BR229)</f>
        <v/>
      </c>
      <c r="BS235" s="5">
        <f>SUM($C229:BS229)</f>
        <v/>
      </c>
      <c r="BT235" s="5">
        <f>SUM($C229:BT229)</f>
        <v/>
      </c>
      <c r="BU235" s="5">
        <f>SUM($C229:BU229)</f>
        <v/>
      </c>
      <c r="BV235" s="5">
        <f>SUM($C229:BV229)</f>
        <v/>
      </c>
    </row>
    <row r="236">
      <c r="A236" t="inlineStr">
        <is>
          <t>cum trials ending</t>
        </is>
      </c>
      <c r="B236" t="inlineStr">
        <is>
          <t>APAC|BASIC_A</t>
        </is>
      </c>
      <c r="C236" s="5">
        <f>SUM($C231:C231)</f>
        <v/>
      </c>
      <c r="D236" s="5">
        <f>SUM($C231:D231)</f>
        <v/>
      </c>
      <c r="E236" s="5">
        <f>SUM($C231:E231)</f>
        <v/>
      </c>
      <c r="F236" s="5">
        <f>SUM($C231:F231)</f>
        <v/>
      </c>
      <c r="G236" s="5">
        <f>SUM($C231:G231)</f>
        <v/>
      </c>
      <c r="H236" s="5">
        <f>SUM($C231:H231)</f>
        <v/>
      </c>
      <c r="I236" s="5">
        <f>SUM($C231:I231)</f>
        <v/>
      </c>
      <c r="J236" s="5">
        <f>SUM($C231:J231)</f>
        <v/>
      </c>
      <c r="K236" s="5">
        <f>SUM($C231:K231)</f>
        <v/>
      </c>
      <c r="L236" s="5">
        <f>SUM($C231:L231)</f>
        <v/>
      </c>
      <c r="M236" s="5">
        <f>SUM($C231:M231)</f>
        <v/>
      </c>
      <c r="N236" s="5">
        <f>SUM($C231:N231)</f>
        <v/>
      </c>
      <c r="O236" s="5">
        <f>SUM($C231:O231)</f>
        <v/>
      </c>
      <c r="P236" s="5">
        <f>SUM($C231:P231)</f>
        <v/>
      </c>
      <c r="Q236" s="5">
        <f>SUM($C231:Q231)</f>
        <v/>
      </c>
      <c r="R236" s="5">
        <f>SUM($C231:R231)</f>
        <v/>
      </c>
      <c r="S236" s="5">
        <f>SUM($C231:S231)</f>
        <v/>
      </c>
      <c r="T236" s="5">
        <f>SUM($C231:T231)</f>
        <v/>
      </c>
      <c r="U236" s="5">
        <f>SUM($C231:U231)</f>
        <v/>
      </c>
      <c r="V236" s="5">
        <f>SUM($C231:V231)</f>
        <v/>
      </c>
      <c r="W236" s="5">
        <f>SUM($C231:W231)</f>
        <v/>
      </c>
      <c r="X236" s="5">
        <f>SUM($C231:X231)</f>
        <v/>
      </c>
      <c r="Y236" s="5">
        <f>SUM($C231:Y231)</f>
        <v/>
      </c>
      <c r="Z236" s="5">
        <f>SUM($C231:Z231)</f>
        <v/>
      </c>
      <c r="AA236" s="5">
        <f>SUM($C231:AA231)</f>
        <v/>
      </c>
      <c r="AB236" s="5">
        <f>SUM($C231:AB231)</f>
        <v/>
      </c>
      <c r="AC236" s="5">
        <f>SUM($C231:AC231)</f>
        <v/>
      </c>
      <c r="AD236" s="5">
        <f>SUM($C231:AD231)</f>
        <v/>
      </c>
      <c r="AE236" s="5">
        <f>SUM($C231:AE231)</f>
        <v/>
      </c>
      <c r="AF236" s="5">
        <f>SUM($C231:AF231)</f>
        <v/>
      </c>
      <c r="AG236" s="5">
        <f>SUM($C231:AG231)</f>
        <v/>
      </c>
      <c r="AH236" s="5">
        <f>SUM($C231:AH231)</f>
        <v/>
      </c>
      <c r="AI236" s="5">
        <f>SUM($C231:AI231)</f>
        <v/>
      </c>
      <c r="AJ236" s="5">
        <f>SUM($C231:AJ231)</f>
        <v/>
      </c>
      <c r="AK236" s="5">
        <f>SUM($C231:AK231)</f>
        <v/>
      </c>
      <c r="AL236" s="5">
        <f>SUM($C231:AL231)</f>
        <v/>
      </c>
      <c r="AM236" s="5">
        <f>SUM($C231:AM231)</f>
        <v/>
      </c>
      <c r="AN236" s="5">
        <f>SUM($C231:AN231)</f>
        <v/>
      </c>
      <c r="AO236" s="5">
        <f>SUM($C231:AO231)</f>
        <v/>
      </c>
      <c r="AP236" s="5">
        <f>SUM($C231:AP231)</f>
        <v/>
      </c>
      <c r="AQ236" s="5">
        <f>SUM($C231:AQ231)</f>
        <v/>
      </c>
      <c r="AR236" s="5">
        <f>SUM($C231:AR231)</f>
        <v/>
      </c>
      <c r="AS236" s="5">
        <f>SUM($C231:AS231)</f>
        <v/>
      </c>
      <c r="AT236" s="5">
        <f>SUM($C231:AT231)</f>
        <v/>
      </c>
      <c r="AU236" s="5">
        <f>SUM($C231:AU231)</f>
        <v/>
      </c>
      <c r="AV236" s="5">
        <f>SUM($C231:AV231)</f>
        <v/>
      </c>
      <c r="AW236" s="5">
        <f>SUM($C231:AW231)</f>
        <v/>
      </c>
      <c r="AX236" s="5">
        <f>SUM($C231:AX231)</f>
        <v/>
      </c>
      <c r="AY236" s="5">
        <f>SUM($C231:AY231)</f>
        <v/>
      </c>
      <c r="AZ236" s="5">
        <f>SUM($C231:AZ231)</f>
        <v/>
      </c>
      <c r="BA236" s="5">
        <f>SUM($C231:BA231)</f>
        <v/>
      </c>
      <c r="BB236" s="5">
        <f>SUM($C231:BB231)</f>
        <v/>
      </c>
      <c r="BC236" s="5">
        <f>SUM($C231:BC231)</f>
        <v/>
      </c>
      <c r="BD236" s="5">
        <f>SUM($C231:BD231)</f>
        <v/>
      </c>
      <c r="BE236" s="5">
        <f>SUM($C231:BE231)</f>
        <v/>
      </c>
      <c r="BF236" s="5">
        <f>SUM($C231:BF231)</f>
        <v/>
      </c>
      <c r="BG236" s="5">
        <f>SUM($C231:BG231)</f>
        <v/>
      </c>
      <c r="BH236" s="5">
        <f>SUM($C231:BH231)</f>
        <v/>
      </c>
      <c r="BI236" s="5">
        <f>SUM($C231:BI231)</f>
        <v/>
      </c>
      <c r="BJ236" s="5">
        <f>SUM($C231:BJ231)</f>
        <v/>
      </c>
      <c r="BK236" s="5">
        <f>SUM($C231:BK231)</f>
        <v/>
      </c>
      <c r="BL236" s="5">
        <f>SUM($C231:BL231)</f>
        <v/>
      </c>
      <c r="BM236" s="5">
        <f>SUM($C231:BM231)</f>
        <v/>
      </c>
      <c r="BN236" s="5">
        <f>SUM($C231:BN231)</f>
        <v/>
      </c>
      <c r="BO236" s="5">
        <f>SUM($C231:BO231)</f>
        <v/>
      </c>
      <c r="BP236" s="5">
        <f>SUM($C231:BP231)</f>
        <v/>
      </c>
      <c r="BQ236" s="5">
        <f>SUM($C231:BQ231)</f>
        <v/>
      </c>
      <c r="BR236" s="5">
        <f>SUM($C231:BR231)</f>
        <v/>
      </c>
      <c r="BS236" s="5">
        <f>SUM($C231:BS231)</f>
        <v/>
      </c>
      <c r="BT236" s="5">
        <f>SUM($C231:BT231)</f>
        <v/>
      </c>
      <c r="BU236" s="5">
        <f>SUM($C231:BU231)</f>
        <v/>
      </c>
      <c r="BV236" s="5">
        <f>SUM($C231:BV231)</f>
        <v/>
      </c>
    </row>
    <row r="237">
      <c r="A237" t="inlineStr">
        <is>
          <t>trials active</t>
        </is>
      </c>
      <c r="B237" t="inlineStr">
        <is>
          <t>APAC|BASIC_A</t>
        </is>
      </c>
      <c r="C237" s="5">
        <f>C235-C236</f>
        <v/>
      </c>
      <c r="D237" s="5">
        <f>D235-D236</f>
        <v/>
      </c>
      <c r="E237" s="5">
        <f>E235-E236</f>
        <v/>
      </c>
      <c r="F237" s="5">
        <f>F235-F236</f>
        <v/>
      </c>
      <c r="G237" s="5">
        <f>G235-G236</f>
        <v/>
      </c>
      <c r="H237" s="5">
        <f>H235-H236</f>
        <v/>
      </c>
      <c r="I237" s="5">
        <f>I235-I236</f>
        <v/>
      </c>
      <c r="J237" s="5">
        <f>J235-J236</f>
        <v/>
      </c>
      <c r="K237" s="5">
        <f>K235-K236</f>
        <v/>
      </c>
      <c r="L237" s="5">
        <f>L235-L236</f>
        <v/>
      </c>
      <c r="M237" s="5">
        <f>M235-M236</f>
        <v/>
      </c>
      <c r="N237" s="5">
        <f>N235-N236</f>
        <v/>
      </c>
      <c r="O237" s="5">
        <f>O235-O236</f>
        <v/>
      </c>
      <c r="P237" s="5">
        <f>P235-P236</f>
        <v/>
      </c>
      <c r="Q237" s="5">
        <f>Q235-Q236</f>
        <v/>
      </c>
      <c r="R237" s="5">
        <f>R235-R236</f>
        <v/>
      </c>
      <c r="S237" s="5">
        <f>S235-S236</f>
        <v/>
      </c>
      <c r="T237" s="5">
        <f>T235-T236</f>
        <v/>
      </c>
      <c r="U237" s="5">
        <f>U235-U236</f>
        <v/>
      </c>
      <c r="V237" s="5">
        <f>V235-V236</f>
        <v/>
      </c>
      <c r="W237" s="5">
        <f>W235-W236</f>
        <v/>
      </c>
      <c r="X237" s="5">
        <f>X235-X236</f>
        <v/>
      </c>
      <c r="Y237" s="5">
        <f>Y235-Y236</f>
        <v/>
      </c>
      <c r="Z237" s="5">
        <f>Z235-Z236</f>
        <v/>
      </c>
      <c r="AA237" s="5">
        <f>AA235-AA236</f>
        <v/>
      </c>
      <c r="AB237" s="5">
        <f>AB235-AB236</f>
        <v/>
      </c>
      <c r="AC237" s="5">
        <f>AC235-AC236</f>
        <v/>
      </c>
      <c r="AD237" s="5">
        <f>AD235-AD236</f>
        <v/>
      </c>
      <c r="AE237" s="5">
        <f>AE235-AE236</f>
        <v/>
      </c>
      <c r="AF237" s="5">
        <f>AF235-AF236</f>
        <v/>
      </c>
      <c r="AG237" s="5">
        <f>AG235-AG236</f>
        <v/>
      </c>
      <c r="AH237" s="5">
        <f>AH235-AH236</f>
        <v/>
      </c>
      <c r="AI237" s="5">
        <f>AI235-AI236</f>
        <v/>
      </c>
      <c r="AJ237" s="5">
        <f>AJ235-AJ236</f>
        <v/>
      </c>
      <c r="AK237" s="5">
        <f>AK235-AK236</f>
        <v/>
      </c>
      <c r="AL237" s="5">
        <f>AL235-AL236</f>
        <v/>
      </c>
      <c r="AM237" s="5">
        <f>AM235-AM236</f>
        <v/>
      </c>
      <c r="AN237" s="5">
        <f>AN235-AN236</f>
        <v/>
      </c>
      <c r="AO237" s="5">
        <f>AO235-AO236</f>
        <v/>
      </c>
      <c r="AP237" s="5">
        <f>AP235-AP236</f>
        <v/>
      </c>
      <c r="AQ237" s="5">
        <f>AQ235-AQ236</f>
        <v/>
      </c>
      <c r="AR237" s="5">
        <f>AR235-AR236</f>
        <v/>
      </c>
      <c r="AS237" s="5">
        <f>AS235-AS236</f>
        <v/>
      </c>
      <c r="AT237" s="5">
        <f>AT235-AT236</f>
        <v/>
      </c>
      <c r="AU237" s="5">
        <f>AU235-AU236</f>
        <v/>
      </c>
      <c r="AV237" s="5">
        <f>AV235-AV236</f>
        <v/>
      </c>
      <c r="AW237" s="5">
        <f>AW235-AW236</f>
        <v/>
      </c>
      <c r="AX237" s="5">
        <f>AX235-AX236</f>
        <v/>
      </c>
      <c r="AY237" s="5">
        <f>AY235-AY236</f>
        <v/>
      </c>
      <c r="AZ237" s="5">
        <f>AZ235-AZ236</f>
        <v/>
      </c>
      <c r="BA237" s="5">
        <f>BA235-BA236</f>
        <v/>
      </c>
      <c r="BB237" s="5">
        <f>BB235-BB236</f>
        <v/>
      </c>
      <c r="BC237" s="5">
        <f>BC235-BC236</f>
        <v/>
      </c>
      <c r="BD237" s="5">
        <f>BD235-BD236</f>
        <v/>
      </c>
      <c r="BE237" s="5">
        <f>BE235-BE236</f>
        <v/>
      </c>
      <c r="BF237" s="5">
        <f>BF235-BF236</f>
        <v/>
      </c>
      <c r="BG237" s="5">
        <f>BG235-BG236</f>
        <v/>
      </c>
      <c r="BH237" s="5">
        <f>BH235-BH236</f>
        <v/>
      </c>
      <c r="BI237" s="5">
        <f>BI235-BI236</f>
        <v/>
      </c>
      <c r="BJ237" s="5">
        <f>BJ235-BJ236</f>
        <v/>
      </c>
      <c r="BK237" s="5">
        <f>BK235-BK236</f>
        <v/>
      </c>
      <c r="BL237" s="5">
        <f>BL235-BL236</f>
        <v/>
      </c>
      <c r="BM237" s="5">
        <f>BM235-BM236</f>
        <v/>
      </c>
      <c r="BN237" s="5">
        <f>BN235-BN236</f>
        <v/>
      </c>
      <c r="BO237" s="5">
        <f>BO235-BO236</f>
        <v/>
      </c>
      <c r="BP237" s="5">
        <f>BP235-BP236</f>
        <v/>
      </c>
      <c r="BQ237" s="5">
        <f>BQ235-BQ236</f>
        <v/>
      </c>
      <c r="BR237" s="5">
        <f>BR235-BR236</f>
        <v/>
      </c>
      <c r="BS237" s="5">
        <f>BS235-BS236</f>
        <v/>
      </c>
      <c r="BT237" s="5">
        <f>BT235-BT236</f>
        <v/>
      </c>
      <c r="BU237" s="5">
        <f>BU235-BU236</f>
        <v/>
      </c>
      <c r="BV237" s="5">
        <f>BV235-BV236</f>
        <v/>
      </c>
    </row>
    <row r="238">
      <c r="A238" t="inlineStr">
        <is>
          <t>paid starts</t>
        </is>
      </c>
      <c r="B238" t="inlineStr">
        <is>
          <t>APAC|BASIC_A</t>
        </is>
      </c>
      <c r="C238" s="5">
        <f>C230+C233</f>
        <v/>
      </c>
      <c r="D238" s="5">
        <f>D230+D233</f>
        <v/>
      </c>
      <c r="E238" s="5">
        <f>E230+E233</f>
        <v/>
      </c>
      <c r="F238" s="5">
        <f>F230+F233</f>
        <v/>
      </c>
      <c r="G238" s="5">
        <f>G230+G233</f>
        <v/>
      </c>
      <c r="H238" s="5">
        <f>H230+H233</f>
        <v/>
      </c>
      <c r="I238" s="5">
        <f>I230+I233</f>
        <v/>
      </c>
      <c r="J238" s="5">
        <f>J230+J233</f>
        <v/>
      </c>
      <c r="K238" s="5">
        <f>K230+K233</f>
        <v/>
      </c>
      <c r="L238" s="5">
        <f>L230+L233</f>
        <v/>
      </c>
      <c r="M238" s="5">
        <f>M230+M233</f>
        <v/>
      </c>
      <c r="N238" s="5">
        <f>N230+N233</f>
        <v/>
      </c>
      <c r="O238" s="5">
        <f>O230+O233</f>
        <v/>
      </c>
      <c r="P238" s="5">
        <f>P230+P233</f>
        <v/>
      </c>
      <c r="Q238" s="5">
        <f>Q230+Q233</f>
        <v/>
      </c>
      <c r="R238" s="5">
        <f>R230+R233</f>
        <v/>
      </c>
      <c r="S238" s="5">
        <f>S230+S233</f>
        <v/>
      </c>
      <c r="T238" s="5">
        <f>T230+T233</f>
        <v/>
      </c>
      <c r="U238" s="5">
        <f>U230+U233</f>
        <v/>
      </c>
      <c r="V238" s="5">
        <f>V230+V233</f>
        <v/>
      </c>
      <c r="W238" s="5">
        <f>W230+W233</f>
        <v/>
      </c>
      <c r="X238" s="5">
        <f>X230+X233</f>
        <v/>
      </c>
      <c r="Y238" s="5">
        <f>Y230+Y233</f>
        <v/>
      </c>
      <c r="Z238" s="5">
        <f>Z230+Z233</f>
        <v/>
      </c>
      <c r="AA238" s="5">
        <f>AA230+AA233</f>
        <v/>
      </c>
      <c r="AB238" s="5">
        <f>AB230+AB233</f>
        <v/>
      </c>
      <c r="AC238" s="5">
        <f>AC230+AC233</f>
        <v/>
      </c>
      <c r="AD238" s="5">
        <f>AD230+AD233</f>
        <v/>
      </c>
      <c r="AE238" s="5">
        <f>AE230+AE233</f>
        <v/>
      </c>
      <c r="AF238" s="5">
        <f>AF230+AF233</f>
        <v/>
      </c>
      <c r="AG238" s="5">
        <f>AG230+AG233</f>
        <v/>
      </c>
      <c r="AH238" s="5">
        <f>AH230+AH233</f>
        <v/>
      </c>
      <c r="AI238" s="5">
        <f>AI230+AI233</f>
        <v/>
      </c>
      <c r="AJ238" s="5">
        <f>AJ230+AJ233</f>
        <v/>
      </c>
      <c r="AK238" s="5">
        <f>AK230+AK233</f>
        <v/>
      </c>
      <c r="AL238" s="5">
        <f>AL230+AL233</f>
        <v/>
      </c>
      <c r="AM238" s="5">
        <f>AM230+AM233</f>
        <v/>
      </c>
      <c r="AN238" s="5">
        <f>AN230+AN233</f>
        <v/>
      </c>
      <c r="AO238" s="5">
        <f>AO230+AO233</f>
        <v/>
      </c>
      <c r="AP238" s="5">
        <f>AP230+AP233</f>
        <v/>
      </c>
      <c r="AQ238" s="5">
        <f>AQ230+AQ233</f>
        <v/>
      </c>
      <c r="AR238" s="5">
        <f>AR230+AR233</f>
        <v/>
      </c>
      <c r="AS238" s="5">
        <f>AS230+AS233</f>
        <v/>
      </c>
      <c r="AT238" s="5">
        <f>AT230+AT233</f>
        <v/>
      </c>
      <c r="AU238" s="5">
        <f>AU230+AU233</f>
        <v/>
      </c>
      <c r="AV238" s="5">
        <f>AV230+AV233</f>
        <v/>
      </c>
      <c r="AW238" s="5">
        <f>AW230+AW233</f>
        <v/>
      </c>
      <c r="AX238" s="5">
        <f>AX230+AX233</f>
        <v/>
      </c>
      <c r="AY238" s="5">
        <f>AY230+AY233</f>
        <v/>
      </c>
      <c r="AZ238" s="5">
        <f>AZ230+AZ233</f>
        <v/>
      </c>
      <c r="BA238" s="5">
        <f>BA230+BA233</f>
        <v/>
      </c>
      <c r="BB238" s="5">
        <f>BB230+BB233</f>
        <v/>
      </c>
      <c r="BC238" s="5">
        <f>BC230+BC233</f>
        <v/>
      </c>
      <c r="BD238" s="5">
        <f>BD230+BD233</f>
        <v/>
      </c>
      <c r="BE238" s="5">
        <f>BE230+BE233</f>
        <v/>
      </c>
      <c r="BF238" s="5">
        <f>BF230+BF233</f>
        <v/>
      </c>
      <c r="BG238" s="5">
        <f>BG230+BG233</f>
        <v/>
      </c>
      <c r="BH238" s="5">
        <f>BH230+BH233</f>
        <v/>
      </c>
      <c r="BI238" s="5">
        <f>BI230+BI233</f>
        <v/>
      </c>
      <c r="BJ238" s="5">
        <f>BJ230+BJ233</f>
        <v/>
      </c>
      <c r="BK238" s="5">
        <f>BK230+BK233</f>
        <v/>
      </c>
      <c r="BL238" s="5">
        <f>BL230+BL233</f>
        <v/>
      </c>
      <c r="BM238" s="5">
        <f>BM230+BM233</f>
        <v/>
      </c>
      <c r="BN238" s="5">
        <f>BN230+BN233</f>
        <v/>
      </c>
      <c r="BO238" s="5">
        <f>BO230+BO233</f>
        <v/>
      </c>
      <c r="BP238" s="5">
        <f>BP230+BP233</f>
        <v/>
      </c>
      <c r="BQ238" s="5">
        <f>BQ230+BQ233</f>
        <v/>
      </c>
      <c r="BR238" s="5">
        <f>BR230+BR233</f>
        <v/>
      </c>
      <c r="BS238" s="5">
        <f>BS230+BS233</f>
        <v/>
      </c>
      <c r="BT238" s="5">
        <f>BT230+BT233</f>
        <v/>
      </c>
      <c r="BU238" s="5">
        <f>BU230+BU233</f>
        <v/>
      </c>
      <c r="BV238" s="5">
        <f>BV230+BV233</f>
        <v/>
      </c>
    </row>
    <row r="239">
      <c r="A239" t="inlineStr">
        <is>
          <t>paid starts @0</t>
        </is>
      </c>
      <c r="B239" t="inlineStr">
        <is>
          <t>APAC|BASIC_A</t>
        </is>
      </c>
      <c r="C239" s="5">
        <f>C238*Eras!C$3</f>
        <v/>
      </c>
      <c r="D239" s="5">
        <f>D238*Eras!D$3</f>
        <v/>
      </c>
      <c r="E239" s="5">
        <f>E238*Eras!E$3</f>
        <v/>
      </c>
      <c r="F239" s="5">
        <f>F238*Eras!F$3</f>
        <v/>
      </c>
      <c r="G239" s="5">
        <f>G238*Eras!G$3</f>
        <v/>
      </c>
      <c r="H239" s="5">
        <f>H238*Eras!H$3</f>
        <v/>
      </c>
      <c r="I239" s="5">
        <f>I238*Eras!I$3</f>
        <v/>
      </c>
      <c r="J239" s="5">
        <f>J238*Eras!J$3</f>
        <v/>
      </c>
      <c r="K239" s="5">
        <f>K238*Eras!K$3</f>
        <v/>
      </c>
      <c r="L239" s="5">
        <f>L238*Eras!L$3</f>
        <v/>
      </c>
      <c r="M239" s="5">
        <f>M238*Eras!M$3</f>
        <v/>
      </c>
      <c r="N239" s="5">
        <f>N238*Eras!N$3</f>
        <v/>
      </c>
      <c r="O239" s="5">
        <f>O238*Eras!O$3</f>
        <v/>
      </c>
      <c r="P239" s="5">
        <f>P238*Eras!P$3</f>
        <v/>
      </c>
      <c r="Q239" s="5">
        <f>Q238*Eras!Q$3</f>
        <v/>
      </c>
      <c r="R239" s="5">
        <f>R238*Eras!R$3</f>
        <v/>
      </c>
      <c r="S239" s="5">
        <f>S238*Eras!S$3</f>
        <v/>
      </c>
      <c r="T239" s="5">
        <f>T238*Eras!T$3</f>
        <v/>
      </c>
      <c r="U239" s="5">
        <f>U238*Eras!U$3</f>
        <v/>
      </c>
      <c r="V239" s="5">
        <f>V238*Eras!V$3</f>
        <v/>
      </c>
      <c r="W239" s="5">
        <f>W238*Eras!W$3</f>
        <v/>
      </c>
      <c r="X239" s="5">
        <f>X238*Eras!X$3</f>
        <v/>
      </c>
      <c r="Y239" s="5">
        <f>Y238*Eras!Y$3</f>
        <v/>
      </c>
      <c r="Z239" s="5">
        <f>Z238*Eras!Z$3</f>
        <v/>
      </c>
      <c r="AA239" s="5">
        <f>AA238*Eras!AA$3</f>
        <v/>
      </c>
      <c r="AB239" s="5">
        <f>AB238*Eras!AB$3</f>
        <v/>
      </c>
      <c r="AC239" s="5">
        <f>AC238*Eras!AC$3</f>
        <v/>
      </c>
      <c r="AD239" s="5">
        <f>AD238*Eras!AD$3</f>
        <v/>
      </c>
      <c r="AE239" s="5">
        <f>AE238*Eras!AE$3</f>
        <v/>
      </c>
      <c r="AF239" s="5">
        <f>AF238*Eras!AF$3</f>
        <v/>
      </c>
      <c r="AG239" s="5">
        <f>AG238*Eras!AG$3</f>
        <v/>
      </c>
      <c r="AH239" s="5">
        <f>AH238*Eras!AH$3</f>
        <v/>
      </c>
      <c r="AI239" s="5">
        <f>AI238*Eras!AI$3</f>
        <v/>
      </c>
      <c r="AJ239" s="5">
        <f>AJ238*Eras!AJ$3</f>
        <v/>
      </c>
      <c r="AK239" s="5">
        <f>AK238*Eras!AK$3</f>
        <v/>
      </c>
      <c r="AL239" s="5">
        <f>AL238*Eras!AL$3</f>
        <v/>
      </c>
      <c r="AM239" s="5">
        <f>AM238*Eras!AM$3</f>
        <v/>
      </c>
      <c r="AN239" s="5">
        <f>AN238*Eras!AN$3</f>
        <v/>
      </c>
      <c r="AO239" s="5">
        <f>AO238*Eras!AO$3</f>
        <v/>
      </c>
      <c r="AP239" s="5">
        <f>AP238*Eras!AP$3</f>
        <v/>
      </c>
      <c r="AQ239" s="5">
        <f>AQ238*Eras!AQ$3</f>
        <v/>
      </c>
      <c r="AR239" s="5">
        <f>AR238*Eras!AR$3</f>
        <v/>
      </c>
      <c r="AS239" s="5">
        <f>AS238*Eras!AS$3</f>
        <v/>
      </c>
      <c r="AT239" s="5">
        <f>AT238*Eras!AT$3</f>
        <v/>
      </c>
      <c r="AU239" s="5">
        <f>AU238*Eras!AU$3</f>
        <v/>
      </c>
      <c r="AV239" s="5">
        <f>AV238*Eras!AV$3</f>
        <v/>
      </c>
      <c r="AW239" s="5">
        <f>AW238*Eras!AW$3</f>
        <v/>
      </c>
      <c r="AX239" s="5">
        <f>AX238*Eras!AX$3</f>
        <v/>
      </c>
      <c r="AY239" s="5">
        <f>AY238*Eras!AY$3</f>
        <v/>
      </c>
      <c r="AZ239" s="5">
        <f>AZ238*Eras!AZ$3</f>
        <v/>
      </c>
      <c r="BA239" s="5">
        <f>BA238*Eras!BA$3</f>
        <v/>
      </c>
      <c r="BB239" s="5">
        <f>BB238*Eras!BB$3</f>
        <v/>
      </c>
      <c r="BC239" s="5">
        <f>BC238*Eras!BC$3</f>
        <v/>
      </c>
      <c r="BD239" s="5">
        <f>BD238*Eras!BD$3</f>
        <v/>
      </c>
      <c r="BE239" s="5">
        <f>BE238*Eras!BE$3</f>
        <v/>
      </c>
      <c r="BF239" s="5">
        <f>BF238*Eras!BF$3</f>
        <v/>
      </c>
      <c r="BG239" s="5">
        <f>BG238*Eras!BG$3</f>
        <v/>
      </c>
      <c r="BH239" s="5">
        <f>BH238*Eras!BH$3</f>
        <v/>
      </c>
      <c r="BI239" s="5">
        <f>BI238*Eras!BI$3</f>
        <v/>
      </c>
      <c r="BJ239" s="5">
        <f>BJ238*Eras!BJ$3</f>
        <v/>
      </c>
      <c r="BK239" s="5">
        <f>BK238*Eras!BK$3</f>
        <v/>
      </c>
      <c r="BL239" s="5">
        <f>BL238*Eras!BL$3</f>
        <v/>
      </c>
      <c r="BM239" s="5">
        <f>BM238*Eras!BM$3</f>
        <v/>
      </c>
      <c r="BN239" s="5">
        <f>BN238*Eras!BN$3</f>
        <v/>
      </c>
      <c r="BO239" s="5">
        <f>BO238*Eras!BO$3</f>
        <v/>
      </c>
      <c r="BP239" s="5">
        <f>BP238*Eras!BP$3</f>
        <v/>
      </c>
      <c r="BQ239" s="5">
        <f>BQ238*Eras!BQ$3</f>
        <v/>
      </c>
      <c r="BR239" s="5">
        <f>BR238*Eras!BR$3</f>
        <v/>
      </c>
      <c r="BS239" s="5">
        <f>BS238*Eras!BS$3</f>
        <v/>
      </c>
      <c r="BT239" s="5">
        <f>BT238*Eras!BT$3</f>
        <v/>
      </c>
      <c r="BU239" s="5">
        <f>BU238*Eras!BU$3</f>
        <v/>
      </c>
      <c r="BV239" s="5">
        <f>BV238*Eras!BV$3</f>
        <v/>
      </c>
    </row>
    <row r="240">
      <c r="A240" t="inlineStr">
        <is>
          <t>paid starts @1</t>
        </is>
      </c>
      <c r="B240" t="inlineStr">
        <is>
          <t>APAC|BASIC_A</t>
        </is>
      </c>
      <c r="C240" s="5">
        <f>C238*Eras!C$4</f>
        <v/>
      </c>
      <c r="D240" s="5">
        <f>D238*Eras!D$4</f>
        <v/>
      </c>
      <c r="E240" s="5">
        <f>E238*Eras!E$4</f>
        <v/>
      </c>
      <c r="F240" s="5">
        <f>F238*Eras!F$4</f>
        <v/>
      </c>
      <c r="G240" s="5">
        <f>G238*Eras!G$4</f>
        <v/>
      </c>
      <c r="H240" s="5">
        <f>H238*Eras!H$4</f>
        <v/>
      </c>
      <c r="I240" s="5">
        <f>I238*Eras!I$4</f>
        <v/>
      </c>
      <c r="J240" s="5">
        <f>J238*Eras!J$4</f>
        <v/>
      </c>
      <c r="K240" s="5">
        <f>K238*Eras!K$4</f>
        <v/>
      </c>
      <c r="L240" s="5">
        <f>L238*Eras!L$4</f>
        <v/>
      </c>
      <c r="M240" s="5">
        <f>M238*Eras!M$4</f>
        <v/>
      </c>
      <c r="N240" s="5">
        <f>N238*Eras!N$4</f>
        <v/>
      </c>
      <c r="O240" s="5">
        <f>O238*Eras!O$4</f>
        <v/>
      </c>
      <c r="P240" s="5">
        <f>P238*Eras!P$4</f>
        <v/>
      </c>
      <c r="Q240" s="5">
        <f>Q238*Eras!Q$4</f>
        <v/>
      </c>
      <c r="R240" s="5">
        <f>R238*Eras!R$4</f>
        <v/>
      </c>
      <c r="S240" s="5">
        <f>S238*Eras!S$4</f>
        <v/>
      </c>
      <c r="T240" s="5">
        <f>T238*Eras!T$4</f>
        <v/>
      </c>
      <c r="U240" s="5">
        <f>U238*Eras!U$4</f>
        <v/>
      </c>
      <c r="V240" s="5">
        <f>V238*Eras!V$4</f>
        <v/>
      </c>
      <c r="W240" s="5">
        <f>W238*Eras!W$4</f>
        <v/>
      </c>
      <c r="X240" s="5">
        <f>X238*Eras!X$4</f>
        <v/>
      </c>
      <c r="Y240" s="5">
        <f>Y238*Eras!Y$4</f>
        <v/>
      </c>
      <c r="Z240" s="5">
        <f>Z238*Eras!Z$4</f>
        <v/>
      </c>
      <c r="AA240" s="5">
        <f>AA238*Eras!AA$4</f>
        <v/>
      </c>
      <c r="AB240" s="5">
        <f>AB238*Eras!AB$4</f>
        <v/>
      </c>
      <c r="AC240" s="5">
        <f>AC238*Eras!AC$4</f>
        <v/>
      </c>
      <c r="AD240" s="5">
        <f>AD238*Eras!AD$4</f>
        <v/>
      </c>
      <c r="AE240" s="5">
        <f>AE238*Eras!AE$4</f>
        <v/>
      </c>
      <c r="AF240" s="5">
        <f>AF238*Eras!AF$4</f>
        <v/>
      </c>
      <c r="AG240" s="5">
        <f>AG238*Eras!AG$4</f>
        <v/>
      </c>
      <c r="AH240" s="5">
        <f>AH238*Eras!AH$4</f>
        <v/>
      </c>
      <c r="AI240" s="5">
        <f>AI238*Eras!AI$4</f>
        <v/>
      </c>
      <c r="AJ240" s="5">
        <f>AJ238*Eras!AJ$4</f>
        <v/>
      </c>
      <c r="AK240" s="5">
        <f>AK238*Eras!AK$4</f>
        <v/>
      </c>
      <c r="AL240" s="5">
        <f>AL238*Eras!AL$4</f>
        <v/>
      </c>
      <c r="AM240" s="5">
        <f>AM238*Eras!AM$4</f>
        <v/>
      </c>
      <c r="AN240" s="5">
        <f>AN238*Eras!AN$4</f>
        <v/>
      </c>
      <c r="AO240" s="5">
        <f>AO238*Eras!AO$4</f>
        <v/>
      </c>
      <c r="AP240" s="5">
        <f>AP238*Eras!AP$4</f>
        <v/>
      </c>
      <c r="AQ240" s="5">
        <f>AQ238*Eras!AQ$4</f>
        <v/>
      </c>
      <c r="AR240" s="5">
        <f>AR238*Eras!AR$4</f>
        <v/>
      </c>
      <c r="AS240" s="5">
        <f>AS238*Eras!AS$4</f>
        <v/>
      </c>
      <c r="AT240" s="5">
        <f>AT238*Eras!AT$4</f>
        <v/>
      </c>
      <c r="AU240" s="5">
        <f>AU238*Eras!AU$4</f>
        <v/>
      </c>
      <c r="AV240" s="5">
        <f>AV238*Eras!AV$4</f>
        <v/>
      </c>
      <c r="AW240" s="5">
        <f>AW238*Eras!AW$4</f>
        <v/>
      </c>
      <c r="AX240" s="5">
        <f>AX238*Eras!AX$4</f>
        <v/>
      </c>
      <c r="AY240" s="5">
        <f>AY238*Eras!AY$4</f>
        <v/>
      </c>
      <c r="AZ240" s="5">
        <f>AZ238*Eras!AZ$4</f>
        <v/>
      </c>
      <c r="BA240" s="5">
        <f>BA238*Eras!BA$4</f>
        <v/>
      </c>
      <c r="BB240" s="5">
        <f>BB238*Eras!BB$4</f>
        <v/>
      </c>
      <c r="BC240" s="5">
        <f>BC238*Eras!BC$4</f>
        <v/>
      </c>
      <c r="BD240" s="5">
        <f>BD238*Eras!BD$4</f>
        <v/>
      </c>
      <c r="BE240" s="5">
        <f>BE238*Eras!BE$4</f>
        <v/>
      </c>
      <c r="BF240" s="5">
        <f>BF238*Eras!BF$4</f>
        <v/>
      </c>
      <c r="BG240" s="5">
        <f>BG238*Eras!BG$4</f>
        <v/>
      </c>
      <c r="BH240" s="5">
        <f>BH238*Eras!BH$4</f>
        <v/>
      </c>
      <c r="BI240" s="5">
        <f>BI238*Eras!BI$4</f>
        <v/>
      </c>
      <c r="BJ240" s="5">
        <f>BJ238*Eras!BJ$4</f>
        <v/>
      </c>
      <c r="BK240" s="5">
        <f>BK238*Eras!BK$4</f>
        <v/>
      </c>
      <c r="BL240" s="5">
        <f>BL238*Eras!BL$4</f>
        <v/>
      </c>
      <c r="BM240" s="5">
        <f>BM238*Eras!BM$4</f>
        <v/>
      </c>
      <c r="BN240" s="5">
        <f>BN238*Eras!BN$4</f>
        <v/>
      </c>
      <c r="BO240" s="5">
        <f>BO238*Eras!BO$4</f>
        <v/>
      </c>
      <c r="BP240" s="5">
        <f>BP238*Eras!BP$4</f>
        <v/>
      </c>
      <c r="BQ240" s="5">
        <f>BQ238*Eras!BQ$4</f>
        <v/>
      </c>
      <c r="BR240" s="5">
        <f>BR238*Eras!BR$4</f>
        <v/>
      </c>
      <c r="BS240" s="5">
        <f>BS238*Eras!BS$4</f>
        <v/>
      </c>
      <c r="BT240" s="5">
        <f>BT238*Eras!BT$4</f>
        <v/>
      </c>
      <c r="BU240" s="5">
        <f>BU238*Eras!BU$4</f>
        <v/>
      </c>
      <c r="BV240" s="5">
        <f>BV238*Eras!BV$4</f>
        <v/>
      </c>
    </row>
    <row r="241">
      <c r="A241" t="inlineStr">
        <is>
          <t>paid starts @2</t>
        </is>
      </c>
      <c r="B241" t="inlineStr">
        <is>
          <t>APAC|BASIC_A</t>
        </is>
      </c>
      <c r="C241" s="5">
        <f>C238*Eras!C$5</f>
        <v/>
      </c>
      <c r="D241" s="5">
        <f>D238*Eras!D$5</f>
        <v/>
      </c>
      <c r="E241" s="5">
        <f>E238*Eras!E$5</f>
        <v/>
      </c>
      <c r="F241" s="5">
        <f>F238*Eras!F$5</f>
        <v/>
      </c>
      <c r="G241" s="5">
        <f>G238*Eras!G$5</f>
        <v/>
      </c>
      <c r="H241" s="5">
        <f>H238*Eras!H$5</f>
        <v/>
      </c>
      <c r="I241" s="5">
        <f>I238*Eras!I$5</f>
        <v/>
      </c>
      <c r="J241" s="5">
        <f>J238*Eras!J$5</f>
        <v/>
      </c>
      <c r="K241" s="5">
        <f>K238*Eras!K$5</f>
        <v/>
      </c>
      <c r="L241" s="5">
        <f>L238*Eras!L$5</f>
        <v/>
      </c>
      <c r="M241" s="5">
        <f>M238*Eras!M$5</f>
        <v/>
      </c>
      <c r="N241" s="5">
        <f>N238*Eras!N$5</f>
        <v/>
      </c>
      <c r="O241" s="5">
        <f>O238*Eras!O$5</f>
        <v/>
      </c>
      <c r="P241" s="5">
        <f>P238*Eras!P$5</f>
        <v/>
      </c>
      <c r="Q241" s="5">
        <f>Q238*Eras!Q$5</f>
        <v/>
      </c>
      <c r="R241" s="5">
        <f>R238*Eras!R$5</f>
        <v/>
      </c>
      <c r="S241" s="5">
        <f>S238*Eras!S$5</f>
        <v/>
      </c>
      <c r="T241" s="5">
        <f>T238*Eras!T$5</f>
        <v/>
      </c>
      <c r="U241" s="5">
        <f>U238*Eras!U$5</f>
        <v/>
      </c>
      <c r="V241" s="5">
        <f>V238*Eras!V$5</f>
        <v/>
      </c>
      <c r="W241" s="5">
        <f>W238*Eras!W$5</f>
        <v/>
      </c>
      <c r="X241" s="5">
        <f>X238*Eras!X$5</f>
        <v/>
      </c>
      <c r="Y241" s="5">
        <f>Y238*Eras!Y$5</f>
        <v/>
      </c>
      <c r="Z241" s="5">
        <f>Z238*Eras!Z$5</f>
        <v/>
      </c>
      <c r="AA241" s="5">
        <f>AA238*Eras!AA$5</f>
        <v/>
      </c>
      <c r="AB241" s="5">
        <f>AB238*Eras!AB$5</f>
        <v/>
      </c>
      <c r="AC241" s="5">
        <f>AC238*Eras!AC$5</f>
        <v/>
      </c>
      <c r="AD241" s="5">
        <f>AD238*Eras!AD$5</f>
        <v/>
      </c>
      <c r="AE241" s="5">
        <f>AE238*Eras!AE$5</f>
        <v/>
      </c>
      <c r="AF241" s="5">
        <f>AF238*Eras!AF$5</f>
        <v/>
      </c>
      <c r="AG241" s="5">
        <f>AG238*Eras!AG$5</f>
        <v/>
      </c>
      <c r="AH241" s="5">
        <f>AH238*Eras!AH$5</f>
        <v/>
      </c>
      <c r="AI241" s="5">
        <f>AI238*Eras!AI$5</f>
        <v/>
      </c>
      <c r="AJ241" s="5">
        <f>AJ238*Eras!AJ$5</f>
        <v/>
      </c>
      <c r="AK241" s="5">
        <f>AK238*Eras!AK$5</f>
        <v/>
      </c>
      <c r="AL241" s="5">
        <f>AL238*Eras!AL$5</f>
        <v/>
      </c>
      <c r="AM241" s="5">
        <f>AM238*Eras!AM$5</f>
        <v/>
      </c>
      <c r="AN241" s="5">
        <f>AN238*Eras!AN$5</f>
        <v/>
      </c>
      <c r="AO241" s="5">
        <f>AO238*Eras!AO$5</f>
        <v/>
      </c>
      <c r="AP241" s="5">
        <f>AP238*Eras!AP$5</f>
        <v/>
      </c>
      <c r="AQ241" s="5">
        <f>AQ238*Eras!AQ$5</f>
        <v/>
      </c>
      <c r="AR241" s="5">
        <f>AR238*Eras!AR$5</f>
        <v/>
      </c>
      <c r="AS241" s="5">
        <f>AS238*Eras!AS$5</f>
        <v/>
      </c>
      <c r="AT241" s="5">
        <f>AT238*Eras!AT$5</f>
        <v/>
      </c>
      <c r="AU241" s="5">
        <f>AU238*Eras!AU$5</f>
        <v/>
      </c>
      <c r="AV241" s="5">
        <f>AV238*Eras!AV$5</f>
        <v/>
      </c>
      <c r="AW241" s="5">
        <f>AW238*Eras!AW$5</f>
        <v/>
      </c>
      <c r="AX241" s="5">
        <f>AX238*Eras!AX$5</f>
        <v/>
      </c>
      <c r="AY241" s="5">
        <f>AY238*Eras!AY$5</f>
        <v/>
      </c>
      <c r="AZ241" s="5">
        <f>AZ238*Eras!AZ$5</f>
        <v/>
      </c>
      <c r="BA241" s="5">
        <f>BA238*Eras!BA$5</f>
        <v/>
      </c>
      <c r="BB241" s="5">
        <f>BB238*Eras!BB$5</f>
        <v/>
      </c>
      <c r="BC241" s="5">
        <f>BC238*Eras!BC$5</f>
        <v/>
      </c>
      <c r="BD241" s="5">
        <f>BD238*Eras!BD$5</f>
        <v/>
      </c>
      <c r="BE241" s="5">
        <f>BE238*Eras!BE$5</f>
        <v/>
      </c>
      <c r="BF241" s="5">
        <f>BF238*Eras!BF$5</f>
        <v/>
      </c>
      <c r="BG241" s="5">
        <f>BG238*Eras!BG$5</f>
        <v/>
      </c>
      <c r="BH241" s="5">
        <f>BH238*Eras!BH$5</f>
        <v/>
      </c>
      <c r="BI241" s="5">
        <f>BI238*Eras!BI$5</f>
        <v/>
      </c>
      <c r="BJ241" s="5">
        <f>BJ238*Eras!BJ$5</f>
        <v/>
      </c>
      <c r="BK241" s="5">
        <f>BK238*Eras!BK$5</f>
        <v/>
      </c>
      <c r="BL241" s="5">
        <f>BL238*Eras!BL$5</f>
        <v/>
      </c>
      <c r="BM241" s="5">
        <f>BM238*Eras!BM$5</f>
        <v/>
      </c>
      <c r="BN241" s="5">
        <f>BN238*Eras!BN$5</f>
        <v/>
      </c>
      <c r="BO241" s="5">
        <f>BO238*Eras!BO$5</f>
        <v/>
      </c>
      <c r="BP241" s="5">
        <f>BP238*Eras!BP$5</f>
        <v/>
      </c>
      <c r="BQ241" s="5">
        <f>BQ238*Eras!BQ$5</f>
        <v/>
      </c>
      <c r="BR241" s="5">
        <f>BR238*Eras!BR$5</f>
        <v/>
      </c>
      <c r="BS241" s="5">
        <f>BS238*Eras!BS$5</f>
        <v/>
      </c>
      <c r="BT241" s="5">
        <f>BT238*Eras!BT$5</f>
        <v/>
      </c>
      <c r="BU241" s="5">
        <f>BU238*Eras!BU$5</f>
        <v/>
      </c>
      <c r="BV241" s="5">
        <f>BV238*Eras!BV$5</f>
        <v/>
      </c>
    </row>
    <row r="243">
      <c r="A243" t="inlineStr">
        <is>
          <t>gross adds</t>
        </is>
      </c>
      <c r="B243" t="inlineStr">
        <is>
          <t>ROW|NITRO_M</t>
        </is>
      </c>
      <c r="C243" s="5">
        <f>MAU!C8*Params!$B$61*Eras!C$7*Params!$B$130*Params!$B$92</f>
        <v/>
      </c>
      <c r="D243" s="5">
        <f>MAU!D8*Params!$B$61*Eras!D$7*Params!$B$130*Params!$B$92</f>
        <v/>
      </c>
      <c r="E243" s="5">
        <f>MAU!E8*Params!$B$61*Eras!E$7*Params!$B$130*Params!$B$92</f>
        <v/>
      </c>
      <c r="F243" s="5">
        <f>MAU!F8*Params!$B$61*Eras!F$7*Params!$B$130*Params!$B$92</f>
        <v/>
      </c>
      <c r="G243" s="5">
        <f>MAU!G8*Params!$B$61*Eras!G$7*Params!$B$130*Params!$B$92</f>
        <v/>
      </c>
      <c r="H243" s="5">
        <f>MAU!H8*Params!$B$61*Eras!H$7*Params!$B$130*Params!$B$92</f>
        <v/>
      </c>
      <c r="I243" s="5">
        <f>MAU!I8*Params!$B$61*Eras!I$7*Params!$B$130*Params!$B$92</f>
        <v/>
      </c>
      <c r="J243" s="5">
        <f>MAU!J8*Params!$B$61*Eras!J$7*Params!$B$130*Params!$B$92</f>
        <v/>
      </c>
      <c r="K243" s="5">
        <f>MAU!K8*Params!$B$61*Eras!K$7*Params!$B$130*Params!$B$92</f>
        <v/>
      </c>
      <c r="L243" s="5">
        <f>MAU!L8*Params!$B$61*Eras!L$7*Params!$B$130*Params!$B$92</f>
        <v/>
      </c>
      <c r="M243" s="5">
        <f>MAU!M8*Params!$B$61*Eras!M$7*Params!$B$130*Params!$B$92</f>
        <v/>
      </c>
      <c r="N243" s="5">
        <f>MAU!N8*Params!$B$61*Eras!N$7*Params!$B$130*Params!$B$92</f>
        <v/>
      </c>
      <c r="O243" s="5">
        <f>MAU!O8*Params!$B$61*Eras!O$7*Params!$B$130*Params!$B$92</f>
        <v/>
      </c>
      <c r="P243" s="5">
        <f>MAU!P8*Params!$B$61*Eras!P$7*Params!$B$130*Params!$B$92</f>
        <v/>
      </c>
      <c r="Q243" s="5">
        <f>MAU!Q8*Params!$B$61*Eras!Q$7*Params!$B$130*Params!$B$92</f>
        <v/>
      </c>
      <c r="R243" s="5">
        <f>MAU!R8*Params!$B$61*Eras!R$7*Params!$B$130*Params!$B$92</f>
        <v/>
      </c>
      <c r="S243" s="5">
        <f>MAU!S8*Params!$B$61*Eras!S$7*Params!$B$130*Params!$B$92</f>
        <v/>
      </c>
      <c r="T243" s="5">
        <f>MAU!T8*Params!$B$61*Eras!T$7*Params!$B$130*Params!$B$92</f>
        <v/>
      </c>
      <c r="U243" s="5">
        <f>MAU!U8*Params!$B$61*Eras!U$7*Params!$B$130*Params!$B$92</f>
        <v/>
      </c>
      <c r="V243" s="5">
        <f>MAU!V8*Params!$B$61*Eras!V$7*Params!$B$130*Params!$B$92</f>
        <v/>
      </c>
      <c r="W243" s="5">
        <f>MAU!W8*Params!$B$61*Eras!W$7*Params!$B$130*Params!$B$92</f>
        <v/>
      </c>
      <c r="X243" s="5">
        <f>MAU!X8*Params!$B$61*Eras!X$7*Params!$B$130*Params!$B$92</f>
        <v/>
      </c>
      <c r="Y243" s="5">
        <f>MAU!Y8*Params!$B$61*Eras!Y$7*Params!$B$130*Params!$B$92</f>
        <v/>
      </c>
      <c r="Z243" s="5">
        <f>MAU!Z8*Params!$B$61*Eras!Z$7*Params!$B$130*Params!$B$92</f>
        <v/>
      </c>
      <c r="AA243" s="5">
        <f>MAU!AA8*Params!$B$61*Eras!AA$7*Params!$B$130*Params!$B$92</f>
        <v/>
      </c>
      <c r="AB243" s="5">
        <f>MAU!AB8*Params!$B$61*Eras!AB$7*Params!$B$130*Params!$B$92</f>
        <v/>
      </c>
      <c r="AC243" s="5">
        <f>MAU!AC8*Params!$B$61*Eras!AC$7*Params!$B$130*Params!$B$92</f>
        <v/>
      </c>
      <c r="AD243" s="5">
        <f>MAU!AD8*Params!$B$61*Eras!AD$7*Params!$B$130*Params!$B$92</f>
        <v/>
      </c>
      <c r="AE243" s="5">
        <f>MAU!AE8*Params!$B$61*Eras!AE$7*Params!$B$130*Params!$B$92</f>
        <v/>
      </c>
      <c r="AF243" s="5">
        <f>MAU!AF8*Params!$B$61*Eras!AF$7*Params!$B$130*Params!$B$92</f>
        <v/>
      </c>
      <c r="AG243" s="5">
        <f>MAU!AG8*Params!$B$61*Eras!AG$7*Params!$B$130*Params!$B$92</f>
        <v/>
      </c>
      <c r="AH243" s="5">
        <f>MAU!AH8*Params!$B$61*Eras!AH$7*Params!$B$130*Params!$B$92</f>
        <v/>
      </c>
      <c r="AI243" s="5">
        <f>MAU!AI8*Params!$B$61*Eras!AI$7*Params!$B$130*Params!$B$92</f>
        <v/>
      </c>
      <c r="AJ243" s="5">
        <f>MAU!AJ8*Params!$B$61*Eras!AJ$7*Params!$B$130*Params!$B$92</f>
        <v/>
      </c>
      <c r="AK243" s="5">
        <f>MAU!AK8*Params!$B$61*Eras!AK$7*Params!$B$130*Params!$B$92</f>
        <v/>
      </c>
      <c r="AL243" s="5">
        <f>MAU!AL8*Params!$B$61*Eras!AL$7*Params!$B$130*Params!$B$92</f>
        <v/>
      </c>
      <c r="AM243" s="5">
        <f>MAU!AM8*Params!$B$61*Eras!AM$7*Params!$B$130*Params!$B$92</f>
        <v/>
      </c>
      <c r="AN243" s="5">
        <f>MAU!AN8*Params!$B$61*Eras!AN$7*Params!$B$130*Params!$B$92</f>
        <v/>
      </c>
      <c r="AO243" s="5">
        <f>MAU!AO8*Params!$B$61*Eras!AO$7*Params!$B$130*Params!$B$92</f>
        <v/>
      </c>
      <c r="AP243" s="5">
        <f>MAU!AP8*Params!$B$61*Eras!AP$7*Params!$B$130*Params!$B$92</f>
        <v/>
      </c>
      <c r="AQ243" s="5">
        <f>MAU!AQ8*Params!$B$61*Eras!AQ$7*Params!$B$130*Params!$B$92</f>
        <v/>
      </c>
      <c r="AR243" s="5">
        <f>MAU!AR8*Params!$B$61*Eras!AR$7*Params!$B$130*Params!$B$92</f>
        <v/>
      </c>
      <c r="AS243" s="5">
        <f>MAU!AS8*Params!$B$61*Eras!AS$7*Params!$B$130*Params!$B$92</f>
        <v/>
      </c>
      <c r="AT243" s="5">
        <f>MAU!AT8*Params!$B$61*Eras!AT$7*Params!$B$130*Params!$B$92</f>
        <v/>
      </c>
      <c r="AU243" s="5">
        <f>MAU!AU8*Params!$B$61*Eras!AU$7*Params!$B$130*Params!$B$92</f>
        <v/>
      </c>
      <c r="AV243" s="5">
        <f>MAU!AV8*Params!$B$61*Eras!AV$7*Params!$B$130*Params!$B$92</f>
        <v/>
      </c>
      <c r="AW243" s="5">
        <f>MAU!AW8*Params!$B$61*Eras!AW$7*Params!$B$130*Params!$B$92</f>
        <v/>
      </c>
      <c r="AX243" s="5">
        <f>MAU!AX8*Params!$B$61*Eras!AX$7*Params!$B$130*Params!$B$92</f>
        <v/>
      </c>
      <c r="AY243" s="5">
        <f>MAU!AY8*Params!$B$61*Eras!AY$7*Params!$B$130*Params!$B$92</f>
        <v/>
      </c>
      <c r="AZ243" s="5">
        <f>MAU!AZ8*Params!$B$61*Eras!AZ$7*Params!$B$130*Params!$B$92</f>
        <v/>
      </c>
      <c r="BA243" s="5">
        <f>MAU!BA8*Params!$B$61*Eras!BA$7*Params!$B$130*Params!$B$92</f>
        <v/>
      </c>
      <c r="BB243" s="5">
        <f>MAU!BB8*Params!$B$61*Eras!BB$7*Params!$B$130*Params!$B$92</f>
        <v/>
      </c>
      <c r="BC243" s="5">
        <f>MAU!BC8*Params!$B$61*Eras!BC$7*Params!$B$130*Params!$B$92</f>
        <v/>
      </c>
      <c r="BD243" s="5">
        <f>MAU!BD8*Params!$B$61*Eras!BD$7*Params!$B$130*Params!$B$92</f>
        <v/>
      </c>
      <c r="BE243" s="5">
        <f>MAU!BE8*Params!$B$61*Eras!BE$7*Params!$B$130*Params!$B$92</f>
        <v/>
      </c>
      <c r="BF243" s="5">
        <f>MAU!BF8*Params!$B$61*Eras!BF$7*Params!$B$130*Params!$B$92</f>
        <v/>
      </c>
      <c r="BG243" s="5">
        <f>MAU!BG8*Params!$B$61*Eras!BG$7*Params!$B$130*Params!$B$92</f>
        <v/>
      </c>
      <c r="BH243" s="5">
        <f>MAU!BH8*Params!$B$61*Eras!BH$7*Params!$B$130*Params!$B$92</f>
        <v/>
      </c>
      <c r="BI243" s="5">
        <f>MAU!BI8*Params!$B$61*Eras!BI$7*Params!$B$130*Params!$B$92</f>
        <v/>
      </c>
      <c r="BJ243" s="5">
        <f>MAU!BJ8*Params!$B$61*Eras!BJ$7*Params!$B$130*Params!$B$92</f>
        <v/>
      </c>
      <c r="BK243" s="5">
        <f>MAU!BK8*Params!$B$61*Eras!BK$7*Params!$B$130*Params!$B$92</f>
        <v/>
      </c>
      <c r="BL243" s="5">
        <f>MAU!BL8*Params!$B$61*Eras!BL$7*Params!$B$130*Params!$B$92</f>
        <v/>
      </c>
      <c r="BM243" s="5">
        <f>MAU!BM8*Params!$B$61*Eras!BM$7*Params!$B$130*Params!$B$92</f>
        <v/>
      </c>
      <c r="BN243" s="5">
        <f>MAU!BN8*Params!$B$61*Eras!BN$7*Params!$B$130*Params!$B$92</f>
        <v/>
      </c>
      <c r="BO243" s="5">
        <f>MAU!BO8*Params!$B$61*Eras!BO$7*Params!$B$130*Params!$B$92</f>
        <v/>
      </c>
      <c r="BP243" s="5">
        <f>MAU!BP8*Params!$B$61*Eras!BP$7*Params!$B$130*Params!$B$92</f>
        <v/>
      </c>
      <c r="BQ243" s="5">
        <f>MAU!BQ8*Params!$B$61*Eras!BQ$7*Params!$B$130*Params!$B$92</f>
        <v/>
      </c>
      <c r="BR243" s="5">
        <f>MAU!BR8*Params!$B$61*Eras!BR$7*Params!$B$130*Params!$B$92</f>
        <v/>
      </c>
      <c r="BS243" s="5">
        <f>MAU!BS8*Params!$B$61*Eras!BS$7*Params!$B$130*Params!$B$92</f>
        <v/>
      </c>
      <c r="BT243" s="5">
        <f>MAU!BT8*Params!$B$61*Eras!BT$7*Params!$B$130*Params!$B$92</f>
        <v/>
      </c>
      <c r="BU243" s="5">
        <f>MAU!BU8*Params!$B$61*Eras!BU$7*Params!$B$130*Params!$B$92</f>
        <v/>
      </c>
      <c r="BV243" s="5">
        <f>MAU!BV8*Params!$B$61*Eras!BV$7*Params!$B$130*Params!$B$92</f>
        <v/>
      </c>
    </row>
    <row r="244">
      <c r="A244" t="inlineStr">
        <is>
          <t>trial starts</t>
        </is>
      </c>
      <c r="B244" t="inlineStr">
        <is>
          <t>ROW|NITRO_M</t>
        </is>
      </c>
      <c r="C244" s="5">
        <f>C243*Eras!C$8</f>
        <v/>
      </c>
      <c r="D244" s="5">
        <f>D243*Eras!D$8</f>
        <v/>
      </c>
      <c r="E244" s="5">
        <f>E243*Eras!E$8</f>
        <v/>
      </c>
      <c r="F244" s="5">
        <f>F243*Eras!F$8</f>
        <v/>
      </c>
      <c r="G244" s="5">
        <f>G243*Eras!G$8</f>
        <v/>
      </c>
      <c r="H244" s="5">
        <f>H243*Eras!H$8</f>
        <v/>
      </c>
      <c r="I244" s="5">
        <f>I243*Eras!I$8</f>
        <v/>
      </c>
      <c r="J244" s="5">
        <f>J243*Eras!J$8</f>
        <v/>
      </c>
      <c r="K244" s="5">
        <f>K243*Eras!K$8</f>
        <v/>
      </c>
      <c r="L244" s="5">
        <f>L243*Eras!L$8</f>
        <v/>
      </c>
      <c r="M244" s="5">
        <f>M243*Eras!M$8</f>
        <v/>
      </c>
      <c r="N244" s="5">
        <f>N243*Eras!N$8</f>
        <v/>
      </c>
      <c r="O244" s="5">
        <f>O243*Eras!O$8</f>
        <v/>
      </c>
      <c r="P244" s="5">
        <f>P243*Eras!P$8</f>
        <v/>
      </c>
      <c r="Q244" s="5">
        <f>Q243*Eras!Q$8</f>
        <v/>
      </c>
      <c r="R244" s="5">
        <f>R243*Eras!R$8</f>
        <v/>
      </c>
      <c r="S244" s="5">
        <f>S243*Eras!S$8</f>
        <v/>
      </c>
      <c r="T244" s="5">
        <f>T243*Eras!T$8</f>
        <v/>
      </c>
      <c r="U244" s="5">
        <f>U243*Eras!U$8</f>
        <v/>
      </c>
      <c r="V244" s="5">
        <f>V243*Eras!V$8</f>
        <v/>
      </c>
      <c r="W244" s="5">
        <f>W243*Eras!W$8</f>
        <v/>
      </c>
      <c r="X244" s="5">
        <f>X243*Eras!X$8</f>
        <v/>
      </c>
      <c r="Y244" s="5">
        <f>Y243*Eras!Y$8</f>
        <v/>
      </c>
      <c r="Z244" s="5">
        <f>Z243*Eras!Z$8</f>
        <v/>
      </c>
      <c r="AA244" s="5">
        <f>AA243*Eras!AA$8</f>
        <v/>
      </c>
      <c r="AB244" s="5">
        <f>AB243*Eras!AB$8</f>
        <v/>
      </c>
      <c r="AC244" s="5">
        <f>AC243*Eras!AC$8</f>
        <v/>
      </c>
      <c r="AD244" s="5">
        <f>AD243*Eras!AD$8</f>
        <v/>
      </c>
      <c r="AE244" s="5">
        <f>AE243*Eras!AE$8</f>
        <v/>
      </c>
      <c r="AF244" s="5">
        <f>AF243*Eras!AF$8</f>
        <v/>
      </c>
      <c r="AG244" s="5">
        <f>AG243*Eras!AG$8</f>
        <v/>
      </c>
      <c r="AH244" s="5">
        <f>AH243*Eras!AH$8</f>
        <v/>
      </c>
      <c r="AI244" s="5">
        <f>AI243*Eras!AI$8</f>
        <v/>
      </c>
      <c r="AJ244" s="5">
        <f>AJ243*Eras!AJ$8</f>
        <v/>
      </c>
      <c r="AK244" s="5">
        <f>AK243*Eras!AK$8</f>
        <v/>
      </c>
      <c r="AL244" s="5">
        <f>AL243*Eras!AL$8</f>
        <v/>
      </c>
      <c r="AM244" s="5">
        <f>AM243*Eras!AM$8</f>
        <v/>
      </c>
      <c r="AN244" s="5">
        <f>AN243*Eras!AN$8</f>
        <v/>
      </c>
      <c r="AO244" s="5">
        <f>AO243*Eras!AO$8</f>
        <v/>
      </c>
      <c r="AP244" s="5">
        <f>AP243*Eras!AP$8</f>
        <v/>
      </c>
      <c r="AQ244" s="5">
        <f>AQ243*Eras!AQ$8</f>
        <v/>
      </c>
      <c r="AR244" s="5">
        <f>AR243*Eras!AR$8</f>
        <v/>
      </c>
      <c r="AS244" s="5">
        <f>AS243*Eras!AS$8</f>
        <v/>
      </c>
      <c r="AT244" s="5">
        <f>AT243*Eras!AT$8</f>
        <v/>
      </c>
      <c r="AU244" s="5">
        <f>AU243*Eras!AU$8</f>
        <v/>
      </c>
      <c r="AV244" s="5">
        <f>AV243*Eras!AV$8</f>
        <v/>
      </c>
      <c r="AW244" s="5">
        <f>AW243*Eras!AW$8</f>
        <v/>
      </c>
      <c r="AX244" s="5">
        <f>AX243*Eras!AX$8</f>
        <v/>
      </c>
      <c r="AY244" s="5">
        <f>AY243*Eras!AY$8</f>
        <v/>
      </c>
      <c r="AZ244" s="5">
        <f>AZ243*Eras!AZ$8</f>
        <v/>
      </c>
      <c r="BA244" s="5">
        <f>BA243*Eras!BA$8</f>
        <v/>
      </c>
      <c r="BB244" s="5">
        <f>BB243*Eras!BB$8</f>
        <v/>
      </c>
      <c r="BC244" s="5">
        <f>BC243*Eras!BC$8</f>
        <v/>
      </c>
      <c r="BD244" s="5">
        <f>BD243*Eras!BD$8</f>
        <v/>
      </c>
      <c r="BE244" s="5">
        <f>BE243*Eras!BE$8</f>
        <v/>
      </c>
      <c r="BF244" s="5">
        <f>BF243*Eras!BF$8</f>
        <v/>
      </c>
      <c r="BG244" s="5">
        <f>BG243*Eras!BG$8</f>
        <v/>
      </c>
      <c r="BH244" s="5">
        <f>BH243*Eras!BH$8</f>
        <v/>
      </c>
      <c r="BI244" s="5">
        <f>BI243*Eras!BI$8</f>
        <v/>
      </c>
      <c r="BJ244" s="5">
        <f>BJ243*Eras!BJ$8</f>
        <v/>
      </c>
      <c r="BK244" s="5">
        <f>BK243*Eras!BK$8</f>
        <v/>
      </c>
      <c r="BL244" s="5">
        <f>BL243*Eras!BL$8</f>
        <v/>
      </c>
      <c r="BM244" s="5">
        <f>BM243*Eras!BM$8</f>
        <v/>
      </c>
      <c r="BN244" s="5">
        <f>BN243*Eras!BN$8</f>
        <v/>
      </c>
      <c r="BO244" s="5">
        <f>BO243*Eras!BO$8</f>
        <v/>
      </c>
      <c r="BP244" s="5">
        <f>BP243*Eras!BP$8</f>
        <v/>
      </c>
      <c r="BQ244" s="5">
        <f>BQ243*Eras!BQ$8</f>
        <v/>
      </c>
      <c r="BR244" s="5">
        <f>BR243*Eras!BR$8</f>
        <v/>
      </c>
      <c r="BS244" s="5">
        <f>BS243*Eras!BS$8</f>
        <v/>
      </c>
      <c r="BT244" s="5">
        <f>BT243*Eras!BT$8</f>
        <v/>
      </c>
      <c r="BU244" s="5">
        <f>BU243*Eras!BU$8</f>
        <v/>
      </c>
      <c r="BV244" s="5">
        <f>BV243*Eras!BV$8</f>
        <v/>
      </c>
    </row>
    <row r="245">
      <c r="A245" t="inlineStr">
        <is>
          <t>direct paid starts</t>
        </is>
      </c>
      <c r="B245" t="inlineStr">
        <is>
          <t>ROW|NITRO_M</t>
        </is>
      </c>
      <c r="C245" s="5">
        <f>C243-C244</f>
        <v/>
      </c>
      <c r="D245" s="5">
        <f>D243-D244</f>
        <v/>
      </c>
      <c r="E245" s="5">
        <f>E243-E244</f>
        <v/>
      </c>
      <c r="F245" s="5">
        <f>F243-F244</f>
        <v/>
      </c>
      <c r="G245" s="5">
        <f>G243-G244</f>
        <v/>
      </c>
      <c r="H245" s="5">
        <f>H243-H244</f>
        <v/>
      </c>
      <c r="I245" s="5">
        <f>I243-I244</f>
        <v/>
      </c>
      <c r="J245" s="5">
        <f>J243-J244</f>
        <v/>
      </c>
      <c r="K245" s="5">
        <f>K243-K244</f>
        <v/>
      </c>
      <c r="L245" s="5">
        <f>L243-L244</f>
        <v/>
      </c>
      <c r="M245" s="5">
        <f>M243-M244</f>
        <v/>
      </c>
      <c r="N245" s="5">
        <f>N243-N244</f>
        <v/>
      </c>
      <c r="O245" s="5">
        <f>O243-O244</f>
        <v/>
      </c>
      <c r="P245" s="5">
        <f>P243-P244</f>
        <v/>
      </c>
      <c r="Q245" s="5">
        <f>Q243-Q244</f>
        <v/>
      </c>
      <c r="R245" s="5">
        <f>R243-R244</f>
        <v/>
      </c>
      <c r="S245" s="5">
        <f>S243-S244</f>
        <v/>
      </c>
      <c r="T245" s="5">
        <f>T243-T244</f>
        <v/>
      </c>
      <c r="U245" s="5">
        <f>U243-U244</f>
        <v/>
      </c>
      <c r="V245" s="5">
        <f>V243-V244</f>
        <v/>
      </c>
      <c r="W245" s="5">
        <f>W243-W244</f>
        <v/>
      </c>
      <c r="X245" s="5">
        <f>X243-X244</f>
        <v/>
      </c>
      <c r="Y245" s="5">
        <f>Y243-Y244</f>
        <v/>
      </c>
      <c r="Z245" s="5">
        <f>Z243-Z244</f>
        <v/>
      </c>
      <c r="AA245" s="5">
        <f>AA243-AA244</f>
        <v/>
      </c>
      <c r="AB245" s="5">
        <f>AB243-AB244</f>
        <v/>
      </c>
      <c r="AC245" s="5">
        <f>AC243-AC244</f>
        <v/>
      </c>
      <c r="AD245" s="5">
        <f>AD243-AD244</f>
        <v/>
      </c>
      <c r="AE245" s="5">
        <f>AE243-AE244</f>
        <v/>
      </c>
      <c r="AF245" s="5">
        <f>AF243-AF244</f>
        <v/>
      </c>
      <c r="AG245" s="5">
        <f>AG243-AG244</f>
        <v/>
      </c>
      <c r="AH245" s="5">
        <f>AH243-AH244</f>
        <v/>
      </c>
      <c r="AI245" s="5">
        <f>AI243-AI244</f>
        <v/>
      </c>
      <c r="AJ245" s="5">
        <f>AJ243-AJ244</f>
        <v/>
      </c>
      <c r="AK245" s="5">
        <f>AK243-AK244</f>
        <v/>
      </c>
      <c r="AL245" s="5">
        <f>AL243-AL244</f>
        <v/>
      </c>
      <c r="AM245" s="5">
        <f>AM243-AM244</f>
        <v/>
      </c>
      <c r="AN245" s="5">
        <f>AN243-AN244</f>
        <v/>
      </c>
      <c r="AO245" s="5">
        <f>AO243-AO244</f>
        <v/>
      </c>
      <c r="AP245" s="5">
        <f>AP243-AP244</f>
        <v/>
      </c>
      <c r="AQ245" s="5">
        <f>AQ243-AQ244</f>
        <v/>
      </c>
      <c r="AR245" s="5">
        <f>AR243-AR244</f>
        <v/>
      </c>
      <c r="AS245" s="5">
        <f>AS243-AS244</f>
        <v/>
      </c>
      <c r="AT245" s="5">
        <f>AT243-AT244</f>
        <v/>
      </c>
      <c r="AU245" s="5">
        <f>AU243-AU244</f>
        <v/>
      </c>
      <c r="AV245" s="5">
        <f>AV243-AV244</f>
        <v/>
      </c>
      <c r="AW245" s="5">
        <f>AW243-AW244</f>
        <v/>
      </c>
      <c r="AX245" s="5">
        <f>AX243-AX244</f>
        <v/>
      </c>
      <c r="AY245" s="5">
        <f>AY243-AY244</f>
        <v/>
      </c>
      <c r="AZ245" s="5">
        <f>AZ243-AZ244</f>
        <v/>
      </c>
      <c r="BA245" s="5">
        <f>BA243-BA244</f>
        <v/>
      </c>
      <c r="BB245" s="5">
        <f>BB243-BB244</f>
        <v/>
      </c>
      <c r="BC245" s="5">
        <f>BC243-BC244</f>
        <v/>
      </c>
      <c r="BD245" s="5">
        <f>BD243-BD244</f>
        <v/>
      </c>
      <c r="BE245" s="5">
        <f>BE243-BE244</f>
        <v/>
      </c>
      <c r="BF245" s="5">
        <f>BF243-BF244</f>
        <v/>
      </c>
      <c r="BG245" s="5">
        <f>BG243-BG244</f>
        <v/>
      </c>
      <c r="BH245" s="5">
        <f>BH243-BH244</f>
        <v/>
      </c>
      <c r="BI245" s="5">
        <f>BI243-BI244</f>
        <v/>
      </c>
      <c r="BJ245" s="5">
        <f>BJ243-BJ244</f>
        <v/>
      </c>
      <c r="BK245" s="5">
        <f>BK243-BK244</f>
        <v/>
      </c>
      <c r="BL245" s="5">
        <f>BL243-BL244</f>
        <v/>
      </c>
      <c r="BM245" s="5">
        <f>BM243-BM244</f>
        <v/>
      </c>
      <c r="BN245" s="5">
        <f>BN243-BN244</f>
        <v/>
      </c>
      <c r="BO245" s="5">
        <f>BO243-BO244</f>
        <v/>
      </c>
      <c r="BP245" s="5">
        <f>BP243-BP244</f>
        <v/>
      </c>
      <c r="BQ245" s="5">
        <f>BQ243-BQ244</f>
        <v/>
      </c>
      <c r="BR245" s="5">
        <f>BR243-BR244</f>
        <v/>
      </c>
      <c r="BS245" s="5">
        <f>BS243-BS244</f>
        <v/>
      </c>
      <c r="BT245" s="5">
        <f>BT243-BT244</f>
        <v/>
      </c>
      <c r="BU245" s="5">
        <f>BU243-BU244</f>
        <v/>
      </c>
      <c r="BV245" s="5">
        <f>BV243-BV244</f>
        <v/>
      </c>
    </row>
    <row r="246">
      <c r="A246" t="inlineStr">
        <is>
          <t>trials ending</t>
        </is>
      </c>
      <c r="B246" t="inlineStr">
        <is>
          <t>ROW|NITRO_M</t>
        </is>
      </c>
      <c r="C246" s="5">
        <f>IF(C$2&gt;=Params!$B$6,INDEX($C$244:$BV$244,C$2-Params!$B$6+1),0)</f>
        <v/>
      </c>
      <c r="D246" s="5">
        <f>IF(D$2&gt;=Params!$B$6,INDEX($C$244:$BV$244,D$2-Params!$B$6+1),0)</f>
        <v/>
      </c>
      <c r="E246" s="5">
        <f>IF(E$2&gt;=Params!$B$6,INDEX($C$244:$BV$244,E$2-Params!$B$6+1),0)</f>
        <v/>
      </c>
      <c r="F246" s="5">
        <f>IF(F$2&gt;=Params!$B$6,INDEX($C$244:$BV$244,F$2-Params!$B$6+1),0)</f>
        <v/>
      </c>
      <c r="G246" s="5">
        <f>IF(G$2&gt;=Params!$B$6,INDEX($C$244:$BV$244,G$2-Params!$B$6+1),0)</f>
        <v/>
      </c>
      <c r="H246" s="5">
        <f>IF(H$2&gt;=Params!$B$6,INDEX($C$244:$BV$244,H$2-Params!$B$6+1),0)</f>
        <v/>
      </c>
      <c r="I246" s="5">
        <f>IF(I$2&gt;=Params!$B$6,INDEX($C$244:$BV$244,I$2-Params!$B$6+1),0)</f>
        <v/>
      </c>
      <c r="J246" s="5">
        <f>IF(J$2&gt;=Params!$B$6,INDEX($C$244:$BV$244,J$2-Params!$B$6+1),0)</f>
        <v/>
      </c>
      <c r="K246" s="5">
        <f>IF(K$2&gt;=Params!$B$6,INDEX($C$244:$BV$244,K$2-Params!$B$6+1),0)</f>
        <v/>
      </c>
      <c r="L246" s="5">
        <f>IF(L$2&gt;=Params!$B$6,INDEX($C$244:$BV$244,L$2-Params!$B$6+1),0)</f>
        <v/>
      </c>
      <c r="M246" s="5">
        <f>IF(M$2&gt;=Params!$B$6,INDEX($C$244:$BV$244,M$2-Params!$B$6+1),0)</f>
        <v/>
      </c>
      <c r="N246" s="5">
        <f>IF(N$2&gt;=Params!$B$6,INDEX($C$244:$BV$244,N$2-Params!$B$6+1),0)</f>
        <v/>
      </c>
      <c r="O246" s="5">
        <f>IF(O$2&gt;=Params!$B$6,INDEX($C$244:$BV$244,O$2-Params!$B$6+1),0)</f>
        <v/>
      </c>
      <c r="P246" s="5">
        <f>IF(P$2&gt;=Params!$B$6,INDEX($C$244:$BV$244,P$2-Params!$B$6+1),0)</f>
        <v/>
      </c>
      <c r="Q246" s="5">
        <f>IF(Q$2&gt;=Params!$B$6,INDEX($C$244:$BV$244,Q$2-Params!$B$6+1),0)</f>
        <v/>
      </c>
      <c r="R246" s="5">
        <f>IF(R$2&gt;=Params!$B$6,INDEX($C$244:$BV$244,R$2-Params!$B$6+1),0)</f>
        <v/>
      </c>
      <c r="S246" s="5">
        <f>IF(S$2&gt;=Params!$B$6,INDEX($C$244:$BV$244,S$2-Params!$B$6+1),0)</f>
        <v/>
      </c>
      <c r="T246" s="5">
        <f>IF(T$2&gt;=Params!$B$6,INDEX($C$244:$BV$244,T$2-Params!$B$6+1),0)</f>
        <v/>
      </c>
      <c r="U246" s="5">
        <f>IF(U$2&gt;=Params!$B$6,INDEX($C$244:$BV$244,U$2-Params!$B$6+1),0)</f>
        <v/>
      </c>
      <c r="V246" s="5">
        <f>IF(V$2&gt;=Params!$B$6,INDEX($C$244:$BV$244,V$2-Params!$B$6+1),0)</f>
        <v/>
      </c>
      <c r="W246" s="5">
        <f>IF(W$2&gt;=Params!$B$6,INDEX($C$244:$BV$244,W$2-Params!$B$6+1),0)</f>
        <v/>
      </c>
      <c r="X246" s="5">
        <f>IF(X$2&gt;=Params!$B$6,INDEX($C$244:$BV$244,X$2-Params!$B$6+1),0)</f>
        <v/>
      </c>
      <c r="Y246" s="5">
        <f>IF(Y$2&gt;=Params!$B$6,INDEX($C$244:$BV$244,Y$2-Params!$B$6+1),0)</f>
        <v/>
      </c>
      <c r="Z246" s="5">
        <f>IF(Z$2&gt;=Params!$B$6,INDEX($C$244:$BV$244,Z$2-Params!$B$6+1),0)</f>
        <v/>
      </c>
      <c r="AA246" s="5">
        <f>IF(AA$2&gt;=Params!$B$6,INDEX($C$244:$BV$244,AA$2-Params!$B$6+1),0)</f>
        <v/>
      </c>
      <c r="AB246" s="5">
        <f>IF(AB$2&gt;=Params!$B$6,INDEX($C$244:$BV$244,AB$2-Params!$B$6+1),0)</f>
        <v/>
      </c>
      <c r="AC246" s="5">
        <f>IF(AC$2&gt;=Params!$B$6,INDEX($C$244:$BV$244,AC$2-Params!$B$6+1),0)</f>
        <v/>
      </c>
      <c r="AD246" s="5">
        <f>IF(AD$2&gt;=Params!$B$6,INDEX($C$244:$BV$244,AD$2-Params!$B$6+1),0)</f>
        <v/>
      </c>
      <c r="AE246" s="5">
        <f>IF(AE$2&gt;=Params!$B$6,INDEX($C$244:$BV$244,AE$2-Params!$B$6+1),0)</f>
        <v/>
      </c>
      <c r="AF246" s="5">
        <f>IF(AF$2&gt;=Params!$B$6,INDEX($C$244:$BV$244,AF$2-Params!$B$6+1),0)</f>
        <v/>
      </c>
      <c r="AG246" s="5">
        <f>IF(AG$2&gt;=Params!$B$6,INDEX($C$244:$BV$244,AG$2-Params!$B$6+1),0)</f>
        <v/>
      </c>
      <c r="AH246" s="5">
        <f>IF(AH$2&gt;=Params!$B$6,INDEX($C$244:$BV$244,AH$2-Params!$B$6+1),0)</f>
        <v/>
      </c>
      <c r="AI246" s="5">
        <f>IF(AI$2&gt;=Params!$B$6,INDEX($C$244:$BV$244,AI$2-Params!$B$6+1),0)</f>
        <v/>
      </c>
      <c r="AJ246" s="5">
        <f>IF(AJ$2&gt;=Params!$B$6,INDEX($C$244:$BV$244,AJ$2-Params!$B$6+1),0)</f>
        <v/>
      </c>
      <c r="AK246" s="5">
        <f>IF(AK$2&gt;=Params!$B$6,INDEX($C$244:$BV$244,AK$2-Params!$B$6+1),0)</f>
        <v/>
      </c>
      <c r="AL246" s="5">
        <f>IF(AL$2&gt;=Params!$B$6,INDEX($C$244:$BV$244,AL$2-Params!$B$6+1),0)</f>
        <v/>
      </c>
      <c r="AM246" s="5">
        <f>IF(AM$2&gt;=Params!$B$6,INDEX($C$244:$BV$244,AM$2-Params!$B$6+1),0)</f>
        <v/>
      </c>
      <c r="AN246" s="5">
        <f>IF(AN$2&gt;=Params!$B$6,INDEX($C$244:$BV$244,AN$2-Params!$B$6+1),0)</f>
        <v/>
      </c>
      <c r="AO246" s="5">
        <f>IF(AO$2&gt;=Params!$B$6,INDEX($C$244:$BV$244,AO$2-Params!$B$6+1),0)</f>
        <v/>
      </c>
      <c r="AP246" s="5">
        <f>IF(AP$2&gt;=Params!$B$6,INDEX($C$244:$BV$244,AP$2-Params!$B$6+1),0)</f>
        <v/>
      </c>
      <c r="AQ246" s="5">
        <f>IF(AQ$2&gt;=Params!$B$6,INDEX($C$244:$BV$244,AQ$2-Params!$B$6+1),0)</f>
        <v/>
      </c>
      <c r="AR246" s="5">
        <f>IF(AR$2&gt;=Params!$B$6,INDEX($C$244:$BV$244,AR$2-Params!$B$6+1),0)</f>
        <v/>
      </c>
      <c r="AS246" s="5">
        <f>IF(AS$2&gt;=Params!$B$6,INDEX($C$244:$BV$244,AS$2-Params!$B$6+1),0)</f>
        <v/>
      </c>
      <c r="AT246" s="5">
        <f>IF(AT$2&gt;=Params!$B$6,INDEX($C$244:$BV$244,AT$2-Params!$B$6+1),0)</f>
        <v/>
      </c>
      <c r="AU246" s="5">
        <f>IF(AU$2&gt;=Params!$B$6,INDEX($C$244:$BV$244,AU$2-Params!$B$6+1),0)</f>
        <v/>
      </c>
      <c r="AV246" s="5">
        <f>IF(AV$2&gt;=Params!$B$6,INDEX($C$244:$BV$244,AV$2-Params!$B$6+1),0)</f>
        <v/>
      </c>
      <c r="AW246" s="5">
        <f>IF(AW$2&gt;=Params!$B$6,INDEX($C$244:$BV$244,AW$2-Params!$B$6+1),0)</f>
        <v/>
      </c>
      <c r="AX246" s="5">
        <f>IF(AX$2&gt;=Params!$B$6,INDEX($C$244:$BV$244,AX$2-Params!$B$6+1),0)</f>
        <v/>
      </c>
      <c r="AY246" s="5">
        <f>IF(AY$2&gt;=Params!$B$6,INDEX($C$244:$BV$244,AY$2-Params!$B$6+1),0)</f>
        <v/>
      </c>
      <c r="AZ246" s="5">
        <f>IF(AZ$2&gt;=Params!$B$6,INDEX($C$244:$BV$244,AZ$2-Params!$B$6+1),0)</f>
        <v/>
      </c>
      <c r="BA246" s="5">
        <f>IF(BA$2&gt;=Params!$B$6,INDEX($C$244:$BV$244,BA$2-Params!$B$6+1),0)</f>
        <v/>
      </c>
      <c r="BB246" s="5">
        <f>IF(BB$2&gt;=Params!$B$6,INDEX($C$244:$BV$244,BB$2-Params!$B$6+1),0)</f>
        <v/>
      </c>
      <c r="BC246" s="5">
        <f>IF(BC$2&gt;=Params!$B$6,INDEX($C$244:$BV$244,BC$2-Params!$B$6+1),0)</f>
        <v/>
      </c>
      <c r="BD246" s="5">
        <f>IF(BD$2&gt;=Params!$B$6,INDEX($C$244:$BV$244,BD$2-Params!$B$6+1),0)</f>
        <v/>
      </c>
      <c r="BE246" s="5">
        <f>IF(BE$2&gt;=Params!$B$6,INDEX($C$244:$BV$244,BE$2-Params!$B$6+1),0)</f>
        <v/>
      </c>
      <c r="BF246" s="5">
        <f>IF(BF$2&gt;=Params!$B$6,INDEX($C$244:$BV$244,BF$2-Params!$B$6+1),0)</f>
        <v/>
      </c>
      <c r="BG246" s="5">
        <f>IF(BG$2&gt;=Params!$B$6,INDEX($C$244:$BV$244,BG$2-Params!$B$6+1),0)</f>
        <v/>
      </c>
      <c r="BH246" s="5">
        <f>IF(BH$2&gt;=Params!$B$6,INDEX($C$244:$BV$244,BH$2-Params!$B$6+1),0)</f>
        <v/>
      </c>
      <c r="BI246" s="5">
        <f>IF(BI$2&gt;=Params!$B$6,INDEX($C$244:$BV$244,BI$2-Params!$B$6+1),0)</f>
        <v/>
      </c>
      <c r="BJ246" s="5">
        <f>IF(BJ$2&gt;=Params!$B$6,INDEX($C$244:$BV$244,BJ$2-Params!$B$6+1),0)</f>
        <v/>
      </c>
      <c r="BK246" s="5">
        <f>IF(BK$2&gt;=Params!$B$6,INDEX($C$244:$BV$244,BK$2-Params!$B$6+1),0)</f>
        <v/>
      </c>
      <c r="BL246" s="5">
        <f>IF(BL$2&gt;=Params!$B$6,INDEX($C$244:$BV$244,BL$2-Params!$B$6+1),0)</f>
        <v/>
      </c>
      <c r="BM246" s="5">
        <f>IF(BM$2&gt;=Params!$B$6,INDEX($C$244:$BV$244,BM$2-Params!$B$6+1),0)</f>
        <v/>
      </c>
      <c r="BN246" s="5">
        <f>IF(BN$2&gt;=Params!$B$6,INDEX($C$244:$BV$244,BN$2-Params!$B$6+1),0)</f>
        <v/>
      </c>
      <c r="BO246" s="5">
        <f>IF(BO$2&gt;=Params!$B$6,INDEX($C$244:$BV$244,BO$2-Params!$B$6+1),0)</f>
        <v/>
      </c>
      <c r="BP246" s="5">
        <f>IF(BP$2&gt;=Params!$B$6,INDEX($C$244:$BV$244,BP$2-Params!$B$6+1),0)</f>
        <v/>
      </c>
      <c r="BQ246" s="5">
        <f>IF(BQ$2&gt;=Params!$B$6,INDEX($C$244:$BV$244,BQ$2-Params!$B$6+1),0)</f>
        <v/>
      </c>
      <c r="BR246" s="5">
        <f>IF(BR$2&gt;=Params!$B$6,INDEX($C$244:$BV$244,BR$2-Params!$B$6+1),0)</f>
        <v/>
      </c>
      <c r="BS246" s="5">
        <f>IF(BS$2&gt;=Params!$B$6,INDEX($C$244:$BV$244,BS$2-Params!$B$6+1),0)</f>
        <v/>
      </c>
      <c r="BT246" s="5">
        <f>IF(BT$2&gt;=Params!$B$6,INDEX($C$244:$BV$244,BT$2-Params!$B$6+1),0)</f>
        <v/>
      </c>
      <c r="BU246" s="5">
        <f>IF(BU$2&gt;=Params!$B$6,INDEX($C$244:$BV$244,BU$2-Params!$B$6+1),0)</f>
        <v/>
      </c>
      <c r="BV246" s="5">
        <f>IF(BV$2&gt;=Params!$B$6,INDEX($C$244:$BV$244,BV$2-Params!$B$6+1),0)</f>
        <v/>
      </c>
    </row>
    <row r="247">
      <c r="A247" t="inlineStr">
        <is>
          <t>trial starts x conversion</t>
        </is>
      </c>
      <c r="B247" t="inlineStr">
        <is>
          <t>ROW|NITRO_M</t>
        </is>
      </c>
      <c r="C247" s="5">
        <f>C244*Eras!C$9</f>
        <v/>
      </c>
      <c r="D247" s="5">
        <f>D244*Eras!D$9</f>
        <v/>
      </c>
      <c r="E247" s="5">
        <f>E244*Eras!E$9</f>
        <v/>
      </c>
      <c r="F247" s="5">
        <f>F244*Eras!F$9</f>
        <v/>
      </c>
      <c r="G247" s="5">
        <f>G244*Eras!G$9</f>
        <v/>
      </c>
      <c r="H247" s="5">
        <f>H244*Eras!H$9</f>
        <v/>
      </c>
      <c r="I247" s="5">
        <f>I244*Eras!I$9</f>
        <v/>
      </c>
      <c r="J247" s="5">
        <f>J244*Eras!J$9</f>
        <v/>
      </c>
      <c r="K247" s="5">
        <f>K244*Eras!K$9</f>
        <v/>
      </c>
      <c r="L247" s="5">
        <f>L244*Eras!L$9</f>
        <v/>
      </c>
      <c r="M247" s="5">
        <f>M244*Eras!M$9</f>
        <v/>
      </c>
      <c r="N247" s="5">
        <f>N244*Eras!N$9</f>
        <v/>
      </c>
      <c r="O247" s="5">
        <f>O244*Eras!O$9</f>
        <v/>
      </c>
      <c r="P247" s="5">
        <f>P244*Eras!P$9</f>
        <v/>
      </c>
      <c r="Q247" s="5">
        <f>Q244*Eras!Q$9</f>
        <v/>
      </c>
      <c r="R247" s="5">
        <f>R244*Eras!R$9</f>
        <v/>
      </c>
      <c r="S247" s="5">
        <f>S244*Eras!S$9</f>
        <v/>
      </c>
      <c r="T247" s="5">
        <f>T244*Eras!T$9</f>
        <v/>
      </c>
      <c r="U247" s="5">
        <f>U244*Eras!U$9</f>
        <v/>
      </c>
      <c r="V247" s="5">
        <f>V244*Eras!V$9</f>
        <v/>
      </c>
      <c r="W247" s="5">
        <f>W244*Eras!W$9</f>
        <v/>
      </c>
      <c r="X247" s="5">
        <f>X244*Eras!X$9</f>
        <v/>
      </c>
      <c r="Y247" s="5">
        <f>Y244*Eras!Y$9</f>
        <v/>
      </c>
      <c r="Z247" s="5">
        <f>Z244*Eras!Z$9</f>
        <v/>
      </c>
      <c r="AA247" s="5">
        <f>AA244*Eras!AA$9</f>
        <v/>
      </c>
      <c r="AB247" s="5">
        <f>AB244*Eras!AB$9</f>
        <v/>
      </c>
      <c r="AC247" s="5">
        <f>AC244*Eras!AC$9</f>
        <v/>
      </c>
      <c r="AD247" s="5">
        <f>AD244*Eras!AD$9</f>
        <v/>
      </c>
      <c r="AE247" s="5">
        <f>AE244*Eras!AE$9</f>
        <v/>
      </c>
      <c r="AF247" s="5">
        <f>AF244*Eras!AF$9</f>
        <v/>
      </c>
      <c r="AG247" s="5">
        <f>AG244*Eras!AG$9</f>
        <v/>
      </c>
      <c r="AH247" s="5">
        <f>AH244*Eras!AH$9</f>
        <v/>
      </c>
      <c r="AI247" s="5">
        <f>AI244*Eras!AI$9</f>
        <v/>
      </c>
      <c r="AJ247" s="5">
        <f>AJ244*Eras!AJ$9</f>
        <v/>
      </c>
      <c r="AK247" s="5">
        <f>AK244*Eras!AK$9</f>
        <v/>
      </c>
      <c r="AL247" s="5">
        <f>AL244*Eras!AL$9</f>
        <v/>
      </c>
      <c r="AM247" s="5">
        <f>AM244*Eras!AM$9</f>
        <v/>
      </c>
      <c r="AN247" s="5">
        <f>AN244*Eras!AN$9</f>
        <v/>
      </c>
      <c r="AO247" s="5">
        <f>AO244*Eras!AO$9</f>
        <v/>
      </c>
      <c r="AP247" s="5">
        <f>AP244*Eras!AP$9</f>
        <v/>
      </c>
      <c r="AQ247" s="5">
        <f>AQ244*Eras!AQ$9</f>
        <v/>
      </c>
      <c r="AR247" s="5">
        <f>AR244*Eras!AR$9</f>
        <v/>
      </c>
      <c r="AS247" s="5">
        <f>AS244*Eras!AS$9</f>
        <v/>
      </c>
      <c r="AT247" s="5">
        <f>AT244*Eras!AT$9</f>
        <v/>
      </c>
      <c r="AU247" s="5">
        <f>AU244*Eras!AU$9</f>
        <v/>
      </c>
      <c r="AV247" s="5">
        <f>AV244*Eras!AV$9</f>
        <v/>
      </c>
      <c r="AW247" s="5">
        <f>AW244*Eras!AW$9</f>
        <v/>
      </c>
      <c r="AX247" s="5">
        <f>AX244*Eras!AX$9</f>
        <v/>
      </c>
      <c r="AY247" s="5">
        <f>AY244*Eras!AY$9</f>
        <v/>
      </c>
      <c r="AZ247" s="5">
        <f>AZ244*Eras!AZ$9</f>
        <v/>
      </c>
      <c r="BA247" s="5">
        <f>BA244*Eras!BA$9</f>
        <v/>
      </c>
      <c r="BB247" s="5">
        <f>BB244*Eras!BB$9</f>
        <v/>
      </c>
      <c r="BC247" s="5">
        <f>BC244*Eras!BC$9</f>
        <v/>
      </c>
      <c r="BD247" s="5">
        <f>BD244*Eras!BD$9</f>
        <v/>
      </c>
      <c r="BE247" s="5">
        <f>BE244*Eras!BE$9</f>
        <v/>
      </c>
      <c r="BF247" s="5">
        <f>BF244*Eras!BF$9</f>
        <v/>
      </c>
      <c r="BG247" s="5">
        <f>BG244*Eras!BG$9</f>
        <v/>
      </c>
      <c r="BH247" s="5">
        <f>BH244*Eras!BH$9</f>
        <v/>
      </c>
      <c r="BI247" s="5">
        <f>BI244*Eras!BI$9</f>
        <v/>
      </c>
      <c r="BJ247" s="5">
        <f>BJ244*Eras!BJ$9</f>
        <v/>
      </c>
      <c r="BK247" s="5">
        <f>BK244*Eras!BK$9</f>
        <v/>
      </c>
      <c r="BL247" s="5">
        <f>BL244*Eras!BL$9</f>
        <v/>
      </c>
      <c r="BM247" s="5">
        <f>BM244*Eras!BM$9</f>
        <v/>
      </c>
      <c r="BN247" s="5">
        <f>BN244*Eras!BN$9</f>
        <v/>
      </c>
      <c r="BO247" s="5">
        <f>BO244*Eras!BO$9</f>
        <v/>
      </c>
      <c r="BP247" s="5">
        <f>BP244*Eras!BP$9</f>
        <v/>
      </c>
      <c r="BQ247" s="5">
        <f>BQ244*Eras!BQ$9</f>
        <v/>
      </c>
      <c r="BR247" s="5">
        <f>BR244*Eras!BR$9</f>
        <v/>
      </c>
      <c r="BS247" s="5">
        <f>BS244*Eras!BS$9</f>
        <v/>
      </c>
      <c r="BT247" s="5">
        <f>BT244*Eras!BT$9</f>
        <v/>
      </c>
      <c r="BU247" s="5">
        <f>BU244*Eras!BU$9</f>
        <v/>
      </c>
      <c r="BV247" s="5">
        <f>BV244*Eras!BV$9</f>
        <v/>
      </c>
    </row>
    <row r="248">
      <c r="A248" t="inlineStr">
        <is>
          <t>trials converted</t>
        </is>
      </c>
      <c r="B248" t="inlineStr">
        <is>
          <t>ROW|NITRO_M</t>
        </is>
      </c>
      <c r="C248" s="5">
        <f>IF(C$2&gt;=Params!$B$6,INDEX($C$247:$BV$247,C$2-Params!$B$6+1),0)</f>
        <v/>
      </c>
      <c r="D248" s="5">
        <f>IF(D$2&gt;=Params!$B$6,INDEX($C$247:$BV$247,D$2-Params!$B$6+1),0)</f>
        <v/>
      </c>
      <c r="E248" s="5">
        <f>IF(E$2&gt;=Params!$B$6,INDEX($C$247:$BV$247,E$2-Params!$B$6+1),0)</f>
        <v/>
      </c>
      <c r="F248" s="5">
        <f>IF(F$2&gt;=Params!$B$6,INDEX($C$247:$BV$247,F$2-Params!$B$6+1),0)</f>
        <v/>
      </c>
      <c r="G248" s="5">
        <f>IF(G$2&gt;=Params!$B$6,INDEX($C$247:$BV$247,G$2-Params!$B$6+1),0)</f>
        <v/>
      </c>
      <c r="H248" s="5">
        <f>IF(H$2&gt;=Params!$B$6,INDEX($C$247:$BV$247,H$2-Params!$B$6+1),0)</f>
        <v/>
      </c>
      <c r="I248" s="5">
        <f>IF(I$2&gt;=Params!$B$6,INDEX($C$247:$BV$247,I$2-Params!$B$6+1),0)</f>
        <v/>
      </c>
      <c r="J248" s="5">
        <f>IF(J$2&gt;=Params!$B$6,INDEX($C$247:$BV$247,J$2-Params!$B$6+1),0)</f>
        <v/>
      </c>
      <c r="K248" s="5">
        <f>IF(K$2&gt;=Params!$B$6,INDEX($C$247:$BV$247,K$2-Params!$B$6+1),0)</f>
        <v/>
      </c>
      <c r="L248" s="5">
        <f>IF(L$2&gt;=Params!$B$6,INDEX($C$247:$BV$247,L$2-Params!$B$6+1),0)</f>
        <v/>
      </c>
      <c r="M248" s="5">
        <f>IF(M$2&gt;=Params!$B$6,INDEX($C$247:$BV$247,M$2-Params!$B$6+1),0)</f>
        <v/>
      </c>
      <c r="N248" s="5">
        <f>IF(N$2&gt;=Params!$B$6,INDEX($C$247:$BV$247,N$2-Params!$B$6+1),0)</f>
        <v/>
      </c>
      <c r="O248" s="5">
        <f>IF(O$2&gt;=Params!$B$6,INDEX($C$247:$BV$247,O$2-Params!$B$6+1),0)</f>
        <v/>
      </c>
      <c r="P248" s="5">
        <f>IF(P$2&gt;=Params!$B$6,INDEX($C$247:$BV$247,P$2-Params!$B$6+1),0)</f>
        <v/>
      </c>
      <c r="Q248" s="5">
        <f>IF(Q$2&gt;=Params!$B$6,INDEX($C$247:$BV$247,Q$2-Params!$B$6+1),0)</f>
        <v/>
      </c>
      <c r="R248" s="5">
        <f>IF(R$2&gt;=Params!$B$6,INDEX($C$247:$BV$247,R$2-Params!$B$6+1),0)</f>
        <v/>
      </c>
      <c r="S248" s="5">
        <f>IF(S$2&gt;=Params!$B$6,INDEX($C$247:$BV$247,S$2-Params!$B$6+1),0)</f>
        <v/>
      </c>
      <c r="T248" s="5">
        <f>IF(T$2&gt;=Params!$B$6,INDEX($C$247:$BV$247,T$2-Params!$B$6+1),0)</f>
        <v/>
      </c>
      <c r="U248" s="5">
        <f>IF(U$2&gt;=Params!$B$6,INDEX($C$247:$BV$247,U$2-Params!$B$6+1),0)</f>
        <v/>
      </c>
      <c r="V248" s="5">
        <f>IF(V$2&gt;=Params!$B$6,INDEX($C$247:$BV$247,V$2-Params!$B$6+1),0)</f>
        <v/>
      </c>
      <c r="W248" s="5">
        <f>IF(W$2&gt;=Params!$B$6,INDEX($C$247:$BV$247,W$2-Params!$B$6+1),0)</f>
        <v/>
      </c>
      <c r="X248" s="5">
        <f>IF(X$2&gt;=Params!$B$6,INDEX($C$247:$BV$247,X$2-Params!$B$6+1),0)</f>
        <v/>
      </c>
      <c r="Y248" s="5">
        <f>IF(Y$2&gt;=Params!$B$6,INDEX($C$247:$BV$247,Y$2-Params!$B$6+1),0)</f>
        <v/>
      </c>
      <c r="Z248" s="5">
        <f>IF(Z$2&gt;=Params!$B$6,INDEX($C$247:$BV$247,Z$2-Params!$B$6+1),0)</f>
        <v/>
      </c>
      <c r="AA248" s="5">
        <f>IF(AA$2&gt;=Params!$B$6,INDEX($C$247:$BV$247,AA$2-Params!$B$6+1),0)</f>
        <v/>
      </c>
      <c r="AB248" s="5">
        <f>IF(AB$2&gt;=Params!$B$6,INDEX($C$247:$BV$247,AB$2-Params!$B$6+1),0)</f>
        <v/>
      </c>
      <c r="AC248" s="5">
        <f>IF(AC$2&gt;=Params!$B$6,INDEX($C$247:$BV$247,AC$2-Params!$B$6+1),0)</f>
        <v/>
      </c>
      <c r="AD248" s="5">
        <f>IF(AD$2&gt;=Params!$B$6,INDEX($C$247:$BV$247,AD$2-Params!$B$6+1),0)</f>
        <v/>
      </c>
      <c r="AE248" s="5">
        <f>IF(AE$2&gt;=Params!$B$6,INDEX($C$247:$BV$247,AE$2-Params!$B$6+1),0)</f>
        <v/>
      </c>
      <c r="AF248" s="5">
        <f>IF(AF$2&gt;=Params!$B$6,INDEX($C$247:$BV$247,AF$2-Params!$B$6+1),0)</f>
        <v/>
      </c>
      <c r="AG248" s="5">
        <f>IF(AG$2&gt;=Params!$B$6,INDEX($C$247:$BV$247,AG$2-Params!$B$6+1),0)</f>
        <v/>
      </c>
      <c r="AH248" s="5">
        <f>IF(AH$2&gt;=Params!$B$6,INDEX($C$247:$BV$247,AH$2-Params!$B$6+1),0)</f>
        <v/>
      </c>
      <c r="AI248" s="5">
        <f>IF(AI$2&gt;=Params!$B$6,INDEX($C$247:$BV$247,AI$2-Params!$B$6+1),0)</f>
        <v/>
      </c>
      <c r="AJ248" s="5">
        <f>IF(AJ$2&gt;=Params!$B$6,INDEX($C$247:$BV$247,AJ$2-Params!$B$6+1),0)</f>
        <v/>
      </c>
      <c r="AK248" s="5">
        <f>IF(AK$2&gt;=Params!$B$6,INDEX($C$247:$BV$247,AK$2-Params!$B$6+1),0)</f>
        <v/>
      </c>
      <c r="AL248" s="5">
        <f>IF(AL$2&gt;=Params!$B$6,INDEX($C$247:$BV$247,AL$2-Params!$B$6+1),0)</f>
        <v/>
      </c>
      <c r="AM248" s="5">
        <f>IF(AM$2&gt;=Params!$B$6,INDEX($C$247:$BV$247,AM$2-Params!$B$6+1),0)</f>
        <v/>
      </c>
      <c r="AN248" s="5">
        <f>IF(AN$2&gt;=Params!$B$6,INDEX($C$247:$BV$247,AN$2-Params!$B$6+1),0)</f>
        <v/>
      </c>
      <c r="AO248" s="5">
        <f>IF(AO$2&gt;=Params!$B$6,INDEX($C$247:$BV$247,AO$2-Params!$B$6+1),0)</f>
        <v/>
      </c>
      <c r="AP248" s="5">
        <f>IF(AP$2&gt;=Params!$B$6,INDEX($C$247:$BV$247,AP$2-Params!$B$6+1),0)</f>
        <v/>
      </c>
      <c r="AQ248" s="5">
        <f>IF(AQ$2&gt;=Params!$B$6,INDEX($C$247:$BV$247,AQ$2-Params!$B$6+1),0)</f>
        <v/>
      </c>
      <c r="AR248" s="5">
        <f>IF(AR$2&gt;=Params!$B$6,INDEX($C$247:$BV$247,AR$2-Params!$B$6+1),0)</f>
        <v/>
      </c>
      <c r="AS248" s="5">
        <f>IF(AS$2&gt;=Params!$B$6,INDEX($C$247:$BV$247,AS$2-Params!$B$6+1),0)</f>
        <v/>
      </c>
      <c r="AT248" s="5">
        <f>IF(AT$2&gt;=Params!$B$6,INDEX($C$247:$BV$247,AT$2-Params!$B$6+1),0)</f>
        <v/>
      </c>
      <c r="AU248" s="5">
        <f>IF(AU$2&gt;=Params!$B$6,INDEX($C$247:$BV$247,AU$2-Params!$B$6+1),0)</f>
        <v/>
      </c>
      <c r="AV248" s="5">
        <f>IF(AV$2&gt;=Params!$B$6,INDEX($C$247:$BV$247,AV$2-Params!$B$6+1),0)</f>
        <v/>
      </c>
      <c r="AW248" s="5">
        <f>IF(AW$2&gt;=Params!$B$6,INDEX($C$247:$BV$247,AW$2-Params!$B$6+1),0)</f>
        <v/>
      </c>
      <c r="AX248" s="5">
        <f>IF(AX$2&gt;=Params!$B$6,INDEX($C$247:$BV$247,AX$2-Params!$B$6+1),0)</f>
        <v/>
      </c>
      <c r="AY248" s="5">
        <f>IF(AY$2&gt;=Params!$B$6,INDEX($C$247:$BV$247,AY$2-Params!$B$6+1),0)</f>
        <v/>
      </c>
      <c r="AZ248" s="5">
        <f>IF(AZ$2&gt;=Params!$B$6,INDEX($C$247:$BV$247,AZ$2-Params!$B$6+1),0)</f>
        <v/>
      </c>
      <c r="BA248" s="5">
        <f>IF(BA$2&gt;=Params!$B$6,INDEX($C$247:$BV$247,BA$2-Params!$B$6+1),0)</f>
        <v/>
      </c>
      <c r="BB248" s="5">
        <f>IF(BB$2&gt;=Params!$B$6,INDEX($C$247:$BV$247,BB$2-Params!$B$6+1),0)</f>
        <v/>
      </c>
      <c r="BC248" s="5">
        <f>IF(BC$2&gt;=Params!$B$6,INDEX($C$247:$BV$247,BC$2-Params!$B$6+1),0)</f>
        <v/>
      </c>
      <c r="BD248" s="5">
        <f>IF(BD$2&gt;=Params!$B$6,INDEX($C$247:$BV$247,BD$2-Params!$B$6+1),0)</f>
        <v/>
      </c>
      <c r="BE248" s="5">
        <f>IF(BE$2&gt;=Params!$B$6,INDEX($C$247:$BV$247,BE$2-Params!$B$6+1),0)</f>
        <v/>
      </c>
      <c r="BF248" s="5">
        <f>IF(BF$2&gt;=Params!$B$6,INDEX($C$247:$BV$247,BF$2-Params!$B$6+1),0)</f>
        <v/>
      </c>
      <c r="BG248" s="5">
        <f>IF(BG$2&gt;=Params!$B$6,INDEX($C$247:$BV$247,BG$2-Params!$B$6+1),0)</f>
        <v/>
      </c>
      <c r="BH248" s="5">
        <f>IF(BH$2&gt;=Params!$B$6,INDEX($C$247:$BV$247,BH$2-Params!$B$6+1),0)</f>
        <v/>
      </c>
      <c r="BI248" s="5">
        <f>IF(BI$2&gt;=Params!$B$6,INDEX($C$247:$BV$247,BI$2-Params!$B$6+1),0)</f>
        <v/>
      </c>
      <c r="BJ248" s="5">
        <f>IF(BJ$2&gt;=Params!$B$6,INDEX($C$247:$BV$247,BJ$2-Params!$B$6+1),0)</f>
        <v/>
      </c>
      <c r="BK248" s="5">
        <f>IF(BK$2&gt;=Params!$B$6,INDEX($C$247:$BV$247,BK$2-Params!$B$6+1),0)</f>
        <v/>
      </c>
      <c r="BL248" s="5">
        <f>IF(BL$2&gt;=Params!$B$6,INDEX($C$247:$BV$247,BL$2-Params!$B$6+1),0)</f>
        <v/>
      </c>
      <c r="BM248" s="5">
        <f>IF(BM$2&gt;=Params!$B$6,INDEX($C$247:$BV$247,BM$2-Params!$B$6+1),0)</f>
        <v/>
      </c>
      <c r="BN248" s="5">
        <f>IF(BN$2&gt;=Params!$B$6,INDEX($C$247:$BV$247,BN$2-Params!$B$6+1),0)</f>
        <v/>
      </c>
      <c r="BO248" s="5">
        <f>IF(BO$2&gt;=Params!$B$6,INDEX($C$247:$BV$247,BO$2-Params!$B$6+1),0)</f>
        <v/>
      </c>
      <c r="BP248" s="5">
        <f>IF(BP$2&gt;=Params!$B$6,INDEX($C$247:$BV$247,BP$2-Params!$B$6+1),0)</f>
        <v/>
      </c>
      <c r="BQ248" s="5">
        <f>IF(BQ$2&gt;=Params!$B$6,INDEX($C$247:$BV$247,BQ$2-Params!$B$6+1),0)</f>
        <v/>
      </c>
      <c r="BR248" s="5">
        <f>IF(BR$2&gt;=Params!$B$6,INDEX($C$247:$BV$247,BR$2-Params!$B$6+1),0)</f>
        <v/>
      </c>
      <c r="BS248" s="5">
        <f>IF(BS$2&gt;=Params!$B$6,INDEX($C$247:$BV$247,BS$2-Params!$B$6+1),0)</f>
        <v/>
      </c>
      <c r="BT248" s="5">
        <f>IF(BT$2&gt;=Params!$B$6,INDEX($C$247:$BV$247,BT$2-Params!$B$6+1),0)</f>
        <v/>
      </c>
      <c r="BU248" s="5">
        <f>IF(BU$2&gt;=Params!$B$6,INDEX($C$247:$BV$247,BU$2-Params!$B$6+1),0)</f>
        <v/>
      </c>
      <c r="BV248" s="5">
        <f>IF(BV$2&gt;=Params!$B$6,INDEX($C$247:$BV$247,BV$2-Params!$B$6+1),0)</f>
        <v/>
      </c>
    </row>
    <row r="249">
      <c r="A249" t="inlineStr">
        <is>
          <t>trials lost</t>
        </is>
      </c>
      <c r="B249" t="inlineStr">
        <is>
          <t>ROW|NITRO_M</t>
        </is>
      </c>
      <c r="C249" s="5">
        <f>C246-C248</f>
        <v/>
      </c>
      <c r="D249" s="5">
        <f>D246-D248</f>
        <v/>
      </c>
      <c r="E249" s="5">
        <f>E246-E248</f>
        <v/>
      </c>
      <c r="F249" s="5">
        <f>F246-F248</f>
        <v/>
      </c>
      <c r="G249" s="5">
        <f>G246-G248</f>
        <v/>
      </c>
      <c r="H249" s="5">
        <f>H246-H248</f>
        <v/>
      </c>
      <c r="I249" s="5">
        <f>I246-I248</f>
        <v/>
      </c>
      <c r="J249" s="5">
        <f>J246-J248</f>
        <v/>
      </c>
      <c r="K249" s="5">
        <f>K246-K248</f>
        <v/>
      </c>
      <c r="L249" s="5">
        <f>L246-L248</f>
        <v/>
      </c>
      <c r="M249" s="5">
        <f>M246-M248</f>
        <v/>
      </c>
      <c r="N249" s="5">
        <f>N246-N248</f>
        <v/>
      </c>
      <c r="O249" s="5">
        <f>O246-O248</f>
        <v/>
      </c>
      <c r="P249" s="5">
        <f>P246-P248</f>
        <v/>
      </c>
      <c r="Q249" s="5">
        <f>Q246-Q248</f>
        <v/>
      </c>
      <c r="R249" s="5">
        <f>R246-R248</f>
        <v/>
      </c>
      <c r="S249" s="5">
        <f>S246-S248</f>
        <v/>
      </c>
      <c r="T249" s="5">
        <f>T246-T248</f>
        <v/>
      </c>
      <c r="U249" s="5">
        <f>U246-U248</f>
        <v/>
      </c>
      <c r="V249" s="5">
        <f>V246-V248</f>
        <v/>
      </c>
      <c r="W249" s="5">
        <f>W246-W248</f>
        <v/>
      </c>
      <c r="X249" s="5">
        <f>X246-X248</f>
        <v/>
      </c>
      <c r="Y249" s="5">
        <f>Y246-Y248</f>
        <v/>
      </c>
      <c r="Z249" s="5">
        <f>Z246-Z248</f>
        <v/>
      </c>
      <c r="AA249" s="5">
        <f>AA246-AA248</f>
        <v/>
      </c>
      <c r="AB249" s="5">
        <f>AB246-AB248</f>
        <v/>
      </c>
      <c r="AC249" s="5">
        <f>AC246-AC248</f>
        <v/>
      </c>
      <c r="AD249" s="5">
        <f>AD246-AD248</f>
        <v/>
      </c>
      <c r="AE249" s="5">
        <f>AE246-AE248</f>
        <v/>
      </c>
      <c r="AF249" s="5">
        <f>AF246-AF248</f>
        <v/>
      </c>
      <c r="AG249" s="5">
        <f>AG246-AG248</f>
        <v/>
      </c>
      <c r="AH249" s="5">
        <f>AH246-AH248</f>
        <v/>
      </c>
      <c r="AI249" s="5">
        <f>AI246-AI248</f>
        <v/>
      </c>
      <c r="AJ249" s="5">
        <f>AJ246-AJ248</f>
        <v/>
      </c>
      <c r="AK249" s="5">
        <f>AK246-AK248</f>
        <v/>
      </c>
      <c r="AL249" s="5">
        <f>AL246-AL248</f>
        <v/>
      </c>
      <c r="AM249" s="5">
        <f>AM246-AM248</f>
        <v/>
      </c>
      <c r="AN249" s="5">
        <f>AN246-AN248</f>
        <v/>
      </c>
      <c r="AO249" s="5">
        <f>AO246-AO248</f>
        <v/>
      </c>
      <c r="AP249" s="5">
        <f>AP246-AP248</f>
        <v/>
      </c>
      <c r="AQ249" s="5">
        <f>AQ246-AQ248</f>
        <v/>
      </c>
      <c r="AR249" s="5">
        <f>AR246-AR248</f>
        <v/>
      </c>
      <c r="AS249" s="5">
        <f>AS246-AS248</f>
        <v/>
      </c>
      <c r="AT249" s="5">
        <f>AT246-AT248</f>
        <v/>
      </c>
      <c r="AU249" s="5">
        <f>AU246-AU248</f>
        <v/>
      </c>
      <c r="AV249" s="5">
        <f>AV246-AV248</f>
        <v/>
      </c>
      <c r="AW249" s="5">
        <f>AW246-AW248</f>
        <v/>
      </c>
      <c r="AX249" s="5">
        <f>AX246-AX248</f>
        <v/>
      </c>
      <c r="AY249" s="5">
        <f>AY246-AY248</f>
        <v/>
      </c>
      <c r="AZ249" s="5">
        <f>AZ246-AZ248</f>
        <v/>
      </c>
      <c r="BA249" s="5">
        <f>BA246-BA248</f>
        <v/>
      </c>
      <c r="BB249" s="5">
        <f>BB246-BB248</f>
        <v/>
      </c>
      <c r="BC249" s="5">
        <f>BC246-BC248</f>
        <v/>
      </c>
      <c r="BD249" s="5">
        <f>BD246-BD248</f>
        <v/>
      </c>
      <c r="BE249" s="5">
        <f>BE246-BE248</f>
        <v/>
      </c>
      <c r="BF249" s="5">
        <f>BF246-BF248</f>
        <v/>
      </c>
      <c r="BG249" s="5">
        <f>BG246-BG248</f>
        <v/>
      </c>
      <c r="BH249" s="5">
        <f>BH246-BH248</f>
        <v/>
      </c>
      <c r="BI249" s="5">
        <f>BI246-BI248</f>
        <v/>
      </c>
      <c r="BJ249" s="5">
        <f>BJ246-BJ248</f>
        <v/>
      </c>
      <c r="BK249" s="5">
        <f>BK246-BK248</f>
        <v/>
      </c>
      <c r="BL249" s="5">
        <f>BL246-BL248</f>
        <v/>
      </c>
      <c r="BM249" s="5">
        <f>BM246-BM248</f>
        <v/>
      </c>
      <c r="BN249" s="5">
        <f>BN246-BN248</f>
        <v/>
      </c>
      <c r="BO249" s="5">
        <f>BO246-BO248</f>
        <v/>
      </c>
      <c r="BP249" s="5">
        <f>BP246-BP248</f>
        <v/>
      </c>
      <c r="BQ249" s="5">
        <f>BQ246-BQ248</f>
        <v/>
      </c>
      <c r="BR249" s="5">
        <f>BR246-BR248</f>
        <v/>
      </c>
      <c r="BS249" s="5">
        <f>BS246-BS248</f>
        <v/>
      </c>
      <c r="BT249" s="5">
        <f>BT246-BT248</f>
        <v/>
      </c>
      <c r="BU249" s="5">
        <f>BU246-BU248</f>
        <v/>
      </c>
      <c r="BV249" s="5">
        <f>BV246-BV248</f>
        <v/>
      </c>
    </row>
    <row r="250">
      <c r="A250" t="inlineStr">
        <is>
          <t>cum trial starts</t>
        </is>
      </c>
      <c r="B250" t="inlineStr">
        <is>
          <t>ROW|NITRO_M</t>
        </is>
      </c>
      <c r="C250" s="5">
        <f>SUM($C244:C244)</f>
        <v/>
      </c>
      <c r="D250" s="5">
        <f>SUM($C244:D244)</f>
        <v/>
      </c>
      <c r="E250" s="5">
        <f>SUM($C244:E244)</f>
        <v/>
      </c>
      <c r="F250" s="5">
        <f>SUM($C244:F244)</f>
        <v/>
      </c>
      <c r="G250" s="5">
        <f>SUM($C244:G244)</f>
        <v/>
      </c>
      <c r="H250" s="5">
        <f>SUM($C244:H244)</f>
        <v/>
      </c>
      <c r="I250" s="5">
        <f>SUM($C244:I244)</f>
        <v/>
      </c>
      <c r="J250" s="5">
        <f>SUM($C244:J244)</f>
        <v/>
      </c>
      <c r="K250" s="5">
        <f>SUM($C244:K244)</f>
        <v/>
      </c>
      <c r="L250" s="5">
        <f>SUM($C244:L244)</f>
        <v/>
      </c>
      <c r="M250" s="5">
        <f>SUM($C244:M244)</f>
        <v/>
      </c>
      <c r="N250" s="5">
        <f>SUM($C244:N244)</f>
        <v/>
      </c>
      <c r="O250" s="5">
        <f>SUM($C244:O244)</f>
        <v/>
      </c>
      <c r="P250" s="5">
        <f>SUM($C244:P244)</f>
        <v/>
      </c>
      <c r="Q250" s="5">
        <f>SUM($C244:Q244)</f>
        <v/>
      </c>
      <c r="R250" s="5">
        <f>SUM($C244:R244)</f>
        <v/>
      </c>
      <c r="S250" s="5">
        <f>SUM($C244:S244)</f>
        <v/>
      </c>
      <c r="T250" s="5">
        <f>SUM($C244:T244)</f>
        <v/>
      </c>
      <c r="U250" s="5">
        <f>SUM($C244:U244)</f>
        <v/>
      </c>
      <c r="V250" s="5">
        <f>SUM($C244:V244)</f>
        <v/>
      </c>
      <c r="W250" s="5">
        <f>SUM($C244:W244)</f>
        <v/>
      </c>
      <c r="X250" s="5">
        <f>SUM($C244:X244)</f>
        <v/>
      </c>
      <c r="Y250" s="5">
        <f>SUM($C244:Y244)</f>
        <v/>
      </c>
      <c r="Z250" s="5">
        <f>SUM($C244:Z244)</f>
        <v/>
      </c>
      <c r="AA250" s="5">
        <f>SUM($C244:AA244)</f>
        <v/>
      </c>
      <c r="AB250" s="5">
        <f>SUM($C244:AB244)</f>
        <v/>
      </c>
      <c r="AC250" s="5">
        <f>SUM($C244:AC244)</f>
        <v/>
      </c>
      <c r="AD250" s="5">
        <f>SUM($C244:AD244)</f>
        <v/>
      </c>
      <c r="AE250" s="5">
        <f>SUM($C244:AE244)</f>
        <v/>
      </c>
      <c r="AF250" s="5">
        <f>SUM($C244:AF244)</f>
        <v/>
      </c>
      <c r="AG250" s="5">
        <f>SUM($C244:AG244)</f>
        <v/>
      </c>
      <c r="AH250" s="5">
        <f>SUM($C244:AH244)</f>
        <v/>
      </c>
      <c r="AI250" s="5">
        <f>SUM($C244:AI244)</f>
        <v/>
      </c>
      <c r="AJ250" s="5">
        <f>SUM($C244:AJ244)</f>
        <v/>
      </c>
      <c r="AK250" s="5">
        <f>SUM($C244:AK244)</f>
        <v/>
      </c>
      <c r="AL250" s="5">
        <f>SUM($C244:AL244)</f>
        <v/>
      </c>
      <c r="AM250" s="5">
        <f>SUM($C244:AM244)</f>
        <v/>
      </c>
      <c r="AN250" s="5">
        <f>SUM($C244:AN244)</f>
        <v/>
      </c>
      <c r="AO250" s="5">
        <f>SUM($C244:AO244)</f>
        <v/>
      </c>
      <c r="AP250" s="5">
        <f>SUM($C244:AP244)</f>
        <v/>
      </c>
      <c r="AQ250" s="5">
        <f>SUM($C244:AQ244)</f>
        <v/>
      </c>
      <c r="AR250" s="5">
        <f>SUM($C244:AR244)</f>
        <v/>
      </c>
      <c r="AS250" s="5">
        <f>SUM($C244:AS244)</f>
        <v/>
      </c>
      <c r="AT250" s="5">
        <f>SUM($C244:AT244)</f>
        <v/>
      </c>
      <c r="AU250" s="5">
        <f>SUM($C244:AU244)</f>
        <v/>
      </c>
      <c r="AV250" s="5">
        <f>SUM($C244:AV244)</f>
        <v/>
      </c>
      <c r="AW250" s="5">
        <f>SUM($C244:AW244)</f>
        <v/>
      </c>
      <c r="AX250" s="5">
        <f>SUM($C244:AX244)</f>
        <v/>
      </c>
      <c r="AY250" s="5">
        <f>SUM($C244:AY244)</f>
        <v/>
      </c>
      <c r="AZ250" s="5">
        <f>SUM($C244:AZ244)</f>
        <v/>
      </c>
      <c r="BA250" s="5">
        <f>SUM($C244:BA244)</f>
        <v/>
      </c>
      <c r="BB250" s="5">
        <f>SUM($C244:BB244)</f>
        <v/>
      </c>
      <c r="BC250" s="5">
        <f>SUM($C244:BC244)</f>
        <v/>
      </c>
      <c r="BD250" s="5">
        <f>SUM($C244:BD244)</f>
        <v/>
      </c>
      <c r="BE250" s="5">
        <f>SUM($C244:BE244)</f>
        <v/>
      </c>
      <c r="BF250" s="5">
        <f>SUM($C244:BF244)</f>
        <v/>
      </c>
      <c r="BG250" s="5">
        <f>SUM($C244:BG244)</f>
        <v/>
      </c>
      <c r="BH250" s="5">
        <f>SUM($C244:BH244)</f>
        <v/>
      </c>
      <c r="BI250" s="5">
        <f>SUM($C244:BI244)</f>
        <v/>
      </c>
      <c r="BJ250" s="5">
        <f>SUM($C244:BJ244)</f>
        <v/>
      </c>
      <c r="BK250" s="5">
        <f>SUM($C244:BK244)</f>
        <v/>
      </c>
      <c r="BL250" s="5">
        <f>SUM($C244:BL244)</f>
        <v/>
      </c>
      <c r="BM250" s="5">
        <f>SUM($C244:BM244)</f>
        <v/>
      </c>
      <c r="BN250" s="5">
        <f>SUM($C244:BN244)</f>
        <v/>
      </c>
      <c r="BO250" s="5">
        <f>SUM($C244:BO244)</f>
        <v/>
      </c>
      <c r="BP250" s="5">
        <f>SUM($C244:BP244)</f>
        <v/>
      </c>
      <c r="BQ250" s="5">
        <f>SUM($C244:BQ244)</f>
        <v/>
      </c>
      <c r="BR250" s="5">
        <f>SUM($C244:BR244)</f>
        <v/>
      </c>
      <c r="BS250" s="5">
        <f>SUM($C244:BS244)</f>
        <v/>
      </c>
      <c r="BT250" s="5">
        <f>SUM($C244:BT244)</f>
        <v/>
      </c>
      <c r="BU250" s="5">
        <f>SUM($C244:BU244)</f>
        <v/>
      </c>
      <c r="BV250" s="5">
        <f>SUM($C244:BV244)</f>
        <v/>
      </c>
    </row>
    <row r="251">
      <c r="A251" t="inlineStr">
        <is>
          <t>cum trials ending</t>
        </is>
      </c>
      <c r="B251" t="inlineStr">
        <is>
          <t>ROW|NITRO_M</t>
        </is>
      </c>
      <c r="C251" s="5">
        <f>SUM($C246:C246)</f>
        <v/>
      </c>
      <c r="D251" s="5">
        <f>SUM($C246:D246)</f>
        <v/>
      </c>
      <c r="E251" s="5">
        <f>SUM($C246:E246)</f>
        <v/>
      </c>
      <c r="F251" s="5">
        <f>SUM($C246:F246)</f>
        <v/>
      </c>
      <c r="G251" s="5">
        <f>SUM($C246:G246)</f>
        <v/>
      </c>
      <c r="H251" s="5">
        <f>SUM($C246:H246)</f>
        <v/>
      </c>
      <c r="I251" s="5">
        <f>SUM($C246:I246)</f>
        <v/>
      </c>
      <c r="J251" s="5">
        <f>SUM($C246:J246)</f>
        <v/>
      </c>
      <c r="K251" s="5">
        <f>SUM($C246:K246)</f>
        <v/>
      </c>
      <c r="L251" s="5">
        <f>SUM($C246:L246)</f>
        <v/>
      </c>
      <c r="M251" s="5">
        <f>SUM($C246:M246)</f>
        <v/>
      </c>
      <c r="N251" s="5">
        <f>SUM($C246:N246)</f>
        <v/>
      </c>
      <c r="O251" s="5">
        <f>SUM($C246:O246)</f>
        <v/>
      </c>
      <c r="P251" s="5">
        <f>SUM($C246:P246)</f>
        <v/>
      </c>
      <c r="Q251" s="5">
        <f>SUM($C246:Q246)</f>
        <v/>
      </c>
      <c r="R251" s="5">
        <f>SUM($C246:R246)</f>
        <v/>
      </c>
      <c r="S251" s="5">
        <f>SUM($C246:S246)</f>
        <v/>
      </c>
      <c r="T251" s="5">
        <f>SUM($C246:T246)</f>
        <v/>
      </c>
      <c r="U251" s="5">
        <f>SUM($C246:U246)</f>
        <v/>
      </c>
      <c r="V251" s="5">
        <f>SUM($C246:V246)</f>
        <v/>
      </c>
      <c r="W251" s="5">
        <f>SUM($C246:W246)</f>
        <v/>
      </c>
      <c r="X251" s="5">
        <f>SUM($C246:X246)</f>
        <v/>
      </c>
      <c r="Y251" s="5">
        <f>SUM($C246:Y246)</f>
        <v/>
      </c>
      <c r="Z251" s="5">
        <f>SUM($C246:Z246)</f>
        <v/>
      </c>
      <c r="AA251" s="5">
        <f>SUM($C246:AA246)</f>
        <v/>
      </c>
      <c r="AB251" s="5">
        <f>SUM($C246:AB246)</f>
        <v/>
      </c>
      <c r="AC251" s="5">
        <f>SUM($C246:AC246)</f>
        <v/>
      </c>
      <c r="AD251" s="5">
        <f>SUM($C246:AD246)</f>
        <v/>
      </c>
      <c r="AE251" s="5">
        <f>SUM($C246:AE246)</f>
        <v/>
      </c>
      <c r="AF251" s="5">
        <f>SUM($C246:AF246)</f>
        <v/>
      </c>
      <c r="AG251" s="5">
        <f>SUM($C246:AG246)</f>
        <v/>
      </c>
      <c r="AH251" s="5">
        <f>SUM($C246:AH246)</f>
        <v/>
      </c>
      <c r="AI251" s="5">
        <f>SUM($C246:AI246)</f>
        <v/>
      </c>
      <c r="AJ251" s="5">
        <f>SUM($C246:AJ246)</f>
        <v/>
      </c>
      <c r="AK251" s="5">
        <f>SUM($C246:AK246)</f>
        <v/>
      </c>
      <c r="AL251" s="5">
        <f>SUM($C246:AL246)</f>
        <v/>
      </c>
      <c r="AM251" s="5">
        <f>SUM($C246:AM246)</f>
        <v/>
      </c>
      <c r="AN251" s="5">
        <f>SUM($C246:AN246)</f>
        <v/>
      </c>
      <c r="AO251" s="5">
        <f>SUM($C246:AO246)</f>
        <v/>
      </c>
      <c r="AP251" s="5">
        <f>SUM($C246:AP246)</f>
        <v/>
      </c>
      <c r="AQ251" s="5">
        <f>SUM($C246:AQ246)</f>
        <v/>
      </c>
      <c r="AR251" s="5">
        <f>SUM($C246:AR246)</f>
        <v/>
      </c>
      <c r="AS251" s="5">
        <f>SUM($C246:AS246)</f>
        <v/>
      </c>
      <c r="AT251" s="5">
        <f>SUM($C246:AT246)</f>
        <v/>
      </c>
      <c r="AU251" s="5">
        <f>SUM($C246:AU246)</f>
        <v/>
      </c>
      <c r="AV251" s="5">
        <f>SUM($C246:AV246)</f>
        <v/>
      </c>
      <c r="AW251" s="5">
        <f>SUM($C246:AW246)</f>
        <v/>
      </c>
      <c r="AX251" s="5">
        <f>SUM($C246:AX246)</f>
        <v/>
      </c>
      <c r="AY251" s="5">
        <f>SUM($C246:AY246)</f>
        <v/>
      </c>
      <c r="AZ251" s="5">
        <f>SUM($C246:AZ246)</f>
        <v/>
      </c>
      <c r="BA251" s="5">
        <f>SUM($C246:BA246)</f>
        <v/>
      </c>
      <c r="BB251" s="5">
        <f>SUM($C246:BB246)</f>
        <v/>
      </c>
      <c r="BC251" s="5">
        <f>SUM($C246:BC246)</f>
        <v/>
      </c>
      <c r="BD251" s="5">
        <f>SUM($C246:BD246)</f>
        <v/>
      </c>
      <c r="BE251" s="5">
        <f>SUM($C246:BE246)</f>
        <v/>
      </c>
      <c r="BF251" s="5">
        <f>SUM($C246:BF246)</f>
        <v/>
      </c>
      <c r="BG251" s="5">
        <f>SUM($C246:BG246)</f>
        <v/>
      </c>
      <c r="BH251" s="5">
        <f>SUM($C246:BH246)</f>
        <v/>
      </c>
      <c r="BI251" s="5">
        <f>SUM($C246:BI246)</f>
        <v/>
      </c>
      <c r="BJ251" s="5">
        <f>SUM($C246:BJ246)</f>
        <v/>
      </c>
      <c r="BK251" s="5">
        <f>SUM($C246:BK246)</f>
        <v/>
      </c>
      <c r="BL251" s="5">
        <f>SUM($C246:BL246)</f>
        <v/>
      </c>
      <c r="BM251" s="5">
        <f>SUM($C246:BM246)</f>
        <v/>
      </c>
      <c r="BN251" s="5">
        <f>SUM($C246:BN246)</f>
        <v/>
      </c>
      <c r="BO251" s="5">
        <f>SUM($C246:BO246)</f>
        <v/>
      </c>
      <c r="BP251" s="5">
        <f>SUM($C246:BP246)</f>
        <v/>
      </c>
      <c r="BQ251" s="5">
        <f>SUM($C246:BQ246)</f>
        <v/>
      </c>
      <c r="BR251" s="5">
        <f>SUM($C246:BR246)</f>
        <v/>
      </c>
      <c r="BS251" s="5">
        <f>SUM($C246:BS246)</f>
        <v/>
      </c>
      <c r="BT251" s="5">
        <f>SUM($C246:BT246)</f>
        <v/>
      </c>
      <c r="BU251" s="5">
        <f>SUM($C246:BU246)</f>
        <v/>
      </c>
      <c r="BV251" s="5">
        <f>SUM($C246:BV246)</f>
        <v/>
      </c>
    </row>
    <row r="252">
      <c r="A252" t="inlineStr">
        <is>
          <t>trials active</t>
        </is>
      </c>
      <c r="B252" t="inlineStr">
        <is>
          <t>ROW|NITRO_M</t>
        </is>
      </c>
      <c r="C252" s="5">
        <f>C250-C251</f>
        <v/>
      </c>
      <c r="D252" s="5">
        <f>D250-D251</f>
        <v/>
      </c>
      <c r="E252" s="5">
        <f>E250-E251</f>
        <v/>
      </c>
      <c r="F252" s="5">
        <f>F250-F251</f>
        <v/>
      </c>
      <c r="G252" s="5">
        <f>G250-G251</f>
        <v/>
      </c>
      <c r="H252" s="5">
        <f>H250-H251</f>
        <v/>
      </c>
      <c r="I252" s="5">
        <f>I250-I251</f>
        <v/>
      </c>
      <c r="J252" s="5">
        <f>J250-J251</f>
        <v/>
      </c>
      <c r="K252" s="5">
        <f>K250-K251</f>
        <v/>
      </c>
      <c r="L252" s="5">
        <f>L250-L251</f>
        <v/>
      </c>
      <c r="M252" s="5">
        <f>M250-M251</f>
        <v/>
      </c>
      <c r="N252" s="5">
        <f>N250-N251</f>
        <v/>
      </c>
      <c r="O252" s="5">
        <f>O250-O251</f>
        <v/>
      </c>
      <c r="P252" s="5">
        <f>P250-P251</f>
        <v/>
      </c>
      <c r="Q252" s="5">
        <f>Q250-Q251</f>
        <v/>
      </c>
      <c r="R252" s="5">
        <f>R250-R251</f>
        <v/>
      </c>
      <c r="S252" s="5">
        <f>S250-S251</f>
        <v/>
      </c>
      <c r="T252" s="5">
        <f>T250-T251</f>
        <v/>
      </c>
      <c r="U252" s="5">
        <f>U250-U251</f>
        <v/>
      </c>
      <c r="V252" s="5">
        <f>V250-V251</f>
        <v/>
      </c>
      <c r="W252" s="5">
        <f>W250-W251</f>
        <v/>
      </c>
      <c r="X252" s="5">
        <f>X250-X251</f>
        <v/>
      </c>
      <c r="Y252" s="5">
        <f>Y250-Y251</f>
        <v/>
      </c>
      <c r="Z252" s="5">
        <f>Z250-Z251</f>
        <v/>
      </c>
      <c r="AA252" s="5">
        <f>AA250-AA251</f>
        <v/>
      </c>
      <c r="AB252" s="5">
        <f>AB250-AB251</f>
        <v/>
      </c>
      <c r="AC252" s="5">
        <f>AC250-AC251</f>
        <v/>
      </c>
      <c r="AD252" s="5">
        <f>AD250-AD251</f>
        <v/>
      </c>
      <c r="AE252" s="5">
        <f>AE250-AE251</f>
        <v/>
      </c>
      <c r="AF252" s="5">
        <f>AF250-AF251</f>
        <v/>
      </c>
      <c r="AG252" s="5">
        <f>AG250-AG251</f>
        <v/>
      </c>
      <c r="AH252" s="5">
        <f>AH250-AH251</f>
        <v/>
      </c>
      <c r="AI252" s="5">
        <f>AI250-AI251</f>
        <v/>
      </c>
      <c r="AJ252" s="5">
        <f>AJ250-AJ251</f>
        <v/>
      </c>
      <c r="AK252" s="5">
        <f>AK250-AK251</f>
        <v/>
      </c>
      <c r="AL252" s="5">
        <f>AL250-AL251</f>
        <v/>
      </c>
      <c r="AM252" s="5">
        <f>AM250-AM251</f>
        <v/>
      </c>
      <c r="AN252" s="5">
        <f>AN250-AN251</f>
        <v/>
      </c>
      <c r="AO252" s="5">
        <f>AO250-AO251</f>
        <v/>
      </c>
      <c r="AP252" s="5">
        <f>AP250-AP251</f>
        <v/>
      </c>
      <c r="AQ252" s="5">
        <f>AQ250-AQ251</f>
        <v/>
      </c>
      <c r="AR252" s="5">
        <f>AR250-AR251</f>
        <v/>
      </c>
      <c r="AS252" s="5">
        <f>AS250-AS251</f>
        <v/>
      </c>
      <c r="AT252" s="5">
        <f>AT250-AT251</f>
        <v/>
      </c>
      <c r="AU252" s="5">
        <f>AU250-AU251</f>
        <v/>
      </c>
      <c r="AV252" s="5">
        <f>AV250-AV251</f>
        <v/>
      </c>
      <c r="AW252" s="5">
        <f>AW250-AW251</f>
        <v/>
      </c>
      <c r="AX252" s="5">
        <f>AX250-AX251</f>
        <v/>
      </c>
      <c r="AY252" s="5">
        <f>AY250-AY251</f>
        <v/>
      </c>
      <c r="AZ252" s="5">
        <f>AZ250-AZ251</f>
        <v/>
      </c>
      <c r="BA252" s="5">
        <f>BA250-BA251</f>
        <v/>
      </c>
      <c r="BB252" s="5">
        <f>BB250-BB251</f>
        <v/>
      </c>
      <c r="BC252" s="5">
        <f>BC250-BC251</f>
        <v/>
      </c>
      <c r="BD252" s="5">
        <f>BD250-BD251</f>
        <v/>
      </c>
      <c r="BE252" s="5">
        <f>BE250-BE251</f>
        <v/>
      </c>
      <c r="BF252" s="5">
        <f>BF250-BF251</f>
        <v/>
      </c>
      <c r="BG252" s="5">
        <f>BG250-BG251</f>
        <v/>
      </c>
      <c r="BH252" s="5">
        <f>BH250-BH251</f>
        <v/>
      </c>
      <c r="BI252" s="5">
        <f>BI250-BI251</f>
        <v/>
      </c>
      <c r="BJ252" s="5">
        <f>BJ250-BJ251</f>
        <v/>
      </c>
      <c r="BK252" s="5">
        <f>BK250-BK251</f>
        <v/>
      </c>
      <c r="BL252" s="5">
        <f>BL250-BL251</f>
        <v/>
      </c>
      <c r="BM252" s="5">
        <f>BM250-BM251</f>
        <v/>
      </c>
      <c r="BN252" s="5">
        <f>BN250-BN251</f>
        <v/>
      </c>
      <c r="BO252" s="5">
        <f>BO250-BO251</f>
        <v/>
      </c>
      <c r="BP252" s="5">
        <f>BP250-BP251</f>
        <v/>
      </c>
      <c r="BQ252" s="5">
        <f>BQ250-BQ251</f>
        <v/>
      </c>
      <c r="BR252" s="5">
        <f>BR250-BR251</f>
        <v/>
      </c>
      <c r="BS252" s="5">
        <f>BS250-BS251</f>
        <v/>
      </c>
      <c r="BT252" s="5">
        <f>BT250-BT251</f>
        <v/>
      </c>
      <c r="BU252" s="5">
        <f>BU250-BU251</f>
        <v/>
      </c>
      <c r="BV252" s="5">
        <f>BV250-BV251</f>
        <v/>
      </c>
    </row>
    <row r="253">
      <c r="A253" t="inlineStr">
        <is>
          <t>paid starts</t>
        </is>
      </c>
      <c r="B253" t="inlineStr">
        <is>
          <t>ROW|NITRO_M</t>
        </is>
      </c>
      <c r="C253" s="5">
        <f>C245+C248</f>
        <v/>
      </c>
      <c r="D253" s="5">
        <f>D245+D248</f>
        <v/>
      </c>
      <c r="E253" s="5">
        <f>E245+E248</f>
        <v/>
      </c>
      <c r="F253" s="5">
        <f>F245+F248</f>
        <v/>
      </c>
      <c r="G253" s="5">
        <f>G245+G248</f>
        <v/>
      </c>
      <c r="H253" s="5">
        <f>H245+H248</f>
        <v/>
      </c>
      <c r="I253" s="5">
        <f>I245+I248</f>
        <v/>
      </c>
      <c r="J253" s="5">
        <f>J245+J248</f>
        <v/>
      </c>
      <c r="K253" s="5">
        <f>K245+K248</f>
        <v/>
      </c>
      <c r="L253" s="5">
        <f>L245+L248</f>
        <v/>
      </c>
      <c r="M253" s="5">
        <f>M245+M248</f>
        <v/>
      </c>
      <c r="N253" s="5">
        <f>N245+N248</f>
        <v/>
      </c>
      <c r="O253" s="5">
        <f>O245+O248</f>
        <v/>
      </c>
      <c r="P253" s="5">
        <f>P245+P248</f>
        <v/>
      </c>
      <c r="Q253" s="5">
        <f>Q245+Q248</f>
        <v/>
      </c>
      <c r="R253" s="5">
        <f>R245+R248</f>
        <v/>
      </c>
      <c r="S253" s="5">
        <f>S245+S248</f>
        <v/>
      </c>
      <c r="T253" s="5">
        <f>T245+T248</f>
        <v/>
      </c>
      <c r="U253" s="5">
        <f>U245+U248</f>
        <v/>
      </c>
      <c r="V253" s="5">
        <f>V245+V248</f>
        <v/>
      </c>
      <c r="W253" s="5">
        <f>W245+W248</f>
        <v/>
      </c>
      <c r="X253" s="5">
        <f>X245+X248</f>
        <v/>
      </c>
      <c r="Y253" s="5">
        <f>Y245+Y248</f>
        <v/>
      </c>
      <c r="Z253" s="5">
        <f>Z245+Z248</f>
        <v/>
      </c>
      <c r="AA253" s="5">
        <f>AA245+AA248</f>
        <v/>
      </c>
      <c r="AB253" s="5">
        <f>AB245+AB248</f>
        <v/>
      </c>
      <c r="AC253" s="5">
        <f>AC245+AC248</f>
        <v/>
      </c>
      <c r="AD253" s="5">
        <f>AD245+AD248</f>
        <v/>
      </c>
      <c r="AE253" s="5">
        <f>AE245+AE248</f>
        <v/>
      </c>
      <c r="AF253" s="5">
        <f>AF245+AF248</f>
        <v/>
      </c>
      <c r="AG253" s="5">
        <f>AG245+AG248</f>
        <v/>
      </c>
      <c r="AH253" s="5">
        <f>AH245+AH248</f>
        <v/>
      </c>
      <c r="AI253" s="5">
        <f>AI245+AI248</f>
        <v/>
      </c>
      <c r="AJ253" s="5">
        <f>AJ245+AJ248</f>
        <v/>
      </c>
      <c r="AK253" s="5">
        <f>AK245+AK248</f>
        <v/>
      </c>
      <c r="AL253" s="5">
        <f>AL245+AL248</f>
        <v/>
      </c>
      <c r="AM253" s="5">
        <f>AM245+AM248</f>
        <v/>
      </c>
      <c r="AN253" s="5">
        <f>AN245+AN248</f>
        <v/>
      </c>
      <c r="AO253" s="5">
        <f>AO245+AO248</f>
        <v/>
      </c>
      <c r="AP253" s="5">
        <f>AP245+AP248</f>
        <v/>
      </c>
      <c r="AQ253" s="5">
        <f>AQ245+AQ248</f>
        <v/>
      </c>
      <c r="AR253" s="5">
        <f>AR245+AR248</f>
        <v/>
      </c>
      <c r="AS253" s="5">
        <f>AS245+AS248</f>
        <v/>
      </c>
      <c r="AT253" s="5">
        <f>AT245+AT248</f>
        <v/>
      </c>
      <c r="AU253" s="5">
        <f>AU245+AU248</f>
        <v/>
      </c>
      <c r="AV253" s="5">
        <f>AV245+AV248</f>
        <v/>
      </c>
      <c r="AW253" s="5">
        <f>AW245+AW248</f>
        <v/>
      </c>
      <c r="AX253" s="5">
        <f>AX245+AX248</f>
        <v/>
      </c>
      <c r="AY253" s="5">
        <f>AY245+AY248</f>
        <v/>
      </c>
      <c r="AZ253" s="5">
        <f>AZ245+AZ248</f>
        <v/>
      </c>
      <c r="BA253" s="5">
        <f>BA245+BA248</f>
        <v/>
      </c>
      <c r="BB253" s="5">
        <f>BB245+BB248</f>
        <v/>
      </c>
      <c r="BC253" s="5">
        <f>BC245+BC248</f>
        <v/>
      </c>
      <c r="BD253" s="5">
        <f>BD245+BD248</f>
        <v/>
      </c>
      <c r="BE253" s="5">
        <f>BE245+BE248</f>
        <v/>
      </c>
      <c r="BF253" s="5">
        <f>BF245+BF248</f>
        <v/>
      </c>
      <c r="BG253" s="5">
        <f>BG245+BG248</f>
        <v/>
      </c>
      <c r="BH253" s="5">
        <f>BH245+BH248</f>
        <v/>
      </c>
      <c r="BI253" s="5">
        <f>BI245+BI248</f>
        <v/>
      </c>
      <c r="BJ253" s="5">
        <f>BJ245+BJ248</f>
        <v/>
      </c>
      <c r="BK253" s="5">
        <f>BK245+BK248</f>
        <v/>
      </c>
      <c r="BL253" s="5">
        <f>BL245+BL248</f>
        <v/>
      </c>
      <c r="BM253" s="5">
        <f>BM245+BM248</f>
        <v/>
      </c>
      <c r="BN253" s="5">
        <f>BN245+BN248</f>
        <v/>
      </c>
      <c r="BO253" s="5">
        <f>BO245+BO248</f>
        <v/>
      </c>
      <c r="BP253" s="5">
        <f>BP245+BP248</f>
        <v/>
      </c>
      <c r="BQ253" s="5">
        <f>BQ245+BQ248</f>
        <v/>
      </c>
      <c r="BR253" s="5">
        <f>BR245+BR248</f>
        <v/>
      </c>
      <c r="BS253" s="5">
        <f>BS245+BS248</f>
        <v/>
      </c>
      <c r="BT253" s="5">
        <f>BT245+BT248</f>
        <v/>
      </c>
      <c r="BU253" s="5">
        <f>BU245+BU248</f>
        <v/>
      </c>
      <c r="BV253" s="5">
        <f>BV245+BV248</f>
        <v/>
      </c>
    </row>
    <row r="254">
      <c r="A254" t="inlineStr">
        <is>
          <t>paid starts @0</t>
        </is>
      </c>
      <c r="B254" t="inlineStr">
        <is>
          <t>ROW|NITRO_M</t>
        </is>
      </c>
      <c r="C254" s="5">
        <f>C253*Eras!C$3</f>
        <v/>
      </c>
      <c r="D254" s="5">
        <f>D253*Eras!D$3</f>
        <v/>
      </c>
      <c r="E254" s="5">
        <f>E253*Eras!E$3</f>
        <v/>
      </c>
      <c r="F254" s="5">
        <f>F253*Eras!F$3</f>
        <v/>
      </c>
      <c r="G254" s="5">
        <f>G253*Eras!G$3</f>
        <v/>
      </c>
      <c r="H254" s="5">
        <f>H253*Eras!H$3</f>
        <v/>
      </c>
      <c r="I254" s="5">
        <f>I253*Eras!I$3</f>
        <v/>
      </c>
      <c r="J254" s="5">
        <f>J253*Eras!J$3</f>
        <v/>
      </c>
      <c r="K254" s="5">
        <f>K253*Eras!K$3</f>
        <v/>
      </c>
      <c r="L254" s="5">
        <f>L253*Eras!L$3</f>
        <v/>
      </c>
      <c r="M254" s="5">
        <f>M253*Eras!M$3</f>
        <v/>
      </c>
      <c r="N254" s="5">
        <f>N253*Eras!N$3</f>
        <v/>
      </c>
      <c r="O254" s="5">
        <f>O253*Eras!O$3</f>
        <v/>
      </c>
      <c r="P254" s="5">
        <f>P253*Eras!P$3</f>
        <v/>
      </c>
      <c r="Q254" s="5">
        <f>Q253*Eras!Q$3</f>
        <v/>
      </c>
      <c r="R254" s="5">
        <f>R253*Eras!R$3</f>
        <v/>
      </c>
      <c r="S254" s="5">
        <f>S253*Eras!S$3</f>
        <v/>
      </c>
      <c r="T254" s="5">
        <f>T253*Eras!T$3</f>
        <v/>
      </c>
      <c r="U254" s="5">
        <f>U253*Eras!U$3</f>
        <v/>
      </c>
      <c r="V254" s="5">
        <f>V253*Eras!V$3</f>
        <v/>
      </c>
      <c r="W254" s="5">
        <f>W253*Eras!W$3</f>
        <v/>
      </c>
      <c r="X254" s="5">
        <f>X253*Eras!X$3</f>
        <v/>
      </c>
      <c r="Y254" s="5">
        <f>Y253*Eras!Y$3</f>
        <v/>
      </c>
      <c r="Z254" s="5">
        <f>Z253*Eras!Z$3</f>
        <v/>
      </c>
      <c r="AA254" s="5">
        <f>AA253*Eras!AA$3</f>
        <v/>
      </c>
      <c r="AB254" s="5">
        <f>AB253*Eras!AB$3</f>
        <v/>
      </c>
      <c r="AC254" s="5">
        <f>AC253*Eras!AC$3</f>
        <v/>
      </c>
      <c r="AD254" s="5">
        <f>AD253*Eras!AD$3</f>
        <v/>
      </c>
      <c r="AE254" s="5">
        <f>AE253*Eras!AE$3</f>
        <v/>
      </c>
      <c r="AF254" s="5">
        <f>AF253*Eras!AF$3</f>
        <v/>
      </c>
      <c r="AG254" s="5">
        <f>AG253*Eras!AG$3</f>
        <v/>
      </c>
      <c r="AH254" s="5">
        <f>AH253*Eras!AH$3</f>
        <v/>
      </c>
      <c r="AI254" s="5">
        <f>AI253*Eras!AI$3</f>
        <v/>
      </c>
      <c r="AJ254" s="5">
        <f>AJ253*Eras!AJ$3</f>
        <v/>
      </c>
      <c r="AK254" s="5">
        <f>AK253*Eras!AK$3</f>
        <v/>
      </c>
      <c r="AL254" s="5">
        <f>AL253*Eras!AL$3</f>
        <v/>
      </c>
      <c r="AM254" s="5">
        <f>AM253*Eras!AM$3</f>
        <v/>
      </c>
      <c r="AN254" s="5">
        <f>AN253*Eras!AN$3</f>
        <v/>
      </c>
      <c r="AO254" s="5">
        <f>AO253*Eras!AO$3</f>
        <v/>
      </c>
      <c r="AP254" s="5">
        <f>AP253*Eras!AP$3</f>
        <v/>
      </c>
      <c r="AQ254" s="5">
        <f>AQ253*Eras!AQ$3</f>
        <v/>
      </c>
      <c r="AR254" s="5">
        <f>AR253*Eras!AR$3</f>
        <v/>
      </c>
      <c r="AS254" s="5">
        <f>AS253*Eras!AS$3</f>
        <v/>
      </c>
      <c r="AT254" s="5">
        <f>AT253*Eras!AT$3</f>
        <v/>
      </c>
      <c r="AU254" s="5">
        <f>AU253*Eras!AU$3</f>
        <v/>
      </c>
      <c r="AV254" s="5">
        <f>AV253*Eras!AV$3</f>
        <v/>
      </c>
      <c r="AW254" s="5">
        <f>AW253*Eras!AW$3</f>
        <v/>
      </c>
      <c r="AX254" s="5">
        <f>AX253*Eras!AX$3</f>
        <v/>
      </c>
      <c r="AY254" s="5">
        <f>AY253*Eras!AY$3</f>
        <v/>
      </c>
      <c r="AZ254" s="5">
        <f>AZ253*Eras!AZ$3</f>
        <v/>
      </c>
      <c r="BA254" s="5">
        <f>BA253*Eras!BA$3</f>
        <v/>
      </c>
      <c r="BB254" s="5">
        <f>BB253*Eras!BB$3</f>
        <v/>
      </c>
      <c r="BC254" s="5">
        <f>BC253*Eras!BC$3</f>
        <v/>
      </c>
      <c r="BD254" s="5">
        <f>BD253*Eras!BD$3</f>
        <v/>
      </c>
      <c r="BE254" s="5">
        <f>BE253*Eras!BE$3</f>
        <v/>
      </c>
      <c r="BF254" s="5">
        <f>BF253*Eras!BF$3</f>
        <v/>
      </c>
      <c r="BG254" s="5">
        <f>BG253*Eras!BG$3</f>
        <v/>
      </c>
      <c r="BH254" s="5">
        <f>BH253*Eras!BH$3</f>
        <v/>
      </c>
      <c r="BI254" s="5">
        <f>BI253*Eras!BI$3</f>
        <v/>
      </c>
      <c r="BJ254" s="5">
        <f>BJ253*Eras!BJ$3</f>
        <v/>
      </c>
      <c r="BK254" s="5">
        <f>BK253*Eras!BK$3</f>
        <v/>
      </c>
      <c r="BL254" s="5">
        <f>BL253*Eras!BL$3</f>
        <v/>
      </c>
      <c r="BM254" s="5">
        <f>BM253*Eras!BM$3</f>
        <v/>
      </c>
      <c r="BN254" s="5">
        <f>BN253*Eras!BN$3</f>
        <v/>
      </c>
      <c r="BO254" s="5">
        <f>BO253*Eras!BO$3</f>
        <v/>
      </c>
      <c r="BP254" s="5">
        <f>BP253*Eras!BP$3</f>
        <v/>
      </c>
      <c r="BQ254" s="5">
        <f>BQ253*Eras!BQ$3</f>
        <v/>
      </c>
      <c r="BR254" s="5">
        <f>BR253*Eras!BR$3</f>
        <v/>
      </c>
      <c r="BS254" s="5">
        <f>BS253*Eras!BS$3</f>
        <v/>
      </c>
      <c r="BT254" s="5">
        <f>BT253*Eras!BT$3</f>
        <v/>
      </c>
      <c r="BU254" s="5">
        <f>BU253*Eras!BU$3</f>
        <v/>
      </c>
      <c r="BV254" s="5">
        <f>BV253*Eras!BV$3</f>
        <v/>
      </c>
    </row>
    <row r="255">
      <c r="A255" t="inlineStr">
        <is>
          <t>paid starts @1</t>
        </is>
      </c>
      <c r="B255" t="inlineStr">
        <is>
          <t>ROW|NITRO_M</t>
        </is>
      </c>
      <c r="C255" s="5">
        <f>C253*Eras!C$4</f>
        <v/>
      </c>
      <c r="D255" s="5">
        <f>D253*Eras!D$4</f>
        <v/>
      </c>
      <c r="E255" s="5">
        <f>E253*Eras!E$4</f>
        <v/>
      </c>
      <c r="F255" s="5">
        <f>F253*Eras!F$4</f>
        <v/>
      </c>
      <c r="G255" s="5">
        <f>G253*Eras!G$4</f>
        <v/>
      </c>
      <c r="H255" s="5">
        <f>H253*Eras!H$4</f>
        <v/>
      </c>
      <c r="I255" s="5">
        <f>I253*Eras!I$4</f>
        <v/>
      </c>
      <c r="J255" s="5">
        <f>J253*Eras!J$4</f>
        <v/>
      </c>
      <c r="K255" s="5">
        <f>K253*Eras!K$4</f>
        <v/>
      </c>
      <c r="L255" s="5">
        <f>L253*Eras!L$4</f>
        <v/>
      </c>
      <c r="M255" s="5">
        <f>M253*Eras!M$4</f>
        <v/>
      </c>
      <c r="N255" s="5">
        <f>N253*Eras!N$4</f>
        <v/>
      </c>
      <c r="O255" s="5">
        <f>O253*Eras!O$4</f>
        <v/>
      </c>
      <c r="P255" s="5">
        <f>P253*Eras!P$4</f>
        <v/>
      </c>
      <c r="Q255" s="5">
        <f>Q253*Eras!Q$4</f>
        <v/>
      </c>
      <c r="R255" s="5">
        <f>R253*Eras!R$4</f>
        <v/>
      </c>
      <c r="S255" s="5">
        <f>S253*Eras!S$4</f>
        <v/>
      </c>
      <c r="T255" s="5">
        <f>T253*Eras!T$4</f>
        <v/>
      </c>
      <c r="U255" s="5">
        <f>U253*Eras!U$4</f>
        <v/>
      </c>
      <c r="V255" s="5">
        <f>V253*Eras!V$4</f>
        <v/>
      </c>
      <c r="W255" s="5">
        <f>W253*Eras!W$4</f>
        <v/>
      </c>
      <c r="X255" s="5">
        <f>X253*Eras!X$4</f>
        <v/>
      </c>
      <c r="Y255" s="5">
        <f>Y253*Eras!Y$4</f>
        <v/>
      </c>
      <c r="Z255" s="5">
        <f>Z253*Eras!Z$4</f>
        <v/>
      </c>
      <c r="AA255" s="5">
        <f>AA253*Eras!AA$4</f>
        <v/>
      </c>
      <c r="AB255" s="5">
        <f>AB253*Eras!AB$4</f>
        <v/>
      </c>
      <c r="AC255" s="5">
        <f>AC253*Eras!AC$4</f>
        <v/>
      </c>
      <c r="AD255" s="5">
        <f>AD253*Eras!AD$4</f>
        <v/>
      </c>
      <c r="AE255" s="5">
        <f>AE253*Eras!AE$4</f>
        <v/>
      </c>
      <c r="AF255" s="5">
        <f>AF253*Eras!AF$4</f>
        <v/>
      </c>
      <c r="AG255" s="5">
        <f>AG253*Eras!AG$4</f>
        <v/>
      </c>
      <c r="AH255" s="5">
        <f>AH253*Eras!AH$4</f>
        <v/>
      </c>
      <c r="AI255" s="5">
        <f>AI253*Eras!AI$4</f>
        <v/>
      </c>
      <c r="AJ255" s="5">
        <f>AJ253*Eras!AJ$4</f>
        <v/>
      </c>
      <c r="AK255" s="5">
        <f>AK253*Eras!AK$4</f>
        <v/>
      </c>
      <c r="AL255" s="5">
        <f>AL253*Eras!AL$4</f>
        <v/>
      </c>
      <c r="AM255" s="5">
        <f>AM253*Eras!AM$4</f>
        <v/>
      </c>
      <c r="AN255" s="5">
        <f>AN253*Eras!AN$4</f>
        <v/>
      </c>
      <c r="AO255" s="5">
        <f>AO253*Eras!AO$4</f>
        <v/>
      </c>
      <c r="AP255" s="5">
        <f>AP253*Eras!AP$4</f>
        <v/>
      </c>
      <c r="AQ255" s="5">
        <f>AQ253*Eras!AQ$4</f>
        <v/>
      </c>
      <c r="AR255" s="5">
        <f>AR253*Eras!AR$4</f>
        <v/>
      </c>
      <c r="AS255" s="5">
        <f>AS253*Eras!AS$4</f>
        <v/>
      </c>
      <c r="AT255" s="5">
        <f>AT253*Eras!AT$4</f>
        <v/>
      </c>
      <c r="AU255" s="5">
        <f>AU253*Eras!AU$4</f>
        <v/>
      </c>
      <c r="AV255" s="5">
        <f>AV253*Eras!AV$4</f>
        <v/>
      </c>
      <c r="AW255" s="5">
        <f>AW253*Eras!AW$4</f>
        <v/>
      </c>
      <c r="AX255" s="5">
        <f>AX253*Eras!AX$4</f>
        <v/>
      </c>
      <c r="AY255" s="5">
        <f>AY253*Eras!AY$4</f>
        <v/>
      </c>
      <c r="AZ255" s="5">
        <f>AZ253*Eras!AZ$4</f>
        <v/>
      </c>
      <c r="BA255" s="5">
        <f>BA253*Eras!BA$4</f>
        <v/>
      </c>
      <c r="BB255" s="5">
        <f>BB253*Eras!BB$4</f>
        <v/>
      </c>
      <c r="BC255" s="5">
        <f>BC253*Eras!BC$4</f>
        <v/>
      </c>
      <c r="BD255" s="5">
        <f>BD253*Eras!BD$4</f>
        <v/>
      </c>
      <c r="BE255" s="5">
        <f>BE253*Eras!BE$4</f>
        <v/>
      </c>
      <c r="BF255" s="5">
        <f>BF253*Eras!BF$4</f>
        <v/>
      </c>
      <c r="BG255" s="5">
        <f>BG253*Eras!BG$4</f>
        <v/>
      </c>
      <c r="BH255" s="5">
        <f>BH253*Eras!BH$4</f>
        <v/>
      </c>
      <c r="BI255" s="5">
        <f>BI253*Eras!BI$4</f>
        <v/>
      </c>
      <c r="BJ255" s="5">
        <f>BJ253*Eras!BJ$4</f>
        <v/>
      </c>
      <c r="BK255" s="5">
        <f>BK253*Eras!BK$4</f>
        <v/>
      </c>
      <c r="BL255" s="5">
        <f>BL253*Eras!BL$4</f>
        <v/>
      </c>
      <c r="BM255" s="5">
        <f>BM253*Eras!BM$4</f>
        <v/>
      </c>
      <c r="BN255" s="5">
        <f>BN253*Eras!BN$4</f>
        <v/>
      </c>
      <c r="BO255" s="5">
        <f>BO253*Eras!BO$4</f>
        <v/>
      </c>
      <c r="BP255" s="5">
        <f>BP253*Eras!BP$4</f>
        <v/>
      </c>
      <c r="BQ255" s="5">
        <f>BQ253*Eras!BQ$4</f>
        <v/>
      </c>
      <c r="BR255" s="5">
        <f>BR253*Eras!BR$4</f>
        <v/>
      </c>
      <c r="BS255" s="5">
        <f>BS253*Eras!BS$4</f>
        <v/>
      </c>
      <c r="BT255" s="5">
        <f>BT253*Eras!BT$4</f>
        <v/>
      </c>
      <c r="BU255" s="5">
        <f>BU253*Eras!BU$4</f>
        <v/>
      </c>
      <c r="BV255" s="5">
        <f>BV253*Eras!BV$4</f>
        <v/>
      </c>
    </row>
    <row r="256">
      <c r="A256" t="inlineStr">
        <is>
          <t>paid starts @2</t>
        </is>
      </c>
      <c r="B256" t="inlineStr">
        <is>
          <t>ROW|NITRO_M</t>
        </is>
      </c>
      <c r="C256" s="5">
        <f>C253*Eras!C$5</f>
        <v/>
      </c>
      <c r="D256" s="5">
        <f>D253*Eras!D$5</f>
        <v/>
      </c>
      <c r="E256" s="5">
        <f>E253*Eras!E$5</f>
        <v/>
      </c>
      <c r="F256" s="5">
        <f>F253*Eras!F$5</f>
        <v/>
      </c>
      <c r="G256" s="5">
        <f>G253*Eras!G$5</f>
        <v/>
      </c>
      <c r="H256" s="5">
        <f>H253*Eras!H$5</f>
        <v/>
      </c>
      <c r="I256" s="5">
        <f>I253*Eras!I$5</f>
        <v/>
      </c>
      <c r="J256" s="5">
        <f>J253*Eras!J$5</f>
        <v/>
      </c>
      <c r="K256" s="5">
        <f>K253*Eras!K$5</f>
        <v/>
      </c>
      <c r="L256" s="5">
        <f>L253*Eras!L$5</f>
        <v/>
      </c>
      <c r="M256" s="5">
        <f>M253*Eras!M$5</f>
        <v/>
      </c>
      <c r="N256" s="5">
        <f>N253*Eras!N$5</f>
        <v/>
      </c>
      <c r="O256" s="5">
        <f>O253*Eras!O$5</f>
        <v/>
      </c>
      <c r="P256" s="5">
        <f>P253*Eras!P$5</f>
        <v/>
      </c>
      <c r="Q256" s="5">
        <f>Q253*Eras!Q$5</f>
        <v/>
      </c>
      <c r="R256" s="5">
        <f>R253*Eras!R$5</f>
        <v/>
      </c>
      <c r="S256" s="5">
        <f>S253*Eras!S$5</f>
        <v/>
      </c>
      <c r="T256" s="5">
        <f>T253*Eras!T$5</f>
        <v/>
      </c>
      <c r="U256" s="5">
        <f>U253*Eras!U$5</f>
        <v/>
      </c>
      <c r="V256" s="5">
        <f>V253*Eras!V$5</f>
        <v/>
      </c>
      <c r="W256" s="5">
        <f>W253*Eras!W$5</f>
        <v/>
      </c>
      <c r="X256" s="5">
        <f>X253*Eras!X$5</f>
        <v/>
      </c>
      <c r="Y256" s="5">
        <f>Y253*Eras!Y$5</f>
        <v/>
      </c>
      <c r="Z256" s="5">
        <f>Z253*Eras!Z$5</f>
        <v/>
      </c>
      <c r="AA256" s="5">
        <f>AA253*Eras!AA$5</f>
        <v/>
      </c>
      <c r="AB256" s="5">
        <f>AB253*Eras!AB$5</f>
        <v/>
      </c>
      <c r="AC256" s="5">
        <f>AC253*Eras!AC$5</f>
        <v/>
      </c>
      <c r="AD256" s="5">
        <f>AD253*Eras!AD$5</f>
        <v/>
      </c>
      <c r="AE256" s="5">
        <f>AE253*Eras!AE$5</f>
        <v/>
      </c>
      <c r="AF256" s="5">
        <f>AF253*Eras!AF$5</f>
        <v/>
      </c>
      <c r="AG256" s="5">
        <f>AG253*Eras!AG$5</f>
        <v/>
      </c>
      <c r="AH256" s="5">
        <f>AH253*Eras!AH$5</f>
        <v/>
      </c>
      <c r="AI256" s="5">
        <f>AI253*Eras!AI$5</f>
        <v/>
      </c>
      <c r="AJ256" s="5">
        <f>AJ253*Eras!AJ$5</f>
        <v/>
      </c>
      <c r="AK256" s="5">
        <f>AK253*Eras!AK$5</f>
        <v/>
      </c>
      <c r="AL256" s="5">
        <f>AL253*Eras!AL$5</f>
        <v/>
      </c>
      <c r="AM256" s="5">
        <f>AM253*Eras!AM$5</f>
        <v/>
      </c>
      <c r="AN256" s="5">
        <f>AN253*Eras!AN$5</f>
        <v/>
      </c>
      <c r="AO256" s="5">
        <f>AO253*Eras!AO$5</f>
        <v/>
      </c>
      <c r="AP256" s="5">
        <f>AP253*Eras!AP$5</f>
        <v/>
      </c>
      <c r="AQ256" s="5">
        <f>AQ253*Eras!AQ$5</f>
        <v/>
      </c>
      <c r="AR256" s="5">
        <f>AR253*Eras!AR$5</f>
        <v/>
      </c>
      <c r="AS256" s="5">
        <f>AS253*Eras!AS$5</f>
        <v/>
      </c>
      <c r="AT256" s="5">
        <f>AT253*Eras!AT$5</f>
        <v/>
      </c>
      <c r="AU256" s="5">
        <f>AU253*Eras!AU$5</f>
        <v/>
      </c>
      <c r="AV256" s="5">
        <f>AV253*Eras!AV$5</f>
        <v/>
      </c>
      <c r="AW256" s="5">
        <f>AW253*Eras!AW$5</f>
        <v/>
      </c>
      <c r="AX256" s="5">
        <f>AX253*Eras!AX$5</f>
        <v/>
      </c>
      <c r="AY256" s="5">
        <f>AY253*Eras!AY$5</f>
        <v/>
      </c>
      <c r="AZ256" s="5">
        <f>AZ253*Eras!AZ$5</f>
        <v/>
      </c>
      <c r="BA256" s="5">
        <f>BA253*Eras!BA$5</f>
        <v/>
      </c>
      <c r="BB256" s="5">
        <f>BB253*Eras!BB$5</f>
        <v/>
      </c>
      <c r="BC256" s="5">
        <f>BC253*Eras!BC$5</f>
        <v/>
      </c>
      <c r="BD256" s="5">
        <f>BD253*Eras!BD$5</f>
        <v/>
      </c>
      <c r="BE256" s="5">
        <f>BE253*Eras!BE$5</f>
        <v/>
      </c>
      <c r="BF256" s="5">
        <f>BF253*Eras!BF$5</f>
        <v/>
      </c>
      <c r="BG256" s="5">
        <f>BG253*Eras!BG$5</f>
        <v/>
      </c>
      <c r="BH256" s="5">
        <f>BH253*Eras!BH$5</f>
        <v/>
      </c>
      <c r="BI256" s="5">
        <f>BI253*Eras!BI$5</f>
        <v/>
      </c>
      <c r="BJ256" s="5">
        <f>BJ253*Eras!BJ$5</f>
        <v/>
      </c>
      <c r="BK256" s="5">
        <f>BK253*Eras!BK$5</f>
        <v/>
      </c>
      <c r="BL256" s="5">
        <f>BL253*Eras!BL$5</f>
        <v/>
      </c>
      <c r="BM256" s="5">
        <f>BM253*Eras!BM$5</f>
        <v/>
      </c>
      <c r="BN256" s="5">
        <f>BN253*Eras!BN$5</f>
        <v/>
      </c>
      <c r="BO256" s="5">
        <f>BO253*Eras!BO$5</f>
        <v/>
      </c>
      <c r="BP256" s="5">
        <f>BP253*Eras!BP$5</f>
        <v/>
      </c>
      <c r="BQ256" s="5">
        <f>BQ253*Eras!BQ$5</f>
        <v/>
      </c>
      <c r="BR256" s="5">
        <f>BR253*Eras!BR$5</f>
        <v/>
      </c>
      <c r="BS256" s="5">
        <f>BS253*Eras!BS$5</f>
        <v/>
      </c>
      <c r="BT256" s="5">
        <f>BT253*Eras!BT$5</f>
        <v/>
      </c>
      <c r="BU256" s="5">
        <f>BU253*Eras!BU$5</f>
        <v/>
      </c>
      <c r="BV256" s="5">
        <f>BV253*Eras!BV$5</f>
        <v/>
      </c>
    </row>
    <row r="258">
      <c r="A258" t="inlineStr">
        <is>
          <t>gross adds</t>
        </is>
      </c>
      <c r="B258" t="inlineStr">
        <is>
          <t>ROW|NITRO_A</t>
        </is>
      </c>
      <c r="C258" s="5">
        <f>MAU!C8*Params!$B$61*Eras!C$7*Params!$B$130*Params!$B$93</f>
        <v/>
      </c>
      <c r="D258" s="5">
        <f>MAU!D8*Params!$B$61*Eras!D$7*Params!$B$130*Params!$B$93</f>
        <v/>
      </c>
      <c r="E258" s="5">
        <f>MAU!E8*Params!$B$61*Eras!E$7*Params!$B$130*Params!$B$93</f>
        <v/>
      </c>
      <c r="F258" s="5">
        <f>MAU!F8*Params!$B$61*Eras!F$7*Params!$B$130*Params!$B$93</f>
        <v/>
      </c>
      <c r="G258" s="5">
        <f>MAU!G8*Params!$B$61*Eras!G$7*Params!$B$130*Params!$B$93</f>
        <v/>
      </c>
      <c r="H258" s="5">
        <f>MAU!H8*Params!$B$61*Eras!H$7*Params!$B$130*Params!$B$93</f>
        <v/>
      </c>
      <c r="I258" s="5">
        <f>MAU!I8*Params!$B$61*Eras!I$7*Params!$B$130*Params!$B$93</f>
        <v/>
      </c>
      <c r="J258" s="5">
        <f>MAU!J8*Params!$B$61*Eras!J$7*Params!$B$130*Params!$B$93</f>
        <v/>
      </c>
      <c r="K258" s="5">
        <f>MAU!K8*Params!$B$61*Eras!K$7*Params!$B$130*Params!$B$93</f>
        <v/>
      </c>
      <c r="L258" s="5">
        <f>MAU!L8*Params!$B$61*Eras!L$7*Params!$B$130*Params!$B$93</f>
        <v/>
      </c>
      <c r="M258" s="5">
        <f>MAU!M8*Params!$B$61*Eras!M$7*Params!$B$130*Params!$B$93</f>
        <v/>
      </c>
      <c r="N258" s="5">
        <f>MAU!N8*Params!$B$61*Eras!N$7*Params!$B$130*Params!$B$93</f>
        <v/>
      </c>
      <c r="O258" s="5">
        <f>MAU!O8*Params!$B$61*Eras!O$7*Params!$B$130*Params!$B$93</f>
        <v/>
      </c>
      <c r="P258" s="5">
        <f>MAU!P8*Params!$B$61*Eras!P$7*Params!$B$130*Params!$B$93</f>
        <v/>
      </c>
      <c r="Q258" s="5">
        <f>MAU!Q8*Params!$B$61*Eras!Q$7*Params!$B$130*Params!$B$93</f>
        <v/>
      </c>
      <c r="R258" s="5">
        <f>MAU!R8*Params!$B$61*Eras!R$7*Params!$B$130*Params!$B$93</f>
        <v/>
      </c>
      <c r="S258" s="5">
        <f>MAU!S8*Params!$B$61*Eras!S$7*Params!$B$130*Params!$B$93</f>
        <v/>
      </c>
      <c r="T258" s="5">
        <f>MAU!T8*Params!$B$61*Eras!T$7*Params!$B$130*Params!$B$93</f>
        <v/>
      </c>
      <c r="U258" s="5">
        <f>MAU!U8*Params!$B$61*Eras!U$7*Params!$B$130*Params!$B$93</f>
        <v/>
      </c>
      <c r="V258" s="5">
        <f>MAU!V8*Params!$B$61*Eras!V$7*Params!$B$130*Params!$B$93</f>
        <v/>
      </c>
      <c r="W258" s="5">
        <f>MAU!W8*Params!$B$61*Eras!W$7*Params!$B$130*Params!$B$93</f>
        <v/>
      </c>
      <c r="X258" s="5">
        <f>MAU!X8*Params!$B$61*Eras!X$7*Params!$B$130*Params!$B$93</f>
        <v/>
      </c>
      <c r="Y258" s="5">
        <f>MAU!Y8*Params!$B$61*Eras!Y$7*Params!$B$130*Params!$B$93</f>
        <v/>
      </c>
      <c r="Z258" s="5">
        <f>MAU!Z8*Params!$B$61*Eras!Z$7*Params!$B$130*Params!$B$93</f>
        <v/>
      </c>
      <c r="AA258" s="5">
        <f>MAU!AA8*Params!$B$61*Eras!AA$7*Params!$B$130*Params!$B$93</f>
        <v/>
      </c>
      <c r="AB258" s="5">
        <f>MAU!AB8*Params!$B$61*Eras!AB$7*Params!$B$130*Params!$B$93</f>
        <v/>
      </c>
      <c r="AC258" s="5">
        <f>MAU!AC8*Params!$B$61*Eras!AC$7*Params!$B$130*Params!$B$93</f>
        <v/>
      </c>
      <c r="AD258" s="5">
        <f>MAU!AD8*Params!$B$61*Eras!AD$7*Params!$B$130*Params!$B$93</f>
        <v/>
      </c>
      <c r="AE258" s="5">
        <f>MAU!AE8*Params!$B$61*Eras!AE$7*Params!$B$130*Params!$B$93</f>
        <v/>
      </c>
      <c r="AF258" s="5">
        <f>MAU!AF8*Params!$B$61*Eras!AF$7*Params!$B$130*Params!$B$93</f>
        <v/>
      </c>
      <c r="AG258" s="5">
        <f>MAU!AG8*Params!$B$61*Eras!AG$7*Params!$B$130*Params!$B$93</f>
        <v/>
      </c>
      <c r="AH258" s="5">
        <f>MAU!AH8*Params!$B$61*Eras!AH$7*Params!$B$130*Params!$B$93</f>
        <v/>
      </c>
      <c r="AI258" s="5">
        <f>MAU!AI8*Params!$B$61*Eras!AI$7*Params!$B$130*Params!$B$93</f>
        <v/>
      </c>
      <c r="AJ258" s="5">
        <f>MAU!AJ8*Params!$B$61*Eras!AJ$7*Params!$B$130*Params!$B$93</f>
        <v/>
      </c>
      <c r="AK258" s="5">
        <f>MAU!AK8*Params!$B$61*Eras!AK$7*Params!$B$130*Params!$B$93</f>
        <v/>
      </c>
      <c r="AL258" s="5">
        <f>MAU!AL8*Params!$B$61*Eras!AL$7*Params!$B$130*Params!$B$93</f>
        <v/>
      </c>
      <c r="AM258" s="5">
        <f>MAU!AM8*Params!$B$61*Eras!AM$7*Params!$B$130*Params!$B$93</f>
        <v/>
      </c>
      <c r="AN258" s="5">
        <f>MAU!AN8*Params!$B$61*Eras!AN$7*Params!$B$130*Params!$B$93</f>
        <v/>
      </c>
      <c r="AO258" s="5">
        <f>MAU!AO8*Params!$B$61*Eras!AO$7*Params!$B$130*Params!$B$93</f>
        <v/>
      </c>
      <c r="AP258" s="5">
        <f>MAU!AP8*Params!$B$61*Eras!AP$7*Params!$B$130*Params!$B$93</f>
        <v/>
      </c>
      <c r="AQ258" s="5">
        <f>MAU!AQ8*Params!$B$61*Eras!AQ$7*Params!$B$130*Params!$B$93</f>
        <v/>
      </c>
      <c r="AR258" s="5">
        <f>MAU!AR8*Params!$B$61*Eras!AR$7*Params!$B$130*Params!$B$93</f>
        <v/>
      </c>
      <c r="AS258" s="5">
        <f>MAU!AS8*Params!$B$61*Eras!AS$7*Params!$B$130*Params!$B$93</f>
        <v/>
      </c>
      <c r="AT258" s="5">
        <f>MAU!AT8*Params!$B$61*Eras!AT$7*Params!$B$130*Params!$B$93</f>
        <v/>
      </c>
      <c r="AU258" s="5">
        <f>MAU!AU8*Params!$B$61*Eras!AU$7*Params!$B$130*Params!$B$93</f>
        <v/>
      </c>
      <c r="AV258" s="5">
        <f>MAU!AV8*Params!$B$61*Eras!AV$7*Params!$B$130*Params!$B$93</f>
        <v/>
      </c>
      <c r="AW258" s="5">
        <f>MAU!AW8*Params!$B$61*Eras!AW$7*Params!$B$130*Params!$B$93</f>
        <v/>
      </c>
      <c r="AX258" s="5">
        <f>MAU!AX8*Params!$B$61*Eras!AX$7*Params!$B$130*Params!$B$93</f>
        <v/>
      </c>
      <c r="AY258" s="5">
        <f>MAU!AY8*Params!$B$61*Eras!AY$7*Params!$B$130*Params!$B$93</f>
        <v/>
      </c>
      <c r="AZ258" s="5">
        <f>MAU!AZ8*Params!$B$61*Eras!AZ$7*Params!$B$130*Params!$B$93</f>
        <v/>
      </c>
      <c r="BA258" s="5">
        <f>MAU!BA8*Params!$B$61*Eras!BA$7*Params!$B$130*Params!$B$93</f>
        <v/>
      </c>
      <c r="BB258" s="5">
        <f>MAU!BB8*Params!$B$61*Eras!BB$7*Params!$B$130*Params!$B$93</f>
        <v/>
      </c>
      <c r="BC258" s="5">
        <f>MAU!BC8*Params!$B$61*Eras!BC$7*Params!$B$130*Params!$B$93</f>
        <v/>
      </c>
      <c r="BD258" s="5">
        <f>MAU!BD8*Params!$B$61*Eras!BD$7*Params!$B$130*Params!$B$93</f>
        <v/>
      </c>
      <c r="BE258" s="5">
        <f>MAU!BE8*Params!$B$61*Eras!BE$7*Params!$B$130*Params!$B$93</f>
        <v/>
      </c>
      <c r="BF258" s="5">
        <f>MAU!BF8*Params!$B$61*Eras!BF$7*Params!$B$130*Params!$B$93</f>
        <v/>
      </c>
      <c r="BG258" s="5">
        <f>MAU!BG8*Params!$B$61*Eras!BG$7*Params!$B$130*Params!$B$93</f>
        <v/>
      </c>
      <c r="BH258" s="5">
        <f>MAU!BH8*Params!$B$61*Eras!BH$7*Params!$B$130*Params!$B$93</f>
        <v/>
      </c>
      <c r="BI258" s="5">
        <f>MAU!BI8*Params!$B$61*Eras!BI$7*Params!$B$130*Params!$B$93</f>
        <v/>
      </c>
      <c r="BJ258" s="5">
        <f>MAU!BJ8*Params!$B$61*Eras!BJ$7*Params!$B$130*Params!$B$93</f>
        <v/>
      </c>
      <c r="BK258" s="5">
        <f>MAU!BK8*Params!$B$61*Eras!BK$7*Params!$B$130*Params!$B$93</f>
        <v/>
      </c>
      <c r="BL258" s="5">
        <f>MAU!BL8*Params!$B$61*Eras!BL$7*Params!$B$130*Params!$B$93</f>
        <v/>
      </c>
      <c r="BM258" s="5">
        <f>MAU!BM8*Params!$B$61*Eras!BM$7*Params!$B$130*Params!$B$93</f>
        <v/>
      </c>
      <c r="BN258" s="5">
        <f>MAU!BN8*Params!$B$61*Eras!BN$7*Params!$B$130*Params!$B$93</f>
        <v/>
      </c>
      <c r="BO258" s="5">
        <f>MAU!BO8*Params!$B$61*Eras!BO$7*Params!$B$130*Params!$B$93</f>
        <v/>
      </c>
      <c r="BP258" s="5">
        <f>MAU!BP8*Params!$B$61*Eras!BP$7*Params!$B$130*Params!$B$93</f>
        <v/>
      </c>
      <c r="BQ258" s="5">
        <f>MAU!BQ8*Params!$B$61*Eras!BQ$7*Params!$B$130*Params!$B$93</f>
        <v/>
      </c>
      <c r="BR258" s="5">
        <f>MAU!BR8*Params!$B$61*Eras!BR$7*Params!$B$130*Params!$B$93</f>
        <v/>
      </c>
      <c r="BS258" s="5">
        <f>MAU!BS8*Params!$B$61*Eras!BS$7*Params!$B$130*Params!$B$93</f>
        <v/>
      </c>
      <c r="BT258" s="5">
        <f>MAU!BT8*Params!$B$61*Eras!BT$7*Params!$B$130*Params!$B$93</f>
        <v/>
      </c>
      <c r="BU258" s="5">
        <f>MAU!BU8*Params!$B$61*Eras!BU$7*Params!$B$130*Params!$B$93</f>
        <v/>
      </c>
      <c r="BV258" s="5">
        <f>MAU!BV8*Params!$B$61*Eras!BV$7*Params!$B$130*Params!$B$93</f>
        <v/>
      </c>
    </row>
    <row r="259">
      <c r="A259" t="inlineStr">
        <is>
          <t>trial starts</t>
        </is>
      </c>
      <c r="B259" t="inlineStr">
        <is>
          <t>ROW|NITRO_A</t>
        </is>
      </c>
      <c r="C259" s="5">
        <f>C258*Eras!C$8</f>
        <v/>
      </c>
      <c r="D259" s="5">
        <f>D258*Eras!D$8</f>
        <v/>
      </c>
      <c r="E259" s="5">
        <f>E258*Eras!E$8</f>
        <v/>
      </c>
      <c r="F259" s="5">
        <f>F258*Eras!F$8</f>
        <v/>
      </c>
      <c r="G259" s="5">
        <f>G258*Eras!G$8</f>
        <v/>
      </c>
      <c r="H259" s="5">
        <f>H258*Eras!H$8</f>
        <v/>
      </c>
      <c r="I259" s="5">
        <f>I258*Eras!I$8</f>
        <v/>
      </c>
      <c r="J259" s="5">
        <f>J258*Eras!J$8</f>
        <v/>
      </c>
      <c r="K259" s="5">
        <f>K258*Eras!K$8</f>
        <v/>
      </c>
      <c r="L259" s="5">
        <f>L258*Eras!L$8</f>
        <v/>
      </c>
      <c r="M259" s="5">
        <f>M258*Eras!M$8</f>
        <v/>
      </c>
      <c r="N259" s="5">
        <f>N258*Eras!N$8</f>
        <v/>
      </c>
      <c r="O259" s="5">
        <f>O258*Eras!O$8</f>
        <v/>
      </c>
      <c r="P259" s="5">
        <f>P258*Eras!P$8</f>
        <v/>
      </c>
      <c r="Q259" s="5">
        <f>Q258*Eras!Q$8</f>
        <v/>
      </c>
      <c r="R259" s="5">
        <f>R258*Eras!R$8</f>
        <v/>
      </c>
      <c r="S259" s="5">
        <f>S258*Eras!S$8</f>
        <v/>
      </c>
      <c r="T259" s="5">
        <f>T258*Eras!T$8</f>
        <v/>
      </c>
      <c r="U259" s="5">
        <f>U258*Eras!U$8</f>
        <v/>
      </c>
      <c r="V259" s="5">
        <f>V258*Eras!V$8</f>
        <v/>
      </c>
      <c r="W259" s="5">
        <f>W258*Eras!W$8</f>
        <v/>
      </c>
      <c r="X259" s="5">
        <f>X258*Eras!X$8</f>
        <v/>
      </c>
      <c r="Y259" s="5">
        <f>Y258*Eras!Y$8</f>
        <v/>
      </c>
      <c r="Z259" s="5">
        <f>Z258*Eras!Z$8</f>
        <v/>
      </c>
      <c r="AA259" s="5">
        <f>AA258*Eras!AA$8</f>
        <v/>
      </c>
      <c r="AB259" s="5">
        <f>AB258*Eras!AB$8</f>
        <v/>
      </c>
      <c r="AC259" s="5">
        <f>AC258*Eras!AC$8</f>
        <v/>
      </c>
      <c r="AD259" s="5">
        <f>AD258*Eras!AD$8</f>
        <v/>
      </c>
      <c r="AE259" s="5">
        <f>AE258*Eras!AE$8</f>
        <v/>
      </c>
      <c r="AF259" s="5">
        <f>AF258*Eras!AF$8</f>
        <v/>
      </c>
      <c r="AG259" s="5">
        <f>AG258*Eras!AG$8</f>
        <v/>
      </c>
      <c r="AH259" s="5">
        <f>AH258*Eras!AH$8</f>
        <v/>
      </c>
      <c r="AI259" s="5">
        <f>AI258*Eras!AI$8</f>
        <v/>
      </c>
      <c r="AJ259" s="5">
        <f>AJ258*Eras!AJ$8</f>
        <v/>
      </c>
      <c r="AK259" s="5">
        <f>AK258*Eras!AK$8</f>
        <v/>
      </c>
      <c r="AL259" s="5">
        <f>AL258*Eras!AL$8</f>
        <v/>
      </c>
      <c r="AM259" s="5">
        <f>AM258*Eras!AM$8</f>
        <v/>
      </c>
      <c r="AN259" s="5">
        <f>AN258*Eras!AN$8</f>
        <v/>
      </c>
      <c r="AO259" s="5">
        <f>AO258*Eras!AO$8</f>
        <v/>
      </c>
      <c r="AP259" s="5">
        <f>AP258*Eras!AP$8</f>
        <v/>
      </c>
      <c r="AQ259" s="5">
        <f>AQ258*Eras!AQ$8</f>
        <v/>
      </c>
      <c r="AR259" s="5">
        <f>AR258*Eras!AR$8</f>
        <v/>
      </c>
      <c r="AS259" s="5">
        <f>AS258*Eras!AS$8</f>
        <v/>
      </c>
      <c r="AT259" s="5">
        <f>AT258*Eras!AT$8</f>
        <v/>
      </c>
      <c r="AU259" s="5">
        <f>AU258*Eras!AU$8</f>
        <v/>
      </c>
      <c r="AV259" s="5">
        <f>AV258*Eras!AV$8</f>
        <v/>
      </c>
      <c r="AW259" s="5">
        <f>AW258*Eras!AW$8</f>
        <v/>
      </c>
      <c r="AX259" s="5">
        <f>AX258*Eras!AX$8</f>
        <v/>
      </c>
      <c r="AY259" s="5">
        <f>AY258*Eras!AY$8</f>
        <v/>
      </c>
      <c r="AZ259" s="5">
        <f>AZ258*Eras!AZ$8</f>
        <v/>
      </c>
      <c r="BA259" s="5">
        <f>BA258*Eras!BA$8</f>
        <v/>
      </c>
      <c r="BB259" s="5">
        <f>BB258*Eras!BB$8</f>
        <v/>
      </c>
      <c r="BC259" s="5">
        <f>BC258*Eras!BC$8</f>
        <v/>
      </c>
      <c r="BD259" s="5">
        <f>BD258*Eras!BD$8</f>
        <v/>
      </c>
      <c r="BE259" s="5">
        <f>BE258*Eras!BE$8</f>
        <v/>
      </c>
      <c r="BF259" s="5">
        <f>BF258*Eras!BF$8</f>
        <v/>
      </c>
      <c r="BG259" s="5">
        <f>BG258*Eras!BG$8</f>
        <v/>
      </c>
      <c r="BH259" s="5">
        <f>BH258*Eras!BH$8</f>
        <v/>
      </c>
      <c r="BI259" s="5">
        <f>BI258*Eras!BI$8</f>
        <v/>
      </c>
      <c r="BJ259" s="5">
        <f>BJ258*Eras!BJ$8</f>
        <v/>
      </c>
      <c r="BK259" s="5">
        <f>BK258*Eras!BK$8</f>
        <v/>
      </c>
      <c r="BL259" s="5">
        <f>BL258*Eras!BL$8</f>
        <v/>
      </c>
      <c r="BM259" s="5">
        <f>BM258*Eras!BM$8</f>
        <v/>
      </c>
      <c r="BN259" s="5">
        <f>BN258*Eras!BN$8</f>
        <v/>
      </c>
      <c r="BO259" s="5">
        <f>BO258*Eras!BO$8</f>
        <v/>
      </c>
      <c r="BP259" s="5">
        <f>BP258*Eras!BP$8</f>
        <v/>
      </c>
      <c r="BQ259" s="5">
        <f>BQ258*Eras!BQ$8</f>
        <v/>
      </c>
      <c r="BR259" s="5">
        <f>BR258*Eras!BR$8</f>
        <v/>
      </c>
      <c r="BS259" s="5">
        <f>BS258*Eras!BS$8</f>
        <v/>
      </c>
      <c r="BT259" s="5">
        <f>BT258*Eras!BT$8</f>
        <v/>
      </c>
      <c r="BU259" s="5">
        <f>BU258*Eras!BU$8</f>
        <v/>
      </c>
      <c r="BV259" s="5">
        <f>BV258*Eras!BV$8</f>
        <v/>
      </c>
    </row>
    <row r="260">
      <c r="A260" t="inlineStr">
        <is>
          <t>direct paid starts</t>
        </is>
      </c>
      <c r="B260" t="inlineStr">
        <is>
          <t>ROW|NITRO_A</t>
        </is>
      </c>
      <c r="C260" s="5">
        <f>C258-C259</f>
        <v/>
      </c>
      <c r="D260" s="5">
        <f>D258-D259</f>
        <v/>
      </c>
      <c r="E260" s="5">
        <f>E258-E259</f>
        <v/>
      </c>
      <c r="F260" s="5">
        <f>F258-F259</f>
        <v/>
      </c>
      <c r="G260" s="5">
        <f>G258-G259</f>
        <v/>
      </c>
      <c r="H260" s="5">
        <f>H258-H259</f>
        <v/>
      </c>
      <c r="I260" s="5">
        <f>I258-I259</f>
        <v/>
      </c>
      <c r="J260" s="5">
        <f>J258-J259</f>
        <v/>
      </c>
      <c r="K260" s="5">
        <f>K258-K259</f>
        <v/>
      </c>
      <c r="L260" s="5">
        <f>L258-L259</f>
        <v/>
      </c>
      <c r="M260" s="5">
        <f>M258-M259</f>
        <v/>
      </c>
      <c r="N260" s="5">
        <f>N258-N259</f>
        <v/>
      </c>
      <c r="O260" s="5">
        <f>O258-O259</f>
        <v/>
      </c>
      <c r="P260" s="5">
        <f>P258-P259</f>
        <v/>
      </c>
      <c r="Q260" s="5">
        <f>Q258-Q259</f>
        <v/>
      </c>
      <c r="R260" s="5">
        <f>R258-R259</f>
        <v/>
      </c>
      <c r="S260" s="5">
        <f>S258-S259</f>
        <v/>
      </c>
      <c r="T260" s="5">
        <f>T258-T259</f>
        <v/>
      </c>
      <c r="U260" s="5">
        <f>U258-U259</f>
        <v/>
      </c>
      <c r="V260" s="5">
        <f>V258-V259</f>
        <v/>
      </c>
      <c r="W260" s="5">
        <f>W258-W259</f>
        <v/>
      </c>
      <c r="X260" s="5">
        <f>X258-X259</f>
        <v/>
      </c>
      <c r="Y260" s="5">
        <f>Y258-Y259</f>
        <v/>
      </c>
      <c r="Z260" s="5">
        <f>Z258-Z259</f>
        <v/>
      </c>
      <c r="AA260" s="5">
        <f>AA258-AA259</f>
        <v/>
      </c>
      <c r="AB260" s="5">
        <f>AB258-AB259</f>
        <v/>
      </c>
      <c r="AC260" s="5">
        <f>AC258-AC259</f>
        <v/>
      </c>
      <c r="AD260" s="5">
        <f>AD258-AD259</f>
        <v/>
      </c>
      <c r="AE260" s="5">
        <f>AE258-AE259</f>
        <v/>
      </c>
      <c r="AF260" s="5">
        <f>AF258-AF259</f>
        <v/>
      </c>
      <c r="AG260" s="5">
        <f>AG258-AG259</f>
        <v/>
      </c>
      <c r="AH260" s="5">
        <f>AH258-AH259</f>
        <v/>
      </c>
      <c r="AI260" s="5">
        <f>AI258-AI259</f>
        <v/>
      </c>
      <c r="AJ260" s="5">
        <f>AJ258-AJ259</f>
        <v/>
      </c>
      <c r="AK260" s="5">
        <f>AK258-AK259</f>
        <v/>
      </c>
      <c r="AL260" s="5">
        <f>AL258-AL259</f>
        <v/>
      </c>
      <c r="AM260" s="5">
        <f>AM258-AM259</f>
        <v/>
      </c>
      <c r="AN260" s="5">
        <f>AN258-AN259</f>
        <v/>
      </c>
      <c r="AO260" s="5">
        <f>AO258-AO259</f>
        <v/>
      </c>
      <c r="AP260" s="5">
        <f>AP258-AP259</f>
        <v/>
      </c>
      <c r="AQ260" s="5">
        <f>AQ258-AQ259</f>
        <v/>
      </c>
      <c r="AR260" s="5">
        <f>AR258-AR259</f>
        <v/>
      </c>
      <c r="AS260" s="5">
        <f>AS258-AS259</f>
        <v/>
      </c>
      <c r="AT260" s="5">
        <f>AT258-AT259</f>
        <v/>
      </c>
      <c r="AU260" s="5">
        <f>AU258-AU259</f>
        <v/>
      </c>
      <c r="AV260" s="5">
        <f>AV258-AV259</f>
        <v/>
      </c>
      <c r="AW260" s="5">
        <f>AW258-AW259</f>
        <v/>
      </c>
      <c r="AX260" s="5">
        <f>AX258-AX259</f>
        <v/>
      </c>
      <c r="AY260" s="5">
        <f>AY258-AY259</f>
        <v/>
      </c>
      <c r="AZ260" s="5">
        <f>AZ258-AZ259</f>
        <v/>
      </c>
      <c r="BA260" s="5">
        <f>BA258-BA259</f>
        <v/>
      </c>
      <c r="BB260" s="5">
        <f>BB258-BB259</f>
        <v/>
      </c>
      <c r="BC260" s="5">
        <f>BC258-BC259</f>
        <v/>
      </c>
      <c r="BD260" s="5">
        <f>BD258-BD259</f>
        <v/>
      </c>
      <c r="BE260" s="5">
        <f>BE258-BE259</f>
        <v/>
      </c>
      <c r="BF260" s="5">
        <f>BF258-BF259</f>
        <v/>
      </c>
      <c r="BG260" s="5">
        <f>BG258-BG259</f>
        <v/>
      </c>
      <c r="BH260" s="5">
        <f>BH258-BH259</f>
        <v/>
      </c>
      <c r="BI260" s="5">
        <f>BI258-BI259</f>
        <v/>
      </c>
      <c r="BJ260" s="5">
        <f>BJ258-BJ259</f>
        <v/>
      </c>
      <c r="BK260" s="5">
        <f>BK258-BK259</f>
        <v/>
      </c>
      <c r="BL260" s="5">
        <f>BL258-BL259</f>
        <v/>
      </c>
      <c r="BM260" s="5">
        <f>BM258-BM259</f>
        <v/>
      </c>
      <c r="BN260" s="5">
        <f>BN258-BN259</f>
        <v/>
      </c>
      <c r="BO260" s="5">
        <f>BO258-BO259</f>
        <v/>
      </c>
      <c r="BP260" s="5">
        <f>BP258-BP259</f>
        <v/>
      </c>
      <c r="BQ260" s="5">
        <f>BQ258-BQ259</f>
        <v/>
      </c>
      <c r="BR260" s="5">
        <f>BR258-BR259</f>
        <v/>
      </c>
      <c r="BS260" s="5">
        <f>BS258-BS259</f>
        <v/>
      </c>
      <c r="BT260" s="5">
        <f>BT258-BT259</f>
        <v/>
      </c>
      <c r="BU260" s="5">
        <f>BU258-BU259</f>
        <v/>
      </c>
      <c r="BV260" s="5">
        <f>BV258-BV259</f>
        <v/>
      </c>
    </row>
    <row r="261">
      <c r="A261" t="inlineStr">
        <is>
          <t>trials ending</t>
        </is>
      </c>
      <c r="B261" t="inlineStr">
        <is>
          <t>ROW|NITRO_A</t>
        </is>
      </c>
      <c r="C261" s="5">
        <f>IF(C$2&gt;=Params!$B$6,INDEX($C$259:$BV$259,C$2-Params!$B$6+1),0)</f>
        <v/>
      </c>
      <c r="D261" s="5">
        <f>IF(D$2&gt;=Params!$B$6,INDEX($C$259:$BV$259,D$2-Params!$B$6+1),0)</f>
        <v/>
      </c>
      <c r="E261" s="5">
        <f>IF(E$2&gt;=Params!$B$6,INDEX($C$259:$BV$259,E$2-Params!$B$6+1),0)</f>
        <v/>
      </c>
      <c r="F261" s="5">
        <f>IF(F$2&gt;=Params!$B$6,INDEX($C$259:$BV$259,F$2-Params!$B$6+1),0)</f>
        <v/>
      </c>
      <c r="G261" s="5">
        <f>IF(G$2&gt;=Params!$B$6,INDEX($C$259:$BV$259,G$2-Params!$B$6+1),0)</f>
        <v/>
      </c>
      <c r="H261" s="5">
        <f>IF(H$2&gt;=Params!$B$6,INDEX($C$259:$BV$259,H$2-Params!$B$6+1),0)</f>
        <v/>
      </c>
      <c r="I261" s="5">
        <f>IF(I$2&gt;=Params!$B$6,INDEX($C$259:$BV$259,I$2-Params!$B$6+1),0)</f>
        <v/>
      </c>
      <c r="J261" s="5">
        <f>IF(J$2&gt;=Params!$B$6,INDEX($C$259:$BV$259,J$2-Params!$B$6+1),0)</f>
        <v/>
      </c>
      <c r="K261" s="5">
        <f>IF(K$2&gt;=Params!$B$6,INDEX($C$259:$BV$259,K$2-Params!$B$6+1),0)</f>
        <v/>
      </c>
      <c r="L261" s="5">
        <f>IF(L$2&gt;=Params!$B$6,INDEX($C$259:$BV$259,L$2-Params!$B$6+1),0)</f>
        <v/>
      </c>
      <c r="M261" s="5">
        <f>IF(M$2&gt;=Params!$B$6,INDEX($C$259:$BV$259,M$2-Params!$B$6+1),0)</f>
        <v/>
      </c>
      <c r="N261" s="5">
        <f>IF(N$2&gt;=Params!$B$6,INDEX($C$259:$BV$259,N$2-Params!$B$6+1),0)</f>
        <v/>
      </c>
      <c r="O261" s="5">
        <f>IF(O$2&gt;=Params!$B$6,INDEX($C$259:$BV$259,O$2-Params!$B$6+1),0)</f>
        <v/>
      </c>
      <c r="P261" s="5">
        <f>IF(P$2&gt;=Params!$B$6,INDEX($C$259:$BV$259,P$2-Params!$B$6+1),0)</f>
        <v/>
      </c>
      <c r="Q261" s="5">
        <f>IF(Q$2&gt;=Params!$B$6,INDEX($C$259:$BV$259,Q$2-Params!$B$6+1),0)</f>
        <v/>
      </c>
      <c r="R261" s="5">
        <f>IF(R$2&gt;=Params!$B$6,INDEX($C$259:$BV$259,R$2-Params!$B$6+1),0)</f>
        <v/>
      </c>
      <c r="S261" s="5">
        <f>IF(S$2&gt;=Params!$B$6,INDEX($C$259:$BV$259,S$2-Params!$B$6+1),0)</f>
        <v/>
      </c>
      <c r="T261" s="5">
        <f>IF(T$2&gt;=Params!$B$6,INDEX($C$259:$BV$259,T$2-Params!$B$6+1),0)</f>
        <v/>
      </c>
      <c r="U261" s="5">
        <f>IF(U$2&gt;=Params!$B$6,INDEX($C$259:$BV$259,U$2-Params!$B$6+1),0)</f>
        <v/>
      </c>
      <c r="V261" s="5">
        <f>IF(V$2&gt;=Params!$B$6,INDEX($C$259:$BV$259,V$2-Params!$B$6+1),0)</f>
        <v/>
      </c>
      <c r="W261" s="5">
        <f>IF(W$2&gt;=Params!$B$6,INDEX($C$259:$BV$259,W$2-Params!$B$6+1),0)</f>
        <v/>
      </c>
      <c r="X261" s="5">
        <f>IF(X$2&gt;=Params!$B$6,INDEX($C$259:$BV$259,X$2-Params!$B$6+1),0)</f>
        <v/>
      </c>
      <c r="Y261" s="5">
        <f>IF(Y$2&gt;=Params!$B$6,INDEX($C$259:$BV$259,Y$2-Params!$B$6+1),0)</f>
        <v/>
      </c>
      <c r="Z261" s="5">
        <f>IF(Z$2&gt;=Params!$B$6,INDEX($C$259:$BV$259,Z$2-Params!$B$6+1),0)</f>
        <v/>
      </c>
      <c r="AA261" s="5">
        <f>IF(AA$2&gt;=Params!$B$6,INDEX($C$259:$BV$259,AA$2-Params!$B$6+1),0)</f>
        <v/>
      </c>
      <c r="AB261" s="5">
        <f>IF(AB$2&gt;=Params!$B$6,INDEX($C$259:$BV$259,AB$2-Params!$B$6+1),0)</f>
        <v/>
      </c>
      <c r="AC261" s="5">
        <f>IF(AC$2&gt;=Params!$B$6,INDEX($C$259:$BV$259,AC$2-Params!$B$6+1),0)</f>
        <v/>
      </c>
      <c r="AD261" s="5">
        <f>IF(AD$2&gt;=Params!$B$6,INDEX($C$259:$BV$259,AD$2-Params!$B$6+1),0)</f>
        <v/>
      </c>
      <c r="AE261" s="5">
        <f>IF(AE$2&gt;=Params!$B$6,INDEX($C$259:$BV$259,AE$2-Params!$B$6+1),0)</f>
        <v/>
      </c>
      <c r="AF261" s="5">
        <f>IF(AF$2&gt;=Params!$B$6,INDEX($C$259:$BV$259,AF$2-Params!$B$6+1),0)</f>
        <v/>
      </c>
      <c r="AG261" s="5">
        <f>IF(AG$2&gt;=Params!$B$6,INDEX($C$259:$BV$259,AG$2-Params!$B$6+1),0)</f>
        <v/>
      </c>
      <c r="AH261" s="5">
        <f>IF(AH$2&gt;=Params!$B$6,INDEX($C$259:$BV$259,AH$2-Params!$B$6+1),0)</f>
        <v/>
      </c>
      <c r="AI261" s="5">
        <f>IF(AI$2&gt;=Params!$B$6,INDEX($C$259:$BV$259,AI$2-Params!$B$6+1),0)</f>
        <v/>
      </c>
      <c r="AJ261" s="5">
        <f>IF(AJ$2&gt;=Params!$B$6,INDEX($C$259:$BV$259,AJ$2-Params!$B$6+1),0)</f>
        <v/>
      </c>
      <c r="AK261" s="5">
        <f>IF(AK$2&gt;=Params!$B$6,INDEX($C$259:$BV$259,AK$2-Params!$B$6+1),0)</f>
        <v/>
      </c>
      <c r="AL261" s="5">
        <f>IF(AL$2&gt;=Params!$B$6,INDEX($C$259:$BV$259,AL$2-Params!$B$6+1),0)</f>
        <v/>
      </c>
      <c r="AM261" s="5">
        <f>IF(AM$2&gt;=Params!$B$6,INDEX($C$259:$BV$259,AM$2-Params!$B$6+1),0)</f>
        <v/>
      </c>
      <c r="AN261" s="5">
        <f>IF(AN$2&gt;=Params!$B$6,INDEX($C$259:$BV$259,AN$2-Params!$B$6+1),0)</f>
        <v/>
      </c>
      <c r="AO261" s="5">
        <f>IF(AO$2&gt;=Params!$B$6,INDEX($C$259:$BV$259,AO$2-Params!$B$6+1),0)</f>
        <v/>
      </c>
      <c r="AP261" s="5">
        <f>IF(AP$2&gt;=Params!$B$6,INDEX($C$259:$BV$259,AP$2-Params!$B$6+1),0)</f>
        <v/>
      </c>
      <c r="AQ261" s="5">
        <f>IF(AQ$2&gt;=Params!$B$6,INDEX($C$259:$BV$259,AQ$2-Params!$B$6+1),0)</f>
        <v/>
      </c>
      <c r="AR261" s="5">
        <f>IF(AR$2&gt;=Params!$B$6,INDEX($C$259:$BV$259,AR$2-Params!$B$6+1),0)</f>
        <v/>
      </c>
      <c r="AS261" s="5">
        <f>IF(AS$2&gt;=Params!$B$6,INDEX($C$259:$BV$259,AS$2-Params!$B$6+1),0)</f>
        <v/>
      </c>
      <c r="AT261" s="5">
        <f>IF(AT$2&gt;=Params!$B$6,INDEX($C$259:$BV$259,AT$2-Params!$B$6+1),0)</f>
        <v/>
      </c>
      <c r="AU261" s="5">
        <f>IF(AU$2&gt;=Params!$B$6,INDEX($C$259:$BV$259,AU$2-Params!$B$6+1),0)</f>
        <v/>
      </c>
      <c r="AV261" s="5">
        <f>IF(AV$2&gt;=Params!$B$6,INDEX($C$259:$BV$259,AV$2-Params!$B$6+1),0)</f>
        <v/>
      </c>
      <c r="AW261" s="5">
        <f>IF(AW$2&gt;=Params!$B$6,INDEX($C$259:$BV$259,AW$2-Params!$B$6+1),0)</f>
        <v/>
      </c>
      <c r="AX261" s="5">
        <f>IF(AX$2&gt;=Params!$B$6,INDEX($C$259:$BV$259,AX$2-Params!$B$6+1),0)</f>
        <v/>
      </c>
      <c r="AY261" s="5">
        <f>IF(AY$2&gt;=Params!$B$6,INDEX($C$259:$BV$259,AY$2-Params!$B$6+1),0)</f>
        <v/>
      </c>
      <c r="AZ261" s="5">
        <f>IF(AZ$2&gt;=Params!$B$6,INDEX($C$259:$BV$259,AZ$2-Params!$B$6+1),0)</f>
        <v/>
      </c>
      <c r="BA261" s="5">
        <f>IF(BA$2&gt;=Params!$B$6,INDEX($C$259:$BV$259,BA$2-Params!$B$6+1),0)</f>
        <v/>
      </c>
      <c r="BB261" s="5">
        <f>IF(BB$2&gt;=Params!$B$6,INDEX($C$259:$BV$259,BB$2-Params!$B$6+1),0)</f>
        <v/>
      </c>
      <c r="BC261" s="5">
        <f>IF(BC$2&gt;=Params!$B$6,INDEX($C$259:$BV$259,BC$2-Params!$B$6+1),0)</f>
        <v/>
      </c>
      <c r="BD261" s="5">
        <f>IF(BD$2&gt;=Params!$B$6,INDEX($C$259:$BV$259,BD$2-Params!$B$6+1),0)</f>
        <v/>
      </c>
      <c r="BE261" s="5">
        <f>IF(BE$2&gt;=Params!$B$6,INDEX($C$259:$BV$259,BE$2-Params!$B$6+1),0)</f>
        <v/>
      </c>
      <c r="BF261" s="5">
        <f>IF(BF$2&gt;=Params!$B$6,INDEX($C$259:$BV$259,BF$2-Params!$B$6+1),0)</f>
        <v/>
      </c>
      <c r="BG261" s="5">
        <f>IF(BG$2&gt;=Params!$B$6,INDEX($C$259:$BV$259,BG$2-Params!$B$6+1),0)</f>
        <v/>
      </c>
      <c r="BH261" s="5">
        <f>IF(BH$2&gt;=Params!$B$6,INDEX($C$259:$BV$259,BH$2-Params!$B$6+1),0)</f>
        <v/>
      </c>
      <c r="BI261" s="5">
        <f>IF(BI$2&gt;=Params!$B$6,INDEX($C$259:$BV$259,BI$2-Params!$B$6+1),0)</f>
        <v/>
      </c>
      <c r="BJ261" s="5">
        <f>IF(BJ$2&gt;=Params!$B$6,INDEX($C$259:$BV$259,BJ$2-Params!$B$6+1),0)</f>
        <v/>
      </c>
      <c r="BK261" s="5">
        <f>IF(BK$2&gt;=Params!$B$6,INDEX($C$259:$BV$259,BK$2-Params!$B$6+1),0)</f>
        <v/>
      </c>
      <c r="BL261" s="5">
        <f>IF(BL$2&gt;=Params!$B$6,INDEX($C$259:$BV$259,BL$2-Params!$B$6+1),0)</f>
        <v/>
      </c>
      <c r="BM261" s="5">
        <f>IF(BM$2&gt;=Params!$B$6,INDEX($C$259:$BV$259,BM$2-Params!$B$6+1),0)</f>
        <v/>
      </c>
      <c r="BN261" s="5">
        <f>IF(BN$2&gt;=Params!$B$6,INDEX($C$259:$BV$259,BN$2-Params!$B$6+1),0)</f>
        <v/>
      </c>
      <c r="BO261" s="5">
        <f>IF(BO$2&gt;=Params!$B$6,INDEX($C$259:$BV$259,BO$2-Params!$B$6+1),0)</f>
        <v/>
      </c>
      <c r="BP261" s="5">
        <f>IF(BP$2&gt;=Params!$B$6,INDEX($C$259:$BV$259,BP$2-Params!$B$6+1),0)</f>
        <v/>
      </c>
      <c r="BQ261" s="5">
        <f>IF(BQ$2&gt;=Params!$B$6,INDEX($C$259:$BV$259,BQ$2-Params!$B$6+1),0)</f>
        <v/>
      </c>
      <c r="BR261" s="5">
        <f>IF(BR$2&gt;=Params!$B$6,INDEX($C$259:$BV$259,BR$2-Params!$B$6+1),0)</f>
        <v/>
      </c>
      <c r="BS261" s="5">
        <f>IF(BS$2&gt;=Params!$B$6,INDEX($C$259:$BV$259,BS$2-Params!$B$6+1),0)</f>
        <v/>
      </c>
      <c r="BT261" s="5">
        <f>IF(BT$2&gt;=Params!$B$6,INDEX($C$259:$BV$259,BT$2-Params!$B$6+1),0)</f>
        <v/>
      </c>
      <c r="BU261" s="5">
        <f>IF(BU$2&gt;=Params!$B$6,INDEX($C$259:$BV$259,BU$2-Params!$B$6+1),0)</f>
        <v/>
      </c>
      <c r="BV261" s="5">
        <f>IF(BV$2&gt;=Params!$B$6,INDEX($C$259:$BV$259,BV$2-Params!$B$6+1),0)</f>
        <v/>
      </c>
    </row>
    <row r="262">
      <c r="A262" t="inlineStr">
        <is>
          <t>trial starts x conversion</t>
        </is>
      </c>
      <c r="B262" t="inlineStr">
        <is>
          <t>ROW|NITRO_A</t>
        </is>
      </c>
      <c r="C262" s="5">
        <f>C259*Eras!C$9</f>
        <v/>
      </c>
      <c r="D262" s="5">
        <f>D259*Eras!D$9</f>
        <v/>
      </c>
      <c r="E262" s="5">
        <f>E259*Eras!E$9</f>
        <v/>
      </c>
      <c r="F262" s="5">
        <f>F259*Eras!F$9</f>
        <v/>
      </c>
      <c r="G262" s="5">
        <f>G259*Eras!G$9</f>
        <v/>
      </c>
      <c r="H262" s="5">
        <f>H259*Eras!H$9</f>
        <v/>
      </c>
      <c r="I262" s="5">
        <f>I259*Eras!I$9</f>
        <v/>
      </c>
      <c r="J262" s="5">
        <f>J259*Eras!J$9</f>
        <v/>
      </c>
      <c r="K262" s="5">
        <f>K259*Eras!K$9</f>
        <v/>
      </c>
      <c r="L262" s="5">
        <f>L259*Eras!L$9</f>
        <v/>
      </c>
      <c r="M262" s="5">
        <f>M259*Eras!M$9</f>
        <v/>
      </c>
      <c r="N262" s="5">
        <f>N259*Eras!N$9</f>
        <v/>
      </c>
      <c r="O262" s="5">
        <f>O259*Eras!O$9</f>
        <v/>
      </c>
      <c r="P262" s="5">
        <f>P259*Eras!P$9</f>
        <v/>
      </c>
      <c r="Q262" s="5">
        <f>Q259*Eras!Q$9</f>
        <v/>
      </c>
      <c r="R262" s="5">
        <f>R259*Eras!R$9</f>
        <v/>
      </c>
      <c r="S262" s="5">
        <f>S259*Eras!S$9</f>
        <v/>
      </c>
      <c r="T262" s="5">
        <f>T259*Eras!T$9</f>
        <v/>
      </c>
      <c r="U262" s="5">
        <f>U259*Eras!U$9</f>
        <v/>
      </c>
      <c r="V262" s="5">
        <f>V259*Eras!V$9</f>
        <v/>
      </c>
      <c r="W262" s="5">
        <f>W259*Eras!W$9</f>
        <v/>
      </c>
      <c r="X262" s="5">
        <f>X259*Eras!X$9</f>
        <v/>
      </c>
      <c r="Y262" s="5">
        <f>Y259*Eras!Y$9</f>
        <v/>
      </c>
      <c r="Z262" s="5">
        <f>Z259*Eras!Z$9</f>
        <v/>
      </c>
      <c r="AA262" s="5">
        <f>AA259*Eras!AA$9</f>
        <v/>
      </c>
      <c r="AB262" s="5">
        <f>AB259*Eras!AB$9</f>
        <v/>
      </c>
      <c r="AC262" s="5">
        <f>AC259*Eras!AC$9</f>
        <v/>
      </c>
      <c r="AD262" s="5">
        <f>AD259*Eras!AD$9</f>
        <v/>
      </c>
      <c r="AE262" s="5">
        <f>AE259*Eras!AE$9</f>
        <v/>
      </c>
      <c r="AF262" s="5">
        <f>AF259*Eras!AF$9</f>
        <v/>
      </c>
      <c r="AG262" s="5">
        <f>AG259*Eras!AG$9</f>
        <v/>
      </c>
      <c r="AH262" s="5">
        <f>AH259*Eras!AH$9</f>
        <v/>
      </c>
      <c r="AI262" s="5">
        <f>AI259*Eras!AI$9</f>
        <v/>
      </c>
      <c r="AJ262" s="5">
        <f>AJ259*Eras!AJ$9</f>
        <v/>
      </c>
      <c r="AK262" s="5">
        <f>AK259*Eras!AK$9</f>
        <v/>
      </c>
      <c r="AL262" s="5">
        <f>AL259*Eras!AL$9</f>
        <v/>
      </c>
      <c r="AM262" s="5">
        <f>AM259*Eras!AM$9</f>
        <v/>
      </c>
      <c r="AN262" s="5">
        <f>AN259*Eras!AN$9</f>
        <v/>
      </c>
      <c r="AO262" s="5">
        <f>AO259*Eras!AO$9</f>
        <v/>
      </c>
      <c r="AP262" s="5">
        <f>AP259*Eras!AP$9</f>
        <v/>
      </c>
      <c r="AQ262" s="5">
        <f>AQ259*Eras!AQ$9</f>
        <v/>
      </c>
      <c r="AR262" s="5">
        <f>AR259*Eras!AR$9</f>
        <v/>
      </c>
      <c r="AS262" s="5">
        <f>AS259*Eras!AS$9</f>
        <v/>
      </c>
      <c r="AT262" s="5">
        <f>AT259*Eras!AT$9</f>
        <v/>
      </c>
      <c r="AU262" s="5">
        <f>AU259*Eras!AU$9</f>
        <v/>
      </c>
      <c r="AV262" s="5">
        <f>AV259*Eras!AV$9</f>
        <v/>
      </c>
      <c r="AW262" s="5">
        <f>AW259*Eras!AW$9</f>
        <v/>
      </c>
      <c r="AX262" s="5">
        <f>AX259*Eras!AX$9</f>
        <v/>
      </c>
      <c r="AY262" s="5">
        <f>AY259*Eras!AY$9</f>
        <v/>
      </c>
      <c r="AZ262" s="5">
        <f>AZ259*Eras!AZ$9</f>
        <v/>
      </c>
      <c r="BA262" s="5">
        <f>BA259*Eras!BA$9</f>
        <v/>
      </c>
      <c r="BB262" s="5">
        <f>BB259*Eras!BB$9</f>
        <v/>
      </c>
      <c r="BC262" s="5">
        <f>BC259*Eras!BC$9</f>
        <v/>
      </c>
      <c r="BD262" s="5">
        <f>BD259*Eras!BD$9</f>
        <v/>
      </c>
      <c r="BE262" s="5">
        <f>BE259*Eras!BE$9</f>
        <v/>
      </c>
      <c r="BF262" s="5">
        <f>BF259*Eras!BF$9</f>
        <v/>
      </c>
      <c r="BG262" s="5">
        <f>BG259*Eras!BG$9</f>
        <v/>
      </c>
      <c r="BH262" s="5">
        <f>BH259*Eras!BH$9</f>
        <v/>
      </c>
      <c r="BI262" s="5">
        <f>BI259*Eras!BI$9</f>
        <v/>
      </c>
      <c r="BJ262" s="5">
        <f>BJ259*Eras!BJ$9</f>
        <v/>
      </c>
      <c r="BK262" s="5">
        <f>BK259*Eras!BK$9</f>
        <v/>
      </c>
      <c r="BL262" s="5">
        <f>BL259*Eras!BL$9</f>
        <v/>
      </c>
      <c r="BM262" s="5">
        <f>BM259*Eras!BM$9</f>
        <v/>
      </c>
      <c r="BN262" s="5">
        <f>BN259*Eras!BN$9</f>
        <v/>
      </c>
      <c r="BO262" s="5">
        <f>BO259*Eras!BO$9</f>
        <v/>
      </c>
      <c r="BP262" s="5">
        <f>BP259*Eras!BP$9</f>
        <v/>
      </c>
      <c r="BQ262" s="5">
        <f>BQ259*Eras!BQ$9</f>
        <v/>
      </c>
      <c r="BR262" s="5">
        <f>BR259*Eras!BR$9</f>
        <v/>
      </c>
      <c r="BS262" s="5">
        <f>BS259*Eras!BS$9</f>
        <v/>
      </c>
      <c r="BT262" s="5">
        <f>BT259*Eras!BT$9</f>
        <v/>
      </c>
      <c r="BU262" s="5">
        <f>BU259*Eras!BU$9</f>
        <v/>
      </c>
      <c r="BV262" s="5">
        <f>BV259*Eras!BV$9</f>
        <v/>
      </c>
    </row>
    <row r="263">
      <c r="A263" t="inlineStr">
        <is>
          <t>trials converted</t>
        </is>
      </c>
      <c r="B263" t="inlineStr">
        <is>
          <t>ROW|NITRO_A</t>
        </is>
      </c>
      <c r="C263" s="5">
        <f>IF(C$2&gt;=Params!$B$6,INDEX($C$262:$BV$262,C$2-Params!$B$6+1),0)</f>
        <v/>
      </c>
      <c r="D263" s="5">
        <f>IF(D$2&gt;=Params!$B$6,INDEX($C$262:$BV$262,D$2-Params!$B$6+1),0)</f>
        <v/>
      </c>
      <c r="E263" s="5">
        <f>IF(E$2&gt;=Params!$B$6,INDEX($C$262:$BV$262,E$2-Params!$B$6+1),0)</f>
        <v/>
      </c>
      <c r="F263" s="5">
        <f>IF(F$2&gt;=Params!$B$6,INDEX($C$262:$BV$262,F$2-Params!$B$6+1),0)</f>
        <v/>
      </c>
      <c r="G263" s="5">
        <f>IF(G$2&gt;=Params!$B$6,INDEX($C$262:$BV$262,G$2-Params!$B$6+1),0)</f>
        <v/>
      </c>
      <c r="H263" s="5">
        <f>IF(H$2&gt;=Params!$B$6,INDEX($C$262:$BV$262,H$2-Params!$B$6+1),0)</f>
        <v/>
      </c>
      <c r="I263" s="5">
        <f>IF(I$2&gt;=Params!$B$6,INDEX($C$262:$BV$262,I$2-Params!$B$6+1),0)</f>
        <v/>
      </c>
      <c r="J263" s="5">
        <f>IF(J$2&gt;=Params!$B$6,INDEX($C$262:$BV$262,J$2-Params!$B$6+1),0)</f>
        <v/>
      </c>
      <c r="K263" s="5">
        <f>IF(K$2&gt;=Params!$B$6,INDEX($C$262:$BV$262,K$2-Params!$B$6+1),0)</f>
        <v/>
      </c>
      <c r="L263" s="5">
        <f>IF(L$2&gt;=Params!$B$6,INDEX($C$262:$BV$262,L$2-Params!$B$6+1),0)</f>
        <v/>
      </c>
      <c r="M263" s="5">
        <f>IF(M$2&gt;=Params!$B$6,INDEX($C$262:$BV$262,M$2-Params!$B$6+1),0)</f>
        <v/>
      </c>
      <c r="N263" s="5">
        <f>IF(N$2&gt;=Params!$B$6,INDEX($C$262:$BV$262,N$2-Params!$B$6+1),0)</f>
        <v/>
      </c>
      <c r="O263" s="5">
        <f>IF(O$2&gt;=Params!$B$6,INDEX($C$262:$BV$262,O$2-Params!$B$6+1),0)</f>
        <v/>
      </c>
      <c r="P263" s="5">
        <f>IF(P$2&gt;=Params!$B$6,INDEX($C$262:$BV$262,P$2-Params!$B$6+1),0)</f>
        <v/>
      </c>
      <c r="Q263" s="5">
        <f>IF(Q$2&gt;=Params!$B$6,INDEX($C$262:$BV$262,Q$2-Params!$B$6+1),0)</f>
        <v/>
      </c>
      <c r="R263" s="5">
        <f>IF(R$2&gt;=Params!$B$6,INDEX($C$262:$BV$262,R$2-Params!$B$6+1),0)</f>
        <v/>
      </c>
      <c r="S263" s="5">
        <f>IF(S$2&gt;=Params!$B$6,INDEX($C$262:$BV$262,S$2-Params!$B$6+1),0)</f>
        <v/>
      </c>
      <c r="T263" s="5">
        <f>IF(T$2&gt;=Params!$B$6,INDEX($C$262:$BV$262,T$2-Params!$B$6+1),0)</f>
        <v/>
      </c>
      <c r="U263" s="5">
        <f>IF(U$2&gt;=Params!$B$6,INDEX($C$262:$BV$262,U$2-Params!$B$6+1),0)</f>
        <v/>
      </c>
      <c r="V263" s="5">
        <f>IF(V$2&gt;=Params!$B$6,INDEX($C$262:$BV$262,V$2-Params!$B$6+1),0)</f>
        <v/>
      </c>
      <c r="W263" s="5">
        <f>IF(W$2&gt;=Params!$B$6,INDEX($C$262:$BV$262,W$2-Params!$B$6+1),0)</f>
        <v/>
      </c>
      <c r="X263" s="5">
        <f>IF(X$2&gt;=Params!$B$6,INDEX($C$262:$BV$262,X$2-Params!$B$6+1),0)</f>
        <v/>
      </c>
      <c r="Y263" s="5">
        <f>IF(Y$2&gt;=Params!$B$6,INDEX($C$262:$BV$262,Y$2-Params!$B$6+1),0)</f>
        <v/>
      </c>
      <c r="Z263" s="5">
        <f>IF(Z$2&gt;=Params!$B$6,INDEX($C$262:$BV$262,Z$2-Params!$B$6+1),0)</f>
        <v/>
      </c>
      <c r="AA263" s="5">
        <f>IF(AA$2&gt;=Params!$B$6,INDEX($C$262:$BV$262,AA$2-Params!$B$6+1),0)</f>
        <v/>
      </c>
      <c r="AB263" s="5">
        <f>IF(AB$2&gt;=Params!$B$6,INDEX($C$262:$BV$262,AB$2-Params!$B$6+1),0)</f>
        <v/>
      </c>
      <c r="AC263" s="5">
        <f>IF(AC$2&gt;=Params!$B$6,INDEX($C$262:$BV$262,AC$2-Params!$B$6+1),0)</f>
        <v/>
      </c>
      <c r="AD263" s="5">
        <f>IF(AD$2&gt;=Params!$B$6,INDEX($C$262:$BV$262,AD$2-Params!$B$6+1),0)</f>
        <v/>
      </c>
      <c r="AE263" s="5">
        <f>IF(AE$2&gt;=Params!$B$6,INDEX($C$262:$BV$262,AE$2-Params!$B$6+1),0)</f>
        <v/>
      </c>
      <c r="AF263" s="5">
        <f>IF(AF$2&gt;=Params!$B$6,INDEX($C$262:$BV$262,AF$2-Params!$B$6+1),0)</f>
        <v/>
      </c>
      <c r="AG263" s="5">
        <f>IF(AG$2&gt;=Params!$B$6,INDEX($C$262:$BV$262,AG$2-Params!$B$6+1),0)</f>
        <v/>
      </c>
      <c r="AH263" s="5">
        <f>IF(AH$2&gt;=Params!$B$6,INDEX($C$262:$BV$262,AH$2-Params!$B$6+1),0)</f>
        <v/>
      </c>
      <c r="AI263" s="5">
        <f>IF(AI$2&gt;=Params!$B$6,INDEX($C$262:$BV$262,AI$2-Params!$B$6+1),0)</f>
        <v/>
      </c>
      <c r="AJ263" s="5">
        <f>IF(AJ$2&gt;=Params!$B$6,INDEX($C$262:$BV$262,AJ$2-Params!$B$6+1),0)</f>
        <v/>
      </c>
      <c r="AK263" s="5">
        <f>IF(AK$2&gt;=Params!$B$6,INDEX($C$262:$BV$262,AK$2-Params!$B$6+1),0)</f>
        <v/>
      </c>
      <c r="AL263" s="5">
        <f>IF(AL$2&gt;=Params!$B$6,INDEX($C$262:$BV$262,AL$2-Params!$B$6+1),0)</f>
        <v/>
      </c>
      <c r="AM263" s="5">
        <f>IF(AM$2&gt;=Params!$B$6,INDEX($C$262:$BV$262,AM$2-Params!$B$6+1),0)</f>
        <v/>
      </c>
      <c r="AN263" s="5">
        <f>IF(AN$2&gt;=Params!$B$6,INDEX($C$262:$BV$262,AN$2-Params!$B$6+1),0)</f>
        <v/>
      </c>
      <c r="AO263" s="5">
        <f>IF(AO$2&gt;=Params!$B$6,INDEX($C$262:$BV$262,AO$2-Params!$B$6+1),0)</f>
        <v/>
      </c>
      <c r="AP263" s="5">
        <f>IF(AP$2&gt;=Params!$B$6,INDEX($C$262:$BV$262,AP$2-Params!$B$6+1),0)</f>
        <v/>
      </c>
      <c r="AQ263" s="5">
        <f>IF(AQ$2&gt;=Params!$B$6,INDEX($C$262:$BV$262,AQ$2-Params!$B$6+1),0)</f>
        <v/>
      </c>
      <c r="AR263" s="5">
        <f>IF(AR$2&gt;=Params!$B$6,INDEX($C$262:$BV$262,AR$2-Params!$B$6+1),0)</f>
        <v/>
      </c>
      <c r="AS263" s="5">
        <f>IF(AS$2&gt;=Params!$B$6,INDEX($C$262:$BV$262,AS$2-Params!$B$6+1),0)</f>
        <v/>
      </c>
      <c r="AT263" s="5">
        <f>IF(AT$2&gt;=Params!$B$6,INDEX($C$262:$BV$262,AT$2-Params!$B$6+1),0)</f>
        <v/>
      </c>
      <c r="AU263" s="5">
        <f>IF(AU$2&gt;=Params!$B$6,INDEX($C$262:$BV$262,AU$2-Params!$B$6+1),0)</f>
        <v/>
      </c>
      <c r="AV263" s="5">
        <f>IF(AV$2&gt;=Params!$B$6,INDEX($C$262:$BV$262,AV$2-Params!$B$6+1),0)</f>
        <v/>
      </c>
      <c r="AW263" s="5">
        <f>IF(AW$2&gt;=Params!$B$6,INDEX($C$262:$BV$262,AW$2-Params!$B$6+1),0)</f>
        <v/>
      </c>
      <c r="AX263" s="5">
        <f>IF(AX$2&gt;=Params!$B$6,INDEX($C$262:$BV$262,AX$2-Params!$B$6+1),0)</f>
        <v/>
      </c>
      <c r="AY263" s="5">
        <f>IF(AY$2&gt;=Params!$B$6,INDEX($C$262:$BV$262,AY$2-Params!$B$6+1),0)</f>
        <v/>
      </c>
      <c r="AZ263" s="5">
        <f>IF(AZ$2&gt;=Params!$B$6,INDEX($C$262:$BV$262,AZ$2-Params!$B$6+1),0)</f>
        <v/>
      </c>
      <c r="BA263" s="5">
        <f>IF(BA$2&gt;=Params!$B$6,INDEX($C$262:$BV$262,BA$2-Params!$B$6+1),0)</f>
        <v/>
      </c>
      <c r="BB263" s="5">
        <f>IF(BB$2&gt;=Params!$B$6,INDEX($C$262:$BV$262,BB$2-Params!$B$6+1),0)</f>
        <v/>
      </c>
      <c r="BC263" s="5">
        <f>IF(BC$2&gt;=Params!$B$6,INDEX($C$262:$BV$262,BC$2-Params!$B$6+1),0)</f>
        <v/>
      </c>
      <c r="BD263" s="5">
        <f>IF(BD$2&gt;=Params!$B$6,INDEX($C$262:$BV$262,BD$2-Params!$B$6+1),0)</f>
        <v/>
      </c>
      <c r="BE263" s="5">
        <f>IF(BE$2&gt;=Params!$B$6,INDEX($C$262:$BV$262,BE$2-Params!$B$6+1),0)</f>
        <v/>
      </c>
      <c r="BF263" s="5">
        <f>IF(BF$2&gt;=Params!$B$6,INDEX($C$262:$BV$262,BF$2-Params!$B$6+1),0)</f>
        <v/>
      </c>
      <c r="BG263" s="5">
        <f>IF(BG$2&gt;=Params!$B$6,INDEX($C$262:$BV$262,BG$2-Params!$B$6+1),0)</f>
        <v/>
      </c>
      <c r="BH263" s="5">
        <f>IF(BH$2&gt;=Params!$B$6,INDEX($C$262:$BV$262,BH$2-Params!$B$6+1),0)</f>
        <v/>
      </c>
      <c r="BI263" s="5">
        <f>IF(BI$2&gt;=Params!$B$6,INDEX($C$262:$BV$262,BI$2-Params!$B$6+1),0)</f>
        <v/>
      </c>
      <c r="BJ263" s="5">
        <f>IF(BJ$2&gt;=Params!$B$6,INDEX($C$262:$BV$262,BJ$2-Params!$B$6+1),0)</f>
        <v/>
      </c>
      <c r="BK263" s="5">
        <f>IF(BK$2&gt;=Params!$B$6,INDEX($C$262:$BV$262,BK$2-Params!$B$6+1),0)</f>
        <v/>
      </c>
      <c r="BL263" s="5">
        <f>IF(BL$2&gt;=Params!$B$6,INDEX($C$262:$BV$262,BL$2-Params!$B$6+1),0)</f>
        <v/>
      </c>
      <c r="BM263" s="5">
        <f>IF(BM$2&gt;=Params!$B$6,INDEX($C$262:$BV$262,BM$2-Params!$B$6+1),0)</f>
        <v/>
      </c>
      <c r="BN263" s="5">
        <f>IF(BN$2&gt;=Params!$B$6,INDEX($C$262:$BV$262,BN$2-Params!$B$6+1),0)</f>
        <v/>
      </c>
      <c r="BO263" s="5">
        <f>IF(BO$2&gt;=Params!$B$6,INDEX($C$262:$BV$262,BO$2-Params!$B$6+1),0)</f>
        <v/>
      </c>
      <c r="BP263" s="5">
        <f>IF(BP$2&gt;=Params!$B$6,INDEX($C$262:$BV$262,BP$2-Params!$B$6+1),0)</f>
        <v/>
      </c>
      <c r="BQ263" s="5">
        <f>IF(BQ$2&gt;=Params!$B$6,INDEX($C$262:$BV$262,BQ$2-Params!$B$6+1),0)</f>
        <v/>
      </c>
      <c r="BR263" s="5">
        <f>IF(BR$2&gt;=Params!$B$6,INDEX($C$262:$BV$262,BR$2-Params!$B$6+1),0)</f>
        <v/>
      </c>
      <c r="BS263" s="5">
        <f>IF(BS$2&gt;=Params!$B$6,INDEX($C$262:$BV$262,BS$2-Params!$B$6+1),0)</f>
        <v/>
      </c>
      <c r="BT263" s="5">
        <f>IF(BT$2&gt;=Params!$B$6,INDEX($C$262:$BV$262,BT$2-Params!$B$6+1),0)</f>
        <v/>
      </c>
      <c r="BU263" s="5">
        <f>IF(BU$2&gt;=Params!$B$6,INDEX($C$262:$BV$262,BU$2-Params!$B$6+1),0)</f>
        <v/>
      </c>
      <c r="BV263" s="5">
        <f>IF(BV$2&gt;=Params!$B$6,INDEX($C$262:$BV$262,BV$2-Params!$B$6+1),0)</f>
        <v/>
      </c>
    </row>
    <row r="264">
      <c r="A264" t="inlineStr">
        <is>
          <t>trials lost</t>
        </is>
      </c>
      <c r="B264" t="inlineStr">
        <is>
          <t>ROW|NITRO_A</t>
        </is>
      </c>
      <c r="C264" s="5">
        <f>C261-C263</f>
        <v/>
      </c>
      <c r="D264" s="5">
        <f>D261-D263</f>
        <v/>
      </c>
      <c r="E264" s="5">
        <f>E261-E263</f>
        <v/>
      </c>
      <c r="F264" s="5">
        <f>F261-F263</f>
        <v/>
      </c>
      <c r="G264" s="5">
        <f>G261-G263</f>
        <v/>
      </c>
      <c r="H264" s="5">
        <f>H261-H263</f>
        <v/>
      </c>
      <c r="I264" s="5">
        <f>I261-I263</f>
        <v/>
      </c>
      <c r="J264" s="5">
        <f>J261-J263</f>
        <v/>
      </c>
      <c r="K264" s="5">
        <f>K261-K263</f>
        <v/>
      </c>
      <c r="L264" s="5">
        <f>L261-L263</f>
        <v/>
      </c>
      <c r="M264" s="5">
        <f>M261-M263</f>
        <v/>
      </c>
      <c r="N264" s="5">
        <f>N261-N263</f>
        <v/>
      </c>
      <c r="O264" s="5">
        <f>O261-O263</f>
        <v/>
      </c>
      <c r="P264" s="5">
        <f>P261-P263</f>
        <v/>
      </c>
      <c r="Q264" s="5">
        <f>Q261-Q263</f>
        <v/>
      </c>
      <c r="R264" s="5">
        <f>R261-R263</f>
        <v/>
      </c>
      <c r="S264" s="5">
        <f>S261-S263</f>
        <v/>
      </c>
      <c r="T264" s="5">
        <f>T261-T263</f>
        <v/>
      </c>
      <c r="U264" s="5">
        <f>U261-U263</f>
        <v/>
      </c>
      <c r="V264" s="5">
        <f>V261-V263</f>
        <v/>
      </c>
      <c r="W264" s="5">
        <f>W261-W263</f>
        <v/>
      </c>
      <c r="X264" s="5">
        <f>X261-X263</f>
        <v/>
      </c>
      <c r="Y264" s="5">
        <f>Y261-Y263</f>
        <v/>
      </c>
      <c r="Z264" s="5">
        <f>Z261-Z263</f>
        <v/>
      </c>
      <c r="AA264" s="5">
        <f>AA261-AA263</f>
        <v/>
      </c>
      <c r="AB264" s="5">
        <f>AB261-AB263</f>
        <v/>
      </c>
      <c r="AC264" s="5">
        <f>AC261-AC263</f>
        <v/>
      </c>
      <c r="AD264" s="5">
        <f>AD261-AD263</f>
        <v/>
      </c>
      <c r="AE264" s="5">
        <f>AE261-AE263</f>
        <v/>
      </c>
      <c r="AF264" s="5">
        <f>AF261-AF263</f>
        <v/>
      </c>
      <c r="AG264" s="5">
        <f>AG261-AG263</f>
        <v/>
      </c>
      <c r="AH264" s="5">
        <f>AH261-AH263</f>
        <v/>
      </c>
      <c r="AI264" s="5">
        <f>AI261-AI263</f>
        <v/>
      </c>
      <c r="AJ264" s="5">
        <f>AJ261-AJ263</f>
        <v/>
      </c>
      <c r="AK264" s="5">
        <f>AK261-AK263</f>
        <v/>
      </c>
      <c r="AL264" s="5">
        <f>AL261-AL263</f>
        <v/>
      </c>
      <c r="AM264" s="5">
        <f>AM261-AM263</f>
        <v/>
      </c>
      <c r="AN264" s="5">
        <f>AN261-AN263</f>
        <v/>
      </c>
      <c r="AO264" s="5">
        <f>AO261-AO263</f>
        <v/>
      </c>
      <c r="AP264" s="5">
        <f>AP261-AP263</f>
        <v/>
      </c>
      <c r="AQ264" s="5">
        <f>AQ261-AQ263</f>
        <v/>
      </c>
      <c r="AR264" s="5">
        <f>AR261-AR263</f>
        <v/>
      </c>
      <c r="AS264" s="5">
        <f>AS261-AS263</f>
        <v/>
      </c>
      <c r="AT264" s="5">
        <f>AT261-AT263</f>
        <v/>
      </c>
      <c r="AU264" s="5">
        <f>AU261-AU263</f>
        <v/>
      </c>
      <c r="AV264" s="5">
        <f>AV261-AV263</f>
        <v/>
      </c>
      <c r="AW264" s="5">
        <f>AW261-AW263</f>
        <v/>
      </c>
      <c r="AX264" s="5">
        <f>AX261-AX263</f>
        <v/>
      </c>
      <c r="AY264" s="5">
        <f>AY261-AY263</f>
        <v/>
      </c>
      <c r="AZ264" s="5">
        <f>AZ261-AZ263</f>
        <v/>
      </c>
      <c r="BA264" s="5">
        <f>BA261-BA263</f>
        <v/>
      </c>
      <c r="BB264" s="5">
        <f>BB261-BB263</f>
        <v/>
      </c>
      <c r="BC264" s="5">
        <f>BC261-BC263</f>
        <v/>
      </c>
      <c r="BD264" s="5">
        <f>BD261-BD263</f>
        <v/>
      </c>
      <c r="BE264" s="5">
        <f>BE261-BE263</f>
        <v/>
      </c>
      <c r="BF264" s="5">
        <f>BF261-BF263</f>
        <v/>
      </c>
      <c r="BG264" s="5">
        <f>BG261-BG263</f>
        <v/>
      </c>
      <c r="BH264" s="5">
        <f>BH261-BH263</f>
        <v/>
      </c>
      <c r="BI264" s="5">
        <f>BI261-BI263</f>
        <v/>
      </c>
      <c r="BJ264" s="5">
        <f>BJ261-BJ263</f>
        <v/>
      </c>
      <c r="BK264" s="5">
        <f>BK261-BK263</f>
        <v/>
      </c>
      <c r="BL264" s="5">
        <f>BL261-BL263</f>
        <v/>
      </c>
      <c r="BM264" s="5">
        <f>BM261-BM263</f>
        <v/>
      </c>
      <c r="BN264" s="5">
        <f>BN261-BN263</f>
        <v/>
      </c>
      <c r="BO264" s="5">
        <f>BO261-BO263</f>
        <v/>
      </c>
      <c r="BP264" s="5">
        <f>BP261-BP263</f>
        <v/>
      </c>
      <c r="BQ264" s="5">
        <f>BQ261-BQ263</f>
        <v/>
      </c>
      <c r="BR264" s="5">
        <f>BR261-BR263</f>
        <v/>
      </c>
      <c r="BS264" s="5">
        <f>BS261-BS263</f>
        <v/>
      </c>
      <c r="BT264" s="5">
        <f>BT261-BT263</f>
        <v/>
      </c>
      <c r="BU264" s="5">
        <f>BU261-BU263</f>
        <v/>
      </c>
      <c r="BV264" s="5">
        <f>BV261-BV263</f>
        <v/>
      </c>
    </row>
    <row r="265">
      <c r="A265" t="inlineStr">
        <is>
          <t>cum trial starts</t>
        </is>
      </c>
      <c r="B265" t="inlineStr">
        <is>
          <t>ROW|NITRO_A</t>
        </is>
      </c>
      <c r="C265" s="5">
        <f>SUM($C259:C259)</f>
        <v/>
      </c>
      <c r="D265" s="5">
        <f>SUM($C259:D259)</f>
        <v/>
      </c>
      <c r="E265" s="5">
        <f>SUM($C259:E259)</f>
        <v/>
      </c>
      <c r="F265" s="5">
        <f>SUM($C259:F259)</f>
        <v/>
      </c>
      <c r="G265" s="5">
        <f>SUM($C259:G259)</f>
        <v/>
      </c>
      <c r="H265" s="5">
        <f>SUM($C259:H259)</f>
        <v/>
      </c>
      <c r="I265" s="5">
        <f>SUM($C259:I259)</f>
        <v/>
      </c>
      <c r="J265" s="5">
        <f>SUM($C259:J259)</f>
        <v/>
      </c>
      <c r="K265" s="5">
        <f>SUM($C259:K259)</f>
        <v/>
      </c>
      <c r="L265" s="5">
        <f>SUM($C259:L259)</f>
        <v/>
      </c>
      <c r="M265" s="5">
        <f>SUM($C259:M259)</f>
        <v/>
      </c>
      <c r="N265" s="5">
        <f>SUM($C259:N259)</f>
        <v/>
      </c>
      <c r="O265" s="5">
        <f>SUM($C259:O259)</f>
        <v/>
      </c>
      <c r="P265" s="5">
        <f>SUM($C259:P259)</f>
        <v/>
      </c>
      <c r="Q265" s="5">
        <f>SUM($C259:Q259)</f>
        <v/>
      </c>
      <c r="R265" s="5">
        <f>SUM($C259:R259)</f>
        <v/>
      </c>
      <c r="S265" s="5">
        <f>SUM($C259:S259)</f>
        <v/>
      </c>
      <c r="T265" s="5">
        <f>SUM($C259:T259)</f>
        <v/>
      </c>
      <c r="U265" s="5">
        <f>SUM($C259:U259)</f>
        <v/>
      </c>
      <c r="V265" s="5">
        <f>SUM($C259:V259)</f>
        <v/>
      </c>
      <c r="W265" s="5">
        <f>SUM($C259:W259)</f>
        <v/>
      </c>
      <c r="X265" s="5">
        <f>SUM($C259:X259)</f>
        <v/>
      </c>
      <c r="Y265" s="5">
        <f>SUM($C259:Y259)</f>
        <v/>
      </c>
      <c r="Z265" s="5">
        <f>SUM($C259:Z259)</f>
        <v/>
      </c>
      <c r="AA265" s="5">
        <f>SUM($C259:AA259)</f>
        <v/>
      </c>
      <c r="AB265" s="5">
        <f>SUM($C259:AB259)</f>
        <v/>
      </c>
      <c r="AC265" s="5">
        <f>SUM($C259:AC259)</f>
        <v/>
      </c>
      <c r="AD265" s="5">
        <f>SUM($C259:AD259)</f>
        <v/>
      </c>
      <c r="AE265" s="5">
        <f>SUM($C259:AE259)</f>
        <v/>
      </c>
      <c r="AF265" s="5">
        <f>SUM($C259:AF259)</f>
        <v/>
      </c>
      <c r="AG265" s="5">
        <f>SUM($C259:AG259)</f>
        <v/>
      </c>
      <c r="AH265" s="5">
        <f>SUM($C259:AH259)</f>
        <v/>
      </c>
      <c r="AI265" s="5">
        <f>SUM($C259:AI259)</f>
        <v/>
      </c>
      <c r="AJ265" s="5">
        <f>SUM($C259:AJ259)</f>
        <v/>
      </c>
      <c r="AK265" s="5">
        <f>SUM($C259:AK259)</f>
        <v/>
      </c>
      <c r="AL265" s="5">
        <f>SUM($C259:AL259)</f>
        <v/>
      </c>
      <c r="AM265" s="5">
        <f>SUM($C259:AM259)</f>
        <v/>
      </c>
      <c r="AN265" s="5">
        <f>SUM($C259:AN259)</f>
        <v/>
      </c>
      <c r="AO265" s="5">
        <f>SUM($C259:AO259)</f>
        <v/>
      </c>
      <c r="AP265" s="5">
        <f>SUM($C259:AP259)</f>
        <v/>
      </c>
      <c r="AQ265" s="5">
        <f>SUM($C259:AQ259)</f>
        <v/>
      </c>
      <c r="AR265" s="5">
        <f>SUM($C259:AR259)</f>
        <v/>
      </c>
      <c r="AS265" s="5">
        <f>SUM($C259:AS259)</f>
        <v/>
      </c>
      <c r="AT265" s="5">
        <f>SUM($C259:AT259)</f>
        <v/>
      </c>
      <c r="AU265" s="5">
        <f>SUM($C259:AU259)</f>
        <v/>
      </c>
      <c r="AV265" s="5">
        <f>SUM($C259:AV259)</f>
        <v/>
      </c>
      <c r="AW265" s="5">
        <f>SUM($C259:AW259)</f>
        <v/>
      </c>
      <c r="AX265" s="5">
        <f>SUM($C259:AX259)</f>
        <v/>
      </c>
      <c r="AY265" s="5">
        <f>SUM($C259:AY259)</f>
        <v/>
      </c>
      <c r="AZ265" s="5">
        <f>SUM($C259:AZ259)</f>
        <v/>
      </c>
      <c r="BA265" s="5">
        <f>SUM($C259:BA259)</f>
        <v/>
      </c>
      <c r="BB265" s="5">
        <f>SUM($C259:BB259)</f>
        <v/>
      </c>
      <c r="BC265" s="5">
        <f>SUM($C259:BC259)</f>
        <v/>
      </c>
      <c r="BD265" s="5">
        <f>SUM($C259:BD259)</f>
        <v/>
      </c>
      <c r="BE265" s="5">
        <f>SUM($C259:BE259)</f>
        <v/>
      </c>
      <c r="BF265" s="5">
        <f>SUM($C259:BF259)</f>
        <v/>
      </c>
      <c r="BG265" s="5">
        <f>SUM($C259:BG259)</f>
        <v/>
      </c>
      <c r="BH265" s="5">
        <f>SUM($C259:BH259)</f>
        <v/>
      </c>
      <c r="BI265" s="5">
        <f>SUM($C259:BI259)</f>
        <v/>
      </c>
      <c r="BJ265" s="5">
        <f>SUM($C259:BJ259)</f>
        <v/>
      </c>
      <c r="BK265" s="5">
        <f>SUM($C259:BK259)</f>
        <v/>
      </c>
      <c r="BL265" s="5">
        <f>SUM($C259:BL259)</f>
        <v/>
      </c>
      <c r="BM265" s="5">
        <f>SUM($C259:BM259)</f>
        <v/>
      </c>
      <c r="BN265" s="5">
        <f>SUM($C259:BN259)</f>
        <v/>
      </c>
      <c r="BO265" s="5">
        <f>SUM($C259:BO259)</f>
        <v/>
      </c>
      <c r="BP265" s="5">
        <f>SUM($C259:BP259)</f>
        <v/>
      </c>
      <c r="BQ265" s="5">
        <f>SUM($C259:BQ259)</f>
        <v/>
      </c>
      <c r="BR265" s="5">
        <f>SUM($C259:BR259)</f>
        <v/>
      </c>
      <c r="BS265" s="5">
        <f>SUM($C259:BS259)</f>
        <v/>
      </c>
      <c r="BT265" s="5">
        <f>SUM($C259:BT259)</f>
        <v/>
      </c>
      <c r="BU265" s="5">
        <f>SUM($C259:BU259)</f>
        <v/>
      </c>
      <c r="BV265" s="5">
        <f>SUM($C259:BV259)</f>
        <v/>
      </c>
    </row>
    <row r="266">
      <c r="A266" t="inlineStr">
        <is>
          <t>cum trials ending</t>
        </is>
      </c>
      <c r="B266" t="inlineStr">
        <is>
          <t>ROW|NITRO_A</t>
        </is>
      </c>
      <c r="C266" s="5">
        <f>SUM($C261:C261)</f>
        <v/>
      </c>
      <c r="D266" s="5">
        <f>SUM($C261:D261)</f>
        <v/>
      </c>
      <c r="E266" s="5">
        <f>SUM($C261:E261)</f>
        <v/>
      </c>
      <c r="F266" s="5">
        <f>SUM($C261:F261)</f>
        <v/>
      </c>
      <c r="G266" s="5">
        <f>SUM($C261:G261)</f>
        <v/>
      </c>
      <c r="H266" s="5">
        <f>SUM($C261:H261)</f>
        <v/>
      </c>
      <c r="I266" s="5">
        <f>SUM($C261:I261)</f>
        <v/>
      </c>
      <c r="J266" s="5">
        <f>SUM($C261:J261)</f>
        <v/>
      </c>
      <c r="K266" s="5">
        <f>SUM($C261:K261)</f>
        <v/>
      </c>
      <c r="L266" s="5">
        <f>SUM($C261:L261)</f>
        <v/>
      </c>
      <c r="M266" s="5">
        <f>SUM($C261:M261)</f>
        <v/>
      </c>
      <c r="N266" s="5">
        <f>SUM($C261:N261)</f>
        <v/>
      </c>
      <c r="O266" s="5">
        <f>SUM($C261:O261)</f>
        <v/>
      </c>
      <c r="P266" s="5">
        <f>SUM($C261:P261)</f>
        <v/>
      </c>
      <c r="Q266" s="5">
        <f>SUM($C261:Q261)</f>
        <v/>
      </c>
      <c r="R266" s="5">
        <f>SUM($C261:R261)</f>
        <v/>
      </c>
      <c r="S266" s="5">
        <f>SUM($C261:S261)</f>
        <v/>
      </c>
      <c r="T266" s="5">
        <f>SUM($C261:T261)</f>
        <v/>
      </c>
      <c r="U266" s="5">
        <f>SUM($C261:U261)</f>
        <v/>
      </c>
      <c r="V266" s="5">
        <f>SUM($C261:V261)</f>
        <v/>
      </c>
      <c r="W266" s="5">
        <f>SUM($C261:W261)</f>
        <v/>
      </c>
      <c r="X266" s="5">
        <f>SUM($C261:X261)</f>
        <v/>
      </c>
      <c r="Y266" s="5">
        <f>SUM($C261:Y261)</f>
        <v/>
      </c>
      <c r="Z266" s="5">
        <f>SUM($C261:Z261)</f>
        <v/>
      </c>
      <c r="AA266" s="5">
        <f>SUM($C261:AA261)</f>
        <v/>
      </c>
      <c r="AB266" s="5">
        <f>SUM($C261:AB261)</f>
        <v/>
      </c>
      <c r="AC266" s="5">
        <f>SUM($C261:AC261)</f>
        <v/>
      </c>
      <c r="AD266" s="5">
        <f>SUM($C261:AD261)</f>
        <v/>
      </c>
      <c r="AE266" s="5">
        <f>SUM($C261:AE261)</f>
        <v/>
      </c>
      <c r="AF266" s="5">
        <f>SUM($C261:AF261)</f>
        <v/>
      </c>
      <c r="AG266" s="5">
        <f>SUM($C261:AG261)</f>
        <v/>
      </c>
      <c r="AH266" s="5">
        <f>SUM($C261:AH261)</f>
        <v/>
      </c>
      <c r="AI266" s="5">
        <f>SUM($C261:AI261)</f>
        <v/>
      </c>
      <c r="AJ266" s="5">
        <f>SUM($C261:AJ261)</f>
        <v/>
      </c>
      <c r="AK266" s="5">
        <f>SUM($C261:AK261)</f>
        <v/>
      </c>
      <c r="AL266" s="5">
        <f>SUM($C261:AL261)</f>
        <v/>
      </c>
      <c r="AM266" s="5">
        <f>SUM($C261:AM261)</f>
        <v/>
      </c>
      <c r="AN266" s="5">
        <f>SUM($C261:AN261)</f>
        <v/>
      </c>
      <c r="AO266" s="5">
        <f>SUM($C261:AO261)</f>
        <v/>
      </c>
      <c r="AP266" s="5">
        <f>SUM($C261:AP261)</f>
        <v/>
      </c>
      <c r="AQ266" s="5">
        <f>SUM($C261:AQ261)</f>
        <v/>
      </c>
      <c r="AR266" s="5">
        <f>SUM($C261:AR261)</f>
        <v/>
      </c>
      <c r="AS266" s="5">
        <f>SUM($C261:AS261)</f>
        <v/>
      </c>
      <c r="AT266" s="5">
        <f>SUM($C261:AT261)</f>
        <v/>
      </c>
      <c r="AU266" s="5">
        <f>SUM($C261:AU261)</f>
        <v/>
      </c>
      <c r="AV266" s="5">
        <f>SUM($C261:AV261)</f>
        <v/>
      </c>
      <c r="AW266" s="5">
        <f>SUM($C261:AW261)</f>
        <v/>
      </c>
      <c r="AX266" s="5">
        <f>SUM($C261:AX261)</f>
        <v/>
      </c>
      <c r="AY266" s="5">
        <f>SUM($C261:AY261)</f>
        <v/>
      </c>
      <c r="AZ266" s="5">
        <f>SUM($C261:AZ261)</f>
        <v/>
      </c>
      <c r="BA266" s="5">
        <f>SUM($C261:BA261)</f>
        <v/>
      </c>
      <c r="BB266" s="5">
        <f>SUM($C261:BB261)</f>
        <v/>
      </c>
      <c r="BC266" s="5">
        <f>SUM($C261:BC261)</f>
        <v/>
      </c>
      <c r="BD266" s="5">
        <f>SUM($C261:BD261)</f>
        <v/>
      </c>
      <c r="BE266" s="5">
        <f>SUM($C261:BE261)</f>
        <v/>
      </c>
      <c r="BF266" s="5">
        <f>SUM($C261:BF261)</f>
        <v/>
      </c>
      <c r="BG266" s="5">
        <f>SUM($C261:BG261)</f>
        <v/>
      </c>
      <c r="BH266" s="5">
        <f>SUM($C261:BH261)</f>
        <v/>
      </c>
      <c r="BI266" s="5">
        <f>SUM($C261:BI261)</f>
        <v/>
      </c>
      <c r="BJ266" s="5">
        <f>SUM($C261:BJ261)</f>
        <v/>
      </c>
      <c r="BK266" s="5">
        <f>SUM($C261:BK261)</f>
        <v/>
      </c>
      <c r="BL266" s="5">
        <f>SUM($C261:BL261)</f>
        <v/>
      </c>
      <c r="BM266" s="5">
        <f>SUM($C261:BM261)</f>
        <v/>
      </c>
      <c r="BN266" s="5">
        <f>SUM($C261:BN261)</f>
        <v/>
      </c>
      <c r="BO266" s="5">
        <f>SUM($C261:BO261)</f>
        <v/>
      </c>
      <c r="BP266" s="5">
        <f>SUM($C261:BP261)</f>
        <v/>
      </c>
      <c r="BQ266" s="5">
        <f>SUM($C261:BQ261)</f>
        <v/>
      </c>
      <c r="BR266" s="5">
        <f>SUM($C261:BR261)</f>
        <v/>
      </c>
      <c r="BS266" s="5">
        <f>SUM($C261:BS261)</f>
        <v/>
      </c>
      <c r="BT266" s="5">
        <f>SUM($C261:BT261)</f>
        <v/>
      </c>
      <c r="BU266" s="5">
        <f>SUM($C261:BU261)</f>
        <v/>
      </c>
      <c r="BV266" s="5">
        <f>SUM($C261:BV261)</f>
        <v/>
      </c>
    </row>
    <row r="267">
      <c r="A267" t="inlineStr">
        <is>
          <t>trials active</t>
        </is>
      </c>
      <c r="B267" t="inlineStr">
        <is>
          <t>ROW|NITRO_A</t>
        </is>
      </c>
      <c r="C267" s="5">
        <f>C265-C266</f>
        <v/>
      </c>
      <c r="D267" s="5">
        <f>D265-D266</f>
        <v/>
      </c>
      <c r="E267" s="5">
        <f>E265-E266</f>
        <v/>
      </c>
      <c r="F267" s="5">
        <f>F265-F266</f>
        <v/>
      </c>
      <c r="G267" s="5">
        <f>G265-G266</f>
        <v/>
      </c>
      <c r="H267" s="5">
        <f>H265-H266</f>
        <v/>
      </c>
      <c r="I267" s="5">
        <f>I265-I266</f>
        <v/>
      </c>
      <c r="J267" s="5">
        <f>J265-J266</f>
        <v/>
      </c>
      <c r="K267" s="5">
        <f>K265-K266</f>
        <v/>
      </c>
      <c r="L267" s="5">
        <f>L265-L266</f>
        <v/>
      </c>
      <c r="M267" s="5">
        <f>M265-M266</f>
        <v/>
      </c>
      <c r="N267" s="5">
        <f>N265-N266</f>
        <v/>
      </c>
      <c r="O267" s="5">
        <f>O265-O266</f>
        <v/>
      </c>
      <c r="P267" s="5">
        <f>P265-P266</f>
        <v/>
      </c>
      <c r="Q267" s="5">
        <f>Q265-Q266</f>
        <v/>
      </c>
      <c r="R267" s="5">
        <f>R265-R266</f>
        <v/>
      </c>
      <c r="S267" s="5">
        <f>S265-S266</f>
        <v/>
      </c>
      <c r="T267" s="5">
        <f>T265-T266</f>
        <v/>
      </c>
      <c r="U267" s="5">
        <f>U265-U266</f>
        <v/>
      </c>
      <c r="V267" s="5">
        <f>V265-V266</f>
        <v/>
      </c>
      <c r="W267" s="5">
        <f>W265-W266</f>
        <v/>
      </c>
      <c r="X267" s="5">
        <f>X265-X266</f>
        <v/>
      </c>
      <c r="Y267" s="5">
        <f>Y265-Y266</f>
        <v/>
      </c>
      <c r="Z267" s="5">
        <f>Z265-Z266</f>
        <v/>
      </c>
      <c r="AA267" s="5">
        <f>AA265-AA266</f>
        <v/>
      </c>
      <c r="AB267" s="5">
        <f>AB265-AB266</f>
        <v/>
      </c>
      <c r="AC267" s="5">
        <f>AC265-AC266</f>
        <v/>
      </c>
      <c r="AD267" s="5">
        <f>AD265-AD266</f>
        <v/>
      </c>
      <c r="AE267" s="5">
        <f>AE265-AE266</f>
        <v/>
      </c>
      <c r="AF267" s="5">
        <f>AF265-AF266</f>
        <v/>
      </c>
      <c r="AG267" s="5">
        <f>AG265-AG266</f>
        <v/>
      </c>
      <c r="AH267" s="5">
        <f>AH265-AH266</f>
        <v/>
      </c>
      <c r="AI267" s="5">
        <f>AI265-AI266</f>
        <v/>
      </c>
      <c r="AJ267" s="5">
        <f>AJ265-AJ266</f>
        <v/>
      </c>
      <c r="AK267" s="5">
        <f>AK265-AK266</f>
        <v/>
      </c>
      <c r="AL267" s="5">
        <f>AL265-AL266</f>
        <v/>
      </c>
      <c r="AM267" s="5">
        <f>AM265-AM266</f>
        <v/>
      </c>
      <c r="AN267" s="5">
        <f>AN265-AN266</f>
        <v/>
      </c>
      <c r="AO267" s="5">
        <f>AO265-AO266</f>
        <v/>
      </c>
      <c r="AP267" s="5">
        <f>AP265-AP266</f>
        <v/>
      </c>
      <c r="AQ267" s="5">
        <f>AQ265-AQ266</f>
        <v/>
      </c>
      <c r="AR267" s="5">
        <f>AR265-AR266</f>
        <v/>
      </c>
      <c r="AS267" s="5">
        <f>AS265-AS266</f>
        <v/>
      </c>
      <c r="AT267" s="5">
        <f>AT265-AT266</f>
        <v/>
      </c>
      <c r="AU267" s="5">
        <f>AU265-AU266</f>
        <v/>
      </c>
      <c r="AV267" s="5">
        <f>AV265-AV266</f>
        <v/>
      </c>
      <c r="AW267" s="5">
        <f>AW265-AW266</f>
        <v/>
      </c>
      <c r="AX267" s="5">
        <f>AX265-AX266</f>
        <v/>
      </c>
      <c r="AY267" s="5">
        <f>AY265-AY266</f>
        <v/>
      </c>
      <c r="AZ267" s="5">
        <f>AZ265-AZ266</f>
        <v/>
      </c>
      <c r="BA267" s="5">
        <f>BA265-BA266</f>
        <v/>
      </c>
      <c r="BB267" s="5">
        <f>BB265-BB266</f>
        <v/>
      </c>
      <c r="BC267" s="5">
        <f>BC265-BC266</f>
        <v/>
      </c>
      <c r="BD267" s="5">
        <f>BD265-BD266</f>
        <v/>
      </c>
      <c r="BE267" s="5">
        <f>BE265-BE266</f>
        <v/>
      </c>
      <c r="BF267" s="5">
        <f>BF265-BF266</f>
        <v/>
      </c>
      <c r="BG267" s="5">
        <f>BG265-BG266</f>
        <v/>
      </c>
      <c r="BH267" s="5">
        <f>BH265-BH266</f>
        <v/>
      </c>
      <c r="BI267" s="5">
        <f>BI265-BI266</f>
        <v/>
      </c>
      <c r="BJ267" s="5">
        <f>BJ265-BJ266</f>
        <v/>
      </c>
      <c r="BK267" s="5">
        <f>BK265-BK266</f>
        <v/>
      </c>
      <c r="BL267" s="5">
        <f>BL265-BL266</f>
        <v/>
      </c>
      <c r="BM267" s="5">
        <f>BM265-BM266</f>
        <v/>
      </c>
      <c r="BN267" s="5">
        <f>BN265-BN266</f>
        <v/>
      </c>
      <c r="BO267" s="5">
        <f>BO265-BO266</f>
        <v/>
      </c>
      <c r="BP267" s="5">
        <f>BP265-BP266</f>
        <v/>
      </c>
      <c r="BQ267" s="5">
        <f>BQ265-BQ266</f>
        <v/>
      </c>
      <c r="BR267" s="5">
        <f>BR265-BR266</f>
        <v/>
      </c>
      <c r="BS267" s="5">
        <f>BS265-BS266</f>
        <v/>
      </c>
      <c r="BT267" s="5">
        <f>BT265-BT266</f>
        <v/>
      </c>
      <c r="BU267" s="5">
        <f>BU265-BU266</f>
        <v/>
      </c>
      <c r="BV267" s="5">
        <f>BV265-BV266</f>
        <v/>
      </c>
    </row>
    <row r="268">
      <c r="A268" t="inlineStr">
        <is>
          <t>paid starts</t>
        </is>
      </c>
      <c r="B268" t="inlineStr">
        <is>
          <t>ROW|NITRO_A</t>
        </is>
      </c>
      <c r="C268" s="5">
        <f>C260+C263</f>
        <v/>
      </c>
      <c r="D268" s="5">
        <f>D260+D263</f>
        <v/>
      </c>
      <c r="E268" s="5">
        <f>E260+E263</f>
        <v/>
      </c>
      <c r="F268" s="5">
        <f>F260+F263</f>
        <v/>
      </c>
      <c r="G268" s="5">
        <f>G260+G263</f>
        <v/>
      </c>
      <c r="H268" s="5">
        <f>H260+H263</f>
        <v/>
      </c>
      <c r="I268" s="5">
        <f>I260+I263</f>
        <v/>
      </c>
      <c r="J268" s="5">
        <f>J260+J263</f>
        <v/>
      </c>
      <c r="K268" s="5">
        <f>K260+K263</f>
        <v/>
      </c>
      <c r="L268" s="5">
        <f>L260+L263</f>
        <v/>
      </c>
      <c r="M268" s="5">
        <f>M260+M263</f>
        <v/>
      </c>
      <c r="N268" s="5">
        <f>N260+N263</f>
        <v/>
      </c>
      <c r="O268" s="5">
        <f>O260+O263</f>
        <v/>
      </c>
      <c r="P268" s="5">
        <f>P260+P263</f>
        <v/>
      </c>
      <c r="Q268" s="5">
        <f>Q260+Q263</f>
        <v/>
      </c>
      <c r="R268" s="5">
        <f>R260+R263</f>
        <v/>
      </c>
      <c r="S268" s="5">
        <f>S260+S263</f>
        <v/>
      </c>
      <c r="T268" s="5">
        <f>T260+T263</f>
        <v/>
      </c>
      <c r="U268" s="5">
        <f>U260+U263</f>
        <v/>
      </c>
      <c r="V268" s="5">
        <f>V260+V263</f>
        <v/>
      </c>
      <c r="W268" s="5">
        <f>W260+W263</f>
        <v/>
      </c>
      <c r="X268" s="5">
        <f>X260+X263</f>
        <v/>
      </c>
      <c r="Y268" s="5">
        <f>Y260+Y263</f>
        <v/>
      </c>
      <c r="Z268" s="5">
        <f>Z260+Z263</f>
        <v/>
      </c>
      <c r="AA268" s="5">
        <f>AA260+AA263</f>
        <v/>
      </c>
      <c r="AB268" s="5">
        <f>AB260+AB263</f>
        <v/>
      </c>
      <c r="AC268" s="5">
        <f>AC260+AC263</f>
        <v/>
      </c>
      <c r="AD268" s="5">
        <f>AD260+AD263</f>
        <v/>
      </c>
      <c r="AE268" s="5">
        <f>AE260+AE263</f>
        <v/>
      </c>
      <c r="AF268" s="5">
        <f>AF260+AF263</f>
        <v/>
      </c>
      <c r="AG268" s="5">
        <f>AG260+AG263</f>
        <v/>
      </c>
      <c r="AH268" s="5">
        <f>AH260+AH263</f>
        <v/>
      </c>
      <c r="AI268" s="5">
        <f>AI260+AI263</f>
        <v/>
      </c>
      <c r="AJ268" s="5">
        <f>AJ260+AJ263</f>
        <v/>
      </c>
      <c r="AK268" s="5">
        <f>AK260+AK263</f>
        <v/>
      </c>
      <c r="AL268" s="5">
        <f>AL260+AL263</f>
        <v/>
      </c>
      <c r="AM268" s="5">
        <f>AM260+AM263</f>
        <v/>
      </c>
      <c r="AN268" s="5">
        <f>AN260+AN263</f>
        <v/>
      </c>
      <c r="AO268" s="5">
        <f>AO260+AO263</f>
        <v/>
      </c>
      <c r="AP268" s="5">
        <f>AP260+AP263</f>
        <v/>
      </c>
      <c r="AQ268" s="5">
        <f>AQ260+AQ263</f>
        <v/>
      </c>
      <c r="AR268" s="5">
        <f>AR260+AR263</f>
        <v/>
      </c>
      <c r="AS268" s="5">
        <f>AS260+AS263</f>
        <v/>
      </c>
      <c r="AT268" s="5">
        <f>AT260+AT263</f>
        <v/>
      </c>
      <c r="AU268" s="5">
        <f>AU260+AU263</f>
        <v/>
      </c>
      <c r="AV268" s="5">
        <f>AV260+AV263</f>
        <v/>
      </c>
      <c r="AW268" s="5">
        <f>AW260+AW263</f>
        <v/>
      </c>
      <c r="AX268" s="5">
        <f>AX260+AX263</f>
        <v/>
      </c>
      <c r="AY268" s="5">
        <f>AY260+AY263</f>
        <v/>
      </c>
      <c r="AZ268" s="5">
        <f>AZ260+AZ263</f>
        <v/>
      </c>
      <c r="BA268" s="5">
        <f>BA260+BA263</f>
        <v/>
      </c>
      <c r="BB268" s="5">
        <f>BB260+BB263</f>
        <v/>
      </c>
      <c r="BC268" s="5">
        <f>BC260+BC263</f>
        <v/>
      </c>
      <c r="BD268" s="5">
        <f>BD260+BD263</f>
        <v/>
      </c>
      <c r="BE268" s="5">
        <f>BE260+BE263</f>
        <v/>
      </c>
      <c r="BF268" s="5">
        <f>BF260+BF263</f>
        <v/>
      </c>
      <c r="BG268" s="5">
        <f>BG260+BG263</f>
        <v/>
      </c>
      <c r="BH268" s="5">
        <f>BH260+BH263</f>
        <v/>
      </c>
      <c r="BI268" s="5">
        <f>BI260+BI263</f>
        <v/>
      </c>
      <c r="BJ268" s="5">
        <f>BJ260+BJ263</f>
        <v/>
      </c>
      <c r="BK268" s="5">
        <f>BK260+BK263</f>
        <v/>
      </c>
      <c r="BL268" s="5">
        <f>BL260+BL263</f>
        <v/>
      </c>
      <c r="BM268" s="5">
        <f>BM260+BM263</f>
        <v/>
      </c>
      <c r="BN268" s="5">
        <f>BN260+BN263</f>
        <v/>
      </c>
      <c r="BO268" s="5">
        <f>BO260+BO263</f>
        <v/>
      </c>
      <c r="BP268" s="5">
        <f>BP260+BP263</f>
        <v/>
      </c>
      <c r="BQ268" s="5">
        <f>BQ260+BQ263</f>
        <v/>
      </c>
      <c r="BR268" s="5">
        <f>BR260+BR263</f>
        <v/>
      </c>
      <c r="BS268" s="5">
        <f>BS260+BS263</f>
        <v/>
      </c>
      <c r="BT268" s="5">
        <f>BT260+BT263</f>
        <v/>
      </c>
      <c r="BU268" s="5">
        <f>BU260+BU263</f>
        <v/>
      </c>
      <c r="BV268" s="5">
        <f>BV260+BV263</f>
        <v/>
      </c>
    </row>
    <row r="269">
      <c r="A269" t="inlineStr">
        <is>
          <t>paid starts @0</t>
        </is>
      </c>
      <c r="B269" t="inlineStr">
        <is>
          <t>ROW|NITRO_A</t>
        </is>
      </c>
      <c r="C269" s="5">
        <f>C268*Eras!C$3</f>
        <v/>
      </c>
      <c r="D269" s="5">
        <f>D268*Eras!D$3</f>
        <v/>
      </c>
      <c r="E269" s="5">
        <f>E268*Eras!E$3</f>
        <v/>
      </c>
      <c r="F269" s="5">
        <f>F268*Eras!F$3</f>
        <v/>
      </c>
      <c r="G269" s="5">
        <f>G268*Eras!G$3</f>
        <v/>
      </c>
      <c r="H269" s="5">
        <f>H268*Eras!H$3</f>
        <v/>
      </c>
      <c r="I269" s="5">
        <f>I268*Eras!I$3</f>
        <v/>
      </c>
      <c r="J269" s="5">
        <f>J268*Eras!J$3</f>
        <v/>
      </c>
      <c r="K269" s="5">
        <f>K268*Eras!K$3</f>
        <v/>
      </c>
      <c r="L269" s="5">
        <f>L268*Eras!L$3</f>
        <v/>
      </c>
      <c r="M269" s="5">
        <f>M268*Eras!M$3</f>
        <v/>
      </c>
      <c r="N269" s="5">
        <f>N268*Eras!N$3</f>
        <v/>
      </c>
      <c r="O269" s="5">
        <f>O268*Eras!O$3</f>
        <v/>
      </c>
      <c r="P269" s="5">
        <f>P268*Eras!P$3</f>
        <v/>
      </c>
      <c r="Q269" s="5">
        <f>Q268*Eras!Q$3</f>
        <v/>
      </c>
      <c r="R269" s="5">
        <f>R268*Eras!R$3</f>
        <v/>
      </c>
      <c r="S269" s="5">
        <f>S268*Eras!S$3</f>
        <v/>
      </c>
      <c r="T269" s="5">
        <f>T268*Eras!T$3</f>
        <v/>
      </c>
      <c r="U269" s="5">
        <f>U268*Eras!U$3</f>
        <v/>
      </c>
      <c r="V269" s="5">
        <f>V268*Eras!V$3</f>
        <v/>
      </c>
      <c r="W269" s="5">
        <f>W268*Eras!W$3</f>
        <v/>
      </c>
      <c r="X269" s="5">
        <f>X268*Eras!X$3</f>
        <v/>
      </c>
      <c r="Y269" s="5">
        <f>Y268*Eras!Y$3</f>
        <v/>
      </c>
      <c r="Z269" s="5">
        <f>Z268*Eras!Z$3</f>
        <v/>
      </c>
      <c r="AA269" s="5">
        <f>AA268*Eras!AA$3</f>
        <v/>
      </c>
      <c r="AB269" s="5">
        <f>AB268*Eras!AB$3</f>
        <v/>
      </c>
      <c r="AC269" s="5">
        <f>AC268*Eras!AC$3</f>
        <v/>
      </c>
      <c r="AD269" s="5">
        <f>AD268*Eras!AD$3</f>
        <v/>
      </c>
      <c r="AE269" s="5">
        <f>AE268*Eras!AE$3</f>
        <v/>
      </c>
      <c r="AF269" s="5">
        <f>AF268*Eras!AF$3</f>
        <v/>
      </c>
      <c r="AG269" s="5">
        <f>AG268*Eras!AG$3</f>
        <v/>
      </c>
      <c r="AH269" s="5">
        <f>AH268*Eras!AH$3</f>
        <v/>
      </c>
      <c r="AI269" s="5">
        <f>AI268*Eras!AI$3</f>
        <v/>
      </c>
      <c r="AJ269" s="5">
        <f>AJ268*Eras!AJ$3</f>
        <v/>
      </c>
      <c r="AK269" s="5">
        <f>AK268*Eras!AK$3</f>
        <v/>
      </c>
      <c r="AL269" s="5">
        <f>AL268*Eras!AL$3</f>
        <v/>
      </c>
      <c r="AM269" s="5">
        <f>AM268*Eras!AM$3</f>
        <v/>
      </c>
      <c r="AN269" s="5">
        <f>AN268*Eras!AN$3</f>
        <v/>
      </c>
      <c r="AO269" s="5">
        <f>AO268*Eras!AO$3</f>
        <v/>
      </c>
      <c r="AP269" s="5">
        <f>AP268*Eras!AP$3</f>
        <v/>
      </c>
      <c r="AQ269" s="5">
        <f>AQ268*Eras!AQ$3</f>
        <v/>
      </c>
      <c r="AR269" s="5">
        <f>AR268*Eras!AR$3</f>
        <v/>
      </c>
      <c r="AS269" s="5">
        <f>AS268*Eras!AS$3</f>
        <v/>
      </c>
      <c r="AT269" s="5">
        <f>AT268*Eras!AT$3</f>
        <v/>
      </c>
      <c r="AU269" s="5">
        <f>AU268*Eras!AU$3</f>
        <v/>
      </c>
      <c r="AV269" s="5">
        <f>AV268*Eras!AV$3</f>
        <v/>
      </c>
      <c r="AW269" s="5">
        <f>AW268*Eras!AW$3</f>
        <v/>
      </c>
      <c r="AX269" s="5">
        <f>AX268*Eras!AX$3</f>
        <v/>
      </c>
      <c r="AY269" s="5">
        <f>AY268*Eras!AY$3</f>
        <v/>
      </c>
      <c r="AZ269" s="5">
        <f>AZ268*Eras!AZ$3</f>
        <v/>
      </c>
      <c r="BA269" s="5">
        <f>BA268*Eras!BA$3</f>
        <v/>
      </c>
      <c r="BB269" s="5">
        <f>BB268*Eras!BB$3</f>
        <v/>
      </c>
      <c r="BC269" s="5">
        <f>BC268*Eras!BC$3</f>
        <v/>
      </c>
      <c r="BD269" s="5">
        <f>BD268*Eras!BD$3</f>
        <v/>
      </c>
      <c r="BE269" s="5">
        <f>BE268*Eras!BE$3</f>
        <v/>
      </c>
      <c r="BF269" s="5">
        <f>BF268*Eras!BF$3</f>
        <v/>
      </c>
      <c r="BG269" s="5">
        <f>BG268*Eras!BG$3</f>
        <v/>
      </c>
      <c r="BH269" s="5">
        <f>BH268*Eras!BH$3</f>
        <v/>
      </c>
      <c r="BI269" s="5">
        <f>BI268*Eras!BI$3</f>
        <v/>
      </c>
      <c r="BJ269" s="5">
        <f>BJ268*Eras!BJ$3</f>
        <v/>
      </c>
      <c r="BK269" s="5">
        <f>BK268*Eras!BK$3</f>
        <v/>
      </c>
      <c r="BL269" s="5">
        <f>BL268*Eras!BL$3</f>
        <v/>
      </c>
      <c r="BM269" s="5">
        <f>BM268*Eras!BM$3</f>
        <v/>
      </c>
      <c r="BN269" s="5">
        <f>BN268*Eras!BN$3</f>
        <v/>
      </c>
      <c r="BO269" s="5">
        <f>BO268*Eras!BO$3</f>
        <v/>
      </c>
      <c r="BP269" s="5">
        <f>BP268*Eras!BP$3</f>
        <v/>
      </c>
      <c r="BQ269" s="5">
        <f>BQ268*Eras!BQ$3</f>
        <v/>
      </c>
      <c r="BR269" s="5">
        <f>BR268*Eras!BR$3</f>
        <v/>
      </c>
      <c r="BS269" s="5">
        <f>BS268*Eras!BS$3</f>
        <v/>
      </c>
      <c r="BT269" s="5">
        <f>BT268*Eras!BT$3</f>
        <v/>
      </c>
      <c r="BU269" s="5">
        <f>BU268*Eras!BU$3</f>
        <v/>
      </c>
      <c r="BV269" s="5">
        <f>BV268*Eras!BV$3</f>
        <v/>
      </c>
    </row>
    <row r="270">
      <c r="A270" t="inlineStr">
        <is>
          <t>paid starts @1</t>
        </is>
      </c>
      <c r="B270" t="inlineStr">
        <is>
          <t>ROW|NITRO_A</t>
        </is>
      </c>
      <c r="C270" s="5">
        <f>C268*Eras!C$4</f>
        <v/>
      </c>
      <c r="D270" s="5">
        <f>D268*Eras!D$4</f>
        <v/>
      </c>
      <c r="E270" s="5">
        <f>E268*Eras!E$4</f>
        <v/>
      </c>
      <c r="F270" s="5">
        <f>F268*Eras!F$4</f>
        <v/>
      </c>
      <c r="G270" s="5">
        <f>G268*Eras!G$4</f>
        <v/>
      </c>
      <c r="H270" s="5">
        <f>H268*Eras!H$4</f>
        <v/>
      </c>
      <c r="I270" s="5">
        <f>I268*Eras!I$4</f>
        <v/>
      </c>
      <c r="J270" s="5">
        <f>J268*Eras!J$4</f>
        <v/>
      </c>
      <c r="K270" s="5">
        <f>K268*Eras!K$4</f>
        <v/>
      </c>
      <c r="L270" s="5">
        <f>L268*Eras!L$4</f>
        <v/>
      </c>
      <c r="M270" s="5">
        <f>M268*Eras!M$4</f>
        <v/>
      </c>
      <c r="N270" s="5">
        <f>N268*Eras!N$4</f>
        <v/>
      </c>
      <c r="O270" s="5">
        <f>O268*Eras!O$4</f>
        <v/>
      </c>
      <c r="P270" s="5">
        <f>P268*Eras!P$4</f>
        <v/>
      </c>
      <c r="Q270" s="5">
        <f>Q268*Eras!Q$4</f>
        <v/>
      </c>
      <c r="R270" s="5">
        <f>R268*Eras!R$4</f>
        <v/>
      </c>
      <c r="S270" s="5">
        <f>S268*Eras!S$4</f>
        <v/>
      </c>
      <c r="T270" s="5">
        <f>T268*Eras!T$4</f>
        <v/>
      </c>
      <c r="U270" s="5">
        <f>U268*Eras!U$4</f>
        <v/>
      </c>
      <c r="V270" s="5">
        <f>V268*Eras!V$4</f>
        <v/>
      </c>
      <c r="W270" s="5">
        <f>W268*Eras!W$4</f>
        <v/>
      </c>
      <c r="X270" s="5">
        <f>X268*Eras!X$4</f>
        <v/>
      </c>
      <c r="Y270" s="5">
        <f>Y268*Eras!Y$4</f>
        <v/>
      </c>
      <c r="Z270" s="5">
        <f>Z268*Eras!Z$4</f>
        <v/>
      </c>
      <c r="AA270" s="5">
        <f>AA268*Eras!AA$4</f>
        <v/>
      </c>
      <c r="AB270" s="5">
        <f>AB268*Eras!AB$4</f>
        <v/>
      </c>
      <c r="AC270" s="5">
        <f>AC268*Eras!AC$4</f>
        <v/>
      </c>
      <c r="AD270" s="5">
        <f>AD268*Eras!AD$4</f>
        <v/>
      </c>
      <c r="AE270" s="5">
        <f>AE268*Eras!AE$4</f>
        <v/>
      </c>
      <c r="AF270" s="5">
        <f>AF268*Eras!AF$4</f>
        <v/>
      </c>
      <c r="AG270" s="5">
        <f>AG268*Eras!AG$4</f>
        <v/>
      </c>
      <c r="AH270" s="5">
        <f>AH268*Eras!AH$4</f>
        <v/>
      </c>
      <c r="AI270" s="5">
        <f>AI268*Eras!AI$4</f>
        <v/>
      </c>
      <c r="AJ270" s="5">
        <f>AJ268*Eras!AJ$4</f>
        <v/>
      </c>
      <c r="AK270" s="5">
        <f>AK268*Eras!AK$4</f>
        <v/>
      </c>
      <c r="AL270" s="5">
        <f>AL268*Eras!AL$4</f>
        <v/>
      </c>
      <c r="AM270" s="5">
        <f>AM268*Eras!AM$4</f>
        <v/>
      </c>
      <c r="AN270" s="5">
        <f>AN268*Eras!AN$4</f>
        <v/>
      </c>
      <c r="AO270" s="5">
        <f>AO268*Eras!AO$4</f>
        <v/>
      </c>
      <c r="AP270" s="5">
        <f>AP268*Eras!AP$4</f>
        <v/>
      </c>
      <c r="AQ270" s="5">
        <f>AQ268*Eras!AQ$4</f>
        <v/>
      </c>
      <c r="AR270" s="5">
        <f>AR268*Eras!AR$4</f>
        <v/>
      </c>
      <c r="AS270" s="5">
        <f>AS268*Eras!AS$4</f>
        <v/>
      </c>
      <c r="AT270" s="5">
        <f>AT268*Eras!AT$4</f>
        <v/>
      </c>
      <c r="AU270" s="5">
        <f>AU268*Eras!AU$4</f>
        <v/>
      </c>
      <c r="AV270" s="5">
        <f>AV268*Eras!AV$4</f>
        <v/>
      </c>
      <c r="AW270" s="5">
        <f>AW268*Eras!AW$4</f>
        <v/>
      </c>
      <c r="AX270" s="5">
        <f>AX268*Eras!AX$4</f>
        <v/>
      </c>
      <c r="AY270" s="5">
        <f>AY268*Eras!AY$4</f>
        <v/>
      </c>
      <c r="AZ270" s="5">
        <f>AZ268*Eras!AZ$4</f>
        <v/>
      </c>
      <c r="BA270" s="5">
        <f>BA268*Eras!BA$4</f>
        <v/>
      </c>
      <c r="BB270" s="5">
        <f>BB268*Eras!BB$4</f>
        <v/>
      </c>
      <c r="BC270" s="5">
        <f>BC268*Eras!BC$4</f>
        <v/>
      </c>
      <c r="BD270" s="5">
        <f>BD268*Eras!BD$4</f>
        <v/>
      </c>
      <c r="BE270" s="5">
        <f>BE268*Eras!BE$4</f>
        <v/>
      </c>
      <c r="BF270" s="5">
        <f>BF268*Eras!BF$4</f>
        <v/>
      </c>
      <c r="BG270" s="5">
        <f>BG268*Eras!BG$4</f>
        <v/>
      </c>
      <c r="BH270" s="5">
        <f>BH268*Eras!BH$4</f>
        <v/>
      </c>
      <c r="BI270" s="5">
        <f>BI268*Eras!BI$4</f>
        <v/>
      </c>
      <c r="BJ270" s="5">
        <f>BJ268*Eras!BJ$4</f>
        <v/>
      </c>
      <c r="BK270" s="5">
        <f>BK268*Eras!BK$4</f>
        <v/>
      </c>
      <c r="BL270" s="5">
        <f>BL268*Eras!BL$4</f>
        <v/>
      </c>
      <c r="BM270" s="5">
        <f>BM268*Eras!BM$4</f>
        <v/>
      </c>
      <c r="BN270" s="5">
        <f>BN268*Eras!BN$4</f>
        <v/>
      </c>
      <c r="BO270" s="5">
        <f>BO268*Eras!BO$4</f>
        <v/>
      </c>
      <c r="BP270" s="5">
        <f>BP268*Eras!BP$4</f>
        <v/>
      </c>
      <c r="BQ270" s="5">
        <f>BQ268*Eras!BQ$4</f>
        <v/>
      </c>
      <c r="BR270" s="5">
        <f>BR268*Eras!BR$4</f>
        <v/>
      </c>
      <c r="BS270" s="5">
        <f>BS268*Eras!BS$4</f>
        <v/>
      </c>
      <c r="BT270" s="5">
        <f>BT268*Eras!BT$4</f>
        <v/>
      </c>
      <c r="BU270" s="5">
        <f>BU268*Eras!BU$4</f>
        <v/>
      </c>
      <c r="BV270" s="5">
        <f>BV268*Eras!BV$4</f>
        <v/>
      </c>
    </row>
    <row r="271">
      <c r="A271" t="inlineStr">
        <is>
          <t>paid starts @2</t>
        </is>
      </c>
      <c r="B271" t="inlineStr">
        <is>
          <t>ROW|NITRO_A</t>
        </is>
      </c>
      <c r="C271" s="5">
        <f>C268*Eras!C$5</f>
        <v/>
      </c>
      <c r="D271" s="5">
        <f>D268*Eras!D$5</f>
        <v/>
      </c>
      <c r="E271" s="5">
        <f>E268*Eras!E$5</f>
        <v/>
      </c>
      <c r="F271" s="5">
        <f>F268*Eras!F$5</f>
        <v/>
      </c>
      <c r="G271" s="5">
        <f>G268*Eras!G$5</f>
        <v/>
      </c>
      <c r="H271" s="5">
        <f>H268*Eras!H$5</f>
        <v/>
      </c>
      <c r="I271" s="5">
        <f>I268*Eras!I$5</f>
        <v/>
      </c>
      <c r="J271" s="5">
        <f>J268*Eras!J$5</f>
        <v/>
      </c>
      <c r="K271" s="5">
        <f>K268*Eras!K$5</f>
        <v/>
      </c>
      <c r="L271" s="5">
        <f>L268*Eras!L$5</f>
        <v/>
      </c>
      <c r="M271" s="5">
        <f>M268*Eras!M$5</f>
        <v/>
      </c>
      <c r="N271" s="5">
        <f>N268*Eras!N$5</f>
        <v/>
      </c>
      <c r="O271" s="5">
        <f>O268*Eras!O$5</f>
        <v/>
      </c>
      <c r="P271" s="5">
        <f>P268*Eras!P$5</f>
        <v/>
      </c>
      <c r="Q271" s="5">
        <f>Q268*Eras!Q$5</f>
        <v/>
      </c>
      <c r="R271" s="5">
        <f>R268*Eras!R$5</f>
        <v/>
      </c>
      <c r="S271" s="5">
        <f>S268*Eras!S$5</f>
        <v/>
      </c>
      <c r="T271" s="5">
        <f>T268*Eras!T$5</f>
        <v/>
      </c>
      <c r="U271" s="5">
        <f>U268*Eras!U$5</f>
        <v/>
      </c>
      <c r="V271" s="5">
        <f>V268*Eras!V$5</f>
        <v/>
      </c>
      <c r="W271" s="5">
        <f>W268*Eras!W$5</f>
        <v/>
      </c>
      <c r="X271" s="5">
        <f>X268*Eras!X$5</f>
        <v/>
      </c>
      <c r="Y271" s="5">
        <f>Y268*Eras!Y$5</f>
        <v/>
      </c>
      <c r="Z271" s="5">
        <f>Z268*Eras!Z$5</f>
        <v/>
      </c>
      <c r="AA271" s="5">
        <f>AA268*Eras!AA$5</f>
        <v/>
      </c>
      <c r="AB271" s="5">
        <f>AB268*Eras!AB$5</f>
        <v/>
      </c>
      <c r="AC271" s="5">
        <f>AC268*Eras!AC$5</f>
        <v/>
      </c>
      <c r="AD271" s="5">
        <f>AD268*Eras!AD$5</f>
        <v/>
      </c>
      <c r="AE271" s="5">
        <f>AE268*Eras!AE$5</f>
        <v/>
      </c>
      <c r="AF271" s="5">
        <f>AF268*Eras!AF$5</f>
        <v/>
      </c>
      <c r="AG271" s="5">
        <f>AG268*Eras!AG$5</f>
        <v/>
      </c>
      <c r="AH271" s="5">
        <f>AH268*Eras!AH$5</f>
        <v/>
      </c>
      <c r="AI271" s="5">
        <f>AI268*Eras!AI$5</f>
        <v/>
      </c>
      <c r="AJ271" s="5">
        <f>AJ268*Eras!AJ$5</f>
        <v/>
      </c>
      <c r="AK271" s="5">
        <f>AK268*Eras!AK$5</f>
        <v/>
      </c>
      <c r="AL271" s="5">
        <f>AL268*Eras!AL$5</f>
        <v/>
      </c>
      <c r="AM271" s="5">
        <f>AM268*Eras!AM$5</f>
        <v/>
      </c>
      <c r="AN271" s="5">
        <f>AN268*Eras!AN$5</f>
        <v/>
      </c>
      <c r="AO271" s="5">
        <f>AO268*Eras!AO$5</f>
        <v/>
      </c>
      <c r="AP271" s="5">
        <f>AP268*Eras!AP$5</f>
        <v/>
      </c>
      <c r="AQ271" s="5">
        <f>AQ268*Eras!AQ$5</f>
        <v/>
      </c>
      <c r="AR271" s="5">
        <f>AR268*Eras!AR$5</f>
        <v/>
      </c>
      <c r="AS271" s="5">
        <f>AS268*Eras!AS$5</f>
        <v/>
      </c>
      <c r="AT271" s="5">
        <f>AT268*Eras!AT$5</f>
        <v/>
      </c>
      <c r="AU271" s="5">
        <f>AU268*Eras!AU$5</f>
        <v/>
      </c>
      <c r="AV271" s="5">
        <f>AV268*Eras!AV$5</f>
        <v/>
      </c>
      <c r="AW271" s="5">
        <f>AW268*Eras!AW$5</f>
        <v/>
      </c>
      <c r="AX271" s="5">
        <f>AX268*Eras!AX$5</f>
        <v/>
      </c>
      <c r="AY271" s="5">
        <f>AY268*Eras!AY$5</f>
        <v/>
      </c>
      <c r="AZ271" s="5">
        <f>AZ268*Eras!AZ$5</f>
        <v/>
      </c>
      <c r="BA271" s="5">
        <f>BA268*Eras!BA$5</f>
        <v/>
      </c>
      <c r="BB271" s="5">
        <f>BB268*Eras!BB$5</f>
        <v/>
      </c>
      <c r="BC271" s="5">
        <f>BC268*Eras!BC$5</f>
        <v/>
      </c>
      <c r="BD271" s="5">
        <f>BD268*Eras!BD$5</f>
        <v/>
      </c>
      <c r="BE271" s="5">
        <f>BE268*Eras!BE$5</f>
        <v/>
      </c>
      <c r="BF271" s="5">
        <f>BF268*Eras!BF$5</f>
        <v/>
      </c>
      <c r="BG271" s="5">
        <f>BG268*Eras!BG$5</f>
        <v/>
      </c>
      <c r="BH271" s="5">
        <f>BH268*Eras!BH$5</f>
        <v/>
      </c>
      <c r="BI271" s="5">
        <f>BI268*Eras!BI$5</f>
        <v/>
      </c>
      <c r="BJ271" s="5">
        <f>BJ268*Eras!BJ$5</f>
        <v/>
      </c>
      <c r="BK271" s="5">
        <f>BK268*Eras!BK$5</f>
        <v/>
      </c>
      <c r="BL271" s="5">
        <f>BL268*Eras!BL$5</f>
        <v/>
      </c>
      <c r="BM271" s="5">
        <f>BM268*Eras!BM$5</f>
        <v/>
      </c>
      <c r="BN271" s="5">
        <f>BN268*Eras!BN$5</f>
        <v/>
      </c>
      <c r="BO271" s="5">
        <f>BO268*Eras!BO$5</f>
        <v/>
      </c>
      <c r="BP271" s="5">
        <f>BP268*Eras!BP$5</f>
        <v/>
      </c>
      <c r="BQ271" s="5">
        <f>BQ268*Eras!BQ$5</f>
        <v/>
      </c>
      <c r="BR271" s="5">
        <f>BR268*Eras!BR$5</f>
        <v/>
      </c>
      <c r="BS271" s="5">
        <f>BS268*Eras!BS$5</f>
        <v/>
      </c>
      <c r="BT271" s="5">
        <f>BT268*Eras!BT$5</f>
        <v/>
      </c>
      <c r="BU271" s="5">
        <f>BU268*Eras!BU$5</f>
        <v/>
      </c>
      <c r="BV271" s="5">
        <f>BV268*Eras!BV$5</f>
        <v/>
      </c>
    </row>
    <row r="273">
      <c r="A273" t="inlineStr">
        <is>
          <t>gross adds</t>
        </is>
      </c>
      <c r="B273" t="inlineStr">
        <is>
          <t>ROW|BASIC_M</t>
        </is>
      </c>
      <c r="C273" s="5">
        <f>MAU!C8*Params!$B$61*Eras!C$7*Params!$B$130*Params!$B$94</f>
        <v/>
      </c>
      <c r="D273" s="5">
        <f>MAU!D8*Params!$B$61*Eras!D$7*Params!$B$130*Params!$B$94</f>
        <v/>
      </c>
      <c r="E273" s="5">
        <f>MAU!E8*Params!$B$61*Eras!E$7*Params!$B$130*Params!$B$94</f>
        <v/>
      </c>
      <c r="F273" s="5">
        <f>MAU!F8*Params!$B$61*Eras!F$7*Params!$B$130*Params!$B$94</f>
        <v/>
      </c>
      <c r="G273" s="5">
        <f>MAU!G8*Params!$B$61*Eras!G$7*Params!$B$130*Params!$B$94</f>
        <v/>
      </c>
      <c r="H273" s="5">
        <f>MAU!H8*Params!$B$61*Eras!H$7*Params!$B$130*Params!$B$94</f>
        <v/>
      </c>
      <c r="I273" s="5">
        <f>MAU!I8*Params!$B$61*Eras!I$7*Params!$B$130*Params!$B$94</f>
        <v/>
      </c>
      <c r="J273" s="5">
        <f>MAU!J8*Params!$B$61*Eras!J$7*Params!$B$130*Params!$B$94</f>
        <v/>
      </c>
      <c r="K273" s="5">
        <f>MAU!K8*Params!$B$61*Eras!K$7*Params!$B$130*Params!$B$94</f>
        <v/>
      </c>
      <c r="L273" s="5">
        <f>MAU!L8*Params!$B$61*Eras!L$7*Params!$B$130*Params!$B$94</f>
        <v/>
      </c>
      <c r="M273" s="5">
        <f>MAU!M8*Params!$B$61*Eras!M$7*Params!$B$130*Params!$B$94</f>
        <v/>
      </c>
      <c r="N273" s="5">
        <f>MAU!N8*Params!$B$61*Eras!N$7*Params!$B$130*Params!$B$94</f>
        <v/>
      </c>
      <c r="O273" s="5">
        <f>MAU!O8*Params!$B$61*Eras!O$7*Params!$B$130*Params!$B$94</f>
        <v/>
      </c>
      <c r="P273" s="5">
        <f>MAU!P8*Params!$B$61*Eras!P$7*Params!$B$130*Params!$B$94</f>
        <v/>
      </c>
      <c r="Q273" s="5">
        <f>MAU!Q8*Params!$B$61*Eras!Q$7*Params!$B$130*Params!$B$94</f>
        <v/>
      </c>
      <c r="R273" s="5">
        <f>MAU!R8*Params!$B$61*Eras!R$7*Params!$B$130*Params!$B$94</f>
        <v/>
      </c>
      <c r="S273" s="5">
        <f>MAU!S8*Params!$B$61*Eras!S$7*Params!$B$130*Params!$B$94</f>
        <v/>
      </c>
      <c r="T273" s="5">
        <f>MAU!T8*Params!$B$61*Eras!T$7*Params!$B$130*Params!$B$94</f>
        <v/>
      </c>
      <c r="U273" s="5">
        <f>MAU!U8*Params!$B$61*Eras!U$7*Params!$B$130*Params!$B$94</f>
        <v/>
      </c>
      <c r="V273" s="5">
        <f>MAU!V8*Params!$B$61*Eras!V$7*Params!$B$130*Params!$B$94</f>
        <v/>
      </c>
      <c r="W273" s="5">
        <f>MAU!W8*Params!$B$61*Eras!W$7*Params!$B$130*Params!$B$94</f>
        <v/>
      </c>
      <c r="X273" s="5">
        <f>MAU!X8*Params!$B$61*Eras!X$7*Params!$B$130*Params!$B$94</f>
        <v/>
      </c>
      <c r="Y273" s="5">
        <f>MAU!Y8*Params!$B$61*Eras!Y$7*Params!$B$130*Params!$B$94</f>
        <v/>
      </c>
      <c r="Z273" s="5">
        <f>MAU!Z8*Params!$B$61*Eras!Z$7*Params!$B$130*Params!$B$94</f>
        <v/>
      </c>
      <c r="AA273" s="5">
        <f>MAU!AA8*Params!$B$61*Eras!AA$7*Params!$B$130*Params!$B$94</f>
        <v/>
      </c>
      <c r="AB273" s="5">
        <f>MAU!AB8*Params!$B$61*Eras!AB$7*Params!$B$130*Params!$B$94</f>
        <v/>
      </c>
      <c r="AC273" s="5">
        <f>MAU!AC8*Params!$B$61*Eras!AC$7*Params!$B$130*Params!$B$94</f>
        <v/>
      </c>
      <c r="AD273" s="5">
        <f>MAU!AD8*Params!$B$61*Eras!AD$7*Params!$B$130*Params!$B$94</f>
        <v/>
      </c>
      <c r="AE273" s="5">
        <f>MAU!AE8*Params!$B$61*Eras!AE$7*Params!$B$130*Params!$B$94</f>
        <v/>
      </c>
      <c r="AF273" s="5">
        <f>MAU!AF8*Params!$B$61*Eras!AF$7*Params!$B$130*Params!$B$94</f>
        <v/>
      </c>
      <c r="AG273" s="5">
        <f>MAU!AG8*Params!$B$61*Eras!AG$7*Params!$B$130*Params!$B$94</f>
        <v/>
      </c>
      <c r="AH273" s="5">
        <f>MAU!AH8*Params!$B$61*Eras!AH$7*Params!$B$130*Params!$B$94</f>
        <v/>
      </c>
      <c r="AI273" s="5">
        <f>MAU!AI8*Params!$B$61*Eras!AI$7*Params!$B$130*Params!$B$94</f>
        <v/>
      </c>
      <c r="AJ273" s="5">
        <f>MAU!AJ8*Params!$B$61*Eras!AJ$7*Params!$B$130*Params!$B$94</f>
        <v/>
      </c>
      <c r="AK273" s="5">
        <f>MAU!AK8*Params!$B$61*Eras!AK$7*Params!$B$130*Params!$B$94</f>
        <v/>
      </c>
      <c r="AL273" s="5">
        <f>MAU!AL8*Params!$B$61*Eras!AL$7*Params!$B$130*Params!$B$94</f>
        <v/>
      </c>
      <c r="AM273" s="5">
        <f>MAU!AM8*Params!$B$61*Eras!AM$7*Params!$B$130*Params!$B$94</f>
        <v/>
      </c>
      <c r="AN273" s="5">
        <f>MAU!AN8*Params!$B$61*Eras!AN$7*Params!$B$130*Params!$B$94</f>
        <v/>
      </c>
      <c r="AO273" s="5">
        <f>MAU!AO8*Params!$B$61*Eras!AO$7*Params!$B$130*Params!$B$94</f>
        <v/>
      </c>
      <c r="AP273" s="5">
        <f>MAU!AP8*Params!$B$61*Eras!AP$7*Params!$B$130*Params!$B$94</f>
        <v/>
      </c>
      <c r="AQ273" s="5">
        <f>MAU!AQ8*Params!$B$61*Eras!AQ$7*Params!$B$130*Params!$B$94</f>
        <v/>
      </c>
      <c r="AR273" s="5">
        <f>MAU!AR8*Params!$B$61*Eras!AR$7*Params!$B$130*Params!$B$94</f>
        <v/>
      </c>
      <c r="AS273" s="5">
        <f>MAU!AS8*Params!$B$61*Eras!AS$7*Params!$B$130*Params!$B$94</f>
        <v/>
      </c>
      <c r="AT273" s="5">
        <f>MAU!AT8*Params!$B$61*Eras!AT$7*Params!$B$130*Params!$B$94</f>
        <v/>
      </c>
      <c r="AU273" s="5">
        <f>MAU!AU8*Params!$B$61*Eras!AU$7*Params!$B$130*Params!$B$94</f>
        <v/>
      </c>
      <c r="AV273" s="5">
        <f>MAU!AV8*Params!$B$61*Eras!AV$7*Params!$B$130*Params!$B$94</f>
        <v/>
      </c>
      <c r="AW273" s="5">
        <f>MAU!AW8*Params!$B$61*Eras!AW$7*Params!$B$130*Params!$B$94</f>
        <v/>
      </c>
      <c r="AX273" s="5">
        <f>MAU!AX8*Params!$B$61*Eras!AX$7*Params!$B$130*Params!$B$94</f>
        <v/>
      </c>
      <c r="AY273" s="5">
        <f>MAU!AY8*Params!$B$61*Eras!AY$7*Params!$B$130*Params!$B$94</f>
        <v/>
      </c>
      <c r="AZ273" s="5">
        <f>MAU!AZ8*Params!$B$61*Eras!AZ$7*Params!$B$130*Params!$B$94</f>
        <v/>
      </c>
      <c r="BA273" s="5">
        <f>MAU!BA8*Params!$B$61*Eras!BA$7*Params!$B$130*Params!$B$94</f>
        <v/>
      </c>
      <c r="BB273" s="5">
        <f>MAU!BB8*Params!$B$61*Eras!BB$7*Params!$B$130*Params!$B$94</f>
        <v/>
      </c>
      <c r="BC273" s="5">
        <f>MAU!BC8*Params!$B$61*Eras!BC$7*Params!$B$130*Params!$B$94</f>
        <v/>
      </c>
      <c r="BD273" s="5">
        <f>MAU!BD8*Params!$B$61*Eras!BD$7*Params!$B$130*Params!$B$94</f>
        <v/>
      </c>
      <c r="BE273" s="5">
        <f>MAU!BE8*Params!$B$61*Eras!BE$7*Params!$B$130*Params!$B$94</f>
        <v/>
      </c>
      <c r="BF273" s="5">
        <f>MAU!BF8*Params!$B$61*Eras!BF$7*Params!$B$130*Params!$B$94</f>
        <v/>
      </c>
      <c r="BG273" s="5">
        <f>MAU!BG8*Params!$B$61*Eras!BG$7*Params!$B$130*Params!$B$94</f>
        <v/>
      </c>
      <c r="BH273" s="5">
        <f>MAU!BH8*Params!$B$61*Eras!BH$7*Params!$B$130*Params!$B$94</f>
        <v/>
      </c>
      <c r="BI273" s="5">
        <f>MAU!BI8*Params!$B$61*Eras!BI$7*Params!$B$130*Params!$B$94</f>
        <v/>
      </c>
      <c r="BJ273" s="5">
        <f>MAU!BJ8*Params!$B$61*Eras!BJ$7*Params!$B$130*Params!$B$94</f>
        <v/>
      </c>
      <c r="BK273" s="5">
        <f>MAU!BK8*Params!$B$61*Eras!BK$7*Params!$B$130*Params!$B$94</f>
        <v/>
      </c>
      <c r="BL273" s="5">
        <f>MAU!BL8*Params!$B$61*Eras!BL$7*Params!$B$130*Params!$B$94</f>
        <v/>
      </c>
      <c r="BM273" s="5">
        <f>MAU!BM8*Params!$B$61*Eras!BM$7*Params!$B$130*Params!$B$94</f>
        <v/>
      </c>
      <c r="BN273" s="5">
        <f>MAU!BN8*Params!$B$61*Eras!BN$7*Params!$B$130*Params!$B$94</f>
        <v/>
      </c>
      <c r="BO273" s="5">
        <f>MAU!BO8*Params!$B$61*Eras!BO$7*Params!$B$130*Params!$B$94</f>
        <v/>
      </c>
      <c r="BP273" s="5">
        <f>MAU!BP8*Params!$B$61*Eras!BP$7*Params!$B$130*Params!$B$94</f>
        <v/>
      </c>
      <c r="BQ273" s="5">
        <f>MAU!BQ8*Params!$B$61*Eras!BQ$7*Params!$B$130*Params!$B$94</f>
        <v/>
      </c>
      <c r="BR273" s="5">
        <f>MAU!BR8*Params!$B$61*Eras!BR$7*Params!$B$130*Params!$B$94</f>
        <v/>
      </c>
      <c r="BS273" s="5">
        <f>MAU!BS8*Params!$B$61*Eras!BS$7*Params!$B$130*Params!$B$94</f>
        <v/>
      </c>
      <c r="BT273" s="5">
        <f>MAU!BT8*Params!$B$61*Eras!BT$7*Params!$B$130*Params!$B$94</f>
        <v/>
      </c>
      <c r="BU273" s="5">
        <f>MAU!BU8*Params!$B$61*Eras!BU$7*Params!$B$130*Params!$B$94</f>
        <v/>
      </c>
      <c r="BV273" s="5">
        <f>MAU!BV8*Params!$B$61*Eras!BV$7*Params!$B$130*Params!$B$94</f>
        <v/>
      </c>
    </row>
    <row r="274">
      <c r="A274" t="inlineStr">
        <is>
          <t>trial starts</t>
        </is>
      </c>
      <c r="B274" t="inlineStr">
        <is>
          <t>ROW|BASIC_M</t>
        </is>
      </c>
      <c r="C274" s="5">
        <f>C273*Eras!C$8</f>
        <v/>
      </c>
      <c r="D274" s="5">
        <f>D273*Eras!D$8</f>
        <v/>
      </c>
      <c r="E274" s="5">
        <f>E273*Eras!E$8</f>
        <v/>
      </c>
      <c r="F274" s="5">
        <f>F273*Eras!F$8</f>
        <v/>
      </c>
      <c r="G274" s="5">
        <f>G273*Eras!G$8</f>
        <v/>
      </c>
      <c r="H274" s="5">
        <f>H273*Eras!H$8</f>
        <v/>
      </c>
      <c r="I274" s="5">
        <f>I273*Eras!I$8</f>
        <v/>
      </c>
      <c r="J274" s="5">
        <f>J273*Eras!J$8</f>
        <v/>
      </c>
      <c r="K274" s="5">
        <f>K273*Eras!K$8</f>
        <v/>
      </c>
      <c r="L274" s="5">
        <f>L273*Eras!L$8</f>
        <v/>
      </c>
      <c r="M274" s="5">
        <f>M273*Eras!M$8</f>
        <v/>
      </c>
      <c r="N274" s="5">
        <f>N273*Eras!N$8</f>
        <v/>
      </c>
      <c r="O274" s="5">
        <f>O273*Eras!O$8</f>
        <v/>
      </c>
      <c r="P274" s="5">
        <f>P273*Eras!P$8</f>
        <v/>
      </c>
      <c r="Q274" s="5">
        <f>Q273*Eras!Q$8</f>
        <v/>
      </c>
      <c r="R274" s="5">
        <f>R273*Eras!R$8</f>
        <v/>
      </c>
      <c r="S274" s="5">
        <f>S273*Eras!S$8</f>
        <v/>
      </c>
      <c r="T274" s="5">
        <f>T273*Eras!T$8</f>
        <v/>
      </c>
      <c r="U274" s="5">
        <f>U273*Eras!U$8</f>
        <v/>
      </c>
      <c r="V274" s="5">
        <f>V273*Eras!V$8</f>
        <v/>
      </c>
      <c r="W274" s="5">
        <f>W273*Eras!W$8</f>
        <v/>
      </c>
      <c r="X274" s="5">
        <f>X273*Eras!X$8</f>
        <v/>
      </c>
      <c r="Y274" s="5">
        <f>Y273*Eras!Y$8</f>
        <v/>
      </c>
      <c r="Z274" s="5">
        <f>Z273*Eras!Z$8</f>
        <v/>
      </c>
      <c r="AA274" s="5">
        <f>AA273*Eras!AA$8</f>
        <v/>
      </c>
      <c r="AB274" s="5">
        <f>AB273*Eras!AB$8</f>
        <v/>
      </c>
      <c r="AC274" s="5">
        <f>AC273*Eras!AC$8</f>
        <v/>
      </c>
      <c r="AD274" s="5">
        <f>AD273*Eras!AD$8</f>
        <v/>
      </c>
      <c r="AE274" s="5">
        <f>AE273*Eras!AE$8</f>
        <v/>
      </c>
      <c r="AF274" s="5">
        <f>AF273*Eras!AF$8</f>
        <v/>
      </c>
      <c r="AG274" s="5">
        <f>AG273*Eras!AG$8</f>
        <v/>
      </c>
      <c r="AH274" s="5">
        <f>AH273*Eras!AH$8</f>
        <v/>
      </c>
      <c r="AI274" s="5">
        <f>AI273*Eras!AI$8</f>
        <v/>
      </c>
      <c r="AJ274" s="5">
        <f>AJ273*Eras!AJ$8</f>
        <v/>
      </c>
      <c r="AK274" s="5">
        <f>AK273*Eras!AK$8</f>
        <v/>
      </c>
      <c r="AL274" s="5">
        <f>AL273*Eras!AL$8</f>
        <v/>
      </c>
      <c r="AM274" s="5">
        <f>AM273*Eras!AM$8</f>
        <v/>
      </c>
      <c r="AN274" s="5">
        <f>AN273*Eras!AN$8</f>
        <v/>
      </c>
      <c r="AO274" s="5">
        <f>AO273*Eras!AO$8</f>
        <v/>
      </c>
      <c r="AP274" s="5">
        <f>AP273*Eras!AP$8</f>
        <v/>
      </c>
      <c r="AQ274" s="5">
        <f>AQ273*Eras!AQ$8</f>
        <v/>
      </c>
      <c r="AR274" s="5">
        <f>AR273*Eras!AR$8</f>
        <v/>
      </c>
      <c r="AS274" s="5">
        <f>AS273*Eras!AS$8</f>
        <v/>
      </c>
      <c r="AT274" s="5">
        <f>AT273*Eras!AT$8</f>
        <v/>
      </c>
      <c r="AU274" s="5">
        <f>AU273*Eras!AU$8</f>
        <v/>
      </c>
      <c r="AV274" s="5">
        <f>AV273*Eras!AV$8</f>
        <v/>
      </c>
      <c r="AW274" s="5">
        <f>AW273*Eras!AW$8</f>
        <v/>
      </c>
      <c r="AX274" s="5">
        <f>AX273*Eras!AX$8</f>
        <v/>
      </c>
      <c r="AY274" s="5">
        <f>AY273*Eras!AY$8</f>
        <v/>
      </c>
      <c r="AZ274" s="5">
        <f>AZ273*Eras!AZ$8</f>
        <v/>
      </c>
      <c r="BA274" s="5">
        <f>BA273*Eras!BA$8</f>
        <v/>
      </c>
      <c r="BB274" s="5">
        <f>BB273*Eras!BB$8</f>
        <v/>
      </c>
      <c r="BC274" s="5">
        <f>BC273*Eras!BC$8</f>
        <v/>
      </c>
      <c r="BD274" s="5">
        <f>BD273*Eras!BD$8</f>
        <v/>
      </c>
      <c r="BE274" s="5">
        <f>BE273*Eras!BE$8</f>
        <v/>
      </c>
      <c r="BF274" s="5">
        <f>BF273*Eras!BF$8</f>
        <v/>
      </c>
      <c r="BG274" s="5">
        <f>BG273*Eras!BG$8</f>
        <v/>
      </c>
      <c r="BH274" s="5">
        <f>BH273*Eras!BH$8</f>
        <v/>
      </c>
      <c r="BI274" s="5">
        <f>BI273*Eras!BI$8</f>
        <v/>
      </c>
      <c r="BJ274" s="5">
        <f>BJ273*Eras!BJ$8</f>
        <v/>
      </c>
      <c r="BK274" s="5">
        <f>BK273*Eras!BK$8</f>
        <v/>
      </c>
      <c r="BL274" s="5">
        <f>BL273*Eras!BL$8</f>
        <v/>
      </c>
      <c r="BM274" s="5">
        <f>BM273*Eras!BM$8</f>
        <v/>
      </c>
      <c r="BN274" s="5">
        <f>BN273*Eras!BN$8</f>
        <v/>
      </c>
      <c r="BO274" s="5">
        <f>BO273*Eras!BO$8</f>
        <v/>
      </c>
      <c r="BP274" s="5">
        <f>BP273*Eras!BP$8</f>
        <v/>
      </c>
      <c r="BQ274" s="5">
        <f>BQ273*Eras!BQ$8</f>
        <v/>
      </c>
      <c r="BR274" s="5">
        <f>BR273*Eras!BR$8</f>
        <v/>
      </c>
      <c r="BS274" s="5">
        <f>BS273*Eras!BS$8</f>
        <v/>
      </c>
      <c r="BT274" s="5">
        <f>BT273*Eras!BT$8</f>
        <v/>
      </c>
      <c r="BU274" s="5">
        <f>BU273*Eras!BU$8</f>
        <v/>
      </c>
      <c r="BV274" s="5">
        <f>BV273*Eras!BV$8</f>
        <v/>
      </c>
    </row>
    <row r="275">
      <c r="A275" t="inlineStr">
        <is>
          <t>direct paid starts</t>
        </is>
      </c>
      <c r="B275" t="inlineStr">
        <is>
          <t>ROW|BASIC_M</t>
        </is>
      </c>
      <c r="C275" s="5">
        <f>C273-C274</f>
        <v/>
      </c>
      <c r="D275" s="5">
        <f>D273-D274</f>
        <v/>
      </c>
      <c r="E275" s="5">
        <f>E273-E274</f>
        <v/>
      </c>
      <c r="F275" s="5">
        <f>F273-F274</f>
        <v/>
      </c>
      <c r="G275" s="5">
        <f>G273-G274</f>
        <v/>
      </c>
      <c r="H275" s="5">
        <f>H273-H274</f>
        <v/>
      </c>
      <c r="I275" s="5">
        <f>I273-I274</f>
        <v/>
      </c>
      <c r="J275" s="5">
        <f>J273-J274</f>
        <v/>
      </c>
      <c r="K275" s="5">
        <f>K273-K274</f>
        <v/>
      </c>
      <c r="L275" s="5">
        <f>L273-L274</f>
        <v/>
      </c>
      <c r="M275" s="5">
        <f>M273-M274</f>
        <v/>
      </c>
      <c r="N275" s="5">
        <f>N273-N274</f>
        <v/>
      </c>
      <c r="O275" s="5">
        <f>O273-O274</f>
        <v/>
      </c>
      <c r="P275" s="5">
        <f>P273-P274</f>
        <v/>
      </c>
      <c r="Q275" s="5">
        <f>Q273-Q274</f>
        <v/>
      </c>
      <c r="R275" s="5">
        <f>R273-R274</f>
        <v/>
      </c>
      <c r="S275" s="5">
        <f>S273-S274</f>
        <v/>
      </c>
      <c r="T275" s="5">
        <f>T273-T274</f>
        <v/>
      </c>
      <c r="U275" s="5">
        <f>U273-U274</f>
        <v/>
      </c>
      <c r="V275" s="5">
        <f>V273-V274</f>
        <v/>
      </c>
      <c r="W275" s="5">
        <f>W273-W274</f>
        <v/>
      </c>
      <c r="X275" s="5">
        <f>X273-X274</f>
        <v/>
      </c>
      <c r="Y275" s="5">
        <f>Y273-Y274</f>
        <v/>
      </c>
      <c r="Z275" s="5">
        <f>Z273-Z274</f>
        <v/>
      </c>
      <c r="AA275" s="5">
        <f>AA273-AA274</f>
        <v/>
      </c>
      <c r="AB275" s="5">
        <f>AB273-AB274</f>
        <v/>
      </c>
      <c r="AC275" s="5">
        <f>AC273-AC274</f>
        <v/>
      </c>
      <c r="AD275" s="5">
        <f>AD273-AD274</f>
        <v/>
      </c>
      <c r="AE275" s="5">
        <f>AE273-AE274</f>
        <v/>
      </c>
      <c r="AF275" s="5">
        <f>AF273-AF274</f>
        <v/>
      </c>
      <c r="AG275" s="5">
        <f>AG273-AG274</f>
        <v/>
      </c>
      <c r="AH275" s="5">
        <f>AH273-AH274</f>
        <v/>
      </c>
      <c r="AI275" s="5">
        <f>AI273-AI274</f>
        <v/>
      </c>
      <c r="AJ275" s="5">
        <f>AJ273-AJ274</f>
        <v/>
      </c>
      <c r="AK275" s="5">
        <f>AK273-AK274</f>
        <v/>
      </c>
      <c r="AL275" s="5">
        <f>AL273-AL274</f>
        <v/>
      </c>
      <c r="AM275" s="5">
        <f>AM273-AM274</f>
        <v/>
      </c>
      <c r="AN275" s="5">
        <f>AN273-AN274</f>
        <v/>
      </c>
      <c r="AO275" s="5">
        <f>AO273-AO274</f>
        <v/>
      </c>
      <c r="AP275" s="5">
        <f>AP273-AP274</f>
        <v/>
      </c>
      <c r="AQ275" s="5">
        <f>AQ273-AQ274</f>
        <v/>
      </c>
      <c r="AR275" s="5">
        <f>AR273-AR274</f>
        <v/>
      </c>
      <c r="AS275" s="5">
        <f>AS273-AS274</f>
        <v/>
      </c>
      <c r="AT275" s="5">
        <f>AT273-AT274</f>
        <v/>
      </c>
      <c r="AU275" s="5">
        <f>AU273-AU274</f>
        <v/>
      </c>
      <c r="AV275" s="5">
        <f>AV273-AV274</f>
        <v/>
      </c>
      <c r="AW275" s="5">
        <f>AW273-AW274</f>
        <v/>
      </c>
      <c r="AX275" s="5">
        <f>AX273-AX274</f>
        <v/>
      </c>
      <c r="AY275" s="5">
        <f>AY273-AY274</f>
        <v/>
      </c>
      <c r="AZ275" s="5">
        <f>AZ273-AZ274</f>
        <v/>
      </c>
      <c r="BA275" s="5">
        <f>BA273-BA274</f>
        <v/>
      </c>
      <c r="BB275" s="5">
        <f>BB273-BB274</f>
        <v/>
      </c>
      <c r="BC275" s="5">
        <f>BC273-BC274</f>
        <v/>
      </c>
      <c r="BD275" s="5">
        <f>BD273-BD274</f>
        <v/>
      </c>
      <c r="BE275" s="5">
        <f>BE273-BE274</f>
        <v/>
      </c>
      <c r="BF275" s="5">
        <f>BF273-BF274</f>
        <v/>
      </c>
      <c r="BG275" s="5">
        <f>BG273-BG274</f>
        <v/>
      </c>
      <c r="BH275" s="5">
        <f>BH273-BH274</f>
        <v/>
      </c>
      <c r="BI275" s="5">
        <f>BI273-BI274</f>
        <v/>
      </c>
      <c r="BJ275" s="5">
        <f>BJ273-BJ274</f>
        <v/>
      </c>
      <c r="BK275" s="5">
        <f>BK273-BK274</f>
        <v/>
      </c>
      <c r="BL275" s="5">
        <f>BL273-BL274</f>
        <v/>
      </c>
      <c r="BM275" s="5">
        <f>BM273-BM274</f>
        <v/>
      </c>
      <c r="BN275" s="5">
        <f>BN273-BN274</f>
        <v/>
      </c>
      <c r="BO275" s="5">
        <f>BO273-BO274</f>
        <v/>
      </c>
      <c r="BP275" s="5">
        <f>BP273-BP274</f>
        <v/>
      </c>
      <c r="BQ275" s="5">
        <f>BQ273-BQ274</f>
        <v/>
      </c>
      <c r="BR275" s="5">
        <f>BR273-BR274</f>
        <v/>
      </c>
      <c r="BS275" s="5">
        <f>BS273-BS274</f>
        <v/>
      </c>
      <c r="BT275" s="5">
        <f>BT273-BT274</f>
        <v/>
      </c>
      <c r="BU275" s="5">
        <f>BU273-BU274</f>
        <v/>
      </c>
      <c r="BV275" s="5">
        <f>BV273-BV274</f>
        <v/>
      </c>
    </row>
    <row r="276">
      <c r="A276" t="inlineStr">
        <is>
          <t>trials ending</t>
        </is>
      </c>
      <c r="B276" t="inlineStr">
        <is>
          <t>ROW|BASIC_M</t>
        </is>
      </c>
      <c r="C276" s="5">
        <f>IF(C$2&gt;=Params!$B$6,INDEX($C$274:$BV$274,C$2-Params!$B$6+1),0)</f>
        <v/>
      </c>
      <c r="D276" s="5">
        <f>IF(D$2&gt;=Params!$B$6,INDEX($C$274:$BV$274,D$2-Params!$B$6+1),0)</f>
        <v/>
      </c>
      <c r="E276" s="5">
        <f>IF(E$2&gt;=Params!$B$6,INDEX($C$274:$BV$274,E$2-Params!$B$6+1),0)</f>
        <v/>
      </c>
      <c r="F276" s="5">
        <f>IF(F$2&gt;=Params!$B$6,INDEX($C$274:$BV$274,F$2-Params!$B$6+1),0)</f>
        <v/>
      </c>
      <c r="G276" s="5">
        <f>IF(G$2&gt;=Params!$B$6,INDEX($C$274:$BV$274,G$2-Params!$B$6+1),0)</f>
        <v/>
      </c>
      <c r="H276" s="5">
        <f>IF(H$2&gt;=Params!$B$6,INDEX($C$274:$BV$274,H$2-Params!$B$6+1),0)</f>
        <v/>
      </c>
      <c r="I276" s="5">
        <f>IF(I$2&gt;=Params!$B$6,INDEX($C$274:$BV$274,I$2-Params!$B$6+1),0)</f>
        <v/>
      </c>
      <c r="J276" s="5">
        <f>IF(J$2&gt;=Params!$B$6,INDEX($C$274:$BV$274,J$2-Params!$B$6+1),0)</f>
        <v/>
      </c>
      <c r="K276" s="5">
        <f>IF(K$2&gt;=Params!$B$6,INDEX($C$274:$BV$274,K$2-Params!$B$6+1),0)</f>
        <v/>
      </c>
      <c r="L276" s="5">
        <f>IF(L$2&gt;=Params!$B$6,INDEX($C$274:$BV$274,L$2-Params!$B$6+1),0)</f>
        <v/>
      </c>
      <c r="M276" s="5">
        <f>IF(M$2&gt;=Params!$B$6,INDEX($C$274:$BV$274,M$2-Params!$B$6+1),0)</f>
        <v/>
      </c>
      <c r="N276" s="5">
        <f>IF(N$2&gt;=Params!$B$6,INDEX($C$274:$BV$274,N$2-Params!$B$6+1),0)</f>
        <v/>
      </c>
      <c r="O276" s="5">
        <f>IF(O$2&gt;=Params!$B$6,INDEX($C$274:$BV$274,O$2-Params!$B$6+1),0)</f>
        <v/>
      </c>
      <c r="P276" s="5">
        <f>IF(P$2&gt;=Params!$B$6,INDEX($C$274:$BV$274,P$2-Params!$B$6+1),0)</f>
        <v/>
      </c>
      <c r="Q276" s="5">
        <f>IF(Q$2&gt;=Params!$B$6,INDEX($C$274:$BV$274,Q$2-Params!$B$6+1),0)</f>
        <v/>
      </c>
      <c r="R276" s="5">
        <f>IF(R$2&gt;=Params!$B$6,INDEX($C$274:$BV$274,R$2-Params!$B$6+1),0)</f>
        <v/>
      </c>
      <c r="S276" s="5">
        <f>IF(S$2&gt;=Params!$B$6,INDEX($C$274:$BV$274,S$2-Params!$B$6+1),0)</f>
        <v/>
      </c>
      <c r="T276" s="5">
        <f>IF(T$2&gt;=Params!$B$6,INDEX($C$274:$BV$274,T$2-Params!$B$6+1),0)</f>
        <v/>
      </c>
      <c r="U276" s="5">
        <f>IF(U$2&gt;=Params!$B$6,INDEX($C$274:$BV$274,U$2-Params!$B$6+1),0)</f>
        <v/>
      </c>
      <c r="V276" s="5">
        <f>IF(V$2&gt;=Params!$B$6,INDEX($C$274:$BV$274,V$2-Params!$B$6+1),0)</f>
        <v/>
      </c>
      <c r="W276" s="5">
        <f>IF(W$2&gt;=Params!$B$6,INDEX($C$274:$BV$274,W$2-Params!$B$6+1),0)</f>
        <v/>
      </c>
      <c r="X276" s="5">
        <f>IF(X$2&gt;=Params!$B$6,INDEX($C$274:$BV$274,X$2-Params!$B$6+1),0)</f>
        <v/>
      </c>
      <c r="Y276" s="5">
        <f>IF(Y$2&gt;=Params!$B$6,INDEX($C$274:$BV$274,Y$2-Params!$B$6+1),0)</f>
        <v/>
      </c>
      <c r="Z276" s="5">
        <f>IF(Z$2&gt;=Params!$B$6,INDEX($C$274:$BV$274,Z$2-Params!$B$6+1),0)</f>
        <v/>
      </c>
      <c r="AA276" s="5">
        <f>IF(AA$2&gt;=Params!$B$6,INDEX($C$274:$BV$274,AA$2-Params!$B$6+1),0)</f>
        <v/>
      </c>
      <c r="AB276" s="5">
        <f>IF(AB$2&gt;=Params!$B$6,INDEX($C$274:$BV$274,AB$2-Params!$B$6+1),0)</f>
        <v/>
      </c>
      <c r="AC276" s="5">
        <f>IF(AC$2&gt;=Params!$B$6,INDEX($C$274:$BV$274,AC$2-Params!$B$6+1),0)</f>
        <v/>
      </c>
      <c r="AD276" s="5">
        <f>IF(AD$2&gt;=Params!$B$6,INDEX($C$274:$BV$274,AD$2-Params!$B$6+1),0)</f>
        <v/>
      </c>
      <c r="AE276" s="5">
        <f>IF(AE$2&gt;=Params!$B$6,INDEX($C$274:$BV$274,AE$2-Params!$B$6+1),0)</f>
        <v/>
      </c>
      <c r="AF276" s="5">
        <f>IF(AF$2&gt;=Params!$B$6,INDEX($C$274:$BV$274,AF$2-Params!$B$6+1),0)</f>
        <v/>
      </c>
      <c r="AG276" s="5">
        <f>IF(AG$2&gt;=Params!$B$6,INDEX($C$274:$BV$274,AG$2-Params!$B$6+1),0)</f>
        <v/>
      </c>
      <c r="AH276" s="5">
        <f>IF(AH$2&gt;=Params!$B$6,INDEX($C$274:$BV$274,AH$2-Params!$B$6+1),0)</f>
        <v/>
      </c>
      <c r="AI276" s="5">
        <f>IF(AI$2&gt;=Params!$B$6,INDEX($C$274:$BV$274,AI$2-Params!$B$6+1),0)</f>
        <v/>
      </c>
      <c r="AJ276" s="5">
        <f>IF(AJ$2&gt;=Params!$B$6,INDEX($C$274:$BV$274,AJ$2-Params!$B$6+1),0)</f>
        <v/>
      </c>
      <c r="AK276" s="5">
        <f>IF(AK$2&gt;=Params!$B$6,INDEX($C$274:$BV$274,AK$2-Params!$B$6+1),0)</f>
        <v/>
      </c>
      <c r="AL276" s="5">
        <f>IF(AL$2&gt;=Params!$B$6,INDEX($C$274:$BV$274,AL$2-Params!$B$6+1),0)</f>
        <v/>
      </c>
      <c r="AM276" s="5">
        <f>IF(AM$2&gt;=Params!$B$6,INDEX($C$274:$BV$274,AM$2-Params!$B$6+1),0)</f>
        <v/>
      </c>
      <c r="AN276" s="5">
        <f>IF(AN$2&gt;=Params!$B$6,INDEX($C$274:$BV$274,AN$2-Params!$B$6+1),0)</f>
        <v/>
      </c>
      <c r="AO276" s="5">
        <f>IF(AO$2&gt;=Params!$B$6,INDEX($C$274:$BV$274,AO$2-Params!$B$6+1),0)</f>
        <v/>
      </c>
      <c r="AP276" s="5">
        <f>IF(AP$2&gt;=Params!$B$6,INDEX($C$274:$BV$274,AP$2-Params!$B$6+1),0)</f>
        <v/>
      </c>
      <c r="AQ276" s="5">
        <f>IF(AQ$2&gt;=Params!$B$6,INDEX($C$274:$BV$274,AQ$2-Params!$B$6+1),0)</f>
        <v/>
      </c>
      <c r="AR276" s="5">
        <f>IF(AR$2&gt;=Params!$B$6,INDEX($C$274:$BV$274,AR$2-Params!$B$6+1),0)</f>
        <v/>
      </c>
      <c r="AS276" s="5">
        <f>IF(AS$2&gt;=Params!$B$6,INDEX($C$274:$BV$274,AS$2-Params!$B$6+1),0)</f>
        <v/>
      </c>
      <c r="AT276" s="5">
        <f>IF(AT$2&gt;=Params!$B$6,INDEX($C$274:$BV$274,AT$2-Params!$B$6+1),0)</f>
        <v/>
      </c>
      <c r="AU276" s="5">
        <f>IF(AU$2&gt;=Params!$B$6,INDEX($C$274:$BV$274,AU$2-Params!$B$6+1),0)</f>
        <v/>
      </c>
      <c r="AV276" s="5">
        <f>IF(AV$2&gt;=Params!$B$6,INDEX($C$274:$BV$274,AV$2-Params!$B$6+1),0)</f>
        <v/>
      </c>
      <c r="AW276" s="5">
        <f>IF(AW$2&gt;=Params!$B$6,INDEX($C$274:$BV$274,AW$2-Params!$B$6+1),0)</f>
        <v/>
      </c>
      <c r="AX276" s="5">
        <f>IF(AX$2&gt;=Params!$B$6,INDEX($C$274:$BV$274,AX$2-Params!$B$6+1),0)</f>
        <v/>
      </c>
      <c r="AY276" s="5">
        <f>IF(AY$2&gt;=Params!$B$6,INDEX($C$274:$BV$274,AY$2-Params!$B$6+1),0)</f>
        <v/>
      </c>
      <c r="AZ276" s="5">
        <f>IF(AZ$2&gt;=Params!$B$6,INDEX($C$274:$BV$274,AZ$2-Params!$B$6+1),0)</f>
        <v/>
      </c>
      <c r="BA276" s="5">
        <f>IF(BA$2&gt;=Params!$B$6,INDEX($C$274:$BV$274,BA$2-Params!$B$6+1),0)</f>
        <v/>
      </c>
      <c r="BB276" s="5">
        <f>IF(BB$2&gt;=Params!$B$6,INDEX($C$274:$BV$274,BB$2-Params!$B$6+1),0)</f>
        <v/>
      </c>
      <c r="BC276" s="5">
        <f>IF(BC$2&gt;=Params!$B$6,INDEX($C$274:$BV$274,BC$2-Params!$B$6+1),0)</f>
        <v/>
      </c>
      <c r="BD276" s="5">
        <f>IF(BD$2&gt;=Params!$B$6,INDEX($C$274:$BV$274,BD$2-Params!$B$6+1),0)</f>
        <v/>
      </c>
      <c r="BE276" s="5">
        <f>IF(BE$2&gt;=Params!$B$6,INDEX($C$274:$BV$274,BE$2-Params!$B$6+1),0)</f>
        <v/>
      </c>
      <c r="BF276" s="5">
        <f>IF(BF$2&gt;=Params!$B$6,INDEX($C$274:$BV$274,BF$2-Params!$B$6+1),0)</f>
        <v/>
      </c>
      <c r="BG276" s="5">
        <f>IF(BG$2&gt;=Params!$B$6,INDEX($C$274:$BV$274,BG$2-Params!$B$6+1),0)</f>
        <v/>
      </c>
      <c r="BH276" s="5">
        <f>IF(BH$2&gt;=Params!$B$6,INDEX($C$274:$BV$274,BH$2-Params!$B$6+1),0)</f>
        <v/>
      </c>
      <c r="BI276" s="5">
        <f>IF(BI$2&gt;=Params!$B$6,INDEX($C$274:$BV$274,BI$2-Params!$B$6+1),0)</f>
        <v/>
      </c>
      <c r="BJ276" s="5">
        <f>IF(BJ$2&gt;=Params!$B$6,INDEX($C$274:$BV$274,BJ$2-Params!$B$6+1),0)</f>
        <v/>
      </c>
      <c r="BK276" s="5">
        <f>IF(BK$2&gt;=Params!$B$6,INDEX($C$274:$BV$274,BK$2-Params!$B$6+1),0)</f>
        <v/>
      </c>
      <c r="BL276" s="5">
        <f>IF(BL$2&gt;=Params!$B$6,INDEX($C$274:$BV$274,BL$2-Params!$B$6+1),0)</f>
        <v/>
      </c>
      <c r="BM276" s="5">
        <f>IF(BM$2&gt;=Params!$B$6,INDEX($C$274:$BV$274,BM$2-Params!$B$6+1),0)</f>
        <v/>
      </c>
      <c r="BN276" s="5">
        <f>IF(BN$2&gt;=Params!$B$6,INDEX($C$274:$BV$274,BN$2-Params!$B$6+1),0)</f>
        <v/>
      </c>
      <c r="BO276" s="5">
        <f>IF(BO$2&gt;=Params!$B$6,INDEX($C$274:$BV$274,BO$2-Params!$B$6+1),0)</f>
        <v/>
      </c>
      <c r="BP276" s="5">
        <f>IF(BP$2&gt;=Params!$B$6,INDEX($C$274:$BV$274,BP$2-Params!$B$6+1),0)</f>
        <v/>
      </c>
      <c r="BQ276" s="5">
        <f>IF(BQ$2&gt;=Params!$B$6,INDEX($C$274:$BV$274,BQ$2-Params!$B$6+1),0)</f>
        <v/>
      </c>
      <c r="BR276" s="5">
        <f>IF(BR$2&gt;=Params!$B$6,INDEX($C$274:$BV$274,BR$2-Params!$B$6+1),0)</f>
        <v/>
      </c>
      <c r="BS276" s="5">
        <f>IF(BS$2&gt;=Params!$B$6,INDEX($C$274:$BV$274,BS$2-Params!$B$6+1),0)</f>
        <v/>
      </c>
      <c r="BT276" s="5">
        <f>IF(BT$2&gt;=Params!$B$6,INDEX($C$274:$BV$274,BT$2-Params!$B$6+1),0)</f>
        <v/>
      </c>
      <c r="BU276" s="5">
        <f>IF(BU$2&gt;=Params!$B$6,INDEX($C$274:$BV$274,BU$2-Params!$B$6+1),0)</f>
        <v/>
      </c>
      <c r="BV276" s="5">
        <f>IF(BV$2&gt;=Params!$B$6,INDEX($C$274:$BV$274,BV$2-Params!$B$6+1),0)</f>
        <v/>
      </c>
    </row>
    <row r="277">
      <c r="A277" t="inlineStr">
        <is>
          <t>trial starts x conversion</t>
        </is>
      </c>
      <c r="B277" t="inlineStr">
        <is>
          <t>ROW|BASIC_M</t>
        </is>
      </c>
      <c r="C277" s="5">
        <f>C274*Eras!C$9</f>
        <v/>
      </c>
      <c r="D277" s="5">
        <f>D274*Eras!D$9</f>
        <v/>
      </c>
      <c r="E277" s="5">
        <f>E274*Eras!E$9</f>
        <v/>
      </c>
      <c r="F277" s="5">
        <f>F274*Eras!F$9</f>
        <v/>
      </c>
      <c r="G277" s="5">
        <f>G274*Eras!G$9</f>
        <v/>
      </c>
      <c r="H277" s="5">
        <f>H274*Eras!H$9</f>
        <v/>
      </c>
      <c r="I277" s="5">
        <f>I274*Eras!I$9</f>
        <v/>
      </c>
      <c r="J277" s="5">
        <f>J274*Eras!J$9</f>
        <v/>
      </c>
      <c r="K277" s="5">
        <f>K274*Eras!K$9</f>
        <v/>
      </c>
      <c r="L277" s="5">
        <f>L274*Eras!L$9</f>
        <v/>
      </c>
      <c r="M277" s="5">
        <f>M274*Eras!M$9</f>
        <v/>
      </c>
      <c r="N277" s="5">
        <f>N274*Eras!N$9</f>
        <v/>
      </c>
      <c r="O277" s="5">
        <f>O274*Eras!O$9</f>
        <v/>
      </c>
      <c r="P277" s="5">
        <f>P274*Eras!P$9</f>
        <v/>
      </c>
      <c r="Q277" s="5">
        <f>Q274*Eras!Q$9</f>
        <v/>
      </c>
      <c r="R277" s="5">
        <f>R274*Eras!R$9</f>
        <v/>
      </c>
      <c r="S277" s="5">
        <f>S274*Eras!S$9</f>
        <v/>
      </c>
      <c r="T277" s="5">
        <f>T274*Eras!T$9</f>
        <v/>
      </c>
      <c r="U277" s="5">
        <f>U274*Eras!U$9</f>
        <v/>
      </c>
      <c r="V277" s="5">
        <f>V274*Eras!V$9</f>
        <v/>
      </c>
      <c r="W277" s="5">
        <f>W274*Eras!W$9</f>
        <v/>
      </c>
      <c r="X277" s="5">
        <f>X274*Eras!X$9</f>
        <v/>
      </c>
      <c r="Y277" s="5">
        <f>Y274*Eras!Y$9</f>
        <v/>
      </c>
      <c r="Z277" s="5">
        <f>Z274*Eras!Z$9</f>
        <v/>
      </c>
      <c r="AA277" s="5">
        <f>AA274*Eras!AA$9</f>
        <v/>
      </c>
      <c r="AB277" s="5">
        <f>AB274*Eras!AB$9</f>
        <v/>
      </c>
      <c r="AC277" s="5">
        <f>AC274*Eras!AC$9</f>
        <v/>
      </c>
      <c r="AD277" s="5">
        <f>AD274*Eras!AD$9</f>
        <v/>
      </c>
      <c r="AE277" s="5">
        <f>AE274*Eras!AE$9</f>
        <v/>
      </c>
      <c r="AF277" s="5">
        <f>AF274*Eras!AF$9</f>
        <v/>
      </c>
      <c r="AG277" s="5">
        <f>AG274*Eras!AG$9</f>
        <v/>
      </c>
      <c r="AH277" s="5">
        <f>AH274*Eras!AH$9</f>
        <v/>
      </c>
      <c r="AI277" s="5">
        <f>AI274*Eras!AI$9</f>
        <v/>
      </c>
      <c r="AJ277" s="5">
        <f>AJ274*Eras!AJ$9</f>
        <v/>
      </c>
      <c r="AK277" s="5">
        <f>AK274*Eras!AK$9</f>
        <v/>
      </c>
      <c r="AL277" s="5">
        <f>AL274*Eras!AL$9</f>
        <v/>
      </c>
      <c r="AM277" s="5">
        <f>AM274*Eras!AM$9</f>
        <v/>
      </c>
      <c r="AN277" s="5">
        <f>AN274*Eras!AN$9</f>
        <v/>
      </c>
      <c r="AO277" s="5">
        <f>AO274*Eras!AO$9</f>
        <v/>
      </c>
      <c r="AP277" s="5">
        <f>AP274*Eras!AP$9</f>
        <v/>
      </c>
      <c r="AQ277" s="5">
        <f>AQ274*Eras!AQ$9</f>
        <v/>
      </c>
      <c r="AR277" s="5">
        <f>AR274*Eras!AR$9</f>
        <v/>
      </c>
      <c r="AS277" s="5">
        <f>AS274*Eras!AS$9</f>
        <v/>
      </c>
      <c r="AT277" s="5">
        <f>AT274*Eras!AT$9</f>
        <v/>
      </c>
      <c r="AU277" s="5">
        <f>AU274*Eras!AU$9</f>
        <v/>
      </c>
      <c r="AV277" s="5">
        <f>AV274*Eras!AV$9</f>
        <v/>
      </c>
      <c r="AW277" s="5">
        <f>AW274*Eras!AW$9</f>
        <v/>
      </c>
      <c r="AX277" s="5">
        <f>AX274*Eras!AX$9</f>
        <v/>
      </c>
      <c r="AY277" s="5">
        <f>AY274*Eras!AY$9</f>
        <v/>
      </c>
      <c r="AZ277" s="5">
        <f>AZ274*Eras!AZ$9</f>
        <v/>
      </c>
      <c r="BA277" s="5">
        <f>BA274*Eras!BA$9</f>
        <v/>
      </c>
      <c r="BB277" s="5">
        <f>BB274*Eras!BB$9</f>
        <v/>
      </c>
      <c r="BC277" s="5">
        <f>BC274*Eras!BC$9</f>
        <v/>
      </c>
      <c r="BD277" s="5">
        <f>BD274*Eras!BD$9</f>
        <v/>
      </c>
      <c r="BE277" s="5">
        <f>BE274*Eras!BE$9</f>
        <v/>
      </c>
      <c r="BF277" s="5">
        <f>BF274*Eras!BF$9</f>
        <v/>
      </c>
      <c r="BG277" s="5">
        <f>BG274*Eras!BG$9</f>
        <v/>
      </c>
      <c r="BH277" s="5">
        <f>BH274*Eras!BH$9</f>
        <v/>
      </c>
      <c r="BI277" s="5">
        <f>BI274*Eras!BI$9</f>
        <v/>
      </c>
      <c r="BJ277" s="5">
        <f>BJ274*Eras!BJ$9</f>
        <v/>
      </c>
      <c r="BK277" s="5">
        <f>BK274*Eras!BK$9</f>
        <v/>
      </c>
      <c r="BL277" s="5">
        <f>BL274*Eras!BL$9</f>
        <v/>
      </c>
      <c r="BM277" s="5">
        <f>BM274*Eras!BM$9</f>
        <v/>
      </c>
      <c r="BN277" s="5">
        <f>BN274*Eras!BN$9</f>
        <v/>
      </c>
      <c r="BO277" s="5">
        <f>BO274*Eras!BO$9</f>
        <v/>
      </c>
      <c r="BP277" s="5">
        <f>BP274*Eras!BP$9</f>
        <v/>
      </c>
      <c r="BQ277" s="5">
        <f>BQ274*Eras!BQ$9</f>
        <v/>
      </c>
      <c r="BR277" s="5">
        <f>BR274*Eras!BR$9</f>
        <v/>
      </c>
      <c r="BS277" s="5">
        <f>BS274*Eras!BS$9</f>
        <v/>
      </c>
      <c r="BT277" s="5">
        <f>BT274*Eras!BT$9</f>
        <v/>
      </c>
      <c r="BU277" s="5">
        <f>BU274*Eras!BU$9</f>
        <v/>
      </c>
      <c r="BV277" s="5">
        <f>BV274*Eras!BV$9</f>
        <v/>
      </c>
    </row>
    <row r="278">
      <c r="A278" t="inlineStr">
        <is>
          <t>trials converted</t>
        </is>
      </c>
      <c r="B278" t="inlineStr">
        <is>
          <t>ROW|BASIC_M</t>
        </is>
      </c>
      <c r="C278" s="5">
        <f>IF(C$2&gt;=Params!$B$6,INDEX($C$277:$BV$277,C$2-Params!$B$6+1),0)</f>
        <v/>
      </c>
      <c r="D278" s="5">
        <f>IF(D$2&gt;=Params!$B$6,INDEX($C$277:$BV$277,D$2-Params!$B$6+1),0)</f>
        <v/>
      </c>
      <c r="E278" s="5">
        <f>IF(E$2&gt;=Params!$B$6,INDEX($C$277:$BV$277,E$2-Params!$B$6+1),0)</f>
        <v/>
      </c>
      <c r="F278" s="5">
        <f>IF(F$2&gt;=Params!$B$6,INDEX($C$277:$BV$277,F$2-Params!$B$6+1),0)</f>
        <v/>
      </c>
      <c r="G278" s="5">
        <f>IF(G$2&gt;=Params!$B$6,INDEX($C$277:$BV$277,G$2-Params!$B$6+1),0)</f>
        <v/>
      </c>
      <c r="H278" s="5">
        <f>IF(H$2&gt;=Params!$B$6,INDEX($C$277:$BV$277,H$2-Params!$B$6+1),0)</f>
        <v/>
      </c>
      <c r="I278" s="5">
        <f>IF(I$2&gt;=Params!$B$6,INDEX($C$277:$BV$277,I$2-Params!$B$6+1),0)</f>
        <v/>
      </c>
      <c r="J278" s="5">
        <f>IF(J$2&gt;=Params!$B$6,INDEX($C$277:$BV$277,J$2-Params!$B$6+1),0)</f>
        <v/>
      </c>
      <c r="K278" s="5">
        <f>IF(K$2&gt;=Params!$B$6,INDEX($C$277:$BV$277,K$2-Params!$B$6+1),0)</f>
        <v/>
      </c>
      <c r="L278" s="5">
        <f>IF(L$2&gt;=Params!$B$6,INDEX($C$277:$BV$277,L$2-Params!$B$6+1),0)</f>
        <v/>
      </c>
      <c r="M278" s="5">
        <f>IF(M$2&gt;=Params!$B$6,INDEX($C$277:$BV$277,M$2-Params!$B$6+1),0)</f>
        <v/>
      </c>
      <c r="N278" s="5">
        <f>IF(N$2&gt;=Params!$B$6,INDEX($C$277:$BV$277,N$2-Params!$B$6+1),0)</f>
        <v/>
      </c>
      <c r="O278" s="5">
        <f>IF(O$2&gt;=Params!$B$6,INDEX($C$277:$BV$277,O$2-Params!$B$6+1),0)</f>
        <v/>
      </c>
      <c r="P278" s="5">
        <f>IF(P$2&gt;=Params!$B$6,INDEX($C$277:$BV$277,P$2-Params!$B$6+1),0)</f>
        <v/>
      </c>
      <c r="Q278" s="5">
        <f>IF(Q$2&gt;=Params!$B$6,INDEX($C$277:$BV$277,Q$2-Params!$B$6+1),0)</f>
        <v/>
      </c>
      <c r="R278" s="5">
        <f>IF(R$2&gt;=Params!$B$6,INDEX($C$277:$BV$277,R$2-Params!$B$6+1),0)</f>
        <v/>
      </c>
      <c r="S278" s="5">
        <f>IF(S$2&gt;=Params!$B$6,INDEX($C$277:$BV$277,S$2-Params!$B$6+1),0)</f>
        <v/>
      </c>
      <c r="T278" s="5">
        <f>IF(T$2&gt;=Params!$B$6,INDEX($C$277:$BV$277,T$2-Params!$B$6+1),0)</f>
        <v/>
      </c>
      <c r="U278" s="5">
        <f>IF(U$2&gt;=Params!$B$6,INDEX($C$277:$BV$277,U$2-Params!$B$6+1),0)</f>
        <v/>
      </c>
      <c r="V278" s="5">
        <f>IF(V$2&gt;=Params!$B$6,INDEX($C$277:$BV$277,V$2-Params!$B$6+1),0)</f>
        <v/>
      </c>
      <c r="W278" s="5">
        <f>IF(W$2&gt;=Params!$B$6,INDEX($C$277:$BV$277,W$2-Params!$B$6+1),0)</f>
        <v/>
      </c>
      <c r="X278" s="5">
        <f>IF(X$2&gt;=Params!$B$6,INDEX($C$277:$BV$277,X$2-Params!$B$6+1),0)</f>
        <v/>
      </c>
      <c r="Y278" s="5">
        <f>IF(Y$2&gt;=Params!$B$6,INDEX($C$277:$BV$277,Y$2-Params!$B$6+1),0)</f>
        <v/>
      </c>
      <c r="Z278" s="5">
        <f>IF(Z$2&gt;=Params!$B$6,INDEX($C$277:$BV$277,Z$2-Params!$B$6+1),0)</f>
        <v/>
      </c>
      <c r="AA278" s="5">
        <f>IF(AA$2&gt;=Params!$B$6,INDEX($C$277:$BV$277,AA$2-Params!$B$6+1),0)</f>
        <v/>
      </c>
      <c r="AB278" s="5">
        <f>IF(AB$2&gt;=Params!$B$6,INDEX($C$277:$BV$277,AB$2-Params!$B$6+1),0)</f>
        <v/>
      </c>
      <c r="AC278" s="5">
        <f>IF(AC$2&gt;=Params!$B$6,INDEX($C$277:$BV$277,AC$2-Params!$B$6+1),0)</f>
        <v/>
      </c>
      <c r="AD278" s="5">
        <f>IF(AD$2&gt;=Params!$B$6,INDEX($C$277:$BV$277,AD$2-Params!$B$6+1),0)</f>
        <v/>
      </c>
      <c r="AE278" s="5">
        <f>IF(AE$2&gt;=Params!$B$6,INDEX($C$277:$BV$277,AE$2-Params!$B$6+1),0)</f>
        <v/>
      </c>
      <c r="AF278" s="5">
        <f>IF(AF$2&gt;=Params!$B$6,INDEX($C$277:$BV$277,AF$2-Params!$B$6+1),0)</f>
        <v/>
      </c>
      <c r="AG278" s="5">
        <f>IF(AG$2&gt;=Params!$B$6,INDEX($C$277:$BV$277,AG$2-Params!$B$6+1),0)</f>
        <v/>
      </c>
      <c r="AH278" s="5">
        <f>IF(AH$2&gt;=Params!$B$6,INDEX($C$277:$BV$277,AH$2-Params!$B$6+1),0)</f>
        <v/>
      </c>
      <c r="AI278" s="5">
        <f>IF(AI$2&gt;=Params!$B$6,INDEX($C$277:$BV$277,AI$2-Params!$B$6+1),0)</f>
        <v/>
      </c>
      <c r="AJ278" s="5">
        <f>IF(AJ$2&gt;=Params!$B$6,INDEX($C$277:$BV$277,AJ$2-Params!$B$6+1),0)</f>
        <v/>
      </c>
      <c r="AK278" s="5">
        <f>IF(AK$2&gt;=Params!$B$6,INDEX($C$277:$BV$277,AK$2-Params!$B$6+1),0)</f>
        <v/>
      </c>
      <c r="AL278" s="5">
        <f>IF(AL$2&gt;=Params!$B$6,INDEX($C$277:$BV$277,AL$2-Params!$B$6+1),0)</f>
        <v/>
      </c>
      <c r="AM278" s="5">
        <f>IF(AM$2&gt;=Params!$B$6,INDEX($C$277:$BV$277,AM$2-Params!$B$6+1),0)</f>
        <v/>
      </c>
      <c r="AN278" s="5">
        <f>IF(AN$2&gt;=Params!$B$6,INDEX($C$277:$BV$277,AN$2-Params!$B$6+1),0)</f>
        <v/>
      </c>
      <c r="AO278" s="5">
        <f>IF(AO$2&gt;=Params!$B$6,INDEX($C$277:$BV$277,AO$2-Params!$B$6+1),0)</f>
        <v/>
      </c>
      <c r="AP278" s="5">
        <f>IF(AP$2&gt;=Params!$B$6,INDEX($C$277:$BV$277,AP$2-Params!$B$6+1),0)</f>
        <v/>
      </c>
      <c r="AQ278" s="5">
        <f>IF(AQ$2&gt;=Params!$B$6,INDEX($C$277:$BV$277,AQ$2-Params!$B$6+1),0)</f>
        <v/>
      </c>
      <c r="AR278" s="5">
        <f>IF(AR$2&gt;=Params!$B$6,INDEX($C$277:$BV$277,AR$2-Params!$B$6+1),0)</f>
        <v/>
      </c>
      <c r="AS278" s="5">
        <f>IF(AS$2&gt;=Params!$B$6,INDEX($C$277:$BV$277,AS$2-Params!$B$6+1),0)</f>
        <v/>
      </c>
      <c r="AT278" s="5">
        <f>IF(AT$2&gt;=Params!$B$6,INDEX($C$277:$BV$277,AT$2-Params!$B$6+1),0)</f>
        <v/>
      </c>
      <c r="AU278" s="5">
        <f>IF(AU$2&gt;=Params!$B$6,INDEX($C$277:$BV$277,AU$2-Params!$B$6+1),0)</f>
        <v/>
      </c>
      <c r="AV278" s="5">
        <f>IF(AV$2&gt;=Params!$B$6,INDEX($C$277:$BV$277,AV$2-Params!$B$6+1),0)</f>
        <v/>
      </c>
      <c r="AW278" s="5">
        <f>IF(AW$2&gt;=Params!$B$6,INDEX($C$277:$BV$277,AW$2-Params!$B$6+1),0)</f>
        <v/>
      </c>
      <c r="AX278" s="5">
        <f>IF(AX$2&gt;=Params!$B$6,INDEX($C$277:$BV$277,AX$2-Params!$B$6+1),0)</f>
        <v/>
      </c>
      <c r="AY278" s="5">
        <f>IF(AY$2&gt;=Params!$B$6,INDEX($C$277:$BV$277,AY$2-Params!$B$6+1),0)</f>
        <v/>
      </c>
      <c r="AZ278" s="5">
        <f>IF(AZ$2&gt;=Params!$B$6,INDEX($C$277:$BV$277,AZ$2-Params!$B$6+1),0)</f>
        <v/>
      </c>
      <c r="BA278" s="5">
        <f>IF(BA$2&gt;=Params!$B$6,INDEX($C$277:$BV$277,BA$2-Params!$B$6+1),0)</f>
        <v/>
      </c>
      <c r="BB278" s="5">
        <f>IF(BB$2&gt;=Params!$B$6,INDEX($C$277:$BV$277,BB$2-Params!$B$6+1),0)</f>
        <v/>
      </c>
      <c r="BC278" s="5">
        <f>IF(BC$2&gt;=Params!$B$6,INDEX($C$277:$BV$277,BC$2-Params!$B$6+1),0)</f>
        <v/>
      </c>
      <c r="BD278" s="5">
        <f>IF(BD$2&gt;=Params!$B$6,INDEX($C$277:$BV$277,BD$2-Params!$B$6+1),0)</f>
        <v/>
      </c>
      <c r="BE278" s="5">
        <f>IF(BE$2&gt;=Params!$B$6,INDEX($C$277:$BV$277,BE$2-Params!$B$6+1),0)</f>
        <v/>
      </c>
      <c r="BF278" s="5">
        <f>IF(BF$2&gt;=Params!$B$6,INDEX($C$277:$BV$277,BF$2-Params!$B$6+1),0)</f>
        <v/>
      </c>
      <c r="BG278" s="5">
        <f>IF(BG$2&gt;=Params!$B$6,INDEX($C$277:$BV$277,BG$2-Params!$B$6+1),0)</f>
        <v/>
      </c>
      <c r="BH278" s="5">
        <f>IF(BH$2&gt;=Params!$B$6,INDEX($C$277:$BV$277,BH$2-Params!$B$6+1),0)</f>
        <v/>
      </c>
      <c r="BI278" s="5">
        <f>IF(BI$2&gt;=Params!$B$6,INDEX($C$277:$BV$277,BI$2-Params!$B$6+1),0)</f>
        <v/>
      </c>
      <c r="BJ278" s="5">
        <f>IF(BJ$2&gt;=Params!$B$6,INDEX($C$277:$BV$277,BJ$2-Params!$B$6+1),0)</f>
        <v/>
      </c>
      <c r="BK278" s="5">
        <f>IF(BK$2&gt;=Params!$B$6,INDEX($C$277:$BV$277,BK$2-Params!$B$6+1),0)</f>
        <v/>
      </c>
      <c r="BL278" s="5">
        <f>IF(BL$2&gt;=Params!$B$6,INDEX($C$277:$BV$277,BL$2-Params!$B$6+1),0)</f>
        <v/>
      </c>
      <c r="BM278" s="5">
        <f>IF(BM$2&gt;=Params!$B$6,INDEX($C$277:$BV$277,BM$2-Params!$B$6+1),0)</f>
        <v/>
      </c>
      <c r="BN278" s="5">
        <f>IF(BN$2&gt;=Params!$B$6,INDEX($C$277:$BV$277,BN$2-Params!$B$6+1),0)</f>
        <v/>
      </c>
      <c r="BO278" s="5">
        <f>IF(BO$2&gt;=Params!$B$6,INDEX($C$277:$BV$277,BO$2-Params!$B$6+1),0)</f>
        <v/>
      </c>
      <c r="BP278" s="5">
        <f>IF(BP$2&gt;=Params!$B$6,INDEX($C$277:$BV$277,BP$2-Params!$B$6+1),0)</f>
        <v/>
      </c>
      <c r="BQ278" s="5">
        <f>IF(BQ$2&gt;=Params!$B$6,INDEX($C$277:$BV$277,BQ$2-Params!$B$6+1),0)</f>
        <v/>
      </c>
      <c r="BR278" s="5">
        <f>IF(BR$2&gt;=Params!$B$6,INDEX($C$277:$BV$277,BR$2-Params!$B$6+1),0)</f>
        <v/>
      </c>
      <c r="BS278" s="5">
        <f>IF(BS$2&gt;=Params!$B$6,INDEX($C$277:$BV$277,BS$2-Params!$B$6+1),0)</f>
        <v/>
      </c>
      <c r="BT278" s="5">
        <f>IF(BT$2&gt;=Params!$B$6,INDEX($C$277:$BV$277,BT$2-Params!$B$6+1),0)</f>
        <v/>
      </c>
      <c r="BU278" s="5">
        <f>IF(BU$2&gt;=Params!$B$6,INDEX($C$277:$BV$277,BU$2-Params!$B$6+1),0)</f>
        <v/>
      </c>
      <c r="BV278" s="5">
        <f>IF(BV$2&gt;=Params!$B$6,INDEX($C$277:$BV$277,BV$2-Params!$B$6+1),0)</f>
        <v/>
      </c>
    </row>
    <row r="279">
      <c r="A279" t="inlineStr">
        <is>
          <t>trials lost</t>
        </is>
      </c>
      <c r="B279" t="inlineStr">
        <is>
          <t>ROW|BASIC_M</t>
        </is>
      </c>
      <c r="C279" s="5">
        <f>C276-C278</f>
        <v/>
      </c>
      <c r="D279" s="5">
        <f>D276-D278</f>
        <v/>
      </c>
      <c r="E279" s="5">
        <f>E276-E278</f>
        <v/>
      </c>
      <c r="F279" s="5">
        <f>F276-F278</f>
        <v/>
      </c>
      <c r="G279" s="5">
        <f>G276-G278</f>
        <v/>
      </c>
      <c r="H279" s="5">
        <f>H276-H278</f>
        <v/>
      </c>
      <c r="I279" s="5">
        <f>I276-I278</f>
        <v/>
      </c>
      <c r="J279" s="5">
        <f>J276-J278</f>
        <v/>
      </c>
      <c r="K279" s="5">
        <f>K276-K278</f>
        <v/>
      </c>
      <c r="L279" s="5">
        <f>L276-L278</f>
        <v/>
      </c>
      <c r="M279" s="5">
        <f>M276-M278</f>
        <v/>
      </c>
      <c r="N279" s="5">
        <f>N276-N278</f>
        <v/>
      </c>
      <c r="O279" s="5">
        <f>O276-O278</f>
        <v/>
      </c>
      <c r="P279" s="5">
        <f>P276-P278</f>
        <v/>
      </c>
      <c r="Q279" s="5">
        <f>Q276-Q278</f>
        <v/>
      </c>
      <c r="R279" s="5">
        <f>R276-R278</f>
        <v/>
      </c>
      <c r="S279" s="5">
        <f>S276-S278</f>
        <v/>
      </c>
      <c r="T279" s="5">
        <f>T276-T278</f>
        <v/>
      </c>
      <c r="U279" s="5">
        <f>U276-U278</f>
        <v/>
      </c>
      <c r="V279" s="5">
        <f>V276-V278</f>
        <v/>
      </c>
      <c r="W279" s="5">
        <f>W276-W278</f>
        <v/>
      </c>
      <c r="X279" s="5">
        <f>X276-X278</f>
        <v/>
      </c>
      <c r="Y279" s="5">
        <f>Y276-Y278</f>
        <v/>
      </c>
      <c r="Z279" s="5">
        <f>Z276-Z278</f>
        <v/>
      </c>
      <c r="AA279" s="5">
        <f>AA276-AA278</f>
        <v/>
      </c>
      <c r="AB279" s="5">
        <f>AB276-AB278</f>
        <v/>
      </c>
      <c r="AC279" s="5">
        <f>AC276-AC278</f>
        <v/>
      </c>
      <c r="AD279" s="5">
        <f>AD276-AD278</f>
        <v/>
      </c>
      <c r="AE279" s="5">
        <f>AE276-AE278</f>
        <v/>
      </c>
      <c r="AF279" s="5">
        <f>AF276-AF278</f>
        <v/>
      </c>
      <c r="AG279" s="5">
        <f>AG276-AG278</f>
        <v/>
      </c>
      <c r="AH279" s="5">
        <f>AH276-AH278</f>
        <v/>
      </c>
      <c r="AI279" s="5">
        <f>AI276-AI278</f>
        <v/>
      </c>
      <c r="AJ279" s="5">
        <f>AJ276-AJ278</f>
        <v/>
      </c>
      <c r="AK279" s="5">
        <f>AK276-AK278</f>
        <v/>
      </c>
      <c r="AL279" s="5">
        <f>AL276-AL278</f>
        <v/>
      </c>
      <c r="AM279" s="5">
        <f>AM276-AM278</f>
        <v/>
      </c>
      <c r="AN279" s="5">
        <f>AN276-AN278</f>
        <v/>
      </c>
      <c r="AO279" s="5">
        <f>AO276-AO278</f>
        <v/>
      </c>
      <c r="AP279" s="5">
        <f>AP276-AP278</f>
        <v/>
      </c>
      <c r="AQ279" s="5">
        <f>AQ276-AQ278</f>
        <v/>
      </c>
      <c r="AR279" s="5">
        <f>AR276-AR278</f>
        <v/>
      </c>
      <c r="AS279" s="5">
        <f>AS276-AS278</f>
        <v/>
      </c>
      <c r="AT279" s="5">
        <f>AT276-AT278</f>
        <v/>
      </c>
      <c r="AU279" s="5">
        <f>AU276-AU278</f>
        <v/>
      </c>
      <c r="AV279" s="5">
        <f>AV276-AV278</f>
        <v/>
      </c>
      <c r="AW279" s="5">
        <f>AW276-AW278</f>
        <v/>
      </c>
      <c r="AX279" s="5">
        <f>AX276-AX278</f>
        <v/>
      </c>
      <c r="AY279" s="5">
        <f>AY276-AY278</f>
        <v/>
      </c>
      <c r="AZ279" s="5">
        <f>AZ276-AZ278</f>
        <v/>
      </c>
      <c r="BA279" s="5">
        <f>BA276-BA278</f>
        <v/>
      </c>
      <c r="BB279" s="5">
        <f>BB276-BB278</f>
        <v/>
      </c>
      <c r="BC279" s="5">
        <f>BC276-BC278</f>
        <v/>
      </c>
      <c r="BD279" s="5">
        <f>BD276-BD278</f>
        <v/>
      </c>
      <c r="BE279" s="5">
        <f>BE276-BE278</f>
        <v/>
      </c>
      <c r="BF279" s="5">
        <f>BF276-BF278</f>
        <v/>
      </c>
      <c r="BG279" s="5">
        <f>BG276-BG278</f>
        <v/>
      </c>
      <c r="BH279" s="5">
        <f>BH276-BH278</f>
        <v/>
      </c>
      <c r="BI279" s="5">
        <f>BI276-BI278</f>
        <v/>
      </c>
      <c r="BJ279" s="5">
        <f>BJ276-BJ278</f>
        <v/>
      </c>
      <c r="BK279" s="5">
        <f>BK276-BK278</f>
        <v/>
      </c>
      <c r="BL279" s="5">
        <f>BL276-BL278</f>
        <v/>
      </c>
      <c r="BM279" s="5">
        <f>BM276-BM278</f>
        <v/>
      </c>
      <c r="BN279" s="5">
        <f>BN276-BN278</f>
        <v/>
      </c>
      <c r="BO279" s="5">
        <f>BO276-BO278</f>
        <v/>
      </c>
      <c r="BP279" s="5">
        <f>BP276-BP278</f>
        <v/>
      </c>
      <c r="BQ279" s="5">
        <f>BQ276-BQ278</f>
        <v/>
      </c>
      <c r="BR279" s="5">
        <f>BR276-BR278</f>
        <v/>
      </c>
      <c r="BS279" s="5">
        <f>BS276-BS278</f>
        <v/>
      </c>
      <c r="BT279" s="5">
        <f>BT276-BT278</f>
        <v/>
      </c>
      <c r="BU279" s="5">
        <f>BU276-BU278</f>
        <v/>
      </c>
      <c r="BV279" s="5">
        <f>BV276-BV278</f>
        <v/>
      </c>
    </row>
    <row r="280">
      <c r="A280" t="inlineStr">
        <is>
          <t>cum trial starts</t>
        </is>
      </c>
      <c r="B280" t="inlineStr">
        <is>
          <t>ROW|BASIC_M</t>
        </is>
      </c>
      <c r="C280" s="5">
        <f>SUM($C274:C274)</f>
        <v/>
      </c>
      <c r="D280" s="5">
        <f>SUM($C274:D274)</f>
        <v/>
      </c>
      <c r="E280" s="5">
        <f>SUM($C274:E274)</f>
        <v/>
      </c>
      <c r="F280" s="5">
        <f>SUM($C274:F274)</f>
        <v/>
      </c>
      <c r="G280" s="5">
        <f>SUM($C274:G274)</f>
        <v/>
      </c>
      <c r="H280" s="5">
        <f>SUM($C274:H274)</f>
        <v/>
      </c>
      <c r="I280" s="5">
        <f>SUM($C274:I274)</f>
        <v/>
      </c>
      <c r="J280" s="5">
        <f>SUM($C274:J274)</f>
        <v/>
      </c>
      <c r="K280" s="5">
        <f>SUM($C274:K274)</f>
        <v/>
      </c>
      <c r="L280" s="5">
        <f>SUM($C274:L274)</f>
        <v/>
      </c>
      <c r="M280" s="5">
        <f>SUM($C274:M274)</f>
        <v/>
      </c>
      <c r="N280" s="5">
        <f>SUM($C274:N274)</f>
        <v/>
      </c>
      <c r="O280" s="5">
        <f>SUM($C274:O274)</f>
        <v/>
      </c>
      <c r="P280" s="5">
        <f>SUM($C274:P274)</f>
        <v/>
      </c>
      <c r="Q280" s="5">
        <f>SUM($C274:Q274)</f>
        <v/>
      </c>
      <c r="R280" s="5">
        <f>SUM($C274:R274)</f>
        <v/>
      </c>
      <c r="S280" s="5">
        <f>SUM($C274:S274)</f>
        <v/>
      </c>
      <c r="T280" s="5">
        <f>SUM($C274:T274)</f>
        <v/>
      </c>
      <c r="U280" s="5">
        <f>SUM($C274:U274)</f>
        <v/>
      </c>
      <c r="V280" s="5">
        <f>SUM($C274:V274)</f>
        <v/>
      </c>
      <c r="W280" s="5">
        <f>SUM($C274:W274)</f>
        <v/>
      </c>
      <c r="X280" s="5">
        <f>SUM($C274:X274)</f>
        <v/>
      </c>
      <c r="Y280" s="5">
        <f>SUM($C274:Y274)</f>
        <v/>
      </c>
      <c r="Z280" s="5">
        <f>SUM($C274:Z274)</f>
        <v/>
      </c>
      <c r="AA280" s="5">
        <f>SUM($C274:AA274)</f>
        <v/>
      </c>
      <c r="AB280" s="5">
        <f>SUM($C274:AB274)</f>
        <v/>
      </c>
      <c r="AC280" s="5">
        <f>SUM($C274:AC274)</f>
        <v/>
      </c>
      <c r="AD280" s="5">
        <f>SUM($C274:AD274)</f>
        <v/>
      </c>
      <c r="AE280" s="5">
        <f>SUM($C274:AE274)</f>
        <v/>
      </c>
      <c r="AF280" s="5">
        <f>SUM($C274:AF274)</f>
        <v/>
      </c>
      <c r="AG280" s="5">
        <f>SUM($C274:AG274)</f>
        <v/>
      </c>
      <c r="AH280" s="5">
        <f>SUM($C274:AH274)</f>
        <v/>
      </c>
      <c r="AI280" s="5">
        <f>SUM($C274:AI274)</f>
        <v/>
      </c>
      <c r="AJ280" s="5">
        <f>SUM($C274:AJ274)</f>
        <v/>
      </c>
      <c r="AK280" s="5">
        <f>SUM($C274:AK274)</f>
        <v/>
      </c>
      <c r="AL280" s="5">
        <f>SUM($C274:AL274)</f>
        <v/>
      </c>
      <c r="AM280" s="5">
        <f>SUM($C274:AM274)</f>
        <v/>
      </c>
      <c r="AN280" s="5">
        <f>SUM($C274:AN274)</f>
        <v/>
      </c>
      <c r="AO280" s="5">
        <f>SUM($C274:AO274)</f>
        <v/>
      </c>
      <c r="AP280" s="5">
        <f>SUM($C274:AP274)</f>
        <v/>
      </c>
      <c r="AQ280" s="5">
        <f>SUM($C274:AQ274)</f>
        <v/>
      </c>
      <c r="AR280" s="5">
        <f>SUM($C274:AR274)</f>
        <v/>
      </c>
      <c r="AS280" s="5">
        <f>SUM($C274:AS274)</f>
        <v/>
      </c>
      <c r="AT280" s="5">
        <f>SUM($C274:AT274)</f>
        <v/>
      </c>
      <c r="AU280" s="5">
        <f>SUM($C274:AU274)</f>
        <v/>
      </c>
      <c r="AV280" s="5">
        <f>SUM($C274:AV274)</f>
        <v/>
      </c>
      <c r="AW280" s="5">
        <f>SUM($C274:AW274)</f>
        <v/>
      </c>
      <c r="AX280" s="5">
        <f>SUM($C274:AX274)</f>
        <v/>
      </c>
      <c r="AY280" s="5">
        <f>SUM($C274:AY274)</f>
        <v/>
      </c>
      <c r="AZ280" s="5">
        <f>SUM($C274:AZ274)</f>
        <v/>
      </c>
      <c r="BA280" s="5">
        <f>SUM($C274:BA274)</f>
        <v/>
      </c>
      <c r="BB280" s="5">
        <f>SUM($C274:BB274)</f>
        <v/>
      </c>
      <c r="BC280" s="5">
        <f>SUM($C274:BC274)</f>
        <v/>
      </c>
      <c r="BD280" s="5">
        <f>SUM($C274:BD274)</f>
        <v/>
      </c>
      <c r="BE280" s="5">
        <f>SUM($C274:BE274)</f>
        <v/>
      </c>
      <c r="BF280" s="5">
        <f>SUM($C274:BF274)</f>
        <v/>
      </c>
      <c r="BG280" s="5">
        <f>SUM($C274:BG274)</f>
        <v/>
      </c>
      <c r="BH280" s="5">
        <f>SUM($C274:BH274)</f>
        <v/>
      </c>
      <c r="BI280" s="5">
        <f>SUM($C274:BI274)</f>
        <v/>
      </c>
      <c r="BJ280" s="5">
        <f>SUM($C274:BJ274)</f>
        <v/>
      </c>
      <c r="BK280" s="5">
        <f>SUM($C274:BK274)</f>
        <v/>
      </c>
      <c r="BL280" s="5">
        <f>SUM($C274:BL274)</f>
        <v/>
      </c>
      <c r="BM280" s="5">
        <f>SUM($C274:BM274)</f>
        <v/>
      </c>
      <c r="BN280" s="5">
        <f>SUM($C274:BN274)</f>
        <v/>
      </c>
      <c r="BO280" s="5">
        <f>SUM($C274:BO274)</f>
        <v/>
      </c>
      <c r="BP280" s="5">
        <f>SUM($C274:BP274)</f>
        <v/>
      </c>
      <c r="BQ280" s="5">
        <f>SUM($C274:BQ274)</f>
        <v/>
      </c>
      <c r="BR280" s="5">
        <f>SUM($C274:BR274)</f>
        <v/>
      </c>
      <c r="BS280" s="5">
        <f>SUM($C274:BS274)</f>
        <v/>
      </c>
      <c r="BT280" s="5">
        <f>SUM($C274:BT274)</f>
        <v/>
      </c>
      <c r="BU280" s="5">
        <f>SUM($C274:BU274)</f>
        <v/>
      </c>
      <c r="BV280" s="5">
        <f>SUM($C274:BV274)</f>
        <v/>
      </c>
    </row>
    <row r="281">
      <c r="A281" t="inlineStr">
        <is>
          <t>cum trials ending</t>
        </is>
      </c>
      <c r="B281" t="inlineStr">
        <is>
          <t>ROW|BASIC_M</t>
        </is>
      </c>
      <c r="C281" s="5">
        <f>SUM($C276:C276)</f>
        <v/>
      </c>
      <c r="D281" s="5">
        <f>SUM($C276:D276)</f>
        <v/>
      </c>
      <c r="E281" s="5">
        <f>SUM($C276:E276)</f>
        <v/>
      </c>
      <c r="F281" s="5">
        <f>SUM($C276:F276)</f>
        <v/>
      </c>
      <c r="G281" s="5">
        <f>SUM($C276:G276)</f>
        <v/>
      </c>
      <c r="H281" s="5">
        <f>SUM($C276:H276)</f>
        <v/>
      </c>
      <c r="I281" s="5">
        <f>SUM($C276:I276)</f>
        <v/>
      </c>
      <c r="J281" s="5">
        <f>SUM($C276:J276)</f>
        <v/>
      </c>
      <c r="K281" s="5">
        <f>SUM($C276:K276)</f>
        <v/>
      </c>
      <c r="L281" s="5">
        <f>SUM($C276:L276)</f>
        <v/>
      </c>
      <c r="M281" s="5">
        <f>SUM($C276:M276)</f>
        <v/>
      </c>
      <c r="N281" s="5">
        <f>SUM($C276:N276)</f>
        <v/>
      </c>
      <c r="O281" s="5">
        <f>SUM($C276:O276)</f>
        <v/>
      </c>
      <c r="P281" s="5">
        <f>SUM($C276:P276)</f>
        <v/>
      </c>
      <c r="Q281" s="5">
        <f>SUM($C276:Q276)</f>
        <v/>
      </c>
      <c r="R281" s="5">
        <f>SUM($C276:R276)</f>
        <v/>
      </c>
      <c r="S281" s="5">
        <f>SUM($C276:S276)</f>
        <v/>
      </c>
      <c r="T281" s="5">
        <f>SUM($C276:T276)</f>
        <v/>
      </c>
      <c r="U281" s="5">
        <f>SUM($C276:U276)</f>
        <v/>
      </c>
      <c r="V281" s="5">
        <f>SUM($C276:V276)</f>
        <v/>
      </c>
      <c r="W281" s="5">
        <f>SUM($C276:W276)</f>
        <v/>
      </c>
      <c r="X281" s="5">
        <f>SUM($C276:X276)</f>
        <v/>
      </c>
      <c r="Y281" s="5">
        <f>SUM($C276:Y276)</f>
        <v/>
      </c>
      <c r="Z281" s="5">
        <f>SUM($C276:Z276)</f>
        <v/>
      </c>
      <c r="AA281" s="5">
        <f>SUM($C276:AA276)</f>
        <v/>
      </c>
      <c r="AB281" s="5">
        <f>SUM($C276:AB276)</f>
        <v/>
      </c>
      <c r="AC281" s="5">
        <f>SUM($C276:AC276)</f>
        <v/>
      </c>
      <c r="AD281" s="5">
        <f>SUM($C276:AD276)</f>
        <v/>
      </c>
      <c r="AE281" s="5">
        <f>SUM($C276:AE276)</f>
        <v/>
      </c>
      <c r="AF281" s="5">
        <f>SUM($C276:AF276)</f>
        <v/>
      </c>
      <c r="AG281" s="5">
        <f>SUM($C276:AG276)</f>
        <v/>
      </c>
      <c r="AH281" s="5">
        <f>SUM($C276:AH276)</f>
        <v/>
      </c>
      <c r="AI281" s="5">
        <f>SUM($C276:AI276)</f>
        <v/>
      </c>
      <c r="AJ281" s="5">
        <f>SUM($C276:AJ276)</f>
        <v/>
      </c>
      <c r="AK281" s="5">
        <f>SUM($C276:AK276)</f>
        <v/>
      </c>
      <c r="AL281" s="5">
        <f>SUM($C276:AL276)</f>
        <v/>
      </c>
      <c r="AM281" s="5">
        <f>SUM($C276:AM276)</f>
        <v/>
      </c>
      <c r="AN281" s="5">
        <f>SUM($C276:AN276)</f>
        <v/>
      </c>
      <c r="AO281" s="5">
        <f>SUM($C276:AO276)</f>
        <v/>
      </c>
      <c r="AP281" s="5">
        <f>SUM($C276:AP276)</f>
        <v/>
      </c>
      <c r="AQ281" s="5">
        <f>SUM($C276:AQ276)</f>
        <v/>
      </c>
      <c r="AR281" s="5">
        <f>SUM($C276:AR276)</f>
        <v/>
      </c>
      <c r="AS281" s="5">
        <f>SUM($C276:AS276)</f>
        <v/>
      </c>
      <c r="AT281" s="5">
        <f>SUM($C276:AT276)</f>
        <v/>
      </c>
      <c r="AU281" s="5">
        <f>SUM($C276:AU276)</f>
        <v/>
      </c>
      <c r="AV281" s="5">
        <f>SUM($C276:AV276)</f>
        <v/>
      </c>
      <c r="AW281" s="5">
        <f>SUM($C276:AW276)</f>
        <v/>
      </c>
      <c r="AX281" s="5">
        <f>SUM($C276:AX276)</f>
        <v/>
      </c>
      <c r="AY281" s="5">
        <f>SUM($C276:AY276)</f>
        <v/>
      </c>
      <c r="AZ281" s="5">
        <f>SUM($C276:AZ276)</f>
        <v/>
      </c>
      <c r="BA281" s="5">
        <f>SUM($C276:BA276)</f>
        <v/>
      </c>
      <c r="BB281" s="5">
        <f>SUM($C276:BB276)</f>
        <v/>
      </c>
      <c r="BC281" s="5">
        <f>SUM($C276:BC276)</f>
        <v/>
      </c>
      <c r="BD281" s="5">
        <f>SUM($C276:BD276)</f>
        <v/>
      </c>
      <c r="BE281" s="5">
        <f>SUM($C276:BE276)</f>
        <v/>
      </c>
      <c r="BF281" s="5">
        <f>SUM($C276:BF276)</f>
        <v/>
      </c>
      <c r="BG281" s="5">
        <f>SUM($C276:BG276)</f>
        <v/>
      </c>
      <c r="BH281" s="5">
        <f>SUM($C276:BH276)</f>
        <v/>
      </c>
      <c r="BI281" s="5">
        <f>SUM($C276:BI276)</f>
        <v/>
      </c>
      <c r="BJ281" s="5">
        <f>SUM($C276:BJ276)</f>
        <v/>
      </c>
      <c r="BK281" s="5">
        <f>SUM($C276:BK276)</f>
        <v/>
      </c>
      <c r="BL281" s="5">
        <f>SUM($C276:BL276)</f>
        <v/>
      </c>
      <c r="BM281" s="5">
        <f>SUM($C276:BM276)</f>
        <v/>
      </c>
      <c r="BN281" s="5">
        <f>SUM($C276:BN276)</f>
        <v/>
      </c>
      <c r="BO281" s="5">
        <f>SUM($C276:BO276)</f>
        <v/>
      </c>
      <c r="BP281" s="5">
        <f>SUM($C276:BP276)</f>
        <v/>
      </c>
      <c r="BQ281" s="5">
        <f>SUM($C276:BQ276)</f>
        <v/>
      </c>
      <c r="BR281" s="5">
        <f>SUM($C276:BR276)</f>
        <v/>
      </c>
      <c r="BS281" s="5">
        <f>SUM($C276:BS276)</f>
        <v/>
      </c>
      <c r="BT281" s="5">
        <f>SUM($C276:BT276)</f>
        <v/>
      </c>
      <c r="BU281" s="5">
        <f>SUM($C276:BU276)</f>
        <v/>
      </c>
      <c r="BV281" s="5">
        <f>SUM($C276:BV276)</f>
        <v/>
      </c>
    </row>
    <row r="282">
      <c r="A282" t="inlineStr">
        <is>
          <t>trials active</t>
        </is>
      </c>
      <c r="B282" t="inlineStr">
        <is>
          <t>ROW|BASIC_M</t>
        </is>
      </c>
      <c r="C282" s="5">
        <f>C280-C281</f>
        <v/>
      </c>
      <c r="D282" s="5">
        <f>D280-D281</f>
        <v/>
      </c>
      <c r="E282" s="5">
        <f>E280-E281</f>
        <v/>
      </c>
      <c r="F282" s="5">
        <f>F280-F281</f>
        <v/>
      </c>
      <c r="G282" s="5">
        <f>G280-G281</f>
        <v/>
      </c>
      <c r="H282" s="5">
        <f>H280-H281</f>
        <v/>
      </c>
      <c r="I282" s="5">
        <f>I280-I281</f>
        <v/>
      </c>
      <c r="J282" s="5">
        <f>J280-J281</f>
        <v/>
      </c>
      <c r="K282" s="5">
        <f>K280-K281</f>
        <v/>
      </c>
      <c r="L282" s="5">
        <f>L280-L281</f>
        <v/>
      </c>
      <c r="M282" s="5">
        <f>M280-M281</f>
        <v/>
      </c>
      <c r="N282" s="5">
        <f>N280-N281</f>
        <v/>
      </c>
      <c r="O282" s="5">
        <f>O280-O281</f>
        <v/>
      </c>
      <c r="P282" s="5">
        <f>P280-P281</f>
        <v/>
      </c>
      <c r="Q282" s="5">
        <f>Q280-Q281</f>
        <v/>
      </c>
      <c r="R282" s="5">
        <f>R280-R281</f>
        <v/>
      </c>
      <c r="S282" s="5">
        <f>S280-S281</f>
        <v/>
      </c>
      <c r="T282" s="5">
        <f>T280-T281</f>
        <v/>
      </c>
      <c r="U282" s="5">
        <f>U280-U281</f>
        <v/>
      </c>
      <c r="V282" s="5">
        <f>V280-V281</f>
        <v/>
      </c>
      <c r="W282" s="5">
        <f>W280-W281</f>
        <v/>
      </c>
      <c r="X282" s="5">
        <f>X280-X281</f>
        <v/>
      </c>
      <c r="Y282" s="5">
        <f>Y280-Y281</f>
        <v/>
      </c>
      <c r="Z282" s="5">
        <f>Z280-Z281</f>
        <v/>
      </c>
      <c r="AA282" s="5">
        <f>AA280-AA281</f>
        <v/>
      </c>
      <c r="AB282" s="5">
        <f>AB280-AB281</f>
        <v/>
      </c>
      <c r="AC282" s="5">
        <f>AC280-AC281</f>
        <v/>
      </c>
      <c r="AD282" s="5">
        <f>AD280-AD281</f>
        <v/>
      </c>
      <c r="AE282" s="5">
        <f>AE280-AE281</f>
        <v/>
      </c>
      <c r="AF282" s="5">
        <f>AF280-AF281</f>
        <v/>
      </c>
      <c r="AG282" s="5">
        <f>AG280-AG281</f>
        <v/>
      </c>
      <c r="AH282" s="5">
        <f>AH280-AH281</f>
        <v/>
      </c>
      <c r="AI282" s="5">
        <f>AI280-AI281</f>
        <v/>
      </c>
      <c r="AJ282" s="5">
        <f>AJ280-AJ281</f>
        <v/>
      </c>
      <c r="AK282" s="5">
        <f>AK280-AK281</f>
        <v/>
      </c>
      <c r="AL282" s="5">
        <f>AL280-AL281</f>
        <v/>
      </c>
      <c r="AM282" s="5">
        <f>AM280-AM281</f>
        <v/>
      </c>
      <c r="AN282" s="5">
        <f>AN280-AN281</f>
        <v/>
      </c>
      <c r="AO282" s="5">
        <f>AO280-AO281</f>
        <v/>
      </c>
      <c r="AP282" s="5">
        <f>AP280-AP281</f>
        <v/>
      </c>
      <c r="AQ282" s="5">
        <f>AQ280-AQ281</f>
        <v/>
      </c>
      <c r="AR282" s="5">
        <f>AR280-AR281</f>
        <v/>
      </c>
      <c r="AS282" s="5">
        <f>AS280-AS281</f>
        <v/>
      </c>
      <c r="AT282" s="5">
        <f>AT280-AT281</f>
        <v/>
      </c>
      <c r="AU282" s="5">
        <f>AU280-AU281</f>
        <v/>
      </c>
      <c r="AV282" s="5">
        <f>AV280-AV281</f>
        <v/>
      </c>
      <c r="AW282" s="5">
        <f>AW280-AW281</f>
        <v/>
      </c>
      <c r="AX282" s="5">
        <f>AX280-AX281</f>
        <v/>
      </c>
      <c r="AY282" s="5">
        <f>AY280-AY281</f>
        <v/>
      </c>
      <c r="AZ282" s="5">
        <f>AZ280-AZ281</f>
        <v/>
      </c>
      <c r="BA282" s="5">
        <f>BA280-BA281</f>
        <v/>
      </c>
      <c r="BB282" s="5">
        <f>BB280-BB281</f>
        <v/>
      </c>
      <c r="BC282" s="5">
        <f>BC280-BC281</f>
        <v/>
      </c>
      <c r="BD282" s="5">
        <f>BD280-BD281</f>
        <v/>
      </c>
      <c r="BE282" s="5">
        <f>BE280-BE281</f>
        <v/>
      </c>
      <c r="BF282" s="5">
        <f>BF280-BF281</f>
        <v/>
      </c>
      <c r="BG282" s="5">
        <f>BG280-BG281</f>
        <v/>
      </c>
      <c r="BH282" s="5">
        <f>BH280-BH281</f>
        <v/>
      </c>
      <c r="BI282" s="5">
        <f>BI280-BI281</f>
        <v/>
      </c>
      <c r="BJ282" s="5">
        <f>BJ280-BJ281</f>
        <v/>
      </c>
      <c r="BK282" s="5">
        <f>BK280-BK281</f>
        <v/>
      </c>
      <c r="BL282" s="5">
        <f>BL280-BL281</f>
        <v/>
      </c>
      <c r="BM282" s="5">
        <f>BM280-BM281</f>
        <v/>
      </c>
      <c r="BN282" s="5">
        <f>BN280-BN281</f>
        <v/>
      </c>
      <c r="BO282" s="5">
        <f>BO280-BO281</f>
        <v/>
      </c>
      <c r="BP282" s="5">
        <f>BP280-BP281</f>
        <v/>
      </c>
      <c r="BQ282" s="5">
        <f>BQ280-BQ281</f>
        <v/>
      </c>
      <c r="BR282" s="5">
        <f>BR280-BR281</f>
        <v/>
      </c>
      <c r="BS282" s="5">
        <f>BS280-BS281</f>
        <v/>
      </c>
      <c r="BT282" s="5">
        <f>BT280-BT281</f>
        <v/>
      </c>
      <c r="BU282" s="5">
        <f>BU280-BU281</f>
        <v/>
      </c>
      <c r="BV282" s="5">
        <f>BV280-BV281</f>
        <v/>
      </c>
    </row>
    <row r="283">
      <c r="A283" t="inlineStr">
        <is>
          <t>paid starts</t>
        </is>
      </c>
      <c r="B283" t="inlineStr">
        <is>
          <t>ROW|BASIC_M</t>
        </is>
      </c>
      <c r="C283" s="5">
        <f>C275+C278</f>
        <v/>
      </c>
      <c r="D283" s="5">
        <f>D275+D278</f>
        <v/>
      </c>
      <c r="E283" s="5">
        <f>E275+E278</f>
        <v/>
      </c>
      <c r="F283" s="5">
        <f>F275+F278</f>
        <v/>
      </c>
      <c r="G283" s="5">
        <f>G275+G278</f>
        <v/>
      </c>
      <c r="H283" s="5">
        <f>H275+H278</f>
        <v/>
      </c>
      <c r="I283" s="5">
        <f>I275+I278</f>
        <v/>
      </c>
      <c r="J283" s="5">
        <f>J275+J278</f>
        <v/>
      </c>
      <c r="K283" s="5">
        <f>K275+K278</f>
        <v/>
      </c>
      <c r="L283" s="5">
        <f>L275+L278</f>
        <v/>
      </c>
      <c r="M283" s="5">
        <f>M275+M278</f>
        <v/>
      </c>
      <c r="N283" s="5">
        <f>N275+N278</f>
        <v/>
      </c>
      <c r="O283" s="5">
        <f>O275+O278</f>
        <v/>
      </c>
      <c r="P283" s="5">
        <f>P275+P278</f>
        <v/>
      </c>
      <c r="Q283" s="5">
        <f>Q275+Q278</f>
        <v/>
      </c>
      <c r="R283" s="5">
        <f>R275+R278</f>
        <v/>
      </c>
      <c r="S283" s="5">
        <f>S275+S278</f>
        <v/>
      </c>
      <c r="T283" s="5">
        <f>T275+T278</f>
        <v/>
      </c>
      <c r="U283" s="5">
        <f>U275+U278</f>
        <v/>
      </c>
      <c r="V283" s="5">
        <f>V275+V278</f>
        <v/>
      </c>
      <c r="W283" s="5">
        <f>W275+W278</f>
        <v/>
      </c>
      <c r="X283" s="5">
        <f>X275+X278</f>
        <v/>
      </c>
      <c r="Y283" s="5">
        <f>Y275+Y278</f>
        <v/>
      </c>
      <c r="Z283" s="5">
        <f>Z275+Z278</f>
        <v/>
      </c>
      <c r="AA283" s="5">
        <f>AA275+AA278</f>
        <v/>
      </c>
      <c r="AB283" s="5">
        <f>AB275+AB278</f>
        <v/>
      </c>
      <c r="AC283" s="5">
        <f>AC275+AC278</f>
        <v/>
      </c>
      <c r="AD283" s="5">
        <f>AD275+AD278</f>
        <v/>
      </c>
      <c r="AE283" s="5">
        <f>AE275+AE278</f>
        <v/>
      </c>
      <c r="AF283" s="5">
        <f>AF275+AF278</f>
        <v/>
      </c>
      <c r="AG283" s="5">
        <f>AG275+AG278</f>
        <v/>
      </c>
      <c r="AH283" s="5">
        <f>AH275+AH278</f>
        <v/>
      </c>
      <c r="AI283" s="5">
        <f>AI275+AI278</f>
        <v/>
      </c>
      <c r="AJ283" s="5">
        <f>AJ275+AJ278</f>
        <v/>
      </c>
      <c r="AK283" s="5">
        <f>AK275+AK278</f>
        <v/>
      </c>
      <c r="AL283" s="5">
        <f>AL275+AL278</f>
        <v/>
      </c>
      <c r="AM283" s="5">
        <f>AM275+AM278</f>
        <v/>
      </c>
      <c r="AN283" s="5">
        <f>AN275+AN278</f>
        <v/>
      </c>
      <c r="AO283" s="5">
        <f>AO275+AO278</f>
        <v/>
      </c>
      <c r="AP283" s="5">
        <f>AP275+AP278</f>
        <v/>
      </c>
      <c r="AQ283" s="5">
        <f>AQ275+AQ278</f>
        <v/>
      </c>
      <c r="AR283" s="5">
        <f>AR275+AR278</f>
        <v/>
      </c>
      <c r="AS283" s="5">
        <f>AS275+AS278</f>
        <v/>
      </c>
      <c r="AT283" s="5">
        <f>AT275+AT278</f>
        <v/>
      </c>
      <c r="AU283" s="5">
        <f>AU275+AU278</f>
        <v/>
      </c>
      <c r="AV283" s="5">
        <f>AV275+AV278</f>
        <v/>
      </c>
      <c r="AW283" s="5">
        <f>AW275+AW278</f>
        <v/>
      </c>
      <c r="AX283" s="5">
        <f>AX275+AX278</f>
        <v/>
      </c>
      <c r="AY283" s="5">
        <f>AY275+AY278</f>
        <v/>
      </c>
      <c r="AZ283" s="5">
        <f>AZ275+AZ278</f>
        <v/>
      </c>
      <c r="BA283" s="5">
        <f>BA275+BA278</f>
        <v/>
      </c>
      <c r="BB283" s="5">
        <f>BB275+BB278</f>
        <v/>
      </c>
      <c r="BC283" s="5">
        <f>BC275+BC278</f>
        <v/>
      </c>
      <c r="BD283" s="5">
        <f>BD275+BD278</f>
        <v/>
      </c>
      <c r="BE283" s="5">
        <f>BE275+BE278</f>
        <v/>
      </c>
      <c r="BF283" s="5">
        <f>BF275+BF278</f>
        <v/>
      </c>
      <c r="BG283" s="5">
        <f>BG275+BG278</f>
        <v/>
      </c>
      <c r="BH283" s="5">
        <f>BH275+BH278</f>
        <v/>
      </c>
      <c r="BI283" s="5">
        <f>BI275+BI278</f>
        <v/>
      </c>
      <c r="BJ283" s="5">
        <f>BJ275+BJ278</f>
        <v/>
      </c>
      <c r="BK283" s="5">
        <f>BK275+BK278</f>
        <v/>
      </c>
      <c r="BL283" s="5">
        <f>BL275+BL278</f>
        <v/>
      </c>
      <c r="BM283" s="5">
        <f>BM275+BM278</f>
        <v/>
      </c>
      <c r="BN283" s="5">
        <f>BN275+BN278</f>
        <v/>
      </c>
      <c r="BO283" s="5">
        <f>BO275+BO278</f>
        <v/>
      </c>
      <c r="BP283" s="5">
        <f>BP275+BP278</f>
        <v/>
      </c>
      <c r="BQ283" s="5">
        <f>BQ275+BQ278</f>
        <v/>
      </c>
      <c r="BR283" s="5">
        <f>BR275+BR278</f>
        <v/>
      </c>
      <c r="BS283" s="5">
        <f>BS275+BS278</f>
        <v/>
      </c>
      <c r="BT283" s="5">
        <f>BT275+BT278</f>
        <v/>
      </c>
      <c r="BU283" s="5">
        <f>BU275+BU278</f>
        <v/>
      </c>
      <c r="BV283" s="5">
        <f>BV275+BV278</f>
        <v/>
      </c>
    </row>
    <row r="284">
      <c r="A284" t="inlineStr">
        <is>
          <t>paid starts @0</t>
        </is>
      </c>
      <c r="B284" t="inlineStr">
        <is>
          <t>ROW|BASIC_M</t>
        </is>
      </c>
      <c r="C284" s="5">
        <f>C283*Eras!C$3</f>
        <v/>
      </c>
      <c r="D284" s="5">
        <f>D283*Eras!D$3</f>
        <v/>
      </c>
      <c r="E284" s="5">
        <f>E283*Eras!E$3</f>
        <v/>
      </c>
      <c r="F284" s="5">
        <f>F283*Eras!F$3</f>
        <v/>
      </c>
      <c r="G284" s="5">
        <f>G283*Eras!G$3</f>
        <v/>
      </c>
      <c r="H284" s="5">
        <f>H283*Eras!H$3</f>
        <v/>
      </c>
      <c r="I284" s="5">
        <f>I283*Eras!I$3</f>
        <v/>
      </c>
      <c r="J284" s="5">
        <f>J283*Eras!J$3</f>
        <v/>
      </c>
      <c r="K284" s="5">
        <f>K283*Eras!K$3</f>
        <v/>
      </c>
      <c r="L284" s="5">
        <f>L283*Eras!L$3</f>
        <v/>
      </c>
      <c r="M284" s="5">
        <f>M283*Eras!M$3</f>
        <v/>
      </c>
      <c r="N284" s="5">
        <f>N283*Eras!N$3</f>
        <v/>
      </c>
      <c r="O284" s="5">
        <f>O283*Eras!O$3</f>
        <v/>
      </c>
      <c r="P284" s="5">
        <f>P283*Eras!P$3</f>
        <v/>
      </c>
      <c r="Q284" s="5">
        <f>Q283*Eras!Q$3</f>
        <v/>
      </c>
      <c r="R284" s="5">
        <f>R283*Eras!R$3</f>
        <v/>
      </c>
      <c r="S284" s="5">
        <f>S283*Eras!S$3</f>
        <v/>
      </c>
      <c r="T284" s="5">
        <f>T283*Eras!T$3</f>
        <v/>
      </c>
      <c r="U284" s="5">
        <f>U283*Eras!U$3</f>
        <v/>
      </c>
      <c r="V284" s="5">
        <f>V283*Eras!V$3</f>
        <v/>
      </c>
      <c r="W284" s="5">
        <f>W283*Eras!W$3</f>
        <v/>
      </c>
      <c r="X284" s="5">
        <f>X283*Eras!X$3</f>
        <v/>
      </c>
      <c r="Y284" s="5">
        <f>Y283*Eras!Y$3</f>
        <v/>
      </c>
      <c r="Z284" s="5">
        <f>Z283*Eras!Z$3</f>
        <v/>
      </c>
      <c r="AA284" s="5">
        <f>AA283*Eras!AA$3</f>
        <v/>
      </c>
      <c r="AB284" s="5">
        <f>AB283*Eras!AB$3</f>
        <v/>
      </c>
      <c r="AC284" s="5">
        <f>AC283*Eras!AC$3</f>
        <v/>
      </c>
      <c r="AD284" s="5">
        <f>AD283*Eras!AD$3</f>
        <v/>
      </c>
      <c r="AE284" s="5">
        <f>AE283*Eras!AE$3</f>
        <v/>
      </c>
      <c r="AF284" s="5">
        <f>AF283*Eras!AF$3</f>
        <v/>
      </c>
      <c r="AG284" s="5">
        <f>AG283*Eras!AG$3</f>
        <v/>
      </c>
      <c r="AH284" s="5">
        <f>AH283*Eras!AH$3</f>
        <v/>
      </c>
      <c r="AI284" s="5">
        <f>AI283*Eras!AI$3</f>
        <v/>
      </c>
      <c r="AJ284" s="5">
        <f>AJ283*Eras!AJ$3</f>
        <v/>
      </c>
      <c r="AK284" s="5">
        <f>AK283*Eras!AK$3</f>
        <v/>
      </c>
      <c r="AL284" s="5">
        <f>AL283*Eras!AL$3</f>
        <v/>
      </c>
      <c r="AM284" s="5">
        <f>AM283*Eras!AM$3</f>
        <v/>
      </c>
      <c r="AN284" s="5">
        <f>AN283*Eras!AN$3</f>
        <v/>
      </c>
      <c r="AO284" s="5">
        <f>AO283*Eras!AO$3</f>
        <v/>
      </c>
      <c r="AP284" s="5">
        <f>AP283*Eras!AP$3</f>
        <v/>
      </c>
      <c r="AQ284" s="5">
        <f>AQ283*Eras!AQ$3</f>
        <v/>
      </c>
      <c r="AR284" s="5">
        <f>AR283*Eras!AR$3</f>
        <v/>
      </c>
      <c r="AS284" s="5">
        <f>AS283*Eras!AS$3</f>
        <v/>
      </c>
      <c r="AT284" s="5">
        <f>AT283*Eras!AT$3</f>
        <v/>
      </c>
      <c r="AU284" s="5">
        <f>AU283*Eras!AU$3</f>
        <v/>
      </c>
      <c r="AV284" s="5">
        <f>AV283*Eras!AV$3</f>
        <v/>
      </c>
      <c r="AW284" s="5">
        <f>AW283*Eras!AW$3</f>
        <v/>
      </c>
      <c r="AX284" s="5">
        <f>AX283*Eras!AX$3</f>
        <v/>
      </c>
      <c r="AY284" s="5">
        <f>AY283*Eras!AY$3</f>
        <v/>
      </c>
      <c r="AZ284" s="5">
        <f>AZ283*Eras!AZ$3</f>
        <v/>
      </c>
      <c r="BA284" s="5">
        <f>BA283*Eras!BA$3</f>
        <v/>
      </c>
      <c r="BB284" s="5">
        <f>BB283*Eras!BB$3</f>
        <v/>
      </c>
      <c r="BC284" s="5">
        <f>BC283*Eras!BC$3</f>
        <v/>
      </c>
      <c r="BD284" s="5">
        <f>BD283*Eras!BD$3</f>
        <v/>
      </c>
      <c r="BE284" s="5">
        <f>BE283*Eras!BE$3</f>
        <v/>
      </c>
      <c r="BF284" s="5">
        <f>BF283*Eras!BF$3</f>
        <v/>
      </c>
      <c r="BG284" s="5">
        <f>BG283*Eras!BG$3</f>
        <v/>
      </c>
      <c r="BH284" s="5">
        <f>BH283*Eras!BH$3</f>
        <v/>
      </c>
      <c r="BI284" s="5">
        <f>BI283*Eras!BI$3</f>
        <v/>
      </c>
      <c r="BJ284" s="5">
        <f>BJ283*Eras!BJ$3</f>
        <v/>
      </c>
      <c r="BK284" s="5">
        <f>BK283*Eras!BK$3</f>
        <v/>
      </c>
      <c r="BL284" s="5">
        <f>BL283*Eras!BL$3</f>
        <v/>
      </c>
      <c r="BM284" s="5">
        <f>BM283*Eras!BM$3</f>
        <v/>
      </c>
      <c r="BN284" s="5">
        <f>BN283*Eras!BN$3</f>
        <v/>
      </c>
      <c r="BO284" s="5">
        <f>BO283*Eras!BO$3</f>
        <v/>
      </c>
      <c r="BP284" s="5">
        <f>BP283*Eras!BP$3</f>
        <v/>
      </c>
      <c r="BQ284" s="5">
        <f>BQ283*Eras!BQ$3</f>
        <v/>
      </c>
      <c r="BR284" s="5">
        <f>BR283*Eras!BR$3</f>
        <v/>
      </c>
      <c r="BS284" s="5">
        <f>BS283*Eras!BS$3</f>
        <v/>
      </c>
      <c r="BT284" s="5">
        <f>BT283*Eras!BT$3</f>
        <v/>
      </c>
      <c r="BU284" s="5">
        <f>BU283*Eras!BU$3</f>
        <v/>
      </c>
      <c r="BV284" s="5">
        <f>BV283*Eras!BV$3</f>
        <v/>
      </c>
    </row>
    <row r="285">
      <c r="A285" t="inlineStr">
        <is>
          <t>paid starts @1</t>
        </is>
      </c>
      <c r="B285" t="inlineStr">
        <is>
          <t>ROW|BASIC_M</t>
        </is>
      </c>
      <c r="C285" s="5">
        <f>C283*Eras!C$4</f>
        <v/>
      </c>
      <c r="D285" s="5">
        <f>D283*Eras!D$4</f>
        <v/>
      </c>
      <c r="E285" s="5">
        <f>E283*Eras!E$4</f>
        <v/>
      </c>
      <c r="F285" s="5">
        <f>F283*Eras!F$4</f>
        <v/>
      </c>
      <c r="G285" s="5">
        <f>G283*Eras!G$4</f>
        <v/>
      </c>
      <c r="H285" s="5">
        <f>H283*Eras!H$4</f>
        <v/>
      </c>
      <c r="I285" s="5">
        <f>I283*Eras!I$4</f>
        <v/>
      </c>
      <c r="J285" s="5">
        <f>J283*Eras!J$4</f>
        <v/>
      </c>
      <c r="K285" s="5">
        <f>K283*Eras!K$4</f>
        <v/>
      </c>
      <c r="L285" s="5">
        <f>L283*Eras!L$4</f>
        <v/>
      </c>
      <c r="M285" s="5">
        <f>M283*Eras!M$4</f>
        <v/>
      </c>
      <c r="N285" s="5">
        <f>N283*Eras!N$4</f>
        <v/>
      </c>
      <c r="O285" s="5">
        <f>O283*Eras!O$4</f>
        <v/>
      </c>
      <c r="P285" s="5">
        <f>P283*Eras!P$4</f>
        <v/>
      </c>
      <c r="Q285" s="5">
        <f>Q283*Eras!Q$4</f>
        <v/>
      </c>
      <c r="R285" s="5">
        <f>R283*Eras!R$4</f>
        <v/>
      </c>
      <c r="S285" s="5">
        <f>S283*Eras!S$4</f>
        <v/>
      </c>
      <c r="T285" s="5">
        <f>T283*Eras!T$4</f>
        <v/>
      </c>
      <c r="U285" s="5">
        <f>U283*Eras!U$4</f>
        <v/>
      </c>
      <c r="V285" s="5">
        <f>V283*Eras!V$4</f>
        <v/>
      </c>
      <c r="W285" s="5">
        <f>W283*Eras!W$4</f>
        <v/>
      </c>
      <c r="X285" s="5">
        <f>X283*Eras!X$4</f>
        <v/>
      </c>
      <c r="Y285" s="5">
        <f>Y283*Eras!Y$4</f>
        <v/>
      </c>
      <c r="Z285" s="5">
        <f>Z283*Eras!Z$4</f>
        <v/>
      </c>
      <c r="AA285" s="5">
        <f>AA283*Eras!AA$4</f>
        <v/>
      </c>
      <c r="AB285" s="5">
        <f>AB283*Eras!AB$4</f>
        <v/>
      </c>
      <c r="AC285" s="5">
        <f>AC283*Eras!AC$4</f>
        <v/>
      </c>
      <c r="AD285" s="5">
        <f>AD283*Eras!AD$4</f>
        <v/>
      </c>
      <c r="AE285" s="5">
        <f>AE283*Eras!AE$4</f>
        <v/>
      </c>
      <c r="AF285" s="5">
        <f>AF283*Eras!AF$4</f>
        <v/>
      </c>
      <c r="AG285" s="5">
        <f>AG283*Eras!AG$4</f>
        <v/>
      </c>
      <c r="AH285" s="5">
        <f>AH283*Eras!AH$4</f>
        <v/>
      </c>
      <c r="AI285" s="5">
        <f>AI283*Eras!AI$4</f>
        <v/>
      </c>
      <c r="AJ285" s="5">
        <f>AJ283*Eras!AJ$4</f>
        <v/>
      </c>
      <c r="AK285" s="5">
        <f>AK283*Eras!AK$4</f>
        <v/>
      </c>
      <c r="AL285" s="5">
        <f>AL283*Eras!AL$4</f>
        <v/>
      </c>
      <c r="AM285" s="5">
        <f>AM283*Eras!AM$4</f>
        <v/>
      </c>
      <c r="AN285" s="5">
        <f>AN283*Eras!AN$4</f>
        <v/>
      </c>
      <c r="AO285" s="5">
        <f>AO283*Eras!AO$4</f>
        <v/>
      </c>
      <c r="AP285" s="5">
        <f>AP283*Eras!AP$4</f>
        <v/>
      </c>
      <c r="AQ285" s="5">
        <f>AQ283*Eras!AQ$4</f>
        <v/>
      </c>
      <c r="AR285" s="5">
        <f>AR283*Eras!AR$4</f>
        <v/>
      </c>
      <c r="AS285" s="5">
        <f>AS283*Eras!AS$4</f>
        <v/>
      </c>
      <c r="AT285" s="5">
        <f>AT283*Eras!AT$4</f>
        <v/>
      </c>
      <c r="AU285" s="5">
        <f>AU283*Eras!AU$4</f>
        <v/>
      </c>
      <c r="AV285" s="5">
        <f>AV283*Eras!AV$4</f>
        <v/>
      </c>
      <c r="AW285" s="5">
        <f>AW283*Eras!AW$4</f>
        <v/>
      </c>
      <c r="AX285" s="5">
        <f>AX283*Eras!AX$4</f>
        <v/>
      </c>
      <c r="AY285" s="5">
        <f>AY283*Eras!AY$4</f>
        <v/>
      </c>
      <c r="AZ285" s="5">
        <f>AZ283*Eras!AZ$4</f>
        <v/>
      </c>
      <c r="BA285" s="5">
        <f>BA283*Eras!BA$4</f>
        <v/>
      </c>
      <c r="BB285" s="5">
        <f>BB283*Eras!BB$4</f>
        <v/>
      </c>
      <c r="BC285" s="5">
        <f>BC283*Eras!BC$4</f>
        <v/>
      </c>
      <c r="BD285" s="5">
        <f>BD283*Eras!BD$4</f>
        <v/>
      </c>
      <c r="BE285" s="5">
        <f>BE283*Eras!BE$4</f>
        <v/>
      </c>
      <c r="BF285" s="5">
        <f>BF283*Eras!BF$4</f>
        <v/>
      </c>
      <c r="BG285" s="5">
        <f>BG283*Eras!BG$4</f>
        <v/>
      </c>
      <c r="BH285" s="5">
        <f>BH283*Eras!BH$4</f>
        <v/>
      </c>
      <c r="BI285" s="5">
        <f>BI283*Eras!BI$4</f>
        <v/>
      </c>
      <c r="BJ285" s="5">
        <f>BJ283*Eras!BJ$4</f>
        <v/>
      </c>
      <c r="BK285" s="5">
        <f>BK283*Eras!BK$4</f>
        <v/>
      </c>
      <c r="BL285" s="5">
        <f>BL283*Eras!BL$4</f>
        <v/>
      </c>
      <c r="BM285" s="5">
        <f>BM283*Eras!BM$4</f>
        <v/>
      </c>
      <c r="BN285" s="5">
        <f>BN283*Eras!BN$4</f>
        <v/>
      </c>
      <c r="BO285" s="5">
        <f>BO283*Eras!BO$4</f>
        <v/>
      </c>
      <c r="BP285" s="5">
        <f>BP283*Eras!BP$4</f>
        <v/>
      </c>
      <c r="BQ285" s="5">
        <f>BQ283*Eras!BQ$4</f>
        <v/>
      </c>
      <c r="BR285" s="5">
        <f>BR283*Eras!BR$4</f>
        <v/>
      </c>
      <c r="BS285" s="5">
        <f>BS283*Eras!BS$4</f>
        <v/>
      </c>
      <c r="BT285" s="5">
        <f>BT283*Eras!BT$4</f>
        <v/>
      </c>
      <c r="BU285" s="5">
        <f>BU283*Eras!BU$4</f>
        <v/>
      </c>
      <c r="BV285" s="5">
        <f>BV283*Eras!BV$4</f>
        <v/>
      </c>
    </row>
    <row r="286">
      <c r="A286" t="inlineStr">
        <is>
          <t>paid starts @2</t>
        </is>
      </c>
      <c r="B286" t="inlineStr">
        <is>
          <t>ROW|BASIC_M</t>
        </is>
      </c>
      <c r="C286" s="5">
        <f>C283*Eras!C$5</f>
        <v/>
      </c>
      <c r="D286" s="5">
        <f>D283*Eras!D$5</f>
        <v/>
      </c>
      <c r="E286" s="5">
        <f>E283*Eras!E$5</f>
        <v/>
      </c>
      <c r="F286" s="5">
        <f>F283*Eras!F$5</f>
        <v/>
      </c>
      <c r="G286" s="5">
        <f>G283*Eras!G$5</f>
        <v/>
      </c>
      <c r="H286" s="5">
        <f>H283*Eras!H$5</f>
        <v/>
      </c>
      <c r="I286" s="5">
        <f>I283*Eras!I$5</f>
        <v/>
      </c>
      <c r="J286" s="5">
        <f>J283*Eras!J$5</f>
        <v/>
      </c>
      <c r="K286" s="5">
        <f>K283*Eras!K$5</f>
        <v/>
      </c>
      <c r="L286" s="5">
        <f>L283*Eras!L$5</f>
        <v/>
      </c>
      <c r="M286" s="5">
        <f>M283*Eras!M$5</f>
        <v/>
      </c>
      <c r="N286" s="5">
        <f>N283*Eras!N$5</f>
        <v/>
      </c>
      <c r="O286" s="5">
        <f>O283*Eras!O$5</f>
        <v/>
      </c>
      <c r="P286" s="5">
        <f>P283*Eras!P$5</f>
        <v/>
      </c>
      <c r="Q286" s="5">
        <f>Q283*Eras!Q$5</f>
        <v/>
      </c>
      <c r="R286" s="5">
        <f>R283*Eras!R$5</f>
        <v/>
      </c>
      <c r="S286" s="5">
        <f>S283*Eras!S$5</f>
        <v/>
      </c>
      <c r="T286" s="5">
        <f>T283*Eras!T$5</f>
        <v/>
      </c>
      <c r="U286" s="5">
        <f>U283*Eras!U$5</f>
        <v/>
      </c>
      <c r="V286" s="5">
        <f>V283*Eras!V$5</f>
        <v/>
      </c>
      <c r="W286" s="5">
        <f>W283*Eras!W$5</f>
        <v/>
      </c>
      <c r="X286" s="5">
        <f>X283*Eras!X$5</f>
        <v/>
      </c>
      <c r="Y286" s="5">
        <f>Y283*Eras!Y$5</f>
        <v/>
      </c>
      <c r="Z286" s="5">
        <f>Z283*Eras!Z$5</f>
        <v/>
      </c>
      <c r="AA286" s="5">
        <f>AA283*Eras!AA$5</f>
        <v/>
      </c>
      <c r="AB286" s="5">
        <f>AB283*Eras!AB$5</f>
        <v/>
      </c>
      <c r="AC286" s="5">
        <f>AC283*Eras!AC$5</f>
        <v/>
      </c>
      <c r="AD286" s="5">
        <f>AD283*Eras!AD$5</f>
        <v/>
      </c>
      <c r="AE286" s="5">
        <f>AE283*Eras!AE$5</f>
        <v/>
      </c>
      <c r="AF286" s="5">
        <f>AF283*Eras!AF$5</f>
        <v/>
      </c>
      <c r="AG286" s="5">
        <f>AG283*Eras!AG$5</f>
        <v/>
      </c>
      <c r="AH286" s="5">
        <f>AH283*Eras!AH$5</f>
        <v/>
      </c>
      <c r="AI286" s="5">
        <f>AI283*Eras!AI$5</f>
        <v/>
      </c>
      <c r="AJ286" s="5">
        <f>AJ283*Eras!AJ$5</f>
        <v/>
      </c>
      <c r="AK286" s="5">
        <f>AK283*Eras!AK$5</f>
        <v/>
      </c>
      <c r="AL286" s="5">
        <f>AL283*Eras!AL$5</f>
        <v/>
      </c>
      <c r="AM286" s="5">
        <f>AM283*Eras!AM$5</f>
        <v/>
      </c>
      <c r="AN286" s="5">
        <f>AN283*Eras!AN$5</f>
        <v/>
      </c>
      <c r="AO286" s="5">
        <f>AO283*Eras!AO$5</f>
        <v/>
      </c>
      <c r="AP286" s="5">
        <f>AP283*Eras!AP$5</f>
        <v/>
      </c>
      <c r="AQ286" s="5">
        <f>AQ283*Eras!AQ$5</f>
        <v/>
      </c>
      <c r="AR286" s="5">
        <f>AR283*Eras!AR$5</f>
        <v/>
      </c>
      <c r="AS286" s="5">
        <f>AS283*Eras!AS$5</f>
        <v/>
      </c>
      <c r="AT286" s="5">
        <f>AT283*Eras!AT$5</f>
        <v/>
      </c>
      <c r="AU286" s="5">
        <f>AU283*Eras!AU$5</f>
        <v/>
      </c>
      <c r="AV286" s="5">
        <f>AV283*Eras!AV$5</f>
        <v/>
      </c>
      <c r="AW286" s="5">
        <f>AW283*Eras!AW$5</f>
        <v/>
      </c>
      <c r="AX286" s="5">
        <f>AX283*Eras!AX$5</f>
        <v/>
      </c>
      <c r="AY286" s="5">
        <f>AY283*Eras!AY$5</f>
        <v/>
      </c>
      <c r="AZ286" s="5">
        <f>AZ283*Eras!AZ$5</f>
        <v/>
      </c>
      <c r="BA286" s="5">
        <f>BA283*Eras!BA$5</f>
        <v/>
      </c>
      <c r="BB286" s="5">
        <f>BB283*Eras!BB$5</f>
        <v/>
      </c>
      <c r="BC286" s="5">
        <f>BC283*Eras!BC$5</f>
        <v/>
      </c>
      <c r="BD286" s="5">
        <f>BD283*Eras!BD$5</f>
        <v/>
      </c>
      <c r="BE286" s="5">
        <f>BE283*Eras!BE$5</f>
        <v/>
      </c>
      <c r="BF286" s="5">
        <f>BF283*Eras!BF$5</f>
        <v/>
      </c>
      <c r="BG286" s="5">
        <f>BG283*Eras!BG$5</f>
        <v/>
      </c>
      <c r="BH286" s="5">
        <f>BH283*Eras!BH$5</f>
        <v/>
      </c>
      <c r="BI286" s="5">
        <f>BI283*Eras!BI$5</f>
        <v/>
      </c>
      <c r="BJ286" s="5">
        <f>BJ283*Eras!BJ$5</f>
        <v/>
      </c>
      <c r="BK286" s="5">
        <f>BK283*Eras!BK$5</f>
        <v/>
      </c>
      <c r="BL286" s="5">
        <f>BL283*Eras!BL$5</f>
        <v/>
      </c>
      <c r="BM286" s="5">
        <f>BM283*Eras!BM$5</f>
        <v/>
      </c>
      <c r="BN286" s="5">
        <f>BN283*Eras!BN$5</f>
        <v/>
      </c>
      <c r="BO286" s="5">
        <f>BO283*Eras!BO$5</f>
        <v/>
      </c>
      <c r="BP286" s="5">
        <f>BP283*Eras!BP$5</f>
        <v/>
      </c>
      <c r="BQ286" s="5">
        <f>BQ283*Eras!BQ$5</f>
        <v/>
      </c>
      <c r="BR286" s="5">
        <f>BR283*Eras!BR$5</f>
        <v/>
      </c>
      <c r="BS286" s="5">
        <f>BS283*Eras!BS$5</f>
        <v/>
      </c>
      <c r="BT286" s="5">
        <f>BT283*Eras!BT$5</f>
        <v/>
      </c>
      <c r="BU286" s="5">
        <f>BU283*Eras!BU$5</f>
        <v/>
      </c>
      <c r="BV286" s="5">
        <f>BV283*Eras!BV$5</f>
        <v/>
      </c>
    </row>
    <row r="288">
      <c r="A288" t="inlineStr">
        <is>
          <t>gross adds</t>
        </is>
      </c>
      <c r="B288" t="inlineStr">
        <is>
          <t>ROW|BASIC_A</t>
        </is>
      </c>
      <c r="C288" s="5">
        <f>MAU!C8*Params!$B$61*Eras!C$7*Params!$B$130*Params!$B$95</f>
        <v/>
      </c>
      <c r="D288" s="5">
        <f>MAU!D8*Params!$B$61*Eras!D$7*Params!$B$130*Params!$B$95</f>
        <v/>
      </c>
      <c r="E288" s="5">
        <f>MAU!E8*Params!$B$61*Eras!E$7*Params!$B$130*Params!$B$95</f>
        <v/>
      </c>
      <c r="F288" s="5">
        <f>MAU!F8*Params!$B$61*Eras!F$7*Params!$B$130*Params!$B$95</f>
        <v/>
      </c>
      <c r="G288" s="5">
        <f>MAU!G8*Params!$B$61*Eras!G$7*Params!$B$130*Params!$B$95</f>
        <v/>
      </c>
      <c r="H288" s="5">
        <f>MAU!H8*Params!$B$61*Eras!H$7*Params!$B$130*Params!$B$95</f>
        <v/>
      </c>
      <c r="I288" s="5">
        <f>MAU!I8*Params!$B$61*Eras!I$7*Params!$B$130*Params!$B$95</f>
        <v/>
      </c>
      <c r="J288" s="5">
        <f>MAU!J8*Params!$B$61*Eras!J$7*Params!$B$130*Params!$B$95</f>
        <v/>
      </c>
      <c r="K288" s="5">
        <f>MAU!K8*Params!$B$61*Eras!K$7*Params!$B$130*Params!$B$95</f>
        <v/>
      </c>
      <c r="L288" s="5">
        <f>MAU!L8*Params!$B$61*Eras!L$7*Params!$B$130*Params!$B$95</f>
        <v/>
      </c>
      <c r="M288" s="5">
        <f>MAU!M8*Params!$B$61*Eras!M$7*Params!$B$130*Params!$B$95</f>
        <v/>
      </c>
      <c r="N288" s="5">
        <f>MAU!N8*Params!$B$61*Eras!N$7*Params!$B$130*Params!$B$95</f>
        <v/>
      </c>
      <c r="O288" s="5">
        <f>MAU!O8*Params!$B$61*Eras!O$7*Params!$B$130*Params!$B$95</f>
        <v/>
      </c>
      <c r="P288" s="5">
        <f>MAU!P8*Params!$B$61*Eras!P$7*Params!$B$130*Params!$B$95</f>
        <v/>
      </c>
      <c r="Q288" s="5">
        <f>MAU!Q8*Params!$B$61*Eras!Q$7*Params!$B$130*Params!$B$95</f>
        <v/>
      </c>
      <c r="R288" s="5">
        <f>MAU!R8*Params!$B$61*Eras!R$7*Params!$B$130*Params!$B$95</f>
        <v/>
      </c>
      <c r="S288" s="5">
        <f>MAU!S8*Params!$B$61*Eras!S$7*Params!$B$130*Params!$B$95</f>
        <v/>
      </c>
      <c r="T288" s="5">
        <f>MAU!T8*Params!$B$61*Eras!T$7*Params!$B$130*Params!$B$95</f>
        <v/>
      </c>
      <c r="U288" s="5">
        <f>MAU!U8*Params!$B$61*Eras!U$7*Params!$B$130*Params!$B$95</f>
        <v/>
      </c>
      <c r="V288" s="5">
        <f>MAU!V8*Params!$B$61*Eras!V$7*Params!$B$130*Params!$B$95</f>
        <v/>
      </c>
      <c r="W288" s="5">
        <f>MAU!W8*Params!$B$61*Eras!W$7*Params!$B$130*Params!$B$95</f>
        <v/>
      </c>
      <c r="X288" s="5">
        <f>MAU!X8*Params!$B$61*Eras!X$7*Params!$B$130*Params!$B$95</f>
        <v/>
      </c>
      <c r="Y288" s="5">
        <f>MAU!Y8*Params!$B$61*Eras!Y$7*Params!$B$130*Params!$B$95</f>
        <v/>
      </c>
      <c r="Z288" s="5">
        <f>MAU!Z8*Params!$B$61*Eras!Z$7*Params!$B$130*Params!$B$95</f>
        <v/>
      </c>
      <c r="AA288" s="5">
        <f>MAU!AA8*Params!$B$61*Eras!AA$7*Params!$B$130*Params!$B$95</f>
        <v/>
      </c>
      <c r="AB288" s="5">
        <f>MAU!AB8*Params!$B$61*Eras!AB$7*Params!$B$130*Params!$B$95</f>
        <v/>
      </c>
      <c r="AC288" s="5">
        <f>MAU!AC8*Params!$B$61*Eras!AC$7*Params!$B$130*Params!$B$95</f>
        <v/>
      </c>
      <c r="AD288" s="5">
        <f>MAU!AD8*Params!$B$61*Eras!AD$7*Params!$B$130*Params!$B$95</f>
        <v/>
      </c>
      <c r="AE288" s="5">
        <f>MAU!AE8*Params!$B$61*Eras!AE$7*Params!$B$130*Params!$B$95</f>
        <v/>
      </c>
      <c r="AF288" s="5">
        <f>MAU!AF8*Params!$B$61*Eras!AF$7*Params!$B$130*Params!$B$95</f>
        <v/>
      </c>
      <c r="AG288" s="5">
        <f>MAU!AG8*Params!$B$61*Eras!AG$7*Params!$B$130*Params!$B$95</f>
        <v/>
      </c>
      <c r="AH288" s="5">
        <f>MAU!AH8*Params!$B$61*Eras!AH$7*Params!$B$130*Params!$B$95</f>
        <v/>
      </c>
      <c r="AI288" s="5">
        <f>MAU!AI8*Params!$B$61*Eras!AI$7*Params!$B$130*Params!$B$95</f>
        <v/>
      </c>
      <c r="AJ288" s="5">
        <f>MAU!AJ8*Params!$B$61*Eras!AJ$7*Params!$B$130*Params!$B$95</f>
        <v/>
      </c>
      <c r="AK288" s="5">
        <f>MAU!AK8*Params!$B$61*Eras!AK$7*Params!$B$130*Params!$B$95</f>
        <v/>
      </c>
      <c r="AL288" s="5">
        <f>MAU!AL8*Params!$B$61*Eras!AL$7*Params!$B$130*Params!$B$95</f>
        <v/>
      </c>
      <c r="AM288" s="5">
        <f>MAU!AM8*Params!$B$61*Eras!AM$7*Params!$B$130*Params!$B$95</f>
        <v/>
      </c>
      <c r="AN288" s="5">
        <f>MAU!AN8*Params!$B$61*Eras!AN$7*Params!$B$130*Params!$B$95</f>
        <v/>
      </c>
      <c r="AO288" s="5">
        <f>MAU!AO8*Params!$B$61*Eras!AO$7*Params!$B$130*Params!$B$95</f>
        <v/>
      </c>
      <c r="AP288" s="5">
        <f>MAU!AP8*Params!$B$61*Eras!AP$7*Params!$B$130*Params!$B$95</f>
        <v/>
      </c>
      <c r="AQ288" s="5">
        <f>MAU!AQ8*Params!$B$61*Eras!AQ$7*Params!$B$130*Params!$B$95</f>
        <v/>
      </c>
      <c r="AR288" s="5">
        <f>MAU!AR8*Params!$B$61*Eras!AR$7*Params!$B$130*Params!$B$95</f>
        <v/>
      </c>
      <c r="AS288" s="5">
        <f>MAU!AS8*Params!$B$61*Eras!AS$7*Params!$B$130*Params!$B$95</f>
        <v/>
      </c>
      <c r="AT288" s="5">
        <f>MAU!AT8*Params!$B$61*Eras!AT$7*Params!$B$130*Params!$B$95</f>
        <v/>
      </c>
      <c r="AU288" s="5">
        <f>MAU!AU8*Params!$B$61*Eras!AU$7*Params!$B$130*Params!$B$95</f>
        <v/>
      </c>
      <c r="AV288" s="5">
        <f>MAU!AV8*Params!$B$61*Eras!AV$7*Params!$B$130*Params!$B$95</f>
        <v/>
      </c>
      <c r="AW288" s="5">
        <f>MAU!AW8*Params!$B$61*Eras!AW$7*Params!$B$130*Params!$B$95</f>
        <v/>
      </c>
      <c r="AX288" s="5">
        <f>MAU!AX8*Params!$B$61*Eras!AX$7*Params!$B$130*Params!$B$95</f>
        <v/>
      </c>
      <c r="AY288" s="5">
        <f>MAU!AY8*Params!$B$61*Eras!AY$7*Params!$B$130*Params!$B$95</f>
        <v/>
      </c>
      <c r="AZ288" s="5">
        <f>MAU!AZ8*Params!$B$61*Eras!AZ$7*Params!$B$130*Params!$B$95</f>
        <v/>
      </c>
      <c r="BA288" s="5">
        <f>MAU!BA8*Params!$B$61*Eras!BA$7*Params!$B$130*Params!$B$95</f>
        <v/>
      </c>
      <c r="BB288" s="5">
        <f>MAU!BB8*Params!$B$61*Eras!BB$7*Params!$B$130*Params!$B$95</f>
        <v/>
      </c>
      <c r="BC288" s="5">
        <f>MAU!BC8*Params!$B$61*Eras!BC$7*Params!$B$130*Params!$B$95</f>
        <v/>
      </c>
      <c r="BD288" s="5">
        <f>MAU!BD8*Params!$B$61*Eras!BD$7*Params!$B$130*Params!$B$95</f>
        <v/>
      </c>
      <c r="BE288" s="5">
        <f>MAU!BE8*Params!$B$61*Eras!BE$7*Params!$B$130*Params!$B$95</f>
        <v/>
      </c>
      <c r="BF288" s="5">
        <f>MAU!BF8*Params!$B$61*Eras!BF$7*Params!$B$130*Params!$B$95</f>
        <v/>
      </c>
      <c r="BG288" s="5">
        <f>MAU!BG8*Params!$B$61*Eras!BG$7*Params!$B$130*Params!$B$95</f>
        <v/>
      </c>
      <c r="BH288" s="5">
        <f>MAU!BH8*Params!$B$61*Eras!BH$7*Params!$B$130*Params!$B$95</f>
        <v/>
      </c>
      <c r="BI288" s="5">
        <f>MAU!BI8*Params!$B$61*Eras!BI$7*Params!$B$130*Params!$B$95</f>
        <v/>
      </c>
      <c r="BJ288" s="5">
        <f>MAU!BJ8*Params!$B$61*Eras!BJ$7*Params!$B$130*Params!$B$95</f>
        <v/>
      </c>
      <c r="BK288" s="5">
        <f>MAU!BK8*Params!$B$61*Eras!BK$7*Params!$B$130*Params!$B$95</f>
        <v/>
      </c>
      <c r="BL288" s="5">
        <f>MAU!BL8*Params!$B$61*Eras!BL$7*Params!$B$130*Params!$B$95</f>
        <v/>
      </c>
      <c r="BM288" s="5">
        <f>MAU!BM8*Params!$B$61*Eras!BM$7*Params!$B$130*Params!$B$95</f>
        <v/>
      </c>
      <c r="BN288" s="5">
        <f>MAU!BN8*Params!$B$61*Eras!BN$7*Params!$B$130*Params!$B$95</f>
        <v/>
      </c>
      <c r="BO288" s="5">
        <f>MAU!BO8*Params!$B$61*Eras!BO$7*Params!$B$130*Params!$B$95</f>
        <v/>
      </c>
      <c r="BP288" s="5">
        <f>MAU!BP8*Params!$B$61*Eras!BP$7*Params!$B$130*Params!$B$95</f>
        <v/>
      </c>
      <c r="BQ288" s="5">
        <f>MAU!BQ8*Params!$B$61*Eras!BQ$7*Params!$B$130*Params!$B$95</f>
        <v/>
      </c>
      <c r="BR288" s="5">
        <f>MAU!BR8*Params!$B$61*Eras!BR$7*Params!$B$130*Params!$B$95</f>
        <v/>
      </c>
      <c r="BS288" s="5">
        <f>MAU!BS8*Params!$B$61*Eras!BS$7*Params!$B$130*Params!$B$95</f>
        <v/>
      </c>
      <c r="BT288" s="5">
        <f>MAU!BT8*Params!$B$61*Eras!BT$7*Params!$B$130*Params!$B$95</f>
        <v/>
      </c>
      <c r="BU288" s="5">
        <f>MAU!BU8*Params!$B$61*Eras!BU$7*Params!$B$130*Params!$B$95</f>
        <v/>
      </c>
      <c r="BV288" s="5">
        <f>MAU!BV8*Params!$B$61*Eras!BV$7*Params!$B$130*Params!$B$95</f>
        <v/>
      </c>
    </row>
    <row r="289">
      <c r="A289" t="inlineStr">
        <is>
          <t>trial starts</t>
        </is>
      </c>
      <c r="B289" t="inlineStr">
        <is>
          <t>ROW|BASIC_A</t>
        </is>
      </c>
      <c r="C289" s="5">
        <f>C288*Eras!C$8</f>
        <v/>
      </c>
      <c r="D289" s="5">
        <f>D288*Eras!D$8</f>
        <v/>
      </c>
      <c r="E289" s="5">
        <f>E288*Eras!E$8</f>
        <v/>
      </c>
      <c r="F289" s="5">
        <f>F288*Eras!F$8</f>
        <v/>
      </c>
      <c r="G289" s="5">
        <f>G288*Eras!G$8</f>
        <v/>
      </c>
      <c r="H289" s="5">
        <f>H288*Eras!H$8</f>
        <v/>
      </c>
      <c r="I289" s="5">
        <f>I288*Eras!I$8</f>
        <v/>
      </c>
      <c r="J289" s="5">
        <f>J288*Eras!J$8</f>
        <v/>
      </c>
      <c r="K289" s="5">
        <f>K288*Eras!K$8</f>
        <v/>
      </c>
      <c r="L289" s="5">
        <f>L288*Eras!L$8</f>
        <v/>
      </c>
      <c r="M289" s="5">
        <f>M288*Eras!M$8</f>
        <v/>
      </c>
      <c r="N289" s="5">
        <f>N288*Eras!N$8</f>
        <v/>
      </c>
      <c r="O289" s="5">
        <f>O288*Eras!O$8</f>
        <v/>
      </c>
      <c r="P289" s="5">
        <f>P288*Eras!P$8</f>
        <v/>
      </c>
      <c r="Q289" s="5">
        <f>Q288*Eras!Q$8</f>
        <v/>
      </c>
      <c r="R289" s="5">
        <f>R288*Eras!R$8</f>
        <v/>
      </c>
      <c r="S289" s="5">
        <f>S288*Eras!S$8</f>
        <v/>
      </c>
      <c r="T289" s="5">
        <f>T288*Eras!T$8</f>
        <v/>
      </c>
      <c r="U289" s="5">
        <f>U288*Eras!U$8</f>
        <v/>
      </c>
      <c r="V289" s="5">
        <f>V288*Eras!V$8</f>
        <v/>
      </c>
      <c r="W289" s="5">
        <f>W288*Eras!W$8</f>
        <v/>
      </c>
      <c r="X289" s="5">
        <f>X288*Eras!X$8</f>
        <v/>
      </c>
      <c r="Y289" s="5">
        <f>Y288*Eras!Y$8</f>
        <v/>
      </c>
      <c r="Z289" s="5">
        <f>Z288*Eras!Z$8</f>
        <v/>
      </c>
      <c r="AA289" s="5">
        <f>AA288*Eras!AA$8</f>
        <v/>
      </c>
      <c r="AB289" s="5">
        <f>AB288*Eras!AB$8</f>
        <v/>
      </c>
      <c r="AC289" s="5">
        <f>AC288*Eras!AC$8</f>
        <v/>
      </c>
      <c r="AD289" s="5">
        <f>AD288*Eras!AD$8</f>
        <v/>
      </c>
      <c r="AE289" s="5">
        <f>AE288*Eras!AE$8</f>
        <v/>
      </c>
      <c r="AF289" s="5">
        <f>AF288*Eras!AF$8</f>
        <v/>
      </c>
      <c r="AG289" s="5">
        <f>AG288*Eras!AG$8</f>
        <v/>
      </c>
      <c r="AH289" s="5">
        <f>AH288*Eras!AH$8</f>
        <v/>
      </c>
      <c r="AI289" s="5">
        <f>AI288*Eras!AI$8</f>
        <v/>
      </c>
      <c r="AJ289" s="5">
        <f>AJ288*Eras!AJ$8</f>
        <v/>
      </c>
      <c r="AK289" s="5">
        <f>AK288*Eras!AK$8</f>
        <v/>
      </c>
      <c r="AL289" s="5">
        <f>AL288*Eras!AL$8</f>
        <v/>
      </c>
      <c r="AM289" s="5">
        <f>AM288*Eras!AM$8</f>
        <v/>
      </c>
      <c r="AN289" s="5">
        <f>AN288*Eras!AN$8</f>
        <v/>
      </c>
      <c r="AO289" s="5">
        <f>AO288*Eras!AO$8</f>
        <v/>
      </c>
      <c r="AP289" s="5">
        <f>AP288*Eras!AP$8</f>
        <v/>
      </c>
      <c r="AQ289" s="5">
        <f>AQ288*Eras!AQ$8</f>
        <v/>
      </c>
      <c r="AR289" s="5">
        <f>AR288*Eras!AR$8</f>
        <v/>
      </c>
      <c r="AS289" s="5">
        <f>AS288*Eras!AS$8</f>
        <v/>
      </c>
      <c r="AT289" s="5">
        <f>AT288*Eras!AT$8</f>
        <v/>
      </c>
      <c r="AU289" s="5">
        <f>AU288*Eras!AU$8</f>
        <v/>
      </c>
      <c r="AV289" s="5">
        <f>AV288*Eras!AV$8</f>
        <v/>
      </c>
      <c r="AW289" s="5">
        <f>AW288*Eras!AW$8</f>
        <v/>
      </c>
      <c r="AX289" s="5">
        <f>AX288*Eras!AX$8</f>
        <v/>
      </c>
      <c r="AY289" s="5">
        <f>AY288*Eras!AY$8</f>
        <v/>
      </c>
      <c r="AZ289" s="5">
        <f>AZ288*Eras!AZ$8</f>
        <v/>
      </c>
      <c r="BA289" s="5">
        <f>BA288*Eras!BA$8</f>
        <v/>
      </c>
      <c r="BB289" s="5">
        <f>BB288*Eras!BB$8</f>
        <v/>
      </c>
      <c r="BC289" s="5">
        <f>BC288*Eras!BC$8</f>
        <v/>
      </c>
      <c r="BD289" s="5">
        <f>BD288*Eras!BD$8</f>
        <v/>
      </c>
      <c r="BE289" s="5">
        <f>BE288*Eras!BE$8</f>
        <v/>
      </c>
      <c r="BF289" s="5">
        <f>BF288*Eras!BF$8</f>
        <v/>
      </c>
      <c r="BG289" s="5">
        <f>BG288*Eras!BG$8</f>
        <v/>
      </c>
      <c r="BH289" s="5">
        <f>BH288*Eras!BH$8</f>
        <v/>
      </c>
      <c r="BI289" s="5">
        <f>BI288*Eras!BI$8</f>
        <v/>
      </c>
      <c r="BJ289" s="5">
        <f>BJ288*Eras!BJ$8</f>
        <v/>
      </c>
      <c r="BK289" s="5">
        <f>BK288*Eras!BK$8</f>
        <v/>
      </c>
      <c r="BL289" s="5">
        <f>BL288*Eras!BL$8</f>
        <v/>
      </c>
      <c r="BM289" s="5">
        <f>BM288*Eras!BM$8</f>
        <v/>
      </c>
      <c r="BN289" s="5">
        <f>BN288*Eras!BN$8</f>
        <v/>
      </c>
      <c r="BO289" s="5">
        <f>BO288*Eras!BO$8</f>
        <v/>
      </c>
      <c r="BP289" s="5">
        <f>BP288*Eras!BP$8</f>
        <v/>
      </c>
      <c r="BQ289" s="5">
        <f>BQ288*Eras!BQ$8</f>
        <v/>
      </c>
      <c r="BR289" s="5">
        <f>BR288*Eras!BR$8</f>
        <v/>
      </c>
      <c r="BS289" s="5">
        <f>BS288*Eras!BS$8</f>
        <v/>
      </c>
      <c r="BT289" s="5">
        <f>BT288*Eras!BT$8</f>
        <v/>
      </c>
      <c r="BU289" s="5">
        <f>BU288*Eras!BU$8</f>
        <v/>
      </c>
      <c r="BV289" s="5">
        <f>BV288*Eras!BV$8</f>
        <v/>
      </c>
    </row>
    <row r="290">
      <c r="A290" t="inlineStr">
        <is>
          <t>direct paid starts</t>
        </is>
      </c>
      <c r="B290" t="inlineStr">
        <is>
          <t>ROW|BASIC_A</t>
        </is>
      </c>
      <c r="C290" s="5">
        <f>C288-C289</f>
        <v/>
      </c>
      <c r="D290" s="5">
        <f>D288-D289</f>
        <v/>
      </c>
      <c r="E290" s="5">
        <f>E288-E289</f>
        <v/>
      </c>
      <c r="F290" s="5">
        <f>F288-F289</f>
        <v/>
      </c>
      <c r="G290" s="5">
        <f>G288-G289</f>
        <v/>
      </c>
      <c r="H290" s="5">
        <f>H288-H289</f>
        <v/>
      </c>
      <c r="I290" s="5">
        <f>I288-I289</f>
        <v/>
      </c>
      <c r="J290" s="5">
        <f>J288-J289</f>
        <v/>
      </c>
      <c r="K290" s="5">
        <f>K288-K289</f>
        <v/>
      </c>
      <c r="L290" s="5">
        <f>L288-L289</f>
        <v/>
      </c>
      <c r="M290" s="5">
        <f>M288-M289</f>
        <v/>
      </c>
      <c r="N290" s="5">
        <f>N288-N289</f>
        <v/>
      </c>
      <c r="O290" s="5">
        <f>O288-O289</f>
        <v/>
      </c>
      <c r="P290" s="5">
        <f>P288-P289</f>
        <v/>
      </c>
      <c r="Q290" s="5">
        <f>Q288-Q289</f>
        <v/>
      </c>
      <c r="R290" s="5">
        <f>R288-R289</f>
        <v/>
      </c>
      <c r="S290" s="5">
        <f>S288-S289</f>
        <v/>
      </c>
      <c r="T290" s="5">
        <f>T288-T289</f>
        <v/>
      </c>
      <c r="U290" s="5">
        <f>U288-U289</f>
        <v/>
      </c>
      <c r="V290" s="5">
        <f>V288-V289</f>
        <v/>
      </c>
      <c r="W290" s="5">
        <f>W288-W289</f>
        <v/>
      </c>
      <c r="X290" s="5">
        <f>X288-X289</f>
        <v/>
      </c>
      <c r="Y290" s="5">
        <f>Y288-Y289</f>
        <v/>
      </c>
      <c r="Z290" s="5">
        <f>Z288-Z289</f>
        <v/>
      </c>
      <c r="AA290" s="5">
        <f>AA288-AA289</f>
        <v/>
      </c>
      <c r="AB290" s="5">
        <f>AB288-AB289</f>
        <v/>
      </c>
      <c r="AC290" s="5">
        <f>AC288-AC289</f>
        <v/>
      </c>
      <c r="AD290" s="5">
        <f>AD288-AD289</f>
        <v/>
      </c>
      <c r="AE290" s="5">
        <f>AE288-AE289</f>
        <v/>
      </c>
      <c r="AF290" s="5">
        <f>AF288-AF289</f>
        <v/>
      </c>
      <c r="AG290" s="5">
        <f>AG288-AG289</f>
        <v/>
      </c>
      <c r="AH290" s="5">
        <f>AH288-AH289</f>
        <v/>
      </c>
      <c r="AI290" s="5">
        <f>AI288-AI289</f>
        <v/>
      </c>
      <c r="AJ290" s="5">
        <f>AJ288-AJ289</f>
        <v/>
      </c>
      <c r="AK290" s="5">
        <f>AK288-AK289</f>
        <v/>
      </c>
      <c r="AL290" s="5">
        <f>AL288-AL289</f>
        <v/>
      </c>
      <c r="AM290" s="5">
        <f>AM288-AM289</f>
        <v/>
      </c>
      <c r="AN290" s="5">
        <f>AN288-AN289</f>
        <v/>
      </c>
      <c r="AO290" s="5">
        <f>AO288-AO289</f>
        <v/>
      </c>
      <c r="AP290" s="5">
        <f>AP288-AP289</f>
        <v/>
      </c>
      <c r="AQ290" s="5">
        <f>AQ288-AQ289</f>
        <v/>
      </c>
      <c r="AR290" s="5">
        <f>AR288-AR289</f>
        <v/>
      </c>
      <c r="AS290" s="5">
        <f>AS288-AS289</f>
        <v/>
      </c>
      <c r="AT290" s="5">
        <f>AT288-AT289</f>
        <v/>
      </c>
      <c r="AU290" s="5">
        <f>AU288-AU289</f>
        <v/>
      </c>
      <c r="AV290" s="5">
        <f>AV288-AV289</f>
        <v/>
      </c>
      <c r="AW290" s="5">
        <f>AW288-AW289</f>
        <v/>
      </c>
      <c r="AX290" s="5">
        <f>AX288-AX289</f>
        <v/>
      </c>
      <c r="AY290" s="5">
        <f>AY288-AY289</f>
        <v/>
      </c>
      <c r="AZ290" s="5">
        <f>AZ288-AZ289</f>
        <v/>
      </c>
      <c r="BA290" s="5">
        <f>BA288-BA289</f>
        <v/>
      </c>
      <c r="BB290" s="5">
        <f>BB288-BB289</f>
        <v/>
      </c>
      <c r="BC290" s="5">
        <f>BC288-BC289</f>
        <v/>
      </c>
      <c r="BD290" s="5">
        <f>BD288-BD289</f>
        <v/>
      </c>
      <c r="BE290" s="5">
        <f>BE288-BE289</f>
        <v/>
      </c>
      <c r="BF290" s="5">
        <f>BF288-BF289</f>
        <v/>
      </c>
      <c r="BG290" s="5">
        <f>BG288-BG289</f>
        <v/>
      </c>
      <c r="BH290" s="5">
        <f>BH288-BH289</f>
        <v/>
      </c>
      <c r="BI290" s="5">
        <f>BI288-BI289</f>
        <v/>
      </c>
      <c r="BJ290" s="5">
        <f>BJ288-BJ289</f>
        <v/>
      </c>
      <c r="BK290" s="5">
        <f>BK288-BK289</f>
        <v/>
      </c>
      <c r="BL290" s="5">
        <f>BL288-BL289</f>
        <v/>
      </c>
      <c r="BM290" s="5">
        <f>BM288-BM289</f>
        <v/>
      </c>
      <c r="BN290" s="5">
        <f>BN288-BN289</f>
        <v/>
      </c>
      <c r="BO290" s="5">
        <f>BO288-BO289</f>
        <v/>
      </c>
      <c r="BP290" s="5">
        <f>BP288-BP289</f>
        <v/>
      </c>
      <c r="BQ290" s="5">
        <f>BQ288-BQ289</f>
        <v/>
      </c>
      <c r="BR290" s="5">
        <f>BR288-BR289</f>
        <v/>
      </c>
      <c r="BS290" s="5">
        <f>BS288-BS289</f>
        <v/>
      </c>
      <c r="BT290" s="5">
        <f>BT288-BT289</f>
        <v/>
      </c>
      <c r="BU290" s="5">
        <f>BU288-BU289</f>
        <v/>
      </c>
      <c r="BV290" s="5">
        <f>BV288-BV289</f>
        <v/>
      </c>
    </row>
    <row r="291">
      <c r="A291" t="inlineStr">
        <is>
          <t>trials ending</t>
        </is>
      </c>
      <c r="B291" t="inlineStr">
        <is>
          <t>ROW|BASIC_A</t>
        </is>
      </c>
      <c r="C291" s="5">
        <f>IF(C$2&gt;=Params!$B$6,INDEX($C$289:$BV$289,C$2-Params!$B$6+1),0)</f>
        <v/>
      </c>
      <c r="D291" s="5">
        <f>IF(D$2&gt;=Params!$B$6,INDEX($C$289:$BV$289,D$2-Params!$B$6+1),0)</f>
        <v/>
      </c>
      <c r="E291" s="5">
        <f>IF(E$2&gt;=Params!$B$6,INDEX($C$289:$BV$289,E$2-Params!$B$6+1),0)</f>
        <v/>
      </c>
      <c r="F291" s="5">
        <f>IF(F$2&gt;=Params!$B$6,INDEX($C$289:$BV$289,F$2-Params!$B$6+1),0)</f>
        <v/>
      </c>
      <c r="G291" s="5">
        <f>IF(G$2&gt;=Params!$B$6,INDEX($C$289:$BV$289,G$2-Params!$B$6+1),0)</f>
        <v/>
      </c>
      <c r="H291" s="5">
        <f>IF(H$2&gt;=Params!$B$6,INDEX($C$289:$BV$289,H$2-Params!$B$6+1),0)</f>
        <v/>
      </c>
      <c r="I291" s="5">
        <f>IF(I$2&gt;=Params!$B$6,INDEX($C$289:$BV$289,I$2-Params!$B$6+1),0)</f>
        <v/>
      </c>
      <c r="J291" s="5">
        <f>IF(J$2&gt;=Params!$B$6,INDEX($C$289:$BV$289,J$2-Params!$B$6+1),0)</f>
        <v/>
      </c>
      <c r="K291" s="5">
        <f>IF(K$2&gt;=Params!$B$6,INDEX($C$289:$BV$289,K$2-Params!$B$6+1),0)</f>
        <v/>
      </c>
      <c r="L291" s="5">
        <f>IF(L$2&gt;=Params!$B$6,INDEX($C$289:$BV$289,L$2-Params!$B$6+1),0)</f>
        <v/>
      </c>
      <c r="M291" s="5">
        <f>IF(M$2&gt;=Params!$B$6,INDEX($C$289:$BV$289,M$2-Params!$B$6+1),0)</f>
        <v/>
      </c>
      <c r="N291" s="5">
        <f>IF(N$2&gt;=Params!$B$6,INDEX($C$289:$BV$289,N$2-Params!$B$6+1),0)</f>
        <v/>
      </c>
      <c r="O291" s="5">
        <f>IF(O$2&gt;=Params!$B$6,INDEX($C$289:$BV$289,O$2-Params!$B$6+1),0)</f>
        <v/>
      </c>
      <c r="P291" s="5">
        <f>IF(P$2&gt;=Params!$B$6,INDEX($C$289:$BV$289,P$2-Params!$B$6+1),0)</f>
        <v/>
      </c>
      <c r="Q291" s="5">
        <f>IF(Q$2&gt;=Params!$B$6,INDEX($C$289:$BV$289,Q$2-Params!$B$6+1),0)</f>
        <v/>
      </c>
      <c r="R291" s="5">
        <f>IF(R$2&gt;=Params!$B$6,INDEX($C$289:$BV$289,R$2-Params!$B$6+1),0)</f>
        <v/>
      </c>
      <c r="S291" s="5">
        <f>IF(S$2&gt;=Params!$B$6,INDEX($C$289:$BV$289,S$2-Params!$B$6+1),0)</f>
        <v/>
      </c>
      <c r="T291" s="5">
        <f>IF(T$2&gt;=Params!$B$6,INDEX($C$289:$BV$289,T$2-Params!$B$6+1),0)</f>
        <v/>
      </c>
      <c r="U291" s="5">
        <f>IF(U$2&gt;=Params!$B$6,INDEX($C$289:$BV$289,U$2-Params!$B$6+1),0)</f>
        <v/>
      </c>
      <c r="V291" s="5">
        <f>IF(V$2&gt;=Params!$B$6,INDEX($C$289:$BV$289,V$2-Params!$B$6+1),0)</f>
        <v/>
      </c>
      <c r="W291" s="5">
        <f>IF(W$2&gt;=Params!$B$6,INDEX($C$289:$BV$289,W$2-Params!$B$6+1),0)</f>
        <v/>
      </c>
      <c r="X291" s="5">
        <f>IF(X$2&gt;=Params!$B$6,INDEX($C$289:$BV$289,X$2-Params!$B$6+1),0)</f>
        <v/>
      </c>
      <c r="Y291" s="5">
        <f>IF(Y$2&gt;=Params!$B$6,INDEX($C$289:$BV$289,Y$2-Params!$B$6+1),0)</f>
        <v/>
      </c>
      <c r="Z291" s="5">
        <f>IF(Z$2&gt;=Params!$B$6,INDEX($C$289:$BV$289,Z$2-Params!$B$6+1),0)</f>
        <v/>
      </c>
      <c r="AA291" s="5">
        <f>IF(AA$2&gt;=Params!$B$6,INDEX($C$289:$BV$289,AA$2-Params!$B$6+1),0)</f>
        <v/>
      </c>
      <c r="AB291" s="5">
        <f>IF(AB$2&gt;=Params!$B$6,INDEX($C$289:$BV$289,AB$2-Params!$B$6+1),0)</f>
        <v/>
      </c>
      <c r="AC291" s="5">
        <f>IF(AC$2&gt;=Params!$B$6,INDEX($C$289:$BV$289,AC$2-Params!$B$6+1),0)</f>
        <v/>
      </c>
      <c r="AD291" s="5">
        <f>IF(AD$2&gt;=Params!$B$6,INDEX($C$289:$BV$289,AD$2-Params!$B$6+1),0)</f>
        <v/>
      </c>
      <c r="AE291" s="5">
        <f>IF(AE$2&gt;=Params!$B$6,INDEX($C$289:$BV$289,AE$2-Params!$B$6+1),0)</f>
        <v/>
      </c>
      <c r="AF291" s="5">
        <f>IF(AF$2&gt;=Params!$B$6,INDEX($C$289:$BV$289,AF$2-Params!$B$6+1),0)</f>
        <v/>
      </c>
      <c r="AG291" s="5">
        <f>IF(AG$2&gt;=Params!$B$6,INDEX($C$289:$BV$289,AG$2-Params!$B$6+1),0)</f>
        <v/>
      </c>
      <c r="AH291" s="5">
        <f>IF(AH$2&gt;=Params!$B$6,INDEX($C$289:$BV$289,AH$2-Params!$B$6+1),0)</f>
        <v/>
      </c>
      <c r="AI291" s="5">
        <f>IF(AI$2&gt;=Params!$B$6,INDEX($C$289:$BV$289,AI$2-Params!$B$6+1),0)</f>
        <v/>
      </c>
      <c r="AJ291" s="5">
        <f>IF(AJ$2&gt;=Params!$B$6,INDEX($C$289:$BV$289,AJ$2-Params!$B$6+1),0)</f>
        <v/>
      </c>
      <c r="AK291" s="5">
        <f>IF(AK$2&gt;=Params!$B$6,INDEX($C$289:$BV$289,AK$2-Params!$B$6+1),0)</f>
        <v/>
      </c>
      <c r="AL291" s="5">
        <f>IF(AL$2&gt;=Params!$B$6,INDEX($C$289:$BV$289,AL$2-Params!$B$6+1),0)</f>
        <v/>
      </c>
      <c r="AM291" s="5">
        <f>IF(AM$2&gt;=Params!$B$6,INDEX($C$289:$BV$289,AM$2-Params!$B$6+1),0)</f>
        <v/>
      </c>
      <c r="AN291" s="5">
        <f>IF(AN$2&gt;=Params!$B$6,INDEX($C$289:$BV$289,AN$2-Params!$B$6+1),0)</f>
        <v/>
      </c>
      <c r="AO291" s="5">
        <f>IF(AO$2&gt;=Params!$B$6,INDEX($C$289:$BV$289,AO$2-Params!$B$6+1),0)</f>
        <v/>
      </c>
      <c r="AP291" s="5">
        <f>IF(AP$2&gt;=Params!$B$6,INDEX($C$289:$BV$289,AP$2-Params!$B$6+1),0)</f>
        <v/>
      </c>
      <c r="AQ291" s="5">
        <f>IF(AQ$2&gt;=Params!$B$6,INDEX($C$289:$BV$289,AQ$2-Params!$B$6+1),0)</f>
        <v/>
      </c>
      <c r="AR291" s="5">
        <f>IF(AR$2&gt;=Params!$B$6,INDEX($C$289:$BV$289,AR$2-Params!$B$6+1),0)</f>
        <v/>
      </c>
      <c r="AS291" s="5">
        <f>IF(AS$2&gt;=Params!$B$6,INDEX($C$289:$BV$289,AS$2-Params!$B$6+1),0)</f>
        <v/>
      </c>
      <c r="AT291" s="5">
        <f>IF(AT$2&gt;=Params!$B$6,INDEX($C$289:$BV$289,AT$2-Params!$B$6+1),0)</f>
        <v/>
      </c>
      <c r="AU291" s="5">
        <f>IF(AU$2&gt;=Params!$B$6,INDEX($C$289:$BV$289,AU$2-Params!$B$6+1),0)</f>
        <v/>
      </c>
      <c r="AV291" s="5">
        <f>IF(AV$2&gt;=Params!$B$6,INDEX($C$289:$BV$289,AV$2-Params!$B$6+1),0)</f>
        <v/>
      </c>
      <c r="AW291" s="5">
        <f>IF(AW$2&gt;=Params!$B$6,INDEX($C$289:$BV$289,AW$2-Params!$B$6+1),0)</f>
        <v/>
      </c>
      <c r="AX291" s="5">
        <f>IF(AX$2&gt;=Params!$B$6,INDEX($C$289:$BV$289,AX$2-Params!$B$6+1),0)</f>
        <v/>
      </c>
      <c r="AY291" s="5">
        <f>IF(AY$2&gt;=Params!$B$6,INDEX($C$289:$BV$289,AY$2-Params!$B$6+1),0)</f>
        <v/>
      </c>
      <c r="AZ291" s="5">
        <f>IF(AZ$2&gt;=Params!$B$6,INDEX($C$289:$BV$289,AZ$2-Params!$B$6+1),0)</f>
        <v/>
      </c>
      <c r="BA291" s="5">
        <f>IF(BA$2&gt;=Params!$B$6,INDEX($C$289:$BV$289,BA$2-Params!$B$6+1),0)</f>
        <v/>
      </c>
      <c r="BB291" s="5">
        <f>IF(BB$2&gt;=Params!$B$6,INDEX($C$289:$BV$289,BB$2-Params!$B$6+1),0)</f>
        <v/>
      </c>
      <c r="BC291" s="5">
        <f>IF(BC$2&gt;=Params!$B$6,INDEX($C$289:$BV$289,BC$2-Params!$B$6+1),0)</f>
        <v/>
      </c>
      <c r="BD291" s="5">
        <f>IF(BD$2&gt;=Params!$B$6,INDEX($C$289:$BV$289,BD$2-Params!$B$6+1),0)</f>
        <v/>
      </c>
      <c r="BE291" s="5">
        <f>IF(BE$2&gt;=Params!$B$6,INDEX($C$289:$BV$289,BE$2-Params!$B$6+1),0)</f>
        <v/>
      </c>
      <c r="BF291" s="5">
        <f>IF(BF$2&gt;=Params!$B$6,INDEX($C$289:$BV$289,BF$2-Params!$B$6+1),0)</f>
        <v/>
      </c>
      <c r="BG291" s="5">
        <f>IF(BG$2&gt;=Params!$B$6,INDEX($C$289:$BV$289,BG$2-Params!$B$6+1),0)</f>
        <v/>
      </c>
      <c r="BH291" s="5">
        <f>IF(BH$2&gt;=Params!$B$6,INDEX($C$289:$BV$289,BH$2-Params!$B$6+1),0)</f>
        <v/>
      </c>
      <c r="BI291" s="5">
        <f>IF(BI$2&gt;=Params!$B$6,INDEX($C$289:$BV$289,BI$2-Params!$B$6+1),0)</f>
        <v/>
      </c>
      <c r="BJ291" s="5">
        <f>IF(BJ$2&gt;=Params!$B$6,INDEX($C$289:$BV$289,BJ$2-Params!$B$6+1),0)</f>
        <v/>
      </c>
      <c r="BK291" s="5">
        <f>IF(BK$2&gt;=Params!$B$6,INDEX($C$289:$BV$289,BK$2-Params!$B$6+1),0)</f>
        <v/>
      </c>
      <c r="BL291" s="5">
        <f>IF(BL$2&gt;=Params!$B$6,INDEX($C$289:$BV$289,BL$2-Params!$B$6+1),0)</f>
        <v/>
      </c>
      <c r="BM291" s="5">
        <f>IF(BM$2&gt;=Params!$B$6,INDEX($C$289:$BV$289,BM$2-Params!$B$6+1),0)</f>
        <v/>
      </c>
      <c r="BN291" s="5">
        <f>IF(BN$2&gt;=Params!$B$6,INDEX($C$289:$BV$289,BN$2-Params!$B$6+1),0)</f>
        <v/>
      </c>
      <c r="BO291" s="5">
        <f>IF(BO$2&gt;=Params!$B$6,INDEX($C$289:$BV$289,BO$2-Params!$B$6+1),0)</f>
        <v/>
      </c>
      <c r="BP291" s="5">
        <f>IF(BP$2&gt;=Params!$B$6,INDEX($C$289:$BV$289,BP$2-Params!$B$6+1),0)</f>
        <v/>
      </c>
      <c r="BQ291" s="5">
        <f>IF(BQ$2&gt;=Params!$B$6,INDEX($C$289:$BV$289,BQ$2-Params!$B$6+1),0)</f>
        <v/>
      </c>
      <c r="BR291" s="5">
        <f>IF(BR$2&gt;=Params!$B$6,INDEX($C$289:$BV$289,BR$2-Params!$B$6+1),0)</f>
        <v/>
      </c>
      <c r="BS291" s="5">
        <f>IF(BS$2&gt;=Params!$B$6,INDEX($C$289:$BV$289,BS$2-Params!$B$6+1),0)</f>
        <v/>
      </c>
      <c r="BT291" s="5">
        <f>IF(BT$2&gt;=Params!$B$6,INDEX($C$289:$BV$289,BT$2-Params!$B$6+1),0)</f>
        <v/>
      </c>
      <c r="BU291" s="5">
        <f>IF(BU$2&gt;=Params!$B$6,INDEX($C$289:$BV$289,BU$2-Params!$B$6+1),0)</f>
        <v/>
      </c>
      <c r="BV291" s="5">
        <f>IF(BV$2&gt;=Params!$B$6,INDEX($C$289:$BV$289,BV$2-Params!$B$6+1),0)</f>
        <v/>
      </c>
    </row>
    <row r="292">
      <c r="A292" t="inlineStr">
        <is>
          <t>trial starts x conversion</t>
        </is>
      </c>
      <c r="B292" t="inlineStr">
        <is>
          <t>ROW|BASIC_A</t>
        </is>
      </c>
      <c r="C292" s="5">
        <f>C289*Eras!C$9</f>
        <v/>
      </c>
      <c r="D292" s="5">
        <f>D289*Eras!D$9</f>
        <v/>
      </c>
      <c r="E292" s="5">
        <f>E289*Eras!E$9</f>
        <v/>
      </c>
      <c r="F292" s="5">
        <f>F289*Eras!F$9</f>
        <v/>
      </c>
      <c r="G292" s="5">
        <f>G289*Eras!G$9</f>
        <v/>
      </c>
      <c r="H292" s="5">
        <f>H289*Eras!H$9</f>
        <v/>
      </c>
      <c r="I292" s="5">
        <f>I289*Eras!I$9</f>
        <v/>
      </c>
      <c r="J292" s="5">
        <f>J289*Eras!J$9</f>
        <v/>
      </c>
      <c r="K292" s="5">
        <f>K289*Eras!K$9</f>
        <v/>
      </c>
      <c r="L292" s="5">
        <f>L289*Eras!L$9</f>
        <v/>
      </c>
      <c r="M292" s="5">
        <f>M289*Eras!M$9</f>
        <v/>
      </c>
      <c r="N292" s="5">
        <f>N289*Eras!N$9</f>
        <v/>
      </c>
      <c r="O292" s="5">
        <f>O289*Eras!O$9</f>
        <v/>
      </c>
      <c r="P292" s="5">
        <f>P289*Eras!P$9</f>
        <v/>
      </c>
      <c r="Q292" s="5">
        <f>Q289*Eras!Q$9</f>
        <v/>
      </c>
      <c r="R292" s="5">
        <f>R289*Eras!R$9</f>
        <v/>
      </c>
      <c r="S292" s="5">
        <f>S289*Eras!S$9</f>
        <v/>
      </c>
      <c r="T292" s="5">
        <f>T289*Eras!T$9</f>
        <v/>
      </c>
      <c r="U292" s="5">
        <f>U289*Eras!U$9</f>
        <v/>
      </c>
      <c r="V292" s="5">
        <f>V289*Eras!V$9</f>
        <v/>
      </c>
      <c r="W292" s="5">
        <f>W289*Eras!W$9</f>
        <v/>
      </c>
      <c r="X292" s="5">
        <f>X289*Eras!X$9</f>
        <v/>
      </c>
      <c r="Y292" s="5">
        <f>Y289*Eras!Y$9</f>
        <v/>
      </c>
      <c r="Z292" s="5">
        <f>Z289*Eras!Z$9</f>
        <v/>
      </c>
      <c r="AA292" s="5">
        <f>AA289*Eras!AA$9</f>
        <v/>
      </c>
      <c r="AB292" s="5">
        <f>AB289*Eras!AB$9</f>
        <v/>
      </c>
      <c r="AC292" s="5">
        <f>AC289*Eras!AC$9</f>
        <v/>
      </c>
      <c r="AD292" s="5">
        <f>AD289*Eras!AD$9</f>
        <v/>
      </c>
      <c r="AE292" s="5">
        <f>AE289*Eras!AE$9</f>
        <v/>
      </c>
      <c r="AF292" s="5">
        <f>AF289*Eras!AF$9</f>
        <v/>
      </c>
      <c r="AG292" s="5">
        <f>AG289*Eras!AG$9</f>
        <v/>
      </c>
      <c r="AH292" s="5">
        <f>AH289*Eras!AH$9</f>
        <v/>
      </c>
      <c r="AI292" s="5">
        <f>AI289*Eras!AI$9</f>
        <v/>
      </c>
      <c r="AJ292" s="5">
        <f>AJ289*Eras!AJ$9</f>
        <v/>
      </c>
      <c r="AK292" s="5">
        <f>AK289*Eras!AK$9</f>
        <v/>
      </c>
      <c r="AL292" s="5">
        <f>AL289*Eras!AL$9</f>
        <v/>
      </c>
      <c r="AM292" s="5">
        <f>AM289*Eras!AM$9</f>
        <v/>
      </c>
      <c r="AN292" s="5">
        <f>AN289*Eras!AN$9</f>
        <v/>
      </c>
      <c r="AO292" s="5">
        <f>AO289*Eras!AO$9</f>
        <v/>
      </c>
      <c r="AP292" s="5">
        <f>AP289*Eras!AP$9</f>
        <v/>
      </c>
      <c r="AQ292" s="5">
        <f>AQ289*Eras!AQ$9</f>
        <v/>
      </c>
      <c r="AR292" s="5">
        <f>AR289*Eras!AR$9</f>
        <v/>
      </c>
      <c r="AS292" s="5">
        <f>AS289*Eras!AS$9</f>
        <v/>
      </c>
      <c r="AT292" s="5">
        <f>AT289*Eras!AT$9</f>
        <v/>
      </c>
      <c r="AU292" s="5">
        <f>AU289*Eras!AU$9</f>
        <v/>
      </c>
      <c r="AV292" s="5">
        <f>AV289*Eras!AV$9</f>
        <v/>
      </c>
      <c r="AW292" s="5">
        <f>AW289*Eras!AW$9</f>
        <v/>
      </c>
      <c r="AX292" s="5">
        <f>AX289*Eras!AX$9</f>
        <v/>
      </c>
      <c r="AY292" s="5">
        <f>AY289*Eras!AY$9</f>
        <v/>
      </c>
      <c r="AZ292" s="5">
        <f>AZ289*Eras!AZ$9</f>
        <v/>
      </c>
      <c r="BA292" s="5">
        <f>BA289*Eras!BA$9</f>
        <v/>
      </c>
      <c r="BB292" s="5">
        <f>BB289*Eras!BB$9</f>
        <v/>
      </c>
      <c r="BC292" s="5">
        <f>BC289*Eras!BC$9</f>
        <v/>
      </c>
      <c r="BD292" s="5">
        <f>BD289*Eras!BD$9</f>
        <v/>
      </c>
      <c r="BE292" s="5">
        <f>BE289*Eras!BE$9</f>
        <v/>
      </c>
      <c r="BF292" s="5">
        <f>BF289*Eras!BF$9</f>
        <v/>
      </c>
      <c r="BG292" s="5">
        <f>BG289*Eras!BG$9</f>
        <v/>
      </c>
      <c r="BH292" s="5">
        <f>BH289*Eras!BH$9</f>
        <v/>
      </c>
      <c r="BI292" s="5">
        <f>BI289*Eras!BI$9</f>
        <v/>
      </c>
      <c r="BJ292" s="5">
        <f>BJ289*Eras!BJ$9</f>
        <v/>
      </c>
      <c r="BK292" s="5">
        <f>BK289*Eras!BK$9</f>
        <v/>
      </c>
      <c r="BL292" s="5">
        <f>BL289*Eras!BL$9</f>
        <v/>
      </c>
      <c r="BM292" s="5">
        <f>BM289*Eras!BM$9</f>
        <v/>
      </c>
      <c r="BN292" s="5">
        <f>BN289*Eras!BN$9</f>
        <v/>
      </c>
      <c r="BO292" s="5">
        <f>BO289*Eras!BO$9</f>
        <v/>
      </c>
      <c r="BP292" s="5">
        <f>BP289*Eras!BP$9</f>
        <v/>
      </c>
      <c r="BQ292" s="5">
        <f>BQ289*Eras!BQ$9</f>
        <v/>
      </c>
      <c r="BR292" s="5">
        <f>BR289*Eras!BR$9</f>
        <v/>
      </c>
      <c r="BS292" s="5">
        <f>BS289*Eras!BS$9</f>
        <v/>
      </c>
      <c r="BT292" s="5">
        <f>BT289*Eras!BT$9</f>
        <v/>
      </c>
      <c r="BU292" s="5">
        <f>BU289*Eras!BU$9</f>
        <v/>
      </c>
      <c r="BV292" s="5">
        <f>BV289*Eras!BV$9</f>
        <v/>
      </c>
    </row>
    <row r="293">
      <c r="A293" t="inlineStr">
        <is>
          <t>trials converted</t>
        </is>
      </c>
      <c r="B293" t="inlineStr">
        <is>
          <t>ROW|BASIC_A</t>
        </is>
      </c>
      <c r="C293" s="5">
        <f>IF(C$2&gt;=Params!$B$6,INDEX($C$292:$BV$292,C$2-Params!$B$6+1),0)</f>
        <v/>
      </c>
      <c r="D293" s="5">
        <f>IF(D$2&gt;=Params!$B$6,INDEX($C$292:$BV$292,D$2-Params!$B$6+1),0)</f>
        <v/>
      </c>
      <c r="E293" s="5">
        <f>IF(E$2&gt;=Params!$B$6,INDEX($C$292:$BV$292,E$2-Params!$B$6+1),0)</f>
        <v/>
      </c>
      <c r="F293" s="5">
        <f>IF(F$2&gt;=Params!$B$6,INDEX($C$292:$BV$292,F$2-Params!$B$6+1),0)</f>
        <v/>
      </c>
      <c r="G293" s="5">
        <f>IF(G$2&gt;=Params!$B$6,INDEX($C$292:$BV$292,G$2-Params!$B$6+1),0)</f>
        <v/>
      </c>
      <c r="H293" s="5">
        <f>IF(H$2&gt;=Params!$B$6,INDEX($C$292:$BV$292,H$2-Params!$B$6+1),0)</f>
        <v/>
      </c>
      <c r="I293" s="5">
        <f>IF(I$2&gt;=Params!$B$6,INDEX($C$292:$BV$292,I$2-Params!$B$6+1),0)</f>
        <v/>
      </c>
      <c r="J293" s="5">
        <f>IF(J$2&gt;=Params!$B$6,INDEX($C$292:$BV$292,J$2-Params!$B$6+1),0)</f>
        <v/>
      </c>
      <c r="K293" s="5">
        <f>IF(K$2&gt;=Params!$B$6,INDEX($C$292:$BV$292,K$2-Params!$B$6+1),0)</f>
        <v/>
      </c>
      <c r="L293" s="5">
        <f>IF(L$2&gt;=Params!$B$6,INDEX($C$292:$BV$292,L$2-Params!$B$6+1),0)</f>
        <v/>
      </c>
      <c r="M293" s="5">
        <f>IF(M$2&gt;=Params!$B$6,INDEX($C$292:$BV$292,M$2-Params!$B$6+1),0)</f>
        <v/>
      </c>
      <c r="N293" s="5">
        <f>IF(N$2&gt;=Params!$B$6,INDEX($C$292:$BV$292,N$2-Params!$B$6+1),0)</f>
        <v/>
      </c>
      <c r="O293" s="5">
        <f>IF(O$2&gt;=Params!$B$6,INDEX($C$292:$BV$292,O$2-Params!$B$6+1),0)</f>
        <v/>
      </c>
      <c r="P293" s="5">
        <f>IF(P$2&gt;=Params!$B$6,INDEX($C$292:$BV$292,P$2-Params!$B$6+1),0)</f>
        <v/>
      </c>
      <c r="Q293" s="5">
        <f>IF(Q$2&gt;=Params!$B$6,INDEX($C$292:$BV$292,Q$2-Params!$B$6+1),0)</f>
        <v/>
      </c>
      <c r="R293" s="5">
        <f>IF(R$2&gt;=Params!$B$6,INDEX($C$292:$BV$292,R$2-Params!$B$6+1),0)</f>
        <v/>
      </c>
      <c r="S293" s="5">
        <f>IF(S$2&gt;=Params!$B$6,INDEX($C$292:$BV$292,S$2-Params!$B$6+1),0)</f>
        <v/>
      </c>
      <c r="T293" s="5">
        <f>IF(T$2&gt;=Params!$B$6,INDEX($C$292:$BV$292,T$2-Params!$B$6+1),0)</f>
        <v/>
      </c>
      <c r="U293" s="5">
        <f>IF(U$2&gt;=Params!$B$6,INDEX($C$292:$BV$292,U$2-Params!$B$6+1),0)</f>
        <v/>
      </c>
      <c r="V293" s="5">
        <f>IF(V$2&gt;=Params!$B$6,INDEX($C$292:$BV$292,V$2-Params!$B$6+1),0)</f>
        <v/>
      </c>
      <c r="W293" s="5">
        <f>IF(W$2&gt;=Params!$B$6,INDEX($C$292:$BV$292,W$2-Params!$B$6+1),0)</f>
        <v/>
      </c>
      <c r="X293" s="5">
        <f>IF(X$2&gt;=Params!$B$6,INDEX($C$292:$BV$292,X$2-Params!$B$6+1),0)</f>
        <v/>
      </c>
      <c r="Y293" s="5">
        <f>IF(Y$2&gt;=Params!$B$6,INDEX($C$292:$BV$292,Y$2-Params!$B$6+1),0)</f>
        <v/>
      </c>
      <c r="Z293" s="5">
        <f>IF(Z$2&gt;=Params!$B$6,INDEX($C$292:$BV$292,Z$2-Params!$B$6+1),0)</f>
        <v/>
      </c>
      <c r="AA293" s="5">
        <f>IF(AA$2&gt;=Params!$B$6,INDEX($C$292:$BV$292,AA$2-Params!$B$6+1),0)</f>
        <v/>
      </c>
      <c r="AB293" s="5">
        <f>IF(AB$2&gt;=Params!$B$6,INDEX($C$292:$BV$292,AB$2-Params!$B$6+1),0)</f>
        <v/>
      </c>
      <c r="AC293" s="5">
        <f>IF(AC$2&gt;=Params!$B$6,INDEX($C$292:$BV$292,AC$2-Params!$B$6+1),0)</f>
        <v/>
      </c>
      <c r="AD293" s="5">
        <f>IF(AD$2&gt;=Params!$B$6,INDEX($C$292:$BV$292,AD$2-Params!$B$6+1),0)</f>
        <v/>
      </c>
      <c r="AE293" s="5">
        <f>IF(AE$2&gt;=Params!$B$6,INDEX($C$292:$BV$292,AE$2-Params!$B$6+1),0)</f>
        <v/>
      </c>
      <c r="AF293" s="5">
        <f>IF(AF$2&gt;=Params!$B$6,INDEX($C$292:$BV$292,AF$2-Params!$B$6+1),0)</f>
        <v/>
      </c>
      <c r="AG293" s="5">
        <f>IF(AG$2&gt;=Params!$B$6,INDEX($C$292:$BV$292,AG$2-Params!$B$6+1),0)</f>
        <v/>
      </c>
      <c r="AH293" s="5">
        <f>IF(AH$2&gt;=Params!$B$6,INDEX($C$292:$BV$292,AH$2-Params!$B$6+1),0)</f>
        <v/>
      </c>
      <c r="AI293" s="5">
        <f>IF(AI$2&gt;=Params!$B$6,INDEX($C$292:$BV$292,AI$2-Params!$B$6+1),0)</f>
        <v/>
      </c>
      <c r="AJ293" s="5">
        <f>IF(AJ$2&gt;=Params!$B$6,INDEX($C$292:$BV$292,AJ$2-Params!$B$6+1),0)</f>
        <v/>
      </c>
      <c r="AK293" s="5">
        <f>IF(AK$2&gt;=Params!$B$6,INDEX($C$292:$BV$292,AK$2-Params!$B$6+1),0)</f>
        <v/>
      </c>
      <c r="AL293" s="5">
        <f>IF(AL$2&gt;=Params!$B$6,INDEX($C$292:$BV$292,AL$2-Params!$B$6+1),0)</f>
        <v/>
      </c>
      <c r="AM293" s="5">
        <f>IF(AM$2&gt;=Params!$B$6,INDEX($C$292:$BV$292,AM$2-Params!$B$6+1),0)</f>
        <v/>
      </c>
      <c r="AN293" s="5">
        <f>IF(AN$2&gt;=Params!$B$6,INDEX($C$292:$BV$292,AN$2-Params!$B$6+1),0)</f>
        <v/>
      </c>
      <c r="AO293" s="5">
        <f>IF(AO$2&gt;=Params!$B$6,INDEX($C$292:$BV$292,AO$2-Params!$B$6+1),0)</f>
        <v/>
      </c>
      <c r="AP293" s="5">
        <f>IF(AP$2&gt;=Params!$B$6,INDEX($C$292:$BV$292,AP$2-Params!$B$6+1),0)</f>
        <v/>
      </c>
      <c r="AQ293" s="5">
        <f>IF(AQ$2&gt;=Params!$B$6,INDEX($C$292:$BV$292,AQ$2-Params!$B$6+1),0)</f>
        <v/>
      </c>
      <c r="AR293" s="5">
        <f>IF(AR$2&gt;=Params!$B$6,INDEX($C$292:$BV$292,AR$2-Params!$B$6+1),0)</f>
        <v/>
      </c>
      <c r="AS293" s="5">
        <f>IF(AS$2&gt;=Params!$B$6,INDEX($C$292:$BV$292,AS$2-Params!$B$6+1),0)</f>
        <v/>
      </c>
      <c r="AT293" s="5">
        <f>IF(AT$2&gt;=Params!$B$6,INDEX($C$292:$BV$292,AT$2-Params!$B$6+1),0)</f>
        <v/>
      </c>
      <c r="AU293" s="5">
        <f>IF(AU$2&gt;=Params!$B$6,INDEX($C$292:$BV$292,AU$2-Params!$B$6+1),0)</f>
        <v/>
      </c>
      <c r="AV293" s="5">
        <f>IF(AV$2&gt;=Params!$B$6,INDEX($C$292:$BV$292,AV$2-Params!$B$6+1),0)</f>
        <v/>
      </c>
      <c r="AW293" s="5">
        <f>IF(AW$2&gt;=Params!$B$6,INDEX($C$292:$BV$292,AW$2-Params!$B$6+1),0)</f>
        <v/>
      </c>
      <c r="AX293" s="5">
        <f>IF(AX$2&gt;=Params!$B$6,INDEX($C$292:$BV$292,AX$2-Params!$B$6+1),0)</f>
        <v/>
      </c>
      <c r="AY293" s="5">
        <f>IF(AY$2&gt;=Params!$B$6,INDEX($C$292:$BV$292,AY$2-Params!$B$6+1),0)</f>
        <v/>
      </c>
      <c r="AZ293" s="5">
        <f>IF(AZ$2&gt;=Params!$B$6,INDEX($C$292:$BV$292,AZ$2-Params!$B$6+1),0)</f>
        <v/>
      </c>
      <c r="BA293" s="5">
        <f>IF(BA$2&gt;=Params!$B$6,INDEX($C$292:$BV$292,BA$2-Params!$B$6+1),0)</f>
        <v/>
      </c>
      <c r="BB293" s="5">
        <f>IF(BB$2&gt;=Params!$B$6,INDEX($C$292:$BV$292,BB$2-Params!$B$6+1),0)</f>
        <v/>
      </c>
      <c r="BC293" s="5">
        <f>IF(BC$2&gt;=Params!$B$6,INDEX($C$292:$BV$292,BC$2-Params!$B$6+1),0)</f>
        <v/>
      </c>
      <c r="BD293" s="5">
        <f>IF(BD$2&gt;=Params!$B$6,INDEX($C$292:$BV$292,BD$2-Params!$B$6+1),0)</f>
        <v/>
      </c>
      <c r="BE293" s="5">
        <f>IF(BE$2&gt;=Params!$B$6,INDEX($C$292:$BV$292,BE$2-Params!$B$6+1),0)</f>
        <v/>
      </c>
      <c r="BF293" s="5">
        <f>IF(BF$2&gt;=Params!$B$6,INDEX($C$292:$BV$292,BF$2-Params!$B$6+1),0)</f>
        <v/>
      </c>
      <c r="BG293" s="5">
        <f>IF(BG$2&gt;=Params!$B$6,INDEX($C$292:$BV$292,BG$2-Params!$B$6+1),0)</f>
        <v/>
      </c>
      <c r="BH293" s="5">
        <f>IF(BH$2&gt;=Params!$B$6,INDEX($C$292:$BV$292,BH$2-Params!$B$6+1),0)</f>
        <v/>
      </c>
      <c r="BI293" s="5">
        <f>IF(BI$2&gt;=Params!$B$6,INDEX($C$292:$BV$292,BI$2-Params!$B$6+1),0)</f>
        <v/>
      </c>
      <c r="BJ293" s="5">
        <f>IF(BJ$2&gt;=Params!$B$6,INDEX($C$292:$BV$292,BJ$2-Params!$B$6+1),0)</f>
        <v/>
      </c>
      <c r="BK293" s="5">
        <f>IF(BK$2&gt;=Params!$B$6,INDEX($C$292:$BV$292,BK$2-Params!$B$6+1),0)</f>
        <v/>
      </c>
      <c r="BL293" s="5">
        <f>IF(BL$2&gt;=Params!$B$6,INDEX($C$292:$BV$292,BL$2-Params!$B$6+1),0)</f>
        <v/>
      </c>
      <c r="BM293" s="5">
        <f>IF(BM$2&gt;=Params!$B$6,INDEX($C$292:$BV$292,BM$2-Params!$B$6+1),0)</f>
        <v/>
      </c>
      <c r="BN293" s="5">
        <f>IF(BN$2&gt;=Params!$B$6,INDEX($C$292:$BV$292,BN$2-Params!$B$6+1),0)</f>
        <v/>
      </c>
      <c r="BO293" s="5">
        <f>IF(BO$2&gt;=Params!$B$6,INDEX($C$292:$BV$292,BO$2-Params!$B$6+1),0)</f>
        <v/>
      </c>
      <c r="BP293" s="5">
        <f>IF(BP$2&gt;=Params!$B$6,INDEX($C$292:$BV$292,BP$2-Params!$B$6+1),0)</f>
        <v/>
      </c>
      <c r="BQ293" s="5">
        <f>IF(BQ$2&gt;=Params!$B$6,INDEX($C$292:$BV$292,BQ$2-Params!$B$6+1),0)</f>
        <v/>
      </c>
      <c r="BR293" s="5">
        <f>IF(BR$2&gt;=Params!$B$6,INDEX($C$292:$BV$292,BR$2-Params!$B$6+1),0)</f>
        <v/>
      </c>
      <c r="BS293" s="5">
        <f>IF(BS$2&gt;=Params!$B$6,INDEX($C$292:$BV$292,BS$2-Params!$B$6+1),0)</f>
        <v/>
      </c>
      <c r="BT293" s="5">
        <f>IF(BT$2&gt;=Params!$B$6,INDEX($C$292:$BV$292,BT$2-Params!$B$6+1),0)</f>
        <v/>
      </c>
      <c r="BU293" s="5">
        <f>IF(BU$2&gt;=Params!$B$6,INDEX($C$292:$BV$292,BU$2-Params!$B$6+1),0)</f>
        <v/>
      </c>
      <c r="BV293" s="5">
        <f>IF(BV$2&gt;=Params!$B$6,INDEX($C$292:$BV$292,BV$2-Params!$B$6+1),0)</f>
        <v/>
      </c>
    </row>
    <row r="294">
      <c r="A294" t="inlineStr">
        <is>
          <t>trials lost</t>
        </is>
      </c>
      <c r="B294" t="inlineStr">
        <is>
          <t>ROW|BASIC_A</t>
        </is>
      </c>
      <c r="C294" s="5">
        <f>C291-C293</f>
        <v/>
      </c>
      <c r="D294" s="5">
        <f>D291-D293</f>
        <v/>
      </c>
      <c r="E294" s="5">
        <f>E291-E293</f>
        <v/>
      </c>
      <c r="F294" s="5">
        <f>F291-F293</f>
        <v/>
      </c>
      <c r="G294" s="5">
        <f>G291-G293</f>
        <v/>
      </c>
      <c r="H294" s="5">
        <f>H291-H293</f>
        <v/>
      </c>
      <c r="I294" s="5">
        <f>I291-I293</f>
        <v/>
      </c>
      <c r="J294" s="5">
        <f>J291-J293</f>
        <v/>
      </c>
      <c r="K294" s="5">
        <f>K291-K293</f>
        <v/>
      </c>
      <c r="L294" s="5">
        <f>L291-L293</f>
        <v/>
      </c>
      <c r="M294" s="5">
        <f>M291-M293</f>
        <v/>
      </c>
      <c r="N294" s="5">
        <f>N291-N293</f>
        <v/>
      </c>
      <c r="O294" s="5">
        <f>O291-O293</f>
        <v/>
      </c>
      <c r="P294" s="5">
        <f>P291-P293</f>
        <v/>
      </c>
      <c r="Q294" s="5">
        <f>Q291-Q293</f>
        <v/>
      </c>
      <c r="R294" s="5">
        <f>R291-R293</f>
        <v/>
      </c>
      <c r="S294" s="5">
        <f>S291-S293</f>
        <v/>
      </c>
      <c r="T294" s="5">
        <f>T291-T293</f>
        <v/>
      </c>
      <c r="U294" s="5">
        <f>U291-U293</f>
        <v/>
      </c>
      <c r="V294" s="5">
        <f>V291-V293</f>
        <v/>
      </c>
      <c r="W294" s="5">
        <f>W291-W293</f>
        <v/>
      </c>
      <c r="X294" s="5">
        <f>X291-X293</f>
        <v/>
      </c>
      <c r="Y294" s="5">
        <f>Y291-Y293</f>
        <v/>
      </c>
      <c r="Z294" s="5">
        <f>Z291-Z293</f>
        <v/>
      </c>
      <c r="AA294" s="5">
        <f>AA291-AA293</f>
        <v/>
      </c>
      <c r="AB294" s="5">
        <f>AB291-AB293</f>
        <v/>
      </c>
      <c r="AC294" s="5">
        <f>AC291-AC293</f>
        <v/>
      </c>
      <c r="AD294" s="5">
        <f>AD291-AD293</f>
        <v/>
      </c>
      <c r="AE294" s="5">
        <f>AE291-AE293</f>
        <v/>
      </c>
      <c r="AF294" s="5">
        <f>AF291-AF293</f>
        <v/>
      </c>
      <c r="AG294" s="5">
        <f>AG291-AG293</f>
        <v/>
      </c>
      <c r="AH294" s="5">
        <f>AH291-AH293</f>
        <v/>
      </c>
      <c r="AI294" s="5">
        <f>AI291-AI293</f>
        <v/>
      </c>
      <c r="AJ294" s="5">
        <f>AJ291-AJ293</f>
        <v/>
      </c>
      <c r="AK294" s="5">
        <f>AK291-AK293</f>
        <v/>
      </c>
      <c r="AL294" s="5">
        <f>AL291-AL293</f>
        <v/>
      </c>
      <c r="AM294" s="5">
        <f>AM291-AM293</f>
        <v/>
      </c>
      <c r="AN294" s="5">
        <f>AN291-AN293</f>
        <v/>
      </c>
      <c r="AO294" s="5">
        <f>AO291-AO293</f>
        <v/>
      </c>
      <c r="AP294" s="5">
        <f>AP291-AP293</f>
        <v/>
      </c>
      <c r="AQ294" s="5">
        <f>AQ291-AQ293</f>
        <v/>
      </c>
      <c r="AR294" s="5">
        <f>AR291-AR293</f>
        <v/>
      </c>
      <c r="AS294" s="5">
        <f>AS291-AS293</f>
        <v/>
      </c>
      <c r="AT294" s="5">
        <f>AT291-AT293</f>
        <v/>
      </c>
      <c r="AU294" s="5">
        <f>AU291-AU293</f>
        <v/>
      </c>
      <c r="AV294" s="5">
        <f>AV291-AV293</f>
        <v/>
      </c>
      <c r="AW294" s="5">
        <f>AW291-AW293</f>
        <v/>
      </c>
      <c r="AX294" s="5">
        <f>AX291-AX293</f>
        <v/>
      </c>
      <c r="AY294" s="5">
        <f>AY291-AY293</f>
        <v/>
      </c>
      <c r="AZ294" s="5">
        <f>AZ291-AZ293</f>
        <v/>
      </c>
      <c r="BA294" s="5">
        <f>BA291-BA293</f>
        <v/>
      </c>
      <c r="BB294" s="5">
        <f>BB291-BB293</f>
        <v/>
      </c>
      <c r="BC294" s="5">
        <f>BC291-BC293</f>
        <v/>
      </c>
      <c r="BD294" s="5">
        <f>BD291-BD293</f>
        <v/>
      </c>
      <c r="BE294" s="5">
        <f>BE291-BE293</f>
        <v/>
      </c>
      <c r="BF294" s="5">
        <f>BF291-BF293</f>
        <v/>
      </c>
      <c r="BG294" s="5">
        <f>BG291-BG293</f>
        <v/>
      </c>
      <c r="BH294" s="5">
        <f>BH291-BH293</f>
        <v/>
      </c>
      <c r="BI294" s="5">
        <f>BI291-BI293</f>
        <v/>
      </c>
      <c r="BJ294" s="5">
        <f>BJ291-BJ293</f>
        <v/>
      </c>
      <c r="BK294" s="5">
        <f>BK291-BK293</f>
        <v/>
      </c>
      <c r="BL294" s="5">
        <f>BL291-BL293</f>
        <v/>
      </c>
      <c r="BM294" s="5">
        <f>BM291-BM293</f>
        <v/>
      </c>
      <c r="BN294" s="5">
        <f>BN291-BN293</f>
        <v/>
      </c>
      <c r="BO294" s="5">
        <f>BO291-BO293</f>
        <v/>
      </c>
      <c r="BP294" s="5">
        <f>BP291-BP293</f>
        <v/>
      </c>
      <c r="BQ294" s="5">
        <f>BQ291-BQ293</f>
        <v/>
      </c>
      <c r="BR294" s="5">
        <f>BR291-BR293</f>
        <v/>
      </c>
      <c r="BS294" s="5">
        <f>BS291-BS293</f>
        <v/>
      </c>
      <c r="BT294" s="5">
        <f>BT291-BT293</f>
        <v/>
      </c>
      <c r="BU294" s="5">
        <f>BU291-BU293</f>
        <v/>
      </c>
      <c r="BV294" s="5">
        <f>BV291-BV293</f>
        <v/>
      </c>
    </row>
    <row r="295">
      <c r="A295" t="inlineStr">
        <is>
          <t>cum trial starts</t>
        </is>
      </c>
      <c r="B295" t="inlineStr">
        <is>
          <t>ROW|BASIC_A</t>
        </is>
      </c>
      <c r="C295" s="5">
        <f>SUM($C289:C289)</f>
        <v/>
      </c>
      <c r="D295" s="5">
        <f>SUM($C289:D289)</f>
        <v/>
      </c>
      <c r="E295" s="5">
        <f>SUM($C289:E289)</f>
        <v/>
      </c>
      <c r="F295" s="5">
        <f>SUM($C289:F289)</f>
        <v/>
      </c>
      <c r="G295" s="5">
        <f>SUM($C289:G289)</f>
        <v/>
      </c>
      <c r="H295" s="5">
        <f>SUM($C289:H289)</f>
        <v/>
      </c>
      <c r="I295" s="5">
        <f>SUM($C289:I289)</f>
        <v/>
      </c>
      <c r="J295" s="5">
        <f>SUM($C289:J289)</f>
        <v/>
      </c>
      <c r="K295" s="5">
        <f>SUM($C289:K289)</f>
        <v/>
      </c>
      <c r="L295" s="5">
        <f>SUM($C289:L289)</f>
        <v/>
      </c>
      <c r="M295" s="5">
        <f>SUM($C289:M289)</f>
        <v/>
      </c>
      <c r="N295" s="5">
        <f>SUM($C289:N289)</f>
        <v/>
      </c>
      <c r="O295" s="5">
        <f>SUM($C289:O289)</f>
        <v/>
      </c>
      <c r="P295" s="5">
        <f>SUM($C289:P289)</f>
        <v/>
      </c>
      <c r="Q295" s="5">
        <f>SUM($C289:Q289)</f>
        <v/>
      </c>
      <c r="R295" s="5">
        <f>SUM($C289:R289)</f>
        <v/>
      </c>
      <c r="S295" s="5">
        <f>SUM($C289:S289)</f>
        <v/>
      </c>
      <c r="T295" s="5">
        <f>SUM($C289:T289)</f>
        <v/>
      </c>
      <c r="U295" s="5">
        <f>SUM($C289:U289)</f>
        <v/>
      </c>
      <c r="V295" s="5">
        <f>SUM($C289:V289)</f>
        <v/>
      </c>
      <c r="W295" s="5">
        <f>SUM($C289:W289)</f>
        <v/>
      </c>
      <c r="X295" s="5">
        <f>SUM($C289:X289)</f>
        <v/>
      </c>
      <c r="Y295" s="5">
        <f>SUM($C289:Y289)</f>
        <v/>
      </c>
      <c r="Z295" s="5">
        <f>SUM($C289:Z289)</f>
        <v/>
      </c>
      <c r="AA295" s="5">
        <f>SUM($C289:AA289)</f>
        <v/>
      </c>
      <c r="AB295" s="5">
        <f>SUM($C289:AB289)</f>
        <v/>
      </c>
      <c r="AC295" s="5">
        <f>SUM($C289:AC289)</f>
        <v/>
      </c>
      <c r="AD295" s="5">
        <f>SUM($C289:AD289)</f>
        <v/>
      </c>
      <c r="AE295" s="5">
        <f>SUM($C289:AE289)</f>
        <v/>
      </c>
      <c r="AF295" s="5">
        <f>SUM($C289:AF289)</f>
        <v/>
      </c>
      <c r="AG295" s="5">
        <f>SUM($C289:AG289)</f>
        <v/>
      </c>
      <c r="AH295" s="5">
        <f>SUM($C289:AH289)</f>
        <v/>
      </c>
      <c r="AI295" s="5">
        <f>SUM($C289:AI289)</f>
        <v/>
      </c>
      <c r="AJ295" s="5">
        <f>SUM($C289:AJ289)</f>
        <v/>
      </c>
      <c r="AK295" s="5">
        <f>SUM($C289:AK289)</f>
        <v/>
      </c>
      <c r="AL295" s="5">
        <f>SUM($C289:AL289)</f>
        <v/>
      </c>
      <c r="AM295" s="5">
        <f>SUM($C289:AM289)</f>
        <v/>
      </c>
      <c r="AN295" s="5">
        <f>SUM($C289:AN289)</f>
        <v/>
      </c>
      <c r="AO295" s="5">
        <f>SUM($C289:AO289)</f>
        <v/>
      </c>
      <c r="AP295" s="5">
        <f>SUM($C289:AP289)</f>
        <v/>
      </c>
      <c r="AQ295" s="5">
        <f>SUM($C289:AQ289)</f>
        <v/>
      </c>
      <c r="AR295" s="5">
        <f>SUM($C289:AR289)</f>
        <v/>
      </c>
      <c r="AS295" s="5">
        <f>SUM($C289:AS289)</f>
        <v/>
      </c>
      <c r="AT295" s="5">
        <f>SUM($C289:AT289)</f>
        <v/>
      </c>
      <c r="AU295" s="5">
        <f>SUM($C289:AU289)</f>
        <v/>
      </c>
      <c r="AV295" s="5">
        <f>SUM($C289:AV289)</f>
        <v/>
      </c>
      <c r="AW295" s="5">
        <f>SUM($C289:AW289)</f>
        <v/>
      </c>
      <c r="AX295" s="5">
        <f>SUM($C289:AX289)</f>
        <v/>
      </c>
      <c r="AY295" s="5">
        <f>SUM($C289:AY289)</f>
        <v/>
      </c>
      <c r="AZ295" s="5">
        <f>SUM($C289:AZ289)</f>
        <v/>
      </c>
      <c r="BA295" s="5">
        <f>SUM($C289:BA289)</f>
        <v/>
      </c>
      <c r="BB295" s="5">
        <f>SUM($C289:BB289)</f>
        <v/>
      </c>
      <c r="BC295" s="5">
        <f>SUM($C289:BC289)</f>
        <v/>
      </c>
      <c r="BD295" s="5">
        <f>SUM($C289:BD289)</f>
        <v/>
      </c>
      <c r="BE295" s="5">
        <f>SUM($C289:BE289)</f>
        <v/>
      </c>
      <c r="BF295" s="5">
        <f>SUM($C289:BF289)</f>
        <v/>
      </c>
      <c r="BG295" s="5">
        <f>SUM($C289:BG289)</f>
        <v/>
      </c>
      <c r="BH295" s="5">
        <f>SUM($C289:BH289)</f>
        <v/>
      </c>
      <c r="BI295" s="5">
        <f>SUM($C289:BI289)</f>
        <v/>
      </c>
      <c r="BJ295" s="5">
        <f>SUM($C289:BJ289)</f>
        <v/>
      </c>
      <c r="BK295" s="5">
        <f>SUM($C289:BK289)</f>
        <v/>
      </c>
      <c r="BL295" s="5">
        <f>SUM($C289:BL289)</f>
        <v/>
      </c>
      <c r="BM295" s="5">
        <f>SUM($C289:BM289)</f>
        <v/>
      </c>
      <c r="BN295" s="5">
        <f>SUM($C289:BN289)</f>
        <v/>
      </c>
      <c r="BO295" s="5">
        <f>SUM($C289:BO289)</f>
        <v/>
      </c>
      <c r="BP295" s="5">
        <f>SUM($C289:BP289)</f>
        <v/>
      </c>
      <c r="BQ295" s="5">
        <f>SUM($C289:BQ289)</f>
        <v/>
      </c>
      <c r="BR295" s="5">
        <f>SUM($C289:BR289)</f>
        <v/>
      </c>
      <c r="BS295" s="5">
        <f>SUM($C289:BS289)</f>
        <v/>
      </c>
      <c r="BT295" s="5">
        <f>SUM($C289:BT289)</f>
        <v/>
      </c>
      <c r="BU295" s="5">
        <f>SUM($C289:BU289)</f>
        <v/>
      </c>
      <c r="BV295" s="5">
        <f>SUM($C289:BV289)</f>
        <v/>
      </c>
    </row>
    <row r="296">
      <c r="A296" t="inlineStr">
        <is>
          <t>cum trials ending</t>
        </is>
      </c>
      <c r="B296" t="inlineStr">
        <is>
          <t>ROW|BASIC_A</t>
        </is>
      </c>
      <c r="C296" s="5">
        <f>SUM($C291:C291)</f>
        <v/>
      </c>
      <c r="D296" s="5">
        <f>SUM($C291:D291)</f>
        <v/>
      </c>
      <c r="E296" s="5">
        <f>SUM($C291:E291)</f>
        <v/>
      </c>
      <c r="F296" s="5">
        <f>SUM($C291:F291)</f>
        <v/>
      </c>
      <c r="G296" s="5">
        <f>SUM($C291:G291)</f>
        <v/>
      </c>
      <c r="H296" s="5">
        <f>SUM($C291:H291)</f>
        <v/>
      </c>
      <c r="I296" s="5">
        <f>SUM($C291:I291)</f>
        <v/>
      </c>
      <c r="J296" s="5">
        <f>SUM($C291:J291)</f>
        <v/>
      </c>
      <c r="K296" s="5">
        <f>SUM($C291:K291)</f>
        <v/>
      </c>
      <c r="L296" s="5">
        <f>SUM($C291:L291)</f>
        <v/>
      </c>
      <c r="M296" s="5">
        <f>SUM($C291:M291)</f>
        <v/>
      </c>
      <c r="N296" s="5">
        <f>SUM($C291:N291)</f>
        <v/>
      </c>
      <c r="O296" s="5">
        <f>SUM($C291:O291)</f>
        <v/>
      </c>
      <c r="P296" s="5">
        <f>SUM($C291:P291)</f>
        <v/>
      </c>
      <c r="Q296" s="5">
        <f>SUM($C291:Q291)</f>
        <v/>
      </c>
      <c r="R296" s="5">
        <f>SUM($C291:R291)</f>
        <v/>
      </c>
      <c r="S296" s="5">
        <f>SUM($C291:S291)</f>
        <v/>
      </c>
      <c r="T296" s="5">
        <f>SUM($C291:T291)</f>
        <v/>
      </c>
      <c r="U296" s="5">
        <f>SUM($C291:U291)</f>
        <v/>
      </c>
      <c r="V296" s="5">
        <f>SUM($C291:V291)</f>
        <v/>
      </c>
      <c r="W296" s="5">
        <f>SUM($C291:W291)</f>
        <v/>
      </c>
      <c r="X296" s="5">
        <f>SUM($C291:X291)</f>
        <v/>
      </c>
      <c r="Y296" s="5">
        <f>SUM($C291:Y291)</f>
        <v/>
      </c>
      <c r="Z296" s="5">
        <f>SUM($C291:Z291)</f>
        <v/>
      </c>
      <c r="AA296" s="5">
        <f>SUM($C291:AA291)</f>
        <v/>
      </c>
      <c r="AB296" s="5">
        <f>SUM($C291:AB291)</f>
        <v/>
      </c>
      <c r="AC296" s="5">
        <f>SUM($C291:AC291)</f>
        <v/>
      </c>
      <c r="AD296" s="5">
        <f>SUM($C291:AD291)</f>
        <v/>
      </c>
      <c r="AE296" s="5">
        <f>SUM($C291:AE291)</f>
        <v/>
      </c>
      <c r="AF296" s="5">
        <f>SUM($C291:AF291)</f>
        <v/>
      </c>
      <c r="AG296" s="5">
        <f>SUM($C291:AG291)</f>
        <v/>
      </c>
      <c r="AH296" s="5">
        <f>SUM($C291:AH291)</f>
        <v/>
      </c>
      <c r="AI296" s="5">
        <f>SUM($C291:AI291)</f>
        <v/>
      </c>
      <c r="AJ296" s="5">
        <f>SUM($C291:AJ291)</f>
        <v/>
      </c>
      <c r="AK296" s="5">
        <f>SUM($C291:AK291)</f>
        <v/>
      </c>
      <c r="AL296" s="5">
        <f>SUM($C291:AL291)</f>
        <v/>
      </c>
      <c r="AM296" s="5">
        <f>SUM($C291:AM291)</f>
        <v/>
      </c>
      <c r="AN296" s="5">
        <f>SUM($C291:AN291)</f>
        <v/>
      </c>
      <c r="AO296" s="5">
        <f>SUM($C291:AO291)</f>
        <v/>
      </c>
      <c r="AP296" s="5">
        <f>SUM($C291:AP291)</f>
        <v/>
      </c>
      <c r="AQ296" s="5">
        <f>SUM($C291:AQ291)</f>
        <v/>
      </c>
      <c r="AR296" s="5">
        <f>SUM($C291:AR291)</f>
        <v/>
      </c>
      <c r="AS296" s="5">
        <f>SUM($C291:AS291)</f>
        <v/>
      </c>
      <c r="AT296" s="5">
        <f>SUM($C291:AT291)</f>
        <v/>
      </c>
      <c r="AU296" s="5">
        <f>SUM($C291:AU291)</f>
        <v/>
      </c>
      <c r="AV296" s="5">
        <f>SUM($C291:AV291)</f>
        <v/>
      </c>
      <c r="AW296" s="5">
        <f>SUM($C291:AW291)</f>
        <v/>
      </c>
      <c r="AX296" s="5">
        <f>SUM($C291:AX291)</f>
        <v/>
      </c>
      <c r="AY296" s="5">
        <f>SUM($C291:AY291)</f>
        <v/>
      </c>
      <c r="AZ296" s="5">
        <f>SUM($C291:AZ291)</f>
        <v/>
      </c>
      <c r="BA296" s="5">
        <f>SUM($C291:BA291)</f>
        <v/>
      </c>
      <c r="BB296" s="5">
        <f>SUM($C291:BB291)</f>
        <v/>
      </c>
      <c r="BC296" s="5">
        <f>SUM($C291:BC291)</f>
        <v/>
      </c>
      <c r="BD296" s="5">
        <f>SUM($C291:BD291)</f>
        <v/>
      </c>
      <c r="BE296" s="5">
        <f>SUM($C291:BE291)</f>
        <v/>
      </c>
      <c r="BF296" s="5">
        <f>SUM($C291:BF291)</f>
        <v/>
      </c>
      <c r="BG296" s="5">
        <f>SUM($C291:BG291)</f>
        <v/>
      </c>
      <c r="BH296" s="5">
        <f>SUM($C291:BH291)</f>
        <v/>
      </c>
      <c r="BI296" s="5">
        <f>SUM($C291:BI291)</f>
        <v/>
      </c>
      <c r="BJ296" s="5">
        <f>SUM($C291:BJ291)</f>
        <v/>
      </c>
      <c r="BK296" s="5">
        <f>SUM($C291:BK291)</f>
        <v/>
      </c>
      <c r="BL296" s="5">
        <f>SUM($C291:BL291)</f>
        <v/>
      </c>
      <c r="BM296" s="5">
        <f>SUM($C291:BM291)</f>
        <v/>
      </c>
      <c r="BN296" s="5">
        <f>SUM($C291:BN291)</f>
        <v/>
      </c>
      <c r="BO296" s="5">
        <f>SUM($C291:BO291)</f>
        <v/>
      </c>
      <c r="BP296" s="5">
        <f>SUM($C291:BP291)</f>
        <v/>
      </c>
      <c r="BQ296" s="5">
        <f>SUM($C291:BQ291)</f>
        <v/>
      </c>
      <c r="BR296" s="5">
        <f>SUM($C291:BR291)</f>
        <v/>
      </c>
      <c r="BS296" s="5">
        <f>SUM($C291:BS291)</f>
        <v/>
      </c>
      <c r="BT296" s="5">
        <f>SUM($C291:BT291)</f>
        <v/>
      </c>
      <c r="BU296" s="5">
        <f>SUM($C291:BU291)</f>
        <v/>
      </c>
      <c r="BV296" s="5">
        <f>SUM($C291:BV291)</f>
        <v/>
      </c>
    </row>
    <row r="297">
      <c r="A297" t="inlineStr">
        <is>
          <t>trials active</t>
        </is>
      </c>
      <c r="B297" t="inlineStr">
        <is>
          <t>ROW|BASIC_A</t>
        </is>
      </c>
      <c r="C297" s="5">
        <f>C295-C296</f>
        <v/>
      </c>
      <c r="D297" s="5">
        <f>D295-D296</f>
        <v/>
      </c>
      <c r="E297" s="5">
        <f>E295-E296</f>
        <v/>
      </c>
      <c r="F297" s="5">
        <f>F295-F296</f>
        <v/>
      </c>
      <c r="G297" s="5">
        <f>G295-G296</f>
        <v/>
      </c>
      <c r="H297" s="5">
        <f>H295-H296</f>
        <v/>
      </c>
      <c r="I297" s="5">
        <f>I295-I296</f>
        <v/>
      </c>
      <c r="J297" s="5">
        <f>J295-J296</f>
        <v/>
      </c>
      <c r="K297" s="5">
        <f>K295-K296</f>
        <v/>
      </c>
      <c r="L297" s="5">
        <f>L295-L296</f>
        <v/>
      </c>
      <c r="M297" s="5">
        <f>M295-M296</f>
        <v/>
      </c>
      <c r="N297" s="5">
        <f>N295-N296</f>
        <v/>
      </c>
      <c r="O297" s="5">
        <f>O295-O296</f>
        <v/>
      </c>
      <c r="P297" s="5">
        <f>P295-P296</f>
        <v/>
      </c>
      <c r="Q297" s="5">
        <f>Q295-Q296</f>
        <v/>
      </c>
      <c r="R297" s="5">
        <f>R295-R296</f>
        <v/>
      </c>
      <c r="S297" s="5">
        <f>S295-S296</f>
        <v/>
      </c>
      <c r="T297" s="5">
        <f>T295-T296</f>
        <v/>
      </c>
      <c r="U297" s="5">
        <f>U295-U296</f>
        <v/>
      </c>
      <c r="V297" s="5">
        <f>V295-V296</f>
        <v/>
      </c>
      <c r="W297" s="5">
        <f>W295-W296</f>
        <v/>
      </c>
      <c r="X297" s="5">
        <f>X295-X296</f>
        <v/>
      </c>
      <c r="Y297" s="5">
        <f>Y295-Y296</f>
        <v/>
      </c>
      <c r="Z297" s="5">
        <f>Z295-Z296</f>
        <v/>
      </c>
      <c r="AA297" s="5">
        <f>AA295-AA296</f>
        <v/>
      </c>
      <c r="AB297" s="5">
        <f>AB295-AB296</f>
        <v/>
      </c>
      <c r="AC297" s="5">
        <f>AC295-AC296</f>
        <v/>
      </c>
      <c r="AD297" s="5">
        <f>AD295-AD296</f>
        <v/>
      </c>
      <c r="AE297" s="5">
        <f>AE295-AE296</f>
        <v/>
      </c>
      <c r="AF297" s="5">
        <f>AF295-AF296</f>
        <v/>
      </c>
      <c r="AG297" s="5">
        <f>AG295-AG296</f>
        <v/>
      </c>
      <c r="AH297" s="5">
        <f>AH295-AH296</f>
        <v/>
      </c>
      <c r="AI297" s="5">
        <f>AI295-AI296</f>
        <v/>
      </c>
      <c r="AJ297" s="5">
        <f>AJ295-AJ296</f>
        <v/>
      </c>
      <c r="AK297" s="5">
        <f>AK295-AK296</f>
        <v/>
      </c>
      <c r="AL297" s="5">
        <f>AL295-AL296</f>
        <v/>
      </c>
      <c r="AM297" s="5">
        <f>AM295-AM296</f>
        <v/>
      </c>
      <c r="AN297" s="5">
        <f>AN295-AN296</f>
        <v/>
      </c>
      <c r="AO297" s="5">
        <f>AO295-AO296</f>
        <v/>
      </c>
      <c r="AP297" s="5">
        <f>AP295-AP296</f>
        <v/>
      </c>
      <c r="AQ297" s="5">
        <f>AQ295-AQ296</f>
        <v/>
      </c>
      <c r="AR297" s="5">
        <f>AR295-AR296</f>
        <v/>
      </c>
      <c r="AS297" s="5">
        <f>AS295-AS296</f>
        <v/>
      </c>
      <c r="AT297" s="5">
        <f>AT295-AT296</f>
        <v/>
      </c>
      <c r="AU297" s="5">
        <f>AU295-AU296</f>
        <v/>
      </c>
      <c r="AV297" s="5">
        <f>AV295-AV296</f>
        <v/>
      </c>
      <c r="AW297" s="5">
        <f>AW295-AW296</f>
        <v/>
      </c>
      <c r="AX297" s="5">
        <f>AX295-AX296</f>
        <v/>
      </c>
      <c r="AY297" s="5">
        <f>AY295-AY296</f>
        <v/>
      </c>
      <c r="AZ297" s="5">
        <f>AZ295-AZ296</f>
        <v/>
      </c>
      <c r="BA297" s="5">
        <f>BA295-BA296</f>
        <v/>
      </c>
      <c r="BB297" s="5">
        <f>BB295-BB296</f>
        <v/>
      </c>
      <c r="BC297" s="5">
        <f>BC295-BC296</f>
        <v/>
      </c>
      <c r="BD297" s="5">
        <f>BD295-BD296</f>
        <v/>
      </c>
      <c r="BE297" s="5">
        <f>BE295-BE296</f>
        <v/>
      </c>
      <c r="BF297" s="5">
        <f>BF295-BF296</f>
        <v/>
      </c>
      <c r="BG297" s="5">
        <f>BG295-BG296</f>
        <v/>
      </c>
      <c r="BH297" s="5">
        <f>BH295-BH296</f>
        <v/>
      </c>
      <c r="BI297" s="5">
        <f>BI295-BI296</f>
        <v/>
      </c>
      <c r="BJ297" s="5">
        <f>BJ295-BJ296</f>
        <v/>
      </c>
      <c r="BK297" s="5">
        <f>BK295-BK296</f>
        <v/>
      </c>
      <c r="BL297" s="5">
        <f>BL295-BL296</f>
        <v/>
      </c>
      <c r="BM297" s="5">
        <f>BM295-BM296</f>
        <v/>
      </c>
      <c r="BN297" s="5">
        <f>BN295-BN296</f>
        <v/>
      </c>
      <c r="BO297" s="5">
        <f>BO295-BO296</f>
        <v/>
      </c>
      <c r="BP297" s="5">
        <f>BP295-BP296</f>
        <v/>
      </c>
      <c r="BQ297" s="5">
        <f>BQ295-BQ296</f>
        <v/>
      </c>
      <c r="BR297" s="5">
        <f>BR295-BR296</f>
        <v/>
      </c>
      <c r="BS297" s="5">
        <f>BS295-BS296</f>
        <v/>
      </c>
      <c r="BT297" s="5">
        <f>BT295-BT296</f>
        <v/>
      </c>
      <c r="BU297" s="5">
        <f>BU295-BU296</f>
        <v/>
      </c>
      <c r="BV297" s="5">
        <f>BV295-BV296</f>
        <v/>
      </c>
    </row>
    <row r="298">
      <c r="A298" t="inlineStr">
        <is>
          <t>paid starts</t>
        </is>
      </c>
      <c r="B298" t="inlineStr">
        <is>
          <t>ROW|BASIC_A</t>
        </is>
      </c>
      <c r="C298" s="5">
        <f>C290+C293</f>
        <v/>
      </c>
      <c r="D298" s="5">
        <f>D290+D293</f>
        <v/>
      </c>
      <c r="E298" s="5">
        <f>E290+E293</f>
        <v/>
      </c>
      <c r="F298" s="5">
        <f>F290+F293</f>
        <v/>
      </c>
      <c r="G298" s="5">
        <f>G290+G293</f>
        <v/>
      </c>
      <c r="H298" s="5">
        <f>H290+H293</f>
        <v/>
      </c>
      <c r="I298" s="5">
        <f>I290+I293</f>
        <v/>
      </c>
      <c r="J298" s="5">
        <f>J290+J293</f>
        <v/>
      </c>
      <c r="K298" s="5">
        <f>K290+K293</f>
        <v/>
      </c>
      <c r="L298" s="5">
        <f>L290+L293</f>
        <v/>
      </c>
      <c r="M298" s="5">
        <f>M290+M293</f>
        <v/>
      </c>
      <c r="N298" s="5">
        <f>N290+N293</f>
        <v/>
      </c>
      <c r="O298" s="5">
        <f>O290+O293</f>
        <v/>
      </c>
      <c r="P298" s="5">
        <f>P290+P293</f>
        <v/>
      </c>
      <c r="Q298" s="5">
        <f>Q290+Q293</f>
        <v/>
      </c>
      <c r="R298" s="5">
        <f>R290+R293</f>
        <v/>
      </c>
      <c r="S298" s="5">
        <f>S290+S293</f>
        <v/>
      </c>
      <c r="T298" s="5">
        <f>T290+T293</f>
        <v/>
      </c>
      <c r="U298" s="5">
        <f>U290+U293</f>
        <v/>
      </c>
      <c r="V298" s="5">
        <f>V290+V293</f>
        <v/>
      </c>
      <c r="W298" s="5">
        <f>W290+W293</f>
        <v/>
      </c>
      <c r="X298" s="5">
        <f>X290+X293</f>
        <v/>
      </c>
      <c r="Y298" s="5">
        <f>Y290+Y293</f>
        <v/>
      </c>
      <c r="Z298" s="5">
        <f>Z290+Z293</f>
        <v/>
      </c>
      <c r="AA298" s="5">
        <f>AA290+AA293</f>
        <v/>
      </c>
      <c r="AB298" s="5">
        <f>AB290+AB293</f>
        <v/>
      </c>
      <c r="AC298" s="5">
        <f>AC290+AC293</f>
        <v/>
      </c>
      <c r="AD298" s="5">
        <f>AD290+AD293</f>
        <v/>
      </c>
      <c r="AE298" s="5">
        <f>AE290+AE293</f>
        <v/>
      </c>
      <c r="AF298" s="5">
        <f>AF290+AF293</f>
        <v/>
      </c>
      <c r="AG298" s="5">
        <f>AG290+AG293</f>
        <v/>
      </c>
      <c r="AH298" s="5">
        <f>AH290+AH293</f>
        <v/>
      </c>
      <c r="AI298" s="5">
        <f>AI290+AI293</f>
        <v/>
      </c>
      <c r="AJ298" s="5">
        <f>AJ290+AJ293</f>
        <v/>
      </c>
      <c r="AK298" s="5">
        <f>AK290+AK293</f>
        <v/>
      </c>
      <c r="AL298" s="5">
        <f>AL290+AL293</f>
        <v/>
      </c>
      <c r="AM298" s="5">
        <f>AM290+AM293</f>
        <v/>
      </c>
      <c r="AN298" s="5">
        <f>AN290+AN293</f>
        <v/>
      </c>
      <c r="AO298" s="5">
        <f>AO290+AO293</f>
        <v/>
      </c>
      <c r="AP298" s="5">
        <f>AP290+AP293</f>
        <v/>
      </c>
      <c r="AQ298" s="5">
        <f>AQ290+AQ293</f>
        <v/>
      </c>
      <c r="AR298" s="5">
        <f>AR290+AR293</f>
        <v/>
      </c>
      <c r="AS298" s="5">
        <f>AS290+AS293</f>
        <v/>
      </c>
      <c r="AT298" s="5">
        <f>AT290+AT293</f>
        <v/>
      </c>
      <c r="AU298" s="5">
        <f>AU290+AU293</f>
        <v/>
      </c>
      <c r="AV298" s="5">
        <f>AV290+AV293</f>
        <v/>
      </c>
      <c r="AW298" s="5">
        <f>AW290+AW293</f>
        <v/>
      </c>
      <c r="AX298" s="5">
        <f>AX290+AX293</f>
        <v/>
      </c>
      <c r="AY298" s="5">
        <f>AY290+AY293</f>
        <v/>
      </c>
      <c r="AZ298" s="5">
        <f>AZ290+AZ293</f>
        <v/>
      </c>
      <c r="BA298" s="5">
        <f>BA290+BA293</f>
        <v/>
      </c>
      <c r="BB298" s="5">
        <f>BB290+BB293</f>
        <v/>
      </c>
      <c r="BC298" s="5">
        <f>BC290+BC293</f>
        <v/>
      </c>
      <c r="BD298" s="5">
        <f>BD290+BD293</f>
        <v/>
      </c>
      <c r="BE298" s="5">
        <f>BE290+BE293</f>
        <v/>
      </c>
      <c r="BF298" s="5">
        <f>BF290+BF293</f>
        <v/>
      </c>
      <c r="BG298" s="5">
        <f>BG290+BG293</f>
        <v/>
      </c>
      <c r="BH298" s="5">
        <f>BH290+BH293</f>
        <v/>
      </c>
      <c r="BI298" s="5">
        <f>BI290+BI293</f>
        <v/>
      </c>
      <c r="BJ298" s="5">
        <f>BJ290+BJ293</f>
        <v/>
      </c>
      <c r="BK298" s="5">
        <f>BK290+BK293</f>
        <v/>
      </c>
      <c r="BL298" s="5">
        <f>BL290+BL293</f>
        <v/>
      </c>
      <c r="BM298" s="5">
        <f>BM290+BM293</f>
        <v/>
      </c>
      <c r="BN298" s="5">
        <f>BN290+BN293</f>
        <v/>
      </c>
      <c r="BO298" s="5">
        <f>BO290+BO293</f>
        <v/>
      </c>
      <c r="BP298" s="5">
        <f>BP290+BP293</f>
        <v/>
      </c>
      <c r="BQ298" s="5">
        <f>BQ290+BQ293</f>
        <v/>
      </c>
      <c r="BR298" s="5">
        <f>BR290+BR293</f>
        <v/>
      </c>
      <c r="BS298" s="5">
        <f>BS290+BS293</f>
        <v/>
      </c>
      <c r="BT298" s="5">
        <f>BT290+BT293</f>
        <v/>
      </c>
      <c r="BU298" s="5">
        <f>BU290+BU293</f>
        <v/>
      </c>
      <c r="BV298" s="5">
        <f>BV290+BV293</f>
        <v/>
      </c>
    </row>
    <row r="299">
      <c r="A299" t="inlineStr">
        <is>
          <t>paid starts @0</t>
        </is>
      </c>
      <c r="B299" t="inlineStr">
        <is>
          <t>ROW|BASIC_A</t>
        </is>
      </c>
      <c r="C299" s="5">
        <f>C298*Eras!C$3</f>
        <v/>
      </c>
      <c r="D299" s="5">
        <f>D298*Eras!D$3</f>
        <v/>
      </c>
      <c r="E299" s="5">
        <f>E298*Eras!E$3</f>
        <v/>
      </c>
      <c r="F299" s="5">
        <f>F298*Eras!F$3</f>
        <v/>
      </c>
      <c r="G299" s="5">
        <f>G298*Eras!G$3</f>
        <v/>
      </c>
      <c r="H299" s="5">
        <f>H298*Eras!H$3</f>
        <v/>
      </c>
      <c r="I299" s="5">
        <f>I298*Eras!I$3</f>
        <v/>
      </c>
      <c r="J299" s="5">
        <f>J298*Eras!J$3</f>
        <v/>
      </c>
      <c r="K299" s="5">
        <f>K298*Eras!K$3</f>
        <v/>
      </c>
      <c r="L299" s="5">
        <f>L298*Eras!L$3</f>
        <v/>
      </c>
      <c r="M299" s="5">
        <f>M298*Eras!M$3</f>
        <v/>
      </c>
      <c r="N299" s="5">
        <f>N298*Eras!N$3</f>
        <v/>
      </c>
      <c r="O299" s="5">
        <f>O298*Eras!O$3</f>
        <v/>
      </c>
      <c r="P299" s="5">
        <f>P298*Eras!P$3</f>
        <v/>
      </c>
      <c r="Q299" s="5">
        <f>Q298*Eras!Q$3</f>
        <v/>
      </c>
      <c r="R299" s="5">
        <f>R298*Eras!R$3</f>
        <v/>
      </c>
      <c r="S299" s="5">
        <f>S298*Eras!S$3</f>
        <v/>
      </c>
      <c r="T299" s="5">
        <f>T298*Eras!T$3</f>
        <v/>
      </c>
      <c r="U299" s="5">
        <f>U298*Eras!U$3</f>
        <v/>
      </c>
      <c r="V299" s="5">
        <f>V298*Eras!V$3</f>
        <v/>
      </c>
      <c r="W299" s="5">
        <f>W298*Eras!W$3</f>
        <v/>
      </c>
      <c r="X299" s="5">
        <f>X298*Eras!X$3</f>
        <v/>
      </c>
      <c r="Y299" s="5">
        <f>Y298*Eras!Y$3</f>
        <v/>
      </c>
      <c r="Z299" s="5">
        <f>Z298*Eras!Z$3</f>
        <v/>
      </c>
      <c r="AA299" s="5">
        <f>AA298*Eras!AA$3</f>
        <v/>
      </c>
      <c r="AB299" s="5">
        <f>AB298*Eras!AB$3</f>
        <v/>
      </c>
      <c r="AC299" s="5">
        <f>AC298*Eras!AC$3</f>
        <v/>
      </c>
      <c r="AD299" s="5">
        <f>AD298*Eras!AD$3</f>
        <v/>
      </c>
      <c r="AE299" s="5">
        <f>AE298*Eras!AE$3</f>
        <v/>
      </c>
      <c r="AF299" s="5">
        <f>AF298*Eras!AF$3</f>
        <v/>
      </c>
      <c r="AG299" s="5">
        <f>AG298*Eras!AG$3</f>
        <v/>
      </c>
      <c r="AH299" s="5">
        <f>AH298*Eras!AH$3</f>
        <v/>
      </c>
      <c r="AI299" s="5">
        <f>AI298*Eras!AI$3</f>
        <v/>
      </c>
      <c r="AJ299" s="5">
        <f>AJ298*Eras!AJ$3</f>
        <v/>
      </c>
      <c r="AK299" s="5">
        <f>AK298*Eras!AK$3</f>
        <v/>
      </c>
      <c r="AL299" s="5">
        <f>AL298*Eras!AL$3</f>
        <v/>
      </c>
      <c r="AM299" s="5">
        <f>AM298*Eras!AM$3</f>
        <v/>
      </c>
      <c r="AN299" s="5">
        <f>AN298*Eras!AN$3</f>
        <v/>
      </c>
      <c r="AO299" s="5">
        <f>AO298*Eras!AO$3</f>
        <v/>
      </c>
      <c r="AP299" s="5">
        <f>AP298*Eras!AP$3</f>
        <v/>
      </c>
      <c r="AQ299" s="5">
        <f>AQ298*Eras!AQ$3</f>
        <v/>
      </c>
      <c r="AR299" s="5">
        <f>AR298*Eras!AR$3</f>
        <v/>
      </c>
      <c r="AS299" s="5">
        <f>AS298*Eras!AS$3</f>
        <v/>
      </c>
      <c r="AT299" s="5">
        <f>AT298*Eras!AT$3</f>
        <v/>
      </c>
      <c r="AU299" s="5">
        <f>AU298*Eras!AU$3</f>
        <v/>
      </c>
      <c r="AV299" s="5">
        <f>AV298*Eras!AV$3</f>
        <v/>
      </c>
      <c r="AW299" s="5">
        <f>AW298*Eras!AW$3</f>
        <v/>
      </c>
      <c r="AX299" s="5">
        <f>AX298*Eras!AX$3</f>
        <v/>
      </c>
      <c r="AY299" s="5">
        <f>AY298*Eras!AY$3</f>
        <v/>
      </c>
      <c r="AZ299" s="5">
        <f>AZ298*Eras!AZ$3</f>
        <v/>
      </c>
      <c r="BA299" s="5">
        <f>BA298*Eras!BA$3</f>
        <v/>
      </c>
      <c r="BB299" s="5">
        <f>BB298*Eras!BB$3</f>
        <v/>
      </c>
      <c r="BC299" s="5">
        <f>BC298*Eras!BC$3</f>
        <v/>
      </c>
      <c r="BD299" s="5">
        <f>BD298*Eras!BD$3</f>
        <v/>
      </c>
      <c r="BE299" s="5">
        <f>BE298*Eras!BE$3</f>
        <v/>
      </c>
      <c r="BF299" s="5">
        <f>BF298*Eras!BF$3</f>
        <v/>
      </c>
      <c r="BG299" s="5">
        <f>BG298*Eras!BG$3</f>
        <v/>
      </c>
      <c r="BH299" s="5">
        <f>BH298*Eras!BH$3</f>
        <v/>
      </c>
      <c r="BI299" s="5">
        <f>BI298*Eras!BI$3</f>
        <v/>
      </c>
      <c r="BJ299" s="5">
        <f>BJ298*Eras!BJ$3</f>
        <v/>
      </c>
      <c r="BK299" s="5">
        <f>BK298*Eras!BK$3</f>
        <v/>
      </c>
      <c r="BL299" s="5">
        <f>BL298*Eras!BL$3</f>
        <v/>
      </c>
      <c r="BM299" s="5">
        <f>BM298*Eras!BM$3</f>
        <v/>
      </c>
      <c r="BN299" s="5">
        <f>BN298*Eras!BN$3</f>
        <v/>
      </c>
      <c r="BO299" s="5">
        <f>BO298*Eras!BO$3</f>
        <v/>
      </c>
      <c r="BP299" s="5">
        <f>BP298*Eras!BP$3</f>
        <v/>
      </c>
      <c r="BQ299" s="5">
        <f>BQ298*Eras!BQ$3</f>
        <v/>
      </c>
      <c r="BR299" s="5">
        <f>BR298*Eras!BR$3</f>
        <v/>
      </c>
      <c r="BS299" s="5">
        <f>BS298*Eras!BS$3</f>
        <v/>
      </c>
      <c r="BT299" s="5">
        <f>BT298*Eras!BT$3</f>
        <v/>
      </c>
      <c r="BU299" s="5">
        <f>BU298*Eras!BU$3</f>
        <v/>
      </c>
      <c r="BV299" s="5">
        <f>BV298*Eras!BV$3</f>
        <v/>
      </c>
    </row>
    <row r="300">
      <c r="A300" t="inlineStr">
        <is>
          <t>paid starts @1</t>
        </is>
      </c>
      <c r="B300" t="inlineStr">
        <is>
          <t>ROW|BASIC_A</t>
        </is>
      </c>
      <c r="C300" s="5">
        <f>C298*Eras!C$4</f>
        <v/>
      </c>
      <c r="D300" s="5">
        <f>D298*Eras!D$4</f>
        <v/>
      </c>
      <c r="E300" s="5">
        <f>E298*Eras!E$4</f>
        <v/>
      </c>
      <c r="F300" s="5">
        <f>F298*Eras!F$4</f>
        <v/>
      </c>
      <c r="G300" s="5">
        <f>G298*Eras!G$4</f>
        <v/>
      </c>
      <c r="H300" s="5">
        <f>H298*Eras!H$4</f>
        <v/>
      </c>
      <c r="I300" s="5">
        <f>I298*Eras!I$4</f>
        <v/>
      </c>
      <c r="J300" s="5">
        <f>J298*Eras!J$4</f>
        <v/>
      </c>
      <c r="K300" s="5">
        <f>K298*Eras!K$4</f>
        <v/>
      </c>
      <c r="L300" s="5">
        <f>L298*Eras!L$4</f>
        <v/>
      </c>
      <c r="M300" s="5">
        <f>M298*Eras!M$4</f>
        <v/>
      </c>
      <c r="N300" s="5">
        <f>N298*Eras!N$4</f>
        <v/>
      </c>
      <c r="O300" s="5">
        <f>O298*Eras!O$4</f>
        <v/>
      </c>
      <c r="P300" s="5">
        <f>P298*Eras!P$4</f>
        <v/>
      </c>
      <c r="Q300" s="5">
        <f>Q298*Eras!Q$4</f>
        <v/>
      </c>
      <c r="R300" s="5">
        <f>R298*Eras!R$4</f>
        <v/>
      </c>
      <c r="S300" s="5">
        <f>S298*Eras!S$4</f>
        <v/>
      </c>
      <c r="T300" s="5">
        <f>T298*Eras!T$4</f>
        <v/>
      </c>
      <c r="U300" s="5">
        <f>U298*Eras!U$4</f>
        <v/>
      </c>
      <c r="V300" s="5">
        <f>V298*Eras!V$4</f>
        <v/>
      </c>
      <c r="W300" s="5">
        <f>W298*Eras!W$4</f>
        <v/>
      </c>
      <c r="X300" s="5">
        <f>X298*Eras!X$4</f>
        <v/>
      </c>
      <c r="Y300" s="5">
        <f>Y298*Eras!Y$4</f>
        <v/>
      </c>
      <c r="Z300" s="5">
        <f>Z298*Eras!Z$4</f>
        <v/>
      </c>
      <c r="AA300" s="5">
        <f>AA298*Eras!AA$4</f>
        <v/>
      </c>
      <c r="AB300" s="5">
        <f>AB298*Eras!AB$4</f>
        <v/>
      </c>
      <c r="AC300" s="5">
        <f>AC298*Eras!AC$4</f>
        <v/>
      </c>
      <c r="AD300" s="5">
        <f>AD298*Eras!AD$4</f>
        <v/>
      </c>
      <c r="AE300" s="5">
        <f>AE298*Eras!AE$4</f>
        <v/>
      </c>
      <c r="AF300" s="5">
        <f>AF298*Eras!AF$4</f>
        <v/>
      </c>
      <c r="AG300" s="5">
        <f>AG298*Eras!AG$4</f>
        <v/>
      </c>
      <c r="AH300" s="5">
        <f>AH298*Eras!AH$4</f>
        <v/>
      </c>
      <c r="AI300" s="5">
        <f>AI298*Eras!AI$4</f>
        <v/>
      </c>
      <c r="AJ300" s="5">
        <f>AJ298*Eras!AJ$4</f>
        <v/>
      </c>
      <c r="AK300" s="5">
        <f>AK298*Eras!AK$4</f>
        <v/>
      </c>
      <c r="AL300" s="5">
        <f>AL298*Eras!AL$4</f>
        <v/>
      </c>
      <c r="AM300" s="5">
        <f>AM298*Eras!AM$4</f>
        <v/>
      </c>
      <c r="AN300" s="5">
        <f>AN298*Eras!AN$4</f>
        <v/>
      </c>
      <c r="AO300" s="5">
        <f>AO298*Eras!AO$4</f>
        <v/>
      </c>
      <c r="AP300" s="5">
        <f>AP298*Eras!AP$4</f>
        <v/>
      </c>
      <c r="AQ300" s="5">
        <f>AQ298*Eras!AQ$4</f>
        <v/>
      </c>
      <c r="AR300" s="5">
        <f>AR298*Eras!AR$4</f>
        <v/>
      </c>
      <c r="AS300" s="5">
        <f>AS298*Eras!AS$4</f>
        <v/>
      </c>
      <c r="AT300" s="5">
        <f>AT298*Eras!AT$4</f>
        <v/>
      </c>
      <c r="AU300" s="5">
        <f>AU298*Eras!AU$4</f>
        <v/>
      </c>
      <c r="AV300" s="5">
        <f>AV298*Eras!AV$4</f>
        <v/>
      </c>
      <c r="AW300" s="5">
        <f>AW298*Eras!AW$4</f>
        <v/>
      </c>
      <c r="AX300" s="5">
        <f>AX298*Eras!AX$4</f>
        <v/>
      </c>
      <c r="AY300" s="5">
        <f>AY298*Eras!AY$4</f>
        <v/>
      </c>
      <c r="AZ300" s="5">
        <f>AZ298*Eras!AZ$4</f>
        <v/>
      </c>
      <c r="BA300" s="5">
        <f>BA298*Eras!BA$4</f>
        <v/>
      </c>
      <c r="BB300" s="5">
        <f>BB298*Eras!BB$4</f>
        <v/>
      </c>
      <c r="BC300" s="5">
        <f>BC298*Eras!BC$4</f>
        <v/>
      </c>
      <c r="BD300" s="5">
        <f>BD298*Eras!BD$4</f>
        <v/>
      </c>
      <c r="BE300" s="5">
        <f>BE298*Eras!BE$4</f>
        <v/>
      </c>
      <c r="BF300" s="5">
        <f>BF298*Eras!BF$4</f>
        <v/>
      </c>
      <c r="BG300" s="5">
        <f>BG298*Eras!BG$4</f>
        <v/>
      </c>
      <c r="BH300" s="5">
        <f>BH298*Eras!BH$4</f>
        <v/>
      </c>
      <c r="BI300" s="5">
        <f>BI298*Eras!BI$4</f>
        <v/>
      </c>
      <c r="BJ300" s="5">
        <f>BJ298*Eras!BJ$4</f>
        <v/>
      </c>
      <c r="BK300" s="5">
        <f>BK298*Eras!BK$4</f>
        <v/>
      </c>
      <c r="BL300" s="5">
        <f>BL298*Eras!BL$4</f>
        <v/>
      </c>
      <c r="BM300" s="5">
        <f>BM298*Eras!BM$4</f>
        <v/>
      </c>
      <c r="BN300" s="5">
        <f>BN298*Eras!BN$4</f>
        <v/>
      </c>
      <c r="BO300" s="5">
        <f>BO298*Eras!BO$4</f>
        <v/>
      </c>
      <c r="BP300" s="5">
        <f>BP298*Eras!BP$4</f>
        <v/>
      </c>
      <c r="BQ300" s="5">
        <f>BQ298*Eras!BQ$4</f>
        <v/>
      </c>
      <c r="BR300" s="5">
        <f>BR298*Eras!BR$4</f>
        <v/>
      </c>
      <c r="BS300" s="5">
        <f>BS298*Eras!BS$4</f>
        <v/>
      </c>
      <c r="BT300" s="5">
        <f>BT298*Eras!BT$4</f>
        <v/>
      </c>
      <c r="BU300" s="5">
        <f>BU298*Eras!BU$4</f>
        <v/>
      </c>
      <c r="BV300" s="5">
        <f>BV298*Eras!BV$4</f>
        <v/>
      </c>
    </row>
    <row r="301">
      <c r="A301" t="inlineStr">
        <is>
          <t>paid starts @2</t>
        </is>
      </c>
      <c r="B301" t="inlineStr">
        <is>
          <t>ROW|BASIC_A</t>
        </is>
      </c>
      <c r="C301" s="5">
        <f>C298*Eras!C$5</f>
        <v/>
      </c>
      <c r="D301" s="5">
        <f>D298*Eras!D$5</f>
        <v/>
      </c>
      <c r="E301" s="5">
        <f>E298*Eras!E$5</f>
        <v/>
      </c>
      <c r="F301" s="5">
        <f>F298*Eras!F$5</f>
        <v/>
      </c>
      <c r="G301" s="5">
        <f>G298*Eras!G$5</f>
        <v/>
      </c>
      <c r="H301" s="5">
        <f>H298*Eras!H$5</f>
        <v/>
      </c>
      <c r="I301" s="5">
        <f>I298*Eras!I$5</f>
        <v/>
      </c>
      <c r="J301" s="5">
        <f>J298*Eras!J$5</f>
        <v/>
      </c>
      <c r="K301" s="5">
        <f>K298*Eras!K$5</f>
        <v/>
      </c>
      <c r="L301" s="5">
        <f>L298*Eras!L$5</f>
        <v/>
      </c>
      <c r="M301" s="5">
        <f>M298*Eras!M$5</f>
        <v/>
      </c>
      <c r="N301" s="5">
        <f>N298*Eras!N$5</f>
        <v/>
      </c>
      <c r="O301" s="5">
        <f>O298*Eras!O$5</f>
        <v/>
      </c>
      <c r="P301" s="5">
        <f>P298*Eras!P$5</f>
        <v/>
      </c>
      <c r="Q301" s="5">
        <f>Q298*Eras!Q$5</f>
        <v/>
      </c>
      <c r="R301" s="5">
        <f>R298*Eras!R$5</f>
        <v/>
      </c>
      <c r="S301" s="5">
        <f>S298*Eras!S$5</f>
        <v/>
      </c>
      <c r="T301" s="5">
        <f>T298*Eras!T$5</f>
        <v/>
      </c>
      <c r="U301" s="5">
        <f>U298*Eras!U$5</f>
        <v/>
      </c>
      <c r="V301" s="5">
        <f>V298*Eras!V$5</f>
        <v/>
      </c>
      <c r="W301" s="5">
        <f>W298*Eras!W$5</f>
        <v/>
      </c>
      <c r="X301" s="5">
        <f>X298*Eras!X$5</f>
        <v/>
      </c>
      <c r="Y301" s="5">
        <f>Y298*Eras!Y$5</f>
        <v/>
      </c>
      <c r="Z301" s="5">
        <f>Z298*Eras!Z$5</f>
        <v/>
      </c>
      <c r="AA301" s="5">
        <f>AA298*Eras!AA$5</f>
        <v/>
      </c>
      <c r="AB301" s="5">
        <f>AB298*Eras!AB$5</f>
        <v/>
      </c>
      <c r="AC301" s="5">
        <f>AC298*Eras!AC$5</f>
        <v/>
      </c>
      <c r="AD301" s="5">
        <f>AD298*Eras!AD$5</f>
        <v/>
      </c>
      <c r="AE301" s="5">
        <f>AE298*Eras!AE$5</f>
        <v/>
      </c>
      <c r="AF301" s="5">
        <f>AF298*Eras!AF$5</f>
        <v/>
      </c>
      <c r="AG301" s="5">
        <f>AG298*Eras!AG$5</f>
        <v/>
      </c>
      <c r="AH301" s="5">
        <f>AH298*Eras!AH$5</f>
        <v/>
      </c>
      <c r="AI301" s="5">
        <f>AI298*Eras!AI$5</f>
        <v/>
      </c>
      <c r="AJ301" s="5">
        <f>AJ298*Eras!AJ$5</f>
        <v/>
      </c>
      <c r="AK301" s="5">
        <f>AK298*Eras!AK$5</f>
        <v/>
      </c>
      <c r="AL301" s="5">
        <f>AL298*Eras!AL$5</f>
        <v/>
      </c>
      <c r="AM301" s="5">
        <f>AM298*Eras!AM$5</f>
        <v/>
      </c>
      <c r="AN301" s="5">
        <f>AN298*Eras!AN$5</f>
        <v/>
      </c>
      <c r="AO301" s="5">
        <f>AO298*Eras!AO$5</f>
        <v/>
      </c>
      <c r="AP301" s="5">
        <f>AP298*Eras!AP$5</f>
        <v/>
      </c>
      <c r="AQ301" s="5">
        <f>AQ298*Eras!AQ$5</f>
        <v/>
      </c>
      <c r="AR301" s="5">
        <f>AR298*Eras!AR$5</f>
        <v/>
      </c>
      <c r="AS301" s="5">
        <f>AS298*Eras!AS$5</f>
        <v/>
      </c>
      <c r="AT301" s="5">
        <f>AT298*Eras!AT$5</f>
        <v/>
      </c>
      <c r="AU301" s="5">
        <f>AU298*Eras!AU$5</f>
        <v/>
      </c>
      <c r="AV301" s="5">
        <f>AV298*Eras!AV$5</f>
        <v/>
      </c>
      <c r="AW301" s="5">
        <f>AW298*Eras!AW$5</f>
        <v/>
      </c>
      <c r="AX301" s="5">
        <f>AX298*Eras!AX$5</f>
        <v/>
      </c>
      <c r="AY301" s="5">
        <f>AY298*Eras!AY$5</f>
        <v/>
      </c>
      <c r="AZ301" s="5">
        <f>AZ298*Eras!AZ$5</f>
        <v/>
      </c>
      <c r="BA301" s="5">
        <f>BA298*Eras!BA$5</f>
        <v/>
      </c>
      <c r="BB301" s="5">
        <f>BB298*Eras!BB$5</f>
        <v/>
      </c>
      <c r="BC301" s="5">
        <f>BC298*Eras!BC$5</f>
        <v/>
      </c>
      <c r="BD301" s="5">
        <f>BD298*Eras!BD$5</f>
        <v/>
      </c>
      <c r="BE301" s="5">
        <f>BE298*Eras!BE$5</f>
        <v/>
      </c>
      <c r="BF301" s="5">
        <f>BF298*Eras!BF$5</f>
        <v/>
      </c>
      <c r="BG301" s="5">
        <f>BG298*Eras!BG$5</f>
        <v/>
      </c>
      <c r="BH301" s="5">
        <f>BH298*Eras!BH$5</f>
        <v/>
      </c>
      <c r="BI301" s="5">
        <f>BI298*Eras!BI$5</f>
        <v/>
      </c>
      <c r="BJ301" s="5">
        <f>BJ298*Eras!BJ$5</f>
        <v/>
      </c>
      <c r="BK301" s="5">
        <f>BK298*Eras!BK$5</f>
        <v/>
      </c>
      <c r="BL301" s="5">
        <f>BL298*Eras!BL$5</f>
        <v/>
      </c>
      <c r="BM301" s="5">
        <f>BM298*Eras!BM$5</f>
        <v/>
      </c>
      <c r="BN301" s="5">
        <f>BN298*Eras!BN$5</f>
        <v/>
      </c>
      <c r="BO301" s="5">
        <f>BO298*Eras!BO$5</f>
        <v/>
      </c>
      <c r="BP301" s="5">
        <f>BP298*Eras!BP$5</f>
        <v/>
      </c>
      <c r="BQ301" s="5">
        <f>BQ298*Eras!BQ$5</f>
        <v/>
      </c>
      <c r="BR301" s="5">
        <f>BR298*Eras!BR$5</f>
        <v/>
      </c>
      <c r="BS301" s="5">
        <f>BS298*Eras!BS$5</f>
        <v/>
      </c>
      <c r="BT301" s="5">
        <f>BT298*Eras!BT$5</f>
        <v/>
      </c>
      <c r="BU301" s="5">
        <f>BU298*Eras!BU$5</f>
        <v/>
      </c>
      <c r="BV301" s="5">
        <f>BV298*Eras!BV$5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V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active</t>
        </is>
      </c>
      <c r="B3" t="inlineStr">
        <is>
          <t>US_CA|NITRO_M</t>
        </is>
      </c>
      <c r="C3" s="5">
        <f>Adds!$C$14*Curves!$BV$15+Adds!$C$15*Curves!$BV$38+Adds!$C$16*Curves!$BV$61</f>
        <v/>
      </c>
      <c r="D3" s="5">
        <f>SUMPRODUCT(Adds!$C$14:$D$14,Curves!$BU$15:$BV$15)+SUMPRODUCT(Adds!$C$15:$D$15,Curves!$BU$38:$BV$38)+SUMPRODUCT(Adds!$C$16:$D$16,Curves!$BU$61:$BV$61)</f>
        <v/>
      </c>
      <c r="E3" s="5">
        <f>SUMPRODUCT(Adds!$C$14:$E$14,Curves!$BT$15:$BV$15)+SUMPRODUCT(Adds!$C$15:$E$15,Curves!$BT$38:$BV$38)+SUMPRODUCT(Adds!$C$16:$E$16,Curves!$BT$61:$BV$61)</f>
        <v/>
      </c>
      <c r="F3" s="5">
        <f>SUMPRODUCT(Adds!$C$14:$F$14,Curves!$BS$15:$BV$15)+SUMPRODUCT(Adds!$C$15:$F$15,Curves!$BS$38:$BV$38)+SUMPRODUCT(Adds!$C$16:$F$16,Curves!$BS$61:$BV$61)</f>
        <v/>
      </c>
      <c r="G3" s="5">
        <f>SUMPRODUCT(Adds!$C$14:$G$14,Curves!$BR$15:$BV$15)+SUMPRODUCT(Adds!$C$15:$G$15,Curves!$BR$38:$BV$38)+SUMPRODUCT(Adds!$C$16:$G$16,Curves!$BR$61:$BV$61)</f>
        <v/>
      </c>
      <c r="H3" s="5">
        <f>SUMPRODUCT(Adds!$C$14:$H$14,Curves!$BQ$15:$BV$15)+SUMPRODUCT(Adds!$C$15:$H$15,Curves!$BQ$38:$BV$38)+SUMPRODUCT(Adds!$C$16:$H$16,Curves!$BQ$61:$BV$61)</f>
        <v/>
      </c>
      <c r="I3" s="5">
        <f>SUMPRODUCT(Adds!$C$14:$I$14,Curves!$BP$15:$BV$15)+SUMPRODUCT(Adds!$C$15:$I$15,Curves!$BP$38:$BV$38)+SUMPRODUCT(Adds!$C$16:$I$16,Curves!$BP$61:$BV$61)</f>
        <v/>
      </c>
      <c r="J3" s="5">
        <f>SUMPRODUCT(Adds!$C$14:$J$14,Curves!$BO$15:$BV$15)+SUMPRODUCT(Adds!$C$15:$J$15,Curves!$BO$38:$BV$38)+SUMPRODUCT(Adds!$C$16:$J$16,Curves!$BO$61:$BV$61)</f>
        <v/>
      </c>
      <c r="K3" s="5">
        <f>SUMPRODUCT(Adds!$C$14:$K$14,Curves!$BN$15:$BV$15)+SUMPRODUCT(Adds!$C$15:$K$15,Curves!$BN$38:$BV$38)+SUMPRODUCT(Adds!$C$16:$K$16,Curves!$BN$61:$BV$61)</f>
        <v/>
      </c>
      <c r="L3" s="5">
        <f>SUMPRODUCT(Adds!$C$14:$L$14,Curves!$BM$15:$BV$15)+SUMPRODUCT(Adds!$C$15:$L$15,Curves!$BM$38:$BV$38)+SUMPRODUCT(Adds!$C$16:$L$16,Curves!$BM$61:$BV$61)</f>
        <v/>
      </c>
      <c r="M3" s="5">
        <f>SUMPRODUCT(Adds!$C$14:$M$14,Curves!$BL$15:$BV$15)+SUMPRODUCT(Adds!$C$15:$M$15,Curves!$BL$38:$BV$38)+SUMPRODUCT(Adds!$C$16:$M$16,Curves!$BL$61:$BV$61)</f>
        <v/>
      </c>
      <c r="N3" s="5">
        <f>SUMPRODUCT(Adds!$C$14:$N$14,Curves!$BK$15:$BV$15)+SUMPRODUCT(Adds!$C$15:$N$15,Curves!$BK$38:$BV$38)+SUMPRODUCT(Adds!$C$16:$N$16,Curves!$BK$61:$BV$61)</f>
        <v/>
      </c>
      <c r="O3" s="5">
        <f>SUMPRODUCT(Adds!$C$14:$O$14,Curves!$BJ$15:$BV$15)+SUMPRODUCT(Adds!$C$15:$O$15,Curves!$BJ$38:$BV$38)+SUMPRODUCT(Adds!$C$16:$O$16,Curves!$BJ$61:$BV$61)</f>
        <v/>
      </c>
      <c r="P3" s="5">
        <f>SUMPRODUCT(Adds!$C$14:$P$14,Curves!$BI$15:$BV$15)+SUMPRODUCT(Adds!$C$15:$P$15,Curves!$BI$38:$BV$38)+SUMPRODUCT(Adds!$C$16:$P$16,Curves!$BI$61:$BV$61)</f>
        <v/>
      </c>
      <c r="Q3" s="5">
        <f>SUMPRODUCT(Adds!$C$14:$Q$14,Curves!$BH$15:$BV$15)+SUMPRODUCT(Adds!$C$15:$Q$15,Curves!$BH$38:$BV$38)+SUMPRODUCT(Adds!$C$16:$Q$16,Curves!$BH$61:$BV$61)</f>
        <v/>
      </c>
      <c r="R3" s="5">
        <f>SUMPRODUCT(Adds!$C$14:$R$14,Curves!$BG$15:$BV$15)+SUMPRODUCT(Adds!$C$15:$R$15,Curves!$BG$38:$BV$38)+SUMPRODUCT(Adds!$C$16:$R$16,Curves!$BG$61:$BV$61)</f>
        <v/>
      </c>
      <c r="S3" s="5">
        <f>SUMPRODUCT(Adds!$C$14:$S$14,Curves!$BF$15:$BV$15)+SUMPRODUCT(Adds!$C$15:$S$15,Curves!$BF$38:$BV$38)+SUMPRODUCT(Adds!$C$16:$S$16,Curves!$BF$61:$BV$61)</f>
        <v/>
      </c>
      <c r="T3" s="5">
        <f>SUMPRODUCT(Adds!$C$14:$T$14,Curves!$BE$15:$BV$15)+SUMPRODUCT(Adds!$C$15:$T$15,Curves!$BE$38:$BV$38)+SUMPRODUCT(Adds!$C$16:$T$16,Curves!$BE$61:$BV$61)</f>
        <v/>
      </c>
      <c r="U3" s="5">
        <f>SUMPRODUCT(Adds!$C$14:$U$14,Curves!$BD$15:$BV$15)+SUMPRODUCT(Adds!$C$15:$U$15,Curves!$BD$38:$BV$38)+SUMPRODUCT(Adds!$C$16:$U$16,Curves!$BD$61:$BV$61)</f>
        <v/>
      </c>
      <c r="V3" s="5">
        <f>SUMPRODUCT(Adds!$C$14:$V$14,Curves!$BC$15:$BV$15)+SUMPRODUCT(Adds!$C$15:$V$15,Curves!$BC$38:$BV$38)+SUMPRODUCT(Adds!$C$16:$V$16,Curves!$BC$61:$BV$61)</f>
        <v/>
      </c>
      <c r="W3" s="5">
        <f>SUMPRODUCT(Adds!$C$14:$W$14,Curves!$BB$15:$BV$15)+SUMPRODUCT(Adds!$C$15:$W$15,Curves!$BB$38:$BV$38)+SUMPRODUCT(Adds!$C$16:$W$16,Curves!$BB$61:$BV$61)</f>
        <v/>
      </c>
      <c r="X3" s="5">
        <f>SUMPRODUCT(Adds!$C$14:$X$14,Curves!$BA$15:$BV$15)+SUMPRODUCT(Adds!$C$15:$X$15,Curves!$BA$38:$BV$38)+SUMPRODUCT(Adds!$C$16:$X$16,Curves!$BA$61:$BV$61)</f>
        <v/>
      </c>
      <c r="Y3" s="5">
        <f>SUMPRODUCT(Adds!$C$14:$Y$14,Curves!$AZ$15:$BV$15)+SUMPRODUCT(Adds!$C$15:$Y$15,Curves!$AZ$38:$BV$38)+SUMPRODUCT(Adds!$C$16:$Y$16,Curves!$AZ$61:$BV$61)</f>
        <v/>
      </c>
      <c r="Z3" s="5">
        <f>SUMPRODUCT(Adds!$C$14:$Z$14,Curves!$AY$15:$BV$15)+SUMPRODUCT(Adds!$C$15:$Z$15,Curves!$AY$38:$BV$38)+SUMPRODUCT(Adds!$C$16:$Z$16,Curves!$AY$61:$BV$61)</f>
        <v/>
      </c>
      <c r="AA3" s="5">
        <f>SUMPRODUCT(Adds!$C$14:$AA$14,Curves!$AX$15:$BV$15)+SUMPRODUCT(Adds!$C$15:$AA$15,Curves!$AX$38:$BV$38)+SUMPRODUCT(Adds!$C$16:$AA$16,Curves!$AX$61:$BV$61)</f>
        <v/>
      </c>
      <c r="AB3" s="5">
        <f>SUMPRODUCT(Adds!$C$14:$AB$14,Curves!$AW$15:$BV$15)+SUMPRODUCT(Adds!$C$15:$AB$15,Curves!$AW$38:$BV$38)+SUMPRODUCT(Adds!$C$16:$AB$16,Curves!$AW$61:$BV$61)</f>
        <v/>
      </c>
      <c r="AC3" s="5">
        <f>SUMPRODUCT(Adds!$C$14:$AC$14,Curves!$AV$15:$BV$15)+SUMPRODUCT(Adds!$C$15:$AC$15,Curves!$AV$38:$BV$38)+SUMPRODUCT(Adds!$C$16:$AC$16,Curves!$AV$61:$BV$61)</f>
        <v/>
      </c>
      <c r="AD3" s="5">
        <f>SUMPRODUCT(Adds!$C$14:$AD$14,Curves!$AU$15:$BV$15)+SUMPRODUCT(Adds!$C$15:$AD$15,Curves!$AU$38:$BV$38)+SUMPRODUCT(Adds!$C$16:$AD$16,Curves!$AU$61:$BV$61)</f>
        <v/>
      </c>
      <c r="AE3" s="5">
        <f>SUMPRODUCT(Adds!$C$14:$AE$14,Curves!$AT$15:$BV$15)+SUMPRODUCT(Adds!$C$15:$AE$15,Curves!$AT$38:$BV$38)+SUMPRODUCT(Adds!$C$16:$AE$16,Curves!$AT$61:$BV$61)</f>
        <v/>
      </c>
      <c r="AF3" s="5">
        <f>SUMPRODUCT(Adds!$C$14:$AF$14,Curves!$AS$15:$BV$15)+SUMPRODUCT(Adds!$C$15:$AF$15,Curves!$AS$38:$BV$38)+SUMPRODUCT(Adds!$C$16:$AF$16,Curves!$AS$61:$BV$61)</f>
        <v/>
      </c>
      <c r="AG3" s="5">
        <f>SUMPRODUCT(Adds!$C$14:$AG$14,Curves!$AR$15:$BV$15)+SUMPRODUCT(Adds!$C$15:$AG$15,Curves!$AR$38:$BV$38)+SUMPRODUCT(Adds!$C$16:$AG$16,Curves!$AR$61:$BV$61)</f>
        <v/>
      </c>
      <c r="AH3" s="5">
        <f>SUMPRODUCT(Adds!$C$14:$AH$14,Curves!$AQ$15:$BV$15)+SUMPRODUCT(Adds!$C$15:$AH$15,Curves!$AQ$38:$BV$38)+SUMPRODUCT(Adds!$C$16:$AH$16,Curves!$AQ$61:$BV$61)</f>
        <v/>
      </c>
      <c r="AI3" s="5">
        <f>SUMPRODUCT(Adds!$C$14:$AI$14,Curves!$AP$15:$BV$15)+SUMPRODUCT(Adds!$C$15:$AI$15,Curves!$AP$38:$BV$38)+SUMPRODUCT(Adds!$C$16:$AI$16,Curves!$AP$61:$BV$61)</f>
        <v/>
      </c>
      <c r="AJ3" s="5">
        <f>SUMPRODUCT(Adds!$C$14:$AJ$14,Curves!$AO$15:$BV$15)+SUMPRODUCT(Adds!$C$15:$AJ$15,Curves!$AO$38:$BV$38)+SUMPRODUCT(Adds!$C$16:$AJ$16,Curves!$AO$61:$BV$61)</f>
        <v/>
      </c>
      <c r="AK3" s="5">
        <f>SUMPRODUCT(Adds!$C$14:$AK$14,Curves!$AN$15:$BV$15)+SUMPRODUCT(Adds!$C$15:$AK$15,Curves!$AN$38:$BV$38)+SUMPRODUCT(Adds!$C$16:$AK$16,Curves!$AN$61:$BV$61)</f>
        <v/>
      </c>
      <c r="AL3" s="5">
        <f>SUMPRODUCT(Adds!$C$14:$AL$14,Curves!$AM$15:$BV$15)+SUMPRODUCT(Adds!$C$15:$AL$15,Curves!$AM$38:$BV$38)+SUMPRODUCT(Adds!$C$16:$AL$16,Curves!$AM$61:$BV$61)</f>
        <v/>
      </c>
      <c r="AM3" s="5">
        <f>SUMPRODUCT(Adds!$C$14:$AM$14,Curves!$AL$15:$BV$15)+SUMPRODUCT(Adds!$C$15:$AM$15,Curves!$AL$38:$BV$38)+SUMPRODUCT(Adds!$C$16:$AM$16,Curves!$AL$61:$BV$61)</f>
        <v/>
      </c>
      <c r="AN3" s="5">
        <f>SUMPRODUCT(Adds!$C$14:$AN$14,Curves!$AK$15:$BV$15)+SUMPRODUCT(Adds!$C$15:$AN$15,Curves!$AK$38:$BV$38)+SUMPRODUCT(Adds!$C$16:$AN$16,Curves!$AK$61:$BV$61)</f>
        <v/>
      </c>
      <c r="AO3" s="5">
        <f>SUMPRODUCT(Adds!$C$14:$AO$14,Curves!$AJ$15:$BV$15)+SUMPRODUCT(Adds!$C$15:$AO$15,Curves!$AJ$38:$BV$38)+SUMPRODUCT(Adds!$C$16:$AO$16,Curves!$AJ$61:$BV$61)</f>
        <v/>
      </c>
      <c r="AP3" s="5">
        <f>SUMPRODUCT(Adds!$C$14:$AP$14,Curves!$AI$15:$BV$15)+SUMPRODUCT(Adds!$C$15:$AP$15,Curves!$AI$38:$BV$38)+SUMPRODUCT(Adds!$C$16:$AP$16,Curves!$AI$61:$BV$61)</f>
        <v/>
      </c>
      <c r="AQ3" s="5">
        <f>SUMPRODUCT(Adds!$C$14:$AQ$14,Curves!$AH$15:$BV$15)+SUMPRODUCT(Adds!$C$15:$AQ$15,Curves!$AH$38:$BV$38)+SUMPRODUCT(Adds!$C$16:$AQ$16,Curves!$AH$61:$BV$61)</f>
        <v/>
      </c>
      <c r="AR3" s="5">
        <f>SUMPRODUCT(Adds!$C$14:$AR$14,Curves!$AG$15:$BV$15)+SUMPRODUCT(Adds!$C$15:$AR$15,Curves!$AG$38:$BV$38)+SUMPRODUCT(Adds!$C$16:$AR$16,Curves!$AG$61:$BV$61)</f>
        <v/>
      </c>
      <c r="AS3" s="5">
        <f>SUMPRODUCT(Adds!$C$14:$AS$14,Curves!$AF$15:$BV$15)+SUMPRODUCT(Adds!$C$15:$AS$15,Curves!$AF$38:$BV$38)+SUMPRODUCT(Adds!$C$16:$AS$16,Curves!$AF$61:$BV$61)</f>
        <v/>
      </c>
      <c r="AT3" s="5">
        <f>SUMPRODUCT(Adds!$C$14:$AT$14,Curves!$AE$15:$BV$15)+SUMPRODUCT(Adds!$C$15:$AT$15,Curves!$AE$38:$BV$38)+SUMPRODUCT(Adds!$C$16:$AT$16,Curves!$AE$61:$BV$61)</f>
        <v/>
      </c>
      <c r="AU3" s="5">
        <f>SUMPRODUCT(Adds!$C$14:$AU$14,Curves!$AD$15:$BV$15)+SUMPRODUCT(Adds!$C$15:$AU$15,Curves!$AD$38:$BV$38)+SUMPRODUCT(Adds!$C$16:$AU$16,Curves!$AD$61:$BV$61)</f>
        <v/>
      </c>
      <c r="AV3" s="5">
        <f>SUMPRODUCT(Adds!$C$14:$AV$14,Curves!$AC$15:$BV$15)+SUMPRODUCT(Adds!$C$15:$AV$15,Curves!$AC$38:$BV$38)+SUMPRODUCT(Adds!$C$16:$AV$16,Curves!$AC$61:$BV$61)</f>
        <v/>
      </c>
      <c r="AW3" s="5">
        <f>SUMPRODUCT(Adds!$C$14:$AW$14,Curves!$AB$15:$BV$15)+SUMPRODUCT(Adds!$C$15:$AW$15,Curves!$AB$38:$BV$38)+SUMPRODUCT(Adds!$C$16:$AW$16,Curves!$AB$61:$BV$61)</f>
        <v/>
      </c>
      <c r="AX3" s="5">
        <f>SUMPRODUCT(Adds!$C$14:$AX$14,Curves!$AA$15:$BV$15)+SUMPRODUCT(Adds!$C$15:$AX$15,Curves!$AA$38:$BV$38)+SUMPRODUCT(Adds!$C$16:$AX$16,Curves!$AA$61:$BV$61)</f>
        <v/>
      </c>
      <c r="AY3" s="5">
        <f>SUMPRODUCT(Adds!$C$14:$AY$14,Curves!$Z$15:$BV$15)+SUMPRODUCT(Adds!$C$15:$AY$15,Curves!$Z$38:$BV$38)+SUMPRODUCT(Adds!$C$16:$AY$16,Curves!$Z$61:$BV$61)</f>
        <v/>
      </c>
      <c r="AZ3" s="5">
        <f>SUMPRODUCT(Adds!$C$14:$AZ$14,Curves!$Y$15:$BV$15)+SUMPRODUCT(Adds!$C$15:$AZ$15,Curves!$Y$38:$BV$38)+SUMPRODUCT(Adds!$C$16:$AZ$16,Curves!$Y$61:$BV$61)</f>
        <v/>
      </c>
      <c r="BA3" s="5">
        <f>SUMPRODUCT(Adds!$C$14:$BA$14,Curves!$X$15:$BV$15)+SUMPRODUCT(Adds!$C$15:$BA$15,Curves!$X$38:$BV$38)+SUMPRODUCT(Adds!$C$16:$BA$16,Curves!$X$61:$BV$61)</f>
        <v/>
      </c>
      <c r="BB3" s="5">
        <f>SUMPRODUCT(Adds!$C$14:$BB$14,Curves!$W$15:$BV$15)+SUMPRODUCT(Adds!$C$15:$BB$15,Curves!$W$38:$BV$38)+SUMPRODUCT(Adds!$C$16:$BB$16,Curves!$W$61:$BV$61)</f>
        <v/>
      </c>
      <c r="BC3" s="5">
        <f>SUMPRODUCT(Adds!$C$14:$BC$14,Curves!$V$15:$BV$15)+SUMPRODUCT(Adds!$C$15:$BC$15,Curves!$V$38:$BV$38)+SUMPRODUCT(Adds!$C$16:$BC$16,Curves!$V$61:$BV$61)</f>
        <v/>
      </c>
      <c r="BD3" s="5">
        <f>SUMPRODUCT(Adds!$C$14:$BD$14,Curves!$U$15:$BV$15)+SUMPRODUCT(Adds!$C$15:$BD$15,Curves!$U$38:$BV$38)+SUMPRODUCT(Adds!$C$16:$BD$16,Curves!$U$61:$BV$61)</f>
        <v/>
      </c>
      <c r="BE3" s="5">
        <f>SUMPRODUCT(Adds!$C$14:$BE$14,Curves!$T$15:$BV$15)+SUMPRODUCT(Adds!$C$15:$BE$15,Curves!$T$38:$BV$38)+SUMPRODUCT(Adds!$C$16:$BE$16,Curves!$T$61:$BV$61)</f>
        <v/>
      </c>
      <c r="BF3" s="5">
        <f>SUMPRODUCT(Adds!$C$14:$BF$14,Curves!$S$15:$BV$15)+SUMPRODUCT(Adds!$C$15:$BF$15,Curves!$S$38:$BV$38)+SUMPRODUCT(Adds!$C$16:$BF$16,Curves!$S$61:$BV$61)</f>
        <v/>
      </c>
      <c r="BG3" s="5">
        <f>SUMPRODUCT(Adds!$C$14:$BG$14,Curves!$R$15:$BV$15)+SUMPRODUCT(Adds!$C$15:$BG$15,Curves!$R$38:$BV$38)+SUMPRODUCT(Adds!$C$16:$BG$16,Curves!$R$61:$BV$61)</f>
        <v/>
      </c>
      <c r="BH3" s="5">
        <f>SUMPRODUCT(Adds!$C$14:$BH$14,Curves!$Q$15:$BV$15)+SUMPRODUCT(Adds!$C$15:$BH$15,Curves!$Q$38:$BV$38)+SUMPRODUCT(Adds!$C$16:$BH$16,Curves!$Q$61:$BV$61)</f>
        <v/>
      </c>
      <c r="BI3" s="5">
        <f>SUMPRODUCT(Adds!$C$14:$BI$14,Curves!$P$15:$BV$15)+SUMPRODUCT(Adds!$C$15:$BI$15,Curves!$P$38:$BV$38)+SUMPRODUCT(Adds!$C$16:$BI$16,Curves!$P$61:$BV$61)</f>
        <v/>
      </c>
      <c r="BJ3" s="5">
        <f>SUMPRODUCT(Adds!$C$14:$BJ$14,Curves!$O$15:$BV$15)+SUMPRODUCT(Adds!$C$15:$BJ$15,Curves!$O$38:$BV$38)+SUMPRODUCT(Adds!$C$16:$BJ$16,Curves!$O$61:$BV$61)</f>
        <v/>
      </c>
      <c r="BK3" s="5">
        <f>SUMPRODUCT(Adds!$C$14:$BK$14,Curves!$N$15:$BV$15)+SUMPRODUCT(Adds!$C$15:$BK$15,Curves!$N$38:$BV$38)+SUMPRODUCT(Adds!$C$16:$BK$16,Curves!$N$61:$BV$61)</f>
        <v/>
      </c>
      <c r="BL3" s="5">
        <f>SUMPRODUCT(Adds!$C$14:$BL$14,Curves!$M$15:$BV$15)+SUMPRODUCT(Adds!$C$15:$BL$15,Curves!$M$38:$BV$38)+SUMPRODUCT(Adds!$C$16:$BL$16,Curves!$M$61:$BV$61)</f>
        <v/>
      </c>
      <c r="BM3" s="5">
        <f>SUMPRODUCT(Adds!$C$14:$BM$14,Curves!$L$15:$BV$15)+SUMPRODUCT(Adds!$C$15:$BM$15,Curves!$L$38:$BV$38)+SUMPRODUCT(Adds!$C$16:$BM$16,Curves!$L$61:$BV$61)</f>
        <v/>
      </c>
      <c r="BN3" s="5">
        <f>SUMPRODUCT(Adds!$C$14:$BN$14,Curves!$K$15:$BV$15)+SUMPRODUCT(Adds!$C$15:$BN$15,Curves!$K$38:$BV$38)+SUMPRODUCT(Adds!$C$16:$BN$16,Curves!$K$61:$BV$61)</f>
        <v/>
      </c>
      <c r="BO3" s="5">
        <f>SUMPRODUCT(Adds!$C$14:$BO$14,Curves!$J$15:$BV$15)+SUMPRODUCT(Adds!$C$15:$BO$15,Curves!$J$38:$BV$38)+SUMPRODUCT(Adds!$C$16:$BO$16,Curves!$J$61:$BV$61)</f>
        <v/>
      </c>
      <c r="BP3" s="5">
        <f>SUMPRODUCT(Adds!$C$14:$BP$14,Curves!$I$15:$BV$15)+SUMPRODUCT(Adds!$C$15:$BP$15,Curves!$I$38:$BV$38)+SUMPRODUCT(Adds!$C$16:$BP$16,Curves!$I$61:$BV$61)</f>
        <v/>
      </c>
      <c r="BQ3" s="5">
        <f>SUMPRODUCT(Adds!$C$14:$BQ$14,Curves!$H$15:$BV$15)+SUMPRODUCT(Adds!$C$15:$BQ$15,Curves!$H$38:$BV$38)+SUMPRODUCT(Adds!$C$16:$BQ$16,Curves!$H$61:$BV$61)</f>
        <v/>
      </c>
      <c r="BR3" s="5">
        <f>SUMPRODUCT(Adds!$C$14:$BR$14,Curves!$G$15:$BV$15)+SUMPRODUCT(Adds!$C$15:$BR$15,Curves!$G$38:$BV$38)+SUMPRODUCT(Adds!$C$16:$BR$16,Curves!$G$61:$BV$61)</f>
        <v/>
      </c>
      <c r="BS3" s="5">
        <f>SUMPRODUCT(Adds!$C$14:$BS$14,Curves!$F$15:$BV$15)+SUMPRODUCT(Adds!$C$15:$BS$15,Curves!$F$38:$BV$38)+SUMPRODUCT(Adds!$C$16:$BS$16,Curves!$F$61:$BV$61)</f>
        <v/>
      </c>
      <c r="BT3" s="5">
        <f>SUMPRODUCT(Adds!$C$14:$BT$14,Curves!$E$15:$BV$15)+SUMPRODUCT(Adds!$C$15:$BT$15,Curves!$E$38:$BV$38)+SUMPRODUCT(Adds!$C$16:$BT$16,Curves!$E$61:$BV$61)</f>
        <v/>
      </c>
      <c r="BU3" s="5">
        <f>SUMPRODUCT(Adds!$C$14:$BU$14,Curves!$D$15:$BV$15)+SUMPRODUCT(Adds!$C$15:$BU$15,Curves!$D$38:$BV$38)+SUMPRODUCT(Adds!$C$16:$BU$16,Curves!$D$61:$BV$61)</f>
        <v/>
      </c>
      <c r="BV3" s="5">
        <f>SUMPRODUCT(Adds!$C$14:$BV$14,Curves!$C$15:$BV$15)+SUMPRODUCT(Adds!$C$15:$BV$15,Curves!$C$38:$BV$38)+SUMPRODUCT(Adds!$C$16:$BV$16,Curves!$C$61:$BV$61)</f>
        <v/>
      </c>
    </row>
    <row r="4">
      <c r="A4" t="inlineStr">
        <is>
          <t>active yr 1</t>
        </is>
      </c>
      <c r="B4" t="inlineStr">
        <is>
          <t>US_CA|NITRO_M</t>
        </is>
      </c>
      <c r="C4" s="5">
        <f>Adds!$C$14*Curves!$BV$22+Adds!$C$15*Curves!$BV$45+Adds!$C$16*Curves!$BV$68</f>
        <v/>
      </c>
      <c r="D4" s="5">
        <f>SUMPRODUCT(Adds!$C$14:$D$14,Curves!$BU$22:$BV$22)+SUMPRODUCT(Adds!$C$15:$D$15,Curves!$BU$45:$BV$45)+SUMPRODUCT(Adds!$C$16:$D$16,Curves!$BU$68:$BV$68)</f>
        <v/>
      </c>
      <c r="E4" s="5">
        <f>SUMPRODUCT(Adds!$C$14:$E$14,Curves!$BT$22:$BV$22)+SUMPRODUCT(Adds!$C$15:$E$15,Curves!$BT$45:$BV$45)+SUMPRODUCT(Adds!$C$16:$E$16,Curves!$BT$68:$BV$68)</f>
        <v/>
      </c>
      <c r="F4" s="5">
        <f>SUMPRODUCT(Adds!$C$14:$F$14,Curves!$BS$22:$BV$22)+SUMPRODUCT(Adds!$C$15:$F$15,Curves!$BS$45:$BV$45)+SUMPRODUCT(Adds!$C$16:$F$16,Curves!$BS$68:$BV$68)</f>
        <v/>
      </c>
      <c r="G4" s="5">
        <f>SUMPRODUCT(Adds!$C$14:$G$14,Curves!$BR$22:$BV$22)+SUMPRODUCT(Adds!$C$15:$G$15,Curves!$BR$45:$BV$45)+SUMPRODUCT(Adds!$C$16:$G$16,Curves!$BR$68:$BV$68)</f>
        <v/>
      </c>
      <c r="H4" s="5">
        <f>SUMPRODUCT(Adds!$C$14:$H$14,Curves!$BQ$22:$BV$22)+SUMPRODUCT(Adds!$C$15:$H$15,Curves!$BQ$45:$BV$45)+SUMPRODUCT(Adds!$C$16:$H$16,Curves!$BQ$68:$BV$68)</f>
        <v/>
      </c>
      <c r="I4" s="5">
        <f>SUMPRODUCT(Adds!$C$14:$I$14,Curves!$BP$22:$BV$22)+SUMPRODUCT(Adds!$C$15:$I$15,Curves!$BP$45:$BV$45)+SUMPRODUCT(Adds!$C$16:$I$16,Curves!$BP$68:$BV$68)</f>
        <v/>
      </c>
      <c r="J4" s="5">
        <f>SUMPRODUCT(Adds!$C$14:$J$14,Curves!$BO$22:$BV$22)+SUMPRODUCT(Adds!$C$15:$J$15,Curves!$BO$45:$BV$45)+SUMPRODUCT(Adds!$C$16:$J$16,Curves!$BO$68:$BV$68)</f>
        <v/>
      </c>
      <c r="K4" s="5">
        <f>SUMPRODUCT(Adds!$C$14:$K$14,Curves!$BN$22:$BV$22)+SUMPRODUCT(Adds!$C$15:$K$15,Curves!$BN$45:$BV$45)+SUMPRODUCT(Adds!$C$16:$K$16,Curves!$BN$68:$BV$68)</f>
        <v/>
      </c>
      <c r="L4" s="5">
        <f>SUMPRODUCT(Adds!$C$14:$L$14,Curves!$BM$22:$BV$22)+SUMPRODUCT(Adds!$C$15:$L$15,Curves!$BM$45:$BV$45)+SUMPRODUCT(Adds!$C$16:$L$16,Curves!$BM$68:$BV$68)</f>
        <v/>
      </c>
      <c r="M4" s="5">
        <f>SUMPRODUCT(Adds!$C$14:$M$14,Curves!$BL$22:$BV$22)+SUMPRODUCT(Adds!$C$15:$M$15,Curves!$BL$45:$BV$45)+SUMPRODUCT(Adds!$C$16:$M$16,Curves!$BL$68:$BV$68)</f>
        <v/>
      </c>
      <c r="N4" s="5">
        <f>SUMPRODUCT(Adds!$C$14:$N$14,Curves!$BK$22:$BV$22)+SUMPRODUCT(Adds!$C$15:$N$15,Curves!$BK$45:$BV$45)+SUMPRODUCT(Adds!$C$16:$N$16,Curves!$BK$68:$BV$68)</f>
        <v/>
      </c>
      <c r="O4" s="5">
        <f>SUMPRODUCT(Adds!$C$14:$O$14,Curves!$BJ$22:$BV$22)+SUMPRODUCT(Adds!$C$15:$O$15,Curves!$BJ$45:$BV$45)+SUMPRODUCT(Adds!$C$16:$O$16,Curves!$BJ$68:$BV$68)</f>
        <v/>
      </c>
      <c r="P4" s="5">
        <f>SUMPRODUCT(Adds!$C$14:$P$14,Curves!$BI$22:$BV$22)+SUMPRODUCT(Adds!$C$15:$P$15,Curves!$BI$45:$BV$45)+SUMPRODUCT(Adds!$C$16:$P$16,Curves!$BI$68:$BV$68)</f>
        <v/>
      </c>
      <c r="Q4" s="5">
        <f>SUMPRODUCT(Adds!$C$14:$Q$14,Curves!$BH$22:$BV$22)+SUMPRODUCT(Adds!$C$15:$Q$15,Curves!$BH$45:$BV$45)+SUMPRODUCT(Adds!$C$16:$Q$16,Curves!$BH$68:$BV$68)</f>
        <v/>
      </c>
      <c r="R4" s="5">
        <f>SUMPRODUCT(Adds!$C$14:$R$14,Curves!$BG$22:$BV$22)+SUMPRODUCT(Adds!$C$15:$R$15,Curves!$BG$45:$BV$45)+SUMPRODUCT(Adds!$C$16:$R$16,Curves!$BG$68:$BV$68)</f>
        <v/>
      </c>
      <c r="S4" s="5">
        <f>SUMPRODUCT(Adds!$C$14:$S$14,Curves!$BF$22:$BV$22)+SUMPRODUCT(Adds!$C$15:$S$15,Curves!$BF$45:$BV$45)+SUMPRODUCT(Adds!$C$16:$S$16,Curves!$BF$68:$BV$68)</f>
        <v/>
      </c>
      <c r="T4" s="5">
        <f>SUMPRODUCT(Adds!$C$14:$T$14,Curves!$BE$22:$BV$22)+SUMPRODUCT(Adds!$C$15:$T$15,Curves!$BE$45:$BV$45)+SUMPRODUCT(Adds!$C$16:$T$16,Curves!$BE$68:$BV$68)</f>
        <v/>
      </c>
      <c r="U4" s="5">
        <f>SUMPRODUCT(Adds!$C$14:$U$14,Curves!$BD$22:$BV$22)+SUMPRODUCT(Adds!$C$15:$U$15,Curves!$BD$45:$BV$45)+SUMPRODUCT(Adds!$C$16:$U$16,Curves!$BD$68:$BV$68)</f>
        <v/>
      </c>
      <c r="V4" s="5">
        <f>SUMPRODUCT(Adds!$C$14:$V$14,Curves!$BC$22:$BV$22)+SUMPRODUCT(Adds!$C$15:$V$15,Curves!$BC$45:$BV$45)+SUMPRODUCT(Adds!$C$16:$V$16,Curves!$BC$68:$BV$68)</f>
        <v/>
      </c>
      <c r="W4" s="5">
        <f>SUMPRODUCT(Adds!$C$14:$W$14,Curves!$BB$22:$BV$22)+SUMPRODUCT(Adds!$C$15:$W$15,Curves!$BB$45:$BV$45)+SUMPRODUCT(Adds!$C$16:$W$16,Curves!$BB$68:$BV$68)</f>
        <v/>
      </c>
      <c r="X4" s="5">
        <f>SUMPRODUCT(Adds!$C$14:$X$14,Curves!$BA$22:$BV$22)+SUMPRODUCT(Adds!$C$15:$X$15,Curves!$BA$45:$BV$45)+SUMPRODUCT(Adds!$C$16:$X$16,Curves!$BA$68:$BV$68)</f>
        <v/>
      </c>
      <c r="Y4" s="5">
        <f>SUMPRODUCT(Adds!$C$14:$Y$14,Curves!$AZ$22:$BV$22)+SUMPRODUCT(Adds!$C$15:$Y$15,Curves!$AZ$45:$BV$45)+SUMPRODUCT(Adds!$C$16:$Y$16,Curves!$AZ$68:$BV$68)</f>
        <v/>
      </c>
      <c r="Z4" s="5">
        <f>SUMPRODUCT(Adds!$C$14:$Z$14,Curves!$AY$22:$BV$22)+SUMPRODUCT(Adds!$C$15:$Z$15,Curves!$AY$45:$BV$45)+SUMPRODUCT(Adds!$C$16:$Z$16,Curves!$AY$68:$BV$68)</f>
        <v/>
      </c>
      <c r="AA4" s="5">
        <f>SUMPRODUCT(Adds!$C$14:$AA$14,Curves!$AX$22:$BV$22)+SUMPRODUCT(Adds!$C$15:$AA$15,Curves!$AX$45:$BV$45)+SUMPRODUCT(Adds!$C$16:$AA$16,Curves!$AX$68:$BV$68)</f>
        <v/>
      </c>
      <c r="AB4" s="5">
        <f>SUMPRODUCT(Adds!$C$14:$AB$14,Curves!$AW$22:$BV$22)+SUMPRODUCT(Adds!$C$15:$AB$15,Curves!$AW$45:$BV$45)+SUMPRODUCT(Adds!$C$16:$AB$16,Curves!$AW$68:$BV$68)</f>
        <v/>
      </c>
      <c r="AC4" s="5">
        <f>SUMPRODUCT(Adds!$C$14:$AC$14,Curves!$AV$22:$BV$22)+SUMPRODUCT(Adds!$C$15:$AC$15,Curves!$AV$45:$BV$45)+SUMPRODUCT(Adds!$C$16:$AC$16,Curves!$AV$68:$BV$68)</f>
        <v/>
      </c>
      <c r="AD4" s="5">
        <f>SUMPRODUCT(Adds!$C$14:$AD$14,Curves!$AU$22:$BV$22)+SUMPRODUCT(Adds!$C$15:$AD$15,Curves!$AU$45:$BV$45)+SUMPRODUCT(Adds!$C$16:$AD$16,Curves!$AU$68:$BV$68)</f>
        <v/>
      </c>
      <c r="AE4" s="5">
        <f>SUMPRODUCT(Adds!$C$14:$AE$14,Curves!$AT$22:$BV$22)+SUMPRODUCT(Adds!$C$15:$AE$15,Curves!$AT$45:$BV$45)+SUMPRODUCT(Adds!$C$16:$AE$16,Curves!$AT$68:$BV$68)</f>
        <v/>
      </c>
      <c r="AF4" s="5">
        <f>SUMPRODUCT(Adds!$C$14:$AF$14,Curves!$AS$22:$BV$22)+SUMPRODUCT(Adds!$C$15:$AF$15,Curves!$AS$45:$BV$45)+SUMPRODUCT(Adds!$C$16:$AF$16,Curves!$AS$68:$BV$68)</f>
        <v/>
      </c>
      <c r="AG4" s="5">
        <f>SUMPRODUCT(Adds!$C$14:$AG$14,Curves!$AR$22:$BV$22)+SUMPRODUCT(Adds!$C$15:$AG$15,Curves!$AR$45:$BV$45)+SUMPRODUCT(Adds!$C$16:$AG$16,Curves!$AR$68:$BV$68)</f>
        <v/>
      </c>
      <c r="AH4" s="5">
        <f>SUMPRODUCT(Adds!$C$14:$AH$14,Curves!$AQ$22:$BV$22)+SUMPRODUCT(Adds!$C$15:$AH$15,Curves!$AQ$45:$BV$45)+SUMPRODUCT(Adds!$C$16:$AH$16,Curves!$AQ$68:$BV$68)</f>
        <v/>
      </c>
      <c r="AI4" s="5">
        <f>SUMPRODUCT(Adds!$C$14:$AI$14,Curves!$AP$22:$BV$22)+SUMPRODUCT(Adds!$C$15:$AI$15,Curves!$AP$45:$BV$45)+SUMPRODUCT(Adds!$C$16:$AI$16,Curves!$AP$68:$BV$68)</f>
        <v/>
      </c>
      <c r="AJ4" s="5">
        <f>SUMPRODUCT(Adds!$C$14:$AJ$14,Curves!$AO$22:$BV$22)+SUMPRODUCT(Adds!$C$15:$AJ$15,Curves!$AO$45:$BV$45)+SUMPRODUCT(Adds!$C$16:$AJ$16,Curves!$AO$68:$BV$68)</f>
        <v/>
      </c>
      <c r="AK4" s="5">
        <f>SUMPRODUCT(Adds!$C$14:$AK$14,Curves!$AN$22:$BV$22)+SUMPRODUCT(Adds!$C$15:$AK$15,Curves!$AN$45:$BV$45)+SUMPRODUCT(Adds!$C$16:$AK$16,Curves!$AN$68:$BV$68)</f>
        <v/>
      </c>
      <c r="AL4" s="5">
        <f>SUMPRODUCT(Adds!$C$14:$AL$14,Curves!$AM$22:$BV$22)+SUMPRODUCT(Adds!$C$15:$AL$15,Curves!$AM$45:$BV$45)+SUMPRODUCT(Adds!$C$16:$AL$16,Curves!$AM$68:$BV$68)</f>
        <v/>
      </c>
      <c r="AM4" s="5">
        <f>SUMPRODUCT(Adds!$C$14:$AM$14,Curves!$AL$22:$BV$22)+SUMPRODUCT(Adds!$C$15:$AM$15,Curves!$AL$45:$BV$45)+SUMPRODUCT(Adds!$C$16:$AM$16,Curves!$AL$68:$BV$68)</f>
        <v/>
      </c>
      <c r="AN4" s="5">
        <f>SUMPRODUCT(Adds!$C$14:$AN$14,Curves!$AK$22:$BV$22)+SUMPRODUCT(Adds!$C$15:$AN$15,Curves!$AK$45:$BV$45)+SUMPRODUCT(Adds!$C$16:$AN$16,Curves!$AK$68:$BV$68)</f>
        <v/>
      </c>
      <c r="AO4" s="5">
        <f>SUMPRODUCT(Adds!$C$14:$AO$14,Curves!$AJ$22:$BV$22)+SUMPRODUCT(Adds!$C$15:$AO$15,Curves!$AJ$45:$BV$45)+SUMPRODUCT(Adds!$C$16:$AO$16,Curves!$AJ$68:$BV$68)</f>
        <v/>
      </c>
      <c r="AP4" s="5">
        <f>SUMPRODUCT(Adds!$C$14:$AP$14,Curves!$AI$22:$BV$22)+SUMPRODUCT(Adds!$C$15:$AP$15,Curves!$AI$45:$BV$45)+SUMPRODUCT(Adds!$C$16:$AP$16,Curves!$AI$68:$BV$68)</f>
        <v/>
      </c>
      <c r="AQ4" s="5">
        <f>SUMPRODUCT(Adds!$C$14:$AQ$14,Curves!$AH$22:$BV$22)+SUMPRODUCT(Adds!$C$15:$AQ$15,Curves!$AH$45:$BV$45)+SUMPRODUCT(Adds!$C$16:$AQ$16,Curves!$AH$68:$BV$68)</f>
        <v/>
      </c>
      <c r="AR4" s="5">
        <f>SUMPRODUCT(Adds!$C$14:$AR$14,Curves!$AG$22:$BV$22)+SUMPRODUCT(Adds!$C$15:$AR$15,Curves!$AG$45:$BV$45)+SUMPRODUCT(Adds!$C$16:$AR$16,Curves!$AG$68:$BV$68)</f>
        <v/>
      </c>
      <c r="AS4" s="5">
        <f>SUMPRODUCT(Adds!$C$14:$AS$14,Curves!$AF$22:$BV$22)+SUMPRODUCT(Adds!$C$15:$AS$15,Curves!$AF$45:$BV$45)+SUMPRODUCT(Adds!$C$16:$AS$16,Curves!$AF$68:$BV$68)</f>
        <v/>
      </c>
      <c r="AT4" s="5">
        <f>SUMPRODUCT(Adds!$C$14:$AT$14,Curves!$AE$22:$BV$22)+SUMPRODUCT(Adds!$C$15:$AT$15,Curves!$AE$45:$BV$45)+SUMPRODUCT(Adds!$C$16:$AT$16,Curves!$AE$68:$BV$68)</f>
        <v/>
      </c>
      <c r="AU4" s="5">
        <f>SUMPRODUCT(Adds!$C$14:$AU$14,Curves!$AD$22:$BV$22)+SUMPRODUCT(Adds!$C$15:$AU$15,Curves!$AD$45:$BV$45)+SUMPRODUCT(Adds!$C$16:$AU$16,Curves!$AD$68:$BV$68)</f>
        <v/>
      </c>
      <c r="AV4" s="5">
        <f>SUMPRODUCT(Adds!$C$14:$AV$14,Curves!$AC$22:$BV$22)+SUMPRODUCT(Adds!$C$15:$AV$15,Curves!$AC$45:$BV$45)+SUMPRODUCT(Adds!$C$16:$AV$16,Curves!$AC$68:$BV$68)</f>
        <v/>
      </c>
      <c r="AW4" s="5">
        <f>SUMPRODUCT(Adds!$C$14:$AW$14,Curves!$AB$22:$BV$22)+SUMPRODUCT(Adds!$C$15:$AW$15,Curves!$AB$45:$BV$45)+SUMPRODUCT(Adds!$C$16:$AW$16,Curves!$AB$68:$BV$68)</f>
        <v/>
      </c>
      <c r="AX4" s="5">
        <f>SUMPRODUCT(Adds!$C$14:$AX$14,Curves!$AA$22:$BV$22)+SUMPRODUCT(Adds!$C$15:$AX$15,Curves!$AA$45:$BV$45)+SUMPRODUCT(Adds!$C$16:$AX$16,Curves!$AA$68:$BV$68)</f>
        <v/>
      </c>
      <c r="AY4" s="5">
        <f>SUMPRODUCT(Adds!$C$14:$AY$14,Curves!$Z$22:$BV$22)+SUMPRODUCT(Adds!$C$15:$AY$15,Curves!$Z$45:$BV$45)+SUMPRODUCT(Adds!$C$16:$AY$16,Curves!$Z$68:$BV$68)</f>
        <v/>
      </c>
      <c r="AZ4" s="5">
        <f>SUMPRODUCT(Adds!$C$14:$AZ$14,Curves!$Y$22:$BV$22)+SUMPRODUCT(Adds!$C$15:$AZ$15,Curves!$Y$45:$BV$45)+SUMPRODUCT(Adds!$C$16:$AZ$16,Curves!$Y$68:$BV$68)</f>
        <v/>
      </c>
      <c r="BA4" s="5">
        <f>SUMPRODUCT(Adds!$C$14:$BA$14,Curves!$X$22:$BV$22)+SUMPRODUCT(Adds!$C$15:$BA$15,Curves!$X$45:$BV$45)+SUMPRODUCT(Adds!$C$16:$BA$16,Curves!$X$68:$BV$68)</f>
        <v/>
      </c>
      <c r="BB4" s="5">
        <f>SUMPRODUCT(Adds!$C$14:$BB$14,Curves!$W$22:$BV$22)+SUMPRODUCT(Adds!$C$15:$BB$15,Curves!$W$45:$BV$45)+SUMPRODUCT(Adds!$C$16:$BB$16,Curves!$W$68:$BV$68)</f>
        <v/>
      </c>
      <c r="BC4" s="5">
        <f>SUMPRODUCT(Adds!$C$14:$BC$14,Curves!$V$22:$BV$22)+SUMPRODUCT(Adds!$C$15:$BC$15,Curves!$V$45:$BV$45)+SUMPRODUCT(Adds!$C$16:$BC$16,Curves!$V$68:$BV$68)</f>
        <v/>
      </c>
      <c r="BD4" s="5">
        <f>SUMPRODUCT(Adds!$C$14:$BD$14,Curves!$U$22:$BV$22)+SUMPRODUCT(Adds!$C$15:$BD$15,Curves!$U$45:$BV$45)+SUMPRODUCT(Adds!$C$16:$BD$16,Curves!$U$68:$BV$68)</f>
        <v/>
      </c>
      <c r="BE4" s="5">
        <f>SUMPRODUCT(Adds!$C$14:$BE$14,Curves!$T$22:$BV$22)+SUMPRODUCT(Adds!$C$15:$BE$15,Curves!$T$45:$BV$45)+SUMPRODUCT(Adds!$C$16:$BE$16,Curves!$T$68:$BV$68)</f>
        <v/>
      </c>
      <c r="BF4" s="5">
        <f>SUMPRODUCT(Adds!$C$14:$BF$14,Curves!$S$22:$BV$22)+SUMPRODUCT(Adds!$C$15:$BF$15,Curves!$S$45:$BV$45)+SUMPRODUCT(Adds!$C$16:$BF$16,Curves!$S$68:$BV$68)</f>
        <v/>
      </c>
      <c r="BG4" s="5">
        <f>SUMPRODUCT(Adds!$C$14:$BG$14,Curves!$R$22:$BV$22)+SUMPRODUCT(Adds!$C$15:$BG$15,Curves!$R$45:$BV$45)+SUMPRODUCT(Adds!$C$16:$BG$16,Curves!$R$68:$BV$68)</f>
        <v/>
      </c>
      <c r="BH4" s="5">
        <f>SUMPRODUCT(Adds!$C$14:$BH$14,Curves!$Q$22:$BV$22)+SUMPRODUCT(Adds!$C$15:$BH$15,Curves!$Q$45:$BV$45)+SUMPRODUCT(Adds!$C$16:$BH$16,Curves!$Q$68:$BV$68)</f>
        <v/>
      </c>
      <c r="BI4" s="5">
        <f>SUMPRODUCT(Adds!$C$14:$BI$14,Curves!$P$22:$BV$22)+SUMPRODUCT(Adds!$C$15:$BI$15,Curves!$P$45:$BV$45)+SUMPRODUCT(Adds!$C$16:$BI$16,Curves!$P$68:$BV$68)</f>
        <v/>
      </c>
      <c r="BJ4" s="5">
        <f>SUMPRODUCT(Adds!$C$14:$BJ$14,Curves!$O$22:$BV$22)+SUMPRODUCT(Adds!$C$15:$BJ$15,Curves!$O$45:$BV$45)+SUMPRODUCT(Adds!$C$16:$BJ$16,Curves!$O$68:$BV$68)</f>
        <v/>
      </c>
      <c r="BK4" s="5">
        <f>SUMPRODUCT(Adds!$C$14:$BK$14,Curves!$N$22:$BV$22)+SUMPRODUCT(Adds!$C$15:$BK$15,Curves!$N$45:$BV$45)+SUMPRODUCT(Adds!$C$16:$BK$16,Curves!$N$68:$BV$68)</f>
        <v/>
      </c>
      <c r="BL4" s="5">
        <f>SUMPRODUCT(Adds!$C$14:$BL$14,Curves!$M$22:$BV$22)+SUMPRODUCT(Adds!$C$15:$BL$15,Curves!$M$45:$BV$45)+SUMPRODUCT(Adds!$C$16:$BL$16,Curves!$M$68:$BV$68)</f>
        <v/>
      </c>
      <c r="BM4" s="5">
        <f>SUMPRODUCT(Adds!$C$14:$BM$14,Curves!$L$22:$BV$22)+SUMPRODUCT(Adds!$C$15:$BM$15,Curves!$L$45:$BV$45)+SUMPRODUCT(Adds!$C$16:$BM$16,Curves!$L$68:$BV$68)</f>
        <v/>
      </c>
      <c r="BN4" s="5">
        <f>SUMPRODUCT(Adds!$C$14:$BN$14,Curves!$K$22:$BV$22)+SUMPRODUCT(Adds!$C$15:$BN$15,Curves!$K$45:$BV$45)+SUMPRODUCT(Adds!$C$16:$BN$16,Curves!$K$68:$BV$68)</f>
        <v/>
      </c>
      <c r="BO4" s="5">
        <f>SUMPRODUCT(Adds!$C$14:$BO$14,Curves!$J$22:$BV$22)+SUMPRODUCT(Adds!$C$15:$BO$15,Curves!$J$45:$BV$45)+SUMPRODUCT(Adds!$C$16:$BO$16,Curves!$J$68:$BV$68)</f>
        <v/>
      </c>
      <c r="BP4" s="5">
        <f>SUMPRODUCT(Adds!$C$14:$BP$14,Curves!$I$22:$BV$22)+SUMPRODUCT(Adds!$C$15:$BP$15,Curves!$I$45:$BV$45)+SUMPRODUCT(Adds!$C$16:$BP$16,Curves!$I$68:$BV$68)</f>
        <v/>
      </c>
      <c r="BQ4" s="5">
        <f>SUMPRODUCT(Adds!$C$14:$BQ$14,Curves!$H$22:$BV$22)+SUMPRODUCT(Adds!$C$15:$BQ$15,Curves!$H$45:$BV$45)+SUMPRODUCT(Adds!$C$16:$BQ$16,Curves!$H$68:$BV$68)</f>
        <v/>
      </c>
      <c r="BR4" s="5">
        <f>SUMPRODUCT(Adds!$C$14:$BR$14,Curves!$G$22:$BV$22)+SUMPRODUCT(Adds!$C$15:$BR$15,Curves!$G$45:$BV$45)+SUMPRODUCT(Adds!$C$16:$BR$16,Curves!$G$68:$BV$68)</f>
        <v/>
      </c>
      <c r="BS4" s="5">
        <f>SUMPRODUCT(Adds!$C$14:$BS$14,Curves!$F$22:$BV$22)+SUMPRODUCT(Adds!$C$15:$BS$15,Curves!$F$45:$BV$45)+SUMPRODUCT(Adds!$C$16:$BS$16,Curves!$F$68:$BV$68)</f>
        <v/>
      </c>
      <c r="BT4" s="5">
        <f>SUMPRODUCT(Adds!$C$14:$BT$14,Curves!$E$22:$BV$22)+SUMPRODUCT(Adds!$C$15:$BT$15,Curves!$E$45:$BV$45)+SUMPRODUCT(Adds!$C$16:$BT$16,Curves!$E$68:$BV$68)</f>
        <v/>
      </c>
      <c r="BU4" s="5">
        <f>SUMPRODUCT(Adds!$C$14:$BU$14,Curves!$D$22:$BV$22)+SUMPRODUCT(Adds!$C$15:$BU$15,Curves!$D$45:$BV$45)+SUMPRODUCT(Adds!$C$16:$BU$16,Curves!$D$68:$BV$68)</f>
        <v/>
      </c>
      <c r="BV4" s="5">
        <f>SUMPRODUCT(Adds!$C$14:$BV$14,Curves!$C$22:$BV$22)+SUMPRODUCT(Adds!$C$15:$BV$15,Curves!$C$45:$BV$45)+SUMPRODUCT(Adds!$C$16:$BV$16,Curves!$C$68:$BV$68)</f>
        <v/>
      </c>
    </row>
    <row r="5">
      <c r="A5" t="inlineStr">
        <is>
          <t>churned</t>
        </is>
      </c>
      <c r="B5" t="inlineStr">
        <is>
          <t>US_CA|NITRO_M</t>
        </is>
      </c>
      <c r="C5" s="5">
        <f>Adds!$C$14*Curves!$BV$17+Adds!$C$15*Curves!$BV$40+Adds!$C$16*Curves!$BV$63</f>
        <v/>
      </c>
      <c r="D5" s="5">
        <f>SUMPRODUCT(Adds!$C$14:$D$14,Curves!$BU$17:$BV$17)+SUMPRODUCT(Adds!$C$15:$D$15,Curves!$BU$40:$BV$40)+SUMPRODUCT(Adds!$C$16:$D$16,Curves!$BU$63:$BV$63)</f>
        <v/>
      </c>
      <c r="E5" s="5">
        <f>SUMPRODUCT(Adds!$C$14:$E$14,Curves!$BT$17:$BV$17)+SUMPRODUCT(Adds!$C$15:$E$15,Curves!$BT$40:$BV$40)+SUMPRODUCT(Adds!$C$16:$E$16,Curves!$BT$63:$BV$63)</f>
        <v/>
      </c>
      <c r="F5" s="5">
        <f>SUMPRODUCT(Adds!$C$14:$F$14,Curves!$BS$17:$BV$17)+SUMPRODUCT(Adds!$C$15:$F$15,Curves!$BS$40:$BV$40)+SUMPRODUCT(Adds!$C$16:$F$16,Curves!$BS$63:$BV$63)</f>
        <v/>
      </c>
      <c r="G5" s="5">
        <f>SUMPRODUCT(Adds!$C$14:$G$14,Curves!$BR$17:$BV$17)+SUMPRODUCT(Adds!$C$15:$G$15,Curves!$BR$40:$BV$40)+SUMPRODUCT(Adds!$C$16:$G$16,Curves!$BR$63:$BV$63)</f>
        <v/>
      </c>
      <c r="H5" s="5">
        <f>SUMPRODUCT(Adds!$C$14:$H$14,Curves!$BQ$17:$BV$17)+SUMPRODUCT(Adds!$C$15:$H$15,Curves!$BQ$40:$BV$40)+SUMPRODUCT(Adds!$C$16:$H$16,Curves!$BQ$63:$BV$63)</f>
        <v/>
      </c>
      <c r="I5" s="5">
        <f>SUMPRODUCT(Adds!$C$14:$I$14,Curves!$BP$17:$BV$17)+SUMPRODUCT(Adds!$C$15:$I$15,Curves!$BP$40:$BV$40)+SUMPRODUCT(Adds!$C$16:$I$16,Curves!$BP$63:$BV$63)</f>
        <v/>
      </c>
      <c r="J5" s="5">
        <f>SUMPRODUCT(Adds!$C$14:$J$14,Curves!$BO$17:$BV$17)+SUMPRODUCT(Adds!$C$15:$J$15,Curves!$BO$40:$BV$40)+SUMPRODUCT(Adds!$C$16:$J$16,Curves!$BO$63:$BV$63)</f>
        <v/>
      </c>
      <c r="K5" s="5">
        <f>SUMPRODUCT(Adds!$C$14:$K$14,Curves!$BN$17:$BV$17)+SUMPRODUCT(Adds!$C$15:$K$15,Curves!$BN$40:$BV$40)+SUMPRODUCT(Adds!$C$16:$K$16,Curves!$BN$63:$BV$63)</f>
        <v/>
      </c>
      <c r="L5" s="5">
        <f>SUMPRODUCT(Adds!$C$14:$L$14,Curves!$BM$17:$BV$17)+SUMPRODUCT(Adds!$C$15:$L$15,Curves!$BM$40:$BV$40)+SUMPRODUCT(Adds!$C$16:$L$16,Curves!$BM$63:$BV$63)</f>
        <v/>
      </c>
      <c r="M5" s="5">
        <f>SUMPRODUCT(Adds!$C$14:$M$14,Curves!$BL$17:$BV$17)+SUMPRODUCT(Adds!$C$15:$M$15,Curves!$BL$40:$BV$40)+SUMPRODUCT(Adds!$C$16:$M$16,Curves!$BL$63:$BV$63)</f>
        <v/>
      </c>
      <c r="N5" s="5">
        <f>SUMPRODUCT(Adds!$C$14:$N$14,Curves!$BK$17:$BV$17)+SUMPRODUCT(Adds!$C$15:$N$15,Curves!$BK$40:$BV$40)+SUMPRODUCT(Adds!$C$16:$N$16,Curves!$BK$63:$BV$63)</f>
        <v/>
      </c>
      <c r="O5" s="5">
        <f>SUMPRODUCT(Adds!$C$14:$O$14,Curves!$BJ$17:$BV$17)+SUMPRODUCT(Adds!$C$15:$O$15,Curves!$BJ$40:$BV$40)+SUMPRODUCT(Adds!$C$16:$O$16,Curves!$BJ$63:$BV$63)</f>
        <v/>
      </c>
      <c r="P5" s="5">
        <f>SUMPRODUCT(Adds!$C$14:$P$14,Curves!$BI$17:$BV$17)+SUMPRODUCT(Adds!$C$15:$P$15,Curves!$BI$40:$BV$40)+SUMPRODUCT(Adds!$C$16:$P$16,Curves!$BI$63:$BV$63)</f>
        <v/>
      </c>
      <c r="Q5" s="5">
        <f>SUMPRODUCT(Adds!$C$14:$Q$14,Curves!$BH$17:$BV$17)+SUMPRODUCT(Adds!$C$15:$Q$15,Curves!$BH$40:$BV$40)+SUMPRODUCT(Adds!$C$16:$Q$16,Curves!$BH$63:$BV$63)</f>
        <v/>
      </c>
      <c r="R5" s="5">
        <f>SUMPRODUCT(Adds!$C$14:$R$14,Curves!$BG$17:$BV$17)+SUMPRODUCT(Adds!$C$15:$R$15,Curves!$BG$40:$BV$40)+SUMPRODUCT(Adds!$C$16:$R$16,Curves!$BG$63:$BV$63)</f>
        <v/>
      </c>
      <c r="S5" s="5">
        <f>SUMPRODUCT(Adds!$C$14:$S$14,Curves!$BF$17:$BV$17)+SUMPRODUCT(Adds!$C$15:$S$15,Curves!$BF$40:$BV$40)+SUMPRODUCT(Adds!$C$16:$S$16,Curves!$BF$63:$BV$63)</f>
        <v/>
      </c>
      <c r="T5" s="5">
        <f>SUMPRODUCT(Adds!$C$14:$T$14,Curves!$BE$17:$BV$17)+SUMPRODUCT(Adds!$C$15:$T$15,Curves!$BE$40:$BV$40)+SUMPRODUCT(Adds!$C$16:$T$16,Curves!$BE$63:$BV$63)</f>
        <v/>
      </c>
      <c r="U5" s="5">
        <f>SUMPRODUCT(Adds!$C$14:$U$14,Curves!$BD$17:$BV$17)+SUMPRODUCT(Adds!$C$15:$U$15,Curves!$BD$40:$BV$40)+SUMPRODUCT(Adds!$C$16:$U$16,Curves!$BD$63:$BV$63)</f>
        <v/>
      </c>
      <c r="V5" s="5">
        <f>SUMPRODUCT(Adds!$C$14:$V$14,Curves!$BC$17:$BV$17)+SUMPRODUCT(Adds!$C$15:$V$15,Curves!$BC$40:$BV$40)+SUMPRODUCT(Adds!$C$16:$V$16,Curves!$BC$63:$BV$63)</f>
        <v/>
      </c>
      <c r="W5" s="5">
        <f>SUMPRODUCT(Adds!$C$14:$W$14,Curves!$BB$17:$BV$17)+SUMPRODUCT(Adds!$C$15:$W$15,Curves!$BB$40:$BV$40)+SUMPRODUCT(Adds!$C$16:$W$16,Curves!$BB$63:$BV$63)</f>
        <v/>
      </c>
      <c r="X5" s="5">
        <f>SUMPRODUCT(Adds!$C$14:$X$14,Curves!$BA$17:$BV$17)+SUMPRODUCT(Adds!$C$15:$X$15,Curves!$BA$40:$BV$40)+SUMPRODUCT(Adds!$C$16:$X$16,Curves!$BA$63:$BV$63)</f>
        <v/>
      </c>
      <c r="Y5" s="5">
        <f>SUMPRODUCT(Adds!$C$14:$Y$14,Curves!$AZ$17:$BV$17)+SUMPRODUCT(Adds!$C$15:$Y$15,Curves!$AZ$40:$BV$40)+SUMPRODUCT(Adds!$C$16:$Y$16,Curves!$AZ$63:$BV$63)</f>
        <v/>
      </c>
      <c r="Z5" s="5">
        <f>SUMPRODUCT(Adds!$C$14:$Z$14,Curves!$AY$17:$BV$17)+SUMPRODUCT(Adds!$C$15:$Z$15,Curves!$AY$40:$BV$40)+SUMPRODUCT(Adds!$C$16:$Z$16,Curves!$AY$63:$BV$63)</f>
        <v/>
      </c>
      <c r="AA5" s="5">
        <f>SUMPRODUCT(Adds!$C$14:$AA$14,Curves!$AX$17:$BV$17)+SUMPRODUCT(Adds!$C$15:$AA$15,Curves!$AX$40:$BV$40)+SUMPRODUCT(Adds!$C$16:$AA$16,Curves!$AX$63:$BV$63)</f>
        <v/>
      </c>
      <c r="AB5" s="5">
        <f>SUMPRODUCT(Adds!$C$14:$AB$14,Curves!$AW$17:$BV$17)+SUMPRODUCT(Adds!$C$15:$AB$15,Curves!$AW$40:$BV$40)+SUMPRODUCT(Adds!$C$16:$AB$16,Curves!$AW$63:$BV$63)</f>
        <v/>
      </c>
      <c r="AC5" s="5">
        <f>SUMPRODUCT(Adds!$C$14:$AC$14,Curves!$AV$17:$BV$17)+SUMPRODUCT(Adds!$C$15:$AC$15,Curves!$AV$40:$BV$40)+SUMPRODUCT(Adds!$C$16:$AC$16,Curves!$AV$63:$BV$63)</f>
        <v/>
      </c>
      <c r="AD5" s="5">
        <f>SUMPRODUCT(Adds!$C$14:$AD$14,Curves!$AU$17:$BV$17)+SUMPRODUCT(Adds!$C$15:$AD$15,Curves!$AU$40:$BV$40)+SUMPRODUCT(Adds!$C$16:$AD$16,Curves!$AU$63:$BV$63)</f>
        <v/>
      </c>
      <c r="AE5" s="5">
        <f>SUMPRODUCT(Adds!$C$14:$AE$14,Curves!$AT$17:$BV$17)+SUMPRODUCT(Adds!$C$15:$AE$15,Curves!$AT$40:$BV$40)+SUMPRODUCT(Adds!$C$16:$AE$16,Curves!$AT$63:$BV$63)</f>
        <v/>
      </c>
      <c r="AF5" s="5">
        <f>SUMPRODUCT(Adds!$C$14:$AF$14,Curves!$AS$17:$BV$17)+SUMPRODUCT(Adds!$C$15:$AF$15,Curves!$AS$40:$BV$40)+SUMPRODUCT(Adds!$C$16:$AF$16,Curves!$AS$63:$BV$63)</f>
        <v/>
      </c>
      <c r="AG5" s="5">
        <f>SUMPRODUCT(Adds!$C$14:$AG$14,Curves!$AR$17:$BV$17)+SUMPRODUCT(Adds!$C$15:$AG$15,Curves!$AR$40:$BV$40)+SUMPRODUCT(Adds!$C$16:$AG$16,Curves!$AR$63:$BV$63)</f>
        <v/>
      </c>
      <c r="AH5" s="5">
        <f>SUMPRODUCT(Adds!$C$14:$AH$14,Curves!$AQ$17:$BV$17)+SUMPRODUCT(Adds!$C$15:$AH$15,Curves!$AQ$40:$BV$40)+SUMPRODUCT(Adds!$C$16:$AH$16,Curves!$AQ$63:$BV$63)</f>
        <v/>
      </c>
      <c r="AI5" s="5">
        <f>SUMPRODUCT(Adds!$C$14:$AI$14,Curves!$AP$17:$BV$17)+SUMPRODUCT(Adds!$C$15:$AI$15,Curves!$AP$40:$BV$40)+SUMPRODUCT(Adds!$C$16:$AI$16,Curves!$AP$63:$BV$63)</f>
        <v/>
      </c>
      <c r="AJ5" s="5">
        <f>SUMPRODUCT(Adds!$C$14:$AJ$14,Curves!$AO$17:$BV$17)+SUMPRODUCT(Adds!$C$15:$AJ$15,Curves!$AO$40:$BV$40)+SUMPRODUCT(Adds!$C$16:$AJ$16,Curves!$AO$63:$BV$63)</f>
        <v/>
      </c>
      <c r="AK5" s="5">
        <f>SUMPRODUCT(Adds!$C$14:$AK$14,Curves!$AN$17:$BV$17)+SUMPRODUCT(Adds!$C$15:$AK$15,Curves!$AN$40:$BV$40)+SUMPRODUCT(Adds!$C$16:$AK$16,Curves!$AN$63:$BV$63)</f>
        <v/>
      </c>
      <c r="AL5" s="5">
        <f>SUMPRODUCT(Adds!$C$14:$AL$14,Curves!$AM$17:$BV$17)+SUMPRODUCT(Adds!$C$15:$AL$15,Curves!$AM$40:$BV$40)+SUMPRODUCT(Adds!$C$16:$AL$16,Curves!$AM$63:$BV$63)</f>
        <v/>
      </c>
      <c r="AM5" s="5">
        <f>SUMPRODUCT(Adds!$C$14:$AM$14,Curves!$AL$17:$BV$17)+SUMPRODUCT(Adds!$C$15:$AM$15,Curves!$AL$40:$BV$40)+SUMPRODUCT(Adds!$C$16:$AM$16,Curves!$AL$63:$BV$63)</f>
        <v/>
      </c>
      <c r="AN5" s="5">
        <f>SUMPRODUCT(Adds!$C$14:$AN$14,Curves!$AK$17:$BV$17)+SUMPRODUCT(Adds!$C$15:$AN$15,Curves!$AK$40:$BV$40)+SUMPRODUCT(Adds!$C$16:$AN$16,Curves!$AK$63:$BV$63)</f>
        <v/>
      </c>
      <c r="AO5" s="5">
        <f>SUMPRODUCT(Adds!$C$14:$AO$14,Curves!$AJ$17:$BV$17)+SUMPRODUCT(Adds!$C$15:$AO$15,Curves!$AJ$40:$BV$40)+SUMPRODUCT(Adds!$C$16:$AO$16,Curves!$AJ$63:$BV$63)</f>
        <v/>
      </c>
      <c r="AP5" s="5">
        <f>SUMPRODUCT(Adds!$C$14:$AP$14,Curves!$AI$17:$BV$17)+SUMPRODUCT(Adds!$C$15:$AP$15,Curves!$AI$40:$BV$40)+SUMPRODUCT(Adds!$C$16:$AP$16,Curves!$AI$63:$BV$63)</f>
        <v/>
      </c>
      <c r="AQ5" s="5">
        <f>SUMPRODUCT(Adds!$C$14:$AQ$14,Curves!$AH$17:$BV$17)+SUMPRODUCT(Adds!$C$15:$AQ$15,Curves!$AH$40:$BV$40)+SUMPRODUCT(Adds!$C$16:$AQ$16,Curves!$AH$63:$BV$63)</f>
        <v/>
      </c>
      <c r="AR5" s="5">
        <f>SUMPRODUCT(Adds!$C$14:$AR$14,Curves!$AG$17:$BV$17)+SUMPRODUCT(Adds!$C$15:$AR$15,Curves!$AG$40:$BV$40)+SUMPRODUCT(Adds!$C$16:$AR$16,Curves!$AG$63:$BV$63)</f>
        <v/>
      </c>
      <c r="AS5" s="5">
        <f>SUMPRODUCT(Adds!$C$14:$AS$14,Curves!$AF$17:$BV$17)+SUMPRODUCT(Adds!$C$15:$AS$15,Curves!$AF$40:$BV$40)+SUMPRODUCT(Adds!$C$16:$AS$16,Curves!$AF$63:$BV$63)</f>
        <v/>
      </c>
      <c r="AT5" s="5">
        <f>SUMPRODUCT(Adds!$C$14:$AT$14,Curves!$AE$17:$BV$17)+SUMPRODUCT(Adds!$C$15:$AT$15,Curves!$AE$40:$BV$40)+SUMPRODUCT(Adds!$C$16:$AT$16,Curves!$AE$63:$BV$63)</f>
        <v/>
      </c>
      <c r="AU5" s="5">
        <f>SUMPRODUCT(Adds!$C$14:$AU$14,Curves!$AD$17:$BV$17)+SUMPRODUCT(Adds!$C$15:$AU$15,Curves!$AD$40:$BV$40)+SUMPRODUCT(Adds!$C$16:$AU$16,Curves!$AD$63:$BV$63)</f>
        <v/>
      </c>
      <c r="AV5" s="5">
        <f>SUMPRODUCT(Adds!$C$14:$AV$14,Curves!$AC$17:$BV$17)+SUMPRODUCT(Adds!$C$15:$AV$15,Curves!$AC$40:$BV$40)+SUMPRODUCT(Adds!$C$16:$AV$16,Curves!$AC$63:$BV$63)</f>
        <v/>
      </c>
      <c r="AW5" s="5">
        <f>SUMPRODUCT(Adds!$C$14:$AW$14,Curves!$AB$17:$BV$17)+SUMPRODUCT(Adds!$C$15:$AW$15,Curves!$AB$40:$BV$40)+SUMPRODUCT(Adds!$C$16:$AW$16,Curves!$AB$63:$BV$63)</f>
        <v/>
      </c>
      <c r="AX5" s="5">
        <f>SUMPRODUCT(Adds!$C$14:$AX$14,Curves!$AA$17:$BV$17)+SUMPRODUCT(Adds!$C$15:$AX$15,Curves!$AA$40:$BV$40)+SUMPRODUCT(Adds!$C$16:$AX$16,Curves!$AA$63:$BV$63)</f>
        <v/>
      </c>
      <c r="AY5" s="5">
        <f>SUMPRODUCT(Adds!$C$14:$AY$14,Curves!$Z$17:$BV$17)+SUMPRODUCT(Adds!$C$15:$AY$15,Curves!$Z$40:$BV$40)+SUMPRODUCT(Adds!$C$16:$AY$16,Curves!$Z$63:$BV$63)</f>
        <v/>
      </c>
      <c r="AZ5" s="5">
        <f>SUMPRODUCT(Adds!$C$14:$AZ$14,Curves!$Y$17:$BV$17)+SUMPRODUCT(Adds!$C$15:$AZ$15,Curves!$Y$40:$BV$40)+SUMPRODUCT(Adds!$C$16:$AZ$16,Curves!$Y$63:$BV$63)</f>
        <v/>
      </c>
      <c r="BA5" s="5">
        <f>SUMPRODUCT(Adds!$C$14:$BA$14,Curves!$X$17:$BV$17)+SUMPRODUCT(Adds!$C$15:$BA$15,Curves!$X$40:$BV$40)+SUMPRODUCT(Adds!$C$16:$BA$16,Curves!$X$63:$BV$63)</f>
        <v/>
      </c>
      <c r="BB5" s="5">
        <f>SUMPRODUCT(Adds!$C$14:$BB$14,Curves!$W$17:$BV$17)+SUMPRODUCT(Adds!$C$15:$BB$15,Curves!$W$40:$BV$40)+SUMPRODUCT(Adds!$C$16:$BB$16,Curves!$W$63:$BV$63)</f>
        <v/>
      </c>
      <c r="BC5" s="5">
        <f>SUMPRODUCT(Adds!$C$14:$BC$14,Curves!$V$17:$BV$17)+SUMPRODUCT(Adds!$C$15:$BC$15,Curves!$V$40:$BV$40)+SUMPRODUCT(Adds!$C$16:$BC$16,Curves!$V$63:$BV$63)</f>
        <v/>
      </c>
      <c r="BD5" s="5">
        <f>SUMPRODUCT(Adds!$C$14:$BD$14,Curves!$U$17:$BV$17)+SUMPRODUCT(Adds!$C$15:$BD$15,Curves!$U$40:$BV$40)+SUMPRODUCT(Adds!$C$16:$BD$16,Curves!$U$63:$BV$63)</f>
        <v/>
      </c>
      <c r="BE5" s="5">
        <f>SUMPRODUCT(Adds!$C$14:$BE$14,Curves!$T$17:$BV$17)+SUMPRODUCT(Adds!$C$15:$BE$15,Curves!$T$40:$BV$40)+SUMPRODUCT(Adds!$C$16:$BE$16,Curves!$T$63:$BV$63)</f>
        <v/>
      </c>
      <c r="BF5" s="5">
        <f>SUMPRODUCT(Adds!$C$14:$BF$14,Curves!$S$17:$BV$17)+SUMPRODUCT(Adds!$C$15:$BF$15,Curves!$S$40:$BV$40)+SUMPRODUCT(Adds!$C$16:$BF$16,Curves!$S$63:$BV$63)</f>
        <v/>
      </c>
      <c r="BG5" s="5">
        <f>SUMPRODUCT(Adds!$C$14:$BG$14,Curves!$R$17:$BV$17)+SUMPRODUCT(Adds!$C$15:$BG$15,Curves!$R$40:$BV$40)+SUMPRODUCT(Adds!$C$16:$BG$16,Curves!$R$63:$BV$63)</f>
        <v/>
      </c>
      <c r="BH5" s="5">
        <f>SUMPRODUCT(Adds!$C$14:$BH$14,Curves!$Q$17:$BV$17)+SUMPRODUCT(Adds!$C$15:$BH$15,Curves!$Q$40:$BV$40)+SUMPRODUCT(Adds!$C$16:$BH$16,Curves!$Q$63:$BV$63)</f>
        <v/>
      </c>
      <c r="BI5" s="5">
        <f>SUMPRODUCT(Adds!$C$14:$BI$14,Curves!$P$17:$BV$17)+SUMPRODUCT(Adds!$C$15:$BI$15,Curves!$P$40:$BV$40)+SUMPRODUCT(Adds!$C$16:$BI$16,Curves!$P$63:$BV$63)</f>
        <v/>
      </c>
      <c r="BJ5" s="5">
        <f>SUMPRODUCT(Adds!$C$14:$BJ$14,Curves!$O$17:$BV$17)+SUMPRODUCT(Adds!$C$15:$BJ$15,Curves!$O$40:$BV$40)+SUMPRODUCT(Adds!$C$16:$BJ$16,Curves!$O$63:$BV$63)</f>
        <v/>
      </c>
      <c r="BK5" s="5">
        <f>SUMPRODUCT(Adds!$C$14:$BK$14,Curves!$N$17:$BV$17)+SUMPRODUCT(Adds!$C$15:$BK$15,Curves!$N$40:$BV$40)+SUMPRODUCT(Adds!$C$16:$BK$16,Curves!$N$63:$BV$63)</f>
        <v/>
      </c>
      <c r="BL5" s="5">
        <f>SUMPRODUCT(Adds!$C$14:$BL$14,Curves!$M$17:$BV$17)+SUMPRODUCT(Adds!$C$15:$BL$15,Curves!$M$40:$BV$40)+SUMPRODUCT(Adds!$C$16:$BL$16,Curves!$M$63:$BV$63)</f>
        <v/>
      </c>
      <c r="BM5" s="5">
        <f>SUMPRODUCT(Adds!$C$14:$BM$14,Curves!$L$17:$BV$17)+SUMPRODUCT(Adds!$C$15:$BM$15,Curves!$L$40:$BV$40)+SUMPRODUCT(Adds!$C$16:$BM$16,Curves!$L$63:$BV$63)</f>
        <v/>
      </c>
      <c r="BN5" s="5">
        <f>SUMPRODUCT(Adds!$C$14:$BN$14,Curves!$K$17:$BV$17)+SUMPRODUCT(Adds!$C$15:$BN$15,Curves!$K$40:$BV$40)+SUMPRODUCT(Adds!$C$16:$BN$16,Curves!$K$63:$BV$63)</f>
        <v/>
      </c>
      <c r="BO5" s="5">
        <f>SUMPRODUCT(Adds!$C$14:$BO$14,Curves!$J$17:$BV$17)+SUMPRODUCT(Adds!$C$15:$BO$15,Curves!$J$40:$BV$40)+SUMPRODUCT(Adds!$C$16:$BO$16,Curves!$J$63:$BV$63)</f>
        <v/>
      </c>
      <c r="BP5" s="5">
        <f>SUMPRODUCT(Adds!$C$14:$BP$14,Curves!$I$17:$BV$17)+SUMPRODUCT(Adds!$C$15:$BP$15,Curves!$I$40:$BV$40)+SUMPRODUCT(Adds!$C$16:$BP$16,Curves!$I$63:$BV$63)</f>
        <v/>
      </c>
      <c r="BQ5" s="5">
        <f>SUMPRODUCT(Adds!$C$14:$BQ$14,Curves!$H$17:$BV$17)+SUMPRODUCT(Adds!$C$15:$BQ$15,Curves!$H$40:$BV$40)+SUMPRODUCT(Adds!$C$16:$BQ$16,Curves!$H$63:$BV$63)</f>
        <v/>
      </c>
      <c r="BR5" s="5">
        <f>SUMPRODUCT(Adds!$C$14:$BR$14,Curves!$G$17:$BV$17)+SUMPRODUCT(Adds!$C$15:$BR$15,Curves!$G$40:$BV$40)+SUMPRODUCT(Adds!$C$16:$BR$16,Curves!$G$63:$BV$63)</f>
        <v/>
      </c>
      <c r="BS5" s="5">
        <f>SUMPRODUCT(Adds!$C$14:$BS$14,Curves!$F$17:$BV$17)+SUMPRODUCT(Adds!$C$15:$BS$15,Curves!$F$40:$BV$40)+SUMPRODUCT(Adds!$C$16:$BS$16,Curves!$F$63:$BV$63)</f>
        <v/>
      </c>
      <c r="BT5" s="5">
        <f>SUMPRODUCT(Adds!$C$14:$BT$14,Curves!$E$17:$BV$17)+SUMPRODUCT(Adds!$C$15:$BT$15,Curves!$E$40:$BV$40)+SUMPRODUCT(Adds!$C$16:$BT$16,Curves!$E$63:$BV$63)</f>
        <v/>
      </c>
      <c r="BU5" s="5">
        <f>SUMPRODUCT(Adds!$C$14:$BU$14,Curves!$D$17:$BV$17)+SUMPRODUCT(Adds!$C$15:$BU$15,Curves!$D$40:$BV$40)+SUMPRODUCT(Adds!$C$16:$BU$16,Curves!$D$63:$BV$63)</f>
        <v/>
      </c>
      <c r="BV5" s="5">
        <f>SUMPRODUCT(Adds!$C$14:$BV$14,Curves!$C$17:$BV$17)+SUMPRODUCT(Adds!$C$15:$BV$15,Curves!$C$40:$BV$40)+SUMPRODUCT(Adds!$C$16:$BV$16,Curves!$C$63:$BV$63)</f>
        <v/>
      </c>
    </row>
    <row r="7">
      <c r="A7" t="inlineStr">
        <is>
          <t>active</t>
        </is>
      </c>
      <c r="B7" t="inlineStr">
        <is>
          <t>US_CA|NITRO_A</t>
        </is>
      </c>
      <c r="C7" s="5">
        <f>Adds!$C$29*Curves!$BV$16+Adds!$C$30*Curves!$BV$39+Adds!$C$31*Curves!$BV$62</f>
        <v/>
      </c>
      <c r="D7" s="5">
        <f>SUMPRODUCT(Adds!$C$29:$D$29,Curves!$BU$16:$BV$16)+SUMPRODUCT(Adds!$C$30:$D$30,Curves!$BU$39:$BV$39)+SUMPRODUCT(Adds!$C$31:$D$31,Curves!$BU$62:$BV$62)</f>
        <v/>
      </c>
      <c r="E7" s="5">
        <f>SUMPRODUCT(Adds!$C$29:$E$29,Curves!$BT$16:$BV$16)+SUMPRODUCT(Adds!$C$30:$E$30,Curves!$BT$39:$BV$39)+SUMPRODUCT(Adds!$C$31:$E$31,Curves!$BT$62:$BV$62)</f>
        <v/>
      </c>
      <c r="F7" s="5">
        <f>SUMPRODUCT(Adds!$C$29:$F$29,Curves!$BS$16:$BV$16)+SUMPRODUCT(Adds!$C$30:$F$30,Curves!$BS$39:$BV$39)+SUMPRODUCT(Adds!$C$31:$F$31,Curves!$BS$62:$BV$62)</f>
        <v/>
      </c>
      <c r="G7" s="5">
        <f>SUMPRODUCT(Adds!$C$29:$G$29,Curves!$BR$16:$BV$16)+SUMPRODUCT(Adds!$C$30:$G$30,Curves!$BR$39:$BV$39)+SUMPRODUCT(Adds!$C$31:$G$31,Curves!$BR$62:$BV$62)</f>
        <v/>
      </c>
      <c r="H7" s="5">
        <f>SUMPRODUCT(Adds!$C$29:$H$29,Curves!$BQ$16:$BV$16)+SUMPRODUCT(Adds!$C$30:$H$30,Curves!$BQ$39:$BV$39)+SUMPRODUCT(Adds!$C$31:$H$31,Curves!$BQ$62:$BV$62)</f>
        <v/>
      </c>
      <c r="I7" s="5">
        <f>SUMPRODUCT(Adds!$C$29:$I$29,Curves!$BP$16:$BV$16)+SUMPRODUCT(Adds!$C$30:$I$30,Curves!$BP$39:$BV$39)+SUMPRODUCT(Adds!$C$31:$I$31,Curves!$BP$62:$BV$62)</f>
        <v/>
      </c>
      <c r="J7" s="5">
        <f>SUMPRODUCT(Adds!$C$29:$J$29,Curves!$BO$16:$BV$16)+SUMPRODUCT(Adds!$C$30:$J$30,Curves!$BO$39:$BV$39)+SUMPRODUCT(Adds!$C$31:$J$31,Curves!$BO$62:$BV$62)</f>
        <v/>
      </c>
      <c r="K7" s="5">
        <f>SUMPRODUCT(Adds!$C$29:$K$29,Curves!$BN$16:$BV$16)+SUMPRODUCT(Adds!$C$30:$K$30,Curves!$BN$39:$BV$39)+SUMPRODUCT(Adds!$C$31:$K$31,Curves!$BN$62:$BV$62)</f>
        <v/>
      </c>
      <c r="L7" s="5">
        <f>SUMPRODUCT(Adds!$C$29:$L$29,Curves!$BM$16:$BV$16)+SUMPRODUCT(Adds!$C$30:$L$30,Curves!$BM$39:$BV$39)+SUMPRODUCT(Adds!$C$31:$L$31,Curves!$BM$62:$BV$62)</f>
        <v/>
      </c>
      <c r="M7" s="5">
        <f>SUMPRODUCT(Adds!$C$29:$M$29,Curves!$BL$16:$BV$16)+SUMPRODUCT(Adds!$C$30:$M$30,Curves!$BL$39:$BV$39)+SUMPRODUCT(Adds!$C$31:$M$31,Curves!$BL$62:$BV$62)</f>
        <v/>
      </c>
      <c r="N7" s="5">
        <f>SUMPRODUCT(Adds!$C$29:$N$29,Curves!$BK$16:$BV$16)+SUMPRODUCT(Adds!$C$30:$N$30,Curves!$BK$39:$BV$39)+SUMPRODUCT(Adds!$C$31:$N$31,Curves!$BK$62:$BV$62)</f>
        <v/>
      </c>
      <c r="O7" s="5">
        <f>SUMPRODUCT(Adds!$C$29:$O$29,Curves!$BJ$16:$BV$16)+SUMPRODUCT(Adds!$C$30:$O$30,Curves!$BJ$39:$BV$39)+SUMPRODUCT(Adds!$C$31:$O$31,Curves!$BJ$62:$BV$62)</f>
        <v/>
      </c>
      <c r="P7" s="5">
        <f>SUMPRODUCT(Adds!$C$29:$P$29,Curves!$BI$16:$BV$16)+SUMPRODUCT(Adds!$C$30:$P$30,Curves!$BI$39:$BV$39)+SUMPRODUCT(Adds!$C$31:$P$31,Curves!$BI$62:$BV$62)</f>
        <v/>
      </c>
      <c r="Q7" s="5">
        <f>SUMPRODUCT(Adds!$C$29:$Q$29,Curves!$BH$16:$BV$16)+SUMPRODUCT(Adds!$C$30:$Q$30,Curves!$BH$39:$BV$39)+SUMPRODUCT(Adds!$C$31:$Q$31,Curves!$BH$62:$BV$62)</f>
        <v/>
      </c>
      <c r="R7" s="5">
        <f>SUMPRODUCT(Adds!$C$29:$R$29,Curves!$BG$16:$BV$16)+SUMPRODUCT(Adds!$C$30:$R$30,Curves!$BG$39:$BV$39)+SUMPRODUCT(Adds!$C$31:$R$31,Curves!$BG$62:$BV$62)</f>
        <v/>
      </c>
      <c r="S7" s="5">
        <f>SUMPRODUCT(Adds!$C$29:$S$29,Curves!$BF$16:$BV$16)+SUMPRODUCT(Adds!$C$30:$S$30,Curves!$BF$39:$BV$39)+SUMPRODUCT(Adds!$C$31:$S$31,Curves!$BF$62:$BV$62)</f>
        <v/>
      </c>
      <c r="T7" s="5">
        <f>SUMPRODUCT(Adds!$C$29:$T$29,Curves!$BE$16:$BV$16)+SUMPRODUCT(Adds!$C$30:$T$30,Curves!$BE$39:$BV$39)+SUMPRODUCT(Adds!$C$31:$T$31,Curves!$BE$62:$BV$62)</f>
        <v/>
      </c>
      <c r="U7" s="5">
        <f>SUMPRODUCT(Adds!$C$29:$U$29,Curves!$BD$16:$BV$16)+SUMPRODUCT(Adds!$C$30:$U$30,Curves!$BD$39:$BV$39)+SUMPRODUCT(Adds!$C$31:$U$31,Curves!$BD$62:$BV$62)</f>
        <v/>
      </c>
      <c r="V7" s="5">
        <f>SUMPRODUCT(Adds!$C$29:$V$29,Curves!$BC$16:$BV$16)+SUMPRODUCT(Adds!$C$30:$V$30,Curves!$BC$39:$BV$39)+SUMPRODUCT(Adds!$C$31:$V$31,Curves!$BC$62:$BV$62)</f>
        <v/>
      </c>
      <c r="W7" s="5">
        <f>SUMPRODUCT(Adds!$C$29:$W$29,Curves!$BB$16:$BV$16)+SUMPRODUCT(Adds!$C$30:$W$30,Curves!$BB$39:$BV$39)+SUMPRODUCT(Adds!$C$31:$W$31,Curves!$BB$62:$BV$62)</f>
        <v/>
      </c>
      <c r="X7" s="5">
        <f>SUMPRODUCT(Adds!$C$29:$X$29,Curves!$BA$16:$BV$16)+SUMPRODUCT(Adds!$C$30:$X$30,Curves!$BA$39:$BV$39)+SUMPRODUCT(Adds!$C$31:$X$31,Curves!$BA$62:$BV$62)</f>
        <v/>
      </c>
      <c r="Y7" s="5">
        <f>SUMPRODUCT(Adds!$C$29:$Y$29,Curves!$AZ$16:$BV$16)+SUMPRODUCT(Adds!$C$30:$Y$30,Curves!$AZ$39:$BV$39)+SUMPRODUCT(Adds!$C$31:$Y$31,Curves!$AZ$62:$BV$62)</f>
        <v/>
      </c>
      <c r="Z7" s="5">
        <f>SUMPRODUCT(Adds!$C$29:$Z$29,Curves!$AY$16:$BV$16)+SUMPRODUCT(Adds!$C$30:$Z$30,Curves!$AY$39:$BV$39)+SUMPRODUCT(Adds!$C$31:$Z$31,Curves!$AY$62:$BV$62)</f>
        <v/>
      </c>
      <c r="AA7" s="5">
        <f>SUMPRODUCT(Adds!$C$29:$AA$29,Curves!$AX$16:$BV$16)+SUMPRODUCT(Adds!$C$30:$AA$30,Curves!$AX$39:$BV$39)+SUMPRODUCT(Adds!$C$31:$AA$31,Curves!$AX$62:$BV$62)</f>
        <v/>
      </c>
      <c r="AB7" s="5">
        <f>SUMPRODUCT(Adds!$C$29:$AB$29,Curves!$AW$16:$BV$16)+SUMPRODUCT(Adds!$C$30:$AB$30,Curves!$AW$39:$BV$39)+SUMPRODUCT(Adds!$C$31:$AB$31,Curves!$AW$62:$BV$62)</f>
        <v/>
      </c>
      <c r="AC7" s="5">
        <f>SUMPRODUCT(Adds!$C$29:$AC$29,Curves!$AV$16:$BV$16)+SUMPRODUCT(Adds!$C$30:$AC$30,Curves!$AV$39:$BV$39)+SUMPRODUCT(Adds!$C$31:$AC$31,Curves!$AV$62:$BV$62)</f>
        <v/>
      </c>
      <c r="AD7" s="5">
        <f>SUMPRODUCT(Adds!$C$29:$AD$29,Curves!$AU$16:$BV$16)+SUMPRODUCT(Adds!$C$30:$AD$30,Curves!$AU$39:$BV$39)+SUMPRODUCT(Adds!$C$31:$AD$31,Curves!$AU$62:$BV$62)</f>
        <v/>
      </c>
      <c r="AE7" s="5">
        <f>SUMPRODUCT(Adds!$C$29:$AE$29,Curves!$AT$16:$BV$16)+SUMPRODUCT(Adds!$C$30:$AE$30,Curves!$AT$39:$BV$39)+SUMPRODUCT(Adds!$C$31:$AE$31,Curves!$AT$62:$BV$62)</f>
        <v/>
      </c>
      <c r="AF7" s="5">
        <f>SUMPRODUCT(Adds!$C$29:$AF$29,Curves!$AS$16:$BV$16)+SUMPRODUCT(Adds!$C$30:$AF$30,Curves!$AS$39:$BV$39)+SUMPRODUCT(Adds!$C$31:$AF$31,Curves!$AS$62:$BV$62)</f>
        <v/>
      </c>
      <c r="AG7" s="5">
        <f>SUMPRODUCT(Adds!$C$29:$AG$29,Curves!$AR$16:$BV$16)+SUMPRODUCT(Adds!$C$30:$AG$30,Curves!$AR$39:$BV$39)+SUMPRODUCT(Adds!$C$31:$AG$31,Curves!$AR$62:$BV$62)</f>
        <v/>
      </c>
      <c r="AH7" s="5">
        <f>SUMPRODUCT(Adds!$C$29:$AH$29,Curves!$AQ$16:$BV$16)+SUMPRODUCT(Adds!$C$30:$AH$30,Curves!$AQ$39:$BV$39)+SUMPRODUCT(Adds!$C$31:$AH$31,Curves!$AQ$62:$BV$62)</f>
        <v/>
      </c>
      <c r="AI7" s="5">
        <f>SUMPRODUCT(Adds!$C$29:$AI$29,Curves!$AP$16:$BV$16)+SUMPRODUCT(Adds!$C$30:$AI$30,Curves!$AP$39:$BV$39)+SUMPRODUCT(Adds!$C$31:$AI$31,Curves!$AP$62:$BV$62)</f>
        <v/>
      </c>
      <c r="AJ7" s="5">
        <f>SUMPRODUCT(Adds!$C$29:$AJ$29,Curves!$AO$16:$BV$16)+SUMPRODUCT(Adds!$C$30:$AJ$30,Curves!$AO$39:$BV$39)+SUMPRODUCT(Adds!$C$31:$AJ$31,Curves!$AO$62:$BV$62)</f>
        <v/>
      </c>
      <c r="AK7" s="5">
        <f>SUMPRODUCT(Adds!$C$29:$AK$29,Curves!$AN$16:$BV$16)+SUMPRODUCT(Adds!$C$30:$AK$30,Curves!$AN$39:$BV$39)+SUMPRODUCT(Adds!$C$31:$AK$31,Curves!$AN$62:$BV$62)</f>
        <v/>
      </c>
      <c r="AL7" s="5">
        <f>SUMPRODUCT(Adds!$C$29:$AL$29,Curves!$AM$16:$BV$16)+SUMPRODUCT(Adds!$C$30:$AL$30,Curves!$AM$39:$BV$39)+SUMPRODUCT(Adds!$C$31:$AL$31,Curves!$AM$62:$BV$62)</f>
        <v/>
      </c>
      <c r="AM7" s="5">
        <f>SUMPRODUCT(Adds!$C$29:$AM$29,Curves!$AL$16:$BV$16)+SUMPRODUCT(Adds!$C$30:$AM$30,Curves!$AL$39:$BV$39)+SUMPRODUCT(Adds!$C$31:$AM$31,Curves!$AL$62:$BV$62)</f>
        <v/>
      </c>
      <c r="AN7" s="5">
        <f>SUMPRODUCT(Adds!$C$29:$AN$29,Curves!$AK$16:$BV$16)+SUMPRODUCT(Adds!$C$30:$AN$30,Curves!$AK$39:$BV$39)+SUMPRODUCT(Adds!$C$31:$AN$31,Curves!$AK$62:$BV$62)</f>
        <v/>
      </c>
      <c r="AO7" s="5">
        <f>SUMPRODUCT(Adds!$C$29:$AO$29,Curves!$AJ$16:$BV$16)+SUMPRODUCT(Adds!$C$30:$AO$30,Curves!$AJ$39:$BV$39)+SUMPRODUCT(Adds!$C$31:$AO$31,Curves!$AJ$62:$BV$62)</f>
        <v/>
      </c>
      <c r="AP7" s="5">
        <f>SUMPRODUCT(Adds!$C$29:$AP$29,Curves!$AI$16:$BV$16)+SUMPRODUCT(Adds!$C$30:$AP$30,Curves!$AI$39:$BV$39)+SUMPRODUCT(Adds!$C$31:$AP$31,Curves!$AI$62:$BV$62)</f>
        <v/>
      </c>
      <c r="AQ7" s="5">
        <f>SUMPRODUCT(Adds!$C$29:$AQ$29,Curves!$AH$16:$BV$16)+SUMPRODUCT(Adds!$C$30:$AQ$30,Curves!$AH$39:$BV$39)+SUMPRODUCT(Adds!$C$31:$AQ$31,Curves!$AH$62:$BV$62)</f>
        <v/>
      </c>
      <c r="AR7" s="5">
        <f>SUMPRODUCT(Adds!$C$29:$AR$29,Curves!$AG$16:$BV$16)+SUMPRODUCT(Adds!$C$30:$AR$30,Curves!$AG$39:$BV$39)+SUMPRODUCT(Adds!$C$31:$AR$31,Curves!$AG$62:$BV$62)</f>
        <v/>
      </c>
      <c r="AS7" s="5">
        <f>SUMPRODUCT(Adds!$C$29:$AS$29,Curves!$AF$16:$BV$16)+SUMPRODUCT(Adds!$C$30:$AS$30,Curves!$AF$39:$BV$39)+SUMPRODUCT(Adds!$C$31:$AS$31,Curves!$AF$62:$BV$62)</f>
        <v/>
      </c>
      <c r="AT7" s="5">
        <f>SUMPRODUCT(Adds!$C$29:$AT$29,Curves!$AE$16:$BV$16)+SUMPRODUCT(Adds!$C$30:$AT$30,Curves!$AE$39:$BV$39)+SUMPRODUCT(Adds!$C$31:$AT$31,Curves!$AE$62:$BV$62)</f>
        <v/>
      </c>
      <c r="AU7" s="5">
        <f>SUMPRODUCT(Adds!$C$29:$AU$29,Curves!$AD$16:$BV$16)+SUMPRODUCT(Adds!$C$30:$AU$30,Curves!$AD$39:$BV$39)+SUMPRODUCT(Adds!$C$31:$AU$31,Curves!$AD$62:$BV$62)</f>
        <v/>
      </c>
      <c r="AV7" s="5">
        <f>SUMPRODUCT(Adds!$C$29:$AV$29,Curves!$AC$16:$BV$16)+SUMPRODUCT(Adds!$C$30:$AV$30,Curves!$AC$39:$BV$39)+SUMPRODUCT(Adds!$C$31:$AV$31,Curves!$AC$62:$BV$62)</f>
        <v/>
      </c>
      <c r="AW7" s="5">
        <f>SUMPRODUCT(Adds!$C$29:$AW$29,Curves!$AB$16:$BV$16)+SUMPRODUCT(Adds!$C$30:$AW$30,Curves!$AB$39:$BV$39)+SUMPRODUCT(Adds!$C$31:$AW$31,Curves!$AB$62:$BV$62)</f>
        <v/>
      </c>
      <c r="AX7" s="5">
        <f>SUMPRODUCT(Adds!$C$29:$AX$29,Curves!$AA$16:$BV$16)+SUMPRODUCT(Adds!$C$30:$AX$30,Curves!$AA$39:$BV$39)+SUMPRODUCT(Adds!$C$31:$AX$31,Curves!$AA$62:$BV$62)</f>
        <v/>
      </c>
      <c r="AY7" s="5">
        <f>SUMPRODUCT(Adds!$C$29:$AY$29,Curves!$Z$16:$BV$16)+SUMPRODUCT(Adds!$C$30:$AY$30,Curves!$Z$39:$BV$39)+SUMPRODUCT(Adds!$C$31:$AY$31,Curves!$Z$62:$BV$62)</f>
        <v/>
      </c>
      <c r="AZ7" s="5">
        <f>SUMPRODUCT(Adds!$C$29:$AZ$29,Curves!$Y$16:$BV$16)+SUMPRODUCT(Adds!$C$30:$AZ$30,Curves!$Y$39:$BV$39)+SUMPRODUCT(Adds!$C$31:$AZ$31,Curves!$Y$62:$BV$62)</f>
        <v/>
      </c>
      <c r="BA7" s="5">
        <f>SUMPRODUCT(Adds!$C$29:$BA$29,Curves!$X$16:$BV$16)+SUMPRODUCT(Adds!$C$30:$BA$30,Curves!$X$39:$BV$39)+SUMPRODUCT(Adds!$C$31:$BA$31,Curves!$X$62:$BV$62)</f>
        <v/>
      </c>
      <c r="BB7" s="5">
        <f>SUMPRODUCT(Adds!$C$29:$BB$29,Curves!$W$16:$BV$16)+SUMPRODUCT(Adds!$C$30:$BB$30,Curves!$W$39:$BV$39)+SUMPRODUCT(Adds!$C$31:$BB$31,Curves!$W$62:$BV$62)</f>
        <v/>
      </c>
      <c r="BC7" s="5">
        <f>SUMPRODUCT(Adds!$C$29:$BC$29,Curves!$V$16:$BV$16)+SUMPRODUCT(Adds!$C$30:$BC$30,Curves!$V$39:$BV$39)+SUMPRODUCT(Adds!$C$31:$BC$31,Curves!$V$62:$BV$62)</f>
        <v/>
      </c>
      <c r="BD7" s="5">
        <f>SUMPRODUCT(Adds!$C$29:$BD$29,Curves!$U$16:$BV$16)+SUMPRODUCT(Adds!$C$30:$BD$30,Curves!$U$39:$BV$39)+SUMPRODUCT(Adds!$C$31:$BD$31,Curves!$U$62:$BV$62)</f>
        <v/>
      </c>
      <c r="BE7" s="5">
        <f>SUMPRODUCT(Adds!$C$29:$BE$29,Curves!$T$16:$BV$16)+SUMPRODUCT(Adds!$C$30:$BE$30,Curves!$T$39:$BV$39)+SUMPRODUCT(Adds!$C$31:$BE$31,Curves!$T$62:$BV$62)</f>
        <v/>
      </c>
      <c r="BF7" s="5">
        <f>SUMPRODUCT(Adds!$C$29:$BF$29,Curves!$S$16:$BV$16)+SUMPRODUCT(Adds!$C$30:$BF$30,Curves!$S$39:$BV$39)+SUMPRODUCT(Adds!$C$31:$BF$31,Curves!$S$62:$BV$62)</f>
        <v/>
      </c>
      <c r="BG7" s="5">
        <f>SUMPRODUCT(Adds!$C$29:$BG$29,Curves!$R$16:$BV$16)+SUMPRODUCT(Adds!$C$30:$BG$30,Curves!$R$39:$BV$39)+SUMPRODUCT(Adds!$C$31:$BG$31,Curves!$R$62:$BV$62)</f>
        <v/>
      </c>
      <c r="BH7" s="5">
        <f>SUMPRODUCT(Adds!$C$29:$BH$29,Curves!$Q$16:$BV$16)+SUMPRODUCT(Adds!$C$30:$BH$30,Curves!$Q$39:$BV$39)+SUMPRODUCT(Adds!$C$31:$BH$31,Curves!$Q$62:$BV$62)</f>
        <v/>
      </c>
      <c r="BI7" s="5">
        <f>SUMPRODUCT(Adds!$C$29:$BI$29,Curves!$P$16:$BV$16)+SUMPRODUCT(Adds!$C$30:$BI$30,Curves!$P$39:$BV$39)+SUMPRODUCT(Adds!$C$31:$BI$31,Curves!$P$62:$BV$62)</f>
        <v/>
      </c>
      <c r="BJ7" s="5">
        <f>SUMPRODUCT(Adds!$C$29:$BJ$29,Curves!$O$16:$BV$16)+SUMPRODUCT(Adds!$C$30:$BJ$30,Curves!$O$39:$BV$39)+SUMPRODUCT(Adds!$C$31:$BJ$31,Curves!$O$62:$BV$62)</f>
        <v/>
      </c>
      <c r="BK7" s="5">
        <f>SUMPRODUCT(Adds!$C$29:$BK$29,Curves!$N$16:$BV$16)+SUMPRODUCT(Adds!$C$30:$BK$30,Curves!$N$39:$BV$39)+SUMPRODUCT(Adds!$C$31:$BK$31,Curves!$N$62:$BV$62)</f>
        <v/>
      </c>
      <c r="BL7" s="5">
        <f>SUMPRODUCT(Adds!$C$29:$BL$29,Curves!$M$16:$BV$16)+SUMPRODUCT(Adds!$C$30:$BL$30,Curves!$M$39:$BV$39)+SUMPRODUCT(Adds!$C$31:$BL$31,Curves!$M$62:$BV$62)</f>
        <v/>
      </c>
      <c r="BM7" s="5">
        <f>SUMPRODUCT(Adds!$C$29:$BM$29,Curves!$L$16:$BV$16)+SUMPRODUCT(Adds!$C$30:$BM$30,Curves!$L$39:$BV$39)+SUMPRODUCT(Adds!$C$31:$BM$31,Curves!$L$62:$BV$62)</f>
        <v/>
      </c>
      <c r="BN7" s="5">
        <f>SUMPRODUCT(Adds!$C$29:$BN$29,Curves!$K$16:$BV$16)+SUMPRODUCT(Adds!$C$30:$BN$30,Curves!$K$39:$BV$39)+SUMPRODUCT(Adds!$C$31:$BN$31,Curves!$K$62:$BV$62)</f>
        <v/>
      </c>
      <c r="BO7" s="5">
        <f>SUMPRODUCT(Adds!$C$29:$BO$29,Curves!$J$16:$BV$16)+SUMPRODUCT(Adds!$C$30:$BO$30,Curves!$J$39:$BV$39)+SUMPRODUCT(Adds!$C$31:$BO$31,Curves!$J$62:$BV$62)</f>
        <v/>
      </c>
      <c r="BP7" s="5">
        <f>SUMPRODUCT(Adds!$C$29:$BP$29,Curves!$I$16:$BV$16)+SUMPRODUCT(Adds!$C$30:$BP$30,Curves!$I$39:$BV$39)+SUMPRODUCT(Adds!$C$31:$BP$31,Curves!$I$62:$BV$62)</f>
        <v/>
      </c>
      <c r="BQ7" s="5">
        <f>SUMPRODUCT(Adds!$C$29:$BQ$29,Curves!$H$16:$BV$16)+SUMPRODUCT(Adds!$C$30:$BQ$30,Curves!$H$39:$BV$39)+SUMPRODUCT(Adds!$C$31:$BQ$31,Curves!$H$62:$BV$62)</f>
        <v/>
      </c>
      <c r="BR7" s="5">
        <f>SUMPRODUCT(Adds!$C$29:$BR$29,Curves!$G$16:$BV$16)+SUMPRODUCT(Adds!$C$30:$BR$30,Curves!$G$39:$BV$39)+SUMPRODUCT(Adds!$C$31:$BR$31,Curves!$G$62:$BV$62)</f>
        <v/>
      </c>
      <c r="BS7" s="5">
        <f>SUMPRODUCT(Adds!$C$29:$BS$29,Curves!$F$16:$BV$16)+SUMPRODUCT(Adds!$C$30:$BS$30,Curves!$F$39:$BV$39)+SUMPRODUCT(Adds!$C$31:$BS$31,Curves!$F$62:$BV$62)</f>
        <v/>
      </c>
      <c r="BT7" s="5">
        <f>SUMPRODUCT(Adds!$C$29:$BT$29,Curves!$E$16:$BV$16)+SUMPRODUCT(Adds!$C$30:$BT$30,Curves!$E$39:$BV$39)+SUMPRODUCT(Adds!$C$31:$BT$31,Curves!$E$62:$BV$62)</f>
        <v/>
      </c>
      <c r="BU7" s="5">
        <f>SUMPRODUCT(Adds!$C$29:$BU$29,Curves!$D$16:$BV$16)+SUMPRODUCT(Adds!$C$30:$BU$30,Curves!$D$39:$BV$39)+SUMPRODUCT(Adds!$C$31:$BU$31,Curves!$D$62:$BV$62)</f>
        <v/>
      </c>
      <c r="BV7" s="5">
        <f>SUMPRODUCT(Adds!$C$29:$BV$29,Curves!$C$16:$BV$16)+SUMPRODUCT(Adds!$C$30:$BV$30,Curves!$C$39:$BV$39)+SUMPRODUCT(Adds!$C$31:$BV$31,Curves!$C$62:$BV$62)</f>
        <v/>
      </c>
    </row>
    <row r="8">
      <c r="A8" t="inlineStr">
        <is>
          <t>active yr 1</t>
        </is>
      </c>
      <c r="B8" t="inlineStr">
        <is>
          <t>US_CA|NITRO_A</t>
        </is>
      </c>
      <c r="C8" s="5">
        <f>Adds!$C$29*Curves!$BV$23+Adds!$C$30*Curves!$BV$46+Adds!$C$31*Curves!$BV$69</f>
        <v/>
      </c>
      <c r="D8" s="5">
        <f>SUMPRODUCT(Adds!$C$29:$D$29,Curves!$BU$23:$BV$23)+SUMPRODUCT(Adds!$C$30:$D$30,Curves!$BU$46:$BV$46)+SUMPRODUCT(Adds!$C$31:$D$31,Curves!$BU$69:$BV$69)</f>
        <v/>
      </c>
      <c r="E8" s="5">
        <f>SUMPRODUCT(Adds!$C$29:$E$29,Curves!$BT$23:$BV$23)+SUMPRODUCT(Adds!$C$30:$E$30,Curves!$BT$46:$BV$46)+SUMPRODUCT(Adds!$C$31:$E$31,Curves!$BT$69:$BV$69)</f>
        <v/>
      </c>
      <c r="F8" s="5">
        <f>SUMPRODUCT(Adds!$C$29:$F$29,Curves!$BS$23:$BV$23)+SUMPRODUCT(Adds!$C$30:$F$30,Curves!$BS$46:$BV$46)+SUMPRODUCT(Adds!$C$31:$F$31,Curves!$BS$69:$BV$69)</f>
        <v/>
      </c>
      <c r="G8" s="5">
        <f>SUMPRODUCT(Adds!$C$29:$G$29,Curves!$BR$23:$BV$23)+SUMPRODUCT(Adds!$C$30:$G$30,Curves!$BR$46:$BV$46)+SUMPRODUCT(Adds!$C$31:$G$31,Curves!$BR$69:$BV$69)</f>
        <v/>
      </c>
      <c r="H8" s="5">
        <f>SUMPRODUCT(Adds!$C$29:$H$29,Curves!$BQ$23:$BV$23)+SUMPRODUCT(Adds!$C$30:$H$30,Curves!$BQ$46:$BV$46)+SUMPRODUCT(Adds!$C$31:$H$31,Curves!$BQ$69:$BV$69)</f>
        <v/>
      </c>
      <c r="I8" s="5">
        <f>SUMPRODUCT(Adds!$C$29:$I$29,Curves!$BP$23:$BV$23)+SUMPRODUCT(Adds!$C$30:$I$30,Curves!$BP$46:$BV$46)+SUMPRODUCT(Adds!$C$31:$I$31,Curves!$BP$69:$BV$69)</f>
        <v/>
      </c>
      <c r="J8" s="5">
        <f>SUMPRODUCT(Adds!$C$29:$J$29,Curves!$BO$23:$BV$23)+SUMPRODUCT(Adds!$C$30:$J$30,Curves!$BO$46:$BV$46)+SUMPRODUCT(Adds!$C$31:$J$31,Curves!$BO$69:$BV$69)</f>
        <v/>
      </c>
      <c r="K8" s="5">
        <f>SUMPRODUCT(Adds!$C$29:$K$29,Curves!$BN$23:$BV$23)+SUMPRODUCT(Adds!$C$30:$K$30,Curves!$BN$46:$BV$46)+SUMPRODUCT(Adds!$C$31:$K$31,Curves!$BN$69:$BV$69)</f>
        <v/>
      </c>
      <c r="L8" s="5">
        <f>SUMPRODUCT(Adds!$C$29:$L$29,Curves!$BM$23:$BV$23)+SUMPRODUCT(Adds!$C$30:$L$30,Curves!$BM$46:$BV$46)+SUMPRODUCT(Adds!$C$31:$L$31,Curves!$BM$69:$BV$69)</f>
        <v/>
      </c>
      <c r="M8" s="5">
        <f>SUMPRODUCT(Adds!$C$29:$M$29,Curves!$BL$23:$BV$23)+SUMPRODUCT(Adds!$C$30:$M$30,Curves!$BL$46:$BV$46)+SUMPRODUCT(Adds!$C$31:$M$31,Curves!$BL$69:$BV$69)</f>
        <v/>
      </c>
      <c r="N8" s="5">
        <f>SUMPRODUCT(Adds!$C$29:$N$29,Curves!$BK$23:$BV$23)+SUMPRODUCT(Adds!$C$30:$N$30,Curves!$BK$46:$BV$46)+SUMPRODUCT(Adds!$C$31:$N$31,Curves!$BK$69:$BV$69)</f>
        <v/>
      </c>
      <c r="O8" s="5">
        <f>SUMPRODUCT(Adds!$C$29:$O$29,Curves!$BJ$23:$BV$23)+SUMPRODUCT(Adds!$C$30:$O$30,Curves!$BJ$46:$BV$46)+SUMPRODUCT(Adds!$C$31:$O$31,Curves!$BJ$69:$BV$69)</f>
        <v/>
      </c>
      <c r="P8" s="5">
        <f>SUMPRODUCT(Adds!$C$29:$P$29,Curves!$BI$23:$BV$23)+SUMPRODUCT(Adds!$C$30:$P$30,Curves!$BI$46:$BV$46)+SUMPRODUCT(Adds!$C$31:$P$31,Curves!$BI$69:$BV$69)</f>
        <v/>
      </c>
      <c r="Q8" s="5">
        <f>SUMPRODUCT(Adds!$C$29:$Q$29,Curves!$BH$23:$BV$23)+SUMPRODUCT(Adds!$C$30:$Q$30,Curves!$BH$46:$BV$46)+SUMPRODUCT(Adds!$C$31:$Q$31,Curves!$BH$69:$BV$69)</f>
        <v/>
      </c>
      <c r="R8" s="5">
        <f>SUMPRODUCT(Adds!$C$29:$R$29,Curves!$BG$23:$BV$23)+SUMPRODUCT(Adds!$C$30:$R$30,Curves!$BG$46:$BV$46)+SUMPRODUCT(Adds!$C$31:$R$31,Curves!$BG$69:$BV$69)</f>
        <v/>
      </c>
      <c r="S8" s="5">
        <f>SUMPRODUCT(Adds!$C$29:$S$29,Curves!$BF$23:$BV$23)+SUMPRODUCT(Adds!$C$30:$S$30,Curves!$BF$46:$BV$46)+SUMPRODUCT(Adds!$C$31:$S$31,Curves!$BF$69:$BV$69)</f>
        <v/>
      </c>
      <c r="T8" s="5">
        <f>SUMPRODUCT(Adds!$C$29:$T$29,Curves!$BE$23:$BV$23)+SUMPRODUCT(Adds!$C$30:$T$30,Curves!$BE$46:$BV$46)+SUMPRODUCT(Adds!$C$31:$T$31,Curves!$BE$69:$BV$69)</f>
        <v/>
      </c>
      <c r="U8" s="5">
        <f>SUMPRODUCT(Adds!$C$29:$U$29,Curves!$BD$23:$BV$23)+SUMPRODUCT(Adds!$C$30:$U$30,Curves!$BD$46:$BV$46)+SUMPRODUCT(Adds!$C$31:$U$31,Curves!$BD$69:$BV$69)</f>
        <v/>
      </c>
      <c r="V8" s="5">
        <f>SUMPRODUCT(Adds!$C$29:$V$29,Curves!$BC$23:$BV$23)+SUMPRODUCT(Adds!$C$30:$V$30,Curves!$BC$46:$BV$46)+SUMPRODUCT(Adds!$C$31:$V$31,Curves!$BC$69:$BV$69)</f>
        <v/>
      </c>
      <c r="W8" s="5">
        <f>SUMPRODUCT(Adds!$C$29:$W$29,Curves!$BB$23:$BV$23)+SUMPRODUCT(Adds!$C$30:$W$30,Curves!$BB$46:$BV$46)+SUMPRODUCT(Adds!$C$31:$W$31,Curves!$BB$69:$BV$69)</f>
        <v/>
      </c>
      <c r="X8" s="5">
        <f>SUMPRODUCT(Adds!$C$29:$X$29,Curves!$BA$23:$BV$23)+SUMPRODUCT(Adds!$C$30:$X$30,Curves!$BA$46:$BV$46)+SUMPRODUCT(Adds!$C$31:$X$31,Curves!$BA$69:$BV$69)</f>
        <v/>
      </c>
      <c r="Y8" s="5">
        <f>SUMPRODUCT(Adds!$C$29:$Y$29,Curves!$AZ$23:$BV$23)+SUMPRODUCT(Adds!$C$30:$Y$30,Curves!$AZ$46:$BV$46)+SUMPRODUCT(Adds!$C$31:$Y$31,Curves!$AZ$69:$BV$69)</f>
        <v/>
      </c>
      <c r="Z8" s="5">
        <f>SUMPRODUCT(Adds!$C$29:$Z$29,Curves!$AY$23:$BV$23)+SUMPRODUCT(Adds!$C$30:$Z$30,Curves!$AY$46:$BV$46)+SUMPRODUCT(Adds!$C$31:$Z$31,Curves!$AY$69:$BV$69)</f>
        <v/>
      </c>
      <c r="AA8" s="5">
        <f>SUMPRODUCT(Adds!$C$29:$AA$29,Curves!$AX$23:$BV$23)+SUMPRODUCT(Adds!$C$30:$AA$30,Curves!$AX$46:$BV$46)+SUMPRODUCT(Adds!$C$31:$AA$31,Curves!$AX$69:$BV$69)</f>
        <v/>
      </c>
      <c r="AB8" s="5">
        <f>SUMPRODUCT(Adds!$C$29:$AB$29,Curves!$AW$23:$BV$23)+SUMPRODUCT(Adds!$C$30:$AB$30,Curves!$AW$46:$BV$46)+SUMPRODUCT(Adds!$C$31:$AB$31,Curves!$AW$69:$BV$69)</f>
        <v/>
      </c>
      <c r="AC8" s="5">
        <f>SUMPRODUCT(Adds!$C$29:$AC$29,Curves!$AV$23:$BV$23)+SUMPRODUCT(Adds!$C$30:$AC$30,Curves!$AV$46:$BV$46)+SUMPRODUCT(Adds!$C$31:$AC$31,Curves!$AV$69:$BV$69)</f>
        <v/>
      </c>
      <c r="AD8" s="5">
        <f>SUMPRODUCT(Adds!$C$29:$AD$29,Curves!$AU$23:$BV$23)+SUMPRODUCT(Adds!$C$30:$AD$30,Curves!$AU$46:$BV$46)+SUMPRODUCT(Adds!$C$31:$AD$31,Curves!$AU$69:$BV$69)</f>
        <v/>
      </c>
      <c r="AE8" s="5">
        <f>SUMPRODUCT(Adds!$C$29:$AE$29,Curves!$AT$23:$BV$23)+SUMPRODUCT(Adds!$C$30:$AE$30,Curves!$AT$46:$BV$46)+SUMPRODUCT(Adds!$C$31:$AE$31,Curves!$AT$69:$BV$69)</f>
        <v/>
      </c>
      <c r="AF8" s="5">
        <f>SUMPRODUCT(Adds!$C$29:$AF$29,Curves!$AS$23:$BV$23)+SUMPRODUCT(Adds!$C$30:$AF$30,Curves!$AS$46:$BV$46)+SUMPRODUCT(Adds!$C$31:$AF$31,Curves!$AS$69:$BV$69)</f>
        <v/>
      </c>
      <c r="AG8" s="5">
        <f>SUMPRODUCT(Adds!$C$29:$AG$29,Curves!$AR$23:$BV$23)+SUMPRODUCT(Adds!$C$30:$AG$30,Curves!$AR$46:$BV$46)+SUMPRODUCT(Adds!$C$31:$AG$31,Curves!$AR$69:$BV$69)</f>
        <v/>
      </c>
      <c r="AH8" s="5">
        <f>SUMPRODUCT(Adds!$C$29:$AH$29,Curves!$AQ$23:$BV$23)+SUMPRODUCT(Adds!$C$30:$AH$30,Curves!$AQ$46:$BV$46)+SUMPRODUCT(Adds!$C$31:$AH$31,Curves!$AQ$69:$BV$69)</f>
        <v/>
      </c>
      <c r="AI8" s="5">
        <f>SUMPRODUCT(Adds!$C$29:$AI$29,Curves!$AP$23:$BV$23)+SUMPRODUCT(Adds!$C$30:$AI$30,Curves!$AP$46:$BV$46)+SUMPRODUCT(Adds!$C$31:$AI$31,Curves!$AP$69:$BV$69)</f>
        <v/>
      </c>
      <c r="AJ8" s="5">
        <f>SUMPRODUCT(Adds!$C$29:$AJ$29,Curves!$AO$23:$BV$23)+SUMPRODUCT(Adds!$C$30:$AJ$30,Curves!$AO$46:$BV$46)+SUMPRODUCT(Adds!$C$31:$AJ$31,Curves!$AO$69:$BV$69)</f>
        <v/>
      </c>
      <c r="AK8" s="5">
        <f>SUMPRODUCT(Adds!$C$29:$AK$29,Curves!$AN$23:$BV$23)+SUMPRODUCT(Adds!$C$30:$AK$30,Curves!$AN$46:$BV$46)+SUMPRODUCT(Adds!$C$31:$AK$31,Curves!$AN$69:$BV$69)</f>
        <v/>
      </c>
      <c r="AL8" s="5">
        <f>SUMPRODUCT(Adds!$C$29:$AL$29,Curves!$AM$23:$BV$23)+SUMPRODUCT(Adds!$C$30:$AL$30,Curves!$AM$46:$BV$46)+SUMPRODUCT(Adds!$C$31:$AL$31,Curves!$AM$69:$BV$69)</f>
        <v/>
      </c>
      <c r="AM8" s="5">
        <f>SUMPRODUCT(Adds!$C$29:$AM$29,Curves!$AL$23:$BV$23)+SUMPRODUCT(Adds!$C$30:$AM$30,Curves!$AL$46:$BV$46)+SUMPRODUCT(Adds!$C$31:$AM$31,Curves!$AL$69:$BV$69)</f>
        <v/>
      </c>
      <c r="AN8" s="5">
        <f>SUMPRODUCT(Adds!$C$29:$AN$29,Curves!$AK$23:$BV$23)+SUMPRODUCT(Adds!$C$30:$AN$30,Curves!$AK$46:$BV$46)+SUMPRODUCT(Adds!$C$31:$AN$31,Curves!$AK$69:$BV$69)</f>
        <v/>
      </c>
      <c r="AO8" s="5">
        <f>SUMPRODUCT(Adds!$C$29:$AO$29,Curves!$AJ$23:$BV$23)+SUMPRODUCT(Adds!$C$30:$AO$30,Curves!$AJ$46:$BV$46)+SUMPRODUCT(Adds!$C$31:$AO$31,Curves!$AJ$69:$BV$69)</f>
        <v/>
      </c>
      <c r="AP8" s="5">
        <f>SUMPRODUCT(Adds!$C$29:$AP$29,Curves!$AI$23:$BV$23)+SUMPRODUCT(Adds!$C$30:$AP$30,Curves!$AI$46:$BV$46)+SUMPRODUCT(Adds!$C$31:$AP$31,Curves!$AI$69:$BV$69)</f>
        <v/>
      </c>
      <c r="AQ8" s="5">
        <f>SUMPRODUCT(Adds!$C$29:$AQ$29,Curves!$AH$23:$BV$23)+SUMPRODUCT(Adds!$C$30:$AQ$30,Curves!$AH$46:$BV$46)+SUMPRODUCT(Adds!$C$31:$AQ$31,Curves!$AH$69:$BV$69)</f>
        <v/>
      </c>
      <c r="AR8" s="5">
        <f>SUMPRODUCT(Adds!$C$29:$AR$29,Curves!$AG$23:$BV$23)+SUMPRODUCT(Adds!$C$30:$AR$30,Curves!$AG$46:$BV$46)+SUMPRODUCT(Adds!$C$31:$AR$31,Curves!$AG$69:$BV$69)</f>
        <v/>
      </c>
      <c r="AS8" s="5">
        <f>SUMPRODUCT(Adds!$C$29:$AS$29,Curves!$AF$23:$BV$23)+SUMPRODUCT(Adds!$C$30:$AS$30,Curves!$AF$46:$BV$46)+SUMPRODUCT(Adds!$C$31:$AS$31,Curves!$AF$69:$BV$69)</f>
        <v/>
      </c>
      <c r="AT8" s="5">
        <f>SUMPRODUCT(Adds!$C$29:$AT$29,Curves!$AE$23:$BV$23)+SUMPRODUCT(Adds!$C$30:$AT$30,Curves!$AE$46:$BV$46)+SUMPRODUCT(Adds!$C$31:$AT$31,Curves!$AE$69:$BV$69)</f>
        <v/>
      </c>
      <c r="AU8" s="5">
        <f>SUMPRODUCT(Adds!$C$29:$AU$29,Curves!$AD$23:$BV$23)+SUMPRODUCT(Adds!$C$30:$AU$30,Curves!$AD$46:$BV$46)+SUMPRODUCT(Adds!$C$31:$AU$31,Curves!$AD$69:$BV$69)</f>
        <v/>
      </c>
      <c r="AV8" s="5">
        <f>SUMPRODUCT(Adds!$C$29:$AV$29,Curves!$AC$23:$BV$23)+SUMPRODUCT(Adds!$C$30:$AV$30,Curves!$AC$46:$BV$46)+SUMPRODUCT(Adds!$C$31:$AV$31,Curves!$AC$69:$BV$69)</f>
        <v/>
      </c>
      <c r="AW8" s="5">
        <f>SUMPRODUCT(Adds!$C$29:$AW$29,Curves!$AB$23:$BV$23)+SUMPRODUCT(Adds!$C$30:$AW$30,Curves!$AB$46:$BV$46)+SUMPRODUCT(Adds!$C$31:$AW$31,Curves!$AB$69:$BV$69)</f>
        <v/>
      </c>
      <c r="AX8" s="5">
        <f>SUMPRODUCT(Adds!$C$29:$AX$29,Curves!$AA$23:$BV$23)+SUMPRODUCT(Adds!$C$30:$AX$30,Curves!$AA$46:$BV$46)+SUMPRODUCT(Adds!$C$31:$AX$31,Curves!$AA$69:$BV$69)</f>
        <v/>
      </c>
      <c r="AY8" s="5">
        <f>SUMPRODUCT(Adds!$C$29:$AY$29,Curves!$Z$23:$BV$23)+SUMPRODUCT(Adds!$C$30:$AY$30,Curves!$Z$46:$BV$46)+SUMPRODUCT(Adds!$C$31:$AY$31,Curves!$Z$69:$BV$69)</f>
        <v/>
      </c>
      <c r="AZ8" s="5">
        <f>SUMPRODUCT(Adds!$C$29:$AZ$29,Curves!$Y$23:$BV$23)+SUMPRODUCT(Adds!$C$30:$AZ$30,Curves!$Y$46:$BV$46)+SUMPRODUCT(Adds!$C$31:$AZ$31,Curves!$Y$69:$BV$69)</f>
        <v/>
      </c>
      <c r="BA8" s="5">
        <f>SUMPRODUCT(Adds!$C$29:$BA$29,Curves!$X$23:$BV$23)+SUMPRODUCT(Adds!$C$30:$BA$30,Curves!$X$46:$BV$46)+SUMPRODUCT(Adds!$C$31:$BA$31,Curves!$X$69:$BV$69)</f>
        <v/>
      </c>
      <c r="BB8" s="5">
        <f>SUMPRODUCT(Adds!$C$29:$BB$29,Curves!$W$23:$BV$23)+SUMPRODUCT(Adds!$C$30:$BB$30,Curves!$W$46:$BV$46)+SUMPRODUCT(Adds!$C$31:$BB$31,Curves!$W$69:$BV$69)</f>
        <v/>
      </c>
      <c r="BC8" s="5">
        <f>SUMPRODUCT(Adds!$C$29:$BC$29,Curves!$V$23:$BV$23)+SUMPRODUCT(Adds!$C$30:$BC$30,Curves!$V$46:$BV$46)+SUMPRODUCT(Adds!$C$31:$BC$31,Curves!$V$69:$BV$69)</f>
        <v/>
      </c>
      <c r="BD8" s="5">
        <f>SUMPRODUCT(Adds!$C$29:$BD$29,Curves!$U$23:$BV$23)+SUMPRODUCT(Adds!$C$30:$BD$30,Curves!$U$46:$BV$46)+SUMPRODUCT(Adds!$C$31:$BD$31,Curves!$U$69:$BV$69)</f>
        <v/>
      </c>
      <c r="BE8" s="5">
        <f>SUMPRODUCT(Adds!$C$29:$BE$29,Curves!$T$23:$BV$23)+SUMPRODUCT(Adds!$C$30:$BE$30,Curves!$T$46:$BV$46)+SUMPRODUCT(Adds!$C$31:$BE$31,Curves!$T$69:$BV$69)</f>
        <v/>
      </c>
      <c r="BF8" s="5">
        <f>SUMPRODUCT(Adds!$C$29:$BF$29,Curves!$S$23:$BV$23)+SUMPRODUCT(Adds!$C$30:$BF$30,Curves!$S$46:$BV$46)+SUMPRODUCT(Adds!$C$31:$BF$31,Curves!$S$69:$BV$69)</f>
        <v/>
      </c>
      <c r="BG8" s="5">
        <f>SUMPRODUCT(Adds!$C$29:$BG$29,Curves!$R$23:$BV$23)+SUMPRODUCT(Adds!$C$30:$BG$30,Curves!$R$46:$BV$46)+SUMPRODUCT(Adds!$C$31:$BG$31,Curves!$R$69:$BV$69)</f>
        <v/>
      </c>
      <c r="BH8" s="5">
        <f>SUMPRODUCT(Adds!$C$29:$BH$29,Curves!$Q$23:$BV$23)+SUMPRODUCT(Adds!$C$30:$BH$30,Curves!$Q$46:$BV$46)+SUMPRODUCT(Adds!$C$31:$BH$31,Curves!$Q$69:$BV$69)</f>
        <v/>
      </c>
      <c r="BI8" s="5">
        <f>SUMPRODUCT(Adds!$C$29:$BI$29,Curves!$P$23:$BV$23)+SUMPRODUCT(Adds!$C$30:$BI$30,Curves!$P$46:$BV$46)+SUMPRODUCT(Adds!$C$31:$BI$31,Curves!$P$69:$BV$69)</f>
        <v/>
      </c>
      <c r="BJ8" s="5">
        <f>SUMPRODUCT(Adds!$C$29:$BJ$29,Curves!$O$23:$BV$23)+SUMPRODUCT(Adds!$C$30:$BJ$30,Curves!$O$46:$BV$46)+SUMPRODUCT(Adds!$C$31:$BJ$31,Curves!$O$69:$BV$69)</f>
        <v/>
      </c>
      <c r="BK8" s="5">
        <f>SUMPRODUCT(Adds!$C$29:$BK$29,Curves!$N$23:$BV$23)+SUMPRODUCT(Adds!$C$30:$BK$30,Curves!$N$46:$BV$46)+SUMPRODUCT(Adds!$C$31:$BK$31,Curves!$N$69:$BV$69)</f>
        <v/>
      </c>
      <c r="BL8" s="5">
        <f>SUMPRODUCT(Adds!$C$29:$BL$29,Curves!$M$23:$BV$23)+SUMPRODUCT(Adds!$C$30:$BL$30,Curves!$M$46:$BV$46)+SUMPRODUCT(Adds!$C$31:$BL$31,Curves!$M$69:$BV$69)</f>
        <v/>
      </c>
      <c r="BM8" s="5">
        <f>SUMPRODUCT(Adds!$C$29:$BM$29,Curves!$L$23:$BV$23)+SUMPRODUCT(Adds!$C$30:$BM$30,Curves!$L$46:$BV$46)+SUMPRODUCT(Adds!$C$31:$BM$31,Curves!$L$69:$BV$69)</f>
        <v/>
      </c>
      <c r="BN8" s="5">
        <f>SUMPRODUCT(Adds!$C$29:$BN$29,Curves!$K$23:$BV$23)+SUMPRODUCT(Adds!$C$30:$BN$30,Curves!$K$46:$BV$46)+SUMPRODUCT(Adds!$C$31:$BN$31,Curves!$K$69:$BV$69)</f>
        <v/>
      </c>
      <c r="BO8" s="5">
        <f>SUMPRODUCT(Adds!$C$29:$BO$29,Curves!$J$23:$BV$23)+SUMPRODUCT(Adds!$C$30:$BO$30,Curves!$J$46:$BV$46)+SUMPRODUCT(Adds!$C$31:$BO$31,Curves!$J$69:$BV$69)</f>
        <v/>
      </c>
      <c r="BP8" s="5">
        <f>SUMPRODUCT(Adds!$C$29:$BP$29,Curves!$I$23:$BV$23)+SUMPRODUCT(Adds!$C$30:$BP$30,Curves!$I$46:$BV$46)+SUMPRODUCT(Adds!$C$31:$BP$31,Curves!$I$69:$BV$69)</f>
        <v/>
      </c>
      <c r="BQ8" s="5">
        <f>SUMPRODUCT(Adds!$C$29:$BQ$29,Curves!$H$23:$BV$23)+SUMPRODUCT(Adds!$C$30:$BQ$30,Curves!$H$46:$BV$46)+SUMPRODUCT(Adds!$C$31:$BQ$31,Curves!$H$69:$BV$69)</f>
        <v/>
      </c>
      <c r="BR8" s="5">
        <f>SUMPRODUCT(Adds!$C$29:$BR$29,Curves!$G$23:$BV$23)+SUMPRODUCT(Adds!$C$30:$BR$30,Curves!$G$46:$BV$46)+SUMPRODUCT(Adds!$C$31:$BR$31,Curves!$G$69:$BV$69)</f>
        <v/>
      </c>
      <c r="BS8" s="5">
        <f>SUMPRODUCT(Adds!$C$29:$BS$29,Curves!$F$23:$BV$23)+SUMPRODUCT(Adds!$C$30:$BS$30,Curves!$F$46:$BV$46)+SUMPRODUCT(Adds!$C$31:$BS$31,Curves!$F$69:$BV$69)</f>
        <v/>
      </c>
      <c r="BT8" s="5">
        <f>SUMPRODUCT(Adds!$C$29:$BT$29,Curves!$E$23:$BV$23)+SUMPRODUCT(Adds!$C$30:$BT$30,Curves!$E$46:$BV$46)+SUMPRODUCT(Adds!$C$31:$BT$31,Curves!$E$69:$BV$69)</f>
        <v/>
      </c>
      <c r="BU8" s="5">
        <f>SUMPRODUCT(Adds!$C$29:$BU$29,Curves!$D$23:$BV$23)+SUMPRODUCT(Adds!$C$30:$BU$30,Curves!$D$46:$BV$46)+SUMPRODUCT(Adds!$C$31:$BU$31,Curves!$D$69:$BV$69)</f>
        <v/>
      </c>
      <c r="BV8" s="5">
        <f>SUMPRODUCT(Adds!$C$29:$BV$29,Curves!$C$23:$BV$23)+SUMPRODUCT(Adds!$C$30:$BV$30,Curves!$C$46:$BV$46)+SUMPRODUCT(Adds!$C$31:$BV$31,Curves!$C$69:$BV$69)</f>
        <v/>
      </c>
    </row>
    <row r="9">
      <c r="A9" t="inlineStr">
        <is>
          <t>churned</t>
        </is>
      </c>
      <c r="B9" t="inlineStr">
        <is>
          <t>US_CA|NITRO_A</t>
        </is>
      </c>
      <c r="C9" s="5">
        <f>Adds!$C$29*Curves!$BV$18+Adds!$C$30*Curves!$BV$41+Adds!$C$31*Curves!$BV$64</f>
        <v/>
      </c>
      <c r="D9" s="5">
        <f>SUMPRODUCT(Adds!$C$29:$D$29,Curves!$BU$18:$BV$18)+SUMPRODUCT(Adds!$C$30:$D$30,Curves!$BU$41:$BV$41)+SUMPRODUCT(Adds!$C$31:$D$31,Curves!$BU$64:$BV$64)</f>
        <v/>
      </c>
      <c r="E9" s="5">
        <f>SUMPRODUCT(Adds!$C$29:$E$29,Curves!$BT$18:$BV$18)+SUMPRODUCT(Adds!$C$30:$E$30,Curves!$BT$41:$BV$41)+SUMPRODUCT(Adds!$C$31:$E$31,Curves!$BT$64:$BV$64)</f>
        <v/>
      </c>
      <c r="F9" s="5">
        <f>SUMPRODUCT(Adds!$C$29:$F$29,Curves!$BS$18:$BV$18)+SUMPRODUCT(Adds!$C$30:$F$30,Curves!$BS$41:$BV$41)+SUMPRODUCT(Adds!$C$31:$F$31,Curves!$BS$64:$BV$64)</f>
        <v/>
      </c>
      <c r="G9" s="5">
        <f>SUMPRODUCT(Adds!$C$29:$G$29,Curves!$BR$18:$BV$18)+SUMPRODUCT(Adds!$C$30:$G$30,Curves!$BR$41:$BV$41)+SUMPRODUCT(Adds!$C$31:$G$31,Curves!$BR$64:$BV$64)</f>
        <v/>
      </c>
      <c r="H9" s="5">
        <f>SUMPRODUCT(Adds!$C$29:$H$29,Curves!$BQ$18:$BV$18)+SUMPRODUCT(Adds!$C$30:$H$30,Curves!$BQ$41:$BV$41)+SUMPRODUCT(Adds!$C$31:$H$31,Curves!$BQ$64:$BV$64)</f>
        <v/>
      </c>
      <c r="I9" s="5">
        <f>SUMPRODUCT(Adds!$C$29:$I$29,Curves!$BP$18:$BV$18)+SUMPRODUCT(Adds!$C$30:$I$30,Curves!$BP$41:$BV$41)+SUMPRODUCT(Adds!$C$31:$I$31,Curves!$BP$64:$BV$64)</f>
        <v/>
      </c>
      <c r="J9" s="5">
        <f>SUMPRODUCT(Adds!$C$29:$J$29,Curves!$BO$18:$BV$18)+SUMPRODUCT(Adds!$C$30:$J$30,Curves!$BO$41:$BV$41)+SUMPRODUCT(Adds!$C$31:$J$31,Curves!$BO$64:$BV$64)</f>
        <v/>
      </c>
      <c r="K9" s="5">
        <f>SUMPRODUCT(Adds!$C$29:$K$29,Curves!$BN$18:$BV$18)+SUMPRODUCT(Adds!$C$30:$K$30,Curves!$BN$41:$BV$41)+SUMPRODUCT(Adds!$C$31:$K$31,Curves!$BN$64:$BV$64)</f>
        <v/>
      </c>
      <c r="L9" s="5">
        <f>SUMPRODUCT(Adds!$C$29:$L$29,Curves!$BM$18:$BV$18)+SUMPRODUCT(Adds!$C$30:$L$30,Curves!$BM$41:$BV$41)+SUMPRODUCT(Adds!$C$31:$L$31,Curves!$BM$64:$BV$64)</f>
        <v/>
      </c>
      <c r="M9" s="5">
        <f>SUMPRODUCT(Adds!$C$29:$M$29,Curves!$BL$18:$BV$18)+SUMPRODUCT(Adds!$C$30:$M$30,Curves!$BL$41:$BV$41)+SUMPRODUCT(Adds!$C$31:$M$31,Curves!$BL$64:$BV$64)</f>
        <v/>
      </c>
      <c r="N9" s="5">
        <f>SUMPRODUCT(Adds!$C$29:$N$29,Curves!$BK$18:$BV$18)+SUMPRODUCT(Adds!$C$30:$N$30,Curves!$BK$41:$BV$41)+SUMPRODUCT(Adds!$C$31:$N$31,Curves!$BK$64:$BV$64)</f>
        <v/>
      </c>
      <c r="O9" s="5">
        <f>SUMPRODUCT(Adds!$C$29:$O$29,Curves!$BJ$18:$BV$18)+SUMPRODUCT(Adds!$C$30:$O$30,Curves!$BJ$41:$BV$41)+SUMPRODUCT(Adds!$C$31:$O$31,Curves!$BJ$64:$BV$64)</f>
        <v/>
      </c>
      <c r="P9" s="5">
        <f>SUMPRODUCT(Adds!$C$29:$P$29,Curves!$BI$18:$BV$18)+SUMPRODUCT(Adds!$C$30:$P$30,Curves!$BI$41:$BV$41)+SUMPRODUCT(Adds!$C$31:$P$31,Curves!$BI$64:$BV$64)</f>
        <v/>
      </c>
      <c r="Q9" s="5">
        <f>SUMPRODUCT(Adds!$C$29:$Q$29,Curves!$BH$18:$BV$18)+SUMPRODUCT(Adds!$C$30:$Q$30,Curves!$BH$41:$BV$41)+SUMPRODUCT(Adds!$C$31:$Q$31,Curves!$BH$64:$BV$64)</f>
        <v/>
      </c>
      <c r="R9" s="5">
        <f>SUMPRODUCT(Adds!$C$29:$R$29,Curves!$BG$18:$BV$18)+SUMPRODUCT(Adds!$C$30:$R$30,Curves!$BG$41:$BV$41)+SUMPRODUCT(Adds!$C$31:$R$31,Curves!$BG$64:$BV$64)</f>
        <v/>
      </c>
      <c r="S9" s="5">
        <f>SUMPRODUCT(Adds!$C$29:$S$29,Curves!$BF$18:$BV$18)+SUMPRODUCT(Adds!$C$30:$S$30,Curves!$BF$41:$BV$41)+SUMPRODUCT(Adds!$C$31:$S$31,Curves!$BF$64:$BV$64)</f>
        <v/>
      </c>
      <c r="T9" s="5">
        <f>SUMPRODUCT(Adds!$C$29:$T$29,Curves!$BE$18:$BV$18)+SUMPRODUCT(Adds!$C$30:$T$30,Curves!$BE$41:$BV$41)+SUMPRODUCT(Adds!$C$31:$T$31,Curves!$BE$64:$BV$64)</f>
        <v/>
      </c>
      <c r="U9" s="5">
        <f>SUMPRODUCT(Adds!$C$29:$U$29,Curves!$BD$18:$BV$18)+SUMPRODUCT(Adds!$C$30:$U$30,Curves!$BD$41:$BV$41)+SUMPRODUCT(Adds!$C$31:$U$31,Curves!$BD$64:$BV$64)</f>
        <v/>
      </c>
      <c r="V9" s="5">
        <f>SUMPRODUCT(Adds!$C$29:$V$29,Curves!$BC$18:$BV$18)+SUMPRODUCT(Adds!$C$30:$V$30,Curves!$BC$41:$BV$41)+SUMPRODUCT(Adds!$C$31:$V$31,Curves!$BC$64:$BV$64)</f>
        <v/>
      </c>
      <c r="W9" s="5">
        <f>SUMPRODUCT(Adds!$C$29:$W$29,Curves!$BB$18:$BV$18)+SUMPRODUCT(Adds!$C$30:$W$30,Curves!$BB$41:$BV$41)+SUMPRODUCT(Adds!$C$31:$W$31,Curves!$BB$64:$BV$64)</f>
        <v/>
      </c>
      <c r="X9" s="5">
        <f>SUMPRODUCT(Adds!$C$29:$X$29,Curves!$BA$18:$BV$18)+SUMPRODUCT(Adds!$C$30:$X$30,Curves!$BA$41:$BV$41)+SUMPRODUCT(Adds!$C$31:$X$31,Curves!$BA$64:$BV$64)</f>
        <v/>
      </c>
      <c r="Y9" s="5">
        <f>SUMPRODUCT(Adds!$C$29:$Y$29,Curves!$AZ$18:$BV$18)+SUMPRODUCT(Adds!$C$30:$Y$30,Curves!$AZ$41:$BV$41)+SUMPRODUCT(Adds!$C$31:$Y$31,Curves!$AZ$64:$BV$64)</f>
        <v/>
      </c>
      <c r="Z9" s="5">
        <f>SUMPRODUCT(Adds!$C$29:$Z$29,Curves!$AY$18:$BV$18)+SUMPRODUCT(Adds!$C$30:$Z$30,Curves!$AY$41:$BV$41)+SUMPRODUCT(Adds!$C$31:$Z$31,Curves!$AY$64:$BV$64)</f>
        <v/>
      </c>
      <c r="AA9" s="5">
        <f>SUMPRODUCT(Adds!$C$29:$AA$29,Curves!$AX$18:$BV$18)+SUMPRODUCT(Adds!$C$30:$AA$30,Curves!$AX$41:$BV$41)+SUMPRODUCT(Adds!$C$31:$AA$31,Curves!$AX$64:$BV$64)</f>
        <v/>
      </c>
      <c r="AB9" s="5">
        <f>SUMPRODUCT(Adds!$C$29:$AB$29,Curves!$AW$18:$BV$18)+SUMPRODUCT(Adds!$C$30:$AB$30,Curves!$AW$41:$BV$41)+SUMPRODUCT(Adds!$C$31:$AB$31,Curves!$AW$64:$BV$64)</f>
        <v/>
      </c>
      <c r="AC9" s="5">
        <f>SUMPRODUCT(Adds!$C$29:$AC$29,Curves!$AV$18:$BV$18)+SUMPRODUCT(Adds!$C$30:$AC$30,Curves!$AV$41:$BV$41)+SUMPRODUCT(Adds!$C$31:$AC$31,Curves!$AV$64:$BV$64)</f>
        <v/>
      </c>
      <c r="AD9" s="5">
        <f>SUMPRODUCT(Adds!$C$29:$AD$29,Curves!$AU$18:$BV$18)+SUMPRODUCT(Adds!$C$30:$AD$30,Curves!$AU$41:$BV$41)+SUMPRODUCT(Adds!$C$31:$AD$31,Curves!$AU$64:$BV$64)</f>
        <v/>
      </c>
      <c r="AE9" s="5">
        <f>SUMPRODUCT(Adds!$C$29:$AE$29,Curves!$AT$18:$BV$18)+SUMPRODUCT(Adds!$C$30:$AE$30,Curves!$AT$41:$BV$41)+SUMPRODUCT(Adds!$C$31:$AE$31,Curves!$AT$64:$BV$64)</f>
        <v/>
      </c>
      <c r="AF9" s="5">
        <f>SUMPRODUCT(Adds!$C$29:$AF$29,Curves!$AS$18:$BV$18)+SUMPRODUCT(Adds!$C$30:$AF$30,Curves!$AS$41:$BV$41)+SUMPRODUCT(Adds!$C$31:$AF$31,Curves!$AS$64:$BV$64)</f>
        <v/>
      </c>
      <c r="AG9" s="5">
        <f>SUMPRODUCT(Adds!$C$29:$AG$29,Curves!$AR$18:$BV$18)+SUMPRODUCT(Adds!$C$30:$AG$30,Curves!$AR$41:$BV$41)+SUMPRODUCT(Adds!$C$31:$AG$31,Curves!$AR$64:$BV$64)</f>
        <v/>
      </c>
      <c r="AH9" s="5">
        <f>SUMPRODUCT(Adds!$C$29:$AH$29,Curves!$AQ$18:$BV$18)+SUMPRODUCT(Adds!$C$30:$AH$30,Curves!$AQ$41:$BV$41)+SUMPRODUCT(Adds!$C$31:$AH$31,Curves!$AQ$64:$BV$64)</f>
        <v/>
      </c>
      <c r="AI9" s="5">
        <f>SUMPRODUCT(Adds!$C$29:$AI$29,Curves!$AP$18:$BV$18)+SUMPRODUCT(Adds!$C$30:$AI$30,Curves!$AP$41:$BV$41)+SUMPRODUCT(Adds!$C$31:$AI$31,Curves!$AP$64:$BV$64)</f>
        <v/>
      </c>
      <c r="AJ9" s="5">
        <f>SUMPRODUCT(Adds!$C$29:$AJ$29,Curves!$AO$18:$BV$18)+SUMPRODUCT(Adds!$C$30:$AJ$30,Curves!$AO$41:$BV$41)+SUMPRODUCT(Adds!$C$31:$AJ$31,Curves!$AO$64:$BV$64)</f>
        <v/>
      </c>
      <c r="AK9" s="5">
        <f>SUMPRODUCT(Adds!$C$29:$AK$29,Curves!$AN$18:$BV$18)+SUMPRODUCT(Adds!$C$30:$AK$30,Curves!$AN$41:$BV$41)+SUMPRODUCT(Adds!$C$31:$AK$31,Curves!$AN$64:$BV$64)</f>
        <v/>
      </c>
      <c r="AL9" s="5">
        <f>SUMPRODUCT(Adds!$C$29:$AL$29,Curves!$AM$18:$BV$18)+SUMPRODUCT(Adds!$C$30:$AL$30,Curves!$AM$41:$BV$41)+SUMPRODUCT(Adds!$C$31:$AL$31,Curves!$AM$64:$BV$64)</f>
        <v/>
      </c>
      <c r="AM9" s="5">
        <f>SUMPRODUCT(Adds!$C$29:$AM$29,Curves!$AL$18:$BV$18)+SUMPRODUCT(Adds!$C$30:$AM$30,Curves!$AL$41:$BV$41)+SUMPRODUCT(Adds!$C$31:$AM$31,Curves!$AL$64:$BV$64)</f>
        <v/>
      </c>
      <c r="AN9" s="5">
        <f>SUMPRODUCT(Adds!$C$29:$AN$29,Curves!$AK$18:$BV$18)+SUMPRODUCT(Adds!$C$30:$AN$30,Curves!$AK$41:$BV$41)+SUMPRODUCT(Adds!$C$31:$AN$31,Curves!$AK$64:$BV$64)</f>
        <v/>
      </c>
      <c r="AO9" s="5">
        <f>SUMPRODUCT(Adds!$C$29:$AO$29,Curves!$AJ$18:$BV$18)+SUMPRODUCT(Adds!$C$30:$AO$30,Curves!$AJ$41:$BV$41)+SUMPRODUCT(Adds!$C$31:$AO$31,Curves!$AJ$64:$BV$64)</f>
        <v/>
      </c>
      <c r="AP9" s="5">
        <f>SUMPRODUCT(Adds!$C$29:$AP$29,Curves!$AI$18:$BV$18)+SUMPRODUCT(Adds!$C$30:$AP$30,Curves!$AI$41:$BV$41)+SUMPRODUCT(Adds!$C$31:$AP$31,Curves!$AI$64:$BV$64)</f>
        <v/>
      </c>
      <c r="AQ9" s="5">
        <f>SUMPRODUCT(Adds!$C$29:$AQ$29,Curves!$AH$18:$BV$18)+SUMPRODUCT(Adds!$C$30:$AQ$30,Curves!$AH$41:$BV$41)+SUMPRODUCT(Adds!$C$31:$AQ$31,Curves!$AH$64:$BV$64)</f>
        <v/>
      </c>
      <c r="AR9" s="5">
        <f>SUMPRODUCT(Adds!$C$29:$AR$29,Curves!$AG$18:$BV$18)+SUMPRODUCT(Adds!$C$30:$AR$30,Curves!$AG$41:$BV$41)+SUMPRODUCT(Adds!$C$31:$AR$31,Curves!$AG$64:$BV$64)</f>
        <v/>
      </c>
      <c r="AS9" s="5">
        <f>SUMPRODUCT(Adds!$C$29:$AS$29,Curves!$AF$18:$BV$18)+SUMPRODUCT(Adds!$C$30:$AS$30,Curves!$AF$41:$BV$41)+SUMPRODUCT(Adds!$C$31:$AS$31,Curves!$AF$64:$BV$64)</f>
        <v/>
      </c>
      <c r="AT9" s="5">
        <f>SUMPRODUCT(Adds!$C$29:$AT$29,Curves!$AE$18:$BV$18)+SUMPRODUCT(Adds!$C$30:$AT$30,Curves!$AE$41:$BV$41)+SUMPRODUCT(Adds!$C$31:$AT$31,Curves!$AE$64:$BV$64)</f>
        <v/>
      </c>
      <c r="AU9" s="5">
        <f>SUMPRODUCT(Adds!$C$29:$AU$29,Curves!$AD$18:$BV$18)+SUMPRODUCT(Adds!$C$30:$AU$30,Curves!$AD$41:$BV$41)+SUMPRODUCT(Adds!$C$31:$AU$31,Curves!$AD$64:$BV$64)</f>
        <v/>
      </c>
      <c r="AV9" s="5">
        <f>SUMPRODUCT(Adds!$C$29:$AV$29,Curves!$AC$18:$BV$18)+SUMPRODUCT(Adds!$C$30:$AV$30,Curves!$AC$41:$BV$41)+SUMPRODUCT(Adds!$C$31:$AV$31,Curves!$AC$64:$BV$64)</f>
        <v/>
      </c>
      <c r="AW9" s="5">
        <f>SUMPRODUCT(Adds!$C$29:$AW$29,Curves!$AB$18:$BV$18)+SUMPRODUCT(Adds!$C$30:$AW$30,Curves!$AB$41:$BV$41)+SUMPRODUCT(Adds!$C$31:$AW$31,Curves!$AB$64:$BV$64)</f>
        <v/>
      </c>
      <c r="AX9" s="5">
        <f>SUMPRODUCT(Adds!$C$29:$AX$29,Curves!$AA$18:$BV$18)+SUMPRODUCT(Adds!$C$30:$AX$30,Curves!$AA$41:$BV$41)+SUMPRODUCT(Adds!$C$31:$AX$31,Curves!$AA$64:$BV$64)</f>
        <v/>
      </c>
      <c r="AY9" s="5">
        <f>SUMPRODUCT(Adds!$C$29:$AY$29,Curves!$Z$18:$BV$18)+SUMPRODUCT(Adds!$C$30:$AY$30,Curves!$Z$41:$BV$41)+SUMPRODUCT(Adds!$C$31:$AY$31,Curves!$Z$64:$BV$64)</f>
        <v/>
      </c>
      <c r="AZ9" s="5">
        <f>SUMPRODUCT(Adds!$C$29:$AZ$29,Curves!$Y$18:$BV$18)+SUMPRODUCT(Adds!$C$30:$AZ$30,Curves!$Y$41:$BV$41)+SUMPRODUCT(Adds!$C$31:$AZ$31,Curves!$Y$64:$BV$64)</f>
        <v/>
      </c>
      <c r="BA9" s="5">
        <f>SUMPRODUCT(Adds!$C$29:$BA$29,Curves!$X$18:$BV$18)+SUMPRODUCT(Adds!$C$30:$BA$30,Curves!$X$41:$BV$41)+SUMPRODUCT(Adds!$C$31:$BA$31,Curves!$X$64:$BV$64)</f>
        <v/>
      </c>
      <c r="BB9" s="5">
        <f>SUMPRODUCT(Adds!$C$29:$BB$29,Curves!$W$18:$BV$18)+SUMPRODUCT(Adds!$C$30:$BB$30,Curves!$W$41:$BV$41)+SUMPRODUCT(Adds!$C$31:$BB$31,Curves!$W$64:$BV$64)</f>
        <v/>
      </c>
      <c r="BC9" s="5">
        <f>SUMPRODUCT(Adds!$C$29:$BC$29,Curves!$V$18:$BV$18)+SUMPRODUCT(Adds!$C$30:$BC$30,Curves!$V$41:$BV$41)+SUMPRODUCT(Adds!$C$31:$BC$31,Curves!$V$64:$BV$64)</f>
        <v/>
      </c>
      <c r="BD9" s="5">
        <f>SUMPRODUCT(Adds!$C$29:$BD$29,Curves!$U$18:$BV$18)+SUMPRODUCT(Adds!$C$30:$BD$30,Curves!$U$41:$BV$41)+SUMPRODUCT(Adds!$C$31:$BD$31,Curves!$U$64:$BV$64)</f>
        <v/>
      </c>
      <c r="BE9" s="5">
        <f>SUMPRODUCT(Adds!$C$29:$BE$29,Curves!$T$18:$BV$18)+SUMPRODUCT(Adds!$C$30:$BE$30,Curves!$T$41:$BV$41)+SUMPRODUCT(Adds!$C$31:$BE$31,Curves!$T$64:$BV$64)</f>
        <v/>
      </c>
      <c r="BF9" s="5">
        <f>SUMPRODUCT(Adds!$C$29:$BF$29,Curves!$S$18:$BV$18)+SUMPRODUCT(Adds!$C$30:$BF$30,Curves!$S$41:$BV$41)+SUMPRODUCT(Adds!$C$31:$BF$31,Curves!$S$64:$BV$64)</f>
        <v/>
      </c>
      <c r="BG9" s="5">
        <f>SUMPRODUCT(Adds!$C$29:$BG$29,Curves!$R$18:$BV$18)+SUMPRODUCT(Adds!$C$30:$BG$30,Curves!$R$41:$BV$41)+SUMPRODUCT(Adds!$C$31:$BG$31,Curves!$R$64:$BV$64)</f>
        <v/>
      </c>
      <c r="BH9" s="5">
        <f>SUMPRODUCT(Adds!$C$29:$BH$29,Curves!$Q$18:$BV$18)+SUMPRODUCT(Adds!$C$30:$BH$30,Curves!$Q$41:$BV$41)+SUMPRODUCT(Adds!$C$31:$BH$31,Curves!$Q$64:$BV$64)</f>
        <v/>
      </c>
      <c r="BI9" s="5">
        <f>SUMPRODUCT(Adds!$C$29:$BI$29,Curves!$P$18:$BV$18)+SUMPRODUCT(Adds!$C$30:$BI$30,Curves!$P$41:$BV$41)+SUMPRODUCT(Adds!$C$31:$BI$31,Curves!$P$64:$BV$64)</f>
        <v/>
      </c>
      <c r="BJ9" s="5">
        <f>SUMPRODUCT(Adds!$C$29:$BJ$29,Curves!$O$18:$BV$18)+SUMPRODUCT(Adds!$C$30:$BJ$30,Curves!$O$41:$BV$41)+SUMPRODUCT(Adds!$C$31:$BJ$31,Curves!$O$64:$BV$64)</f>
        <v/>
      </c>
      <c r="BK9" s="5">
        <f>SUMPRODUCT(Adds!$C$29:$BK$29,Curves!$N$18:$BV$18)+SUMPRODUCT(Adds!$C$30:$BK$30,Curves!$N$41:$BV$41)+SUMPRODUCT(Adds!$C$31:$BK$31,Curves!$N$64:$BV$64)</f>
        <v/>
      </c>
      <c r="BL9" s="5">
        <f>SUMPRODUCT(Adds!$C$29:$BL$29,Curves!$M$18:$BV$18)+SUMPRODUCT(Adds!$C$30:$BL$30,Curves!$M$41:$BV$41)+SUMPRODUCT(Adds!$C$31:$BL$31,Curves!$M$64:$BV$64)</f>
        <v/>
      </c>
      <c r="BM9" s="5">
        <f>SUMPRODUCT(Adds!$C$29:$BM$29,Curves!$L$18:$BV$18)+SUMPRODUCT(Adds!$C$30:$BM$30,Curves!$L$41:$BV$41)+SUMPRODUCT(Adds!$C$31:$BM$31,Curves!$L$64:$BV$64)</f>
        <v/>
      </c>
      <c r="BN9" s="5">
        <f>SUMPRODUCT(Adds!$C$29:$BN$29,Curves!$K$18:$BV$18)+SUMPRODUCT(Adds!$C$30:$BN$30,Curves!$K$41:$BV$41)+SUMPRODUCT(Adds!$C$31:$BN$31,Curves!$K$64:$BV$64)</f>
        <v/>
      </c>
      <c r="BO9" s="5">
        <f>SUMPRODUCT(Adds!$C$29:$BO$29,Curves!$J$18:$BV$18)+SUMPRODUCT(Adds!$C$30:$BO$30,Curves!$J$41:$BV$41)+SUMPRODUCT(Adds!$C$31:$BO$31,Curves!$J$64:$BV$64)</f>
        <v/>
      </c>
      <c r="BP9" s="5">
        <f>SUMPRODUCT(Adds!$C$29:$BP$29,Curves!$I$18:$BV$18)+SUMPRODUCT(Adds!$C$30:$BP$30,Curves!$I$41:$BV$41)+SUMPRODUCT(Adds!$C$31:$BP$31,Curves!$I$64:$BV$64)</f>
        <v/>
      </c>
      <c r="BQ9" s="5">
        <f>SUMPRODUCT(Adds!$C$29:$BQ$29,Curves!$H$18:$BV$18)+SUMPRODUCT(Adds!$C$30:$BQ$30,Curves!$H$41:$BV$41)+SUMPRODUCT(Adds!$C$31:$BQ$31,Curves!$H$64:$BV$64)</f>
        <v/>
      </c>
      <c r="BR9" s="5">
        <f>SUMPRODUCT(Adds!$C$29:$BR$29,Curves!$G$18:$BV$18)+SUMPRODUCT(Adds!$C$30:$BR$30,Curves!$G$41:$BV$41)+SUMPRODUCT(Adds!$C$31:$BR$31,Curves!$G$64:$BV$64)</f>
        <v/>
      </c>
      <c r="BS9" s="5">
        <f>SUMPRODUCT(Adds!$C$29:$BS$29,Curves!$F$18:$BV$18)+SUMPRODUCT(Adds!$C$30:$BS$30,Curves!$F$41:$BV$41)+SUMPRODUCT(Adds!$C$31:$BS$31,Curves!$F$64:$BV$64)</f>
        <v/>
      </c>
      <c r="BT9" s="5">
        <f>SUMPRODUCT(Adds!$C$29:$BT$29,Curves!$E$18:$BV$18)+SUMPRODUCT(Adds!$C$30:$BT$30,Curves!$E$41:$BV$41)+SUMPRODUCT(Adds!$C$31:$BT$31,Curves!$E$64:$BV$64)</f>
        <v/>
      </c>
      <c r="BU9" s="5">
        <f>SUMPRODUCT(Adds!$C$29:$BU$29,Curves!$D$18:$BV$18)+SUMPRODUCT(Adds!$C$30:$BU$30,Curves!$D$41:$BV$41)+SUMPRODUCT(Adds!$C$31:$BU$31,Curves!$D$64:$BV$64)</f>
        <v/>
      </c>
      <c r="BV9" s="5">
        <f>SUMPRODUCT(Adds!$C$29:$BV$29,Curves!$C$18:$BV$18)+SUMPRODUCT(Adds!$C$30:$BV$30,Curves!$C$41:$BV$41)+SUMPRODUCT(Adds!$C$31:$BV$31,Curves!$C$64:$BV$64)</f>
        <v/>
      </c>
    </row>
    <row r="11">
      <c r="A11" t="inlineStr">
        <is>
          <t>active</t>
        </is>
      </c>
      <c r="B11" t="inlineStr">
        <is>
          <t>US_CA|BASIC_M</t>
        </is>
      </c>
      <c r="C11" s="5">
        <f>Adds!$C$44*Curves!$BV$15+Adds!$C$45*Curves!$BV$38+Adds!$C$46*Curves!$BV$61</f>
        <v/>
      </c>
      <c r="D11" s="5">
        <f>SUMPRODUCT(Adds!$C$44:$D$44,Curves!$BU$15:$BV$15)+SUMPRODUCT(Adds!$C$45:$D$45,Curves!$BU$38:$BV$38)+SUMPRODUCT(Adds!$C$46:$D$46,Curves!$BU$61:$BV$61)</f>
        <v/>
      </c>
      <c r="E11" s="5">
        <f>SUMPRODUCT(Adds!$C$44:$E$44,Curves!$BT$15:$BV$15)+SUMPRODUCT(Adds!$C$45:$E$45,Curves!$BT$38:$BV$38)+SUMPRODUCT(Adds!$C$46:$E$46,Curves!$BT$61:$BV$61)</f>
        <v/>
      </c>
      <c r="F11" s="5">
        <f>SUMPRODUCT(Adds!$C$44:$F$44,Curves!$BS$15:$BV$15)+SUMPRODUCT(Adds!$C$45:$F$45,Curves!$BS$38:$BV$38)+SUMPRODUCT(Adds!$C$46:$F$46,Curves!$BS$61:$BV$61)</f>
        <v/>
      </c>
      <c r="G11" s="5">
        <f>SUMPRODUCT(Adds!$C$44:$G$44,Curves!$BR$15:$BV$15)+SUMPRODUCT(Adds!$C$45:$G$45,Curves!$BR$38:$BV$38)+SUMPRODUCT(Adds!$C$46:$G$46,Curves!$BR$61:$BV$61)</f>
        <v/>
      </c>
      <c r="H11" s="5">
        <f>SUMPRODUCT(Adds!$C$44:$H$44,Curves!$BQ$15:$BV$15)+SUMPRODUCT(Adds!$C$45:$H$45,Curves!$BQ$38:$BV$38)+SUMPRODUCT(Adds!$C$46:$H$46,Curves!$BQ$61:$BV$61)</f>
        <v/>
      </c>
      <c r="I11" s="5">
        <f>SUMPRODUCT(Adds!$C$44:$I$44,Curves!$BP$15:$BV$15)+SUMPRODUCT(Adds!$C$45:$I$45,Curves!$BP$38:$BV$38)+SUMPRODUCT(Adds!$C$46:$I$46,Curves!$BP$61:$BV$61)</f>
        <v/>
      </c>
      <c r="J11" s="5">
        <f>SUMPRODUCT(Adds!$C$44:$J$44,Curves!$BO$15:$BV$15)+SUMPRODUCT(Adds!$C$45:$J$45,Curves!$BO$38:$BV$38)+SUMPRODUCT(Adds!$C$46:$J$46,Curves!$BO$61:$BV$61)</f>
        <v/>
      </c>
      <c r="K11" s="5">
        <f>SUMPRODUCT(Adds!$C$44:$K$44,Curves!$BN$15:$BV$15)+SUMPRODUCT(Adds!$C$45:$K$45,Curves!$BN$38:$BV$38)+SUMPRODUCT(Adds!$C$46:$K$46,Curves!$BN$61:$BV$61)</f>
        <v/>
      </c>
      <c r="L11" s="5">
        <f>SUMPRODUCT(Adds!$C$44:$L$44,Curves!$BM$15:$BV$15)+SUMPRODUCT(Adds!$C$45:$L$45,Curves!$BM$38:$BV$38)+SUMPRODUCT(Adds!$C$46:$L$46,Curves!$BM$61:$BV$61)</f>
        <v/>
      </c>
      <c r="M11" s="5">
        <f>SUMPRODUCT(Adds!$C$44:$M$44,Curves!$BL$15:$BV$15)+SUMPRODUCT(Adds!$C$45:$M$45,Curves!$BL$38:$BV$38)+SUMPRODUCT(Adds!$C$46:$M$46,Curves!$BL$61:$BV$61)</f>
        <v/>
      </c>
      <c r="N11" s="5">
        <f>SUMPRODUCT(Adds!$C$44:$N$44,Curves!$BK$15:$BV$15)+SUMPRODUCT(Adds!$C$45:$N$45,Curves!$BK$38:$BV$38)+SUMPRODUCT(Adds!$C$46:$N$46,Curves!$BK$61:$BV$61)</f>
        <v/>
      </c>
      <c r="O11" s="5">
        <f>SUMPRODUCT(Adds!$C$44:$O$44,Curves!$BJ$15:$BV$15)+SUMPRODUCT(Adds!$C$45:$O$45,Curves!$BJ$38:$BV$38)+SUMPRODUCT(Adds!$C$46:$O$46,Curves!$BJ$61:$BV$61)</f>
        <v/>
      </c>
      <c r="P11" s="5">
        <f>SUMPRODUCT(Adds!$C$44:$P$44,Curves!$BI$15:$BV$15)+SUMPRODUCT(Adds!$C$45:$P$45,Curves!$BI$38:$BV$38)+SUMPRODUCT(Adds!$C$46:$P$46,Curves!$BI$61:$BV$61)</f>
        <v/>
      </c>
      <c r="Q11" s="5">
        <f>SUMPRODUCT(Adds!$C$44:$Q$44,Curves!$BH$15:$BV$15)+SUMPRODUCT(Adds!$C$45:$Q$45,Curves!$BH$38:$BV$38)+SUMPRODUCT(Adds!$C$46:$Q$46,Curves!$BH$61:$BV$61)</f>
        <v/>
      </c>
      <c r="R11" s="5">
        <f>SUMPRODUCT(Adds!$C$44:$R$44,Curves!$BG$15:$BV$15)+SUMPRODUCT(Adds!$C$45:$R$45,Curves!$BG$38:$BV$38)+SUMPRODUCT(Adds!$C$46:$R$46,Curves!$BG$61:$BV$61)</f>
        <v/>
      </c>
      <c r="S11" s="5">
        <f>SUMPRODUCT(Adds!$C$44:$S$44,Curves!$BF$15:$BV$15)+SUMPRODUCT(Adds!$C$45:$S$45,Curves!$BF$38:$BV$38)+SUMPRODUCT(Adds!$C$46:$S$46,Curves!$BF$61:$BV$61)</f>
        <v/>
      </c>
      <c r="T11" s="5">
        <f>SUMPRODUCT(Adds!$C$44:$T$44,Curves!$BE$15:$BV$15)+SUMPRODUCT(Adds!$C$45:$T$45,Curves!$BE$38:$BV$38)+SUMPRODUCT(Adds!$C$46:$T$46,Curves!$BE$61:$BV$61)</f>
        <v/>
      </c>
      <c r="U11" s="5">
        <f>SUMPRODUCT(Adds!$C$44:$U$44,Curves!$BD$15:$BV$15)+SUMPRODUCT(Adds!$C$45:$U$45,Curves!$BD$38:$BV$38)+SUMPRODUCT(Adds!$C$46:$U$46,Curves!$BD$61:$BV$61)</f>
        <v/>
      </c>
      <c r="V11" s="5">
        <f>SUMPRODUCT(Adds!$C$44:$V$44,Curves!$BC$15:$BV$15)+SUMPRODUCT(Adds!$C$45:$V$45,Curves!$BC$38:$BV$38)+SUMPRODUCT(Adds!$C$46:$V$46,Curves!$BC$61:$BV$61)</f>
        <v/>
      </c>
      <c r="W11" s="5">
        <f>SUMPRODUCT(Adds!$C$44:$W$44,Curves!$BB$15:$BV$15)+SUMPRODUCT(Adds!$C$45:$W$45,Curves!$BB$38:$BV$38)+SUMPRODUCT(Adds!$C$46:$W$46,Curves!$BB$61:$BV$61)</f>
        <v/>
      </c>
      <c r="X11" s="5">
        <f>SUMPRODUCT(Adds!$C$44:$X$44,Curves!$BA$15:$BV$15)+SUMPRODUCT(Adds!$C$45:$X$45,Curves!$BA$38:$BV$38)+SUMPRODUCT(Adds!$C$46:$X$46,Curves!$BA$61:$BV$61)</f>
        <v/>
      </c>
      <c r="Y11" s="5">
        <f>SUMPRODUCT(Adds!$C$44:$Y$44,Curves!$AZ$15:$BV$15)+SUMPRODUCT(Adds!$C$45:$Y$45,Curves!$AZ$38:$BV$38)+SUMPRODUCT(Adds!$C$46:$Y$46,Curves!$AZ$61:$BV$61)</f>
        <v/>
      </c>
      <c r="Z11" s="5">
        <f>SUMPRODUCT(Adds!$C$44:$Z$44,Curves!$AY$15:$BV$15)+SUMPRODUCT(Adds!$C$45:$Z$45,Curves!$AY$38:$BV$38)+SUMPRODUCT(Adds!$C$46:$Z$46,Curves!$AY$61:$BV$61)</f>
        <v/>
      </c>
      <c r="AA11" s="5">
        <f>SUMPRODUCT(Adds!$C$44:$AA$44,Curves!$AX$15:$BV$15)+SUMPRODUCT(Adds!$C$45:$AA$45,Curves!$AX$38:$BV$38)+SUMPRODUCT(Adds!$C$46:$AA$46,Curves!$AX$61:$BV$61)</f>
        <v/>
      </c>
      <c r="AB11" s="5">
        <f>SUMPRODUCT(Adds!$C$44:$AB$44,Curves!$AW$15:$BV$15)+SUMPRODUCT(Adds!$C$45:$AB$45,Curves!$AW$38:$BV$38)+SUMPRODUCT(Adds!$C$46:$AB$46,Curves!$AW$61:$BV$61)</f>
        <v/>
      </c>
      <c r="AC11" s="5">
        <f>SUMPRODUCT(Adds!$C$44:$AC$44,Curves!$AV$15:$BV$15)+SUMPRODUCT(Adds!$C$45:$AC$45,Curves!$AV$38:$BV$38)+SUMPRODUCT(Adds!$C$46:$AC$46,Curves!$AV$61:$BV$61)</f>
        <v/>
      </c>
      <c r="AD11" s="5">
        <f>SUMPRODUCT(Adds!$C$44:$AD$44,Curves!$AU$15:$BV$15)+SUMPRODUCT(Adds!$C$45:$AD$45,Curves!$AU$38:$BV$38)+SUMPRODUCT(Adds!$C$46:$AD$46,Curves!$AU$61:$BV$61)</f>
        <v/>
      </c>
      <c r="AE11" s="5">
        <f>SUMPRODUCT(Adds!$C$44:$AE$44,Curves!$AT$15:$BV$15)+SUMPRODUCT(Adds!$C$45:$AE$45,Curves!$AT$38:$BV$38)+SUMPRODUCT(Adds!$C$46:$AE$46,Curves!$AT$61:$BV$61)</f>
        <v/>
      </c>
      <c r="AF11" s="5">
        <f>SUMPRODUCT(Adds!$C$44:$AF$44,Curves!$AS$15:$BV$15)+SUMPRODUCT(Adds!$C$45:$AF$45,Curves!$AS$38:$BV$38)+SUMPRODUCT(Adds!$C$46:$AF$46,Curves!$AS$61:$BV$61)</f>
        <v/>
      </c>
      <c r="AG11" s="5">
        <f>SUMPRODUCT(Adds!$C$44:$AG$44,Curves!$AR$15:$BV$15)+SUMPRODUCT(Adds!$C$45:$AG$45,Curves!$AR$38:$BV$38)+SUMPRODUCT(Adds!$C$46:$AG$46,Curves!$AR$61:$BV$61)</f>
        <v/>
      </c>
      <c r="AH11" s="5">
        <f>SUMPRODUCT(Adds!$C$44:$AH$44,Curves!$AQ$15:$BV$15)+SUMPRODUCT(Adds!$C$45:$AH$45,Curves!$AQ$38:$BV$38)+SUMPRODUCT(Adds!$C$46:$AH$46,Curves!$AQ$61:$BV$61)</f>
        <v/>
      </c>
      <c r="AI11" s="5">
        <f>SUMPRODUCT(Adds!$C$44:$AI$44,Curves!$AP$15:$BV$15)+SUMPRODUCT(Adds!$C$45:$AI$45,Curves!$AP$38:$BV$38)+SUMPRODUCT(Adds!$C$46:$AI$46,Curves!$AP$61:$BV$61)</f>
        <v/>
      </c>
      <c r="AJ11" s="5">
        <f>SUMPRODUCT(Adds!$C$44:$AJ$44,Curves!$AO$15:$BV$15)+SUMPRODUCT(Adds!$C$45:$AJ$45,Curves!$AO$38:$BV$38)+SUMPRODUCT(Adds!$C$46:$AJ$46,Curves!$AO$61:$BV$61)</f>
        <v/>
      </c>
      <c r="AK11" s="5">
        <f>SUMPRODUCT(Adds!$C$44:$AK$44,Curves!$AN$15:$BV$15)+SUMPRODUCT(Adds!$C$45:$AK$45,Curves!$AN$38:$BV$38)+SUMPRODUCT(Adds!$C$46:$AK$46,Curves!$AN$61:$BV$61)</f>
        <v/>
      </c>
      <c r="AL11" s="5">
        <f>SUMPRODUCT(Adds!$C$44:$AL$44,Curves!$AM$15:$BV$15)+SUMPRODUCT(Adds!$C$45:$AL$45,Curves!$AM$38:$BV$38)+SUMPRODUCT(Adds!$C$46:$AL$46,Curves!$AM$61:$BV$61)</f>
        <v/>
      </c>
      <c r="AM11" s="5">
        <f>SUMPRODUCT(Adds!$C$44:$AM$44,Curves!$AL$15:$BV$15)+SUMPRODUCT(Adds!$C$45:$AM$45,Curves!$AL$38:$BV$38)+SUMPRODUCT(Adds!$C$46:$AM$46,Curves!$AL$61:$BV$61)</f>
        <v/>
      </c>
      <c r="AN11" s="5">
        <f>SUMPRODUCT(Adds!$C$44:$AN$44,Curves!$AK$15:$BV$15)+SUMPRODUCT(Adds!$C$45:$AN$45,Curves!$AK$38:$BV$38)+SUMPRODUCT(Adds!$C$46:$AN$46,Curves!$AK$61:$BV$61)</f>
        <v/>
      </c>
      <c r="AO11" s="5">
        <f>SUMPRODUCT(Adds!$C$44:$AO$44,Curves!$AJ$15:$BV$15)+SUMPRODUCT(Adds!$C$45:$AO$45,Curves!$AJ$38:$BV$38)+SUMPRODUCT(Adds!$C$46:$AO$46,Curves!$AJ$61:$BV$61)</f>
        <v/>
      </c>
      <c r="AP11" s="5">
        <f>SUMPRODUCT(Adds!$C$44:$AP$44,Curves!$AI$15:$BV$15)+SUMPRODUCT(Adds!$C$45:$AP$45,Curves!$AI$38:$BV$38)+SUMPRODUCT(Adds!$C$46:$AP$46,Curves!$AI$61:$BV$61)</f>
        <v/>
      </c>
      <c r="AQ11" s="5">
        <f>SUMPRODUCT(Adds!$C$44:$AQ$44,Curves!$AH$15:$BV$15)+SUMPRODUCT(Adds!$C$45:$AQ$45,Curves!$AH$38:$BV$38)+SUMPRODUCT(Adds!$C$46:$AQ$46,Curves!$AH$61:$BV$61)</f>
        <v/>
      </c>
      <c r="AR11" s="5">
        <f>SUMPRODUCT(Adds!$C$44:$AR$44,Curves!$AG$15:$BV$15)+SUMPRODUCT(Adds!$C$45:$AR$45,Curves!$AG$38:$BV$38)+SUMPRODUCT(Adds!$C$46:$AR$46,Curves!$AG$61:$BV$61)</f>
        <v/>
      </c>
      <c r="AS11" s="5">
        <f>SUMPRODUCT(Adds!$C$44:$AS$44,Curves!$AF$15:$BV$15)+SUMPRODUCT(Adds!$C$45:$AS$45,Curves!$AF$38:$BV$38)+SUMPRODUCT(Adds!$C$46:$AS$46,Curves!$AF$61:$BV$61)</f>
        <v/>
      </c>
      <c r="AT11" s="5">
        <f>SUMPRODUCT(Adds!$C$44:$AT$44,Curves!$AE$15:$BV$15)+SUMPRODUCT(Adds!$C$45:$AT$45,Curves!$AE$38:$BV$38)+SUMPRODUCT(Adds!$C$46:$AT$46,Curves!$AE$61:$BV$61)</f>
        <v/>
      </c>
      <c r="AU11" s="5">
        <f>SUMPRODUCT(Adds!$C$44:$AU$44,Curves!$AD$15:$BV$15)+SUMPRODUCT(Adds!$C$45:$AU$45,Curves!$AD$38:$BV$38)+SUMPRODUCT(Adds!$C$46:$AU$46,Curves!$AD$61:$BV$61)</f>
        <v/>
      </c>
      <c r="AV11" s="5">
        <f>SUMPRODUCT(Adds!$C$44:$AV$44,Curves!$AC$15:$BV$15)+SUMPRODUCT(Adds!$C$45:$AV$45,Curves!$AC$38:$BV$38)+SUMPRODUCT(Adds!$C$46:$AV$46,Curves!$AC$61:$BV$61)</f>
        <v/>
      </c>
      <c r="AW11" s="5">
        <f>SUMPRODUCT(Adds!$C$44:$AW$44,Curves!$AB$15:$BV$15)+SUMPRODUCT(Adds!$C$45:$AW$45,Curves!$AB$38:$BV$38)+SUMPRODUCT(Adds!$C$46:$AW$46,Curves!$AB$61:$BV$61)</f>
        <v/>
      </c>
      <c r="AX11" s="5">
        <f>SUMPRODUCT(Adds!$C$44:$AX$44,Curves!$AA$15:$BV$15)+SUMPRODUCT(Adds!$C$45:$AX$45,Curves!$AA$38:$BV$38)+SUMPRODUCT(Adds!$C$46:$AX$46,Curves!$AA$61:$BV$61)</f>
        <v/>
      </c>
      <c r="AY11" s="5">
        <f>SUMPRODUCT(Adds!$C$44:$AY$44,Curves!$Z$15:$BV$15)+SUMPRODUCT(Adds!$C$45:$AY$45,Curves!$Z$38:$BV$38)+SUMPRODUCT(Adds!$C$46:$AY$46,Curves!$Z$61:$BV$61)</f>
        <v/>
      </c>
      <c r="AZ11" s="5">
        <f>SUMPRODUCT(Adds!$C$44:$AZ$44,Curves!$Y$15:$BV$15)+SUMPRODUCT(Adds!$C$45:$AZ$45,Curves!$Y$38:$BV$38)+SUMPRODUCT(Adds!$C$46:$AZ$46,Curves!$Y$61:$BV$61)</f>
        <v/>
      </c>
      <c r="BA11" s="5">
        <f>SUMPRODUCT(Adds!$C$44:$BA$44,Curves!$X$15:$BV$15)+SUMPRODUCT(Adds!$C$45:$BA$45,Curves!$X$38:$BV$38)+SUMPRODUCT(Adds!$C$46:$BA$46,Curves!$X$61:$BV$61)</f>
        <v/>
      </c>
      <c r="BB11" s="5">
        <f>SUMPRODUCT(Adds!$C$44:$BB$44,Curves!$W$15:$BV$15)+SUMPRODUCT(Adds!$C$45:$BB$45,Curves!$W$38:$BV$38)+SUMPRODUCT(Adds!$C$46:$BB$46,Curves!$W$61:$BV$61)</f>
        <v/>
      </c>
      <c r="BC11" s="5">
        <f>SUMPRODUCT(Adds!$C$44:$BC$44,Curves!$V$15:$BV$15)+SUMPRODUCT(Adds!$C$45:$BC$45,Curves!$V$38:$BV$38)+SUMPRODUCT(Adds!$C$46:$BC$46,Curves!$V$61:$BV$61)</f>
        <v/>
      </c>
      <c r="BD11" s="5">
        <f>SUMPRODUCT(Adds!$C$44:$BD$44,Curves!$U$15:$BV$15)+SUMPRODUCT(Adds!$C$45:$BD$45,Curves!$U$38:$BV$38)+SUMPRODUCT(Adds!$C$46:$BD$46,Curves!$U$61:$BV$61)</f>
        <v/>
      </c>
      <c r="BE11" s="5">
        <f>SUMPRODUCT(Adds!$C$44:$BE$44,Curves!$T$15:$BV$15)+SUMPRODUCT(Adds!$C$45:$BE$45,Curves!$T$38:$BV$38)+SUMPRODUCT(Adds!$C$46:$BE$46,Curves!$T$61:$BV$61)</f>
        <v/>
      </c>
      <c r="BF11" s="5">
        <f>SUMPRODUCT(Adds!$C$44:$BF$44,Curves!$S$15:$BV$15)+SUMPRODUCT(Adds!$C$45:$BF$45,Curves!$S$38:$BV$38)+SUMPRODUCT(Adds!$C$46:$BF$46,Curves!$S$61:$BV$61)</f>
        <v/>
      </c>
      <c r="BG11" s="5">
        <f>SUMPRODUCT(Adds!$C$44:$BG$44,Curves!$R$15:$BV$15)+SUMPRODUCT(Adds!$C$45:$BG$45,Curves!$R$38:$BV$38)+SUMPRODUCT(Adds!$C$46:$BG$46,Curves!$R$61:$BV$61)</f>
        <v/>
      </c>
      <c r="BH11" s="5">
        <f>SUMPRODUCT(Adds!$C$44:$BH$44,Curves!$Q$15:$BV$15)+SUMPRODUCT(Adds!$C$45:$BH$45,Curves!$Q$38:$BV$38)+SUMPRODUCT(Adds!$C$46:$BH$46,Curves!$Q$61:$BV$61)</f>
        <v/>
      </c>
      <c r="BI11" s="5">
        <f>SUMPRODUCT(Adds!$C$44:$BI$44,Curves!$P$15:$BV$15)+SUMPRODUCT(Adds!$C$45:$BI$45,Curves!$P$38:$BV$38)+SUMPRODUCT(Adds!$C$46:$BI$46,Curves!$P$61:$BV$61)</f>
        <v/>
      </c>
      <c r="BJ11" s="5">
        <f>SUMPRODUCT(Adds!$C$44:$BJ$44,Curves!$O$15:$BV$15)+SUMPRODUCT(Adds!$C$45:$BJ$45,Curves!$O$38:$BV$38)+SUMPRODUCT(Adds!$C$46:$BJ$46,Curves!$O$61:$BV$61)</f>
        <v/>
      </c>
      <c r="BK11" s="5">
        <f>SUMPRODUCT(Adds!$C$44:$BK$44,Curves!$N$15:$BV$15)+SUMPRODUCT(Adds!$C$45:$BK$45,Curves!$N$38:$BV$38)+SUMPRODUCT(Adds!$C$46:$BK$46,Curves!$N$61:$BV$61)</f>
        <v/>
      </c>
      <c r="BL11" s="5">
        <f>SUMPRODUCT(Adds!$C$44:$BL$44,Curves!$M$15:$BV$15)+SUMPRODUCT(Adds!$C$45:$BL$45,Curves!$M$38:$BV$38)+SUMPRODUCT(Adds!$C$46:$BL$46,Curves!$M$61:$BV$61)</f>
        <v/>
      </c>
      <c r="BM11" s="5">
        <f>SUMPRODUCT(Adds!$C$44:$BM$44,Curves!$L$15:$BV$15)+SUMPRODUCT(Adds!$C$45:$BM$45,Curves!$L$38:$BV$38)+SUMPRODUCT(Adds!$C$46:$BM$46,Curves!$L$61:$BV$61)</f>
        <v/>
      </c>
      <c r="BN11" s="5">
        <f>SUMPRODUCT(Adds!$C$44:$BN$44,Curves!$K$15:$BV$15)+SUMPRODUCT(Adds!$C$45:$BN$45,Curves!$K$38:$BV$38)+SUMPRODUCT(Adds!$C$46:$BN$46,Curves!$K$61:$BV$61)</f>
        <v/>
      </c>
      <c r="BO11" s="5">
        <f>SUMPRODUCT(Adds!$C$44:$BO$44,Curves!$J$15:$BV$15)+SUMPRODUCT(Adds!$C$45:$BO$45,Curves!$J$38:$BV$38)+SUMPRODUCT(Adds!$C$46:$BO$46,Curves!$J$61:$BV$61)</f>
        <v/>
      </c>
      <c r="BP11" s="5">
        <f>SUMPRODUCT(Adds!$C$44:$BP$44,Curves!$I$15:$BV$15)+SUMPRODUCT(Adds!$C$45:$BP$45,Curves!$I$38:$BV$38)+SUMPRODUCT(Adds!$C$46:$BP$46,Curves!$I$61:$BV$61)</f>
        <v/>
      </c>
      <c r="BQ11" s="5">
        <f>SUMPRODUCT(Adds!$C$44:$BQ$44,Curves!$H$15:$BV$15)+SUMPRODUCT(Adds!$C$45:$BQ$45,Curves!$H$38:$BV$38)+SUMPRODUCT(Adds!$C$46:$BQ$46,Curves!$H$61:$BV$61)</f>
        <v/>
      </c>
      <c r="BR11" s="5">
        <f>SUMPRODUCT(Adds!$C$44:$BR$44,Curves!$G$15:$BV$15)+SUMPRODUCT(Adds!$C$45:$BR$45,Curves!$G$38:$BV$38)+SUMPRODUCT(Adds!$C$46:$BR$46,Curves!$G$61:$BV$61)</f>
        <v/>
      </c>
      <c r="BS11" s="5">
        <f>SUMPRODUCT(Adds!$C$44:$BS$44,Curves!$F$15:$BV$15)+SUMPRODUCT(Adds!$C$45:$BS$45,Curves!$F$38:$BV$38)+SUMPRODUCT(Adds!$C$46:$BS$46,Curves!$F$61:$BV$61)</f>
        <v/>
      </c>
      <c r="BT11" s="5">
        <f>SUMPRODUCT(Adds!$C$44:$BT$44,Curves!$E$15:$BV$15)+SUMPRODUCT(Adds!$C$45:$BT$45,Curves!$E$38:$BV$38)+SUMPRODUCT(Adds!$C$46:$BT$46,Curves!$E$61:$BV$61)</f>
        <v/>
      </c>
      <c r="BU11" s="5">
        <f>SUMPRODUCT(Adds!$C$44:$BU$44,Curves!$D$15:$BV$15)+SUMPRODUCT(Adds!$C$45:$BU$45,Curves!$D$38:$BV$38)+SUMPRODUCT(Adds!$C$46:$BU$46,Curves!$D$61:$BV$61)</f>
        <v/>
      </c>
      <c r="BV11" s="5">
        <f>SUMPRODUCT(Adds!$C$44:$BV$44,Curves!$C$15:$BV$15)+SUMPRODUCT(Adds!$C$45:$BV$45,Curves!$C$38:$BV$38)+SUMPRODUCT(Adds!$C$46:$BV$46,Curves!$C$61:$BV$61)</f>
        <v/>
      </c>
    </row>
    <row r="12">
      <c r="A12" t="inlineStr">
        <is>
          <t>active yr 1</t>
        </is>
      </c>
      <c r="B12" t="inlineStr">
        <is>
          <t>US_CA|BASIC_M</t>
        </is>
      </c>
      <c r="C12" s="5">
        <f>Adds!$C$44*Curves!$BV$22+Adds!$C$45*Curves!$BV$45+Adds!$C$46*Curves!$BV$68</f>
        <v/>
      </c>
      <c r="D12" s="5">
        <f>SUMPRODUCT(Adds!$C$44:$D$44,Curves!$BU$22:$BV$22)+SUMPRODUCT(Adds!$C$45:$D$45,Curves!$BU$45:$BV$45)+SUMPRODUCT(Adds!$C$46:$D$46,Curves!$BU$68:$BV$68)</f>
        <v/>
      </c>
      <c r="E12" s="5">
        <f>SUMPRODUCT(Adds!$C$44:$E$44,Curves!$BT$22:$BV$22)+SUMPRODUCT(Adds!$C$45:$E$45,Curves!$BT$45:$BV$45)+SUMPRODUCT(Adds!$C$46:$E$46,Curves!$BT$68:$BV$68)</f>
        <v/>
      </c>
      <c r="F12" s="5">
        <f>SUMPRODUCT(Adds!$C$44:$F$44,Curves!$BS$22:$BV$22)+SUMPRODUCT(Adds!$C$45:$F$45,Curves!$BS$45:$BV$45)+SUMPRODUCT(Adds!$C$46:$F$46,Curves!$BS$68:$BV$68)</f>
        <v/>
      </c>
      <c r="G12" s="5">
        <f>SUMPRODUCT(Adds!$C$44:$G$44,Curves!$BR$22:$BV$22)+SUMPRODUCT(Adds!$C$45:$G$45,Curves!$BR$45:$BV$45)+SUMPRODUCT(Adds!$C$46:$G$46,Curves!$BR$68:$BV$68)</f>
        <v/>
      </c>
      <c r="H12" s="5">
        <f>SUMPRODUCT(Adds!$C$44:$H$44,Curves!$BQ$22:$BV$22)+SUMPRODUCT(Adds!$C$45:$H$45,Curves!$BQ$45:$BV$45)+SUMPRODUCT(Adds!$C$46:$H$46,Curves!$BQ$68:$BV$68)</f>
        <v/>
      </c>
      <c r="I12" s="5">
        <f>SUMPRODUCT(Adds!$C$44:$I$44,Curves!$BP$22:$BV$22)+SUMPRODUCT(Adds!$C$45:$I$45,Curves!$BP$45:$BV$45)+SUMPRODUCT(Adds!$C$46:$I$46,Curves!$BP$68:$BV$68)</f>
        <v/>
      </c>
      <c r="J12" s="5">
        <f>SUMPRODUCT(Adds!$C$44:$J$44,Curves!$BO$22:$BV$22)+SUMPRODUCT(Adds!$C$45:$J$45,Curves!$BO$45:$BV$45)+SUMPRODUCT(Adds!$C$46:$J$46,Curves!$BO$68:$BV$68)</f>
        <v/>
      </c>
      <c r="K12" s="5">
        <f>SUMPRODUCT(Adds!$C$44:$K$44,Curves!$BN$22:$BV$22)+SUMPRODUCT(Adds!$C$45:$K$45,Curves!$BN$45:$BV$45)+SUMPRODUCT(Adds!$C$46:$K$46,Curves!$BN$68:$BV$68)</f>
        <v/>
      </c>
      <c r="L12" s="5">
        <f>SUMPRODUCT(Adds!$C$44:$L$44,Curves!$BM$22:$BV$22)+SUMPRODUCT(Adds!$C$45:$L$45,Curves!$BM$45:$BV$45)+SUMPRODUCT(Adds!$C$46:$L$46,Curves!$BM$68:$BV$68)</f>
        <v/>
      </c>
      <c r="M12" s="5">
        <f>SUMPRODUCT(Adds!$C$44:$M$44,Curves!$BL$22:$BV$22)+SUMPRODUCT(Adds!$C$45:$M$45,Curves!$BL$45:$BV$45)+SUMPRODUCT(Adds!$C$46:$M$46,Curves!$BL$68:$BV$68)</f>
        <v/>
      </c>
      <c r="N12" s="5">
        <f>SUMPRODUCT(Adds!$C$44:$N$44,Curves!$BK$22:$BV$22)+SUMPRODUCT(Adds!$C$45:$N$45,Curves!$BK$45:$BV$45)+SUMPRODUCT(Adds!$C$46:$N$46,Curves!$BK$68:$BV$68)</f>
        <v/>
      </c>
      <c r="O12" s="5">
        <f>SUMPRODUCT(Adds!$C$44:$O$44,Curves!$BJ$22:$BV$22)+SUMPRODUCT(Adds!$C$45:$O$45,Curves!$BJ$45:$BV$45)+SUMPRODUCT(Adds!$C$46:$O$46,Curves!$BJ$68:$BV$68)</f>
        <v/>
      </c>
      <c r="P12" s="5">
        <f>SUMPRODUCT(Adds!$C$44:$P$44,Curves!$BI$22:$BV$22)+SUMPRODUCT(Adds!$C$45:$P$45,Curves!$BI$45:$BV$45)+SUMPRODUCT(Adds!$C$46:$P$46,Curves!$BI$68:$BV$68)</f>
        <v/>
      </c>
      <c r="Q12" s="5">
        <f>SUMPRODUCT(Adds!$C$44:$Q$44,Curves!$BH$22:$BV$22)+SUMPRODUCT(Adds!$C$45:$Q$45,Curves!$BH$45:$BV$45)+SUMPRODUCT(Adds!$C$46:$Q$46,Curves!$BH$68:$BV$68)</f>
        <v/>
      </c>
      <c r="R12" s="5">
        <f>SUMPRODUCT(Adds!$C$44:$R$44,Curves!$BG$22:$BV$22)+SUMPRODUCT(Adds!$C$45:$R$45,Curves!$BG$45:$BV$45)+SUMPRODUCT(Adds!$C$46:$R$46,Curves!$BG$68:$BV$68)</f>
        <v/>
      </c>
      <c r="S12" s="5">
        <f>SUMPRODUCT(Adds!$C$44:$S$44,Curves!$BF$22:$BV$22)+SUMPRODUCT(Adds!$C$45:$S$45,Curves!$BF$45:$BV$45)+SUMPRODUCT(Adds!$C$46:$S$46,Curves!$BF$68:$BV$68)</f>
        <v/>
      </c>
      <c r="T12" s="5">
        <f>SUMPRODUCT(Adds!$C$44:$T$44,Curves!$BE$22:$BV$22)+SUMPRODUCT(Adds!$C$45:$T$45,Curves!$BE$45:$BV$45)+SUMPRODUCT(Adds!$C$46:$T$46,Curves!$BE$68:$BV$68)</f>
        <v/>
      </c>
      <c r="U12" s="5">
        <f>SUMPRODUCT(Adds!$C$44:$U$44,Curves!$BD$22:$BV$22)+SUMPRODUCT(Adds!$C$45:$U$45,Curves!$BD$45:$BV$45)+SUMPRODUCT(Adds!$C$46:$U$46,Curves!$BD$68:$BV$68)</f>
        <v/>
      </c>
      <c r="V12" s="5">
        <f>SUMPRODUCT(Adds!$C$44:$V$44,Curves!$BC$22:$BV$22)+SUMPRODUCT(Adds!$C$45:$V$45,Curves!$BC$45:$BV$45)+SUMPRODUCT(Adds!$C$46:$V$46,Curves!$BC$68:$BV$68)</f>
        <v/>
      </c>
      <c r="W12" s="5">
        <f>SUMPRODUCT(Adds!$C$44:$W$44,Curves!$BB$22:$BV$22)+SUMPRODUCT(Adds!$C$45:$W$45,Curves!$BB$45:$BV$45)+SUMPRODUCT(Adds!$C$46:$W$46,Curves!$BB$68:$BV$68)</f>
        <v/>
      </c>
      <c r="X12" s="5">
        <f>SUMPRODUCT(Adds!$C$44:$X$44,Curves!$BA$22:$BV$22)+SUMPRODUCT(Adds!$C$45:$X$45,Curves!$BA$45:$BV$45)+SUMPRODUCT(Adds!$C$46:$X$46,Curves!$BA$68:$BV$68)</f>
        <v/>
      </c>
      <c r="Y12" s="5">
        <f>SUMPRODUCT(Adds!$C$44:$Y$44,Curves!$AZ$22:$BV$22)+SUMPRODUCT(Adds!$C$45:$Y$45,Curves!$AZ$45:$BV$45)+SUMPRODUCT(Adds!$C$46:$Y$46,Curves!$AZ$68:$BV$68)</f>
        <v/>
      </c>
      <c r="Z12" s="5">
        <f>SUMPRODUCT(Adds!$C$44:$Z$44,Curves!$AY$22:$BV$22)+SUMPRODUCT(Adds!$C$45:$Z$45,Curves!$AY$45:$BV$45)+SUMPRODUCT(Adds!$C$46:$Z$46,Curves!$AY$68:$BV$68)</f>
        <v/>
      </c>
      <c r="AA12" s="5">
        <f>SUMPRODUCT(Adds!$C$44:$AA$44,Curves!$AX$22:$BV$22)+SUMPRODUCT(Adds!$C$45:$AA$45,Curves!$AX$45:$BV$45)+SUMPRODUCT(Adds!$C$46:$AA$46,Curves!$AX$68:$BV$68)</f>
        <v/>
      </c>
      <c r="AB12" s="5">
        <f>SUMPRODUCT(Adds!$C$44:$AB$44,Curves!$AW$22:$BV$22)+SUMPRODUCT(Adds!$C$45:$AB$45,Curves!$AW$45:$BV$45)+SUMPRODUCT(Adds!$C$46:$AB$46,Curves!$AW$68:$BV$68)</f>
        <v/>
      </c>
      <c r="AC12" s="5">
        <f>SUMPRODUCT(Adds!$C$44:$AC$44,Curves!$AV$22:$BV$22)+SUMPRODUCT(Adds!$C$45:$AC$45,Curves!$AV$45:$BV$45)+SUMPRODUCT(Adds!$C$46:$AC$46,Curves!$AV$68:$BV$68)</f>
        <v/>
      </c>
      <c r="AD12" s="5">
        <f>SUMPRODUCT(Adds!$C$44:$AD$44,Curves!$AU$22:$BV$22)+SUMPRODUCT(Adds!$C$45:$AD$45,Curves!$AU$45:$BV$45)+SUMPRODUCT(Adds!$C$46:$AD$46,Curves!$AU$68:$BV$68)</f>
        <v/>
      </c>
      <c r="AE12" s="5">
        <f>SUMPRODUCT(Adds!$C$44:$AE$44,Curves!$AT$22:$BV$22)+SUMPRODUCT(Adds!$C$45:$AE$45,Curves!$AT$45:$BV$45)+SUMPRODUCT(Adds!$C$46:$AE$46,Curves!$AT$68:$BV$68)</f>
        <v/>
      </c>
      <c r="AF12" s="5">
        <f>SUMPRODUCT(Adds!$C$44:$AF$44,Curves!$AS$22:$BV$22)+SUMPRODUCT(Adds!$C$45:$AF$45,Curves!$AS$45:$BV$45)+SUMPRODUCT(Adds!$C$46:$AF$46,Curves!$AS$68:$BV$68)</f>
        <v/>
      </c>
      <c r="AG12" s="5">
        <f>SUMPRODUCT(Adds!$C$44:$AG$44,Curves!$AR$22:$BV$22)+SUMPRODUCT(Adds!$C$45:$AG$45,Curves!$AR$45:$BV$45)+SUMPRODUCT(Adds!$C$46:$AG$46,Curves!$AR$68:$BV$68)</f>
        <v/>
      </c>
      <c r="AH12" s="5">
        <f>SUMPRODUCT(Adds!$C$44:$AH$44,Curves!$AQ$22:$BV$22)+SUMPRODUCT(Adds!$C$45:$AH$45,Curves!$AQ$45:$BV$45)+SUMPRODUCT(Adds!$C$46:$AH$46,Curves!$AQ$68:$BV$68)</f>
        <v/>
      </c>
      <c r="AI12" s="5">
        <f>SUMPRODUCT(Adds!$C$44:$AI$44,Curves!$AP$22:$BV$22)+SUMPRODUCT(Adds!$C$45:$AI$45,Curves!$AP$45:$BV$45)+SUMPRODUCT(Adds!$C$46:$AI$46,Curves!$AP$68:$BV$68)</f>
        <v/>
      </c>
      <c r="AJ12" s="5">
        <f>SUMPRODUCT(Adds!$C$44:$AJ$44,Curves!$AO$22:$BV$22)+SUMPRODUCT(Adds!$C$45:$AJ$45,Curves!$AO$45:$BV$45)+SUMPRODUCT(Adds!$C$46:$AJ$46,Curves!$AO$68:$BV$68)</f>
        <v/>
      </c>
      <c r="AK12" s="5">
        <f>SUMPRODUCT(Adds!$C$44:$AK$44,Curves!$AN$22:$BV$22)+SUMPRODUCT(Adds!$C$45:$AK$45,Curves!$AN$45:$BV$45)+SUMPRODUCT(Adds!$C$46:$AK$46,Curves!$AN$68:$BV$68)</f>
        <v/>
      </c>
      <c r="AL12" s="5">
        <f>SUMPRODUCT(Adds!$C$44:$AL$44,Curves!$AM$22:$BV$22)+SUMPRODUCT(Adds!$C$45:$AL$45,Curves!$AM$45:$BV$45)+SUMPRODUCT(Adds!$C$46:$AL$46,Curves!$AM$68:$BV$68)</f>
        <v/>
      </c>
      <c r="AM12" s="5">
        <f>SUMPRODUCT(Adds!$C$44:$AM$44,Curves!$AL$22:$BV$22)+SUMPRODUCT(Adds!$C$45:$AM$45,Curves!$AL$45:$BV$45)+SUMPRODUCT(Adds!$C$46:$AM$46,Curves!$AL$68:$BV$68)</f>
        <v/>
      </c>
      <c r="AN12" s="5">
        <f>SUMPRODUCT(Adds!$C$44:$AN$44,Curves!$AK$22:$BV$22)+SUMPRODUCT(Adds!$C$45:$AN$45,Curves!$AK$45:$BV$45)+SUMPRODUCT(Adds!$C$46:$AN$46,Curves!$AK$68:$BV$68)</f>
        <v/>
      </c>
      <c r="AO12" s="5">
        <f>SUMPRODUCT(Adds!$C$44:$AO$44,Curves!$AJ$22:$BV$22)+SUMPRODUCT(Adds!$C$45:$AO$45,Curves!$AJ$45:$BV$45)+SUMPRODUCT(Adds!$C$46:$AO$46,Curves!$AJ$68:$BV$68)</f>
        <v/>
      </c>
      <c r="AP12" s="5">
        <f>SUMPRODUCT(Adds!$C$44:$AP$44,Curves!$AI$22:$BV$22)+SUMPRODUCT(Adds!$C$45:$AP$45,Curves!$AI$45:$BV$45)+SUMPRODUCT(Adds!$C$46:$AP$46,Curves!$AI$68:$BV$68)</f>
        <v/>
      </c>
      <c r="AQ12" s="5">
        <f>SUMPRODUCT(Adds!$C$44:$AQ$44,Curves!$AH$22:$BV$22)+SUMPRODUCT(Adds!$C$45:$AQ$45,Curves!$AH$45:$BV$45)+SUMPRODUCT(Adds!$C$46:$AQ$46,Curves!$AH$68:$BV$68)</f>
        <v/>
      </c>
      <c r="AR12" s="5">
        <f>SUMPRODUCT(Adds!$C$44:$AR$44,Curves!$AG$22:$BV$22)+SUMPRODUCT(Adds!$C$45:$AR$45,Curves!$AG$45:$BV$45)+SUMPRODUCT(Adds!$C$46:$AR$46,Curves!$AG$68:$BV$68)</f>
        <v/>
      </c>
      <c r="AS12" s="5">
        <f>SUMPRODUCT(Adds!$C$44:$AS$44,Curves!$AF$22:$BV$22)+SUMPRODUCT(Adds!$C$45:$AS$45,Curves!$AF$45:$BV$45)+SUMPRODUCT(Adds!$C$46:$AS$46,Curves!$AF$68:$BV$68)</f>
        <v/>
      </c>
      <c r="AT12" s="5">
        <f>SUMPRODUCT(Adds!$C$44:$AT$44,Curves!$AE$22:$BV$22)+SUMPRODUCT(Adds!$C$45:$AT$45,Curves!$AE$45:$BV$45)+SUMPRODUCT(Adds!$C$46:$AT$46,Curves!$AE$68:$BV$68)</f>
        <v/>
      </c>
      <c r="AU12" s="5">
        <f>SUMPRODUCT(Adds!$C$44:$AU$44,Curves!$AD$22:$BV$22)+SUMPRODUCT(Adds!$C$45:$AU$45,Curves!$AD$45:$BV$45)+SUMPRODUCT(Adds!$C$46:$AU$46,Curves!$AD$68:$BV$68)</f>
        <v/>
      </c>
      <c r="AV12" s="5">
        <f>SUMPRODUCT(Adds!$C$44:$AV$44,Curves!$AC$22:$BV$22)+SUMPRODUCT(Adds!$C$45:$AV$45,Curves!$AC$45:$BV$45)+SUMPRODUCT(Adds!$C$46:$AV$46,Curves!$AC$68:$BV$68)</f>
        <v/>
      </c>
      <c r="AW12" s="5">
        <f>SUMPRODUCT(Adds!$C$44:$AW$44,Curves!$AB$22:$BV$22)+SUMPRODUCT(Adds!$C$45:$AW$45,Curves!$AB$45:$BV$45)+SUMPRODUCT(Adds!$C$46:$AW$46,Curves!$AB$68:$BV$68)</f>
        <v/>
      </c>
      <c r="AX12" s="5">
        <f>SUMPRODUCT(Adds!$C$44:$AX$44,Curves!$AA$22:$BV$22)+SUMPRODUCT(Adds!$C$45:$AX$45,Curves!$AA$45:$BV$45)+SUMPRODUCT(Adds!$C$46:$AX$46,Curves!$AA$68:$BV$68)</f>
        <v/>
      </c>
      <c r="AY12" s="5">
        <f>SUMPRODUCT(Adds!$C$44:$AY$44,Curves!$Z$22:$BV$22)+SUMPRODUCT(Adds!$C$45:$AY$45,Curves!$Z$45:$BV$45)+SUMPRODUCT(Adds!$C$46:$AY$46,Curves!$Z$68:$BV$68)</f>
        <v/>
      </c>
      <c r="AZ12" s="5">
        <f>SUMPRODUCT(Adds!$C$44:$AZ$44,Curves!$Y$22:$BV$22)+SUMPRODUCT(Adds!$C$45:$AZ$45,Curves!$Y$45:$BV$45)+SUMPRODUCT(Adds!$C$46:$AZ$46,Curves!$Y$68:$BV$68)</f>
        <v/>
      </c>
      <c r="BA12" s="5">
        <f>SUMPRODUCT(Adds!$C$44:$BA$44,Curves!$X$22:$BV$22)+SUMPRODUCT(Adds!$C$45:$BA$45,Curves!$X$45:$BV$45)+SUMPRODUCT(Adds!$C$46:$BA$46,Curves!$X$68:$BV$68)</f>
        <v/>
      </c>
      <c r="BB12" s="5">
        <f>SUMPRODUCT(Adds!$C$44:$BB$44,Curves!$W$22:$BV$22)+SUMPRODUCT(Adds!$C$45:$BB$45,Curves!$W$45:$BV$45)+SUMPRODUCT(Adds!$C$46:$BB$46,Curves!$W$68:$BV$68)</f>
        <v/>
      </c>
      <c r="BC12" s="5">
        <f>SUMPRODUCT(Adds!$C$44:$BC$44,Curves!$V$22:$BV$22)+SUMPRODUCT(Adds!$C$45:$BC$45,Curves!$V$45:$BV$45)+SUMPRODUCT(Adds!$C$46:$BC$46,Curves!$V$68:$BV$68)</f>
        <v/>
      </c>
      <c r="BD12" s="5">
        <f>SUMPRODUCT(Adds!$C$44:$BD$44,Curves!$U$22:$BV$22)+SUMPRODUCT(Adds!$C$45:$BD$45,Curves!$U$45:$BV$45)+SUMPRODUCT(Adds!$C$46:$BD$46,Curves!$U$68:$BV$68)</f>
        <v/>
      </c>
      <c r="BE12" s="5">
        <f>SUMPRODUCT(Adds!$C$44:$BE$44,Curves!$T$22:$BV$22)+SUMPRODUCT(Adds!$C$45:$BE$45,Curves!$T$45:$BV$45)+SUMPRODUCT(Adds!$C$46:$BE$46,Curves!$T$68:$BV$68)</f>
        <v/>
      </c>
      <c r="BF12" s="5">
        <f>SUMPRODUCT(Adds!$C$44:$BF$44,Curves!$S$22:$BV$22)+SUMPRODUCT(Adds!$C$45:$BF$45,Curves!$S$45:$BV$45)+SUMPRODUCT(Adds!$C$46:$BF$46,Curves!$S$68:$BV$68)</f>
        <v/>
      </c>
      <c r="BG12" s="5">
        <f>SUMPRODUCT(Adds!$C$44:$BG$44,Curves!$R$22:$BV$22)+SUMPRODUCT(Adds!$C$45:$BG$45,Curves!$R$45:$BV$45)+SUMPRODUCT(Adds!$C$46:$BG$46,Curves!$R$68:$BV$68)</f>
        <v/>
      </c>
      <c r="BH12" s="5">
        <f>SUMPRODUCT(Adds!$C$44:$BH$44,Curves!$Q$22:$BV$22)+SUMPRODUCT(Adds!$C$45:$BH$45,Curves!$Q$45:$BV$45)+SUMPRODUCT(Adds!$C$46:$BH$46,Curves!$Q$68:$BV$68)</f>
        <v/>
      </c>
      <c r="BI12" s="5">
        <f>SUMPRODUCT(Adds!$C$44:$BI$44,Curves!$P$22:$BV$22)+SUMPRODUCT(Adds!$C$45:$BI$45,Curves!$P$45:$BV$45)+SUMPRODUCT(Adds!$C$46:$BI$46,Curves!$P$68:$BV$68)</f>
        <v/>
      </c>
      <c r="BJ12" s="5">
        <f>SUMPRODUCT(Adds!$C$44:$BJ$44,Curves!$O$22:$BV$22)+SUMPRODUCT(Adds!$C$45:$BJ$45,Curves!$O$45:$BV$45)+SUMPRODUCT(Adds!$C$46:$BJ$46,Curves!$O$68:$BV$68)</f>
        <v/>
      </c>
      <c r="BK12" s="5">
        <f>SUMPRODUCT(Adds!$C$44:$BK$44,Curves!$N$22:$BV$22)+SUMPRODUCT(Adds!$C$45:$BK$45,Curves!$N$45:$BV$45)+SUMPRODUCT(Adds!$C$46:$BK$46,Curves!$N$68:$BV$68)</f>
        <v/>
      </c>
      <c r="BL12" s="5">
        <f>SUMPRODUCT(Adds!$C$44:$BL$44,Curves!$M$22:$BV$22)+SUMPRODUCT(Adds!$C$45:$BL$45,Curves!$M$45:$BV$45)+SUMPRODUCT(Adds!$C$46:$BL$46,Curves!$M$68:$BV$68)</f>
        <v/>
      </c>
      <c r="BM12" s="5">
        <f>SUMPRODUCT(Adds!$C$44:$BM$44,Curves!$L$22:$BV$22)+SUMPRODUCT(Adds!$C$45:$BM$45,Curves!$L$45:$BV$45)+SUMPRODUCT(Adds!$C$46:$BM$46,Curves!$L$68:$BV$68)</f>
        <v/>
      </c>
      <c r="BN12" s="5">
        <f>SUMPRODUCT(Adds!$C$44:$BN$44,Curves!$K$22:$BV$22)+SUMPRODUCT(Adds!$C$45:$BN$45,Curves!$K$45:$BV$45)+SUMPRODUCT(Adds!$C$46:$BN$46,Curves!$K$68:$BV$68)</f>
        <v/>
      </c>
      <c r="BO12" s="5">
        <f>SUMPRODUCT(Adds!$C$44:$BO$44,Curves!$J$22:$BV$22)+SUMPRODUCT(Adds!$C$45:$BO$45,Curves!$J$45:$BV$45)+SUMPRODUCT(Adds!$C$46:$BO$46,Curves!$J$68:$BV$68)</f>
        <v/>
      </c>
      <c r="BP12" s="5">
        <f>SUMPRODUCT(Adds!$C$44:$BP$44,Curves!$I$22:$BV$22)+SUMPRODUCT(Adds!$C$45:$BP$45,Curves!$I$45:$BV$45)+SUMPRODUCT(Adds!$C$46:$BP$46,Curves!$I$68:$BV$68)</f>
        <v/>
      </c>
      <c r="BQ12" s="5">
        <f>SUMPRODUCT(Adds!$C$44:$BQ$44,Curves!$H$22:$BV$22)+SUMPRODUCT(Adds!$C$45:$BQ$45,Curves!$H$45:$BV$45)+SUMPRODUCT(Adds!$C$46:$BQ$46,Curves!$H$68:$BV$68)</f>
        <v/>
      </c>
      <c r="BR12" s="5">
        <f>SUMPRODUCT(Adds!$C$44:$BR$44,Curves!$G$22:$BV$22)+SUMPRODUCT(Adds!$C$45:$BR$45,Curves!$G$45:$BV$45)+SUMPRODUCT(Adds!$C$46:$BR$46,Curves!$G$68:$BV$68)</f>
        <v/>
      </c>
      <c r="BS12" s="5">
        <f>SUMPRODUCT(Adds!$C$44:$BS$44,Curves!$F$22:$BV$22)+SUMPRODUCT(Adds!$C$45:$BS$45,Curves!$F$45:$BV$45)+SUMPRODUCT(Adds!$C$46:$BS$46,Curves!$F$68:$BV$68)</f>
        <v/>
      </c>
      <c r="BT12" s="5">
        <f>SUMPRODUCT(Adds!$C$44:$BT$44,Curves!$E$22:$BV$22)+SUMPRODUCT(Adds!$C$45:$BT$45,Curves!$E$45:$BV$45)+SUMPRODUCT(Adds!$C$46:$BT$46,Curves!$E$68:$BV$68)</f>
        <v/>
      </c>
      <c r="BU12" s="5">
        <f>SUMPRODUCT(Adds!$C$44:$BU$44,Curves!$D$22:$BV$22)+SUMPRODUCT(Adds!$C$45:$BU$45,Curves!$D$45:$BV$45)+SUMPRODUCT(Adds!$C$46:$BU$46,Curves!$D$68:$BV$68)</f>
        <v/>
      </c>
      <c r="BV12" s="5">
        <f>SUMPRODUCT(Adds!$C$44:$BV$44,Curves!$C$22:$BV$22)+SUMPRODUCT(Adds!$C$45:$BV$45,Curves!$C$45:$BV$45)+SUMPRODUCT(Adds!$C$46:$BV$46,Curves!$C$68:$BV$68)</f>
        <v/>
      </c>
    </row>
    <row r="13">
      <c r="A13" t="inlineStr">
        <is>
          <t>churned</t>
        </is>
      </c>
      <c r="B13" t="inlineStr">
        <is>
          <t>US_CA|BASIC_M</t>
        </is>
      </c>
      <c r="C13" s="5">
        <f>Adds!$C$44*Curves!$BV$17+Adds!$C$45*Curves!$BV$40+Adds!$C$46*Curves!$BV$63</f>
        <v/>
      </c>
      <c r="D13" s="5">
        <f>SUMPRODUCT(Adds!$C$44:$D$44,Curves!$BU$17:$BV$17)+SUMPRODUCT(Adds!$C$45:$D$45,Curves!$BU$40:$BV$40)+SUMPRODUCT(Adds!$C$46:$D$46,Curves!$BU$63:$BV$63)</f>
        <v/>
      </c>
      <c r="E13" s="5">
        <f>SUMPRODUCT(Adds!$C$44:$E$44,Curves!$BT$17:$BV$17)+SUMPRODUCT(Adds!$C$45:$E$45,Curves!$BT$40:$BV$40)+SUMPRODUCT(Adds!$C$46:$E$46,Curves!$BT$63:$BV$63)</f>
        <v/>
      </c>
      <c r="F13" s="5">
        <f>SUMPRODUCT(Adds!$C$44:$F$44,Curves!$BS$17:$BV$17)+SUMPRODUCT(Adds!$C$45:$F$45,Curves!$BS$40:$BV$40)+SUMPRODUCT(Adds!$C$46:$F$46,Curves!$BS$63:$BV$63)</f>
        <v/>
      </c>
      <c r="G13" s="5">
        <f>SUMPRODUCT(Adds!$C$44:$G$44,Curves!$BR$17:$BV$17)+SUMPRODUCT(Adds!$C$45:$G$45,Curves!$BR$40:$BV$40)+SUMPRODUCT(Adds!$C$46:$G$46,Curves!$BR$63:$BV$63)</f>
        <v/>
      </c>
      <c r="H13" s="5">
        <f>SUMPRODUCT(Adds!$C$44:$H$44,Curves!$BQ$17:$BV$17)+SUMPRODUCT(Adds!$C$45:$H$45,Curves!$BQ$40:$BV$40)+SUMPRODUCT(Adds!$C$46:$H$46,Curves!$BQ$63:$BV$63)</f>
        <v/>
      </c>
      <c r="I13" s="5">
        <f>SUMPRODUCT(Adds!$C$44:$I$44,Curves!$BP$17:$BV$17)+SUMPRODUCT(Adds!$C$45:$I$45,Curves!$BP$40:$BV$40)+SUMPRODUCT(Adds!$C$46:$I$46,Curves!$BP$63:$BV$63)</f>
        <v/>
      </c>
      <c r="J13" s="5">
        <f>SUMPRODUCT(Adds!$C$44:$J$44,Curves!$BO$17:$BV$17)+SUMPRODUCT(Adds!$C$45:$J$45,Curves!$BO$40:$BV$40)+SUMPRODUCT(Adds!$C$46:$J$46,Curves!$BO$63:$BV$63)</f>
        <v/>
      </c>
      <c r="K13" s="5">
        <f>SUMPRODUCT(Adds!$C$44:$K$44,Curves!$BN$17:$BV$17)+SUMPRODUCT(Adds!$C$45:$K$45,Curves!$BN$40:$BV$40)+SUMPRODUCT(Adds!$C$46:$K$46,Curves!$BN$63:$BV$63)</f>
        <v/>
      </c>
      <c r="L13" s="5">
        <f>SUMPRODUCT(Adds!$C$44:$L$44,Curves!$BM$17:$BV$17)+SUMPRODUCT(Adds!$C$45:$L$45,Curves!$BM$40:$BV$40)+SUMPRODUCT(Adds!$C$46:$L$46,Curves!$BM$63:$BV$63)</f>
        <v/>
      </c>
      <c r="M13" s="5">
        <f>SUMPRODUCT(Adds!$C$44:$M$44,Curves!$BL$17:$BV$17)+SUMPRODUCT(Adds!$C$45:$M$45,Curves!$BL$40:$BV$40)+SUMPRODUCT(Adds!$C$46:$M$46,Curves!$BL$63:$BV$63)</f>
        <v/>
      </c>
      <c r="N13" s="5">
        <f>SUMPRODUCT(Adds!$C$44:$N$44,Curves!$BK$17:$BV$17)+SUMPRODUCT(Adds!$C$45:$N$45,Curves!$BK$40:$BV$40)+SUMPRODUCT(Adds!$C$46:$N$46,Curves!$BK$63:$BV$63)</f>
        <v/>
      </c>
      <c r="O13" s="5">
        <f>SUMPRODUCT(Adds!$C$44:$O$44,Curves!$BJ$17:$BV$17)+SUMPRODUCT(Adds!$C$45:$O$45,Curves!$BJ$40:$BV$40)+SUMPRODUCT(Adds!$C$46:$O$46,Curves!$BJ$63:$BV$63)</f>
        <v/>
      </c>
      <c r="P13" s="5">
        <f>SUMPRODUCT(Adds!$C$44:$P$44,Curves!$BI$17:$BV$17)+SUMPRODUCT(Adds!$C$45:$P$45,Curves!$BI$40:$BV$40)+SUMPRODUCT(Adds!$C$46:$P$46,Curves!$BI$63:$BV$63)</f>
        <v/>
      </c>
      <c r="Q13" s="5">
        <f>SUMPRODUCT(Adds!$C$44:$Q$44,Curves!$BH$17:$BV$17)+SUMPRODUCT(Adds!$C$45:$Q$45,Curves!$BH$40:$BV$40)+SUMPRODUCT(Adds!$C$46:$Q$46,Curves!$BH$63:$BV$63)</f>
        <v/>
      </c>
      <c r="R13" s="5">
        <f>SUMPRODUCT(Adds!$C$44:$R$44,Curves!$BG$17:$BV$17)+SUMPRODUCT(Adds!$C$45:$R$45,Curves!$BG$40:$BV$40)+SUMPRODUCT(Adds!$C$46:$R$46,Curves!$BG$63:$BV$63)</f>
        <v/>
      </c>
      <c r="S13" s="5">
        <f>SUMPRODUCT(Adds!$C$44:$S$44,Curves!$BF$17:$BV$17)+SUMPRODUCT(Adds!$C$45:$S$45,Curves!$BF$40:$BV$40)+SUMPRODUCT(Adds!$C$46:$S$46,Curves!$BF$63:$BV$63)</f>
        <v/>
      </c>
      <c r="T13" s="5">
        <f>SUMPRODUCT(Adds!$C$44:$T$44,Curves!$BE$17:$BV$17)+SUMPRODUCT(Adds!$C$45:$T$45,Curves!$BE$40:$BV$40)+SUMPRODUCT(Adds!$C$46:$T$46,Curves!$BE$63:$BV$63)</f>
        <v/>
      </c>
      <c r="U13" s="5">
        <f>SUMPRODUCT(Adds!$C$44:$U$44,Curves!$BD$17:$BV$17)+SUMPRODUCT(Adds!$C$45:$U$45,Curves!$BD$40:$BV$40)+SUMPRODUCT(Adds!$C$46:$U$46,Curves!$BD$63:$BV$63)</f>
        <v/>
      </c>
      <c r="V13" s="5">
        <f>SUMPRODUCT(Adds!$C$44:$V$44,Curves!$BC$17:$BV$17)+SUMPRODUCT(Adds!$C$45:$V$45,Curves!$BC$40:$BV$40)+SUMPRODUCT(Adds!$C$46:$V$46,Curves!$BC$63:$BV$63)</f>
        <v/>
      </c>
      <c r="W13" s="5">
        <f>SUMPRODUCT(Adds!$C$44:$W$44,Curves!$BB$17:$BV$17)+SUMPRODUCT(Adds!$C$45:$W$45,Curves!$BB$40:$BV$40)+SUMPRODUCT(Adds!$C$46:$W$46,Curves!$BB$63:$BV$63)</f>
        <v/>
      </c>
      <c r="X13" s="5">
        <f>SUMPRODUCT(Adds!$C$44:$X$44,Curves!$BA$17:$BV$17)+SUMPRODUCT(Adds!$C$45:$X$45,Curves!$BA$40:$BV$40)+SUMPRODUCT(Adds!$C$46:$X$46,Curves!$BA$63:$BV$63)</f>
        <v/>
      </c>
      <c r="Y13" s="5">
        <f>SUMPRODUCT(Adds!$C$44:$Y$44,Curves!$AZ$17:$BV$17)+SUMPRODUCT(Adds!$C$45:$Y$45,Curves!$AZ$40:$BV$40)+SUMPRODUCT(Adds!$C$46:$Y$46,Curves!$AZ$63:$BV$63)</f>
        <v/>
      </c>
      <c r="Z13" s="5">
        <f>SUMPRODUCT(Adds!$C$44:$Z$44,Curves!$AY$17:$BV$17)+SUMPRODUCT(Adds!$C$45:$Z$45,Curves!$AY$40:$BV$40)+SUMPRODUCT(Adds!$C$46:$Z$46,Curves!$AY$63:$BV$63)</f>
        <v/>
      </c>
      <c r="AA13" s="5">
        <f>SUMPRODUCT(Adds!$C$44:$AA$44,Curves!$AX$17:$BV$17)+SUMPRODUCT(Adds!$C$45:$AA$45,Curves!$AX$40:$BV$40)+SUMPRODUCT(Adds!$C$46:$AA$46,Curves!$AX$63:$BV$63)</f>
        <v/>
      </c>
      <c r="AB13" s="5">
        <f>SUMPRODUCT(Adds!$C$44:$AB$44,Curves!$AW$17:$BV$17)+SUMPRODUCT(Adds!$C$45:$AB$45,Curves!$AW$40:$BV$40)+SUMPRODUCT(Adds!$C$46:$AB$46,Curves!$AW$63:$BV$63)</f>
        <v/>
      </c>
      <c r="AC13" s="5">
        <f>SUMPRODUCT(Adds!$C$44:$AC$44,Curves!$AV$17:$BV$17)+SUMPRODUCT(Adds!$C$45:$AC$45,Curves!$AV$40:$BV$40)+SUMPRODUCT(Adds!$C$46:$AC$46,Curves!$AV$63:$BV$63)</f>
        <v/>
      </c>
      <c r="AD13" s="5">
        <f>SUMPRODUCT(Adds!$C$44:$AD$44,Curves!$AU$17:$BV$17)+SUMPRODUCT(Adds!$C$45:$AD$45,Curves!$AU$40:$BV$40)+SUMPRODUCT(Adds!$C$46:$AD$46,Curves!$AU$63:$BV$63)</f>
        <v/>
      </c>
      <c r="AE13" s="5">
        <f>SUMPRODUCT(Adds!$C$44:$AE$44,Curves!$AT$17:$BV$17)+SUMPRODUCT(Adds!$C$45:$AE$45,Curves!$AT$40:$BV$40)+SUMPRODUCT(Adds!$C$46:$AE$46,Curves!$AT$63:$BV$63)</f>
        <v/>
      </c>
      <c r="AF13" s="5">
        <f>SUMPRODUCT(Adds!$C$44:$AF$44,Curves!$AS$17:$BV$17)+SUMPRODUCT(Adds!$C$45:$AF$45,Curves!$AS$40:$BV$40)+SUMPRODUCT(Adds!$C$46:$AF$46,Curves!$AS$63:$BV$63)</f>
        <v/>
      </c>
      <c r="AG13" s="5">
        <f>SUMPRODUCT(Adds!$C$44:$AG$44,Curves!$AR$17:$BV$17)+SUMPRODUCT(Adds!$C$45:$AG$45,Curves!$AR$40:$BV$40)+SUMPRODUCT(Adds!$C$46:$AG$46,Curves!$AR$63:$BV$63)</f>
        <v/>
      </c>
      <c r="AH13" s="5">
        <f>SUMPRODUCT(Adds!$C$44:$AH$44,Curves!$AQ$17:$BV$17)+SUMPRODUCT(Adds!$C$45:$AH$45,Curves!$AQ$40:$BV$40)+SUMPRODUCT(Adds!$C$46:$AH$46,Curves!$AQ$63:$BV$63)</f>
        <v/>
      </c>
      <c r="AI13" s="5">
        <f>SUMPRODUCT(Adds!$C$44:$AI$44,Curves!$AP$17:$BV$17)+SUMPRODUCT(Adds!$C$45:$AI$45,Curves!$AP$40:$BV$40)+SUMPRODUCT(Adds!$C$46:$AI$46,Curves!$AP$63:$BV$63)</f>
        <v/>
      </c>
      <c r="AJ13" s="5">
        <f>SUMPRODUCT(Adds!$C$44:$AJ$44,Curves!$AO$17:$BV$17)+SUMPRODUCT(Adds!$C$45:$AJ$45,Curves!$AO$40:$BV$40)+SUMPRODUCT(Adds!$C$46:$AJ$46,Curves!$AO$63:$BV$63)</f>
        <v/>
      </c>
      <c r="AK13" s="5">
        <f>SUMPRODUCT(Adds!$C$44:$AK$44,Curves!$AN$17:$BV$17)+SUMPRODUCT(Adds!$C$45:$AK$45,Curves!$AN$40:$BV$40)+SUMPRODUCT(Adds!$C$46:$AK$46,Curves!$AN$63:$BV$63)</f>
        <v/>
      </c>
      <c r="AL13" s="5">
        <f>SUMPRODUCT(Adds!$C$44:$AL$44,Curves!$AM$17:$BV$17)+SUMPRODUCT(Adds!$C$45:$AL$45,Curves!$AM$40:$BV$40)+SUMPRODUCT(Adds!$C$46:$AL$46,Curves!$AM$63:$BV$63)</f>
        <v/>
      </c>
      <c r="AM13" s="5">
        <f>SUMPRODUCT(Adds!$C$44:$AM$44,Curves!$AL$17:$BV$17)+SUMPRODUCT(Adds!$C$45:$AM$45,Curves!$AL$40:$BV$40)+SUMPRODUCT(Adds!$C$46:$AM$46,Curves!$AL$63:$BV$63)</f>
        <v/>
      </c>
      <c r="AN13" s="5">
        <f>SUMPRODUCT(Adds!$C$44:$AN$44,Curves!$AK$17:$BV$17)+SUMPRODUCT(Adds!$C$45:$AN$45,Curves!$AK$40:$BV$40)+SUMPRODUCT(Adds!$C$46:$AN$46,Curves!$AK$63:$BV$63)</f>
        <v/>
      </c>
      <c r="AO13" s="5">
        <f>SUMPRODUCT(Adds!$C$44:$AO$44,Curves!$AJ$17:$BV$17)+SUMPRODUCT(Adds!$C$45:$AO$45,Curves!$AJ$40:$BV$40)+SUMPRODUCT(Adds!$C$46:$AO$46,Curves!$AJ$63:$BV$63)</f>
        <v/>
      </c>
      <c r="AP13" s="5">
        <f>SUMPRODUCT(Adds!$C$44:$AP$44,Curves!$AI$17:$BV$17)+SUMPRODUCT(Adds!$C$45:$AP$45,Curves!$AI$40:$BV$40)+SUMPRODUCT(Adds!$C$46:$AP$46,Curves!$AI$63:$BV$63)</f>
        <v/>
      </c>
      <c r="AQ13" s="5">
        <f>SUMPRODUCT(Adds!$C$44:$AQ$44,Curves!$AH$17:$BV$17)+SUMPRODUCT(Adds!$C$45:$AQ$45,Curves!$AH$40:$BV$40)+SUMPRODUCT(Adds!$C$46:$AQ$46,Curves!$AH$63:$BV$63)</f>
        <v/>
      </c>
      <c r="AR13" s="5">
        <f>SUMPRODUCT(Adds!$C$44:$AR$44,Curves!$AG$17:$BV$17)+SUMPRODUCT(Adds!$C$45:$AR$45,Curves!$AG$40:$BV$40)+SUMPRODUCT(Adds!$C$46:$AR$46,Curves!$AG$63:$BV$63)</f>
        <v/>
      </c>
      <c r="AS13" s="5">
        <f>SUMPRODUCT(Adds!$C$44:$AS$44,Curves!$AF$17:$BV$17)+SUMPRODUCT(Adds!$C$45:$AS$45,Curves!$AF$40:$BV$40)+SUMPRODUCT(Adds!$C$46:$AS$46,Curves!$AF$63:$BV$63)</f>
        <v/>
      </c>
      <c r="AT13" s="5">
        <f>SUMPRODUCT(Adds!$C$44:$AT$44,Curves!$AE$17:$BV$17)+SUMPRODUCT(Adds!$C$45:$AT$45,Curves!$AE$40:$BV$40)+SUMPRODUCT(Adds!$C$46:$AT$46,Curves!$AE$63:$BV$63)</f>
        <v/>
      </c>
      <c r="AU13" s="5">
        <f>SUMPRODUCT(Adds!$C$44:$AU$44,Curves!$AD$17:$BV$17)+SUMPRODUCT(Adds!$C$45:$AU$45,Curves!$AD$40:$BV$40)+SUMPRODUCT(Adds!$C$46:$AU$46,Curves!$AD$63:$BV$63)</f>
        <v/>
      </c>
      <c r="AV13" s="5">
        <f>SUMPRODUCT(Adds!$C$44:$AV$44,Curves!$AC$17:$BV$17)+SUMPRODUCT(Adds!$C$45:$AV$45,Curves!$AC$40:$BV$40)+SUMPRODUCT(Adds!$C$46:$AV$46,Curves!$AC$63:$BV$63)</f>
        <v/>
      </c>
      <c r="AW13" s="5">
        <f>SUMPRODUCT(Adds!$C$44:$AW$44,Curves!$AB$17:$BV$17)+SUMPRODUCT(Adds!$C$45:$AW$45,Curves!$AB$40:$BV$40)+SUMPRODUCT(Adds!$C$46:$AW$46,Curves!$AB$63:$BV$63)</f>
        <v/>
      </c>
      <c r="AX13" s="5">
        <f>SUMPRODUCT(Adds!$C$44:$AX$44,Curves!$AA$17:$BV$17)+SUMPRODUCT(Adds!$C$45:$AX$45,Curves!$AA$40:$BV$40)+SUMPRODUCT(Adds!$C$46:$AX$46,Curves!$AA$63:$BV$63)</f>
        <v/>
      </c>
      <c r="AY13" s="5">
        <f>SUMPRODUCT(Adds!$C$44:$AY$44,Curves!$Z$17:$BV$17)+SUMPRODUCT(Adds!$C$45:$AY$45,Curves!$Z$40:$BV$40)+SUMPRODUCT(Adds!$C$46:$AY$46,Curves!$Z$63:$BV$63)</f>
        <v/>
      </c>
      <c r="AZ13" s="5">
        <f>SUMPRODUCT(Adds!$C$44:$AZ$44,Curves!$Y$17:$BV$17)+SUMPRODUCT(Adds!$C$45:$AZ$45,Curves!$Y$40:$BV$40)+SUMPRODUCT(Adds!$C$46:$AZ$46,Curves!$Y$63:$BV$63)</f>
        <v/>
      </c>
      <c r="BA13" s="5">
        <f>SUMPRODUCT(Adds!$C$44:$BA$44,Curves!$X$17:$BV$17)+SUMPRODUCT(Adds!$C$45:$BA$45,Curves!$X$40:$BV$40)+SUMPRODUCT(Adds!$C$46:$BA$46,Curves!$X$63:$BV$63)</f>
        <v/>
      </c>
      <c r="BB13" s="5">
        <f>SUMPRODUCT(Adds!$C$44:$BB$44,Curves!$W$17:$BV$17)+SUMPRODUCT(Adds!$C$45:$BB$45,Curves!$W$40:$BV$40)+SUMPRODUCT(Adds!$C$46:$BB$46,Curves!$W$63:$BV$63)</f>
        <v/>
      </c>
      <c r="BC13" s="5">
        <f>SUMPRODUCT(Adds!$C$44:$BC$44,Curves!$V$17:$BV$17)+SUMPRODUCT(Adds!$C$45:$BC$45,Curves!$V$40:$BV$40)+SUMPRODUCT(Adds!$C$46:$BC$46,Curves!$V$63:$BV$63)</f>
        <v/>
      </c>
      <c r="BD13" s="5">
        <f>SUMPRODUCT(Adds!$C$44:$BD$44,Curves!$U$17:$BV$17)+SUMPRODUCT(Adds!$C$45:$BD$45,Curves!$U$40:$BV$40)+SUMPRODUCT(Adds!$C$46:$BD$46,Curves!$U$63:$BV$63)</f>
        <v/>
      </c>
      <c r="BE13" s="5">
        <f>SUMPRODUCT(Adds!$C$44:$BE$44,Curves!$T$17:$BV$17)+SUMPRODUCT(Adds!$C$45:$BE$45,Curves!$T$40:$BV$40)+SUMPRODUCT(Adds!$C$46:$BE$46,Curves!$T$63:$BV$63)</f>
        <v/>
      </c>
      <c r="BF13" s="5">
        <f>SUMPRODUCT(Adds!$C$44:$BF$44,Curves!$S$17:$BV$17)+SUMPRODUCT(Adds!$C$45:$BF$45,Curves!$S$40:$BV$40)+SUMPRODUCT(Adds!$C$46:$BF$46,Curves!$S$63:$BV$63)</f>
        <v/>
      </c>
      <c r="BG13" s="5">
        <f>SUMPRODUCT(Adds!$C$44:$BG$44,Curves!$R$17:$BV$17)+SUMPRODUCT(Adds!$C$45:$BG$45,Curves!$R$40:$BV$40)+SUMPRODUCT(Adds!$C$46:$BG$46,Curves!$R$63:$BV$63)</f>
        <v/>
      </c>
      <c r="BH13" s="5">
        <f>SUMPRODUCT(Adds!$C$44:$BH$44,Curves!$Q$17:$BV$17)+SUMPRODUCT(Adds!$C$45:$BH$45,Curves!$Q$40:$BV$40)+SUMPRODUCT(Adds!$C$46:$BH$46,Curves!$Q$63:$BV$63)</f>
        <v/>
      </c>
      <c r="BI13" s="5">
        <f>SUMPRODUCT(Adds!$C$44:$BI$44,Curves!$P$17:$BV$17)+SUMPRODUCT(Adds!$C$45:$BI$45,Curves!$P$40:$BV$40)+SUMPRODUCT(Adds!$C$46:$BI$46,Curves!$P$63:$BV$63)</f>
        <v/>
      </c>
      <c r="BJ13" s="5">
        <f>SUMPRODUCT(Adds!$C$44:$BJ$44,Curves!$O$17:$BV$17)+SUMPRODUCT(Adds!$C$45:$BJ$45,Curves!$O$40:$BV$40)+SUMPRODUCT(Adds!$C$46:$BJ$46,Curves!$O$63:$BV$63)</f>
        <v/>
      </c>
      <c r="BK13" s="5">
        <f>SUMPRODUCT(Adds!$C$44:$BK$44,Curves!$N$17:$BV$17)+SUMPRODUCT(Adds!$C$45:$BK$45,Curves!$N$40:$BV$40)+SUMPRODUCT(Adds!$C$46:$BK$46,Curves!$N$63:$BV$63)</f>
        <v/>
      </c>
      <c r="BL13" s="5">
        <f>SUMPRODUCT(Adds!$C$44:$BL$44,Curves!$M$17:$BV$17)+SUMPRODUCT(Adds!$C$45:$BL$45,Curves!$M$40:$BV$40)+SUMPRODUCT(Adds!$C$46:$BL$46,Curves!$M$63:$BV$63)</f>
        <v/>
      </c>
      <c r="BM13" s="5">
        <f>SUMPRODUCT(Adds!$C$44:$BM$44,Curves!$L$17:$BV$17)+SUMPRODUCT(Adds!$C$45:$BM$45,Curves!$L$40:$BV$40)+SUMPRODUCT(Adds!$C$46:$BM$46,Curves!$L$63:$BV$63)</f>
        <v/>
      </c>
      <c r="BN13" s="5">
        <f>SUMPRODUCT(Adds!$C$44:$BN$44,Curves!$K$17:$BV$17)+SUMPRODUCT(Adds!$C$45:$BN$45,Curves!$K$40:$BV$40)+SUMPRODUCT(Adds!$C$46:$BN$46,Curves!$K$63:$BV$63)</f>
        <v/>
      </c>
      <c r="BO13" s="5">
        <f>SUMPRODUCT(Adds!$C$44:$BO$44,Curves!$J$17:$BV$17)+SUMPRODUCT(Adds!$C$45:$BO$45,Curves!$J$40:$BV$40)+SUMPRODUCT(Adds!$C$46:$BO$46,Curves!$J$63:$BV$63)</f>
        <v/>
      </c>
      <c r="BP13" s="5">
        <f>SUMPRODUCT(Adds!$C$44:$BP$44,Curves!$I$17:$BV$17)+SUMPRODUCT(Adds!$C$45:$BP$45,Curves!$I$40:$BV$40)+SUMPRODUCT(Adds!$C$46:$BP$46,Curves!$I$63:$BV$63)</f>
        <v/>
      </c>
      <c r="BQ13" s="5">
        <f>SUMPRODUCT(Adds!$C$44:$BQ$44,Curves!$H$17:$BV$17)+SUMPRODUCT(Adds!$C$45:$BQ$45,Curves!$H$40:$BV$40)+SUMPRODUCT(Adds!$C$46:$BQ$46,Curves!$H$63:$BV$63)</f>
        <v/>
      </c>
      <c r="BR13" s="5">
        <f>SUMPRODUCT(Adds!$C$44:$BR$44,Curves!$G$17:$BV$17)+SUMPRODUCT(Adds!$C$45:$BR$45,Curves!$G$40:$BV$40)+SUMPRODUCT(Adds!$C$46:$BR$46,Curves!$G$63:$BV$63)</f>
        <v/>
      </c>
      <c r="BS13" s="5">
        <f>SUMPRODUCT(Adds!$C$44:$BS$44,Curves!$F$17:$BV$17)+SUMPRODUCT(Adds!$C$45:$BS$45,Curves!$F$40:$BV$40)+SUMPRODUCT(Adds!$C$46:$BS$46,Curves!$F$63:$BV$63)</f>
        <v/>
      </c>
      <c r="BT13" s="5">
        <f>SUMPRODUCT(Adds!$C$44:$BT$44,Curves!$E$17:$BV$17)+SUMPRODUCT(Adds!$C$45:$BT$45,Curves!$E$40:$BV$40)+SUMPRODUCT(Adds!$C$46:$BT$46,Curves!$E$63:$BV$63)</f>
        <v/>
      </c>
      <c r="BU13" s="5">
        <f>SUMPRODUCT(Adds!$C$44:$BU$44,Curves!$D$17:$BV$17)+SUMPRODUCT(Adds!$C$45:$BU$45,Curves!$D$40:$BV$40)+SUMPRODUCT(Adds!$C$46:$BU$46,Curves!$D$63:$BV$63)</f>
        <v/>
      </c>
      <c r="BV13" s="5">
        <f>SUMPRODUCT(Adds!$C$44:$BV$44,Curves!$C$17:$BV$17)+SUMPRODUCT(Adds!$C$45:$BV$45,Curves!$C$40:$BV$40)+SUMPRODUCT(Adds!$C$46:$BV$46,Curves!$C$63:$BV$63)</f>
        <v/>
      </c>
    </row>
    <row r="15">
      <c r="A15" t="inlineStr">
        <is>
          <t>active</t>
        </is>
      </c>
      <c r="B15" t="inlineStr">
        <is>
          <t>US_CA|BASIC_A</t>
        </is>
      </c>
      <c r="C15" s="5">
        <f>Adds!$C$59*Curves!$BV$16+Adds!$C$60*Curves!$BV$39+Adds!$C$61*Curves!$BV$62</f>
        <v/>
      </c>
      <c r="D15" s="5">
        <f>SUMPRODUCT(Adds!$C$59:$D$59,Curves!$BU$16:$BV$16)+SUMPRODUCT(Adds!$C$60:$D$60,Curves!$BU$39:$BV$39)+SUMPRODUCT(Adds!$C$61:$D$61,Curves!$BU$62:$BV$62)</f>
        <v/>
      </c>
      <c r="E15" s="5">
        <f>SUMPRODUCT(Adds!$C$59:$E$59,Curves!$BT$16:$BV$16)+SUMPRODUCT(Adds!$C$60:$E$60,Curves!$BT$39:$BV$39)+SUMPRODUCT(Adds!$C$61:$E$61,Curves!$BT$62:$BV$62)</f>
        <v/>
      </c>
      <c r="F15" s="5">
        <f>SUMPRODUCT(Adds!$C$59:$F$59,Curves!$BS$16:$BV$16)+SUMPRODUCT(Adds!$C$60:$F$60,Curves!$BS$39:$BV$39)+SUMPRODUCT(Adds!$C$61:$F$61,Curves!$BS$62:$BV$62)</f>
        <v/>
      </c>
      <c r="G15" s="5">
        <f>SUMPRODUCT(Adds!$C$59:$G$59,Curves!$BR$16:$BV$16)+SUMPRODUCT(Adds!$C$60:$G$60,Curves!$BR$39:$BV$39)+SUMPRODUCT(Adds!$C$61:$G$61,Curves!$BR$62:$BV$62)</f>
        <v/>
      </c>
      <c r="H15" s="5">
        <f>SUMPRODUCT(Adds!$C$59:$H$59,Curves!$BQ$16:$BV$16)+SUMPRODUCT(Adds!$C$60:$H$60,Curves!$BQ$39:$BV$39)+SUMPRODUCT(Adds!$C$61:$H$61,Curves!$BQ$62:$BV$62)</f>
        <v/>
      </c>
      <c r="I15" s="5">
        <f>SUMPRODUCT(Adds!$C$59:$I$59,Curves!$BP$16:$BV$16)+SUMPRODUCT(Adds!$C$60:$I$60,Curves!$BP$39:$BV$39)+SUMPRODUCT(Adds!$C$61:$I$61,Curves!$BP$62:$BV$62)</f>
        <v/>
      </c>
      <c r="J15" s="5">
        <f>SUMPRODUCT(Adds!$C$59:$J$59,Curves!$BO$16:$BV$16)+SUMPRODUCT(Adds!$C$60:$J$60,Curves!$BO$39:$BV$39)+SUMPRODUCT(Adds!$C$61:$J$61,Curves!$BO$62:$BV$62)</f>
        <v/>
      </c>
      <c r="K15" s="5">
        <f>SUMPRODUCT(Adds!$C$59:$K$59,Curves!$BN$16:$BV$16)+SUMPRODUCT(Adds!$C$60:$K$60,Curves!$BN$39:$BV$39)+SUMPRODUCT(Adds!$C$61:$K$61,Curves!$BN$62:$BV$62)</f>
        <v/>
      </c>
      <c r="L15" s="5">
        <f>SUMPRODUCT(Adds!$C$59:$L$59,Curves!$BM$16:$BV$16)+SUMPRODUCT(Adds!$C$60:$L$60,Curves!$BM$39:$BV$39)+SUMPRODUCT(Adds!$C$61:$L$61,Curves!$BM$62:$BV$62)</f>
        <v/>
      </c>
      <c r="M15" s="5">
        <f>SUMPRODUCT(Adds!$C$59:$M$59,Curves!$BL$16:$BV$16)+SUMPRODUCT(Adds!$C$60:$M$60,Curves!$BL$39:$BV$39)+SUMPRODUCT(Adds!$C$61:$M$61,Curves!$BL$62:$BV$62)</f>
        <v/>
      </c>
      <c r="N15" s="5">
        <f>SUMPRODUCT(Adds!$C$59:$N$59,Curves!$BK$16:$BV$16)+SUMPRODUCT(Adds!$C$60:$N$60,Curves!$BK$39:$BV$39)+SUMPRODUCT(Adds!$C$61:$N$61,Curves!$BK$62:$BV$62)</f>
        <v/>
      </c>
      <c r="O15" s="5">
        <f>SUMPRODUCT(Adds!$C$59:$O$59,Curves!$BJ$16:$BV$16)+SUMPRODUCT(Adds!$C$60:$O$60,Curves!$BJ$39:$BV$39)+SUMPRODUCT(Adds!$C$61:$O$61,Curves!$BJ$62:$BV$62)</f>
        <v/>
      </c>
      <c r="P15" s="5">
        <f>SUMPRODUCT(Adds!$C$59:$P$59,Curves!$BI$16:$BV$16)+SUMPRODUCT(Adds!$C$60:$P$60,Curves!$BI$39:$BV$39)+SUMPRODUCT(Adds!$C$61:$P$61,Curves!$BI$62:$BV$62)</f>
        <v/>
      </c>
      <c r="Q15" s="5">
        <f>SUMPRODUCT(Adds!$C$59:$Q$59,Curves!$BH$16:$BV$16)+SUMPRODUCT(Adds!$C$60:$Q$60,Curves!$BH$39:$BV$39)+SUMPRODUCT(Adds!$C$61:$Q$61,Curves!$BH$62:$BV$62)</f>
        <v/>
      </c>
      <c r="R15" s="5">
        <f>SUMPRODUCT(Adds!$C$59:$R$59,Curves!$BG$16:$BV$16)+SUMPRODUCT(Adds!$C$60:$R$60,Curves!$BG$39:$BV$39)+SUMPRODUCT(Adds!$C$61:$R$61,Curves!$BG$62:$BV$62)</f>
        <v/>
      </c>
      <c r="S15" s="5">
        <f>SUMPRODUCT(Adds!$C$59:$S$59,Curves!$BF$16:$BV$16)+SUMPRODUCT(Adds!$C$60:$S$60,Curves!$BF$39:$BV$39)+SUMPRODUCT(Adds!$C$61:$S$61,Curves!$BF$62:$BV$62)</f>
        <v/>
      </c>
      <c r="T15" s="5">
        <f>SUMPRODUCT(Adds!$C$59:$T$59,Curves!$BE$16:$BV$16)+SUMPRODUCT(Adds!$C$60:$T$60,Curves!$BE$39:$BV$39)+SUMPRODUCT(Adds!$C$61:$T$61,Curves!$BE$62:$BV$62)</f>
        <v/>
      </c>
      <c r="U15" s="5">
        <f>SUMPRODUCT(Adds!$C$59:$U$59,Curves!$BD$16:$BV$16)+SUMPRODUCT(Adds!$C$60:$U$60,Curves!$BD$39:$BV$39)+SUMPRODUCT(Adds!$C$61:$U$61,Curves!$BD$62:$BV$62)</f>
        <v/>
      </c>
      <c r="V15" s="5">
        <f>SUMPRODUCT(Adds!$C$59:$V$59,Curves!$BC$16:$BV$16)+SUMPRODUCT(Adds!$C$60:$V$60,Curves!$BC$39:$BV$39)+SUMPRODUCT(Adds!$C$61:$V$61,Curves!$BC$62:$BV$62)</f>
        <v/>
      </c>
      <c r="W15" s="5">
        <f>SUMPRODUCT(Adds!$C$59:$W$59,Curves!$BB$16:$BV$16)+SUMPRODUCT(Adds!$C$60:$W$60,Curves!$BB$39:$BV$39)+SUMPRODUCT(Adds!$C$61:$W$61,Curves!$BB$62:$BV$62)</f>
        <v/>
      </c>
      <c r="X15" s="5">
        <f>SUMPRODUCT(Adds!$C$59:$X$59,Curves!$BA$16:$BV$16)+SUMPRODUCT(Adds!$C$60:$X$60,Curves!$BA$39:$BV$39)+SUMPRODUCT(Adds!$C$61:$X$61,Curves!$BA$62:$BV$62)</f>
        <v/>
      </c>
      <c r="Y15" s="5">
        <f>SUMPRODUCT(Adds!$C$59:$Y$59,Curves!$AZ$16:$BV$16)+SUMPRODUCT(Adds!$C$60:$Y$60,Curves!$AZ$39:$BV$39)+SUMPRODUCT(Adds!$C$61:$Y$61,Curves!$AZ$62:$BV$62)</f>
        <v/>
      </c>
      <c r="Z15" s="5">
        <f>SUMPRODUCT(Adds!$C$59:$Z$59,Curves!$AY$16:$BV$16)+SUMPRODUCT(Adds!$C$60:$Z$60,Curves!$AY$39:$BV$39)+SUMPRODUCT(Adds!$C$61:$Z$61,Curves!$AY$62:$BV$62)</f>
        <v/>
      </c>
      <c r="AA15" s="5">
        <f>SUMPRODUCT(Adds!$C$59:$AA$59,Curves!$AX$16:$BV$16)+SUMPRODUCT(Adds!$C$60:$AA$60,Curves!$AX$39:$BV$39)+SUMPRODUCT(Adds!$C$61:$AA$61,Curves!$AX$62:$BV$62)</f>
        <v/>
      </c>
      <c r="AB15" s="5">
        <f>SUMPRODUCT(Adds!$C$59:$AB$59,Curves!$AW$16:$BV$16)+SUMPRODUCT(Adds!$C$60:$AB$60,Curves!$AW$39:$BV$39)+SUMPRODUCT(Adds!$C$61:$AB$61,Curves!$AW$62:$BV$62)</f>
        <v/>
      </c>
      <c r="AC15" s="5">
        <f>SUMPRODUCT(Adds!$C$59:$AC$59,Curves!$AV$16:$BV$16)+SUMPRODUCT(Adds!$C$60:$AC$60,Curves!$AV$39:$BV$39)+SUMPRODUCT(Adds!$C$61:$AC$61,Curves!$AV$62:$BV$62)</f>
        <v/>
      </c>
      <c r="AD15" s="5">
        <f>SUMPRODUCT(Adds!$C$59:$AD$59,Curves!$AU$16:$BV$16)+SUMPRODUCT(Adds!$C$60:$AD$60,Curves!$AU$39:$BV$39)+SUMPRODUCT(Adds!$C$61:$AD$61,Curves!$AU$62:$BV$62)</f>
        <v/>
      </c>
      <c r="AE15" s="5">
        <f>SUMPRODUCT(Adds!$C$59:$AE$59,Curves!$AT$16:$BV$16)+SUMPRODUCT(Adds!$C$60:$AE$60,Curves!$AT$39:$BV$39)+SUMPRODUCT(Adds!$C$61:$AE$61,Curves!$AT$62:$BV$62)</f>
        <v/>
      </c>
      <c r="AF15" s="5">
        <f>SUMPRODUCT(Adds!$C$59:$AF$59,Curves!$AS$16:$BV$16)+SUMPRODUCT(Adds!$C$60:$AF$60,Curves!$AS$39:$BV$39)+SUMPRODUCT(Adds!$C$61:$AF$61,Curves!$AS$62:$BV$62)</f>
        <v/>
      </c>
      <c r="AG15" s="5">
        <f>SUMPRODUCT(Adds!$C$59:$AG$59,Curves!$AR$16:$BV$16)+SUMPRODUCT(Adds!$C$60:$AG$60,Curves!$AR$39:$BV$39)+SUMPRODUCT(Adds!$C$61:$AG$61,Curves!$AR$62:$BV$62)</f>
        <v/>
      </c>
      <c r="AH15" s="5">
        <f>SUMPRODUCT(Adds!$C$59:$AH$59,Curves!$AQ$16:$BV$16)+SUMPRODUCT(Adds!$C$60:$AH$60,Curves!$AQ$39:$BV$39)+SUMPRODUCT(Adds!$C$61:$AH$61,Curves!$AQ$62:$BV$62)</f>
        <v/>
      </c>
      <c r="AI15" s="5">
        <f>SUMPRODUCT(Adds!$C$59:$AI$59,Curves!$AP$16:$BV$16)+SUMPRODUCT(Adds!$C$60:$AI$60,Curves!$AP$39:$BV$39)+SUMPRODUCT(Adds!$C$61:$AI$61,Curves!$AP$62:$BV$62)</f>
        <v/>
      </c>
      <c r="AJ15" s="5">
        <f>SUMPRODUCT(Adds!$C$59:$AJ$59,Curves!$AO$16:$BV$16)+SUMPRODUCT(Adds!$C$60:$AJ$60,Curves!$AO$39:$BV$39)+SUMPRODUCT(Adds!$C$61:$AJ$61,Curves!$AO$62:$BV$62)</f>
        <v/>
      </c>
      <c r="AK15" s="5">
        <f>SUMPRODUCT(Adds!$C$59:$AK$59,Curves!$AN$16:$BV$16)+SUMPRODUCT(Adds!$C$60:$AK$60,Curves!$AN$39:$BV$39)+SUMPRODUCT(Adds!$C$61:$AK$61,Curves!$AN$62:$BV$62)</f>
        <v/>
      </c>
      <c r="AL15" s="5">
        <f>SUMPRODUCT(Adds!$C$59:$AL$59,Curves!$AM$16:$BV$16)+SUMPRODUCT(Adds!$C$60:$AL$60,Curves!$AM$39:$BV$39)+SUMPRODUCT(Adds!$C$61:$AL$61,Curves!$AM$62:$BV$62)</f>
        <v/>
      </c>
      <c r="AM15" s="5">
        <f>SUMPRODUCT(Adds!$C$59:$AM$59,Curves!$AL$16:$BV$16)+SUMPRODUCT(Adds!$C$60:$AM$60,Curves!$AL$39:$BV$39)+SUMPRODUCT(Adds!$C$61:$AM$61,Curves!$AL$62:$BV$62)</f>
        <v/>
      </c>
      <c r="AN15" s="5">
        <f>SUMPRODUCT(Adds!$C$59:$AN$59,Curves!$AK$16:$BV$16)+SUMPRODUCT(Adds!$C$60:$AN$60,Curves!$AK$39:$BV$39)+SUMPRODUCT(Adds!$C$61:$AN$61,Curves!$AK$62:$BV$62)</f>
        <v/>
      </c>
      <c r="AO15" s="5">
        <f>SUMPRODUCT(Adds!$C$59:$AO$59,Curves!$AJ$16:$BV$16)+SUMPRODUCT(Adds!$C$60:$AO$60,Curves!$AJ$39:$BV$39)+SUMPRODUCT(Adds!$C$61:$AO$61,Curves!$AJ$62:$BV$62)</f>
        <v/>
      </c>
      <c r="AP15" s="5">
        <f>SUMPRODUCT(Adds!$C$59:$AP$59,Curves!$AI$16:$BV$16)+SUMPRODUCT(Adds!$C$60:$AP$60,Curves!$AI$39:$BV$39)+SUMPRODUCT(Adds!$C$61:$AP$61,Curves!$AI$62:$BV$62)</f>
        <v/>
      </c>
      <c r="AQ15" s="5">
        <f>SUMPRODUCT(Adds!$C$59:$AQ$59,Curves!$AH$16:$BV$16)+SUMPRODUCT(Adds!$C$60:$AQ$60,Curves!$AH$39:$BV$39)+SUMPRODUCT(Adds!$C$61:$AQ$61,Curves!$AH$62:$BV$62)</f>
        <v/>
      </c>
      <c r="AR15" s="5">
        <f>SUMPRODUCT(Adds!$C$59:$AR$59,Curves!$AG$16:$BV$16)+SUMPRODUCT(Adds!$C$60:$AR$60,Curves!$AG$39:$BV$39)+SUMPRODUCT(Adds!$C$61:$AR$61,Curves!$AG$62:$BV$62)</f>
        <v/>
      </c>
      <c r="AS15" s="5">
        <f>SUMPRODUCT(Adds!$C$59:$AS$59,Curves!$AF$16:$BV$16)+SUMPRODUCT(Adds!$C$60:$AS$60,Curves!$AF$39:$BV$39)+SUMPRODUCT(Adds!$C$61:$AS$61,Curves!$AF$62:$BV$62)</f>
        <v/>
      </c>
      <c r="AT15" s="5">
        <f>SUMPRODUCT(Adds!$C$59:$AT$59,Curves!$AE$16:$BV$16)+SUMPRODUCT(Adds!$C$60:$AT$60,Curves!$AE$39:$BV$39)+SUMPRODUCT(Adds!$C$61:$AT$61,Curves!$AE$62:$BV$62)</f>
        <v/>
      </c>
      <c r="AU15" s="5">
        <f>SUMPRODUCT(Adds!$C$59:$AU$59,Curves!$AD$16:$BV$16)+SUMPRODUCT(Adds!$C$60:$AU$60,Curves!$AD$39:$BV$39)+SUMPRODUCT(Adds!$C$61:$AU$61,Curves!$AD$62:$BV$62)</f>
        <v/>
      </c>
      <c r="AV15" s="5">
        <f>SUMPRODUCT(Adds!$C$59:$AV$59,Curves!$AC$16:$BV$16)+SUMPRODUCT(Adds!$C$60:$AV$60,Curves!$AC$39:$BV$39)+SUMPRODUCT(Adds!$C$61:$AV$61,Curves!$AC$62:$BV$62)</f>
        <v/>
      </c>
      <c r="AW15" s="5">
        <f>SUMPRODUCT(Adds!$C$59:$AW$59,Curves!$AB$16:$BV$16)+SUMPRODUCT(Adds!$C$60:$AW$60,Curves!$AB$39:$BV$39)+SUMPRODUCT(Adds!$C$61:$AW$61,Curves!$AB$62:$BV$62)</f>
        <v/>
      </c>
      <c r="AX15" s="5">
        <f>SUMPRODUCT(Adds!$C$59:$AX$59,Curves!$AA$16:$BV$16)+SUMPRODUCT(Adds!$C$60:$AX$60,Curves!$AA$39:$BV$39)+SUMPRODUCT(Adds!$C$61:$AX$61,Curves!$AA$62:$BV$62)</f>
        <v/>
      </c>
      <c r="AY15" s="5">
        <f>SUMPRODUCT(Adds!$C$59:$AY$59,Curves!$Z$16:$BV$16)+SUMPRODUCT(Adds!$C$60:$AY$60,Curves!$Z$39:$BV$39)+SUMPRODUCT(Adds!$C$61:$AY$61,Curves!$Z$62:$BV$62)</f>
        <v/>
      </c>
      <c r="AZ15" s="5">
        <f>SUMPRODUCT(Adds!$C$59:$AZ$59,Curves!$Y$16:$BV$16)+SUMPRODUCT(Adds!$C$60:$AZ$60,Curves!$Y$39:$BV$39)+SUMPRODUCT(Adds!$C$61:$AZ$61,Curves!$Y$62:$BV$62)</f>
        <v/>
      </c>
      <c r="BA15" s="5">
        <f>SUMPRODUCT(Adds!$C$59:$BA$59,Curves!$X$16:$BV$16)+SUMPRODUCT(Adds!$C$60:$BA$60,Curves!$X$39:$BV$39)+SUMPRODUCT(Adds!$C$61:$BA$61,Curves!$X$62:$BV$62)</f>
        <v/>
      </c>
      <c r="BB15" s="5">
        <f>SUMPRODUCT(Adds!$C$59:$BB$59,Curves!$W$16:$BV$16)+SUMPRODUCT(Adds!$C$60:$BB$60,Curves!$W$39:$BV$39)+SUMPRODUCT(Adds!$C$61:$BB$61,Curves!$W$62:$BV$62)</f>
        <v/>
      </c>
      <c r="BC15" s="5">
        <f>SUMPRODUCT(Adds!$C$59:$BC$59,Curves!$V$16:$BV$16)+SUMPRODUCT(Adds!$C$60:$BC$60,Curves!$V$39:$BV$39)+SUMPRODUCT(Adds!$C$61:$BC$61,Curves!$V$62:$BV$62)</f>
        <v/>
      </c>
      <c r="BD15" s="5">
        <f>SUMPRODUCT(Adds!$C$59:$BD$59,Curves!$U$16:$BV$16)+SUMPRODUCT(Adds!$C$60:$BD$60,Curves!$U$39:$BV$39)+SUMPRODUCT(Adds!$C$61:$BD$61,Curves!$U$62:$BV$62)</f>
        <v/>
      </c>
      <c r="BE15" s="5">
        <f>SUMPRODUCT(Adds!$C$59:$BE$59,Curves!$T$16:$BV$16)+SUMPRODUCT(Adds!$C$60:$BE$60,Curves!$T$39:$BV$39)+SUMPRODUCT(Adds!$C$61:$BE$61,Curves!$T$62:$BV$62)</f>
        <v/>
      </c>
      <c r="BF15" s="5">
        <f>SUMPRODUCT(Adds!$C$59:$BF$59,Curves!$S$16:$BV$16)+SUMPRODUCT(Adds!$C$60:$BF$60,Curves!$S$39:$BV$39)+SUMPRODUCT(Adds!$C$61:$BF$61,Curves!$S$62:$BV$62)</f>
        <v/>
      </c>
      <c r="BG15" s="5">
        <f>SUMPRODUCT(Adds!$C$59:$BG$59,Curves!$R$16:$BV$16)+SUMPRODUCT(Adds!$C$60:$BG$60,Curves!$R$39:$BV$39)+SUMPRODUCT(Adds!$C$61:$BG$61,Curves!$R$62:$BV$62)</f>
        <v/>
      </c>
      <c r="BH15" s="5">
        <f>SUMPRODUCT(Adds!$C$59:$BH$59,Curves!$Q$16:$BV$16)+SUMPRODUCT(Adds!$C$60:$BH$60,Curves!$Q$39:$BV$39)+SUMPRODUCT(Adds!$C$61:$BH$61,Curves!$Q$62:$BV$62)</f>
        <v/>
      </c>
      <c r="BI15" s="5">
        <f>SUMPRODUCT(Adds!$C$59:$BI$59,Curves!$P$16:$BV$16)+SUMPRODUCT(Adds!$C$60:$BI$60,Curves!$P$39:$BV$39)+SUMPRODUCT(Adds!$C$61:$BI$61,Curves!$P$62:$BV$62)</f>
        <v/>
      </c>
      <c r="BJ15" s="5">
        <f>SUMPRODUCT(Adds!$C$59:$BJ$59,Curves!$O$16:$BV$16)+SUMPRODUCT(Adds!$C$60:$BJ$60,Curves!$O$39:$BV$39)+SUMPRODUCT(Adds!$C$61:$BJ$61,Curves!$O$62:$BV$62)</f>
        <v/>
      </c>
      <c r="BK15" s="5">
        <f>SUMPRODUCT(Adds!$C$59:$BK$59,Curves!$N$16:$BV$16)+SUMPRODUCT(Adds!$C$60:$BK$60,Curves!$N$39:$BV$39)+SUMPRODUCT(Adds!$C$61:$BK$61,Curves!$N$62:$BV$62)</f>
        <v/>
      </c>
      <c r="BL15" s="5">
        <f>SUMPRODUCT(Adds!$C$59:$BL$59,Curves!$M$16:$BV$16)+SUMPRODUCT(Adds!$C$60:$BL$60,Curves!$M$39:$BV$39)+SUMPRODUCT(Adds!$C$61:$BL$61,Curves!$M$62:$BV$62)</f>
        <v/>
      </c>
      <c r="BM15" s="5">
        <f>SUMPRODUCT(Adds!$C$59:$BM$59,Curves!$L$16:$BV$16)+SUMPRODUCT(Adds!$C$60:$BM$60,Curves!$L$39:$BV$39)+SUMPRODUCT(Adds!$C$61:$BM$61,Curves!$L$62:$BV$62)</f>
        <v/>
      </c>
      <c r="BN15" s="5">
        <f>SUMPRODUCT(Adds!$C$59:$BN$59,Curves!$K$16:$BV$16)+SUMPRODUCT(Adds!$C$60:$BN$60,Curves!$K$39:$BV$39)+SUMPRODUCT(Adds!$C$61:$BN$61,Curves!$K$62:$BV$62)</f>
        <v/>
      </c>
      <c r="BO15" s="5">
        <f>SUMPRODUCT(Adds!$C$59:$BO$59,Curves!$J$16:$BV$16)+SUMPRODUCT(Adds!$C$60:$BO$60,Curves!$J$39:$BV$39)+SUMPRODUCT(Adds!$C$61:$BO$61,Curves!$J$62:$BV$62)</f>
        <v/>
      </c>
      <c r="BP15" s="5">
        <f>SUMPRODUCT(Adds!$C$59:$BP$59,Curves!$I$16:$BV$16)+SUMPRODUCT(Adds!$C$60:$BP$60,Curves!$I$39:$BV$39)+SUMPRODUCT(Adds!$C$61:$BP$61,Curves!$I$62:$BV$62)</f>
        <v/>
      </c>
      <c r="BQ15" s="5">
        <f>SUMPRODUCT(Adds!$C$59:$BQ$59,Curves!$H$16:$BV$16)+SUMPRODUCT(Adds!$C$60:$BQ$60,Curves!$H$39:$BV$39)+SUMPRODUCT(Adds!$C$61:$BQ$61,Curves!$H$62:$BV$62)</f>
        <v/>
      </c>
      <c r="BR15" s="5">
        <f>SUMPRODUCT(Adds!$C$59:$BR$59,Curves!$G$16:$BV$16)+SUMPRODUCT(Adds!$C$60:$BR$60,Curves!$G$39:$BV$39)+SUMPRODUCT(Adds!$C$61:$BR$61,Curves!$G$62:$BV$62)</f>
        <v/>
      </c>
      <c r="BS15" s="5">
        <f>SUMPRODUCT(Adds!$C$59:$BS$59,Curves!$F$16:$BV$16)+SUMPRODUCT(Adds!$C$60:$BS$60,Curves!$F$39:$BV$39)+SUMPRODUCT(Adds!$C$61:$BS$61,Curves!$F$62:$BV$62)</f>
        <v/>
      </c>
      <c r="BT15" s="5">
        <f>SUMPRODUCT(Adds!$C$59:$BT$59,Curves!$E$16:$BV$16)+SUMPRODUCT(Adds!$C$60:$BT$60,Curves!$E$39:$BV$39)+SUMPRODUCT(Adds!$C$61:$BT$61,Curves!$E$62:$BV$62)</f>
        <v/>
      </c>
      <c r="BU15" s="5">
        <f>SUMPRODUCT(Adds!$C$59:$BU$59,Curves!$D$16:$BV$16)+SUMPRODUCT(Adds!$C$60:$BU$60,Curves!$D$39:$BV$39)+SUMPRODUCT(Adds!$C$61:$BU$61,Curves!$D$62:$BV$62)</f>
        <v/>
      </c>
      <c r="BV15" s="5">
        <f>SUMPRODUCT(Adds!$C$59:$BV$59,Curves!$C$16:$BV$16)+SUMPRODUCT(Adds!$C$60:$BV$60,Curves!$C$39:$BV$39)+SUMPRODUCT(Adds!$C$61:$BV$61,Curves!$C$62:$BV$62)</f>
        <v/>
      </c>
    </row>
    <row r="16">
      <c r="A16" t="inlineStr">
        <is>
          <t>active yr 1</t>
        </is>
      </c>
      <c r="B16" t="inlineStr">
        <is>
          <t>US_CA|BASIC_A</t>
        </is>
      </c>
      <c r="C16" s="5">
        <f>Adds!$C$59*Curves!$BV$23+Adds!$C$60*Curves!$BV$46+Adds!$C$61*Curves!$BV$69</f>
        <v/>
      </c>
      <c r="D16" s="5">
        <f>SUMPRODUCT(Adds!$C$59:$D$59,Curves!$BU$23:$BV$23)+SUMPRODUCT(Adds!$C$60:$D$60,Curves!$BU$46:$BV$46)+SUMPRODUCT(Adds!$C$61:$D$61,Curves!$BU$69:$BV$69)</f>
        <v/>
      </c>
      <c r="E16" s="5">
        <f>SUMPRODUCT(Adds!$C$59:$E$59,Curves!$BT$23:$BV$23)+SUMPRODUCT(Adds!$C$60:$E$60,Curves!$BT$46:$BV$46)+SUMPRODUCT(Adds!$C$61:$E$61,Curves!$BT$69:$BV$69)</f>
        <v/>
      </c>
      <c r="F16" s="5">
        <f>SUMPRODUCT(Adds!$C$59:$F$59,Curves!$BS$23:$BV$23)+SUMPRODUCT(Adds!$C$60:$F$60,Curves!$BS$46:$BV$46)+SUMPRODUCT(Adds!$C$61:$F$61,Curves!$BS$69:$BV$69)</f>
        <v/>
      </c>
      <c r="G16" s="5">
        <f>SUMPRODUCT(Adds!$C$59:$G$59,Curves!$BR$23:$BV$23)+SUMPRODUCT(Adds!$C$60:$G$60,Curves!$BR$46:$BV$46)+SUMPRODUCT(Adds!$C$61:$G$61,Curves!$BR$69:$BV$69)</f>
        <v/>
      </c>
      <c r="H16" s="5">
        <f>SUMPRODUCT(Adds!$C$59:$H$59,Curves!$BQ$23:$BV$23)+SUMPRODUCT(Adds!$C$60:$H$60,Curves!$BQ$46:$BV$46)+SUMPRODUCT(Adds!$C$61:$H$61,Curves!$BQ$69:$BV$69)</f>
        <v/>
      </c>
      <c r="I16" s="5">
        <f>SUMPRODUCT(Adds!$C$59:$I$59,Curves!$BP$23:$BV$23)+SUMPRODUCT(Adds!$C$60:$I$60,Curves!$BP$46:$BV$46)+SUMPRODUCT(Adds!$C$61:$I$61,Curves!$BP$69:$BV$69)</f>
        <v/>
      </c>
      <c r="J16" s="5">
        <f>SUMPRODUCT(Adds!$C$59:$J$59,Curves!$BO$23:$BV$23)+SUMPRODUCT(Adds!$C$60:$J$60,Curves!$BO$46:$BV$46)+SUMPRODUCT(Adds!$C$61:$J$61,Curves!$BO$69:$BV$69)</f>
        <v/>
      </c>
      <c r="K16" s="5">
        <f>SUMPRODUCT(Adds!$C$59:$K$59,Curves!$BN$23:$BV$23)+SUMPRODUCT(Adds!$C$60:$K$60,Curves!$BN$46:$BV$46)+SUMPRODUCT(Adds!$C$61:$K$61,Curves!$BN$69:$BV$69)</f>
        <v/>
      </c>
      <c r="L16" s="5">
        <f>SUMPRODUCT(Adds!$C$59:$L$59,Curves!$BM$23:$BV$23)+SUMPRODUCT(Adds!$C$60:$L$60,Curves!$BM$46:$BV$46)+SUMPRODUCT(Adds!$C$61:$L$61,Curves!$BM$69:$BV$69)</f>
        <v/>
      </c>
      <c r="M16" s="5">
        <f>SUMPRODUCT(Adds!$C$59:$M$59,Curves!$BL$23:$BV$23)+SUMPRODUCT(Adds!$C$60:$M$60,Curves!$BL$46:$BV$46)+SUMPRODUCT(Adds!$C$61:$M$61,Curves!$BL$69:$BV$69)</f>
        <v/>
      </c>
      <c r="N16" s="5">
        <f>SUMPRODUCT(Adds!$C$59:$N$59,Curves!$BK$23:$BV$23)+SUMPRODUCT(Adds!$C$60:$N$60,Curves!$BK$46:$BV$46)+SUMPRODUCT(Adds!$C$61:$N$61,Curves!$BK$69:$BV$69)</f>
        <v/>
      </c>
      <c r="O16" s="5">
        <f>SUMPRODUCT(Adds!$C$59:$O$59,Curves!$BJ$23:$BV$23)+SUMPRODUCT(Adds!$C$60:$O$60,Curves!$BJ$46:$BV$46)+SUMPRODUCT(Adds!$C$61:$O$61,Curves!$BJ$69:$BV$69)</f>
        <v/>
      </c>
      <c r="P16" s="5">
        <f>SUMPRODUCT(Adds!$C$59:$P$59,Curves!$BI$23:$BV$23)+SUMPRODUCT(Adds!$C$60:$P$60,Curves!$BI$46:$BV$46)+SUMPRODUCT(Adds!$C$61:$P$61,Curves!$BI$69:$BV$69)</f>
        <v/>
      </c>
      <c r="Q16" s="5">
        <f>SUMPRODUCT(Adds!$C$59:$Q$59,Curves!$BH$23:$BV$23)+SUMPRODUCT(Adds!$C$60:$Q$60,Curves!$BH$46:$BV$46)+SUMPRODUCT(Adds!$C$61:$Q$61,Curves!$BH$69:$BV$69)</f>
        <v/>
      </c>
      <c r="R16" s="5">
        <f>SUMPRODUCT(Adds!$C$59:$R$59,Curves!$BG$23:$BV$23)+SUMPRODUCT(Adds!$C$60:$R$60,Curves!$BG$46:$BV$46)+SUMPRODUCT(Adds!$C$61:$R$61,Curves!$BG$69:$BV$69)</f>
        <v/>
      </c>
      <c r="S16" s="5">
        <f>SUMPRODUCT(Adds!$C$59:$S$59,Curves!$BF$23:$BV$23)+SUMPRODUCT(Adds!$C$60:$S$60,Curves!$BF$46:$BV$46)+SUMPRODUCT(Adds!$C$61:$S$61,Curves!$BF$69:$BV$69)</f>
        <v/>
      </c>
      <c r="T16" s="5">
        <f>SUMPRODUCT(Adds!$C$59:$T$59,Curves!$BE$23:$BV$23)+SUMPRODUCT(Adds!$C$60:$T$60,Curves!$BE$46:$BV$46)+SUMPRODUCT(Adds!$C$61:$T$61,Curves!$BE$69:$BV$69)</f>
        <v/>
      </c>
      <c r="U16" s="5">
        <f>SUMPRODUCT(Adds!$C$59:$U$59,Curves!$BD$23:$BV$23)+SUMPRODUCT(Adds!$C$60:$U$60,Curves!$BD$46:$BV$46)+SUMPRODUCT(Adds!$C$61:$U$61,Curves!$BD$69:$BV$69)</f>
        <v/>
      </c>
      <c r="V16" s="5">
        <f>SUMPRODUCT(Adds!$C$59:$V$59,Curves!$BC$23:$BV$23)+SUMPRODUCT(Adds!$C$60:$V$60,Curves!$BC$46:$BV$46)+SUMPRODUCT(Adds!$C$61:$V$61,Curves!$BC$69:$BV$69)</f>
        <v/>
      </c>
      <c r="W16" s="5">
        <f>SUMPRODUCT(Adds!$C$59:$W$59,Curves!$BB$23:$BV$23)+SUMPRODUCT(Adds!$C$60:$W$60,Curves!$BB$46:$BV$46)+SUMPRODUCT(Adds!$C$61:$W$61,Curves!$BB$69:$BV$69)</f>
        <v/>
      </c>
      <c r="X16" s="5">
        <f>SUMPRODUCT(Adds!$C$59:$X$59,Curves!$BA$23:$BV$23)+SUMPRODUCT(Adds!$C$60:$X$60,Curves!$BA$46:$BV$46)+SUMPRODUCT(Adds!$C$61:$X$61,Curves!$BA$69:$BV$69)</f>
        <v/>
      </c>
      <c r="Y16" s="5">
        <f>SUMPRODUCT(Adds!$C$59:$Y$59,Curves!$AZ$23:$BV$23)+SUMPRODUCT(Adds!$C$60:$Y$60,Curves!$AZ$46:$BV$46)+SUMPRODUCT(Adds!$C$61:$Y$61,Curves!$AZ$69:$BV$69)</f>
        <v/>
      </c>
      <c r="Z16" s="5">
        <f>SUMPRODUCT(Adds!$C$59:$Z$59,Curves!$AY$23:$BV$23)+SUMPRODUCT(Adds!$C$60:$Z$60,Curves!$AY$46:$BV$46)+SUMPRODUCT(Adds!$C$61:$Z$61,Curves!$AY$69:$BV$69)</f>
        <v/>
      </c>
      <c r="AA16" s="5">
        <f>SUMPRODUCT(Adds!$C$59:$AA$59,Curves!$AX$23:$BV$23)+SUMPRODUCT(Adds!$C$60:$AA$60,Curves!$AX$46:$BV$46)+SUMPRODUCT(Adds!$C$61:$AA$61,Curves!$AX$69:$BV$69)</f>
        <v/>
      </c>
      <c r="AB16" s="5">
        <f>SUMPRODUCT(Adds!$C$59:$AB$59,Curves!$AW$23:$BV$23)+SUMPRODUCT(Adds!$C$60:$AB$60,Curves!$AW$46:$BV$46)+SUMPRODUCT(Adds!$C$61:$AB$61,Curves!$AW$69:$BV$69)</f>
        <v/>
      </c>
      <c r="AC16" s="5">
        <f>SUMPRODUCT(Adds!$C$59:$AC$59,Curves!$AV$23:$BV$23)+SUMPRODUCT(Adds!$C$60:$AC$60,Curves!$AV$46:$BV$46)+SUMPRODUCT(Adds!$C$61:$AC$61,Curves!$AV$69:$BV$69)</f>
        <v/>
      </c>
      <c r="AD16" s="5">
        <f>SUMPRODUCT(Adds!$C$59:$AD$59,Curves!$AU$23:$BV$23)+SUMPRODUCT(Adds!$C$60:$AD$60,Curves!$AU$46:$BV$46)+SUMPRODUCT(Adds!$C$61:$AD$61,Curves!$AU$69:$BV$69)</f>
        <v/>
      </c>
      <c r="AE16" s="5">
        <f>SUMPRODUCT(Adds!$C$59:$AE$59,Curves!$AT$23:$BV$23)+SUMPRODUCT(Adds!$C$60:$AE$60,Curves!$AT$46:$BV$46)+SUMPRODUCT(Adds!$C$61:$AE$61,Curves!$AT$69:$BV$69)</f>
        <v/>
      </c>
      <c r="AF16" s="5">
        <f>SUMPRODUCT(Adds!$C$59:$AF$59,Curves!$AS$23:$BV$23)+SUMPRODUCT(Adds!$C$60:$AF$60,Curves!$AS$46:$BV$46)+SUMPRODUCT(Adds!$C$61:$AF$61,Curves!$AS$69:$BV$69)</f>
        <v/>
      </c>
      <c r="AG16" s="5">
        <f>SUMPRODUCT(Adds!$C$59:$AG$59,Curves!$AR$23:$BV$23)+SUMPRODUCT(Adds!$C$60:$AG$60,Curves!$AR$46:$BV$46)+SUMPRODUCT(Adds!$C$61:$AG$61,Curves!$AR$69:$BV$69)</f>
        <v/>
      </c>
      <c r="AH16" s="5">
        <f>SUMPRODUCT(Adds!$C$59:$AH$59,Curves!$AQ$23:$BV$23)+SUMPRODUCT(Adds!$C$60:$AH$60,Curves!$AQ$46:$BV$46)+SUMPRODUCT(Adds!$C$61:$AH$61,Curves!$AQ$69:$BV$69)</f>
        <v/>
      </c>
      <c r="AI16" s="5">
        <f>SUMPRODUCT(Adds!$C$59:$AI$59,Curves!$AP$23:$BV$23)+SUMPRODUCT(Adds!$C$60:$AI$60,Curves!$AP$46:$BV$46)+SUMPRODUCT(Adds!$C$61:$AI$61,Curves!$AP$69:$BV$69)</f>
        <v/>
      </c>
      <c r="AJ16" s="5">
        <f>SUMPRODUCT(Adds!$C$59:$AJ$59,Curves!$AO$23:$BV$23)+SUMPRODUCT(Adds!$C$60:$AJ$60,Curves!$AO$46:$BV$46)+SUMPRODUCT(Adds!$C$61:$AJ$61,Curves!$AO$69:$BV$69)</f>
        <v/>
      </c>
      <c r="AK16" s="5">
        <f>SUMPRODUCT(Adds!$C$59:$AK$59,Curves!$AN$23:$BV$23)+SUMPRODUCT(Adds!$C$60:$AK$60,Curves!$AN$46:$BV$46)+SUMPRODUCT(Adds!$C$61:$AK$61,Curves!$AN$69:$BV$69)</f>
        <v/>
      </c>
      <c r="AL16" s="5">
        <f>SUMPRODUCT(Adds!$C$59:$AL$59,Curves!$AM$23:$BV$23)+SUMPRODUCT(Adds!$C$60:$AL$60,Curves!$AM$46:$BV$46)+SUMPRODUCT(Adds!$C$61:$AL$61,Curves!$AM$69:$BV$69)</f>
        <v/>
      </c>
      <c r="AM16" s="5">
        <f>SUMPRODUCT(Adds!$C$59:$AM$59,Curves!$AL$23:$BV$23)+SUMPRODUCT(Adds!$C$60:$AM$60,Curves!$AL$46:$BV$46)+SUMPRODUCT(Adds!$C$61:$AM$61,Curves!$AL$69:$BV$69)</f>
        <v/>
      </c>
      <c r="AN16" s="5">
        <f>SUMPRODUCT(Adds!$C$59:$AN$59,Curves!$AK$23:$BV$23)+SUMPRODUCT(Adds!$C$60:$AN$60,Curves!$AK$46:$BV$46)+SUMPRODUCT(Adds!$C$61:$AN$61,Curves!$AK$69:$BV$69)</f>
        <v/>
      </c>
      <c r="AO16" s="5">
        <f>SUMPRODUCT(Adds!$C$59:$AO$59,Curves!$AJ$23:$BV$23)+SUMPRODUCT(Adds!$C$60:$AO$60,Curves!$AJ$46:$BV$46)+SUMPRODUCT(Adds!$C$61:$AO$61,Curves!$AJ$69:$BV$69)</f>
        <v/>
      </c>
      <c r="AP16" s="5">
        <f>SUMPRODUCT(Adds!$C$59:$AP$59,Curves!$AI$23:$BV$23)+SUMPRODUCT(Adds!$C$60:$AP$60,Curves!$AI$46:$BV$46)+SUMPRODUCT(Adds!$C$61:$AP$61,Curves!$AI$69:$BV$69)</f>
        <v/>
      </c>
      <c r="AQ16" s="5">
        <f>SUMPRODUCT(Adds!$C$59:$AQ$59,Curves!$AH$23:$BV$23)+SUMPRODUCT(Adds!$C$60:$AQ$60,Curves!$AH$46:$BV$46)+SUMPRODUCT(Adds!$C$61:$AQ$61,Curves!$AH$69:$BV$69)</f>
        <v/>
      </c>
      <c r="AR16" s="5">
        <f>SUMPRODUCT(Adds!$C$59:$AR$59,Curves!$AG$23:$BV$23)+SUMPRODUCT(Adds!$C$60:$AR$60,Curves!$AG$46:$BV$46)+SUMPRODUCT(Adds!$C$61:$AR$61,Curves!$AG$69:$BV$69)</f>
        <v/>
      </c>
      <c r="AS16" s="5">
        <f>SUMPRODUCT(Adds!$C$59:$AS$59,Curves!$AF$23:$BV$23)+SUMPRODUCT(Adds!$C$60:$AS$60,Curves!$AF$46:$BV$46)+SUMPRODUCT(Adds!$C$61:$AS$61,Curves!$AF$69:$BV$69)</f>
        <v/>
      </c>
      <c r="AT16" s="5">
        <f>SUMPRODUCT(Adds!$C$59:$AT$59,Curves!$AE$23:$BV$23)+SUMPRODUCT(Adds!$C$60:$AT$60,Curves!$AE$46:$BV$46)+SUMPRODUCT(Adds!$C$61:$AT$61,Curves!$AE$69:$BV$69)</f>
        <v/>
      </c>
      <c r="AU16" s="5">
        <f>SUMPRODUCT(Adds!$C$59:$AU$59,Curves!$AD$23:$BV$23)+SUMPRODUCT(Adds!$C$60:$AU$60,Curves!$AD$46:$BV$46)+SUMPRODUCT(Adds!$C$61:$AU$61,Curves!$AD$69:$BV$69)</f>
        <v/>
      </c>
      <c r="AV16" s="5">
        <f>SUMPRODUCT(Adds!$C$59:$AV$59,Curves!$AC$23:$BV$23)+SUMPRODUCT(Adds!$C$60:$AV$60,Curves!$AC$46:$BV$46)+SUMPRODUCT(Adds!$C$61:$AV$61,Curves!$AC$69:$BV$69)</f>
        <v/>
      </c>
      <c r="AW16" s="5">
        <f>SUMPRODUCT(Adds!$C$59:$AW$59,Curves!$AB$23:$BV$23)+SUMPRODUCT(Adds!$C$60:$AW$60,Curves!$AB$46:$BV$46)+SUMPRODUCT(Adds!$C$61:$AW$61,Curves!$AB$69:$BV$69)</f>
        <v/>
      </c>
      <c r="AX16" s="5">
        <f>SUMPRODUCT(Adds!$C$59:$AX$59,Curves!$AA$23:$BV$23)+SUMPRODUCT(Adds!$C$60:$AX$60,Curves!$AA$46:$BV$46)+SUMPRODUCT(Adds!$C$61:$AX$61,Curves!$AA$69:$BV$69)</f>
        <v/>
      </c>
      <c r="AY16" s="5">
        <f>SUMPRODUCT(Adds!$C$59:$AY$59,Curves!$Z$23:$BV$23)+SUMPRODUCT(Adds!$C$60:$AY$60,Curves!$Z$46:$BV$46)+SUMPRODUCT(Adds!$C$61:$AY$61,Curves!$Z$69:$BV$69)</f>
        <v/>
      </c>
      <c r="AZ16" s="5">
        <f>SUMPRODUCT(Adds!$C$59:$AZ$59,Curves!$Y$23:$BV$23)+SUMPRODUCT(Adds!$C$60:$AZ$60,Curves!$Y$46:$BV$46)+SUMPRODUCT(Adds!$C$61:$AZ$61,Curves!$Y$69:$BV$69)</f>
        <v/>
      </c>
      <c r="BA16" s="5">
        <f>SUMPRODUCT(Adds!$C$59:$BA$59,Curves!$X$23:$BV$23)+SUMPRODUCT(Adds!$C$60:$BA$60,Curves!$X$46:$BV$46)+SUMPRODUCT(Adds!$C$61:$BA$61,Curves!$X$69:$BV$69)</f>
        <v/>
      </c>
      <c r="BB16" s="5">
        <f>SUMPRODUCT(Adds!$C$59:$BB$59,Curves!$W$23:$BV$23)+SUMPRODUCT(Adds!$C$60:$BB$60,Curves!$W$46:$BV$46)+SUMPRODUCT(Adds!$C$61:$BB$61,Curves!$W$69:$BV$69)</f>
        <v/>
      </c>
      <c r="BC16" s="5">
        <f>SUMPRODUCT(Adds!$C$59:$BC$59,Curves!$V$23:$BV$23)+SUMPRODUCT(Adds!$C$60:$BC$60,Curves!$V$46:$BV$46)+SUMPRODUCT(Adds!$C$61:$BC$61,Curves!$V$69:$BV$69)</f>
        <v/>
      </c>
      <c r="BD16" s="5">
        <f>SUMPRODUCT(Adds!$C$59:$BD$59,Curves!$U$23:$BV$23)+SUMPRODUCT(Adds!$C$60:$BD$60,Curves!$U$46:$BV$46)+SUMPRODUCT(Adds!$C$61:$BD$61,Curves!$U$69:$BV$69)</f>
        <v/>
      </c>
      <c r="BE16" s="5">
        <f>SUMPRODUCT(Adds!$C$59:$BE$59,Curves!$T$23:$BV$23)+SUMPRODUCT(Adds!$C$60:$BE$60,Curves!$T$46:$BV$46)+SUMPRODUCT(Adds!$C$61:$BE$61,Curves!$T$69:$BV$69)</f>
        <v/>
      </c>
      <c r="BF16" s="5">
        <f>SUMPRODUCT(Adds!$C$59:$BF$59,Curves!$S$23:$BV$23)+SUMPRODUCT(Adds!$C$60:$BF$60,Curves!$S$46:$BV$46)+SUMPRODUCT(Adds!$C$61:$BF$61,Curves!$S$69:$BV$69)</f>
        <v/>
      </c>
      <c r="BG16" s="5">
        <f>SUMPRODUCT(Adds!$C$59:$BG$59,Curves!$R$23:$BV$23)+SUMPRODUCT(Adds!$C$60:$BG$60,Curves!$R$46:$BV$46)+SUMPRODUCT(Adds!$C$61:$BG$61,Curves!$R$69:$BV$69)</f>
        <v/>
      </c>
      <c r="BH16" s="5">
        <f>SUMPRODUCT(Adds!$C$59:$BH$59,Curves!$Q$23:$BV$23)+SUMPRODUCT(Adds!$C$60:$BH$60,Curves!$Q$46:$BV$46)+SUMPRODUCT(Adds!$C$61:$BH$61,Curves!$Q$69:$BV$69)</f>
        <v/>
      </c>
      <c r="BI16" s="5">
        <f>SUMPRODUCT(Adds!$C$59:$BI$59,Curves!$P$23:$BV$23)+SUMPRODUCT(Adds!$C$60:$BI$60,Curves!$P$46:$BV$46)+SUMPRODUCT(Adds!$C$61:$BI$61,Curves!$P$69:$BV$69)</f>
        <v/>
      </c>
      <c r="BJ16" s="5">
        <f>SUMPRODUCT(Adds!$C$59:$BJ$59,Curves!$O$23:$BV$23)+SUMPRODUCT(Adds!$C$60:$BJ$60,Curves!$O$46:$BV$46)+SUMPRODUCT(Adds!$C$61:$BJ$61,Curves!$O$69:$BV$69)</f>
        <v/>
      </c>
      <c r="BK16" s="5">
        <f>SUMPRODUCT(Adds!$C$59:$BK$59,Curves!$N$23:$BV$23)+SUMPRODUCT(Adds!$C$60:$BK$60,Curves!$N$46:$BV$46)+SUMPRODUCT(Adds!$C$61:$BK$61,Curves!$N$69:$BV$69)</f>
        <v/>
      </c>
      <c r="BL16" s="5">
        <f>SUMPRODUCT(Adds!$C$59:$BL$59,Curves!$M$23:$BV$23)+SUMPRODUCT(Adds!$C$60:$BL$60,Curves!$M$46:$BV$46)+SUMPRODUCT(Adds!$C$61:$BL$61,Curves!$M$69:$BV$69)</f>
        <v/>
      </c>
      <c r="BM16" s="5">
        <f>SUMPRODUCT(Adds!$C$59:$BM$59,Curves!$L$23:$BV$23)+SUMPRODUCT(Adds!$C$60:$BM$60,Curves!$L$46:$BV$46)+SUMPRODUCT(Adds!$C$61:$BM$61,Curves!$L$69:$BV$69)</f>
        <v/>
      </c>
      <c r="BN16" s="5">
        <f>SUMPRODUCT(Adds!$C$59:$BN$59,Curves!$K$23:$BV$23)+SUMPRODUCT(Adds!$C$60:$BN$60,Curves!$K$46:$BV$46)+SUMPRODUCT(Adds!$C$61:$BN$61,Curves!$K$69:$BV$69)</f>
        <v/>
      </c>
      <c r="BO16" s="5">
        <f>SUMPRODUCT(Adds!$C$59:$BO$59,Curves!$J$23:$BV$23)+SUMPRODUCT(Adds!$C$60:$BO$60,Curves!$J$46:$BV$46)+SUMPRODUCT(Adds!$C$61:$BO$61,Curves!$J$69:$BV$69)</f>
        <v/>
      </c>
      <c r="BP16" s="5">
        <f>SUMPRODUCT(Adds!$C$59:$BP$59,Curves!$I$23:$BV$23)+SUMPRODUCT(Adds!$C$60:$BP$60,Curves!$I$46:$BV$46)+SUMPRODUCT(Adds!$C$61:$BP$61,Curves!$I$69:$BV$69)</f>
        <v/>
      </c>
      <c r="BQ16" s="5">
        <f>SUMPRODUCT(Adds!$C$59:$BQ$59,Curves!$H$23:$BV$23)+SUMPRODUCT(Adds!$C$60:$BQ$60,Curves!$H$46:$BV$46)+SUMPRODUCT(Adds!$C$61:$BQ$61,Curves!$H$69:$BV$69)</f>
        <v/>
      </c>
      <c r="BR16" s="5">
        <f>SUMPRODUCT(Adds!$C$59:$BR$59,Curves!$G$23:$BV$23)+SUMPRODUCT(Adds!$C$60:$BR$60,Curves!$G$46:$BV$46)+SUMPRODUCT(Adds!$C$61:$BR$61,Curves!$G$69:$BV$69)</f>
        <v/>
      </c>
      <c r="BS16" s="5">
        <f>SUMPRODUCT(Adds!$C$59:$BS$59,Curves!$F$23:$BV$23)+SUMPRODUCT(Adds!$C$60:$BS$60,Curves!$F$46:$BV$46)+SUMPRODUCT(Adds!$C$61:$BS$61,Curves!$F$69:$BV$69)</f>
        <v/>
      </c>
      <c r="BT16" s="5">
        <f>SUMPRODUCT(Adds!$C$59:$BT$59,Curves!$E$23:$BV$23)+SUMPRODUCT(Adds!$C$60:$BT$60,Curves!$E$46:$BV$46)+SUMPRODUCT(Adds!$C$61:$BT$61,Curves!$E$69:$BV$69)</f>
        <v/>
      </c>
      <c r="BU16" s="5">
        <f>SUMPRODUCT(Adds!$C$59:$BU$59,Curves!$D$23:$BV$23)+SUMPRODUCT(Adds!$C$60:$BU$60,Curves!$D$46:$BV$46)+SUMPRODUCT(Adds!$C$61:$BU$61,Curves!$D$69:$BV$69)</f>
        <v/>
      </c>
      <c r="BV16" s="5">
        <f>SUMPRODUCT(Adds!$C$59:$BV$59,Curves!$C$23:$BV$23)+SUMPRODUCT(Adds!$C$60:$BV$60,Curves!$C$46:$BV$46)+SUMPRODUCT(Adds!$C$61:$BV$61,Curves!$C$69:$BV$69)</f>
        <v/>
      </c>
    </row>
    <row r="17">
      <c r="A17" t="inlineStr">
        <is>
          <t>churned</t>
        </is>
      </c>
      <c r="B17" t="inlineStr">
        <is>
          <t>US_CA|BASIC_A</t>
        </is>
      </c>
      <c r="C17" s="5">
        <f>Adds!$C$59*Curves!$BV$18+Adds!$C$60*Curves!$BV$41+Adds!$C$61*Curves!$BV$64</f>
        <v/>
      </c>
      <c r="D17" s="5">
        <f>SUMPRODUCT(Adds!$C$59:$D$59,Curves!$BU$18:$BV$18)+SUMPRODUCT(Adds!$C$60:$D$60,Curves!$BU$41:$BV$41)+SUMPRODUCT(Adds!$C$61:$D$61,Curves!$BU$64:$BV$64)</f>
        <v/>
      </c>
      <c r="E17" s="5">
        <f>SUMPRODUCT(Adds!$C$59:$E$59,Curves!$BT$18:$BV$18)+SUMPRODUCT(Adds!$C$60:$E$60,Curves!$BT$41:$BV$41)+SUMPRODUCT(Adds!$C$61:$E$61,Curves!$BT$64:$BV$64)</f>
        <v/>
      </c>
      <c r="F17" s="5">
        <f>SUMPRODUCT(Adds!$C$59:$F$59,Curves!$BS$18:$BV$18)+SUMPRODUCT(Adds!$C$60:$F$60,Curves!$BS$41:$BV$41)+SUMPRODUCT(Adds!$C$61:$F$61,Curves!$BS$64:$BV$64)</f>
        <v/>
      </c>
      <c r="G17" s="5">
        <f>SUMPRODUCT(Adds!$C$59:$G$59,Curves!$BR$18:$BV$18)+SUMPRODUCT(Adds!$C$60:$G$60,Curves!$BR$41:$BV$41)+SUMPRODUCT(Adds!$C$61:$G$61,Curves!$BR$64:$BV$64)</f>
        <v/>
      </c>
      <c r="H17" s="5">
        <f>SUMPRODUCT(Adds!$C$59:$H$59,Curves!$BQ$18:$BV$18)+SUMPRODUCT(Adds!$C$60:$H$60,Curves!$BQ$41:$BV$41)+SUMPRODUCT(Adds!$C$61:$H$61,Curves!$BQ$64:$BV$64)</f>
        <v/>
      </c>
      <c r="I17" s="5">
        <f>SUMPRODUCT(Adds!$C$59:$I$59,Curves!$BP$18:$BV$18)+SUMPRODUCT(Adds!$C$60:$I$60,Curves!$BP$41:$BV$41)+SUMPRODUCT(Adds!$C$61:$I$61,Curves!$BP$64:$BV$64)</f>
        <v/>
      </c>
      <c r="J17" s="5">
        <f>SUMPRODUCT(Adds!$C$59:$J$59,Curves!$BO$18:$BV$18)+SUMPRODUCT(Adds!$C$60:$J$60,Curves!$BO$41:$BV$41)+SUMPRODUCT(Adds!$C$61:$J$61,Curves!$BO$64:$BV$64)</f>
        <v/>
      </c>
      <c r="K17" s="5">
        <f>SUMPRODUCT(Adds!$C$59:$K$59,Curves!$BN$18:$BV$18)+SUMPRODUCT(Adds!$C$60:$K$60,Curves!$BN$41:$BV$41)+SUMPRODUCT(Adds!$C$61:$K$61,Curves!$BN$64:$BV$64)</f>
        <v/>
      </c>
      <c r="L17" s="5">
        <f>SUMPRODUCT(Adds!$C$59:$L$59,Curves!$BM$18:$BV$18)+SUMPRODUCT(Adds!$C$60:$L$60,Curves!$BM$41:$BV$41)+SUMPRODUCT(Adds!$C$61:$L$61,Curves!$BM$64:$BV$64)</f>
        <v/>
      </c>
      <c r="M17" s="5">
        <f>SUMPRODUCT(Adds!$C$59:$M$59,Curves!$BL$18:$BV$18)+SUMPRODUCT(Adds!$C$60:$M$60,Curves!$BL$41:$BV$41)+SUMPRODUCT(Adds!$C$61:$M$61,Curves!$BL$64:$BV$64)</f>
        <v/>
      </c>
      <c r="N17" s="5">
        <f>SUMPRODUCT(Adds!$C$59:$N$59,Curves!$BK$18:$BV$18)+SUMPRODUCT(Adds!$C$60:$N$60,Curves!$BK$41:$BV$41)+SUMPRODUCT(Adds!$C$61:$N$61,Curves!$BK$64:$BV$64)</f>
        <v/>
      </c>
      <c r="O17" s="5">
        <f>SUMPRODUCT(Adds!$C$59:$O$59,Curves!$BJ$18:$BV$18)+SUMPRODUCT(Adds!$C$60:$O$60,Curves!$BJ$41:$BV$41)+SUMPRODUCT(Adds!$C$61:$O$61,Curves!$BJ$64:$BV$64)</f>
        <v/>
      </c>
      <c r="P17" s="5">
        <f>SUMPRODUCT(Adds!$C$59:$P$59,Curves!$BI$18:$BV$18)+SUMPRODUCT(Adds!$C$60:$P$60,Curves!$BI$41:$BV$41)+SUMPRODUCT(Adds!$C$61:$P$61,Curves!$BI$64:$BV$64)</f>
        <v/>
      </c>
      <c r="Q17" s="5">
        <f>SUMPRODUCT(Adds!$C$59:$Q$59,Curves!$BH$18:$BV$18)+SUMPRODUCT(Adds!$C$60:$Q$60,Curves!$BH$41:$BV$41)+SUMPRODUCT(Adds!$C$61:$Q$61,Curves!$BH$64:$BV$64)</f>
        <v/>
      </c>
      <c r="R17" s="5">
        <f>SUMPRODUCT(Adds!$C$59:$R$59,Curves!$BG$18:$BV$18)+SUMPRODUCT(Adds!$C$60:$R$60,Curves!$BG$41:$BV$41)+SUMPRODUCT(Adds!$C$61:$R$61,Curves!$BG$64:$BV$64)</f>
        <v/>
      </c>
      <c r="S17" s="5">
        <f>SUMPRODUCT(Adds!$C$59:$S$59,Curves!$BF$18:$BV$18)+SUMPRODUCT(Adds!$C$60:$S$60,Curves!$BF$41:$BV$41)+SUMPRODUCT(Adds!$C$61:$S$61,Curves!$BF$64:$BV$64)</f>
        <v/>
      </c>
      <c r="T17" s="5">
        <f>SUMPRODUCT(Adds!$C$59:$T$59,Curves!$BE$18:$BV$18)+SUMPRODUCT(Adds!$C$60:$T$60,Curves!$BE$41:$BV$41)+SUMPRODUCT(Adds!$C$61:$T$61,Curves!$BE$64:$BV$64)</f>
        <v/>
      </c>
      <c r="U17" s="5">
        <f>SUMPRODUCT(Adds!$C$59:$U$59,Curves!$BD$18:$BV$18)+SUMPRODUCT(Adds!$C$60:$U$60,Curves!$BD$41:$BV$41)+SUMPRODUCT(Adds!$C$61:$U$61,Curves!$BD$64:$BV$64)</f>
        <v/>
      </c>
      <c r="V17" s="5">
        <f>SUMPRODUCT(Adds!$C$59:$V$59,Curves!$BC$18:$BV$18)+SUMPRODUCT(Adds!$C$60:$V$60,Curves!$BC$41:$BV$41)+SUMPRODUCT(Adds!$C$61:$V$61,Curves!$BC$64:$BV$64)</f>
        <v/>
      </c>
      <c r="W17" s="5">
        <f>SUMPRODUCT(Adds!$C$59:$W$59,Curves!$BB$18:$BV$18)+SUMPRODUCT(Adds!$C$60:$W$60,Curves!$BB$41:$BV$41)+SUMPRODUCT(Adds!$C$61:$W$61,Curves!$BB$64:$BV$64)</f>
        <v/>
      </c>
      <c r="X17" s="5">
        <f>SUMPRODUCT(Adds!$C$59:$X$59,Curves!$BA$18:$BV$18)+SUMPRODUCT(Adds!$C$60:$X$60,Curves!$BA$41:$BV$41)+SUMPRODUCT(Adds!$C$61:$X$61,Curves!$BA$64:$BV$64)</f>
        <v/>
      </c>
      <c r="Y17" s="5">
        <f>SUMPRODUCT(Adds!$C$59:$Y$59,Curves!$AZ$18:$BV$18)+SUMPRODUCT(Adds!$C$60:$Y$60,Curves!$AZ$41:$BV$41)+SUMPRODUCT(Adds!$C$61:$Y$61,Curves!$AZ$64:$BV$64)</f>
        <v/>
      </c>
      <c r="Z17" s="5">
        <f>SUMPRODUCT(Adds!$C$59:$Z$59,Curves!$AY$18:$BV$18)+SUMPRODUCT(Adds!$C$60:$Z$60,Curves!$AY$41:$BV$41)+SUMPRODUCT(Adds!$C$61:$Z$61,Curves!$AY$64:$BV$64)</f>
        <v/>
      </c>
      <c r="AA17" s="5">
        <f>SUMPRODUCT(Adds!$C$59:$AA$59,Curves!$AX$18:$BV$18)+SUMPRODUCT(Adds!$C$60:$AA$60,Curves!$AX$41:$BV$41)+SUMPRODUCT(Adds!$C$61:$AA$61,Curves!$AX$64:$BV$64)</f>
        <v/>
      </c>
      <c r="AB17" s="5">
        <f>SUMPRODUCT(Adds!$C$59:$AB$59,Curves!$AW$18:$BV$18)+SUMPRODUCT(Adds!$C$60:$AB$60,Curves!$AW$41:$BV$41)+SUMPRODUCT(Adds!$C$61:$AB$61,Curves!$AW$64:$BV$64)</f>
        <v/>
      </c>
      <c r="AC17" s="5">
        <f>SUMPRODUCT(Adds!$C$59:$AC$59,Curves!$AV$18:$BV$18)+SUMPRODUCT(Adds!$C$60:$AC$60,Curves!$AV$41:$BV$41)+SUMPRODUCT(Adds!$C$61:$AC$61,Curves!$AV$64:$BV$64)</f>
        <v/>
      </c>
      <c r="AD17" s="5">
        <f>SUMPRODUCT(Adds!$C$59:$AD$59,Curves!$AU$18:$BV$18)+SUMPRODUCT(Adds!$C$60:$AD$60,Curves!$AU$41:$BV$41)+SUMPRODUCT(Adds!$C$61:$AD$61,Curves!$AU$64:$BV$64)</f>
        <v/>
      </c>
      <c r="AE17" s="5">
        <f>SUMPRODUCT(Adds!$C$59:$AE$59,Curves!$AT$18:$BV$18)+SUMPRODUCT(Adds!$C$60:$AE$60,Curves!$AT$41:$BV$41)+SUMPRODUCT(Adds!$C$61:$AE$61,Curves!$AT$64:$BV$64)</f>
        <v/>
      </c>
      <c r="AF17" s="5">
        <f>SUMPRODUCT(Adds!$C$59:$AF$59,Curves!$AS$18:$BV$18)+SUMPRODUCT(Adds!$C$60:$AF$60,Curves!$AS$41:$BV$41)+SUMPRODUCT(Adds!$C$61:$AF$61,Curves!$AS$64:$BV$64)</f>
        <v/>
      </c>
      <c r="AG17" s="5">
        <f>SUMPRODUCT(Adds!$C$59:$AG$59,Curves!$AR$18:$BV$18)+SUMPRODUCT(Adds!$C$60:$AG$60,Curves!$AR$41:$BV$41)+SUMPRODUCT(Adds!$C$61:$AG$61,Curves!$AR$64:$BV$64)</f>
        <v/>
      </c>
      <c r="AH17" s="5">
        <f>SUMPRODUCT(Adds!$C$59:$AH$59,Curves!$AQ$18:$BV$18)+SUMPRODUCT(Adds!$C$60:$AH$60,Curves!$AQ$41:$BV$41)+SUMPRODUCT(Adds!$C$61:$AH$61,Curves!$AQ$64:$BV$64)</f>
        <v/>
      </c>
      <c r="AI17" s="5">
        <f>SUMPRODUCT(Adds!$C$59:$AI$59,Curves!$AP$18:$BV$18)+SUMPRODUCT(Adds!$C$60:$AI$60,Curves!$AP$41:$BV$41)+SUMPRODUCT(Adds!$C$61:$AI$61,Curves!$AP$64:$BV$64)</f>
        <v/>
      </c>
      <c r="AJ17" s="5">
        <f>SUMPRODUCT(Adds!$C$59:$AJ$59,Curves!$AO$18:$BV$18)+SUMPRODUCT(Adds!$C$60:$AJ$60,Curves!$AO$41:$BV$41)+SUMPRODUCT(Adds!$C$61:$AJ$61,Curves!$AO$64:$BV$64)</f>
        <v/>
      </c>
      <c r="AK17" s="5">
        <f>SUMPRODUCT(Adds!$C$59:$AK$59,Curves!$AN$18:$BV$18)+SUMPRODUCT(Adds!$C$60:$AK$60,Curves!$AN$41:$BV$41)+SUMPRODUCT(Adds!$C$61:$AK$61,Curves!$AN$64:$BV$64)</f>
        <v/>
      </c>
      <c r="AL17" s="5">
        <f>SUMPRODUCT(Adds!$C$59:$AL$59,Curves!$AM$18:$BV$18)+SUMPRODUCT(Adds!$C$60:$AL$60,Curves!$AM$41:$BV$41)+SUMPRODUCT(Adds!$C$61:$AL$61,Curves!$AM$64:$BV$64)</f>
        <v/>
      </c>
      <c r="AM17" s="5">
        <f>SUMPRODUCT(Adds!$C$59:$AM$59,Curves!$AL$18:$BV$18)+SUMPRODUCT(Adds!$C$60:$AM$60,Curves!$AL$41:$BV$41)+SUMPRODUCT(Adds!$C$61:$AM$61,Curves!$AL$64:$BV$64)</f>
        <v/>
      </c>
      <c r="AN17" s="5">
        <f>SUMPRODUCT(Adds!$C$59:$AN$59,Curves!$AK$18:$BV$18)+SUMPRODUCT(Adds!$C$60:$AN$60,Curves!$AK$41:$BV$41)+SUMPRODUCT(Adds!$C$61:$AN$61,Curves!$AK$64:$BV$64)</f>
        <v/>
      </c>
      <c r="AO17" s="5">
        <f>SUMPRODUCT(Adds!$C$59:$AO$59,Curves!$AJ$18:$BV$18)+SUMPRODUCT(Adds!$C$60:$AO$60,Curves!$AJ$41:$BV$41)+SUMPRODUCT(Adds!$C$61:$AO$61,Curves!$AJ$64:$BV$64)</f>
        <v/>
      </c>
      <c r="AP17" s="5">
        <f>SUMPRODUCT(Adds!$C$59:$AP$59,Curves!$AI$18:$BV$18)+SUMPRODUCT(Adds!$C$60:$AP$60,Curves!$AI$41:$BV$41)+SUMPRODUCT(Adds!$C$61:$AP$61,Curves!$AI$64:$BV$64)</f>
        <v/>
      </c>
      <c r="AQ17" s="5">
        <f>SUMPRODUCT(Adds!$C$59:$AQ$59,Curves!$AH$18:$BV$18)+SUMPRODUCT(Adds!$C$60:$AQ$60,Curves!$AH$41:$BV$41)+SUMPRODUCT(Adds!$C$61:$AQ$61,Curves!$AH$64:$BV$64)</f>
        <v/>
      </c>
      <c r="AR17" s="5">
        <f>SUMPRODUCT(Adds!$C$59:$AR$59,Curves!$AG$18:$BV$18)+SUMPRODUCT(Adds!$C$60:$AR$60,Curves!$AG$41:$BV$41)+SUMPRODUCT(Adds!$C$61:$AR$61,Curves!$AG$64:$BV$64)</f>
        <v/>
      </c>
      <c r="AS17" s="5">
        <f>SUMPRODUCT(Adds!$C$59:$AS$59,Curves!$AF$18:$BV$18)+SUMPRODUCT(Adds!$C$60:$AS$60,Curves!$AF$41:$BV$41)+SUMPRODUCT(Adds!$C$61:$AS$61,Curves!$AF$64:$BV$64)</f>
        <v/>
      </c>
      <c r="AT17" s="5">
        <f>SUMPRODUCT(Adds!$C$59:$AT$59,Curves!$AE$18:$BV$18)+SUMPRODUCT(Adds!$C$60:$AT$60,Curves!$AE$41:$BV$41)+SUMPRODUCT(Adds!$C$61:$AT$61,Curves!$AE$64:$BV$64)</f>
        <v/>
      </c>
      <c r="AU17" s="5">
        <f>SUMPRODUCT(Adds!$C$59:$AU$59,Curves!$AD$18:$BV$18)+SUMPRODUCT(Adds!$C$60:$AU$60,Curves!$AD$41:$BV$41)+SUMPRODUCT(Adds!$C$61:$AU$61,Curves!$AD$64:$BV$64)</f>
        <v/>
      </c>
      <c r="AV17" s="5">
        <f>SUMPRODUCT(Adds!$C$59:$AV$59,Curves!$AC$18:$BV$18)+SUMPRODUCT(Adds!$C$60:$AV$60,Curves!$AC$41:$BV$41)+SUMPRODUCT(Adds!$C$61:$AV$61,Curves!$AC$64:$BV$64)</f>
        <v/>
      </c>
      <c r="AW17" s="5">
        <f>SUMPRODUCT(Adds!$C$59:$AW$59,Curves!$AB$18:$BV$18)+SUMPRODUCT(Adds!$C$60:$AW$60,Curves!$AB$41:$BV$41)+SUMPRODUCT(Adds!$C$61:$AW$61,Curves!$AB$64:$BV$64)</f>
        <v/>
      </c>
      <c r="AX17" s="5">
        <f>SUMPRODUCT(Adds!$C$59:$AX$59,Curves!$AA$18:$BV$18)+SUMPRODUCT(Adds!$C$60:$AX$60,Curves!$AA$41:$BV$41)+SUMPRODUCT(Adds!$C$61:$AX$61,Curves!$AA$64:$BV$64)</f>
        <v/>
      </c>
      <c r="AY17" s="5">
        <f>SUMPRODUCT(Adds!$C$59:$AY$59,Curves!$Z$18:$BV$18)+SUMPRODUCT(Adds!$C$60:$AY$60,Curves!$Z$41:$BV$41)+SUMPRODUCT(Adds!$C$61:$AY$61,Curves!$Z$64:$BV$64)</f>
        <v/>
      </c>
      <c r="AZ17" s="5">
        <f>SUMPRODUCT(Adds!$C$59:$AZ$59,Curves!$Y$18:$BV$18)+SUMPRODUCT(Adds!$C$60:$AZ$60,Curves!$Y$41:$BV$41)+SUMPRODUCT(Adds!$C$61:$AZ$61,Curves!$Y$64:$BV$64)</f>
        <v/>
      </c>
      <c r="BA17" s="5">
        <f>SUMPRODUCT(Adds!$C$59:$BA$59,Curves!$X$18:$BV$18)+SUMPRODUCT(Adds!$C$60:$BA$60,Curves!$X$41:$BV$41)+SUMPRODUCT(Adds!$C$61:$BA$61,Curves!$X$64:$BV$64)</f>
        <v/>
      </c>
      <c r="BB17" s="5">
        <f>SUMPRODUCT(Adds!$C$59:$BB$59,Curves!$W$18:$BV$18)+SUMPRODUCT(Adds!$C$60:$BB$60,Curves!$W$41:$BV$41)+SUMPRODUCT(Adds!$C$61:$BB$61,Curves!$W$64:$BV$64)</f>
        <v/>
      </c>
      <c r="BC17" s="5">
        <f>SUMPRODUCT(Adds!$C$59:$BC$59,Curves!$V$18:$BV$18)+SUMPRODUCT(Adds!$C$60:$BC$60,Curves!$V$41:$BV$41)+SUMPRODUCT(Adds!$C$61:$BC$61,Curves!$V$64:$BV$64)</f>
        <v/>
      </c>
      <c r="BD17" s="5">
        <f>SUMPRODUCT(Adds!$C$59:$BD$59,Curves!$U$18:$BV$18)+SUMPRODUCT(Adds!$C$60:$BD$60,Curves!$U$41:$BV$41)+SUMPRODUCT(Adds!$C$61:$BD$61,Curves!$U$64:$BV$64)</f>
        <v/>
      </c>
      <c r="BE17" s="5">
        <f>SUMPRODUCT(Adds!$C$59:$BE$59,Curves!$T$18:$BV$18)+SUMPRODUCT(Adds!$C$60:$BE$60,Curves!$T$41:$BV$41)+SUMPRODUCT(Adds!$C$61:$BE$61,Curves!$T$64:$BV$64)</f>
        <v/>
      </c>
      <c r="BF17" s="5">
        <f>SUMPRODUCT(Adds!$C$59:$BF$59,Curves!$S$18:$BV$18)+SUMPRODUCT(Adds!$C$60:$BF$60,Curves!$S$41:$BV$41)+SUMPRODUCT(Adds!$C$61:$BF$61,Curves!$S$64:$BV$64)</f>
        <v/>
      </c>
      <c r="BG17" s="5">
        <f>SUMPRODUCT(Adds!$C$59:$BG$59,Curves!$R$18:$BV$18)+SUMPRODUCT(Adds!$C$60:$BG$60,Curves!$R$41:$BV$41)+SUMPRODUCT(Adds!$C$61:$BG$61,Curves!$R$64:$BV$64)</f>
        <v/>
      </c>
      <c r="BH17" s="5">
        <f>SUMPRODUCT(Adds!$C$59:$BH$59,Curves!$Q$18:$BV$18)+SUMPRODUCT(Adds!$C$60:$BH$60,Curves!$Q$41:$BV$41)+SUMPRODUCT(Adds!$C$61:$BH$61,Curves!$Q$64:$BV$64)</f>
        <v/>
      </c>
      <c r="BI17" s="5">
        <f>SUMPRODUCT(Adds!$C$59:$BI$59,Curves!$P$18:$BV$18)+SUMPRODUCT(Adds!$C$60:$BI$60,Curves!$P$41:$BV$41)+SUMPRODUCT(Adds!$C$61:$BI$61,Curves!$P$64:$BV$64)</f>
        <v/>
      </c>
      <c r="BJ17" s="5">
        <f>SUMPRODUCT(Adds!$C$59:$BJ$59,Curves!$O$18:$BV$18)+SUMPRODUCT(Adds!$C$60:$BJ$60,Curves!$O$41:$BV$41)+SUMPRODUCT(Adds!$C$61:$BJ$61,Curves!$O$64:$BV$64)</f>
        <v/>
      </c>
      <c r="BK17" s="5">
        <f>SUMPRODUCT(Adds!$C$59:$BK$59,Curves!$N$18:$BV$18)+SUMPRODUCT(Adds!$C$60:$BK$60,Curves!$N$41:$BV$41)+SUMPRODUCT(Adds!$C$61:$BK$61,Curves!$N$64:$BV$64)</f>
        <v/>
      </c>
      <c r="BL17" s="5">
        <f>SUMPRODUCT(Adds!$C$59:$BL$59,Curves!$M$18:$BV$18)+SUMPRODUCT(Adds!$C$60:$BL$60,Curves!$M$41:$BV$41)+SUMPRODUCT(Adds!$C$61:$BL$61,Curves!$M$64:$BV$64)</f>
        <v/>
      </c>
      <c r="BM17" s="5">
        <f>SUMPRODUCT(Adds!$C$59:$BM$59,Curves!$L$18:$BV$18)+SUMPRODUCT(Adds!$C$60:$BM$60,Curves!$L$41:$BV$41)+SUMPRODUCT(Adds!$C$61:$BM$61,Curves!$L$64:$BV$64)</f>
        <v/>
      </c>
      <c r="BN17" s="5">
        <f>SUMPRODUCT(Adds!$C$59:$BN$59,Curves!$K$18:$BV$18)+SUMPRODUCT(Adds!$C$60:$BN$60,Curves!$K$41:$BV$41)+SUMPRODUCT(Adds!$C$61:$BN$61,Curves!$K$64:$BV$64)</f>
        <v/>
      </c>
      <c r="BO17" s="5">
        <f>SUMPRODUCT(Adds!$C$59:$BO$59,Curves!$J$18:$BV$18)+SUMPRODUCT(Adds!$C$60:$BO$60,Curves!$J$41:$BV$41)+SUMPRODUCT(Adds!$C$61:$BO$61,Curves!$J$64:$BV$64)</f>
        <v/>
      </c>
      <c r="BP17" s="5">
        <f>SUMPRODUCT(Adds!$C$59:$BP$59,Curves!$I$18:$BV$18)+SUMPRODUCT(Adds!$C$60:$BP$60,Curves!$I$41:$BV$41)+SUMPRODUCT(Adds!$C$61:$BP$61,Curves!$I$64:$BV$64)</f>
        <v/>
      </c>
      <c r="BQ17" s="5">
        <f>SUMPRODUCT(Adds!$C$59:$BQ$59,Curves!$H$18:$BV$18)+SUMPRODUCT(Adds!$C$60:$BQ$60,Curves!$H$41:$BV$41)+SUMPRODUCT(Adds!$C$61:$BQ$61,Curves!$H$64:$BV$64)</f>
        <v/>
      </c>
      <c r="BR17" s="5">
        <f>SUMPRODUCT(Adds!$C$59:$BR$59,Curves!$G$18:$BV$18)+SUMPRODUCT(Adds!$C$60:$BR$60,Curves!$G$41:$BV$41)+SUMPRODUCT(Adds!$C$61:$BR$61,Curves!$G$64:$BV$64)</f>
        <v/>
      </c>
      <c r="BS17" s="5">
        <f>SUMPRODUCT(Adds!$C$59:$BS$59,Curves!$F$18:$BV$18)+SUMPRODUCT(Adds!$C$60:$BS$60,Curves!$F$41:$BV$41)+SUMPRODUCT(Adds!$C$61:$BS$61,Curves!$F$64:$BV$64)</f>
        <v/>
      </c>
      <c r="BT17" s="5">
        <f>SUMPRODUCT(Adds!$C$59:$BT$59,Curves!$E$18:$BV$18)+SUMPRODUCT(Adds!$C$60:$BT$60,Curves!$E$41:$BV$41)+SUMPRODUCT(Adds!$C$61:$BT$61,Curves!$E$64:$BV$64)</f>
        <v/>
      </c>
      <c r="BU17" s="5">
        <f>SUMPRODUCT(Adds!$C$59:$BU$59,Curves!$D$18:$BV$18)+SUMPRODUCT(Adds!$C$60:$BU$60,Curves!$D$41:$BV$41)+SUMPRODUCT(Adds!$C$61:$BU$61,Curves!$D$64:$BV$64)</f>
        <v/>
      </c>
      <c r="BV17" s="5">
        <f>SUMPRODUCT(Adds!$C$59:$BV$59,Curves!$C$18:$BV$18)+SUMPRODUCT(Adds!$C$60:$BV$60,Curves!$C$41:$BV$41)+SUMPRODUCT(Adds!$C$61:$BV$61,Curves!$C$64:$BV$64)</f>
        <v/>
      </c>
    </row>
    <row r="19">
      <c r="A19" t="inlineStr">
        <is>
          <t>active</t>
        </is>
      </c>
      <c r="B19" t="inlineStr">
        <is>
          <t>EUROPE|NITRO_M</t>
        </is>
      </c>
      <c r="C19" s="5">
        <f>Adds!$C$74*Curves!$BV$15+Adds!$C$75*Curves!$BV$38+Adds!$C$76*Curves!$BV$61</f>
        <v/>
      </c>
      <c r="D19" s="5">
        <f>SUMPRODUCT(Adds!$C$74:$D$74,Curves!$BU$15:$BV$15)+SUMPRODUCT(Adds!$C$75:$D$75,Curves!$BU$38:$BV$38)+SUMPRODUCT(Adds!$C$76:$D$76,Curves!$BU$61:$BV$61)</f>
        <v/>
      </c>
      <c r="E19" s="5">
        <f>SUMPRODUCT(Adds!$C$74:$E$74,Curves!$BT$15:$BV$15)+SUMPRODUCT(Adds!$C$75:$E$75,Curves!$BT$38:$BV$38)+SUMPRODUCT(Adds!$C$76:$E$76,Curves!$BT$61:$BV$61)</f>
        <v/>
      </c>
      <c r="F19" s="5">
        <f>SUMPRODUCT(Adds!$C$74:$F$74,Curves!$BS$15:$BV$15)+SUMPRODUCT(Adds!$C$75:$F$75,Curves!$BS$38:$BV$38)+SUMPRODUCT(Adds!$C$76:$F$76,Curves!$BS$61:$BV$61)</f>
        <v/>
      </c>
      <c r="G19" s="5">
        <f>SUMPRODUCT(Adds!$C$74:$G$74,Curves!$BR$15:$BV$15)+SUMPRODUCT(Adds!$C$75:$G$75,Curves!$BR$38:$BV$38)+SUMPRODUCT(Adds!$C$76:$G$76,Curves!$BR$61:$BV$61)</f>
        <v/>
      </c>
      <c r="H19" s="5">
        <f>SUMPRODUCT(Adds!$C$74:$H$74,Curves!$BQ$15:$BV$15)+SUMPRODUCT(Adds!$C$75:$H$75,Curves!$BQ$38:$BV$38)+SUMPRODUCT(Adds!$C$76:$H$76,Curves!$BQ$61:$BV$61)</f>
        <v/>
      </c>
      <c r="I19" s="5">
        <f>SUMPRODUCT(Adds!$C$74:$I$74,Curves!$BP$15:$BV$15)+SUMPRODUCT(Adds!$C$75:$I$75,Curves!$BP$38:$BV$38)+SUMPRODUCT(Adds!$C$76:$I$76,Curves!$BP$61:$BV$61)</f>
        <v/>
      </c>
      <c r="J19" s="5">
        <f>SUMPRODUCT(Adds!$C$74:$J$74,Curves!$BO$15:$BV$15)+SUMPRODUCT(Adds!$C$75:$J$75,Curves!$BO$38:$BV$38)+SUMPRODUCT(Adds!$C$76:$J$76,Curves!$BO$61:$BV$61)</f>
        <v/>
      </c>
      <c r="K19" s="5">
        <f>SUMPRODUCT(Adds!$C$74:$K$74,Curves!$BN$15:$BV$15)+SUMPRODUCT(Adds!$C$75:$K$75,Curves!$BN$38:$BV$38)+SUMPRODUCT(Adds!$C$76:$K$76,Curves!$BN$61:$BV$61)</f>
        <v/>
      </c>
      <c r="L19" s="5">
        <f>SUMPRODUCT(Adds!$C$74:$L$74,Curves!$BM$15:$BV$15)+SUMPRODUCT(Adds!$C$75:$L$75,Curves!$BM$38:$BV$38)+SUMPRODUCT(Adds!$C$76:$L$76,Curves!$BM$61:$BV$61)</f>
        <v/>
      </c>
      <c r="M19" s="5">
        <f>SUMPRODUCT(Adds!$C$74:$M$74,Curves!$BL$15:$BV$15)+SUMPRODUCT(Adds!$C$75:$M$75,Curves!$BL$38:$BV$38)+SUMPRODUCT(Adds!$C$76:$M$76,Curves!$BL$61:$BV$61)</f>
        <v/>
      </c>
      <c r="N19" s="5">
        <f>SUMPRODUCT(Adds!$C$74:$N$74,Curves!$BK$15:$BV$15)+SUMPRODUCT(Adds!$C$75:$N$75,Curves!$BK$38:$BV$38)+SUMPRODUCT(Adds!$C$76:$N$76,Curves!$BK$61:$BV$61)</f>
        <v/>
      </c>
      <c r="O19" s="5">
        <f>SUMPRODUCT(Adds!$C$74:$O$74,Curves!$BJ$15:$BV$15)+SUMPRODUCT(Adds!$C$75:$O$75,Curves!$BJ$38:$BV$38)+SUMPRODUCT(Adds!$C$76:$O$76,Curves!$BJ$61:$BV$61)</f>
        <v/>
      </c>
      <c r="P19" s="5">
        <f>SUMPRODUCT(Adds!$C$74:$P$74,Curves!$BI$15:$BV$15)+SUMPRODUCT(Adds!$C$75:$P$75,Curves!$BI$38:$BV$38)+SUMPRODUCT(Adds!$C$76:$P$76,Curves!$BI$61:$BV$61)</f>
        <v/>
      </c>
      <c r="Q19" s="5">
        <f>SUMPRODUCT(Adds!$C$74:$Q$74,Curves!$BH$15:$BV$15)+SUMPRODUCT(Adds!$C$75:$Q$75,Curves!$BH$38:$BV$38)+SUMPRODUCT(Adds!$C$76:$Q$76,Curves!$BH$61:$BV$61)</f>
        <v/>
      </c>
      <c r="R19" s="5">
        <f>SUMPRODUCT(Adds!$C$74:$R$74,Curves!$BG$15:$BV$15)+SUMPRODUCT(Adds!$C$75:$R$75,Curves!$BG$38:$BV$38)+SUMPRODUCT(Adds!$C$76:$R$76,Curves!$BG$61:$BV$61)</f>
        <v/>
      </c>
      <c r="S19" s="5">
        <f>SUMPRODUCT(Adds!$C$74:$S$74,Curves!$BF$15:$BV$15)+SUMPRODUCT(Adds!$C$75:$S$75,Curves!$BF$38:$BV$38)+SUMPRODUCT(Adds!$C$76:$S$76,Curves!$BF$61:$BV$61)</f>
        <v/>
      </c>
      <c r="T19" s="5">
        <f>SUMPRODUCT(Adds!$C$74:$T$74,Curves!$BE$15:$BV$15)+SUMPRODUCT(Adds!$C$75:$T$75,Curves!$BE$38:$BV$38)+SUMPRODUCT(Adds!$C$76:$T$76,Curves!$BE$61:$BV$61)</f>
        <v/>
      </c>
      <c r="U19" s="5">
        <f>SUMPRODUCT(Adds!$C$74:$U$74,Curves!$BD$15:$BV$15)+SUMPRODUCT(Adds!$C$75:$U$75,Curves!$BD$38:$BV$38)+SUMPRODUCT(Adds!$C$76:$U$76,Curves!$BD$61:$BV$61)</f>
        <v/>
      </c>
      <c r="V19" s="5">
        <f>SUMPRODUCT(Adds!$C$74:$V$74,Curves!$BC$15:$BV$15)+SUMPRODUCT(Adds!$C$75:$V$75,Curves!$BC$38:$BV$38)+SUMPRODUCT(Adds!$C$76:$V$76,Curves!$BC$61:$BV$61)</f>
        <v/>
      </c>
      <c r="W19" s="5">
        <f>SUMPRODUCT(Adds!$C$74:$W$74,Curves!$BB$15:$BV$15)+SUMPRODUCT(Adds!$C$75:$W$75,Curves!$BB$38:$BV$38)+SUMPRODUCT(Adds!$C$76:$W$76,Curves!$BB$61:$BV$61)</f>
        <v/>
      </c>
      <c r="X19" s="5">
        <f>SUMPRODUCT(Adds!$C$74:$X$74,Curves!$BA$15:$BV$15)+SUMPRODUCT(Adds!$C$75:$X$75,Curves!$BA$38:$BV$38)+SUMPRODUCT(Adds!$C$76:$X$76,Curves!$BA$61:$BV$61)</f>
        <v/>
      </c>
      <c r="Y19" s="5">
        <f>SUMPRODUCT(Adds!$C$74:$Y$74,Curves!$AZ$15:$BV$15)+SUMPRODUCT(Adds!$C$75:$Y$75,Curves!$AZ$38:$BV$38)+SUMPRODUCT(Adds!$C$76:$Y$76,Curves!$AZ$61:$BV$61)</f>
        <v/>
      </c>
      <c r="Z19" s="5">
        <f>SUMPRODUCT(Adds!$C$74:$Z$74,Curves!$AY$15:$BV$15)+SUMPRODUCT(Adds!$C$75:$Z$75,Curves!$AY$38:$BV$38)+SUMPRODUCT(Adds!$C$76:$Z$76,Curves!$AY$61:$BV$61)</f>
        <v/>
      </c>
      <c r="AA19" s="5">
        <f>SUMPRODUCT(Adds!$C$74:$AA$74,Curves!$AX$15:$BV$15)+SUMPRODUCT(Adds!$C$75:$AA$75,Curves!$AX$38:$BV$38)+SUMPRODUCT(Adds!$C$76:$AA$76,Curves!$AX$61:$BV$61)</f>
        <v/>
      </c>
      <c r="AB19" s="5">
        <f>SUMPRODUCT(Adds!$C$74:$AB$74,Curves!$AW$15:$BV$15)+SUMPRODUCT(Adds!$C$75:$AB$75,Curves!$AW$38:$BV$38)+SUMPRODUCT(Adds!$C$76:$AB$76,Curves!$AW$61:$BV$61)</f>
        <v/>
      </c>
      <c r="AC19" s="5">
        <f>SUMPRODUCT(Adds!$C$74:$AC$74,Curves!$AV$15:$BV$15)+SUMPRODUCT(Adds!$C$75:$AC$75,Curves!$AV$38:$BV$38)+SUMPRODUCT(Adds!$C$76:$AC$76,Curves!$AV$61:$BV$61)</f>
        <v/>
      </c>
      <c r="AD19" s="5">
        <f>SUMPRODUCT(Adds!$C$74:$AD$74,Curves!$AU$15:$BV$15)+SUMPRODUCT(Adds!$C$75:$AD$75,Curves!$AU$38:$BV$38)+SUMPRODUCT(Adds!$C$76:$AD$76,Curves!$AU$61:$BV$61)</f>
        <v/>
      </c>
      <c r="AE19" s="5">
        <f>SUMPRODUCT(Adds!$C$74:$AE$74,Curves!$AT$15:$BV$15)+SUMPRODUCT(Adds!$C$75:$AE$75,Curves!$AT$38:$BV$38)+SUMPRODUCT(Adds!$C$76:$AE$76,Curves!$AT$61:$BV$61)</f>
        <v/>
      </c>
      <c r="AF19" s="5">
        <f>SUMPRODUCT(Adds!$C$74:$AF$74,Curves!$AS$15:$BV$15)+SUMPRODUCT(Adds!$C$75:$AF$75,Curves!$AS$38:$BV$38)+SUMPRODUCT(Adds!$C$76:$AF$76,Curves!$AS$61:$BV$61)</f>
        <v/>
      </c>
      <c r="AG19" s="5">
        <f>SUMPRODUCT(Adds!$C$74:$AG$74,Curves!$AR$15:$BV$15)+SUMPRODUCT(Adds!$C$75:$AG$75,Curves!$AR$38:$BV$38)+SUMPRODUCT(Adds!$C$76:$AG$76,Curves!$AR$61:$BV$61)</f>
        <v/>
      </c>
      <c r="AH19" s="5">
        <f>SUMPRODUCT(Adds!$C$74:$AH$74,Curves!$AQ$15:$BV$15)+SUMPRODUCT(Adds!$C$75:$AH$75,Curves!$AQ$38:$BV$38)+SUMPRODUCT(Adds!$C$76:$AH$76,Curves!$AQ$61:$BV$61)</f>
        <v/>
      </c>
      <c r="AI19" s="5">
        <f>SUMPRODUCT(Adds!$C$74:$AI$74,Curves!$AP$15:$BV$15)+SUMPRODUCT(Adds!$C$75:$AI$75,Curves!$AP$38:$BV$38)+SUMPRODUCT(Adds!$C$76:$AI$76,Curves!$AP$61:$BV$61)</f>
        <v/>
      </c>
      <c r="AJ19" s="5">
        <f>SUMPRODUCT(Adds!$C$74:$AJ$74,Curves!$AO$15:$BV$15)+SUMPRODUCT(Adds!$C$75:$AJ$75,Curves!$AO$38:$BV$38)+SUMPRODUCT(Adds!$C$76:$AJ$76,Curves!$AO$61:$BV$61)</f>
        <v/>
      </c>
      <c r="AK19" s="5">
        <f>SUMPRODUCT(Adds!$C$74:$AK$74,Curves!$AN$15:$BV$15)+SUMPRODUCT(Adds!$C$75:$AK$75,Curves!$AN$38:$BV$38)+SUMPRODUCT(Adds!$C$76:$AK$76,Curves!$AN$61:$BV$61)</f>
        <v/>
      </c>
      <c r="AL19" s="5">
        <f>SUMPRODUCT(Adds!$C$74:$AL$74,Curves!$AM$15:$BV$15)+SUMPRODUCT(Adds!$C$75:$AL$75,Curves!$AM$38:$BV$38)+SUMPRODUCT(Adds!$C$76:$AL$76,Curves!$AM$61:$BV$61)</f>
        <v/>
      </c>
      <c r="AM19" s="5">
        <f>SUMPRODUCT(Adds!$C$74:$AM$74,Curves!$AL$15:$BV$15)+SUMPRODUCT(Adds!$C$75:$AM$75,Curves!$AL$38:$BV$38)+SUMPRODUCT(Adds!$C$76:$AM$76,Curves!$AL$61:$BV$61)</f>
        <v/>
      </c>
      <c r="AN19" s="5">
        <f>SUMPRODUCT(Adds!$C$74:$AN$74,Curves!$AK$15:$BV$15)+SUMPRODUCT(Adds!$C$75:$AN$75,Curves!$AK$38:$BV$38)+SUMPRODUCT(Adds!$C$76:$AN$76,Curves!$AK$61:$BV$61)</f>
        <v/>
      </c>
      <c r="AO19" s="5">
        <f>SUMPRODUCT(Adds!$C$74:$AO$74,Curves!$AJ$15:$BV$15)+SUMPRODUCT(Adds!$C$75:$AO$75,Curves!$AJ$38:$BV$38)+SUMPRODUCT(Adds!$C$76:$AO$76,Curves!$AJ$61:$BV$61)</f>
        <v/>
      </c>
      <c r="AP19" s="5">
        <f>SUMPRODUCT(Adds!$C$74:$AP$74,Curves!$AI$15:$BV$15)+SUMPRODUCT(Adds!$C$75:$AP$75,Curves!$AI$38:$BV$38)+SUMPRODUCT(Adds!$C$76:$AP$76,Curves!$AI$61:$BV$61)</f>
        <v/>
      </c>
      <c r="AQ19" s="5">
        <f>SUMPRODUCT(Adds!$C$74:$AQ$74,Curves!$AH$15:$BV$15)+SUMPRODUCT(Adds!$C$75:$AQ$75,Curves!$AH$38:$BV$38)+SUMPRODUCT(Adds!$C$76:$AQ$76,Curves!$AH$61:$BV$61)</f>
        <v/>
      </c>
      <c r="AR19" s="5">
        <f>SUMPRODUCT(Adds!$C$74:$AR$74,Curves!$AG$15:$BV$15)+SUMPRODUCT(Adds!$C$75:$AR$75,Curves!$AG$38:$BV$38)+SUMPRODUCT(Adds!$C$76:$AR$76,Curves!$AG$61:$BV$61)</f>
        <v/>
      </c>
      <c r="AS19" s="5">
        <f>SUMPRODUCT(Adds!$C$74:$AS$74,Curves!$AF$15:$BV$15)+SUMPRODUCT(Adds!$C$75:$AS$75,Curves!$AF$38:$BV$38)+SUMPRODUCT(Adds!$C$76:$AS$76,Curves!$AF$61:$BV$61)</f>
        <v/>
      </c>
      <c r="AT19" s="5">
        <f>SUMPRODUCT(Adds!$C$74:$AT$74,Curves!$AE$15:$BV$15)+SUMPRODUCT(Adds!$C$75:$AT$75,Curves!$AE$38:$BV$38)+SUMPRODUCT(Adds!$C$76:$AT$76,Curves!$AE$61:$BV$61)</f>
        <v/>
      </c>
      <c r="AU19" s="5">
        <f>SUMPRODUCT(Adds!$C$74:$AU$74,Curves!$AD$15:$BV$15)+SUMPRODUCT(Adds!$C$75:$AU$75,Curves!$AD$38:$BV$38)+SUMPRODUCT(Adds!$C$76:$AU$76,Curves!$AD$61:$BV$61)</f>
        <v/>
      </c>
      <c r="AV19" s="5">
        <f>SUMPRODUCT(Adds!$C$74:$AV$74,Curves!$AC$15:$BV$15)+SUMPRODUCT(Adds!$C$75:$AV$75,Curves!$AC$38:$BV$38)+SUMPRODUCT(Adds!$C$76:$AV$76,Curves!$AC$61:$BV$61)</f>
        <v/>
      </c>
      <c r="AW19" s="5">
        <f>SUMPRODUCT(Adds!$C$74:$AW$74,Curves!$AB$15:$BV$15)+SUMPRODUCT(Adds!$C$75:$AW$75,Curves!$AB$38:$BV$38)+SUMPRODUCT(Adds!$C$76:$AW$76,Curves!$AB$61:$BV$61)</f>
        <v/>
      </c>
      <c r="AX19" s="5">
        <f>SUMPRODUCT(Adds!$C$74:$AX$74,Curves!$AA$15:$BV$15)+SUMPRODUCT(Adds!$C$75:$AX$75,Curves!$AA$38:$BV$38)+SUMPRODUCT(Adds!$C$76:$AX$76,Curves!$AA$61:$BV$61)</f>
        <v/>
      </c>
      <c r="AY19" s="5">
        <f>SUMPRODUCT(Adds!$C$74:$AY$74,Curves!$Z$15:$BV$15)+SUMPRODUCT(Adds!$C$75:$AY$75,Curves!$Z$38:$BV$38)+SUMPRODUCT(Adds!$C$76:$AY$76,Curves!$Z$61:$BV$61)</f>
        <v/>
      </c>
      <c r="AZ19" s="5">
        <f>SUMPRODUCT(Adds!$C$74:$AZ$74,Curves!$Y$15:$BV$15)+SUMPRODUCT(Adds!$C$75:$AZ$75,Curves!$Y$38:$BV$38)+SUMPRODUCT(Adds!$C$76:$AZ$76,Curves!$Y$61:$BV$61)</f>
        <v/>
      </c>
      <c r="BA19" s="5">
        <f>SUMPRODUCT(Adds!$C$74:$BA$74,Curves!$X$15:$BV$15)+SUMPRODUCT(Adds!$C$75:$BA$75,Curves!$X$38:$BV$38)+SUMPRODUCT(Adds!$C$76:$BA$76,Curves!$X$61:$BV$61)</f>
        <v/>
      </c>
      <c r="BB19" s="5">
        <f>SUMPRODUCT(Adds!$C$74:$BB$74,Curves!$W$15:$BV$15)+SUMPRODUCT(Adds!$C$75:$BB$75,Curves!$W$38:$BV$38)+SUMPRODUCT(Adds!$C$76:$BB$76,Curves!$W$61:$BV$61)</f>
        <v/>
      </c>
      <c r="BC19" s="5">
        <f>SUMPRODUCT(Adds!$C$74:$BC$74,Curves!$V$15:$BV$15)+SUMPRODUCT(Adds!$C$75:$BC$75,Curves!$V$38:$BV$38)+SUMPRODUCT(Adds!$C$76:$BC$76,Curves!$V$61:$BV$61)</f>
        <v/>
      </c>
      <c r="BD19" s="5">
        <f>SUMPRODUCT(Adds!$C$74:$BD$74,Curves!$U$15:$BV$15)+SUMPRODUCT(Adds!$C$75:$BD$75,Curves!$U$38:$BV$38)+SUMPRODUCT(Adds!$C$76:$BD$76,Curves!$U$61:$BV$61)</f>
        <v/>
      </c>
      <c r="BE19" s="5">
        <f>SUMPRODUCT(Adds!$C$74:$BE$74,Curves!$T$15:$BV$15)+SUMPRODUCT(Adds!$C$75:$BE$75,Curves!$T$38:$BV$38)+SUMPRODUCT(Adds!$C$76:$BE$76,Curves!$T$61:$BV$61)</f>
        <v/>
      </c>
      <c r="BF19" s="5">
        <f>SUMPRODUCT(Adds!$C$74:$BF$74,Curves!$S$15:$BV$15)+SUMPRODUCT(Adds!$C$75:$BF$75,Curves!$S$38:$BV$38)+SUMPRODUCT(Adds!$C$76:$BF$76,Curves!$S$61:$BV$61)</f>
        <v/>
      </c>
      <c r="BG19" s="5">
        <f>SUMPRODUCT(Adds!$C$74:$BG$74,Curves!$R$15:$BV$15)+SUMPRODUCT(Adds!$C$75:$BG$75,Curves!$R$38:$BV$38)+SUMPRODUCT(Adds!$C$76:$BG$76,Curves!$R$61:$BV$61)</f>
        <v/>
      </c>
      <c r="BH19" s="5">
        <f>SUMPRODUCT(Adds!$C$74:$BH$74,Curves!$Q$15:$BV$15)+SUMPRODUCT(Adds!$C$75:$BH$75,Curves!$Q$38:$BV$38)+SUMPRODUCT(Adds!$C$76:$BH$76,Curves!$Q$61:$BV$61)</f>
        <v/>
      </c>
      <c r="BI19" s="5">
        <f>SUMPRODUCT(Adds!$C$74:$BI$74,Curves!$P$15:$BV$15)+SUMPRODUCT(Adds!$C$75:$BI$75,Curves!$P$38:$BV$38)+SUMPRODUCT(Adds!$C$76:$BI$76,Curves!$P$61:$BV$61)</f>
        <v/>
      </c>
      <c r="BJ19" s="5">
        <f>SUMPRODUCT(Adds!$C$74:$BJ$74,Curves!$O$15:$BV$15)+SUMPRODUCT(Adds!$C$75:$BJ$75,Curves!$O$38:$BV$38)+SUMPRODUCT(Adds!$C$76:$BJ$76,Curves!$O$61:$BV$61)</f>
        <v/>
      </c>
      <c r="BK19" s="5">
        <f>SUMPRODUCT(Adds!$C$74:$BK$74,Curves!$N$15:$BV$15)+SUMPRODUCT(Adds!$C$75:$BK$75,Curves!$N$38:$BV$38)+SUMPRODUCT(Adds!$C$76:$BK$76,Curves!$N$61:$BV$61)</f>
        <v/>
      </c>
      <c r="BL19" s="5">
        <f>SUMPRODUCT(Adds!$C$74:$BL$74,Curves!$M$15:$BV$15)+SUMPRODUCT(Adds!$C$75:$BL$75,Curves!$M$38:$BV$38)+SUMPRODUCT(Adds!$C$76:$BL$76,Curves!$M$61:$BV$61)</f>
        <v/>
      </c>
      <c r="BM19" s="5">
        <f>SUMPRODUCT(Adds!$C$74:$BM$74,Curves!$L$15:$BV$15)+SUMPRODUCT(Adds!$C$75:$BM$75,Curves!$L$38:$BV$38)+SUMPRODUCT(Adds!$C$76:$BM$76,Curves!$L$61:$BV$61)</f>
        <v/>
      </c>
      <c r="BN19" s="5">
        <f>SUMPRODUCT(Adds!$C$74:$BN$74,Curves!$K$15:$BV$15)+SUMPRODUCT(Adds!$C$75:$BN$75,Curves!$K$38:$BV$38)+SUMPRODUCT(Adds!$C$76:$BN$76,Curves!$K$61:$BV$61)</f>
        <v/>
      </c>
      <c r="BO19" s="5">
        <f>SUMPRODUCT(Adds!$C$74:$BO$74,Curves!$J$15:$BV$15)+SUMPRODUCT(Adds!$C$75:$BO$75,Curves!$J$38:$BV$38)+SUMPRODUCT(Adds!$C$76:$BO$76,Curves!$J$61:$BV$61)</f>
        <v/>
      </c>
      <c r="BP19" s="5">
        <f>SUMPRODUCT(Adds!$C$74:$BP$74,Curves!$I$15:$BV$15)+SUMPRODUCT(Adds!$C$75:$BP$75,Curves!$I$38:$BV$38)+SUMPRODUCT(Adds!$C$76:$BP$76,Curves!$I$61:$BV$61)</f>
        <v/>
      </c>
      <c r="BQ19" s="5">
        <f>SUMPRODUCT(Adds!$C$74:$BQ$74,Curves!$H$15:$BV$15)+SUMPRODUCT(Adds!$C$75:$BQ$75,Curves!$H$38:$BV$38)+SUMPRODUCT(Adds!$C$76:$BQ$76,Curves!$H$61:$BV$61)</f>
        <v/>
      </c>
      <c r="BR19" s="5">
        <f>SUMPRODUCT(Adds!$C$74:$BR$74,Curves!$G$15:$BV$15)+SUMPRODUCT(Adds!$C$75:$BR$75,Curves!$G$38:$BV$38)+SUMPRODUCT(Adds!$C$76:$BR$76,Curves!$G$61:$BV$61)</f>
        <v/>
      </c>
      <c r="BS19" s="5">
        <f>SUMPRODUCT(Adds!$C$74:$BS$74,Curves!$F$15:$BV$15)+SUMPRODUCT(Adds!$C$75:$BS$75,Curves!$F$38:$BV$38)+SUMPRODUCT(Adds!$C$76:$BS$76,Curves!$F$61:$BV$61)</f>
        <v/>
      </c>
      <c r="BT19" s="5">
        <f>SUMPRODUCT(Adds!$C$74:$BT$74,Curves!$E$15:$BV$15)+SUMPRODUCT(Adds!$C$75:$BT$75,Curves!$E$38:$BV$38)+SUMPRODUCT(Adds!$C$76:$BT$76,Curves!$E$61:$BV$61)</f>
        <v/>
      </c>
      <c r="BU19" s="5">
        <f>SUMPRODUCT(Adds!$C$74:$BU$74,Curves!$D$15:$BV$15)+SUMPRODUCT(Adds!$C$75:$BU$75,Curves!$D$38:$BV$38)+SUMPRODUCT(Adds!$C$76:$BU$76,Curves!$D$61:$BV$61)</f>
        <v/>
      </c>
      <c r="BV19" s="5">
        <f>SUMPRODUCT(Adds!$C$74:$BV$74,Curves!$C$15:$BV$15)+SUMPRODUCT(Adds!$C$75:$BV$75,Curves!$C$38:$BV$38)+SUMPRODUCT(Adds!$C$76:$BV$76,Curves!$C$61:$BV$61)</f>
        <v/>
      </c>
    </row>
    <row r="20">
      <c r="A20" t="inlineStr">
        <is>
          <t>active yr 1</t>
        </is>
      </c>
      <c r="B20" t="inlineStr">
        <is>
          <t>EUROPE|NITRO_M</t>
        </is>
      </c>
      <c r="C20" s="5">
        <f>Adds!$C$74*Curves!$BV$22+Adds!$C$75*Curves!$BV$45+Adds!$C$76*Curves!$BV$68</f>
        <v/>
      </c>
      <c r="D20" s="5">
        <f>SUMPRODUCT(Adds!$C$74:$D$74,Curves!$BU$22:$BV$22)+SUMPRODUCT(Adds!$C$75:$D$75,Curves!$BU$45:$BV$45)+SUMPRODUCT(Adds!$C$76:$D$76,Curves!$BU$68:$BV$68)</f>
        <v/>
      </c>
      <c r="E20" s="5">
        <f>SUMPRODUCT(Adds!$C$74:$E$74,Curves!$BT$22:$BV$22)+SUMPRODUCT(Adds!$C$75:$E$75,Curves!$BT$45:$BV$45)+SUMPRODUCT(Adds!$C$76:$E$76,Curves!$BT$68:$BV$68)</f>
        <v/>
      </c>
      <c r="F20" s="5">
        <f>SUMPRODUCT(Adds!$C$74:$F$74,Curves!$BS$22:$BV$22)+SUMPRODUCT(Adds!$C$75:$F$75,Curves!$BS$45:$BV$45)+SUMPRODUCT(Adds!$C$76:$F$76,Curves!$BS$68:$BV$68)</f>
        <v/>
      </c>
      <c r="G20" s="5">
        <f>SUMPRODUCT(Adds!$C$74:$G$74,Curves!$BR$22:$BV$22)+SUMPRODUCT(Adds!$C$75:$G$75,Curves!$BR$45:$BV$45)+SUMPRODUCT(Adds!$C$76:$G$76,Curves!$BR$68:$BV$68)</f>
        <v/>
      </c>
      <c r="H20" s="5">
        <f>SUMPRODUCT(Adds!$C$74:$H$74,Curves!$BQ$22:$BV$22)+SUMPRODUCT(Adds!$C$75:$H$75,Curves!$BQ$45:$BV$45)+SUMPRODUCT(Adds!$C$76:$H$76,Curves!$BQ$68:$BV$68)</f>
        <v/>
      </c>
      <c r="I20" s="5">
        <f>SUMPRODUCT(Adds!$C$74:$I$74,Curves!$BP$22:$BV$22)+SUMPRODUCT(Adds!$C$75:$I$75,Curves!$BP$45:$BV$45)+SUMPRODUCT(Adds!$C$76:$I$76,Curves!$BP$68:$BV$68)</f>
        <v/>
      </c>
      <c r="J20" s="5">
        <f>SUMPRODUCT(Adds!$C$74:$J$74,Curves!$BO$22:$BV$22)+SUMPRODUCT(Adds!$C$75:$J$75,Curves!$BO$45:$BV$45)+SUMPRODUCT(Adds!$C$76:$J$76,Curves!$BO$68:$BV$68)</f>
        <v/>
      </c>
      <c r="K20" s="5">
        <f>SUMPRODUCT(Adds!$C$74:$K$74,Curves!$BN$22:$BV$22)+SUMPRODUCT(Adds!$C$75:$K$75,Curves!$BN$45:$BV$45)+SUMPRODUCT(Adds!$C$76:$K$76,Curves!$BN$68:$BV$68)</f>
        <v/>
      </c>
      <c r="L20" s="5">
        <f>SUMPRODUCT(Adds!$C$74:$L$74,Curves!$BM$22:$BV$22)+SUMPRODUCT(Adds!$C$75:$L$75,Curves!$BM$45:$BV$45)+SUMPRODUCT(Adds!$C$76:$L$76,Curves!$BM$68:$BV$68)</f>
        <v/>
      </c>
      <c r="M20" s="5">
        <f>SUMPRODUCT(Adds!$C$74:$M$74,Curves!$BL$22:$BV$22)+SUMPRODUCT(Adds!$C$75:$M$75,Curves!$BL$45:$BV$45)+SUMPRODUCT(Adds!$C$76:$M$76,Curves!$BL$68:$BV$68)</f>
        <v/>
      </c>
      <c r="N20" s="5">
        <f>SUMPRODUCT(Adds!$C$74:$N$74,Curves!$BK$22:$BV$22)+SUMPRODUCT(Adds!$C$75:$N$75,Curves!$BK$45:$BV$45)+SUMPRODUCT(Adds!$C$76:$N$76,Curves!$BK$68:$BV$68)</f>
        <v/>
      </c>
      <c r="O20" s="5">
        <f>SUMPRODUCT(Adds!$C$74:$O$74,Curves!$BJ$22:$BV$22)+SUMPRODUCT(Adds!$C$75:$O$75,Curves!$BJ$45:$BV$45)+SUMPRODUCT(Adds!$C$76:$O$76,Curves!$BJ$68:$BV$68)</f>
        <v/>
      </c>
      <c r="P20" s="5">
        <f>SUMPRODUCT(Adds!$C$74:$P$74,Curves!$BI$22:$BV$22)+SUMPRODUCT(Adds!$C$75:$P$75,Curves!$BI$45:$BV$45)+SUMPRODUCT(Adds!$C$76:$P$76,Curves!$BI$68:$BV$68)</f>
        <v/>
      </c>
      <c r="Q20" s="5">
        <f>SUMPRODUCT(Adds!$C$74:$Q$74,Curves!$BH$22:$BV$22)+SUMPRODUCT(Adds!$C$75:$Q$75,Curves!$BH$45:$BV$45)+SUMPRODUCT(Adds!$C$76:$Q$76,Curves!$BH$68:$BV$68)</f>
        <v/>
      </c>
      <c r="R20" s="5">
        <f>SUMPRODUCT(Adds!$C$74:$R$74,Curves!$BG$22:$BV$22)+SUMPRODUCT(Adds!$C$75:$R$75,Curves!$BG$45:$BV$45)+SUMPRODUCT(Adds!$C$76:$R$76,Curves!$BG$68:$BV$68)</f>
        <v/>
      </c>
      <c r="S20" s="5">
        <f>SUMPRODUCT(Adds!$C$74:$S$74,Curves!$BF$22:$BV$22)+SUMPRODUCT(Adds!$C$75:$S$75,Curves!$BF$45:$BV$45)+SUMPRODUCT(Adds!$C$76:$S$76,Curves!$BF$68:$BV$68)</f>
        <v/>
      </c>
      <c r="T20" s="5">
        <f>SUMPRODUCT(Adds!$C$74:$T$74,Curves!$BE$22:$BV$22)+SUMPRODUCT(Adds!$C$75:$T$75,Curves!$BE$45:$BV$45)+SUMPRODUCT(Adds!$C$76:$T$76,Curves!$BE$68:$BV$68)</f>
        <v/>
      </c>
      <c r="U20" s="5">
        <f>SUMPRODUCT(Adds!$C$74:$U$74,Curves!$BD$22:$BV$22)+SUMPRODUCT(Adds!$C$75:$U$75,Curves!$BD$45:$BV$45)+SUMPRODUCT(Adds!$C$76:$U$76,Curves!$BD$68:$BV$68)</f>
        <v/>
      </c>
      <c r="V20" s="5">
        <f>SUMPRODUCT(Adds!$C$74:$V$74,Curves!$BC$22:$BV$22)+SUMPRODUCT(Adds!$C$75:$V$75,Curves!$BC$45:$BV$45)+SUMPRODUCT(Adds!$C$76:$V$76,Curves!$BC$68:$BV$68)</f>
        <v/>
      </c>
      <c r="W20" s="5">
        <f>SUMPRODUCT(Adds!$C$74:$W$74,Curves!$BB$22:$BV$22)+SUMPRODUCT(Adds!$C$75:$W$75,Curves!$BB$45:$BV$45)+SUMPRODUCT(Adds!$C$76:$W$76,Curves!$BB$68:$BV$68)</f>
        <v/>
      </c>
      <c r="X20" s="5">
        <f>SUMPRODUCT(Adds!$C$74:$X$74,Curves!$BA$22:$BV$22)+SUMPRODUCT(Adds!$C$75:$X$75,Curves!$BA$45:$BV$45)+SUMPRODUCT(Adds!$C$76:$X$76,Curves!$BA$68:$BV$68)</f>
        <v/>
      </c>
      <c r="Y20" s="5">
        <f>SUMPRODUCT(Adds!$C$74:$Y$74,Curves!$AZ$22:$BV$22)+SUMPRODUCT(Adds!$C$75:$Y$75,Curves!$AZ$45:$BV$45)+SUMPRODUCT(Adds!$C$76:$Y$76,Curves!$AZ$68:$BV$68)</f>
        <v/>
      </c>
      <c r="Z20" s="5">
        <f>SUMPRODUCT(Adds!$C$74:$Z$74,Curves!$AY$22:$BV$22)+SUMPRODUCT(Adds!$C$75:$Z$75,Curves!$AY$45:$BV$45)+SUMPRODUCT(Adds!$C$76:$Z$76,Curves!$AY$68:$BV$68)</f>
        <v/>
      </c>
      <c r="AA20" s="5">
        <f>SUMPRODUCT(Adds!$C$74:$AA$74,Curves!$AX$22:$BV$22)+SUMPRODUCT(Adds!$C$75:$AA$75,Curves!$AX$45:$BV$45)+SUMPRODUCT(Adds!$C$76:$AA$76,Curves!$AX$68:$BV$68)</f>
        <v/>
      </c>
      <c r="AB20" s="5">
        <f>SUMPRODUCT(Adds!$C$74:$AB$74,Curves!$AW$22:$BV$22)+SUMPRODUCT(Adds!$C$75:$AB$75,Curves!$AW$45:$BV$45)+SUMPRODUCT(Adds!$C$76:$AB$76,Curves!$AW$68:$BV$68)</f>
        <v/>
      </c>
      <c r="AC20" s="5">
        <f>SUMPRODUCT(Adds!$C$74:$AC$74,Curves!$AV$22:$BV$22)+SUMPRODUCT(Adds!$C$75:$AC$75,Curves!$AV$45:$BV$45)+SUMPRODUCT(Adds!$C$76:$AC$76,Curves!$AV$68:$BV$68)</f>
        <v/>
      </c>
      <c r="AD20" s="5">
        <f>SUMPRODUCT(Adds!$C$74:$AD$74,Curves!$AU$22:$BV$22)+SUMPRODUCT(Adds!$C$75:$AD$75,Curves!$AU$45:$BV$45)+SUMPRODUCT(Adds!$C$76:$AD$76,Curves!$AU$68:$BV$68)</f>
        <v/>
      </c>
      <c r="AE20" s="5">
        <f>SUMPRODUCT(Adds!$C$74:$AE$74,Curves!$AT$22:$BV$22)+SUMPRODUCT(Adds!$C$75:$AE$75,Curves!$AT$45:$BV$45)+SUMPRODUCT(Adds!$C$76:$AE$76,Curves!$AT$68:$BV$68)</f>
        <v/>
      </c>
      <c r="AF20" s="5">
        <f>SUMPRODUCT(Adds!$C$74:$AF$74,Curves!$AS$22:$BV$22)+SUMPRODUCT(Adds!$C$75:$AF$75,Curves!$AS$45:$BV$45)+SUMPRODUCT(Adds!$C$76:$AF$76,Curves!$AS$68:$BV$68)</f>
        <v/>
      </c>
      <c r="AG20" s="5">
        <f>SUMPRODUCT(Adds!$C$74:$AG$74,Curves!$AR$22:$BV$22)+SUMPRODUCT(Adds!$C$75:$AG$75,Curves!$AR$45:$BV$45)+SUMPRODUCT(Adds!$C$76:$AG$76,Curves!$AR$68:$BV$68)</f>
        <v/>
      </c>
      <c r="AH20" s="5">
        <f>SUMPRODUCT(Adds!$C$74:$AH$74,Curves!$AQ$22:$BV$22)+SUMPRODUCT(Adds!$C$75:$AH$75,Curves!$AQ$45:$BV$45)+SUMPRODUCT(Adds!$C$76:$AH$76,Curves!$AQ$68:$BV$68)</f>
        <v/>
      </c>
      <c r="AI20" s="5">
        <f>SUMPRODUCT(Adds!$C$74:$AI$74,Curves!$AP$22:$BV$22)+SUMPRODUCT(Adds!$C$75:$AI$75,Curves!$AP$45:$BV$45)+SUMPRODUCT(Adds!$C$76:$AI$76,Curves!$AP$68:$BV$68)</f>
        <v/>
      </c>
      <c r="AJ20" s="5">
        <f>SUMPRODUCT(Adds!$C$74:$AJ$74,Curves!$AO$22:$BV$22)+SUMPRODUCT(Adds!$C$75:$AJ$75,Curves!$AO$45:$BV$45)+SUMPRODUCT(Adds!$C$76:$AJ$76,Curves!$AO$68:$BV$68)</f>
        <v/>
      </c>
      <c r="AK20" s="5">
        <f>SUMPRODUCT(Adds!$C$74:$AK$74,Curves!$AN$22:$BV$22)+SUMPRODUCT(Adds!$C$75:$AK$75,Curves!$AN$45:$BV$45)+SUMPRODUCT(Adds!$C$76:$AK$76,Curves!$AN$68:$BV$68)</f>
        <v/>
      </c>
      <c r="AL20" s="5">
        <f>SUMPRODUCT(Adds!$C$74:$AL$74,Curves!$AM$22:$BV$22)+SUMPRODUCT(Adds!$C$75:$AL$75,Curves!$AM$45:$BV$45)+SUMPRODUCT(Adds!$C$76:$AL$76,Curves!$AM$68:$BV$68)</f>
        <v/>
      </c>
      <c r="AM20" s="5">
        <f>SUMPRODUCT(Adds!$C$74:$AM$74,Curves!$AL$22:$BV$22)+SUMPRODUCT(Adds!$C$75:$AM$75,Curves!$AL$45:$BV$45)+SUMPRODUCT(Adds!$C$76:$AM$76,Curves!$AL$68:$BV$68)</f>
        <v/>
      </c>
      <c r="AN20" s="5">
        <f>SUMPRODUCT(Adds!$C$74:$AN$74,Curves!$AK$22:$BV$22)+SUMPRODUCT(Adds!$C$75:$AN$75,Curves!$AK$45:$BV$45)+SUMPRODUCT(Adds!$C$76:$AN$76,Curves!$AK$68:$BV$68)</f>
        <v/>
      </c>
      <c r="AO20" s="5">
        <f>SUMPRODUCT(Adds!$C$74:$AO$74,Curves!$AJ$22:$BV$22)+SUMPRODUCT(Adds!$C$75:$AO$75,Curves!$AJ$45:$BV$45)+SUMPRODUCT(Adds!$C$76:$AO$76,Curves!$AJ$68:$BV$68)</f>
        <v/>
      </c>
      <c r="AP20" s="5">
        <f>SUMPRODUCT(Adds!$C$74:$AP$74,Curves!$AI$22:$BV$22)+SUMPRODUCT(Adds!$C$75:$AP$75,Curves!$AI$45:$BV$45)+SUMPRODUCT(Adds!$C$76:$AP$76,Curves!$AI$68:$BV$68)</f>
        <v/>
      </c>
      <c r="AQ20" s="5">
        <f>SUMPRODUCT(Adds!$C$74:$AQ$74,Curves!$AH$22:$BV$22)+SUMPRODUCT(Adds!$C$75:$AQ$75,Curves!$AH$45:$BV$45)+SUMPRODUCT(Adds!$C$76:$AQ$76,Curves!$AH$68:$BV$68)</f>
        <v/>
      </c>
      <c r="AR20" s="5">
        <f>SUMPRODUCT(Adds!$C$74:$AR$74,Curves!$AG$22:$BV$22)+SUMPRODUCT(Adds!$C$75:$AR$75,Curves!$AG$45:$BV$45)+SUMPRODUCT(Adds!$C$76:$AR$76,Curves!$AG$68:$BV$68)</f>
        <v/>
      </c>
      <c r="AS20" s="5">
        <f>SUMPRODUCT(Adds!$C$74:$AS$74,Curves!$AF$22:$BV$22)+SUMPRODUCT(Adds!$C$75:$AS$75,Curves!$AF$45:$BV$45)+SUMPRODUCT(Adds!$C$76:$AS$76,Curves!$AF$68:$BV$68)</f>
        <v/>
      </c>
      <c r="AT20" s="5">
        <f>SUMPRODUCT(Adds!$C$74:$AT$74,Curves!$AE$22:$BV$22)+SUMPRODUCT(Adds!$C$75:$AT$75,Curves!$AE$45:$BV$45)+SUMPRODUCT(Adds!$C$76:$AT$76,Curves!$AE$68:$BV$68)</f>
        <v/>
      </c>
      <c r="AU20" s="5">
        <f>SUMPRODUCT(Adds!$C$74:$AU$74,Curves!$AD$22:$BV$22)+SUMPRODUCT(Adds!$C$75:$AU$75,Curves!$AD$45:$BV$45)+SUMPRODUCT(Adds!$C$76:$AU$76,Curves!$AD$68:$BV$68)</f>
        <v/>
      </c>
      <c r="AV20" s="5">
        <f>SUMPRODUCT(Adds!$C$74:$AV$74,Curves!$AC$22:$BV$22)+SUMPRODUCT(Adds!$C$75:$AV$75,Curves!$AC$45:$BV$45)+SUMPRODUCT(Adds!$C$76:$AV$76,Curves!$AC$68:$BV$68)</f>
        <v/>
      </c>
      <c r="AW20" s="5">
        <f>SUMPRODUCT(Adds!$C$74:$AW$74,Curves!$AB$22:$BV$22)+SUMPRODUCT(Adds!$C$75:$AW$75,Curves!$AB$45:$BV$45)+SUMPRODUCT(Adds!$C$76:$AW$76,Curves!$AB$68:$BV$68)</f>
        <v/>
      </c>
      <c r="AX20" s="5">
        <f>SUMPRODUCT(Adds!$C$74:$AX$74,Curves!$AA$22:$BV$22)+SUMPRODUCT(Adds!$C$75:$AX$75,Curves!$AA$45:$BV$45)+SUMPRODUCT(Adds!$C$76:$AX$76,Curves!$AA$68:$BV$68)</f>
        <v/>
      </c>
      <c r="AY20" s="5">
        <f>SUMPRODUCT(Adds!$C$74:$AY$74,Curves!$Z$22:$BV$22)+SUMPRODUCT(Adds!$C$75:$AY$75,Curves!$Z$45:$BV$45)+SUMPRODUCT(Adds!$C$76:$AY$76,Curves!$Z$68:$BV$68)</f>
        <v/>
      </c>
      <c r="AZ20" s="5">
        <f>SUMPRODUCT(Adds!$C$74:$AZ$74,Curves!$Y$22:$BV$22)+SUMPRODUCT(Adds!$C$75:$AZ$75,Curves!$Y$45:$BV$45)+SUMPRODUCT(Adds!$C$76:$AZ$76,Curves!$Y$68:$BV$68)</f>
        <v/>
      </c>
      <c r="BA20" s="5">
        <f>SUMPRODUCT(Adds!$C$74:$BA$74,Curves!$X$22:$BV$22)+SUMPRODUCT(Adds!$C$75:$BA$75,Curves!$X$45:$BV$45)+SUMPRODUCT(Adds!$C$76:$BA$76,Curves!$X$68:$BV$68)</f>
        <v/>
      </c>
      <c r="BB20" s="5">
        <f>SUMPRODUCT(Adds!$C$74:$BB$74,Curves!$W$22:$BV$22)+SUMPRODUCT(Adds!$C$75:$BB$75,Curves!$W$45:$BV$45)+SUMPRODUCT(Adds!$C$76:$BB$76,Curves!$W$68:$BV$68)</f>
        <v/>
      </c>
      <c r="BC20" s="5">
        <f>SUMPRODUCT(Adds!$C$74:$BC$74,Curves!$V$22:$BV$22)+SUMPRODUCT(Adds!$C$75:$BC$75,Curves!$V$45:$BV$45)+SUMPRODUCT(Adds!$C$76:$BC$76,Curves!$V$68:$BV$68)</f>
        <v/>
      </c>
      <c r="BD20" s="5">
        <f>SUMPRODUCT(Adds!$C$74:$BD$74,Curves!$U$22:$BV$22)+SUMPRODUCT(Adds!$C$75:$BD$75,Curves!$U$45:$BV$45)+SUMPRODUCT(Adds!$C$76:$BD$76,Curves!$U$68:$BV$68)</f>
        <v/>
      </c>
      <c r="BE20" s="5">
        <f>SUMPRODUCT(Adds!$C$74:$BE$74,Curves!$T$22:$BV$22)+SUMPRODUCT(Adds!$C$75:$BE$75,Curves!$T$45:$BV$45)+SUMPRODUCT(Adds!$C$76:$BE$76,Curves!$T$68:$BV$68)</f>
        <v/>
      </c>
      <c r="BF20" s="5">
        <f>SUMPRODUCT(Adds!$C$74:$BF$74,Curves!$S$22:$BV$22)+SUMPRODUCT(Adds!$C$75:$BF$75,Curves!$S$45:$BV$45)+SUMPRODUCT(Adds!$C$76:$BF$76,Curves!$S$68:$BV$68)</f>
        <v/>
      </c>
      <c r="BG20" s="5">
        <f>SUMPRODUCT(Adds!$C$74:$BG$74,Curves!$R$22:$BV$22)+SUMPRODUCT(Adds!$C$75:$BG$75,Curves!$R$45:$BV$45)+SUMPRODUCT(Adds!$C$76:$BG$76,Curves!$R$68:$BV$68)</f>
        <v/>
      </c>
      <c r="BH20" s="5">
        <f>SUMPRODUCT(Adds!$C$74:$BH$74,Curves!$Q$22:$BV$22)+SUMPRODUCT(Adds!$C$75:$BH$75,Curves!$Q$45:$BV$45)+SUMPRODUCT(Adds!$C$76:$BH$76,Curves!$Q$68:$BV$68)</f>
        <v/>
      </c>
      <c r="BI20" s="5">
        <f>SUMPRODUCT(Adds!$C$74:$BI$74,Curves!$P$22:$BV$22)+SUMPRODUCT(Adds!$C$75:$BI$75,Curves!$P$45:$BV$45)+SUMPRODUCT(Adds!$C$76:$BI$76,Curves!$P$68:$BV$68)</f>
        <v/>
      </c>
      <c r="BJ20" s="5">
        <f>SUMPRODUCT(Adds!$C$74:$BJ$74,Curves!$O$22:$BV$22)+SUMPRODUCT(Adds!$C$75:$BJ$75,Curves!$O$45:$BV$45)+SUMPRODUCT(Adds!$C$76:$BJ$76,Curves!$O$68:$BV$68)</f>
        <v/>
      </c>
      <c r="BK20" s="5">
        <f>SUMPRODUCT(Adds!$C$74:$BK$74,Curves!$N$22:$BV$22)+SUMPRODUCT(Adds!$C$75:$BK$75,Curves!$N$45:$BV$45)+SUMPRODUCT(Adds!$C$76:$BK$76,Curves!$N$68:$BV$68)</f>
        <v/>
      </c>
      <c r="BL20" s="5">
        <f>SUMPRODUCT(Adds!$C$74:$BL$74,Curves!$M$22:$BV$22)+SUMPRODUCT(Adds!$C$75:$BL$75,Curves!$M$45:$BV$45)+SUMPRODUCT(Adds!$C$76:$BL$76,Curves!$M$68:$BV$68)</f>
        <v/>
      </c>
      <c r="BM20" s="5">
        <f>SUMPRODUCT(Adds!$C$74:$BM$74,Curves!$L$22:$BV$22)+SUMPRODUCT(Adds!$C$75:$BM$75,Curves!$L$45:$BV$45)+SUMPRODUCT(Adds!$C$76:$BM$76,Curves!$L$68:$BV$68)</f>
        <v/>
      </c>
      <c r="BN20" s="5">
        <f>SUMPRODUCT(Adds!$C$74:$BN$74,Curves!$K$22:$BV$22)+SUMPRODUCT(Adds!$C$75:$BN$75,Curves!$K$45:$BV$45)+SUMPRODUCT(Adds!$C$76:$BN$76,Curves!$K$68:$BV$68)</f>
        <v/>
      </c>
      <c r="BO20" s="5">
        <f>SUMPRODUCT(Adds!$C$74:$BO$74,Curves!$J$22:$BV$22)+SUMPRODUCT(Adds!$C$75:$BO$75,Curves!$J$45:$BV$45)+SUMPRODUCT(Adds!$C$76:$BO$76,Curves!$J$68:$BV$68)</f>
        <v/>
      </c>
      <c r="BP20" s="5">
        <f>SUMPRODUCT(Adds!$C$74:$BP$74,Curves!$I$22:$BV$22)+SUMPRODUCT(Adds!$C$75:$BP$75,Curves!$I$45:$BV$45)+SUMPRODUCT(Adds!$C$76:$BP$76,Curves!$I$68:$BV$68)</f>
        <v/>
      </c>
      <c r="BQ20" s="5">
        <f>SUMPRODUCT(Adds!$C$74:$BQ$74,Curves!$H$22:$BV$22)+SUMPRODUCT(Adds!$C$75:$BQ$75,Curves!$H$45:$BV$45)+SUMPRODUCT(Adds!$C$76:$BQ$76,Curves!$H$68:$BV$68)</f>
        <v/>
      </c>
      <c r="BR20" s="5">
        <f>SUMPRODUCT(Adds!$C$74:$BR$74,Curves!$G$22:$BV$22)+SUMPRODUCT(Adds!$C$75:$BR$75,Curves!$G$45:$BV$45)+SUMPRODUCT(Adds!$C$76:$BR$76,Curves!$G$68:$BV$68)</f>
        <v/>
      </c>
      <c r="BS20" s="5">
        <f>SUMPRODUCT(Adds!$C$74:$BS$74,Curves!$F$22:$BV$22)+SUMPRODUCT(Adds!$C$75:$BS$75,Curves!$F$45:$BV$45)+SUMPRODUCT(Adds!$C$76:$BS$76,Curves!$F$68:$BV$68)</f>
        <v/>
      </c>
      <c r="BT20" s="5">
        <f>SUMPRODUCT(Adds!$C$74:$BT$74,Curves!$E$22:$BV$22)+SUMPRODUCT(Adds!$C$75:$BT$75,Curves!$E$45:$BV$45)+SUMPRODUCT(Adds!$C$76:$BT$76,Curves!$E$68:$BV$68)</f>
        <v/>
      </c>
      <c r="BU20" s="5">
        <f>SUMPRODUCT(Adds!$C$74:$BU$74,Curves!$D$22:$BV$22)+SUMPRODUCT(Adds!$C$75:$BU$75,Curves!$D$45:$BV$45)+SUMPRODUCT(Adds!$C$76:$BU$76,Curves!$D$68:$BV$68)</f>
        <v/>
      </c>
      <c r="BV20" s="5">
        <f>SUMPRODUCT(Adds!$C$74:$BV$74,Curves!$C$22:$BV$22)+SUMPRODUCT(Adds!$C$75:$BV$75,Curves!$C$45:$BV$45)+SUMPRODUCT(Adds!$C$76:$BV$76,Curves!$C$68:$BV$68)</f>
        <v/>
      </c>
    </row>
    <row r="21">
      <c r="A21" t="inlineStr">
        <is>
          <t>churned</t>
        </is>
      </c>
      <c r="B21" t="inlineStr">
        <is>
          <t>EUROPE|NITRO_M</t>
        </is>
      </c>
      <c r="C21" s="5">
        <f>Adds!$C$74*Curves!$BV$17+Adds!$C$75*Curves!$BV$40+Adds!$C$76*Curves!$BV$63</f>
        <v/>
      </c>
      <c r="D21" s="5">
        <f>SUMPRODUCT(Adds!$C$74:$D$74,Curves!$BU$17:$BV$17)+SUMPRODUCT(Adds!$C$75:$D$75,Curves!$BU$40:$BV$40)+SUMPRODUCT(Adds!$C$76:$D$76,Curves!$BU$63:$BV$63)</f>
        <v/>
      </c>
      <c r="E21" s="5">
        <f>SUMPRODUCT(Adds!$C$74:$E$74,Curves!$BT$17:$BV$17)+SUMPRODUCT(Adds!$C$75:$E$75,Curves!$BT$40:$BV$40)+SUMPRODUCT(Adds!$C$76:$E$76,Curves!$BT$63:$BV$63)</f>
        <v/>
      </c>
      <c r="F21" s="5">
        <f>SUMPRODUCT(Adds!$C$74:$F$74,Curves!$BS$17:$BV$17)+SUMPRODUCT(Adds!$C$75:$F$75,Curves!$BS$40:$BV$40)+SUMPRODUCT(Adds!$C$76:$F$76,Curves!$BS$63:$BV$63)</f>
        <v/>
      </c>
      <c r="G21" s="5">
        <f>SUMPRODUCT(Adds!$C$74:$G$74,Curves!$BR$17:$BV$17)+SUMPRODUCT(Adds!$C$75:$G$75,Curves!$BR$40:$BV$40)+SUMPRODUCT(Adds!$C$76:$G$76,Curves!$BR$63:$BV$63)</f>
        <v/>
      </c>
      <c r="H21" s="5">
        <f>SUMPRODUCT(Adds!$C$74:$H$74,Curves!$BQ$17:$BV$17)+SUMPRODUCT(Adds!$C$75:$H$75,Curves!$BQ$40:$BV$40)+SUMPRODUCT(Adds!$C$76:$H$76,Curves!$BQ$63:$BV$63)</f>
        <v/>
      </c>
      <c r="I21" s="5">
        <f>SUMPRODUCT(Adds!$C$74:$I$74,Curves!$BP$17:$BV$17)+SUMPRODUCT(Adds!$C$75:$I$75,Curves!$BP$40:$BV$40)+SUMPRODUCT(Adds!$C$76:$I$76,Curves!$BP$63:$BV$63)</f>
        <v/>
      </c>
      <c r="J21" s="5">
        <f>SUMPRODUCT(Adds!$C$74:$J$74,Curves!$BO$17:$BV$17)+SUMPRODUCT(Adds!$C$75:$J$75,Curves!$BO$40:$BV$40)+SUMPRODUCT(Adds!$C$76:$J$76,Curves!$BO$63:$BV$63)</f>
        <v/>
      </c>
      <c r="K21" s="5">
        <f>SUMPRODUCT(Adds!$C$74:$K$74,Curves!$BN$17:$BV$17)+SUMPRODUCT(Adds!$C$75:$K$75,Curves!$BN$40:$BV$40)+SUMPRODUCT(Adds!$C$76:$K$76,Curves!$BN$63:$BV$63)</f>
        <v/>
      </c>
      <c r="L21" s="5">
        <f>SUMPRODUCT(Adds!$C$74:$L$74,Curves!$BM$17:$BV$17)+SUMPRODUCT(Adds!$C$75:$L$75,Curves!$BM$40:$BV$40)+SUMPRODUCT(Adds!$C$76:$L$76,Curves!$BM$63:$BV$63)</f>
        <v/>
      </c>
      <c r="M21" s="5">
        <f>SUMPRODUCT(Adds!$C$74:$M$74,Curves!$BL$17:$BV$17)+SUMPRODUCT(Adds!$C$75:$M$75,Curves!$BL$40:$BV$40)+SUMPRODUCT(Adds!$C$76:$M$76,Curves!$BL$63:$BV$63)</f>
        <v/>
      </c>
      <c r="N21" s="5">
        <f>SUMPRODUCT(Adds!$C$74:$N$74,Curves!$BK$17:$BV$17)+SUMPRODUCT(Adds!$C$75:$N$75,Curves!$BK$40:$BV$40)+SUMPRODUCT(Adds!$C$76:$N$76,Curves!$BK$63:$BV$63)</f>
        <v/>
      </c>
      <c r="O21" s="5">
        <f>SUMPRODUCT(Adds!$C$74:$O$74,Curves!$BJ$17:$BV$17)+SUMPRODUCT(Adds!$C$75:$O$75,Curves!$BJ$40:$BV$40)+SUMPRODUCT(Adds!$C$76:$O$76,Curves!$BJ$63:$BV$63)</f>
        <v/>
      </c>
      <c r="P21" s="5">
        <f>SUMPRODUCT(Adds!$C$74:$P$74,Curves!$BI$17:$BV$17)+SUMPRODUCT(Adds!$C$75:$P$75,Curves!$BI$40:$BV$40)+SUMPRODUCT(Adds!$C$76:$P$76,Curves!$BI$63:$BV$63)</f>
        <v/>
      </c>
      <c r="Q21" s="5">
        <f>SUMPRODUCT(Adds!$C$74:$Q$74,Curves!$BH$17:$BV$17)+SUMPRODUCT(Adds!$C$75:$Q$75,Curves!$BH$40:$BV$40)+SUMPRODUCT(Adds!$C$76:$Q$76,Curves!$BH$63:$BV$63)</f>
        <v/>
      </c>
      <c r="R21" s="5">
        <f>SUMPRODUCT(Adds!$C$74:$R$74,Curves!$BG$17:$BV$17)+SUMPRODUCT(Adds!$C$75:$R$75,Curves!$BG$40:$BV$40)+SUMPRODUCT(Adds!$C$76:$R$76,Curves!$BG$63:$BV$63)</f>
        <v/>
      </c>
      <c r="S21" s="5">
        <f>SUMPRODUCT(Adds!$C$74:$S$74,Curves!$BF$17:$BV$17)+SUMPRODUCT(Adds!$C$75:$S$75,Curves!$BF$40:$BV$40)+SUMPRODUCT(Adds!$C$76:$S$76,Curves!$BF$63:$BV$63)</f>
        <v/>
      </c>
      <c r="T21" s="5">
        <f>SUMPRODUCT(Adds!$C$74:$T$74,Curves!$BE$17:$BV$17)+SUMPRODUCT(Adds!$C$75:$T$75,Curves!$BE$40:$BV$40)+SUMPRODUCT(Adds!$C$76:$T$76,Curves!$BE$63:$BV$63)</f>
        <v/>
      </c>
      <c r="U21" s="5">
        <f>SUMPRODUCT(Adds!$C$74:$U$74,Curves!$BD$17:$BV$17)+SUMPRODUCT(Adds!$C$75:$U$75,Curves!$BD$40:$BV$40)+SUMPRODUCT(Adds!$C$76:$U$76,Curves!$BD$63:$BV$63)</f>
        <v/>
      </c>
      <c r="V21" s="5">
        <f>SUMPRODUCT(Adds!$C$74:$V$74,Curves!$BC$17:$BV$17)+SUMPRODUCT(Adds!$C$75:$V$75,Curves!$BC$40:$BV$40)+SUMPRODUCT(Adds!$C$76:$V$76,Curves!$BC$63:$BV$63)</f>
        <v/>
      </c>
      <c r="W21" s="5">
        <f>SUMPRODUCT(Adds!$C$74:$W$74,Curves!$BB$17:$BV$17)+SUMPRODUCT(Adds!$C$75:$W$75,Curves!$BB$40:$BV$40)+SUMPRODUCT(Adds!$C$76:$W$76,Curves!$BB$63:$BV$63)</f>
        <v/>
      </c>
      <c r="X21" s="5">
        <f>SUMPRODUCT(Adds!$C$74:$X$74,Curves!$BA$17:$BV$17)+SUMPRODUCT(Adds!$C$75:$X$75,Curves!$BA$40:$BV$40)+SUMPRODUCT(Adds!$C$76:$X$76,Curves!$BA$63:$BV$63)</f>
        <v/>
      </c>
      <c r="Y21" s="5">
        <f>SUMPRODUCT(Adds!$C$74:$Y$74,Curves!$AZ$17:$BV$17)+SUMPRODUCT(Adds!$C$75:$Y$75,Curves!$AZ$40:$BV$40)+SUMPRODUCT(Adds!$C$76:$Y$76,Curves!$AZ$63:$BV$63)</f>
        <v/>
      </c>
      <c r="Z21" s="5">
        <f>SUMPRODUCT(Adds!$C$74:$Z$74,Curves!$AY$17:$BV$17)+SUMPRODUCT(Adds!$C$75:$Z$75,Curves!$AY$40:$BV$40)+SUMPRODUCT(Adds!$C$76:$Z$76,Curves!$AY$63:$BV$63)</f>
        <v/>
      </c>
      <c r="AA21" s="5">
        <f>SUMPRODUCT(Adds!$C$74:$AA$74,Curves!$AX$17:$BV$17)+SUMPRODUCT(Adds!$C$75:$AA$75,Curves!$AX$40:$BV$40)+SUMPRODUCT(Adds!$C$76:$AA$76,Curves!$AX$63:$BV$63)</f>
        <v/>
      </c>
      <c r="AB21" s="5">
        <f>SUMPRODUCT(Adds!$C$74:$AB$74,Curves!$AW$17:$BV$17)+SUMPRODUCT(Adds!$C$75:$AB$75,Curves!$AW$40:$BV$40)+SUMPRODUCT(Adds!$C$76:$AB$76,Curves!$AW$63:$BV$63)</f>
        <v/>
      </c>
      <c r="AC21" s="5">
        <f>SUMPRODUCT(Adds!$C$74:$AC$74,Curves!$AV$17:$BV$17)+SUMPRODUCT(Adds!$C$75:$AC$75,Curves!$AV$40:$BV$40)+SUMPRODUCT(Adds!$C$76:$AC$76,Curves!$AV$63:$BV$63)</f>
        <v/>
      </c>
      <c r="AD21" s="5">
        <f>SUMPRODUCT(Adds!$C$74:$AD$74,Curves!$AU$17:$BV$17)+SUMPRODUCT(Adds!$C$75:$AD$75,Curves!$AU$40:$BV$40)+SUMPRODUCT(Adds!$C$76:$AD$76,Curves!$AU$63:$BV$63)</f>
        <v/>
      </c>
      <c r="AE21" s="5">
        <f>SUMPRODUCT(Adds!$C$74:$AE$74,Curves!$AT$17:$BV$17)+SUMPRODUCT(Adds!$C$75:$AE$75,Curves!$AT$40:$BV$40)+SUMPRODUCT(Adds!$C$76:$AE$76,Curves!$AT$63:$BV$63)</f>
        <v/>
      </c>
      <c r="AF21" s="5">
        <f>SUMPRODUCT(Adds!$C$74:$AF$74,Curves!$AS$17:$BV$17)+SUMPRODUCT(Adds!$C$75:$AF$75,Curves!$AS$40:$BV$40)+SUMPRODUCT(Adds!$C$76:$AF$76,Curves!$AS$63:$BV$63)</f>
        <v/>
      </c>
      <c r="AG21" s="5">
        <f>SUMPRODUCT(Adds!$C$74:$AG$74,Curves!$AR$17:$BV$17)+SUMPRODUCT(Adds!$C$75:$AG$75,Curves!$AR$40:$BV$40)+SUMPRODUCT(Adds!$C$76:$AG$76,Curves!$AR$63:$BV$63)</f>
        <v/>
      </c>
      <c r="AH21" s="5">
        <f>SUMPRODUCT(Adds!$C$74:$AH$74,Curves!$AQ$17:$BV$17)+SUMPRODUCT(Adds!$C$75:$AH$75,Curves!$AQ$40:$BV$40)+SUMPRODUCT(Adds!$C$76:$AH$76,Curves!$AQ$63:$BV$63)</f>
        <v/>
      </c>
      <c r="AI21" s="5">
        <f>SUMPRODUCT(Adds!$C$74:$AI$74,Curves!$AP$17:$BV$17)+SUMPRODUCT(Adds!$C$75:$AI$75,Curves!$AP$40:$BV$40)+SUMPRODUCT(Adds!$C$76:$AI$76,Curves!$AP$63:$BV$63)</f>
        <v/>
      </c>
      <c r="AJ21" s="5">
        <f>SUMPRODUCT(Adds!$C$74:$AJ$74,Curves!$AO$17:$BV$17)+SUMPRODUCT(Adds!$C$75:$AJ$75,Curves!$AO$40:$BV$40)+SUMPRODUCT(Adds!$C$76:$AJ$76,Curves!$AO$63:$BV$63)</f>
        <v/>
      </c>
      <c r="AK21" s="5">
        <f>SUMPRODUCT(Adds!$C$74:$AK$74,Curves!$AN$17:$BV$17)+SUMPRODUCT(Adds!$C$75:$AK$75,Curves!$AN$40:$BV$40)+SUMPRODUCT(Adds!$C$76:$AK$76,Curves!$AN$63:$BV$63)</f>
        <v/>
      </c>
      <c r="AL21" s="5">
        <f>SUMPRODUCT(Adds!$C$74:$AL$74,Curves!$AM$17:$BV$17)+SUMPRODUCT(Adds!$C$75:$AL$75,Curves!$AM$40:$BV$40)+SUMPRODUCT(Adds!$C$76:$AL$76,Curves!$AM$63:$BV$63)</f>
        <v/>
      </c>
      <c r="AM21" s="5">
        <f>SUMPRODUCT(Adds!$C$74:$AM$74,Curves!$AL$17:$BV$17)+SUMPRODUCT(Adds!$C$75:$AM$75,Curves!$AL$40:$BV$40)+SUMPRODUCT(Adds!$C$76:$AM$76,Curves!$AL$63:$BV$63)</f>
        <v/>
      </c>
      <c r="AN21" s="5">
        <f>SUMPRODUCT(Adds!$C$74:$AN$74,Curves!$AK$17:$BV$17)+SUMPRODUCT(Adds!$C$75:$AN$75,Curves!$AK$40:$BV$40)+SUMPRODUCT(Adds!$C$76:$AN$76,Curves!$AK$63:$BV$63)</f>
        <v/>
      </c>
      <c r="AO21" s="5">
        <f>SUMPRODUCT(Adds!$C$74:$AO$74,Curves!$AJ$17:$BV$17)+SUMPRODUCT(Adds!$C$75:$AO$75,Curves!$AJ$40:$BV$40)+SUMPRODUCT(Adds!$C$76:$AO$76,Curves!$AJ$63:$BV$63)</f>
        <v/>
      </c>
      <c r="AP21" s="5">
        <f>SUMPRODUCT(Adds!$C$74:$AP$74,Curves!$AI$17:$BV$17)+SUMPRODUCT(Adds!$C$75:$AP$75,Curves!$AI$40:$BV$40)+SUMPRODUCT(Adds!$C$76:$AP$76,Curves!$AI$63:$BV$63)</f>
        <v/>
      </c>
      <c r="AQ21" s="5">
        <f>SUMPRODUCT(Adds!$C$74:$AQ$74,Curves!$AH$17:$BV$17)+SUMPRODUCT(Adds!$C$75:$AQ$75,Curves!$AH$40:$BV$40)+SUMPRODUCT(Adds!$C$76:$AQ$76,Curves!$AH$63:$BV$63)</f>
        <v/>
      </c>
      <c r="AR21" s="5">
        <f>SUMPRODUCT(Adds!$C$74:$AR$74,Curves!$AG$17:$BV$17)+SUMPRODUCT(Adds!$C$75:$AR$75,Curves!$AG$40:$BV$40)+SUMPRODUCT(Adds!$C$76:$AR$76,Curves!$AG$63:$BV$63)</f>
        <v/>
      </c>
      <c r="AS21" s="5">
        <f>SUMPRODUCT(Adds!$C$74:$AS$74,Curves!$AF$17:$BV$17)+SUMPRODUCT(Adds!$C$75:$AS$75,Curves!$AF$40:$BV$40)+SUMPRODUCT(Adds!$C$76:$AS$76,Curves!$AF$63:$BV$63)</f>
        <v/>
      </c>
      <c r="AT21" s="5">
        <f>SUMPRODUCT(Adds!$C$74:$AT$74,Curves!$AE$17:$BV$17)+SUMPRODUCT(Adds!$C$75:$AT$75,Curves!$AE$40:$BV$40)+SUMPRODUCT(Adds!$C$76:$AT$76,Curves!$AE$63:$BV$63)</f>
        <v/>
      </c>
      <c r="AU21" s="5">
        <f>SUMPRODUCT(Adds!$C$74:$AU$74,Curves!$AD$17:$BV$17)+SUMPRODUCT(Adds!$C$75:$AU$75,Curves!$AD$40:$BV$40)+SUMPRODUCT(Adds!$C$76:$AU$76,Curves!$AD$63:$BV$63)</f>
        <v/>
      </c>
      <c r="AV21" s="5">
        <f>SUMPRODUCT(Adds!$C$74:$AV$74,Curves!$AC$17:$BV$17)+SUMPRODUCT(Adds!$C$75:$AV$75,Curves!$AC$40:$BV$40)+SUMPRODUCT(Adds!$C$76:$AV$76,Curves!$AC$63:$BV$63)</f>
        <v/>
      </c>
      <c r="AW21" s="5">
        <f>SUMPRODUCT(Adds!$C$74:$AW$74,Curves!$AB$17:$BV$17)+SUMPRODUCT(Adds!$C$75:$AW$75,Curves!$AB$40:$BV$40)+SUMPRODUCT(Adds!$C$76:$AW$76,Curves!$AB$63:$BV$63)</f>
        <v/>
      </c>
      <c r="AX21" s="5">
        <f>SUMPRODUCT(Adds!$C$74:$AX$74,Curves!$AA$17:$BV$17)+SUMPRODUCT(Adds!$C$75:$AX$75,Curves!$AA$40:$BV$40)+SUMPRODUCT(Adds!$C$76:$AX$76,Curves!$AA$63:$BV$63)</f>
        <v/>
      </c>
      <c r="AY21" s="5">
        <f>SUMPRODUCT(Adds!$C$74:$AY$74,Curves!$Z$17:$BV$17)+SUMPRODUCT(Adds!$C$75:$AY$75,Curves!$Z$40:$BV$40)+SUMPRODUCT(Adds!$C$76:$AY$76,Curves!$Z$63:$BV$63)</f>
        <v/>
      </c>
      <c r="AZ21" s="5">
        <f>SUMPRODUCT(Adds!$C$74:$AZ$74,Curves!$Y$17:$BV$17)+SUMPRODUCT(Adds!$C$75:$AZ$75,Curves!$Y$40:$BV$40)+SUMPRODUCT(Adds!$C$76:$AZ$76,Curves!$Y$63:$BV$63)</f>
        <v/>
      </c>
      <c r="BA21" s="5">
        <f>SUMPRODUCT(Adds!$C$74:$BA$74,Curves!$X$17:$BV$17)+SUMPRODUCT(Adds!$C$75:$BA$75,Curves!$X$40:$BV$40)+SUMPRODUCT(Adds!$C$76:$BA$76,Curves!$X$63:$BV$63)</f>
        <v/>
      </c>
      <c r="BB21" s="5">
        <f>SUMPRODUCT(Adds!$C$74:$BB$74,Curves!$W$17:$BV$17)+SUMPRODUCT(Adds!$C$75:$BB$75,Curves!$W$40:$BV$40)+SUMPRODUCT(Adds!$C$76:$BB$76,Curves!$W$63:$BV$63)</f>
        <v/>
      </c>
      <c r="BC21" s="5">
        <f>SUMPRODUCT(Adds!$C$74:$BC$74,Curves!$V$17:$BV$17)+SUMPRODUCT(Adds!$C$75:$BC$75,Curves!$V$40:$BV$40)+SUMPRODUCT(Adds!$C$76:$BC$76,Curves!$V$63:$BV$63)</f>
        <v/>
      </c>
      <c r="BD21" s="5">
        <f>SUMPRODUCT(Adds!$C$74:$BD$74,Curves!$U$17:$BV$17)+SUMPRODUCT(Adds!$C$75:$BD$75,Curves!$U$40:$BV$40)+SUMPRODUCT(Adds!$C$76:$BD$76,Curves!$U$63:$BV$63)</f>
        <v/>
      </c>
      <c r="BE21" s="5">
        <f>SUMPRODUCT(Adds!$C$74:$BE$74,Curves!$T$17:$BV$17)+SUMPRODUCT(Adds!$C$75:$BE$75,Curves!$T$40:$BV$40)+SUMPRODUCT(Adds!$C$76:$BE$76,Curves!$T$63:$BV$63)</f>
        <v/>
      </c>
      <c r="BF21" s="5">
        <f>SUMPRODUCT(Adds!$C$74:$BF$74,Curves!$S$17:$BV$17)+SUMPRODUCT(Adds!$C$75:$BF$75,Curves!$S$40:$BV$40)+SUMPRODUCT(Adds!$C$76:$BF$76,Curves!$S$63:$BV$63)</f>
        <v/>
      </c>
      <c r="BG21" s="5">
        <f>SUMPRODUCT(Adds!$C$74:$BG$74,Curves!$R$17:$BV$17)+SUMPRODUCT(Adds!$C$75:$BG$75,Curves!$R$40:$BV$40)+SUMPRODUCT(Adds!$C$76:$BG$76,Curves!$R$63:$BV$63)</f>
        <v/>
      </c>
      <c r="BH21" s="5">
        <f>SUMPRODUCT(Adds!$C$74:$BH$74,Curves!$Q$17:$BV$17)+SUMPRODUCT(Adds!$C$75:$BH$75,Curves!$Q$40:$BV$40)+SUMPRODUCT(Adds!$C$76:$BH$76,Curves!$Q$63:$BV$63)</f>
        <v/>
      </c>
      <c r="BI21" s="5">
        <f>SUMPRODUCT(Adds!$C$74:$BI$74,Curves!$P$17:$BV$17)+SUMPRODUCT(Adds!$C$75:$BI$75,Curves!$P$40:$BV$40)+SUMPRODUCT(Adds!$C$76:$BI$76,Curves!$P$63:$BV$63)</f>
        <v/>
      </c>
      <c r="BJ21" s="5">
        <f>SUMPRODUCT(Adds!$C$74:$BJ$74,Curves!$O$17:$BV$17)+SUMPRODUCT(Adds!$C$75:$BJ$75,Curves!$O$40:$BV$40)+SUMPRODUCT(Adds!$C$76:$BJ$76,Curves!$O$63:$BV$63)</f>
        <v/>
      </c>
      <c r="BK21" s="5">
        <f>SUMPRODUCT(Adds!$C$74:$BK$74,Curves!$N$17:$BV$17)+SUMPRODUCT(Adds!$C$75:$BK$75,Curves!$N$40:$BV$40)+SUMPRODUCT(Adds!$C$76:$BK$76,Curves!$N$63:$BV$63)</f>
        <v/>
      </c>
      <c r="BL21" s="5">
        <f>SUMPRODUCT(Adds!$C$74:$BL$74,Curves!$M$17:$BV$17)+SUMPRODUCT(Adds!$C$75:$BL$75,Curves!$M$40:$BV$40)+SUMPRODUCT(Adds!$C$76:$BL$76,Curves!$M$63:$BV$63)</f>
        <v/>
      </c>
      <c r="BM21" s="5">
        <f>SUMPRODUCT(Adds!$C$74:$BM$74,Curves!$L$17:$BV$17)+SUMPRODUCT(Adds!$C$75:$BM$75,Curves!$L$40:$BV$40)+SUMPRODUCT(Adds!$C$76:$BM$76,Curves!$L$63:$BV$63)</f>
        <v/>
      </c>
      <c r="BN21" s="5">
        <f>SUMPRODUCT(Adds!$C$74:$BN$74,Curves!$K$17:$BV$17)+SUMPRODUCT(Adds!$C$75:$BN$75,Curves!$K$40:$BV$40)+SUMPRODUCT(Adds!$C$76:$BN$76,Curves!$K$63:$BV$63)</f>
        <v/>
      </c>
      <c r="BO21" s="5">
        <f>SUMPRODUCT(Adds!$C$74:$BO$74,Curves!$J$17:$BV$17)+SUMPRODUCT(Adds!$C$75:$BO$75,Curves!$J$40:$BV$40)+SUMPRODUCT(Adds!$C$76:$BO$76,Curves!$J$63:$BV$63)</f>
        <v/>
      </c>
      <c r="BP21" s="5">
        <f>SUMPRODUCT(Adds!$C$74:$BP$74,Curves!$I$17:$BV$17)+SUMPRODUCT(Adds!$C$75:$BP$75,Curves!$I$40:$BV$40)+SUMPRODUCT(Adds!$C$76:$BP$76,Curves!$I$63:$BV$63)</f>
        <v/>
      </c>
      <c r="BQ21" s="5">
        <f>SUMPRODUCT(Adds!$C$74:$BQ$74,Curves!$H$17:$BV$17)+SUMPRODUCT(Adds!$C$75:$BQ$75,Curves!$H$40:$BV$40)+SUMPRODUCT(Adds!$C$76:$BQ$76,Curves!$H$63:$BV$63)</f>
        <v/>
      </c>
      <c r="BR21" s="5">
        <f>SUMPRODUCT(Adds!$C$74:$BR$74,Curves!$G$17:$BV$17)+SUMPRODUCT(Adds!$C$75:$BR$75,Curves!$G$40:$BV$40)+SUMPRODUCT(Adds!$C$76:$BR$76,Curves!$G$63:$BV$63)</f>
        <v/>
      </c>
      <c r="BS21" s="5">
        <f>SUMPRODUCT(Adds!$C$74:$BS$74,Curves!$F$17:$BV$17)+SUMPRODUCT(Adds!$C$75:$BS$75,Curves!$F$40:$BV$40)+SUMPRODUCT(Adds!$C$76:$BS$76,Curves!$F$63:$BV$63)</f>
        <v/>
      </c>
      <c r="BT21" s="5">
        <f>SUMPRODUCT(Adds!$C$74:$BT$74,Curves!$E$17:$BV$17)+SUMPRODUCT(Adds!$C$75:$BT$75,Curves!$E$40:$BV$40)+SUMPRODUCT(Adds!$C$76:$BT$76,Curves!$E$63:$BV$63)</f>
        <v/>
      </c>
      <c r="BU21" s="5">
        <f>SUMPRODUCT(Adds!$C$74:$BU$74,Curves!$D$17:$BV$17)+SUMPRODUCT(Adds!$C$75:$BU$75,Curves!$D$40:$BV$40)+SUMPRODUCT(Adds!$C$76:$BU$76,Curves!$D$63:$BV$63)</f>
        <v/>
      </c>
      <c r="BV21" s="5">
        <f>SUMPRODUCT(Adds!$C$74:$BV$74,Curves!$C$17:$BV$17)+SUMPRODUCT(Adds!$C$75:$BV$75,Curves!$C$40:$BV$40)+SUMPRODUCT(Adds!$C$76:$BV$76,Curves!$C$63:$BV$63)</f>
        <v/>
      </c>
    </row>
    <row r="23">
      <c r="A23" t="inlineStr">
        <is>
          <t>active</t>
        </is>
      </c>
      <c r="B23" t="inlineStr">
        <is>
          <t>EUROPE|NITRO_A</t>
        </is>
      </c>
      <c r="C23" s="5">
        <f>Adds!$C$89*Curves!$BV$16+Adds!$C$90*Curves!$BV$39+Adds!$C$91*Curves!$BV$62</f>
        <v/>
      </c>
      <c r="D23" s="5">
        <f>SUMPRODUCT(Adds!$C$89:$D$89,Curves!$BU$16:$BV$16)+SUMPRODUCT(Adds!$C$90:$D$90,Curves!$BU$39:$BV$39)+SUMPRODUCT(Adds!$C$91:$D$91,Curves!$BU$62:$BV$62)</f>
        <v/>
      </c>
      <c r="E23" s="5">
        <f>SUMPRODUCT(Adds!$C$89:$E$89,Curves!$BT$16:$BV$16)+SUMPRODUCT(Adds!$C$90:$E$90,Curves!$BT$39:$BV$39)+SUMPRODUCT(Adds!$C$91:$E$91,Curves!$BT$62:$BV$62)</f>
        <v/>
      </c>
      <c r="F23" s="5">
        <f>SUMPRODUCT(Adds!$C$89:$F$89,Curves!$BS$16:$BV$16)+SUMPRODUCT(Adds!$C$90:$F$90,Curves!$BS$39:$BV$39)+SUMPRODUCT(Adds!$C$91:$F$91,Curves!$BS$62:$BV$62)</f>
        <v/>
      </c>
      <c r="G23" s="5">
        <f>SUMPRODUCT(Adds!$C$89:$G$89,Curves!$BR$16:$BV$16)+SUMPRODUCT(Adds!$C$90:$G$90,Curves!$BR$39:$BV$39)+SUMPRODUCT(Adds!$C$91:$G$91,Curves!$BR$62:$BV$62)</f>
        <v/>
      </c>
      <c r="H23" s="5">
        <f>SUMPRODUCT(Adds!$C$89:$H$89,Curves!$BQ$16:$BV$16)+SUMPRODUCT(Adds!$C$90:$H$90,Curves!$BQ$39:$BV$39)+SUMPRODUCT(Adds!$C$91:$H$91,Curves!$BQ$62:$BV$62)</f>
        <v/>
      </c>
      <c r="I23" s="5">
        <f>SUMPRODUCT(Adds!$C$89:$I$89,Curves!$BP$16:$BV$16)+SUMPRODUCT(Adds!$C$90:$I$90,Curves!$BP$39:$BV$39)+SUMPRODUCT(Adds!$C$91:$I$91,Curves!$BP$62:$BV$62)</f>
        <v/>
      </c>
      <c r="J23" s="5">
        <f>SUMPRODUCT(Adds!$C$89:$J$89,Curves!$BO$16:$BV$16)+SUMPRODUCT(Adds!$C$90:$J$90,Curves!$BO$39:$BV$39)+SUMPRODUCT(Adds!$C$91:$J$91,Curves!$BO$62:$BV$62)</f>
        <v/>
      </c>
      <c r="K23" s="5">
        <f>SUMPRODUCT(Adds!$C$89:$K$89,Curves!$BN$16:$BV$16)+SUMPRODUCT(Adds!$C$90:$K$90,Curves!$BN$39:$BV$39)+SUMPRODUCT(Adds!$C$91:$K$91,Curves!$BN$62:$BV$62)</f>
        <v/>
      </c>
      <c r="L23" s="5">
        <f>SUMPRODUCT(Adds!$C$89:$L$89,Curves!$BM$16:$BV$16)+SUMPRODUCT(Adds!$C$90:$L$90,Curves!$BM$39:$BV$39)+SUMPRODUCT(Adds!$C$91:$L$91,Curves!$BM$62:$BV$62)</f>
        <v/>
      </c>
      <c r="M23" s="5">
        <f>SUMPRODUCT(Adds!$C$89:$M$89,Curves!$BL$16:$BV$16)+SUMPRODUCT(Adds!$C$90:$M$90,Curves!$BL$39:$BV$39)+SUMPRODUCT(Adds!$C$91:$M$91,Curves!$BL$62:$BV$62)</f>
        <v/>
      </c>
      <c r="N23" s="5">
        <f>SUMPRODUCT(Adds!$C$89:$N$89,Curves!$BK$16:$BV$16)+SUMPRODUCT(Adds!$C$90:$N$90,Curves!$BK$39:$BV$39)+SUMPRODUCT(Adds!$C$91:$N$91,Curves!$BK$62:$BV$62)</f>
        <v/>
      </c>
      <c r="O23" s="5">
        <f>SUMPRODUCT(Adds!$C$89:$O$89,Curves!$BJ$16:$BV$16)+SUMPRODUCT(Adds!$C$90:$O$90,Curves!$BJ$39:$BV$39)+SUMPRODUCT(Adds!$C$91:$O$91,Curves!$BJ$62:$BV$62)</f>
        <v/>
      </c>
      <c r="P23" s="5">
        <f>SUMPRODUCT(Adds!$C$89:$P$89,Curves!$BI$16:$BV$16)+SUMPRODUCT(Adds!$C$90:$P$90,Curves!$BI$39:$BV$39)+SUMPRODUCT(Adds!$C$91:$P$91,Curves!$BI$62:$BV$62)</f>
        <v/>
      </c>
      <c r="Q23" s="5">
        <f>SUMPRODUCT(Adds!$C$89:$Q$89,Curves!$BH$16:$BV$16)+SUMPRODUCT(Adds!$C$90:$Q$90,Curves!$BH$39:$BV$39)+SUMPRODUCT(Adds!$C$91:$Q$91,Curves!$BH$62:$BV$62)</f>
        <v/>
      </c>
      <c r="R23" s="5">
        <f>SUMPRODUCT(Adds!$C$89:$R$89,Curves!$BG$16:$BV$16)+SUMPRODUCT(Adds!$C$90:$R$90,Curves!$BG$39:$BV$39)+SUMPRODUCT(Adds!$C$91:$R$91,Curves!$BG$62:$BV$62)</f>
        <v/>
      </c>
      <c r="S23" s="5">
        <f>SUMPRODUCT(Adds!$C$89:$S$89,Curves!$BF$16:$BV$16)+SUMPRODUCT(Adds!$C$90:$S$90,Curves!$BF$39:$BV$39)+SUMPRODUCT(Adds!$C$91:$S$91,Curves!$BF$62:$BV$62)</f>
        <v/>
      </c>
      <c r="T23" s="5">
        <f>SUMPRODUCT(Adds!$C$89:$T$89,Curves!$BE$16:$BV$16)+SUMPRODUCT(Adds!$C$90:$T$90,Curves!$BE$39:$BV$39)+SUMPRODUCT(Adds!$C$91:$T$91,Curves!$BE$62:$BV$62)</f>
        <v/>
      </c>
      <c r="U23" s="5">
        <f>SUMPRODUCT(Adds!$C$89:$U$89,Curves!$BD$16:$BV$16)+SUMPRODUCT(Adds!$C$90:$U$90,Curves!$BD$39:$BV$39)+SUMPRODUCT(Adds!$C$91:$U$91,Curves!$BD$62:$BV$62)</f>
        <v/>
      </c>
      <c r="V23" s="5">
        <f>SUMPRODUCT(Adds!$C$89:$V$89,Curves!$BC$16:$BV$16)+SUMPRODUCT(Adds!$C$90:$V$90,Curves!$BC$39:$BV$39)+SUMPRODUCT(Adds!$C$91:$V$91,Curves!$BC$62:$BV$62)</f>
        <v/>
      </c>
      <c r="W23" s="5">
        <f>SUMPRODUCT(Adds!$C$89:$W$89,Curves!$BB$16:$BV$16)+SUMPRODUCT(Adds!$C$90:$W$90,Curves!$BB$39:$BV$39)+SUMPRODUCT(Adds!$C$91:$W$91,Curves!$BB$62:$BV$62)</f>
        <v/>
      </c>
      <c r="X23" s="5">
        <f>SUMPRODUCT(Adds!$C$89:$X$89,Curves!$BA$16:$BV$16)+SUMPRODUCT(Adds!$C$90:$X$90,Curves!$BA$39:$BV$39)+SUMPRODUCT(Adds!$C$91:$X$91,Curves!$BA$62:$BV$62)</f>
        <v/>
      </c>
      <c r="Y23" s="5">
        <f>SUMPRODUCT(Adds!$C$89:$Y$89,Curves!$AZ$16:$BV$16)+SUMPRODUCT(Adds!$C$90:$Y$90,Curves!$AZ$39:$BV$39)+SUMPRODUCT(Adds!$C$91:$Y$91,Curves!$AZ$62:$BV$62)</f>
        <v/>
      </c>
      <c r="Z23" s="5">
        <f>SUMPRODUCT(Adds!$C$89:$Z$89,Curves!$AY$16:$BV$16)+SUMPRODUCT(Adds!$C$90:$Z$90,Curves!$AY$39:$BV$39)+SUMPRODUCT(Adds!$C$91:$Z$91,Curves!$AY$62:$BV$62)</f>
        <v/>
      </c>
      <c r="AA23" s="5">
        <f>SUMPRODUCT(Adds!$C$89:$AA$89,Curves!$AX$16:$BV$16)+SUMPRODUCT(Adds!$C$90:$AA$90,Curves!$AX$39:$BV$39)+SUMPRODUCT(Adds!$C$91:$AA$91,Curves!$AX$62:$BV$62)</f>
        <v/>
      </c>
      <c r="AB23" s="5">
        <f>SUMPRODUCT(Adds!$C$89:$AB$89,Curves!$AW$16:$BV$16)+SUMPRODUCT(Adds!$C$90:$AB$90,Curves!$AW$39:$BV$39)+SUMPRODUCT(Adds!$C$91:$AB$91,Curves!$AW$62:$BV$62)</f>
        <v/>
      </c>
      <c r="AC23" s="5">
        <f>SUMPRODUCT(Adds!$C$89:$AC$89,Curves!$AV$16:$BV$16)+SUMPRODUCT(Adds!$C$90:$AC$90,Curves!$AV$39:$BV$39)+SUMPRODUCT(Adds!$C$91:$AC$91,Curves!$AV$62:$BV$62)</f>
        <v/>
      </c>
      <c r="AD23" s="5">
        <f>SUMPRODUCT(Adds!$C$89:$AD$89,Curves!$AU$16:$BV$16)+SUMPRODUCT(Adds!$C$90:$AD$90,Curves!$AU$39:$BV$39)+SUMPRODUCT(Adds!$C$91:$AD$91,Curves!$AU$62:$BV$62)</f>
        <v/>
      </c>
      <c r="AE23" s="5">
        <f>SUMPRODUCT(Adds!$C$89:$AE$89,Curves!$AT$16:$BV$16)+SUMPRODUCT(Adds!$C$90:$AE$90,Curves!$AT$39:$BV$39)+SUMPRODUCT(Adds!$C$91:$AE$91,Curves!$AT$62:$BV$62)</f>
        <v/>
      </c>
      <c r="AF23" s="5">
        <f>SUMPRODUCT(Adds!$C$89:$AF$89,Curves!$AS$16:$BV$16)+SUMPRODUCT(Adds!$C$90:$AF$90,Curves!$AS$39:$BV$39)+SUMPRODUCT(Adds!$C$91:$AF$91,Curves!$AS$62:$BV$62)</f>
        <v/>
      </c>
      <c r="AG23" s="5">
        <f>SUMPRODUCT(Adds!$C$89:$AG$89,Curves!$AR$16:$BV$16)+SUMPRODUCT(Adds!$C$90:$AG$90,Curves!$AR$39:$BV$39)+SUMPRODUCT(Adds!$C$91:$AG$91,Curves!$AR$62:$BV$62)</f>
        <v/>
      </c>
      <c r="AH23" s="5">
        <f>SUMPRODUCT(Adds!$C$89:$AH$89,Curves!$AQ$16:$BV$16)+SUMPRODUCT(Adds!$C$90:$AH$90,Curves!$AQ$39:$BV$39)+SUMPRODUCT(Adds!$C$91:$AH$91,Curves!$AQ$62:$BV$62)</f>
        <v/>
      </c>
      <c r="AI23" s="5">
        <f>SUMPRODUCT(Adds!$C$89:$AI$89,Curves!$AP$16:$BV$16)+SUMPRODUCT(Adds!$C$90:$AI$90,Curves!$AP$39:$BV$39)+SUMPRODUCT(Adds!$C$91:$AI$91,Curves!$AP$62:$BV$62)</f>
        <v/>
      </c>
      <c r="AJ23" s="5">
        <f>SUMPRODUCT(Adds!$C$89:$AJ$89,Curves!$AO$16:$BV$16)+SUMPRODUCT(Adds!$C$90:$AJ$90,Curves!$AO$39:$BV$39)+SUMPRODUCT(Adds!$C$91:$AJ$91,Curves!$AO$62:$BV$62)</f>
        <v/>
      </c>
      <c r="AK23" s="5">
        <f>SUMPRODUCT(Adds!$C$89:$AK$89,Curves!$AN$16:$BV$16)+SUMPRODUCT(Adds!$C$90:$AK$90,Curves!$AN$39:$BV$39)+SUMPRODUCT(Adds!$C$91:$AK$91,Curves!$AN$62:$BV$62)</f>
        <v/>
      </c>
      <c r="AL23" s="5">
        <f>SUMPRODUCT(Adds!$C$89:$AL$89,Curves!$AM$16:$BV$16)+SUMPRODUCT(Adds!$C$90:$AL$90,Curves!$AM$39:$BV$39)+SUMPRODUCT(Adds!$C$91:$AL$91,Curves!$AM$62:$BV$62)</f>
        <v/>
      </c>
      <c r="AM23" s="5">
        <f>SUMPRODUCT(Adds!$C$89:$AM$89,Curves!$AL$16:$BV$16)+SUMPRODUCT(Adds!$C$90:$AM$90,Curves!$AL$39:$BV$39)+SUMPRODUCT(Adds!$C$91:$AM$91,Curves!$AL$62:$BV$62)</f>
        <v/>
      </c>
      <c r="AN23" s="5">
        <f>SUMPRODUCT(Adds!$C$89:$AN$89,Curves!$AK$16:$BV$16)+SUMPRODUCT(Adds!$C$90:$AN$90,Curves!$AK$39:$BV$39)+SUMPRODUCT(Adds!$C$91:$AN$91,Curves!$AK$62:$BV$62)</f>
        <v/>
      </c>
      <c r="AO23" s="5">
        <f>SUMPRODUCT(Adds!$C$89:$AO$89,Curves!$AJ$16:$BV$16)+SUMPRODUCT(Adds!$C$90:$AO$90,Curves!$AJ$39:$BV$39)+SUMPRODUCT(Adds!$C$91:$AO$91,Curves!$AJ$62:$BV$62)</f>
        <v/>
      </c>
      <c r="AP23" s="5">
        <f>SUMPRODUCT(Adds!$C$89:$AP$89,Curves!$AI$16:$BV$16)+SUMPRODUCT(Adds!$C$90:$AP$90,Curves!$AI$39:$BV$39)+SUMPRODUCT(Adds!$C$91:$AP$91,Curves!$AI$62:$BV$62)</f>
        <v/>
      </c>
      <c r="AQ23" s="5">
        <f>SUMPRODUCT(Adds!$C$89:$AQ$89,Curves!$AH$16:$BV$16)+SUMPRODUCT(Adds!$C$90:$AQ$90,Curves!$AH$39:$BV$39)+SUMPRODUCT(Adds!$C$91:$AQ$91,Curves!$AH$62:$BV$62)</f>
        <v/>
      </c>
      <c r="AR23" s="5">
        <f>SUMPRODUCT(Adds!$C$89:$AR$89,Curves!$AG$16:$BV$16)+SUMPRODUCT(Adds!$C$90:$AR$90,Curves!$AG$39:$BV$39)+SUMPRODUCT(Adds!$C$91:$AR$91,Curves!$AG$62:$BV$62)</f>
        <v/>
      </c>
      <c r="AS23" s="5">
        <f>SUMPRODUCT(Adds!$C$89:$AS$89,Curves!$AF$16:$BV$16)+SUMPRODUCT(Adds!$C$90:$AS$90,Curves!$AF$39:$BV$39)+SUMPRODUCT(Adds!$C$91:$AS$91,Curves!$AF$62:$BV$62)</f>
        <v/>
      </c>
      <c r="AT23" s="5">
        <f>SUMPRODUCT(Adds!$C$89:$AT$89,Curves!$AE$16:$BV$16)+SUMPRODUCT(Adds!$C$90:$AT$90,Curves!$AE$39:$BV$39)+SUMPRODUCT(Adds!$C$91:$AT$91,Curves!$AE$62:$BV$62)</f>
        <v/>
      </c>
      <c r="AU23" s="5">
        <f>SUMPRODUCT(Adds!$C$89:$AU$89,Curves!$AD$16:$BV$16)+SUMPRODUCT(Adds!$C$90:$AU$90,Curves!$AD$39:$BV$39)+SUMPRODUCT(Adds!$C$91:$AU$91,Curves!$AD$62:$BV$62)</f>
        <v/>
      </c>
      <c r="AV23" s="5">
        <f>SUMPRODUCT(Adds!$C$89:$AV$89,Curves!$AC$16:$BV$16)+SUMPRODUCT(Adds!$C$90:$AV$90,Curves!$AC$39:$BV$39)+SUMPRODUCT(Adds!$C$91:$AV$91,Curves!$AC$62:$BV$62)</f>
        <v/>
      </c>
      <c r="AW23" s="5">
        <f>SUMPRODUCT(Adds!$C$89:$AW$89,Curves!$AB$16:$BV$16)+SUMPRODUCT(Adds!$C$90:$AW$90,Curves!$AB$39:$BV$39)+SUMPRODUCT(Adds!$C$91:$AW$91,Curves!$AB$62:$BV$62)</f>
        <v/>
      </c>
      <c r="AX23" s="5">
        <f>SUMPRODUCT(Adds!$C$89:$AX$89,Curves!$AA$16:$BV$16)+SUMPRODUCT(Adds!$C$90:$AX$90,Curves!$AA$39:$BV$39)+SUMPRODUCT(Adds!$C$91:$AX$91,Curves!$AA$62:$BV$62)</f>
        <v/>
      </c>
      <c r="AY23" s="5">
        <f>SUMPRODUCT(Adds!$C$89:$AY$89,Curves!$Z$16:$BV$16)+SUMPRODUCT(Adds!$C$90:$AY$90,Curves!$Z$39:$BV$39)+SUMPRODUCT(Adds!$C$91:$AY$91,Curves!$Z$62:$BV$62)</f>
        <v/>
      </c>
      <c r="AZ23" s="5">
        <f>SUMPRODUCT(Adds!$C$89:$AZ$89,Curves!$Y$16:$BV$16)+SUMPRODUCT(Adds!$C$90:$AZ$90,Curves!$Y$39:$BV$39)+SUMPRODUCT(Adds!$C$91:$AZ$91,Curves!$Y$62:$BV$62)</f>
        <v/>
      </c>
      <c r="BA23" s="5">
        <f>SUMPRODUCT(Adds!$C$89:$BA$89,Curves!$X$16:$BV$16)+SUMPRODUCT(Adds!$C$90:$BA$90,Curves!$X$39:$BV$39)+SUMPRODUCT(Adds!$C$91:$BA$91,Curves!$X$62:$BV$62)</f>
        <v/>
      </c>
      <c r="BB23" s="5">
        <f>SUMPRODUCT(Adds!$C$89:$BB$89,Curves!$W$16:$BV$16)+SUMPRODUCT(Adds!$C$90:$BB$90,Curves!$W$39:$BV$39)+SUMPRODUCT(Adds!$C$91:$BB$91,Curves!$W$62:$BV$62)</f>
        <v/>
      </c>
      <c r="BC23" s="5">
        <f>SUMPRODUCT(Adds!$C$89:$BC$89,Curves!$V$16:$BV$16)+SUMPRODUCT(Adds!$C$90:$BC$90,Curves!$V$39:$BV$39)+SUMPRODUCT(Adds!$C$91:$BC$91,Curves!$V$62:$BV$62)</f>
        <v/>
      </c>
      <c r="BD23" s="5">
        <f>SUMPRODUCT(Adds!$C$89:$BD$89,Curves!$U$16:$BV$16)+SUMPRODUCT(Adds!$C$90:$BD$90,Curves!$U$39:$BV$39)+SUMPRODUCT(Adds!$C$91:$BD$91,Curves!$U$62:$BV$62)</f>
        <v/>
      </c>
      <c r="BE23" s="5">
        <f>SUMPRODUCT(Adds!$C$89:$BE$89,Curves!$T$16:$BV$16)+SUMPRODUCT(Adds!$C$90:$BE$90,Curves!$T$39:$BV$39)+SUMPRODUCT(Adds!$C$91:$BE$91,Curves!$T$62:$BV$62)</f>
        <v/>
      </c>
      <c r="BF23" s="5">
        <f>SUMPRODUCT(Adds!$C$89:$BF$89,Curves!$S$16:$BV$16)+SUMPRODUCT(Adds!$C$90:$BF$90,Curves!$S$39:$BV$39)+SUMPRODUCT(Adds!$C$91:$BF$91,Curves!$S$62:$BV$62)</f>
        <v/>
      </c>
      <c r="BG23" s="5">
        <f>SUMPRODUCT(Adds!$C$89:$BG$89,Curves!$R$16:$BV$16)+SUMPRODUCT(Adds!$C$90:$BG$90,Curves!$R$39:$BV$39)+SUMPRODUCT(Adds!$C$91:$BG$91,Curves!$R$62:$BV$62)</f>
        <v/>
      </c>
      <c r="BH23" s="5">
        <f>SUMPRODUCT(Adds!$C$89:$BH$89,Curves!$Q$16:$BV$16)+SUMPRODUCT(Adds!$C$90:$BH$90,Curves!$Q$39:$BV$39)+SUMPRODUCT(Adds!$C$91:$BH$91,Curves!$Q$62:$BV$62)</f>
        <v/>
      </c>
      <c r="BI23" s="5">
        <f>SUMPRODUCT(Adds!$C$89:$BI$89,Curves!$P$16:$BV$16)+SUMPRODUCT(Adds!$C$90:$BI$90,Curves!$P$39:$BV$39)+SUMPRODUCT(Adds!$C$91:$BI$91,Curves!$P$62:$BV$62)</f>
        <v/>
      </c>
      <c r="BJ23" s="5">
        <f>SUMPRODUCT(Adds!$C$89:$BJ$89,Curves!$O$16:$BV$16)+SUMPRODUCT(Adds!$C$90:$BJ$90,Curves!$O$39:$BV$39)+SUMPRODUCT(Adds!$C$91:$BJ$91,Curves!$O$62:$BV$62)</f>
        <v/>
      </c>
      <c r="BK23" s="5">
        <f>SUMPRODUCT(Adds!$C$89:$BK$89,Curves!$N$16:$BV$16)+SUMPRODUCT(Adds!$C$90:$BK$90,Curves!$N$39:$BV$39)+SUMPRODUCT(Adds!$C$91:$BK$91,Curves!$N$62:$BV$62)</f>
        <v/>
      </c>
      <c r="BL23" s="5">
        <f>SUMPRODUCT(Adds!$C$89:$BL$89,Curves!$M$16:$BV$16)+SUMPRODUCT(Adds!$C$90:$BL$90,Curves!$M$39:$BV$39)+SUMPRODUCT(Adds!$C$91:$BL$91,Curves!$M$62:$BV$62)</f>
        <v/>
      </c>
      <c r="BM23" s="5">
        <f>SUMPRODUCT(Adds!$C$89:$BM$89,Curves!$L$16:$BV$16)+SUMPRODUCT(Adds!$C$90:$BM$90,Curves!$L$39:$BV$39)+SUMPRODUCT(Adds!$C$91:$BM$91,Curves!$L$62:$BV$62)</f>
        <v/>
      </c>
      <c r="BN23" s="5">
        <f>SUMPRODUCT(Adds!$C$89:$BN$89,Curves!$K$16:$BV$16)+SUMPRODUCT(Adds!$C$90:$BN$90,Curves!$K$39:$BV$39)+SUMPRODUCT(Adds!$C$91:$BN$91,Curves!$K$62:$BV$62)</f>
        <v/>
      </c>
      <c r="BO23" s="5">
        <f>SUMPRODUCT(Adds!$C$89:$BO$89,Curves!$J$16:$BV$16)+SUMPRODUCT(Adds!$C$90:$BO$90,Curves!$J$39:$BV$39)+SUMPRODUCT(Adds!$C$91:$BO$91,Curves!$J$62:$BV$62)</f>
        <v/>
      </c>
      <c r="BP23" s="5">
        <f>SUMPRODUCT(Adds!$C$89:$BP$89,Curves!$I$16:$BV$16)+SUMPRODUCT(Adds!$C$90:$BP$90,Curves!$I$39:$BV$39)+SUMPRODUCT(Adds!$C$91:$BP$91,Curves!$I$62:$BV$62)</f>
        <v/>
      </c>
      <c r="BQ23" s="5">
        <f>SUMPRODUCT(Adds!$C$89:$BQ$89,Curves!$H$16:$BV$16)+SUMPRODUCT(Adds!$C$90:$BQ$90,Curves!$H$39:$BV$39)+SUMPRODUCT(Adds!$C$91:$BQ$91,Curves!$H$62:$BV$62)</f>
        <v/>
      </c>
      <c r="BR23" s="5">
        <f>SUMPRODUCT(Adds!$C$89:$BR$89,Curves!$G$16:$BV$16)+SUMPRODUCT(Adds!$C$90:$BR$90,Curves!$G$39:$BV$39)+SUMPRODUCT(Adds!$C$91:$BR$91,Curves!$G$62:$BV$62)</f>
        <v/>
      </c>
      <c r="BS23" s="5">
        <f>SUMPRODUCT(Adds!$C$89:$BS$89,Curves!$F$16:$BV$16)+SUMPRODUCT(Adds!$C$90:$BS$90,Curves!$F$39:$BV$39)+SUMPRODUCT(Adds!$C$91:$BS$91,Curves!$F$62:$BV$62)</f>
        <v/>
      </c>
      <c r="BT23" s="5">
        <f>SUMPRODUCT(Adds!$C$89:$BT$89,Curves!$E$16:$BV$16)+SUMPRODUCT(Adds!$C$90:$BT$90,Curves!$E$39:$BV$39)+SUMPRODUCT(Adds!$C$91:$BT$91,Curves!$E$62:$BV$62)</f>
        <v/>
      </c>
      <c r="BU23" s="5">
        <f>SUMPRODUCT(Adds!$C$89:$BU$89,Curves!$D$16:$BV$16)+SUMPRODUCT(Adds!$C$90:$BU$90,Curves!$D$39:$BV$39)+SUMPRODUCT(Adds!$C$91:$BU$91,Curves!$D$62:$BV$62)</f>
        <v/>
      </c>
      <c r="BV23" s="5">
        <f>SUMPRODUCT(Adds!$C$89:$BV$89,Curves!$C$16:$BV$16)+SUMPRODUCT(Adds!$C$90:$BV$90,Curves!$C$39:$BV$39)+SUMPRODUCT(Adds!$C$91:$BV$91,Curves!$C$62:$BV$62)</f>
        <v/>
      </c>
    </row>
    <row r="24">
      <c r="A24" t="inlineStr">
        <is>
          <t>active yr 1</t>
        </is>
      </c>
      <c r="B24" t="inlineStr">
        <is>
          <t>EUROPE|NITRO_A</t>
        </is>
      </c>
      <c r="C24" s="5">
        <f>Adds!$C$89*Curves!$BV$23+Adds!$C$90*Curves!$BV$46+Adds!$C$91*Curves!$BV$69</f>
        <v/>
      </c>
      <c r="D24" s="5">
        <f>SUMPRODUCT(Adds!$C$89:$D$89,Curves!$BU$23:$BV$23)+SUMPRODUCT(Adds!$C$90:$D$90,Curves!$BU$46:$BV$46)+SUMPRODUCT(Adds!$C$91:$D$91,Curves!$BU$69:$BV$69)</f>
        <v/>
      </c>
      <c r="E24" s="5">
        <f>SUMPRODUCT(Adds!$C$89:$E$89,Curves!$BT$23:$BV$23)+SUMPRODUCT(Adds!$C$90:$E$90,Curves!$BT$46:$BV$46)+SUMPRODUCT(Adds!$C$91:$E$91,Curves!$BT$69:$BV$69)</f>
        <v/>
      </c>
      <c r="F24" s="5">
        <f>SUMPRODUCT(Adds!$C$89:$F$89,Curves!$BS$23:$BV$23)+SUMPRODUCT(Adds!$C$90:$F$90,Curves!$BS$46:$BV$46)+SUMPRODUCT(Adds!$C$91:$F$91,Curves!$BS$69:$BV$69)</f>
        <v/>
      </c>
      <c r="G24" s="5">
        <f>SUMPRODUCT(Adds!$C$89:$G$89,Curves!$BR$23:$BV$23)+SUMPRODUCT(Adds!$C$90:$G$90,Curves!$BR$46:$BV$46)+SUMPRODUCT(Adds!$C$91:$G$91,Curves!$BR$69:$BV$69)</f>
        <v/>
      </c>
      <c r="H24" s="5">
        <f>SUMPRODUCT(Adds!$C$89:$H$89,Curves!$BQ$23:$BV$23)+SUMPRODUCT(Adds!$C$90:$H$90,Curves!$BQ$46:$BV$46)+SUMPRODUCT(Adds!$C$91:$H$91,Curves!$BQ$69:$BV$69)</f>
        <v/>
      </c>
      <c r="I24" s="5">
        <f>SUMPRODUCT(Adds!$C$89:$I$89,Curves!$BP$23:$BV$23)+SUMPRODUCT(Adds!$C$90:$I$90,Curves!$BP$46:$BV$46)+SUMPRODUCT(Adds!$C$91:$I$91,Curves!$BP$69:$BV$69)</f>
        <v/>
      </c>
      <c r="J24" s="5">
        <f>SUMPRODUCT(Adds!$C$89:$J$89,Curves!$BO$23:$BV$23)+SUMPRODUCT(Adds!$C$90:$J$90,Curves!$BO$46:$BV$46)+SUMPRODUCT(Adds!$C$91:$J$91,Curves!$BO$69:$BV$69)</f>
        <v/>
      </c>
      <c r="K24" s="5">
        <f>SUMPRODUCT(Adds!$C$89:$K$89,Curves!$BN$23:$BV$23)+SUMPRODUCT(Adds!$C$90:$K$90,Curves!$BN$46:$BV$46)+SUMPRODUCT(Adds!$C$91:$K$91,Curves!$BN$69:$BV$69)</f>
        <v/>
      </c>
      <c r="L24" s="5">
        <f>SUMPRODUCT(Adds!$C$89:$L$89,Curves!$BM$23:$BV$23)+SUMPRODUCT(Adds!$C$90:$L$90,Curves!$BM$46:$BV$46)+SUMPRODUCT(Adds!$C$91:$L$91,Curves!$BM$69:$BV$69)</f>
        <v/>
      </c>
      <c r="M24" s="5">
        <f>SUMPRODUCT(Adds!$C$89:$M$89,Curves!$BL$23:$BV$23)+SUMPRODUCT(Adds!$C$90:$M$90,Curves!$BL$46:$BV$46)+SUMPRODUCT(Adds!$C$91:$M$91,Curves!$BL$69:$BV$69)</f>
        <v/>
      </c>
      <c r="N24" s="5">
        <f>SUMPRODUCT(Adds!$C$89:$N$89,Curves!$BK$23:$BV$23)+SUMPRODUCT(Adds!$C$90:$N$90,Curves!$BK$46:$BV$46)+SUMPRODUCT(Adds!$C$91:$N$91,Curves!$BK$69:$BV$69)</f>
        <v/>
      </c>
      <c r="O24" s="5">
        <f>SUMPRODUCT(Adds!$C$89:$O$89,Curves!$BJ$23:$BV$23)+SUMPRODUCT(Adds!$C$90:$O$90,Curves!$BJ$46:$BV$46)+SUMPRODUCT(Adds!$C$91:$O$91,Curves!$BJ$69:$BV$69)</f>
        <v/>
      </c>
      <c r="P24" s="5">
        <f>SUMPRODUCT(Adds!$C$89:$P$89,Curves!$BI$23:$BV$23)+SUMPRODUCT(Adds!$C$90:$P$90,Curves!$BI$46:$BV$46)+SUMPRODUCT(Adds!$C$91:$P$91,Curves!$BI$69:$BV$69)</f>
        <v/>
      </c>
      <c r="Q24" s="5">
        <f>SUMPRODUCT(Adds!$C$89:$Q$89,Curves!$BH$23:$BV$23)+SUMPRODUCT(Adds!$C$90:$Q$90,Curves!$BH$46:$BV$46)+SUMPRODUCT(Adds!$C$91:$Q$91,Curves!$BH$69:$BV$69)</f>
        <v/>
      </c>
      <c r="R24" s="5">
        <f>SUMPRODUCT(Adds!$C$89:$R$89,Curves!$BG$23:$BV$23)+SUMPRODUCT(Adds!$C$90:$R$90,Curves!$BG$46:$BV$46)+SUMPRODUCT(Adds!$C$91:$R$91,Curves!$BG$69:$BV$69)</f>
        <v/>
      </c>
      <c r="S24" s="5">
        <f>SUMPRODUCT(Adds!$C$89:$S$89,Curves!$BF$23:$BV$23)+SUMPRODUCT(Adds!$C$90:$S$90,Curves!$BF$46:$BV$46)+SUMPRODUCT(Adds!$C$91:$S$91,Curves!$BF$69:$BV$69)</f>
        <v/>
      </c>
      <c r="T24" s="5">
        <f>SUMPRODUCT(Adds!$C$89:$T$89,Curves!$BE$23:$BV$23)+SUMPRODUCT(Adds!$C$90:$T$90,Curves!$BE$46:$BV$46)+SUMPRODUCT(Adds!$C$91:$T$91,Curves!$BE$69:$BV$69)</f>
        <v/>
      </c>
      <c r="U24" s="5">
        <f>SUMPRODUCT(Adds!$C$89:$U$89,Curves!$BD$23:$BV$23)+SUMPRODUCT(Adds!$C$90:$U$90,Curves!$BD$46:$BV$46)+SUMPRODUCT(Adds!$C$91:$U$91,Curves!$BD$69:$BV$69)</f>
        <v/>
      </c>
      <c r="V24" s="5">
        <f>SUMPRODUCT(Adds!$C$89:$V$89,Curves!$BC$23:$BV$23)+SUMPRODUCT(Adds!$C$90:$V$90,Curves!$BC$46:$BV$46)+SUMPRODUCT(Adds!$C$91:$V$91,Curves!$BC$69:$BV$69)</f>
        <v/>
      </c>
      <c r="W24" s="5">
        <f>SUMPRODUCT(Adds!$C$89:$W$89,Curves!$BB$23:$BV$23)+SUMPRODUCT(Adds!$C$90:$W$90,Curves!$BB$46:$BV$46)+SUMPRODUCT(Adds!$C$91:$W$91,Curves!$BB$69:$BV$69)</f>
        <v/>
      </c>
      <c r="X24" s="5">
        <f>SUMPRODUCT(Adds!$C$89:$X$89,Curves!$BA$23:$BV$23)+SUMPRODUCT(Adds!$C$90:$X$90,Curves!$BA$46:$BV$46)+SUMPRODUCT(Adds!$C$91:$X$91,Curves!$BA$69:$BV$69)</f>
        <v/>
      </c>
      <c r="Y24" s="5">
        <f>SUMPRODUCT(Adds!$C$89:$Y$89,Curves!$AZ$23:$BV$23)+SUMPRODUCT(Adds!$C$90:$Y$90,Curves!$AZ$46:$BV$46)+SUMPRODUCT(Adds!$C$91:$Y$91,Curves!$AZ$69:$BV$69)</f>
        <v/>
      </c>
      <c r="Z24" s="5">
        <f>SUMPRODUCT(Adds!$C$89:$Z$89,Curves!$AY$23:$BV$23)+SUMPRODUCT(Adds!$C$90:$Z$90,Curves!$AY$46:$BV$46)+SUMPRODUCT(Adds!$C$91:$Z$91,Curves!$AY$69:$BV$69)</f>
        <v/>
      </c>
      <c r="AA24" s="5">
        <f>SUMPRODUCT(Adds!$C$89:$AA$89,Curves!$AX$23:$BV$23)+SUMPRODUCT(Adds!$C$90:$AA$90,Curves!$AX$46:$BV$46)+SUMPRODUCT(Adds!$C$91:$AA$91,Curves!$AX$69:$BV$69)</f>
        <v/>
      </c>
      <c r="AB24" s="5">
        <f>SUMPRODUCT(Adds!$C$89:$AB$89,Curves!$AW$23:$BV$23)+SUMPRODUCT(Adds!$C$90:$AB$90,Curves!$AW$46:$BV$46)+SUMPRODUCT(Adds!$C$91:$AB$91,Curves!$AW$69:$BV$69)</f>
        <v/>
      </c>
      <c r="AC24" s="5">
        <f>SUMPRODUCT(Adds!$C$89:$AC$89,Curves!$AV$23:$BV$23)+SUMPRODUCT(Adds!$C$90:$AC$90,Curves!$AV$46:$BV$46)+SUMPRODUCT(Adds!$C$91:$AC$91,Curves!$AV$69:$BV$69)</f>
        <v/>
      </c>
      <c r="AD24" s="5">
        <f>SUMPRODUCT(Adds!$C$89:$AD$89,Curves!$AU$23:$BV$23)+SUMPRODUCT(Adds!$C$90:$AD$90,Curves!$AU$46:$BV$46)+SUMPRODUCT(Adds!$C$91:$AD$91,Curves!$AU$69:$BV$69)</f>
        <v/>
      </c>
      <c r="AE24" s="5">
        <f>SUMPRODUCT(Adds!$C$89:$AE$89,Curves!$AT$23:$BV$23)+SUMPRODUCT(Adds!$C$90:$AE$90,Curves!$AT$46:$BV$46)+SUMPRODUCT(Adds!$C$91:$AE$91,Curves!$AT$69:$BV$69)</f>
        <v/>
      </c>
      <c r="AF24" s="5">
        <f>SUMPRODUCT(Adds!$C$89:$AF$89,Curves!$AS$23:$BV$23)+SUMPRODUCT(Adds!$C$90:$AF$90,Curves!$AS$46:$BV$46)+SUMPRODUCT(Adds!$C$91:$AF$91,Curves!$AS$69:$BV$69)</f>
        <v/>
      </c>
      <c r="AG24" s="5">
        <f>SUMPRODUCT(Adds!$C$89:$AG$89,Curves!$AR$23:$BV$23)+SUMPRODUCT(Adds!$C$90:$AG$90,Curves!$AR$46:$BV$46)+SUMPRODUCT(Adds!$C$91:$AG$91,Curves!$AR$69:$BV$69)</f>
        <v/>
      </c>
      <c r="AH24" s="5">
        <f>SUMPRODUCT(Adds!$C$89:$AH$89,Curves!$AQ$23:$BV$23)+SUMPRODUCT(Adds!$C$90:$AH$90,Curves!$AQ$46:$BV$46)+SUMPRODUCT(Adds!$C$91:$AH$91,Curves!$AQ$69:$BV$69)</f>
        <v/>
      </c>
      <c r="AI24" s="5">
        <f>SUMPRODUCT(Adds!$C$89:$AI$89,Curves!$AP$23:$BV$23)+SUMPRODUCT(Adds!$C$90:$AI$90,Curves!$AP$46:$BV$46)+SUMPRODUCT(Adds!$C$91:$AI$91,Curves!$AP$69:$BV$69)</f>
        <v/>
      </c>
      <c r="AJ24" s="5">
        <f>SUMPRODUCT(Adds!$C$89:$AJ$89,Curves!$AO$23:$BV$23)+SUMPRODUCT(Adds!$C$90:$AJ$90,Curves!$AO$46:$BV$46)+SUMPRODUCT(Adds!$C$91:$AJ$91,Curves!$AO$69:$BV$69)</f>
        <v/>
      </c>
      <c r="AK24" s="5">
        <f>SUMPRODUCT(Adds!$C$89:$AK$89,Curves!$AN$23:$BV$23)+SUMPRODUCT(Adds!$C$90:$AK$90,Curves!$AN$46:$BV$46)+SUMPRODUCT(Adds!$C$91:$AK$91,Curves!$AN$69:$BV$69)</f>
        <v/>
      </c>
      <c r="AL24" s="5">
        <f>SUMPRODUCT(Adds!$C$89:$AL$89,Curves!$AM$23:$BV$23)+SUMPRODUCT(Adds!$C$90:$AL$90,Curves!$AM$46:$BV$46)+SUMPRODUCT(Adds!$C$91:$AL$91,Curves!$AM$69:$BV$69)</f>
        <v/>
      </c>
      <c r="AM24" s="5">
        <f>SUMPRODUCT(Adds!$C$89:$AM$89,Curves!$AL$23:$BV$23)+SUMPRODUCT(Adds!$C$90:$AM$90,Curves!$AL$46:$BV$46)+SUMPRODUCT(Adds!$C$91:$AM$91,Curves!$AL$69:$BV$69)</f>
        <v/>
      </c>
      <c r="AN24" s="5">
        <f>SUMPRODUCT(Adds!$C$89:$AN$89,Curves!$AK$23:$BV$23)+SUMPRODUCT(Adds!$C$90:$AN$90,Curves!$AK$46:$BV$46)+SUMPRODUCT(Adds!$C$91:$AN$91,Curves!$AK$69:$BV$69)</f>
        <v/>
      </c>
      <c r="AO24" s="5">
        <f>SUMPRODUCT(Adds!$C$89:$AO$89,Curves!$AJ$23:$BV$23)+SUMPRODUCT(Adds!$C$90:$AO$90,Curves!$AJ$46:$BV$46)+SUMPRODUCT(Adds!$C$91:$AO$91,Curves!$AJ$69:$BV$69)</f>
        <v/>
      </c>
      <c r="AP24" s="5">
        <f>SUMPRODUCT(Adds!$C$89:$AP$89,Curves!$AI$23:$BV$23)+SUMPRODUCT(Adds!$C$90:$AP$90,Curves!$AI$46:$BV$46)+SUMPRODUCT(Adds!$C$91:$AP$91,Curves!$AI$69:$BV$69)</f>
        <v/>
      </c>
      <c r="AQ24" s="5">
        <f>SUMPRODUCT(Adds!$C$89:$AQ$89,Curves!$AH$23:$BV$23)+SUMPRODUCT(Adds!$C$90:$AQ$90,Curves!$AH$46:$BV$46)+SUMPRODUCT(Adds!$C$91:$AQ$91,Curves!$AH$69:$BV$69)</f>
        <v/>
      </c>
      <c r="AR24" s="5">
        <f>SUMPRODUCT(Adds!$C$89:$AR$89,Curves!$AG$23:$BV$23)+SUMPRODUCT(Adds!$C$90:$AR$90,Curves!$AG$46:$BV$46)+SUMPRODUCT(Adds!$C$91:$AR$91,Curves!$AG$69:$BV$69)</f>
        <v/>
      </c>
      <c r="AS24" s="5">
        <f>SUMPRODUCT(Adds!$C$89:$AS$89,Curves!$AF$23:$BV$23)+SUMPRODUCT(Adds!$C$90:$AS$90,Curves!$AF$46:$BV$46)+SUMPRODUCT(Adds!$C$91:$AS$91,Curves!$AF$69:$BV$69)</f>
        <v/>
      </c>
      <c r="AT24" s="5">
        <f>SUMPRODUCT(Adds!$C$89:$AT$89,Curves!$AE$23:$BV$23)+SUMPRODUCT(Adds!$C$90:$AT$90,Curves!$AE$46:$BV$46)+SUMPRODUCT(Adds!$C$91:$AT$91,Curves!$AE$69:$BV$69)</f>
        <v/>
      </c>
      <c r="AU24" s="5">
        <f>SUMPRODUCT(Adds!$C$89:$AU$89,Curves!$AD$23:$BV$23)+SUMPRODUCT(Adds!$C$90:$AU$90,Curves!$AD$46:$BV$46)+SUMPRODUCT(Adds!$C$91:$AU$91,Curves!$AD$69:$BV$69)</f>
        <v/>
      </c>
      <c r="AV24" s="5">
        <f>SUMPRODUCT(Adds!$C$89:$AV$89,Curves!$AC$23:$BV$23)+SUMPRODUCT(Adds!$C$90:$AV$90,Curves!$AC$46:$BV$46)+SUMPRODUCT(Adds!$C$91:$AV$91,Curves!$AC$69:$BV$69)</f>
        <v/>
      </c>
      <c r="AW24" s="5">
        <f>SUMPRODUCT(Adds!$C$89:$AW$89,Curves!$AB$23:$BV$23)+SUMPRODUCT(Adds!$C$90:$AW$90,Curves!$AB$46:$BV$46)+SUMPRODUCT(Adds!$C$91:$AW$91,Curves!$AB$69:$BV$69)</f>
        <v/>
      </c>
      <c r="AX24" s="5">
        <f>SUMPRODUCT(Adds!$C$89:$AX$89,Curves!$AA$23:$BV$23)+SUMPRODUCT(Adds!$C$90:$AX$90,Curves!$AA$46:$BV$46)+SUMPRODUCT(Adds!$C$91:$AX$91,Curves!$AA$69:$BV$69)</f>
        <v/>
      </c>
      <c r="AY24" s="5">
        <f>SUMPRODUCT(Adds!$C$89:$AY$89,Curves!$Z$23:$BV$23)+SUMPRODUCT(Adds!$C$90:$AY$90,Curves!$Z$46:$BV$46)+SUMPRODUCT(Adds!$C$91:$AY$91,Curves!$Z$69:$BV$69)</f>
        <v/>
      </c>
      <c r="AZ24" s="5">
        <f>SUMPRODUCT(Adds!$C$89:$AZ$89,Curves!$Y$23:$BV$23)+SUMPRODUCT(Adds!$C$90:$AZ$90,Curves!$Y$46:$BV$46)+SUMPRODUCT(Adds!$C$91:$AZ$91,Curves!$Y$69:$BV$69)</f>
        <v/>
      </c>
      <c r="BA24" s="5">
        <f>SUMPRODUCT(Adds!$C$89:$BA$89,Curves!$X$23:$BV$23)+SUMPRODUCT(Adds!$C$90:$BA$90,Curves!$X$46:$BV$46)+SUMPRODUCT(Adds!$C$91:$BA$91,Curves!$X$69:$BV$69)</f>
        <v/>
      </c>
      <c r="BB24" s="5">
        <f>SUMPRODUCT(Adds!$C$89:$BB$89,Curves!$W$23:$BV$23)+SUMPRODUCT(Adds!$C$90:$BB$90,Curves!$W$46:$BV$46)+SUMPRODUCT(Adds!$C$91:$BB$91,Curves!$W$69:$BV$69)</f>
        <v/>
      </c>
      <c r="BC24" s="5">
        <f>SUMPRODUCT(Adds!$C$89:$BC$89,Curves!$V$23:$BV$23)+SUMPRODUCT(Adds!$C$90:$BC$90,Curves!$V$46:$BV$46)+SUMPRODUCT(Adds!$C$91:$BC$91,Curves!$V$69:$BV$69)</f>
        <v/>
      </c>
      <c r="BD24" s="5">
        <f>SUMPRODUCT(Adds!$C$89:$BD$89,Curves!$U$23:$BV$23)+SUMPRODUCT(Adds!$C$90:$BD$90,Curves!$U$46:$BV$46)+SUMPRODUCT(Adds!$C$91:$BD$91,Curves!$U$69:$BV$69)</f>
        <v/>
      </c>
      <c r="BE24" s="5">
        <f>SUMPRODUCT(Adds!$C$89:$BE$89,Curves!$T$23:$BV$23)+SUMPRODUCT(Adds!$C$90:$BE$90,Curves!$T$46:$BV$46)+SUMPRODUCT(Adds!$C$91:$BE$91,Curves!$T$69:$BV$69)</f>
        <v/>
      </c>
      <c r="BF24" s="5">
        <f>SUMPRODUCT(Adds!$C$89:$BF$89,Curves!$S$23:$BV$23)+SUMPRODUCT(Adds!$C$90:$BF$90,Curves!$S$46:$BV$46)+SUMPRODUCT(Adds!$C$91:$BF$91,Curves!$S$69:$BV$69)</f>
        <v/>
      </c>
      <c r="BG24" s="5">
        <f>SUMPRODUCT(Adds!$C$89:$BG$89,Curves!$R$23:$BV$23)+SUMPRODUCT(Adds!$C$90:$BG$90,Curves!$R$46:$BV$46)+SUMPRODUCT(Adds!$C$91:$BG$91,Curves!$R$69:$BV$69)</f>
        <v/>
      </c>
      <c r="BH24" s="5">
        <f>SUMPRODUCT(Adds!$C$89:$BH$89,Curves!$Q$23:$BV$23)+SUMPRODUCT(Adds!$C$90:$BH$90,Curves!$Q$46:$BV$46)+SUMPRODUCT(Adds!$C$91:$BH$91,Curves!$Q$69:$BV$69)</f>
        <v/>
      </c>
      <c r="BI24" s="5">
        <f>SUMPRODUCT(Adds!$C$89:$BI$89,Curves!$P$23:$BV$23)+SUMPRODUCT(Adds!$C$90:$BI$90,Curves!$P$46:$BV$46)+SUMPRODUCT(Adds!$C$91:$BI$91,Curves!$P$69:$BV$69)</f>
        <v/>
      </c>
      <c r="BJ24" s="5">
        <f>SUMPRODUCT(Adds!$C$89:$BJ$89,Curves!$O$23:$BV$23)+SUMPRODUCT(Adds!$C$90:$BJ$90,Curves!$O$46:$BV$46)+SUMPRODUCT(Adds!$C$91:$BJ$91,Curves!$O$69:$BV$69)</f>
        <v/>
      </c>
      <c r="BK24" s="5">
        <f>SUMPRODUCT(Adds!$C$89:$BK$89,Curves!$N$23:$BV$23)+SUMPRODUCT(Adds!$C$90:$BK$90,Curves!$N$46:$BV$46)+SUMPRODUCT(Adds!$C$91:$BK$91,Curves!$N$69:$BV$69)</f>
        <v/>
      </c>
      <c r="BL24" s="5">
        <f>SUMPRODUCT(Adds!$C$89:$BL$89,Curves!$M$23:$BV$23)+SUMPRODUCT(Adds!$C$90:$BL$90,Curves!$M$46:$BV$46)+SUMPRODUCT(Adds!$C$91:$BL$91,Curves!$M$69:$BV$69)</f>
        <v/>
      </c>
      <c r="BM24" s="5">
        <f>SUMPRODUCT(Adds!$C$89:$BM$89,Curves!$L$23:$BV$23)+SUMPRODUCT(Adds!$C$90:$BM$90,Curves!$L$46:$BV$46)+SUMPRODUCT(Adds!$C$91:$BM$91,Curves!$L$69:$BV$69)</f>
        <v/>
      </c>
      <c r="BN24" s="5">
        <f>SUMPRODUCT(Adds!$C$89:$BN$89,Curves!$K$23:$BV$23)+SUMPRODUCT(Adds!$C$90:$BN$90,Curves!$K$46:$BV$46)+SUMPRODUCT(Adds!$C$91:$BN$91,Curves!$K$69:$BV$69)</f>
        <v/>
      </c>
      <c r="BO24" s="5">
        <f>SUMPRODUCT(Adds!$C$89:$BO$89,Curves!$J$23:$BV$23)+SUMPRODUCT(Adds!$C$90:$BO$90,Curves!$J$46:$BV$46)+SUMPRODUCT(Adds!$C$91:$BO$91,Curves!$J$69:$BV$69)</f>
        <v/>
      </c>
      <c r="BP24" s="5">
        <f>SUMPRODUCT(Adds!$C$89:$BP$89,Curves!$I$23:$BV$23)+SUMPRODUCT(Adds!$C$90:$BP$90,Curves!$I$46:$BV$46)+SUMPRODUCT(Adds!$C$91:$BP$91,Curves!$I$69:$BV$69)</f>
        <v/>
      </c>
      <c r="BQ24" s="5">
        <f>SUMPRODUCT(Adds!$C$89:$BQ$89,Curves!$H$23:$BV$23)+SUMPRODUCT(Adds!$C$90:$BQ$90,Curves!$H$46:$BV$46)+SUMPRODUCT(Adds!$C$91:$BQ$91,Curves!$H$69:$BV$69)</f>
        <v/>
      </c>
      <c r="BR24" s="5">
        <f>SUMPRODUCT(Adds!$C$89:$BR$89,Curves!$G$23:$BV$23)+SUMPRODUCT(Adds!$C$90:$BR$90,Curves!$G$46:$BV$46)+SUMPRODUCT(Adds!$C$91:$BR$91,Curves!$G$69:$BV$69)</f>
        <v/>
      </c>
      <c r="BS24" s="5">
        <f>SUMPRODUCT(Adds!$C$89:$BS$89,Curves!$F$23:$BV$23)+SUMPRODUCT(Adds!$C$90:$BS$90,Curves!$F$46:$BV$46)+SUMPRODUCT(Adds!$C$91:$BS$91,Curves!$F$69:$BV$69)</f>
        <v/>
      </c>
      <c r="BT24" s="5">
        <f>SUMPRODUCT(Adds!$C$89:$BT$89,Curves!$E$23:$BV$23)+SUMPRODUCT(Adds!$C$90:$BT$90,Curves!$E$46:$BV$46)+SUMPRODUCT(Adds!$C$91:$BT$91,Curves!$E$69:$BV$69)</f>
        <v/>
      </c>
      <c r="BU24" s="5">
        <f>SUMPRODUCT(Adds!$C$89:$BU$89,Curves!$D$23:$BV$23)+SUMPRODUCT(Adds!$C$90:$BU$90,Curves!$D$46:$BV$46)+SUMPRODUCT(Adds!$C$91:$BU$91,Curves!$D$69:$BV$69)</f>
        <v/>
      </c>
      <c r="BV24" s="5">
        <f>SUMPRODUCT(Adds!$C$89:$BV$89,Curves!$C$23:$BV$23)+SUMPRODUCT(Adds!$C$90:$BV$90,Curves!$C$46:$BV$46)+SUMPRODUCT(Adds!$C$91:$BV$91,Curves!$C$69:$BV$69)</f>
        <v/>
      </c>
    </row>
    <row r="25">
      <c r="A25" t="inlineStr">
        <is>
          <t>churned</t>
        </is>
      </c>
      <c r="B25" t="inlineStr">
        <is>
          <t>EUROPE|NITRO_A</t>
        </is>
      </c>
      <c r="C25" s="5">
        <f>Adds!$C$89*Curves!$BV$18+Adds!$C$90*Curves!$BV$41+Adds!$C$91*Curves!$BV$64</f>
        <v/>
      </c>
      <c r="D25" s="5">
        <f>SUMPRODUCT(Adds!$C$89:$D$89,Curves!$BU$18:$BV$18)+SUMPRODUCT(Adds!$C$90:$D$90,Curves!$BU$41:$BV$41)+SUMPRODUCT(Adds!$C$91:$D$91,Curves!$BU$64:$BV$64)</f>
        <v/>
      </c>
      <c r="E25" s="5">
        <f>SUMPRODUCT(Adds!$C$89:$E$89,Curves!$BT$18:$BV$18)+SUMPRODUCT(Adds!$C$90:$E$90,Curves!$BT$41:$BV$41)+SUMPRODUCT(Adds!$C$91:$E$91,Curves!$BT$64:$BV$64)</f>
        <v/>
      </c>
      <c r="F25" s="5">
        <f>SUMPRODUCT(Adds!$C$89:$F$89,Curves!$BS$18:$BV$18)+SUMPRODUCT(Adds!$C$90:$F$90,Curves!$BS$41:$BV$41)+SUMPRODUCT(Adds!$C$91:$F$91,Curves!$BS$64:$BV$64)</f>
        <v/>
      </c>
      <c r="G25" s="5">
        <f>SUMPRODUCT(Adds!$C$89:$G$89,Curves!$BR$18:$BV$18)+SUMPRODUCT(Adds!$C$90:$G$90,Curves!$BR$41:$BV$41)+SUMPRODUCT(Adds!$C$91:$G$91,Curves!$BR$64:$BV$64)</f>
        <v/>
      </c>
      <c r="H25" s="5">
        <f>SUMPRODUCT(Adds!$C$89:$H$89,Curves!$BQ$18:$BV$18)+SUMPRODUCT(Adds!$C$90:$H$90,Curves!$BQ$41:$BV$41)+SUMPRODUCT(Adds!$C$91:$H$91,Curves!$BQ$64:$BV$64)</f>
        <v/>
      </c>
      <c r="I25" s="5">
        <f>SUMPRODUCT(Adds!$C$89:$I$89,Curves!$BP$18:$BV$18)+SUMPRODUCT(Adds!$C$90:$I$90,Curves!$BP$41:$BV$41)+SUMPRODUCT(Adds!$C$91:$I$91,Curves!$BP$64:$BV$64)</f>
        <v/>
      </c>
      <c r="J25" s="5">
        <f>SUMPRODUCT(Adds!$C$89:$J$89,Curves!$BO$18:$BV$18)+SUMPRODUCT(Adds!$C$90:$J$90,Curves!$BO$41:$BV$41)+SUMPRODUCT(Adds!$C$91:$J$91,Curves!$BO$64:$BV$64)</f>
        <v/>
      </c>
      <c r="K25" s="5">
        <f>SUMPRODUCT(Adds!$C$89:$K$89,Curves!$BN$18:$BV$18)+SUMPRODUCT(Adds!$C$90:$K$90,Curves!$BN$41:$BV$41)+SUMPRODUCT(Adds!$C$91:$K$91,Curves!$BN$64:$BV$64)</f>
        <v/>
      </c>
      <c r="L25" s="5">
        <f>SUMPRODUCT(Adds!$C$89:$L$89,Curves!$BM$18:$BV$18)+SUMPRODUCT(Adds!$C$90:$L$90,Curves!$BM$41:$BV$41)+SUMPRODUCT(Adds!$C$91:$L$91,Curves!$BM$64:$BV$64)</f>
        <v/>
      </c>
      <c r="M25" s="5">
        <f>SUMPRODUCT(Adds!$C$89:$M$89,Curves!$BL$18:$BV$18)+SUMPRODUCT(Adds!$C$90:$M$90,Curves!$BL$41:$BV$41)+SUMPRODUCT(Adds!$C$91:$M$91,Curves!$BL$64:$BV$64)</f>
        <v/>
      </c>
      <c r="N25" s="5">
        <f>SUMPRODUCT(Adds!$C$89:$N$89,Curves!$BK$18:$BV$18)+SUMPRODUCT(Adds!$C$90:$N$90,Curves!$BK$41:$BV$41)+SUMPRODUCT(Adds!$C$91:$N$91,Curves!$BK$64:$BV$64)</f>
        <v/>
      </c>
      <c r="O25" s="5">
        <f>SUMPRODUCT(Adds!$C$89:$O$89,Curves!$BJ$18:$BV$18)+SUMPRODUCT(Adds!$C$90:$O$90,Curves!$BJ$41:$BV$41)+SUMPRODUCT(Adds!$C$91:$O$91,Curves!$BJ$64:$BV$64)</f>
        <v/>
      </c>
      <c r="P25" s="5">
        <f>SUMPRODUCT(Adds!$C$89:$P$89,Curves!$BI$18:$BV$18)+SUMPRODUCT(Adds!$C$90:$P$90,Curves!$BI$41:$BV$41)+SUMPRODUCT(Adds!$C$91:$P$91,Curves!$BI$64:$BV$64)</f>
        <v/>
      </c>
      <c r="Q25" s="5">
        <f>SUMPRODUCT(Adds!$C$89:$Q$89,Curves!$BH$18:$BV$18)+SUMPRODUCT(Adds!$C$90:$Q$90,Curves!$BH$41:$BV$41)+SUMPRODUCT(Adds!$C$91:$Q$91,Curves!$BH$64:$BV$64)</f>
        <v/>
      </c>
      <c r="R25" s="5">
        <f>SUMPRODUCT(Adds!$C$89:$R$89,Curves!$BG$18:$BV$18)+SUMPRODUCT(Adds!$C$90:$R$90,Curves!$BG$41:$BV$41)+SUMPRODUCT(Adds!$C$91:$R$91,Curves!$BG$64:$BV$64)</f>
        <v/>
      </c>
      <c r="S25" s="5">
        <f>SUMPRODUCT(Adds!$C$89:$S$89,Curves!$BF$18:$BV$18)+SUMPRODUCT(Adds!$C$90:$S$90,Curves!$BF$41:$BV$41)+SUMPRODUCT(Adds!$C$91:$S$91,Curves!$BF$64:$BV$64)</f>
        <v/>
      </c>
      <c r="T25" s="5">
        <f>SUMPRODUCT(Adds!$C$89:$T$89,Curves!$BE$18:$BV$18)+SUMPRODUCT(Adds!$C$90:$T$90,Curves!$BE$41:$BV$41)+SUMPRODUCT(Adds!$C$91:$T$91,Curves!$BE$64:$BV$64)</f>
        <v/>
      </c>
      <c r="U25" s="5">
        <f>SUMPRODUCT(Adds!$C$89:$U$89,Curves!$BD$18:$BV$18)+SUMPRODUCT(Adds!$C$90:$U$90,Curves!$BD$41:$BV$41)+SUMPRODUCT(Adds!$C$91:$U$91,Curves!$BD$64:$BV$64)</f>
        <v/>
      </c>
      <c r="V25" s="5">
        <f>SUMPRODUCT(Adds!$C$89:$V$89,Curves!$BC$18:$BV$18)+SUMPRODUCT(Adds!$C$90:$V$90,Curves!$BC$41:$BV$41)+SUMPRODUCT(Adds!$C$91:$V$91,Curves!$BC$64:$BV$64)</f>
        <v/>
      </c>
      <c r="W25" s="5">
        <f>SUMPRODUCT(Adds!$C$89:$W$89,Curves!$BB$18:$BV$18)+SUMPRODUCT(Adds!$C$90:$W$90,Curves!$BB$41:$BV$41)+SUMPRODUCT(Adds!$C$91:$W$91,Curves!$BB$64:$BV$64)</f>
        <v/>
      </c>
      <c r="X25" s="5">
        <f>SUMPRODUCT(Adds!$C$89:$X$89,Curves!$BA$18:$BV$18)+SUMPRODUCT(Adds!$C$90:$X$90,Curves!$BA$41:$BV$41)+SUMPRODUCT(Adds!$C$91:$X$91,Curves!$BA$64:$BV$64)</f>
        <v/>
      </c>
      <c r="Y25" s="5">
        <f>SUMPRODUCT(Adds!$C$89:$Y$89,Curves!$AZ$18:$BV$18)+SUMPRODUCT(Adds!$C$90:$Y$90,Curves!$AZ$41:$BV$41)+SUMPRODUCT(Adds!$C$91:$Y$91,Curves!$AZ$64:$BV$64)</f>
        <v/>
      </c>
      <c r="Z25" s="5">
        <f>SUMPRODUCT(Adds!$C$89:$Z$89,Curves!$AY$18:$BV$18)+SUMPRODUCT(Adds!$C$90:$Z$90,Curves!$AY$41:$BV$41)+SUMPRODUCT(Adds!$C$91:$Z$91,Curves!$AY$64:$BV$64)</f>
        <v/>
      </c>
      <c r="AA25" s="5">
        <f>SUMPRODUCT(Adds!$C$89:$AA$89,Curves!$AX$18:$BV$18)+SUMPRODUCT(Adds!$C$90:$AA$90,Curves!$AX$41:$BV$41)+SUMPRODUCT(Adds!$C$91:$AA$91,Curves!$AX$64:$BV$64)</f>
        <v/>
      </c>
      <c r="AB25" s="5">
        <f>SUMPRODUCT(Adds!$C$89:$AB$89,Curves!$AW$18:$BV$18)+SUMPRODUCT(Adds!$C$90:$AB$90,Curves!$AW$41:$BV$41)+SUMPRODUCT(Adds!$C$91:$AB$91,Curves!$AW$64:$BV$64)</f>
        <v/>
      </c>
      <c r="AC25" s="5">
        <f>SUMPRODUCT(Adds!$C$89:$AC$89,Curves!$AV$18:$BV$18)+SUMPRODUCT(Adds!$C$90:$AC$90,Curves!$AV$41:$BV$41)+SUMPRODUCT(Adds!$C$91:$AC$91,Curves!$AV$64:$BV$64)</f>
        <v/>
      </c>
      <c r="AD25" s="5">
        <f>SUMPRODUCT(Adds!$C$89:$AD$89,Curves!$AU$18:$BV$18)+SUMPRODUCT(Adds!$C$90:$AD$90,Curves!$AU$41:$BV$41)+SUMPRODUCT(Adds!$C$91:$AD$91,Curves!$AU$64:$BV$64)</f>
        <v/>
      </c>
      <c r="AE25" s="5">
        <f>SUMPRODUCT(Adds!$C$89:$AE$89,Curves!$AT$18:$BV$18)+SUMPRODUCT(Adds!$C$90:$AE$90,Curves!$AT$41:$BV$41)+SUMPRODUCT(Adds!$C$91:$AE$91,Curves!$AT$64:$BV$64)</f>
        <v/>
      </c>
      <c r="AF25" s="5">
        <f>SUMPRODUCT(Adds!$C$89:$AF$89,Curves!$AS$18:$BV$18)+SUMPRODUCT(Adds!$C$90:$AF$90,Curves!$AS$41:$BV$41)+SUMPRODUCT(Adds!$C$91:$AF$91,Curves!$AS$64:$BV$64)</f>
        <v/>
      </c>
      <c r="AG25" s="5">
        <f>SUMPRODUCT(Adds!$C$89:$AG$89,Curves!$AR$18:$BV$18)+SUMPRODUCT(Adds!$C$90:$AG$90,Curves!$AR$41:$BV$41)+SUMPRODUCT(Adds!$C$91:$AG$91,Curves!$AR$64:$BV$64)</f>
        <v/>
      </c>
      <c r="AH25" s="5">
        <f>SUMPRODUCT(Adds!$C$89:$AH$89,Curves!$AQ$18:$BV$18)+SUMPRODUCT(Adds!$C$90:$AH$90,Curves!$AQ$41:$BV$41)+SUMPRODUCT(Adds!$C$91:$AH$91,Curves!$AQ$64:$BV$64)</f>
        <v/>
      </c>
      <c r="AI25" s="5">
        <f>SUMPRODUCT(Adds!$C$89:$AI$89,Curves!$AP$18:$BV$18)+SUMPRODUCT(Adds!$C$90:$AI$90,Curves!$AP$41:$BV$41)+SUMPRODUCT(Adds!$C$91:$AI$91,Curves!$AP$64:$BV$64)</f>
        <v/>
      </c>
      <c r="AJ25" s="5">
        <f>SUMPRODUCT(Adds!$C$89:$AJ$89,Curves!$AO$18:$BV$18)+SUMPRODUCT(Adds!$C$90:$AJ$90,Curves!$AO$41:$BV$41)+SUMPRODUCT(Adds!$C$91:$AJ$91,Curves!$AO$64:$BV$64)</f>
        <v/>
      </c>
      <c r="AK25" s="5">
        <f>SUMPRODUCT(Adds!$C$89:$AK$89,Curves!$AN$18:$BV$18)+SUMPRODUCT(Adds!$C$90:$AK$90,Curves!$AN$41:$BV$41)+SUMPRODUCT(Adds!$C$91:$AK$91,Curves!$AN$64:$BV$64)</f>
        <v/>
      </c>
      <c r="AL25" s="5">
        <f>SUMPRODUCT(Adds!$C$89:$AL$89,Curves!$AM$18:$BV$18)+SUMPRODUCT(Adds!$C$90:$AL$90,Curves!$AM$41:$BV$41)+SUMPRODUCT(Adds!$C$91:$AL$91,Curves!$AM$64:$BV$64)</f>
        <v/>
      </c>
      <c r="AM25" s="5">
        <f>SUMPRODUCT(Adds!$C$89:$AM$89,Curves!$AL$18:$BV$18)+SUMPRODUCT(Adds!$C$90:$AM$90,Curves!$AL$41:$BV$41)+SUMPRODUCT(Adds!$C$91:$AM$91,Curves!$AL$64:$BV$64)</f>
        <v/>
      </c>
      <c r="AN25" s="5">
        <f>SUMPRODUCT(Adds!$C$89:$AN$89,Curves!$AK$18:$BV$18)+SUMPRODUCT(Adds!$C$90:$AN$90,Curves!$AK$41:$BV$41)+SUMPRODUCT(Adds!$C$91:$AN$91,Curves!$AK$64:$BV$64)</f>
        <v/>
      </c>
      <c r="AO25" s="5">
        <f>SUMPRODUCT(Adds!$C$89:$AO$89,Curves!$AJ$18:$BV$18)+SUMPRODUCT(Adds!$C$90:$AO$90,Curves!$AJ$41:$BV$41)+SUMPRODUCT(Adds!$C$91:$AO$91,Curves!$AJ$64:$BV$64)</f>
        <v/>
      </c>
      <c r="AP25" s="5">
        <f>SUMPRODUCT(Adds!$C$89:$AP$89,Curves!$AI$18:$BV$18)+SUMPRODUCT(Adds!$C$90:$AP$90,Curves!$AI$41:$BV$41)+SUMPRODUCT(Adds!$C$91:$AP$91,Curves!$AI$64:$BV$64)</f>
        <v/>
      </c>
      <c r="AQ25" s="5">
        <f>SUMPRODUCT(Adds!$C$89:$AQ$89,Curves!$AH$18:$BV$18)+SUMPRODUCT(Adds!$C$90:$AQ$90,Curves!$AH$41:$BV$41)+SUMPRODUCT(Adds!$C$91:$AQ$91,Curves!$AH$64:$BV$64)</f>
        <v/>
      </c>
      <c r="AR25" s="5">
        <f>SUMPRODUCT(Adds!$C$89:$AR$89,Curves!$AG$18:$BV$18)+SUMPRODUCT(Adds!$C$90:$AR$90,Curves!$AG$41:$BV$41)+SUMPRODUCT(Adds!$C$91:$AR$91,Curves!$AG$64:$BV$64)</f>
        <v/>
      </c>
      <c r="AS25" s="5">
        <f>SUMPRODUCT(Adds!$C$89:$AS$89,Curves!$AF$18:$BV$18)+SUMPRODUCT(Adds!$C$90:$AS$90,Curves!$AF$41:$BV$41)+SUMPRODUCT(Adds!$C$91:$AS$91,Curves!$AF$64:$BV$64)</f>
        <v/>
      </c>
      <c r="AT25" s="5">
        <f>SUMPRODUCT(Adds!$C$89:$AT$89,Curves!$AE$18:$BV$18)+SUMPRODUCT(Adds!$C$90:$AT$90,Curves!$AE$41:$BV$41)+SUMPRODUCT(Adds!$C$91:$AT$91,Curves!$AE$64:$BV$64)</f>
        <v/>
      </c>
      <c r="AU25" s="5">
        <f>SUMPRODUCT(Adds!$C$89:$AU$89,Curves!$AD$18:$BV$18)+SUMPRODUCT(Adds!$C$90:$AU$90,Curves!$AD$41:$BV$41)+SUMPRODUCT(Adds!$C$91:$AU$91,Curves!$AD$64:$BV$64)</f>
        <v/>
      </c>
      <c r="AV25" s="5">
        <f>SUMPRODUCT(Adds!$C$89:$AV$89,Curves!$AC$18:$BV$18)+SUMPRODUCT(Adds!$C$90:$AV$90,Curves!$AC$41:$BV$41)+SUMPRODUCT(Adds!$C$91:$AV$91,Curves!$AC$64:$BV$64)</f>
        <v/>
      </c>
      <c r="AW25" s="5">
        <f>SUMPRODUCT(Adds!$C$89:$AW$89,Curves!$AB$18:$BV$18)+SUMPRODUCT(Adds!$C$90:$AW$90,Curves!$AB$41:$BV$41)+SUMPRODUCT(Adds!$C$91:$AW$91,Curves!$AB$64:$BV$64)</f>
        <v/>
      </c>
      <c r="AX25" s="5">
        <f>SUMPRODUCT(Adds!$C$89:$AX$89,Curves!$AA$18:$BV$18)+SUMPRODUCT(Adds!$C$90:$AX$90,Curves!$AA$41:$BV$41)+SUMPRODUCT(Adds!$C$91:$AX$91,Curves!$AA$64:$BV$64)</f>
        <v/>
      </c>
      <c r="AY25" s="5">
        <f>SUMPRODUCT(Adds!$C$89:$AY$89,Curves!$Z$18:$BV$18)+SUMPRODUCT(Adds!$C$90:$AY$90,Curves!$Z$41:$BV$41)+SUMPRODUCT(Adds!$C$91:$AY$91,Curves!$Z$64:$BV$64)</f>
        <v/>
      </c>
      <c r="AZ25" s="5">
        <f>SUMPRODUCT(Adds!$C$89:$AZ$89,Curves!$Y$18:$BV$18)+SUMPRODUCT(Adds!$C$90:$AZ$90,Curves!$Y$41:$BV$41)+SUMPRODUCT(Adds!$C$91:$AZ$91,Curves!$Y$64:$BV$64)</f>
        <v/>
      </c>
      <c r="BA25" s="5">
        <f>SUMPRODUCT(Adds!$C$89:$BA$89,Curves!$X$18:$BV$18)+SUMPRODUCT(Adds!$C$90:$BA$90,Curves!$X$41:$BV$41)+SUMPRODUCT(Adds!$C$91:$BA$91,Curves!$X$64:$BV$64)</f>
        <v/>
      </c>
      <c r="BB25" s="5">
        <f>SUMPRODUCT(Adds!$C$89:$BB$89,Curves!$W$18:$BV$18)+SUMPRODUCT(Adds!$C$90:$BB$90,Curves!$W$41:$BV$41)+SUMPRODUCT(Adds!$C$91:$BB$91,Curves!$W$64:$BV$64)</f>
        <v/>
      </c>
      <c r="BC25" s="5">
        <f>SUMPRODUCT(Adds!$C$89:$BC$89,Curves!$V$18:$BV$18)+SUMPRODUCT(Adds!$C$90:$BC$90,Curves!$V$41:$BV$41)+SUMPRODUCT(Adds!$C$91:$BC$91,Curves!$V$64:$BV$64)</f>
        <v/>
      </c>
      <c r="BD25" s="5">
        <f>SUMPRODUCT(Adds!$C$89:$BD$89,Curves!$U$18:$BV$18)+SUMPRODUCT(Adds!$C$90:$BD$90,Curves!$U$41:$BV$41)+SUMPRODUCT(Adds!$C$91:$BD$91,Curves!$U$64:$BV$64)</f>
        <v/>
      </c>
      <c r="BE25" s="5">
        <f>SUMPRODUCT(Adds!$C$89:$BE$89,Curves!$T$18:$BV$18)+SUMPRODUCT(Adds!$C$90:$BE$90,Curves!$T$41:$BV$41)+SUMPRODUCT(Adds!$C$91:$BE$91,Curves!$T$64:$BV$64)</f>
        <v/>
      </c>
      <c r="BF25" s="5">
        <f>SUMPRODUCT(Adds!$C$89:$BF$89,Curves!$S$18:$BV$18)+SUMPRODUCT(Adds!$C$90:$BF$90,Curves!$S$41:$BV$41)+SUMPRODUCT(Adds!$C$91:$BF$91,Curves!$S$64:$BV$64)</f>
        <v/>
      </c>
      <c r="BG25" s="5">
        <f>SUMPRODUCT(Adds!$C$89:$BG$89,Curves!$R$18:$BV$18)+SUMPRODUCT(Adds!$C$90:$BG$90,Curves!$R$41:$BV$41)+SUMPRODUCT(Adds!$C$91:$BG$91,Curves!$R$64:$BV$64)</f>
        <v/>
      </c>
      <c r="BH25" s="5">
        <f>SUMPRODUCT(Adds!$C$89:$BH$89,Curves!$Q$18:$BV$18)+SUMPRODUCT(Adds!$C$90:$BH$90,Curves!$Q$41:$BV$41)+SUMPRODUCT(Adds!$C$91:$BH$91,Curves!$Q$64:$BV$64)</f>
        <v/>
      </c>
      <c r="BI25" s="5">
        <f>SUMPRODUCT(Adds!$C$89:$BI$89,Curves!$P$18:$BV$18)+SUMPRODUCT(Adds!$C$90:$BI$90,Curves!$P$41:$BV$41)+SUMPRODUCT(Adds!$C$91:$BI$91,Curves!$P$64:$BV$64)</f>
        <v/>
      </c>
      <c r="BJ25" s="5">
        <f>SUMPRODUCT(Adds!$C$89:$BJ$89,Curves!$O$18:$BV$18)+SUMPRODUCT(Adds!$C$90:$BJ$90,Curves!$O$41:$BV$41)+SUMPRODUCT(Adds!$C$91:$BJ$91,Curves!$O$64:$BV$64)</f>
        <v/>
      </c>
      <c r="BK25" s="5">
        <f>SUMPRODUCT(Adds!$C$89:$BK$89,Curves!$N$18:$BV$18)+SUMPRODUCT(Adds!$C$90:$BK$90,Curves!$N$41:$BV$41)+SUMPRODUCT(Adds!$C$91:$BK$91,Curves!$N$64:$BV$64)</f>
        <v/>
      </c>
      <c r="BL25" s="5">
        <f>SUMPRODUCT(Adds!$C$89:$BL$89,Curves!$M$18:$BV$18)+SUMPRODUCT(Adds!$C$90:$BL$90,Curves!$M$41:$BV$41)+SUMPRODUCT(Adds!$C$91:$BL$91,Curves!$M$64:$BV$64)</f>
        <v/>
      </c>
      <c r="BM25" s="5">
        <f>SUMPRODUCT(Adds!$C$89:$BM$89,Curves!$L$18:$BV$18)+SUMPRODUCT(Adds!$C$90:$BM$90,Curves!$L$41:$BV$41)+SUMPRODUCT(Adds!$C$91:$BM$91,Curves!$L$64:$BV$64)</f>
        <v/>
      </c>
      <c r="BN25" s="5">
        <f>SUMPRODUCT(Adds!$C$89:$BN$89,Curves!$K$18:$BV$18)+SUMPRODUCT(Adds!$C$90:$BN$90,Curves!$K$41:$BV$41)+SUMPRODUCT(Adds!$C$91:$BN$91,Curves!$K$64:$BV$64)</f>
        <v/>
      </c>
      <c r="BO25" s="5">
        <f>SUMPRODUCT(Adds!$C$89:$BO$89,Curves!$J$18:$BV$18)+SUMPRODUCT(Adds!$C$90:$BO$90,Curves!$J$41:$BV$41)+SUMPRODUCT(Adds!$C$91:$BO$91,Curves!$J$64:$BV$64)</f>
        <v/>
      </c>
      <c r="BP25" s="5">
        <f>SUMPRODUCT(Adds!$C$89:$BP$89,Curves!$I$18:$BV$18)+SUMPRODUCT(Adds!$C$90:$BP$90,Curves!$I$41:$BV$41)+SUMPRODUCT(Adds!$C$91:$BP$91,Curves!$I$64:$BV$64)</f>
        <v/>
      </c>
      <c r="BQ25" s="5">
        <f>SUMPRODUCT(Adds!$C$89:$BQ$89,Curves!$H$18:$BV$18)+SUMPRODUCT(Adds!$C$90:$BQ$90,Curves!$H$41:$BV$41)+SUMPRODUCT(Adds!$C$91:$BQ$91,Curves!$H$64:$BV$64)</f>
        <v/>
      </c>
      <c r="BR25" s="5">
        <f>SUMPRODUCT(Adds!$C$89:$BR$89,Curves!$G$18:$BV$18)+SUMPRODUCT(Adds!$C$90:$BR$90,Curves!$G$41:$BV$41)+SUMPRODUCT(Adds!$C$91:$BR$91,Curves!$G$64:$BV$64)</f>
        <v/>
      </c>
      <c r="BS25" s="5">
        <f>SUMPRODUCT(Adds!$C$89:$BS$89,Curves!$F$18:$BV$18)+SUMPRODUCT(Adds!$C$90:$BS$90,Curves!$F$41:$BV$41)+SUMPRODUCT(Adds!$C$91:$BS$91,Curves!$F$64:$BV$64)</f>
        <v/>
      </c>
      <c r="BT25" s="5">
        <f>SUMPRODUCT(Adds!$C$89:$BT$89,Curves!$E$18:$BV$18)+SUMPRODUCT(Adds!$C$90:$BT$90,Curves!$E$41:$BV$41)+SUMPRODUCT(Adds!$C$91:$BT$91,Curves!$E$64:$BV$64)</f>
        <v/>
      </c>
      <c r="BU25" s="5">
        <f>SUMPRODUCT(Adds!$C$89:$BU$89,Curves!$D$18:$BV$18)+SUMPRODUCT(Adds!$C$90:$BU$90,Curves!$D$41:$BV$41)+SUMPRODUCT(Adds!$C$91:$BU$91,Curves!$D$64:$BV$64)</f>
        <v/>
      </c>
      <c r="BV25" s="5">
        <f>SUMPRODUCT(Adds!$C$89:$BV$89,Curves!$C$18:$BV$18)+SUMPRODUCT(Adds!$C$90:$BV$90,Curves!$C$41:$BV$41)+SUMPRODUCT(Adds!$C$91:$BV$91,Curves!$C$64:$BV$64)</f>
        <v/>
      </c>
    </row>
    <row r="27">
      <c r="A27" t="inlineStr">
        <is>
          <t>active</t>
        </is>
      </c>
      <c r="B27" t="inlineStr">
        <is>
          <t>EUROPE|BASIC_M</t>
        </is>
      </c>
      <c r="C27" s="5">
        <f>Adds!$C$104*Curves!$BV$15+Adds!$C$105*Curves!$BV$38+Adds!$C$106*Curves!$BV$61</f>
        <v/>
      </c>
      <c r="D27" s="5">
        <f>SUMPRODUCT(Adds!$C$104:$D$104,Curves!$BU$15:$BV$15)+SUMPRODUCT(Adds!$C$105:$D$105,Curves!$BU$38:$BV$38)+SUMPRODUCT(Adds!$C$106:$D$106,Curves!$BU$61:$BV$61)</f>
        <v/>
      </c>
      <c r="E27" s="5">
        <f>SUMPRODUCT(Adds!$C$104:$E$104,Curves!$BT$15:$BV$15)+SUMPRODUCT(Adds!$C$105:$E$105,Curves!$BT$38:$BV$38)+SUMPRODUCT(Adds!$C$106:$E$106,Curves!$BT$61:$BV$61)</f>
        <v/>
      </c>
      <c r="F27" s="5">
        <f>SUMPRODUCT(Adds!$C$104:$F$104,Curves!$BS$15:$BV$15)+SUMPRODUCT(Adds!$C$105:$F$105,Curves!$BS$38:$BV$38)+SUMPRODUCT(Adds!$C$106:$F$106,Curves!$BS$61:$BV$61)</f>
        <v/>
      </c>
      <c r="G27" s="5">
        <f>SUMPRODUCT(Adds!$C$104:$G$104,Curves!$BR$15:$BV$15)+SUMPRODUCT(Adds!$C$105:$G$105,Curves!$BR$38:$BV$38)+SUMPRODUCT(Adds!$C$106:$G$106,Curves!$BR$61:$BV$61)</f>
        <v/>
      </c>
      <c r="H27" s="5">
        <f>SUMPRODUCT(Adds!$C$104:$H$104,Curves!$BQ$15:$BV$15)+SUMPRODUCT(Adds!$C$105:$H$105,Curves!$BQ$38:$BV$38)+SUMPRODUCT(Adds!$C$106:$H$106,Curves!$BQ$61:$BV$61)</f>
        <v/>
      </c>
      <c r="I27" s="5">
        <f>SUMPRODUCT(Adds!$C$104:$I$104,Curves!$BP$15:$BV$15)+SUMPRODUCT(Adds!$C$105:$I$105,Curves!$BP$38:$BV$38)+SUMPRODUCT(Adds!$C$106:$I$106,Curves!$BP$61:$BV$61)</f>
        <v/>
      </c>
      <c r="J27" s="5">
        <f>SUMPRODUCT(Adds!$C$104:$J$104,Curves!$BO$15:$BV$15)+SUMPRODUCT(Adds!$C$105:$J$105,Curves!$BO$38:$BV$38)+SUMPRODUCT(Adds!$C$106:$J$106,Curves!$BO$61:$BV$61)</f>
        <v/>
      </c>
      <c r="K27" s="5">
        <f>SUMPRODUCT(Adds!$C$104:$K$104,Curves!$BN$15:$BV$15)+SUMPRODUCT(Adds!$C$105:$K$105,Curves!$BN$38:$BV$38)+SUMPRODUCT(Adds!$C$106:$K$106,Curves!$BN$61:$BV$61)</f>
        <v/>
      </c>
      <c r="L27" s="5">
        <f>SUMPRODUCT(Adds!$C$104:$L$104,Curves!$BM$15:$BV$15)+SUMPRODUCT(Adds!$C$105:$L$105,Curves!$BM$38:$BV$38)+SUMPRODUCT(Adds!$C$106:$L$106,Curves!$BM$61:$BV$61)</f>
        <v/>
      </c>
      <c r="M27" s="5">
        <f>SUMPRODUCT(Adds!$C$104:$M$104,Curves!$BL$15:$BV$15)+SUMPRODUCT(Adds!$C$105:$M$105,Curves!$BL$38:$BV$38)+SUMPRODUCT(Adds!$C$106:$M$106,Curves!$BL$61:$BV$61)</f>
        <v/>
      </c>
      <c r="N27" s="5">
        <f>SUMPRODUCT(Adds!$C$104:$N$104,Curves!$BK$15:$BV$15)+SUMPRODUCT(Adds!$C$105:$N$105,Curves!$BK$38:$BV$38)+SUMPRODUCT(Adds!$C$106:$N$106,Curves!$BK$61:$BV$61)</f>
        <v/>
      </c>
      <c r="O27" s="5">
        <f>SUMPRODUCT(Adds!$C$104:$O$104,Curves!$BJ$15:$BV$15)+SUMPRODUCT(Adds!$C$105:$O$105,Curves!$BJ$38:$BV$38)+SUMPRODUCT(Adds!$C$106:$O$106,Curves!$BJ$61:$BV$61)</f>
        <v/>
      </c>
      <c r="P27" s="5">
        <f>SUMPRODUCT(Adds!$C$104:$P$104,Curves!$BI$15:$BV$15)+SUMPRODUCT(Adds!$C$105:$P$105,Curves!$BI$38:$BV$38)+SUMPRODUCT(Adds!$C$106:$P$106,Curves!$BI$61:$BV$61)</f>
        <v/>
      </c>
      <c r="Q27" s="5">
        <f>SUMPRODUCT(Adds!$C$104:$Q$104,Curves!$BH$15:$BV$15)+SUMPRODUCT(Adds!$C$105:$Q$105,Curves!$BH$38:$BV$38)+SUMPRODUCT(Adds!$C$106:$Q$106,Curves!$BH$61:$BV$61)</f>
        <v/>
      </c>
      <c r="R27" s="5">
        <f>SUMPRODUCT(Adds!$C$104:$R$104,Curves!$BG$15:$BV$15)+SUMPRODUCT(Adds!$C$105:$R$105,Curves!$BG$38:$BV$38)+SUMPRODUCT(Adds!$C$106:$R$106,Curves!$BG$61:$BV$61)</f>
        <v/>
      </c>
      <c r="S27" s="5">
        <f>SUMPRODUCT(Adds!$C$104:$S$104,Curves!$BF$15:$BV$15)+SUMPRODUCT(Adds!$C$105:$S$105,Curves!$BF$38:$BV$38)+SUMPRODUCT(Adds!$C$106:$S$106,Curves!$BF$61:$BV$61)</f>
        <v/>
      </c>
      <c r="T27" s="5">
        <f>SUMPRODUCT(Adds!$C$104:$T$104,Curves!$BE$15:$BV$15)+SUMPRODUCT(Adds!$C$105:$T$105,Curves!$BE$38:$BV$38)+SUMPRODUCT(Adds!$C$106:$T$106,Curves!$BE$61:$BV$61)</f>
        <v/>
      </c>
      <c r="U27" s="5">
        <f>SUMPRODUCT(Adds!$C$104:$U$104,Curves!$BD$15:$BV$15)+SUMPRODUCT(Adds!$C$105:$U$105,Curves!$BD$38:$BV$38)+SUMPRODUCT(Adds!$C$106:$U$106,Curves!$BD$61:$BV$61)</f>
        <v/>
      </c>
      <c r="V27" s="5">
        <f>SUMPRODUCT(Adds!$C$104:$V$104,Curves!$BC$15:$BV$15)+SUMPRODUCT(Adds!$C$105:$V$105,Curves!$BC$38:$BV$38)+SUMPRODUCT(Adds!$C$106:$V$106,Curves!$BC$61:$BV$61)</f>
        <v/>
      </c>
      <c r="W27" s="5">
        <f>SUMPRODUCT(Adds!$C$104:$W$104,Curves!$BB$15:$BV$15)+SUMPRODUCT(Adds!$C$105:$W$105,Curves!$BB$38:$BV$38)+SUMPRODUCT(Adds!$C$106:$W$106,Curves!$BB$61:$BV$61)</f>
        <v/>
      </c>
      <c r="X27" s="5">
        <f>SUMPRODUCT(Adds!$C$104:$X$104,Curves!$BA$15:$BV$15)+SUMPRODUCT(Adds!$C$105:$X$105,Curves!$BA$38:$BV$38)+SUMPRODUCT(Adds!$C$106:$X$106,Curves!$BA$61:$BV$61)</f>
        <v/>
      </c>
      <c r="Y27" s="5">
        <f>SUMPRODUCT(Adds!$C$104:$Y$104,Curves!$AZ$15:$BV$15)+SUMPRODUCT(Adds!$C$105:$Y$105,Curves!$AZ$38:$BV$38)+SUMPRODUCT(Adds!$C$106:$Y$106,Curves!$AZ$61:$BV$61)</f>
        <v/>
      </c>
      <c r="Z27" s="5">
        <f>SUMPRODUCT(Adds!$C$104:$Z$104,Curves!$AY$15:$BV$15)+SUMPRODUCT(Adds!$C$105:$Z$105,Curves!$AY$38:$BV$38)+SUMPRODUCT(Adds!$C$106:$Z$106,Curves!$AY$61:$BV$61)</f>
        <v/>
      </c>
      <c r="AA27" s="5">
        <f>SUMPRODUCT(Adds!$C$104:$AA$104,Curves!$AX$15:$BV$15)+SUMPRODUCT(Adds!$C$105:$AA$105,Curves!$AX$38:$BV$38)+SUMPRODUCT(Adds!$C$106:$AA$106,Curves!$AX$61:$BV$61)</f>
        <v/>
      </c>
      <c r="AB27" s="5">
        <f>SUMPRODUCT(Adds!$C$104:$AB$104,Curves!$AW$15:$BV$15)+SUMPRODUCT(Adds!$C$105:$AB$105,Curves!$AW$38:$BV$38)+SUMPRODUCT(Adds!$C$106:$AB$106,Curves!$AW$61:$BV$61)</f>
        <v/>
      </c>
      <c r="AC27" s="5">
        <f>SUMPRODUCT(Adds!$C$104:$AC$104,Curves!$AV$15:$BV$15)+SUMPRODUCT(Adds!$C$105:$AC$105,Curves!$AV$38:$BV$38)+SUMPRODUCT(Adds!$C$106:$AC$106,Curves!$AV$61:$BV$61)</f>
        <v/>
      </c>
      <c r="AD27" s="5">
        <f>SUMPRODUCT(Adds!$C$104:$AD$104,Curves!$AU$15:$BV$15)+SUMPRODUCT(Adds!$C$105:$AD$105,Curves!$AU$38:$BV$38)+SUMPRODUCT(Adds!$C$106:$AD$106,Curves!$AU$61:$BV$61)</f>
        <v/>
      </c>
      <c r="AE27" s="5">
        <f>SUMPRODUCT(Adds!$C$104:$AE$104,Curves!$AT$15:$BV$15)+SUMPRODUCT(Adds!$C$105:$AE$105,Curves!$AT$38:$BV$38)+SUMPRODUCT(Adds!$C$106:$AE$106,Curves!$AT$61:$BV$61)</f>
        <v/>
      </c>
      <c r="AF27" s="5">
        <f>SUMPRODUCT(Adds!$C$104:$AF$104,Curves!$AS$15:$BV$15)+SUMPRODUCT(Adds!$C$105:$AF$105,Curves!$AS$38:$BV$38)+SUMPRODUCT(Adds!$C$106:$AF$106,Curves!$AS$61:$BV$61)</f>
        <v/>
      </c>
      <c r="AG27" s="5">
        <f>SUMPRODUCT(Adds!$C$104:$AG$104,Curves!$AR$15:$BV$15)+SUMPRODUCT(Adds!$C$105:$AG$105,Curves!$AR$38:$BV$38)+SUMPRODUCT(Adds!$C$106:$AG$106,Curves!$AR$61:$BV$61)</f>
        <v/>
      </c>
      <c r="AH27" s="5">
        <f>SUMPRODUCT(Adds!$C$104:$AH$104,Curves!$AQ$15:$BV$15)+SUMPRODUCT(Adds!$C$105:$AH$105,Curves!$AQ$38:$BV$38)+SUMPRODUCT(Adds!$C$106:$AH$106,Curves!$AQ$61:$BV$61)</f>
        <v/>
      </c>
      <c r="AI27" s="5">
        <f>SUMPRODUCT(Adds!$C$104:$AI$104,Curves!$AP$15:$BV$15)+SUMPRODUCT(Adds!$C$105:$AI$105,Curves!$AP$38:$BV$38)+SUMPRODUCT(Adds!$C$106:$AI$106,Curves!$AP$61:$BV$61)</f>
        <v/>
      </c>
      <c r="AJ27" s="5">
        <f>SUMPRODUCT(Adds!$C$104:$AJ$104,Curves!$AO$15:$BV$15)+SUMPRODUCT(Adds!$C$105:$AJ$105,Curves!$AO$38:$BV$38)+SUMPRODUCT(Adds!$C$106:$AJ$106,Curves!$AO$61:$BV$61)</f>
        <v/>
      </c>
      <c r="AK27" s="5">
        <f>SUMPRODUCT(Adds!$C$104:$AK$104,Curves!$AN$15:$BV$15)+SUMPRODUCT(Adds!$C$105:$AK$105,Curves!$AN$38:$BV$38)+SUMPRODUCT(Adds!$C$106:$AK$106,Curves!$AN$61:$BV$61)</f>
        <v/>
      </c>
      <c r="AL27" s="5">
        <f>SUMPRODUCT(Adds!$C$104:$AL$104,Curves!$AM$15:$BV$15)+SUMPRODUCT(Adds!$C$105:$AL$105,Curves!$AM$38:$BV$38)+SUMPRODUCT(Adds!$C$106:$AL$106,Curves!$AM$61:$BV$61)</f>
        <v/>
      </c>
      <c r="AM27" s="5">
        <f>SUMPRODUCT(Adds!$C$104:$AM$104,Curves!$AL$15:$BV$15)+SUMPRODUCT(Adds!$C$105:$AM$105,Curves!$AL$38:$BV$38)+SUMPRODUCT(Adds!$C$106:$AM$106,Curves!$AL$61:$BV$61)</f>
        <v/>
      </c>
      <c r="AN27" s="5">
        <f>SUMPRODUCT(Adds!$C$104:$AN$104,Curves!$AK$15:$BV$15)+SUMPRODUCT(Adds!$C$105:$AN$105,Curves!$AK$38:$BV$38)+SUMPRODUCT(Adds!$C$106:$AN$106,Curves!$AK$61:$BV$61)</f>
        <v/>
      </c>
      <c r="AO27" s="5">
        <f>SUMPRODUCT(Adds!$C$104:$AO$104,Curves!$AJ$15:$BV$15)+SUMPRODUCT(Adds!$C$105:$AO$105,Curves!$AJ$38:$BV$38)+SUMPRODUCT(Adds!$C$106:$AO$106,Curves!$AJ$61:$BV$61)</f>
        <v/>
      </c>
      <c r="AP27" s="5">
        <f>SUMPRODUCT(Adds!$C$104:$AP$104,Curves!$AI$15:$BV$15)+SUMPRODUCT(Adds!$C$105:$AP$105,Curves!$AI$38:$BV$38)+SUMPRODUCT(Adds!$C$106:$AP$106,Curves!$AI$61:$BV$61)</f>
        <v/>
      </c>
      <c r="AQ27" s="5">
        <f>SUMPRODUCT(Adds!$C$104:$AQ$104,Curves!$AH$15:$BV$15)+SUMPRODUCT(Adds!$C$105:$AQ$105,Curves!$AH$38:$BV$38)+SUMPRODUCT(Adds!$C$106:$AQ$106,Curves!$AH$61:$BV$61)</f>
        <v/>
      </c>
      <c r="AR27" s="5">
        <f>SUMPRODUCT(Adds!$C$104:$AR$104,Curves!$AG$15:$BV$15)+SUMPRODUCT(Adds!$C$105:$AR$105,Curves!$AG$38:$BV$38)+SUMPRODUCT(Adds!$C$106:$AR$106,Curves!$AG$61:$BV$61)</f>
        <v/>
      </c>
      <c r="AS27" s="5">
        <f>SUMPRODUCT(Adds!$C$104:$AS$104,Curves!$AF$15:$BV$15)+SUMPRODUCT(Adds!$C$105:$AS$105,Curves!$AF$38:$BV$38)+SUMPRODUCT(Adds!$C$106:$AS$106,Curves!$AF$61:$BV$61)</f>
        <v/>
      </c>
      <c r="AT27" s="5">
        <f>SUMPRODUCT(Adds!$C$104:$AT$104,Curves!$AE$15:$BV$15)+SUMPRODUCT(Adds!$C$105:$AT$105,Curves!$AE$38:$BV$38)+SUMPRODUCT(Adds!$C$106:$AT$106,Curves!$AE$61:$BV$61)</f>
        <v/>
      </c>
      <c r="AU27" s="5">
        <f>SUMPRODUCT(Adds!$C$104:$AU$104,Curves!$AD$15:$BV$15)+SUMPRODUCT(Adds!$C$105:$AU$105,Curves!$AD$38:$BV$38)+SUMPRODUCT(Adds!$C$106:$AU$106,Curves!$AD$61:$BV$61)</f>
        <v/>
      </c>
      <c r="AV27" s="5">
        <f>SUMPRODUCT(Adds!$C$104:$AV$104,Curves!$AC$15:$BV$15)+SUMPRODUCT(Adds!$C$105:$AV$105,Curves!$AC$38:$BV$38)+SUMPRODUCT(Adds!$C$106:$AV$106,Curves!$AC$61:$BV$61)</f>
        <v/>
      </c>
      <c r="AW27" s="5">
        <f>SUMPRODUCT(Adds!$C$104:$AW$104,Curves!$AB$15:$BV$15)+SUMPRODUCT(Adds!$C$105:$AW$105,Curves!$AB$38:$BV$38)+SUMPRODUCT(Adds!$C$106:$AW$106,Curves!$AB$61:$BV$61)</f>
        <v/>
      </c>
      <c r="AX27" s="5">
        <f>SUMPRODUCT(Adds!$C$104:$AX$104,Curves!$AA$15:$BV$15)+SUMPRODUCT(Adds!$C$105:$AX$105,Curves!$AA$38:$BV$38)+SUMPRODUCT(Adds!$C$106:$AX$106,Curves!$AA$61:$BV$61)</f>
        <v/>
      </c>
      <c r="AY27" s="5">
        <f>SUMPRODUCT(Adds!$C$104:$AY$104,Curves!$Z$15:$BV$15)+SUMPRODUCT(Adds!$C$105:$AY$105,Curves!$Z$38:$BV$38)+SUMPRODUCT(Adds!$C$106:$AY$106,Curves!$Z$61:$BV$61)</f>
        <v/>
      </c>
      <c r="AZ27" s="5">
        <f>SUMPRODUCT(Adds!$C$104:$AZ$104,Curves!$Y$15:$BV$15)+SUMPRODUCT(Adds!$C$105:$AZ$105,Curves!$Y$38:$BV$38)+SUMPRODUCT(Adds!$C$106:$AZ$106,Curves!$Y$61:$BV$61)</f>
        <v/>
      </c>
      <c r="BA27" s="5">
        <f>SUMPRODUCT(Adds!$C$104:$BA$104,Curves!$X$15:$BV$15)+SUMPRODUCT(Adds!$C$105:$BA$105,Curves!$X$38:$BV$38)+SUMPRODUCT(Adds!$C$106:$BA$106,Curves!$X$61:$BV$61)</f>
        <v/>
      </c>
      <c r="BB27" s="5">
        <f>SUMPRODUCT(Adds!$C$104:$BB$104,Curves!$W$15:$BV$15)+SUMPRODUCT(Adds!$C$105:$BB$105,Curves!$W$38:$BV$38)+SUMPRODUCT(Adds!$C$106:$BB$106,Curves!$W$61:$BV$61)</f>
        <v/>
      </c>
      <c r="BC27" s="5">
        <f>SUMPRODUCT(Adds!$C$104:$BC$104,Curves!$V$15:$BV$15)+SUMPRODUCT(Adds!$C$105:$BC$105,Curves!$V$38:$BV$38)+SUMPRODUCT(Adds!$C$106:$BC$106,Curves!$V$61:$BV$61)</f>
        <v/>
      </c>
      <c r="BD27" s="5">
        <f>SUMPRODUCT(Adds!$C$104:$BD$104,Curves!$U$15:$BV$15)+SUMPRODUCT(Adds!$C$105:$BD$105,Curves!$U$38:$BV$38)+SUMPRODUCT(Adds!$C$106:$BD$106,Curves!$U$61:$BV$61)</f>
        <v/>
      </c>
      <c r="BE27" s="5">
        <f>SUMPRODUCT(Adds!$C$104:$BE$104,Curves!$T$15:$BV$15)+SUMPRODUCT(Adds!$C$105:$BE$105,Curves!$T$38:$BV$38)+SUMPRODUCT(Adds!$C$106:$BE$106,Curves!$T$61:$BV$61)</f>
        <v/>
      </c>
      <c r="BF27" s="5">
        <f>SUMPRODUCT(Adds!$C$104:$BF$104,Curves!$S$15:$BV$15)+SUMPRODUCT(Adds!$C$105:$BF$105,Curves!$S$38:$BV$38)+SUMPRODUCT(Adds!$C$106:$BF$106,Curves!$S$61:$BV$61)</f>
        <v/>
      </c>
      <c r="BG27" s="5">
        <f>SUMPRODUCT(Adds!$C$104:$BG$104,Curves!$R$15:$BV$15)+SUMPRODUCT(Adds!$C$105:$BG$105,Curves!$R$38:$BV$38)+SUMPRODUCT(Adds!$C$106:$BG$106,Curves!$R$61:$BV$61)</f>
        <v/>
      </c>
      <c r="BH27" s="5">
        <f>SUMPRODUCT(Adds!$C$104:$BH$104,Curves!$Q$15:$BV$15)+SUMPRODUCT(Adds!$C$105:$BH$105,Curves!$Q$38:$BV$38)+SUMPRODUCT(Adds!$C$106:$BH$106,Curves!$Q$61:$BV$61)</f>
        <v/>
      </c>
      <c r="BI27" s="5">
        <f>SUMPRODUCT(Adds!$C$104:$BI$104,Curves!$P$15:$BV$15)+SUMPRODUCT(Adds!$C$105:$BI$105,Curves!$P$38:$BV$38)+SUMPRODUCT(Adds!$C$106:$BI$106,Curves!$P$61:$BV$61)</f>
        <v/>
      </c>
      <c r="BJ27" s="5">
        <f>SUMPRODUCT(Adds!$C$104:$BJ$104,Curves!$O$15:$BV$15)+SUMPRODUCT(Adds!$C$105:$BJ$105,Curves!$O$38:$BV$38)+SUMPRODUCT(Adds!$C$106:$BJ$106,Curves!$O$61:$BV$61)</f>
        <v/>
      </c>
      <c r="BK27" s="5">
        <f>SUMPRODUCT(Adds!$C$104:$BK$104,Curves!$N$15:$BV$15)+SUMPRODUCT(Adds!$C$105:$BK$105,Curves!$N$38:$BV$38)+SUMPRODUCT(Adds!$C$106:$BK$106,Curves!$N$61:$BV$61)</f>
        <v/>
      </c>
      <c r="BL27" s="5">
        <f>SUMPRODUCT(Adds!$C$104:$BL$104,Curves!$M$15:$BV$15)+SUMPRODUCT(Adds!$C$105:$BL$105,Curves!$M$38:$BV$38)+SUMPRODUCT(Adds!$C$106:$BL$106,Curves!$M$61:$BV$61)</f>
        <v/>
      </c>
      <c r="BM27" s="5">
        <f>SUMPRODUCT(Adds!$C$104:$BM$104,Curves!$L$15:$BV$15)+SUMPRODUCT(Adds!$C$105:$BM$105,Curves!$L$38:$BV$38)+SUMPRODUCT(Adds!$C$106:$BM$106,Curves!$L$61:$BV$61)</f>
        <v/>
      </c>
      <c r="BN27" s="5">
        <f>SUMPRODUCT(Adds!$C$104:$BN$104,Curves!$K$15:$BV$15)+SUMPRODUCT(Adds!$C$105:$BN$105,Curves!$K$38:$BV$38)+SUMPRODUCT(Adds!$C$106:$BN$106,Curves!$K$61:$BV$61)</f>
        <v/>
      </c>
      <c r="BO27" s="5">
        <f>SUMPRODUCT(Adds!$C$104:$BO$104,Curves!$J$15:$BV$15)+SUMPRODUCT(Adds!$C$105:$BO$105,Curves!$J$38:$BV$38)+SUMPRODUCT(Adds!$C$106:$BO$106,Curves!$J$61:$BV$61)</f>
        <v/>
      </c>
      <c r="BP27" s="5">
        <f>SUMPRODUCT(Adds!$C$104:$BP$104,Curves!$I$15:$BV$15)+SUMPRODUCT(Adds!$C$105:$BP$105,Curves!$I$38:$BV$38)+SUMPRODUCT(Adds!$C$106:$BP$106,Curves!$I$61:$BV$61)</f>
        <v/>
      </c>
      <c r="BQ27" s="5">
        <f>SUMPRODUCT(Adds!$C$104:$BQ$104,Curves!$H$15:$BV$15)+SUMPRODUCT(Adds!$C$105:$BQ$105,Curves!$H$38:$BV$38)+SUMPRODUCT(Adds!$C$106:$BQ$106,Curves!$H$61:$BV$61)</f>
        <v/>
      </c>
      <c r="BR27" s="5">
        <f>SUMPRODUCT(Adds!$C$104:$BR$104,Curves!$G$15:$BV$15)+SUMPRODUCT(Adds!$C$105:$BR$105,Curves!$G$38:$BV$38)+SUMPRODUCT(Adds!$C$106:$BR$106,Curves!$G$61:$BV$61)</f>
        <v/>
      </c>
      <c r="BS27" s="5">
        <f>SUMPRODUCT(Adds!$C$104:$BS$104,Curves!$F$15:$BV$15)+SUMPRODUCT(Adds!$C$105:$BS$105,Curves!$F$38:$BV$38)+SUMPRODUCT(Adds!$C$106:$BS$106,Curves!$F$61:$BV$61)</f>
        <v/>
      </c>
      <c r="BT27" s="5">
        <f>SUMPRODUCT(Adds!$C$104:$BT$104,Curves!$E$15:$BV$15)+SUMPRODUCT(Adds!$C$105:$BT$105,Curves!$E$38:$BV$38)+SUMPRODUCT(Adds!$C$106:$BT$106,Curves!$E$61:$BV$61)</f>
        <v/>
      </c>
      <c r="BU27" s="5">
        <f>SUMPRODUCT(Adds!$C$104:$BU$104,Curves!$D$15:$BV$15)+SUMPRODUCT(Adds!$C$105:$BU$105,Curves!$D$38:$BV$38)+SUMPRODUCT(Adds!$C$106:$BU$106,Curves!$D$61:$BV$61)</f>
        <v/>
      </c>
      <c r="BV27" s="5">
        <f>SUMPRODUCT(Adds!$C$104:$BV$104,Curves!$C$15:$BV$15)+SUMPRODUCT(Adds!$C$105:$BV$105,Curves!$C$38:$BV$38)+SUMPRODUCT(Adds!$C$106:$BV$106,Curves!$C$61:$BV$61)</f>
        <v/>
      </c>
    </row>
    <row r="28">
      <c r="A28" t="inlineStr">
        <is>
          <t>active yr 1</t>
        </is>
      </c>
      <c r="B28" t="inlineStr">
        <is>
          <t>EUROPE|BASIC_M</t>
        </is>
      </c>
      <c r="C28" s="5">
        <f>Adds!$C$104*Curves!$BV$22+Adds!$C$105*Curves!$BV$45+Adds!$C$106*Curves!$BV$68</f>
        <v/>
      </c>
      <c r="D28" s="5">
        <f>SUMPRODUCT(Adds!$C$104:$D$104,Curves!$BU$22:$BV$22)+SUMPRODUCT(Adds!$C$105:$D$105,Curves!$BU$45:$BV$45)+SUMPRODUCT(Adds!$C$106:$D$106,Curves!$BU$68:$BV$68)</f>
        <v/>
      </c>
      <c r="E28" s="5">
        <f>SUMPRODUCT(Adds!$C$104:$E$104,Curves!$BT$22:$BV$22)+SUMPRODUCT(Adds!$C$105:$E$105,Curves!$BT$45:$BV$45)+SUMPRODUCT(Adds!$C$106:$E$106,Curves!$BT$68:$BV$68)</f>
        <v/>
      </c>
      <c r="F28" s="5">
        <f>SUMPRODUCT(Adds!$C$104:$F$104,Curves!$BS$22:$BV$22)+SUMPRODUCT(Adds!$C$105:$F$105,Curves!$BS$45:$BV$45)+SUMPRODUCT(Adds!$C$106:$F$106,Curves!$BS$68:$BV$68)</f>
        <v/>
      </c>
      <c r="G28" s="5">
        <f>SUMPRODUCT(Adds!$C$104:$G$104,Curves!$BR$22:$BV$22)+SUMPRODUCT(Adds!$C$105:$G$105,Curves!$BR$45:$BV$45)+SUMPRODUCT(Adds!$C$106:$G$106,Curves!$BR$68:$BV$68)</f>
        <v/>
      </c>
      <c r="H28" s="5">
        <f>SUMPRODUCT(Adds!$C$104:$H$104,Curves!$BQ$22:$BV$22)+SUMPRODUCT(Adds!$C$105:$H$105,Curves!$BQ$45:$BV$45)+SUMPRODUCT(Adds!$C$106:$H$106,Curves!$BQ$68:$BV$68)</f>
        <v/>
      </c>
      <c r="I28" s="5">
        <f>SUMPRODUCT(Adds!$C$104:$I$104,Curves!$BP$22:$BV$22)+SUMPRODUCT(Adds!$C$105:$I$105,Curves!$BP$45:$BV$45)+SUMPRODUCT(Adds!$C$106:$I$106,Curves!$BP$68:$BV$68)</f>
        <v/>
      </c>
      <c r="J28" s="5">
        <f>SUMPRODUCT(Adds!$C$104:$J$104,Curves!$BO$22:$BV$22)+SUMPRODUCT(Adds!$C$105:$J$105,Curves!$BO$45:$BV$45)+SUMPRODUCT(Adds!$C$106:$J$106,Curves!$BO$68:$BV$68)</f>
        <v/>
      </c>
      <c r="K28" s="5">
        <f>SUMPRODUCT(Adds!$C$104:$K$104,Curves!$BN$22:$BV$22)+SUMPRODUCT(Adds!$C$105:$K$105,Curves!$BN$45:$BV$45)+SUMPRODUCT(Adds!$C$106:$K$106,Curves!$BN$68:$BV$68)</f>
        <v/>
      </c>
      <c r="L28" s="5">
        <f>SUMPRODUCT(Adds!$C$104:$L$104,Curves!$BM$22:$BV$22)+SUMPRODUCT(Adds!$C$105:$L$105,Curves!$BM$45:$BV$45)+SUMPRODUCT(Adds!$C$106:$L$106,Curves!$BM$68:$BV$68)</f>
        <v/>
      </c>
      <c r="M28" s="5">
        <f>SUMPRODUCT(Adds!$C$104:$M$104,Curves!$BL$22:$BV$22)+SUMPRODUCT(Adds!$C$105:$M$105,Curves!$BL$45:$BV$45)+SUMPRODUCT(Adds!$C$106:$M$106,Curves!$BL$68:$BV$68)</f>
        <v/>
      </c>
      <c r="N28" s="5">
        <f>SUMPRODUCT(Adds!$C$104:$N$104,Curves!$BK$22:$BV$22)+SUMPRODUCT(Adds!$C$105:$N$105,Curves!$BK$45:$BV$45)+SUMPRODUCT(Adds!$C$106:$N$106,Curves!$BK$68:$BV$68)</f>
        <v/>
      </c>
      <c r="O28" s="5">
        <f>SUMPRODUCT(Adds!$C$104:$O$104,Curves!$BJ$22:$BV$22)+SUMPRODUCT(Adds!$C$105:$O$105,Curves!$BJ$45:$BV$45)+SUMPRODUCT(Adds!$C$106:$O$106,Curves!$BJ$68:$BV$68)</f>
        <v/>
      </c>
      <c r="P28" s="5">
        <f>SUMPRODUCT(Adds!$C$104:$P$104,Curves!$BI$22:$BV$22)+SUMPRODUCT(Adds!$C$105:$P$105,Curves!$BI$45:$BV$45)+SUMPRODUCT(Adds!$C$106:$P$106,Curves!$BI$68:$BV$68)</f>
        <v/>
      </c>
      <c r="Q28" s="5">
        <f>SUMPRODUCT(Adds!$C$104:$Q$104,Curves!$BH$22:$BV$22)+SUMPRODUCT(Adds!$C$105:$Q$105,Curves!$BH$45:$BV$45)+SUMPRODUCT(Adds!$C$106:$Q$106,Curves!$BH$68:$BV$68)</f>
        <v/>
      </c>
      <c r="R28" s="5">
        <f>SUMPRODUCT(Adds!$C$104:$R$104,Curves!$BG$22:$BV$22)+SUMPRODUCT(Adds!$C$105:$R$105,Curves!$BG$45:$BV$45)+SUMPRODUCT(Adds!$C$106:$R$106,Curves!$BG$68:$BV$68)</f>
        <v/>
      </c>
      <c r="S28" s="5">
        <f>SUMPRODUCT(Adds!$C$104:$S$104,Curves!$BF$22:$BV$22)+SUMPRODUCT(Adds!$C$105:$S$105,Curves!$BF$45:$BV$45)+SUMPRODUCT(Adds!$C$106:$S$106,Curves!$BF$68:$BV$68)</f>
        <v/>
      </c>
      <c r="T28" s="5">
        <f>SUMPRODUCT(Adds!$C$104:$T$104,Curves!$BE$22:$BV$22)+SUMPRODUCT(Adds!$C$105:$T$105,Curves!$BE$45:$BV$45)+SUMPRODUCT(Adds!$C$106:$T$106,Curves!$BE$68:$BV$68)</f>
        <v/>
      </c>
      <c r="U28" s="5">
        <f>SUMPRODUCT(Adds!$C$104:$U$104,Curves!$BD$22:$BV$22)+SUMPRODUCT(Adds!$C$105:$U$105,Curves!$BD$45:$BV$45)+SUMPRODUCT(Adds!$C$106:$U$106,Curves!$BD$68:$BV$68)</f>
        <v/>
      </c>
      <c r="V28" s="5">
        <f>SUMPRODUCT(Adds!$C$104:$V$104,Curves!$BC$22:$BV$22)+SUMPRODUCT(Adds!$C$105:$V$105,Curves!$BC$45:$BV$45)+SUMPRODUCT(Adds!$C$106:$V$106,Curves!$BC$68:$BV$68)</f>
        <v/>
      </c>
      <c r="W28" s="5">
        <f>SUMPRODUCT(Adds!$C$104:$W$104,Curves!$BB$22:$BV$22)+SUMPRODUCT(Adds!$C$105:$W$105,Curves!$BB$45:$BV$45)+SUMPRODUCT(Adds!$C$106:$W$106,Curves!$BB$68:$BV$68)</f>
        <v/>
      </c>
      <c r="X28" s="5">
        <f>SUMPRODUCT(Adds!$C$104:$X$104,Curves!$BA$22:$BV$22)+SUMPRODUCT(Adds!$C$105:$X$105,Curves!$BA$45:$BV$45)+SUMPRODUCT(Adds!$C$106:$X$106,Curves!$BA$68:$BV$68)</f>
        <v/>
      </c>
      <c r="Y28" s="5">
        <f>SUMPRODUCT(Adds!$C$104:$Y$104,Curves!$AZ$22:$BV$22)+SUMPRODUCT(Adds!$C$105:$Y$105,Curves!$AZ$45:$BV$45)+SUMPRODUCT(Adds!$C$106:$Y$106,Curves!$AZ$68:$BV$68)</f>
        <v/>
      </c>
      <c r="Z28" s="5">
        <f>SUMPRODUCT(Adds!$C$104:$Z$104,Curves!$AY$22:$BV$22)+SUMPRODUCT(Adds!$C$105:$Z$105,Curves!$AY$45:$BV$45)+SUMPRODUCT(Adds!$C$106:$Z$106,Curves!$AY$68:$BV$68)</f>
        <v/>
      </c>
      <c r="AA28" s="5">
        <f>SUMPRODUCT(Adds!$C$104:$AA$104,Curves!$AX$22:$BV$22)+SUMPRODUCT(Adds!$C$105:$AA$105,Curves!$AX$45:$BV$45)+SUMPRODUCT(Adds!$C$106:$AA$106,Curves!$AX$68:$BV$68)</f>
        <v/>
      </c>
      <c r="AB28" s="5">
        <f>SUMPRODUCT(Adds!$C$104:$AB$104,Curves!$AW$22:$BV$22)+SUMPRODUCT(Adds!$C$105:$AB$105,Curves!$AW$45:$BV$45)+SUMPRODUCT(Adds!$C$106:$AB$106,Curves!$AW$68:$BV$68)</f>
        <v/>
      </c>
      <c r="AC28" s="5">
        <f>SUMPRODUCT(Adds!$C$104:$AC$104,Curves!$AV$22:$BV$22)+SUMPRODUCT(Adds!$C$105:$AC$105,Curves!$AV$45:$BV$45)+SUMPRODUCT(Adds!$C$106:$AC$106,Curves!$AV$68:$BV$68)</f>
        <v/>
      </c>
      <c r="AD28" s="5">
        <f>SUMPRODUCT(Adds!$C$104:$AD$104,Curves!$AU$22:$BV$22)+SUMPRODUCT(Adds!$C$105:$AD$105,Curves!$AU$45:$BV$45)+SUMPRODUCT(Adds!$C$106:$AD$106,Curves!$AU$68:$BV$68)</f>
        <v/>
      </c>
      <c r="AE28" s="5">
        <f>SUMPRODUCT(Adds!$C$104:$AE$104,Curves!$AT$22:$BV$22)+SUMPRODUCT(Adds!$C$105:$AE$105,Curves!$AT$45:$BV$45)+SUMPRODUCT(Adds!$C$106:$AE$106,Curves!$AT$68:$BV$68)</f>
        <v/>
      </c>
      <c r="AF28" s="5">
        <f>SUMPRODUCT(Adds!$C$104:$AF$104,Curves!$AS$22:$BV$22)+SUMPRODUCT(Adds!$C$105:$AF$105,Curves!$AS$45:$BV$45)+SUMPRODUCT(Adds!$C$106:$AF$106,Curves!$AS$68:$BV$68)</f>
        <v/>
      </c>
      <c r="AG28" s="5">
        <f>SUMPRODUCT(Adds!$C$104:$AG$104,Curves!$AR$22:$BV$22)+SUMPRODUCT(Adds!$C$105:$AG$105,Curves!$AR$45:$BV$45)+SUMPRODUCT(Adds!$C$106:$AG$106,Curves!$AR$68:$BV$68)</f>
        <v/>
      </c>
      <c r="AH28" s="5">
        <f>SUMPRODUCT(Adds!$C$104:$AH$104,Curves!$AQ$22:$BV$22)+SUMPRODUCT(Adds!$C$105:$AH$105,Curves!$AQ$45:$BV$45)+SUMPRODUCT(Adds!$C$106:$AH$106,Curves!$AQ$68:$BV$68)</f>
        <v/>
      </c>
      <c r="AI28" s="5">
        <f>SUMPRODUCT(Adds!$C$104:$AI$104,Curves!$AP$22:$BV$22)+SUMPRODUCT(Adds!$C$105:$AI$105,Curves!$AP$45:$BV$45)+SUMPRODUCT(Adds!$C$106:$AI$106,Curves!$AP$68:$BV$68)</f>
        <v/>
      </c>
      <c r="AJ28" s="5">
        <f>SUMPRODUCT(Adds!$C$104:$AJ$104,Curves!$AO$22:$BV$22)+SUMPRODUCT(Adds!$C$105:$AJ$105,Curves!$AO$45:$BV$45)+SUMPRODUCT(Adds!$C$106:$AJ$106,Curves!$AO$68:$BV$68)</f>
        <v/>
      </c>
      <c r="AK28" s="5">
        <f>SUMPRODUCT(Adds!$C$104:$AK$104,Curves!$AN$22:$BV$22)+SUMPRODUCT(Adds!$C$105:$AK$105,Curves!$AN$45:$BV$45)+SUMPRODUCT(Adds!$C$106:$AK$106,Curves!$AN$68:$BV$68)</f>
        <v/>
      </c>
      <c r="AL28" s="5">
        <f>SUMPRODUCT(Adds!$C$104:$AL$104,Curves!$AM$22:$BV$22)+SUMPRODUCT(Adds!$C$105:$AL$105,Curves!$AM$45:$BV$45)+SUMPRODUCT(Adds!$C$106:$AL$106,Curves!$AM$68:$BV$68)</f>
        <v/>
      </c>
      <c r="AM28" s="5">
        <f>SUMPRODUCT(Adds!$C$104:$AM$104,Curves!$AL$22:$BV$22)+SUMPRODUCT(Adds!$C$105:$AM$105,Curves!$AL$45:$BV$45)+SUMPRODUCT(Adds!$C$106:$AM$106,Curves!$AL$68:$BV$68)</f>
        <v/>
      </c>
      <c r="AN28" s="5">
        <f>SUMPRODUCT(Adds!$C$104:$AN$104,Curves!$AK$22:$BV$22)+SUMPRODUCT(Adds!$C$105:$AN$105,Curves!$AK$45:$BV$45)+SUMPRODUCT(Adds!$C$106:$AN$106,Curves!$AK$68:$BV$68)</f>
        <v/>
      </c>
      <c r="AO28" s="5">
        <f>SUMPRODUCT(Adds!$C$104:$AO$104,Curves!$AJ$22:$BV$22)+SUMPRODUCT(Adds!$C$105:$AO$105,Curves!$AJ$45:$BV$45)+SUMPRODUCT(Adds!$C$106:$AO$106,Curves!$AJ$68:$BV$68)</f>
        <v/>
      </c>
      <c r="AP28" s="5">
        <f>SUMPRODUCT(Adds!$C$104:$AP$104,Curves!$AI$22:$BV$22)+SUMPRODUCT(Adds!$C$105:$AP$105,Curves!$AI$45:$BV$45)+SUMPRODUCT(Adds!$C$106:$AP$106,Curves!$AI$68:$BV$68)</f>
        <v/>
      </c>
      <c r="AQ28" s="5">
        <f>SUMPRODUCT(Adds!$C$104:$AQ$104,Curves!$AH$22:$BV$22)+SUMPRODUCT(Adds!$C$105:$AQ$105,Curves!$AH$45:$BV$45)+SUMPRODUCT(Adds!$C$106:$AQ$106,Curves!$AH$68:$BV$68)</f>
        <v/>
      </c>
      <c r="AR28" s="5">
        <f>SUMPRODUCT(Adds!$C$104:$AR$104,Curves!$AG$22:$BV$22)+SUMPRODUCT(Adds!$C$105:$AR$105,Curves!$AG$45:$BV$45)+SUMPRODUCT(Adds!$C$106:$AR$106,Curves!$AG$68:$BV$68)</f>
        <v/>
      </c>
      <c r="AS28" s="5">
        <f>SUMPRODUCT(Adds!$C$104:$AS$104,Curves!$AF$22:$BV$22)+SUMPRODUCT(Adds!$C$105:$AS$105,Curves!$AF$45:$BV$45)+SUMPRODUCT(Adds!$C$106:$AS$106,Curves!$AF$68:$BV$68)</f>
        <v/>
      </c>
      <c r="AT28" s="5">
        <f>SUMPRODUCT(Adds!$C$104:$AT$104,Curves!$AE$22:$BV$22)+SUMPRODUCT(Adds!$C$105:$AT$105,Curves!$AE$45:$BV$45)+SUMPRODUCT(Adds!$C$106:$AT$106,Curves!$AE$68:$BV$68)</f>
        <v/>
      </c>
      <c r="AU28" s="5">
        <f>SUMPRODUCT(Adds!$C$104:$AU$104,Curves!$AD$22:$BV$22)+SUMPRODUCT(Adds!$C$105:$AU$105,Curves!$AD$45:$BV$45)+SUMPRODUCT(Adds!$C$106:$AU$106,Curves!$AD$68:$BV$68)</f>
        <v/>
      </c>
      <c r="AV28" s="5">
        <f>SUMPRODUCT(Adds!$C$104:$AV$104,Curves!$AC$22:$BV$22)+SUMPRODUCT(Adds!$C$105:$AV$105,Curves!$AC$45:$BV$45)+SUMPRODUCT(Adds!$C$106:$AV$106,Curves!$AC$68:$BV$68)</f>
        <v/>
      </c>
      <c r="AW28" s="5">
        <f>SUMPRODUCT(Adds!$C$104:$AW$104,Curves!$AB$22:$BV$22)+SUMPRODUCT(Adds!$C$105:$AW$105,Curves!$AB$45:$BV$45)+SUMPRODUCT(Adds!$C$106:$AW$106,Curves!$AB$68:$BV$68)</f>
        <v/>
      </c>
      <c r="AX28" s="5">
        <f>SUMPRODUCT(Adds!$C$104:$AX$104,Curves!$AA$22:$BV$22)+SUMPRODUCT(Adds!$C$105:$AX$105,Curves!$AA$45:$BV$45)+SUMPRODUCT(Adds!$C$106:$AX$106,Curves!$AA$68:$BV$68)</f>
        <v/>
      </c>
      <c r="AY28" s="5">
        <f>SUMPRODUCT(Adds!$C$104:$AY$104,Curves!$Z$22:$BV$22)+SUMPRODUCT(Adds!$C$105:$AY$105,Curves!$Z$45:$BV$45)+SUMPRODUCT(Adds!$C$106:$AY$106,Curves!$Z$68:$BV$68)</f>
        <v/>
      </c>
      <c r="AZ28" s="5">
        <f>SUMPRODUCT(Adds!$C$104:$AZ$104,Curves!$Y$22:$BV$22)+SUMPRODUCT(Adds!$C$105:$AZ$105,Curves!$Y$45:$BV$45)+SUMPRODUCT(Adds!$C$106:$AZ$106,Curves!$Y$68:$BV$68)</f>
        <v/>
      </c>
      <c r="BA28" s="5">
        <f>SUMPRODUCT(Adds!$C$104:$BA$104,Curves!$X$22:$BV$22)+SUMPRODUCT(Adds!$C$105:$BA$105,Curves!$X$45:$BV$45)+SUMPRODUCT(Adds!$C$106:$BA$106,Curves!$X$68:$BV$68)</f>
        <v/>
      </c>
      <c r="BB28" s="5">
        <f>SUMPRODUCT(Adds!$C$104:$BB$104,Curves!$W$22:$BV$22)+SUMPRODUCT(Adds!$C$105:$BB$105,Curves!$W$45:$BV$45)+SUMPRODUCT(Adds!$C$106:$BB$106,Curves!$W$68:$BV$68)</f>
        <v/>
      </c>
      <c r="BC28" s="5">
        <f>SUMPRODUCT(Adds!$C$104:$BC$104,Curves!$V$22:$BV$22)+SUMPRODUCT(Adds!$C$105:$BC$105,Curves!$V$45:$BV$45)+SUMPRODUCT(Adds!$C$106:$BC$106,Curves!$V$68:$BV$68)</f>
        <v/>
      </c>
      <c r="BD28" s="5">
        <f>SUMPRODUCT(Adds!$C$104:$BD$104,Curves!$U$22:$BV$22)+SUMPRODUCT(Adds!$C$105:$BD$105,Curves!$U$45:$BV$45)+SUMPRODUCT(Adds!$C$106:$BD$106,Curves!$U$68:$BV$68)</f>
        <v/>
      </c>
      <c r="BE28" s="5">
        <f>SUMPRODUCT(Adds!$C$104:$BE$104,Curves!$T$22:$BV$22)+SUMPRODUCT(Adds!$C$105:$BE$105,Curves!$T$45:$BV$45)+SUMPRODUCT(Adds!$C$106:$BE$106,Curves!$T$68:$BV$68)</f>
        <v/>
      </c>
      <c r="BF28" s="5">
        <f>SUMPRODUCT(Adds!$C$104:$BF$104,Curves!$S$22:$BV$22)+SUMPRODUCT(Adds!$C$105:$BF$105,Curves!$S$45:$BV$45)+SUMPRODUCT(Adds!$C$106:$BF$106,Curves!$S$68:$BV$68)</f>
        <v/>
      </c>
      <c r="BG28" s="5">
        <f>SUMPRODUCT(Adds!$C$104:$BG$104,Curves!$R$22:$BV$22)+SUMPRODUCT(Adds!$C$105:$BG$105,Curves!$R$45:$BV$45)+SUMPRODUCT(Adds!$C$106:$BG$106,Curves!$R$68:$BV$68)</f>
        <v/>
      </c>
      <c r="BH28" s="5">
        <f>SUMPRODUCT(Adds!$C$104:$BH$104,Curves!$Q$22:$BV$22)+SUMPRODUCT(Adds!$C$105:$BH$105,Curves!$Q$45:$BV$45)+SUMPRODUCT(Adds!$C$106:$BH$106,Curves!$Q$68:$BV$68)</f>
        <v/>
      </c>
      <c r="BI28" s="5">
        <f>SUMPRODUCT(Adds!$C$104:$BI$104,Curves!$P$22:$BV$22)+SUMPRODUCT(Adds!$C$105:$BI$105,Curves!$P$45:$BV$45)+SUMPRODUCT(Adds!$C$106:$BI$106,Curves!$P$68:$BV$68)</f>
        <v/>
      </c>
      <c r="BJ28" s="5">
        <f>SUMPRODUCT(Adds!$C$104:$BJ$104,Curves!$O$22:$BV$22)+SUMPRODUCT(Adds!$C$105:$BJ$105,Curves!$O$45:$BV$45)+SUMPRODUCT(Adds!$C$106:$BJ$106,Curves!$O$68:$BV$68)</f>
        <v/>
      </c>
      <c r="BK28" s="5">
        <f>SUMPRODUCT(Adds!$C$104:$BK$104,Curves!$N$22:$BV$22)+SUMPRODUCT(Adds!$C$105:$BK$105,Curves!$N$45:$BV$45)+SUMPRODUCT(Adds!$C$106:$BK$106,Curves!$N$68:$BV$68)</f>
        <v/>
      </c>
      <c r="BL28" s="5">
        <f>SUMPRODUCT(Adds!$C$104:$BL$104,Curves!$M$22:$BV$22)+SUMPRODUCT(Adds!$C$105:$BL$105,Curves!$M$45:$BV$45)+SUMPRODUCT(Adds!$C$106:$BL$106,Curves!$M$68:$BV$68)</f>
        <v/>
      </c>
      <c r="BM28" s="5">
        <f>SUMPRODUCT(Adds!$C$104:$BM$104,Curves!$L$22:$BV$22)+SUMPRODUCT(Adds!$C$105:$BM$105,Curves!$L$45:$BV$45)+SUMPRODUCT(Adds!$C$106:$BM$106,Curves!$L$68:$BV$68)</f>
        <v/>
      </c>
      <c r="BN28" s="5">
        <f>SUMPRODUCT(Adds!$C$104:$BN$104,Curves!$K$22:$BV$22)+SUMPRODUCT(Adds!$C$105:$BN$105,Curves!$K$45:$BV$45)+SUMPRODUCT(Adds!$C$106:$BN$106,Curves!$K$68:$BV$68)</f>
        <v/>
      </c>
      <c r="BO28" s="5">
        <f>SUMPRODUCT(Adds!$C$104:$BO$104,Curves!$J$22:$BV$22)+SUMPRODUCT(Adds!$C$105:$BO$105,Curves!$J$45:$BV$45)+SUMPRODUCT(Adds!$C$106:$BO$106,Curves!$J$68:$BV$68)</f>
        <v/>
      </c>
      <c r="BP28" s="5">
        <f>SUMPRODUCT(Adds!$C$104:$BP$104,Curves!$I$22:$BV$22)+SUMPRODUCT(Adds!$C$105:$BP$105,Curves!$I$45:$BV$45)+SUMPRODUCT(Adds!$C$106:$BP$106,Curves!$I$68:$BV$68)</f>
        <v/>
      </c>
      <c r="BQ28" s="5">
        <f>SUMPRODUCT(Adds!$C$104:$BQ$104,Curves!$H$22:$BV$22)+SUMPRODUCT(Adds!$C$105:$BQ$105,Curves!$H$45:$BV$45)+SUMPRODUCT(Adds!$C$106:$BQ$106,Curves!$H$68:$BV$68)</f>
        <v/>
      </c>
      <c r="BR28" s="5">
        <f>SUMPRODUCT(Adds!$C$104:$BR$104,Curves!$G$22:$BV$22)+SUMPRODUCT(Adds!$C$105:$BR$105,Curves!$G$45:$BV$45)+SUMPRODUCT(Adds!$C$106:$BR$106,Curves!$G$68:$BV$68)</f>
        <v/>
      </c>
      <c r="BS28" s="5">
        <f>SUMPRODUCT(Adds!$C$104:$BS$104,Curves!$F$22:$BV$22)+SUMPRODUCT(Adds!$C$105:$BS$105,Curves!$F$45:$BV$45)+SUMPRODUCT(Adds!$C$106:$BS$106,Curves!$F$68:$BV$68)</f>
        <v/>
      </c>
      <c r="BT28" s="5">
        <f>SUMPRODUCT(Adds!$C$104:$BT$104,Curves!$E$22:$BV$22)+SUMPRODUCT(Adds!$C$105:$BT$105,Curves!$E$45:$BV$45)+SUMPRODUCT(Adds!$C$106:$BT$106,Curves!$E$68:$BV$68)</f>
        <v/>
      </c>
      <c r="BU28" s="5">
        <f>SUMPRODUCT(Adds!$C$104:$BU$104,Curves!$D$22:$BV$22)+SUMPRODUCT(Adds!$C$105:$BU$105,Curves!$D$45:$BV$45)+SUMPRODUCT(Adds!$C$106:$BU$106,Curves!$D$68:$BV$68)</f>
        <v/>
      </c>
      <c r="BV28" s="5">
        <f>SUMPRODUCT(Adds!$C$104:$BV$104,Curves!$C$22:$BV$22)+SUMPRODUCT(Adds!$C$105:$BV$105,Curves!$C$45:$BV$45)+SUMPRODUCT(Adds!$C$106:$BV$106,Curves!$C$68:$BV$68)</f>
        <v/>
      </c>
    </row>
    <row r="29">
      <c r="A29" t="inlineStr">
        <is>
          <t>churned</t>
        </is>
      </c>
      <c r="B29" t="inlineStr">
        <is>
          <t>EUROPE|BASIC_M</t>
        </is>
      </c>
      <c r="C29" s="5">
        <f>Adds!$C$104*Curves!$BV$17+Adds!$C$105*Curves!$BV$40+Adds!$C$106*Curves!$BV$63</f>
        <v/>
      </c>
      <c r="D29" s="5">
        <f>SUMPRODUCT(Adds!$C$104:$D$104,Curves!$BU$17:$BV$17)+SUMPRODUCT(Adds!$C$105:$D$105,Curves!$BU$40:$BV$40)+SUMPRODUCT(Adds!$C$106:$D$106,Curves!$BU$63:$BV$63)</f>
        <v/>
      </c>
      <c r="E29" s="5">
        <f>SUMPRODUCT(Adds!$C$104:$E$104,Curves!$BT$17:$BV$17)+SUMPRODUCT(Adds!$C$105:$E$105,Curves!$BT$40:$BV$40)+SUMPRODUCT(Adds!$C$106:$E$106,Curves!$BT$63:$BV$63)</f>
        <v/>
      </c>
      <c r="F29" s="5">
        <f>SUMPRODUCT(Adds!$C$104:$F$104,Curves!$BS$17:$BV$17)+SUMPRODUCT(Adds!$C$105:$F$105,Curves!$BS$40:$BV$40)+SUMPRODUCT(Adds!$C$106:$F$106,Curves!$BS$63:$BV$63)</f>
        <v/>
      </c>
      <c r="G29" s="5">
        <f>SUMPRODUCT(Adds!$C$104:$G$104,Curves!$BR$17:$BV$17)+SUMPRODUCT(Adds!$C$105:$G$105,Curves!$BR$40:$BV$40)+SUMPRODUCT(Adds!$C$106:$G$106,Curves!$BR$63:$BV$63)</f>
        <v/>
      </c>
      <c r="H29" s="5">
        <f>SUMPRODUCT(Adds!$C$104:$H$104,Curves!$BQ$17:$BV$17)+SUMPRODUCT(Adds!$C$105:$H$105,Curves!$BQ$40:$BV$40)+SUMPRODUCT(Adds!$C$106:$H$106,Curves!$BQ$63:$BV$63)</f>
        <v/>
      </c>
      <c r="I29" s="5">
        <f>SUMPRODUCT(Adds!$C$104:$I$104,Curves!$BP$17:$BV$17)+SUMPRODUCT(Adds!$C$105:$I$105,Curves!$BP$40:$BV$40)+SUMPRODUCT(Adds!$C$106:$I$106,Curves!$BP$63:$BV$63)</f>
        <v/>
      </c>
      <c r="J29" s="5">
        <f>SUMPRODUCT(Adds!$C$104:$J$104,Curves!$BO$17:$BV$17)+SUMPRODUCT(Adds!$C$105:$J$105,Curves!$BO$40:$BV$40)+SUMPRODUCT(Adds!$C$106:$J$106,Curves!$BO$63:$BV$63)</f>
        <v/>
      </c>
      <c r="K29" s="5">
        <f>SUMPRODUCT(Adds!$C$104:$K$104,Curves!$BN$17:$BV$17)+SUMPRODUCT(Adds!$C$105:$K$105,Curves!$BN$40:$BV$40)+SUMPRODUCT(Adds!$C$106:$K$106,Curves!$BN$63:$BV$63)</f>
        <v/>
      </c>
      <c r="L29" s="5">
        <f>SUMPRODUCT(Adds!$C$104:$L$104,Curves!$BM$17:$BV$17)+SUMPRODUCT(Adds!$C$105:$L$105,Curves!$BM$40:$BV$40)+SUMPRODUCT(Adds!$C$106:$L$106,Curves!$BM$63:$BV$63)</f>
        <v/>
      </c>
      <c r="M29" s="5">
        <f>SUMPRODUCT(Adds!$C$104:$M$104,Curves!$BL$17:$BV$17)+SUMPRODUCT(Adds!$C$105:$M$105,Curves!$BL$40:$BV$40)+SUMPRODUCT(Adds!$C$106:$M$106,Curves!$BL$63:$BV$63)</f>
        <v/>
      </c>
      <c r="N29" s="5">
        <f>SUMPRODUCT(Adds!$C$104:$N$104,Curves!$BK$17:$BV$17)+SUMPRODUCT(Adds!$C$105:$N$105,Curves!$BK$40:$BV$40)+SUMPRODUCT(Adds!$C$106:$N$106,Curves!$BK$63:$BV$63)</f>
        <v/>
      </c>
      <c r="O29" s="5">
        <f>SUMPRODUCT(Adds!$C$104:$O$104,Curves!$BJ$17:$BV$17)+SUMPRODUCT(Adds!$C$105:$O$105,Curves!$BJ$40:$BV$40)+SUMPRODUCT(Adds!$C$106:$O$106,Curves!$BJ$63:$BV$63)</f>
        <v/>
      </c>
      <c r="P29" s="5">
        <f>SUMPRODUCT(Adds!$C$104:$P$104,Curves!$BI$17:$BV$17)+SUMPRODUCT(Adds!$C$105:$P$105,Curves!$BI$40:$BV$40)+SUMPRODUCT(Adds!$C$106:$P$106,Curves!$BI$63:$BV$63)</f>
        <v/>
      </c>
      <c r="Q29" s="5">
        <f>SUMPRODUCT(Adds!$C$104:$Q$104,Curves!$BH$17:$BV$17)+SUMPRODUCT(Adds!$C$105:$Q$105,Curves!$BH$40:$BV$40)+SUMPRODUCT(Adds!$C$106:$Q$106,Curves!$BH$63:$BV$63)</f>
        <v/>
      </c>
      <c r="R29" s="5">
        <f>SUMPRODUCT(Adds!$C$104:$R$104,Curves!$BG$17:$BV$17)+SUMPRODUCT(Adds!$C$105:$R$105,Curves!$BG$40:$BV$40)+SUMPRODUCT(Adds!$C$106:$R$106,Curves!$BG$63:$BV$63)</f>
        <v/>
      </c>
      <c r="S29" s="5">
        <f>SUMPRODUCT(Adds!$C$104:$S$104,Curves!$BF$17:$BV$17)+SUMPRODUCT(Adds!$C$105:$S$105,Curves!$BF$40:$BV$40)+SUMPRODUCT(Adds!$C$106:$S$106,Curves!$BF$63:$BV$63)</f>
        <v/>
      </c>
      <c r="T29" s="5">
        <f>SUMPRODUCT(Adds!$C$104:$T$104,Curves!$BE$17:$BV$17)+SUMPRODUCT(Adds!$C$105:$T$105,Curves!$BE$40:$BV$40)+SUMPRODUCT(Adds!$C$106:$T$106,Curves!$BE$63:$BV$63)</f>
        <v/>
      </c>
      <c r="U29" s="5">
        <f>SUMPRODUCT(Adds!$C$104:$U$104,Curves!$BD$17:$BV$17)+SUMPRODUCT(Adds!$C$105:$U$105,Curves!$BD$40:$BV$40)+SUMPRODUCT(Adds!$C$106:$U$106,Curves!$BD$63:$BV$63)</f>
        <v/>
      </c>
      <c r="V29" s="5">
        <f>SUMPRODUCT(Adds!$C$104:$V$104,Curves!$BC$17:$BV$17)+SUMPRODUCT(Adds!$C$105:$V$105,Curves!$BC$40:$BV$40)+SUMPRODUCT(Adds!$C$106:$V$106,Curves!$BC$63:$BV$63)</f>
        <v/>
      </c>
      <c r="W29" s="5">
        <f>SUMPRODUCT(Adds!$C$104:$W$104,Curves!$BB$17:$BV$17)+SUMPRODUCT(Adds!$C$105:$W$105,Curves!$BB$40:$BV$40)+SUMPRODUCT(Adds!$C$106:$W$106,Curves!$BB$63:$BV$63)</f>
        <v/>
      </c>
      <c r="X29" s="5">
        <f>SUMPRODUCT(Adds!$C$104:$X$104,Curves!$BA$17:$BV$17)+SUMPRODUCT(Adds!$C$105:$X$105,Curves!$BA$40:$BV$40)+SUMPRODUCT(Adds!$C$106:$X$106,Curves!$BA$63:$BV$63)</f>
        <v/>
      </c>
      <c r="Y29" s="5">
        <f>SUMPRODUCT(Adds!$C$104:$Y$104,Curves!$AZ$17:$BV$17)+SUMPRODUCT(Adds!$C$105:$Y$105,Curves!$AZ$40:$BV$40)+SUMPRODUCT(Adds!$C$106:$Y$106,Curves!$AZ$63:$BV$63)</f>
        <v/>
      </c>
      <c r="Z29" s="5">
        <f>SUMPRODUCT(Adds!$C$104:$Z$104,Curves!$AY$17:$BV$17)+SUMPRODUCT(Adds!$C$105:$Z$105,Curves!$AY$40:$BV$40)+SUMPRODUCT(Adds!$C$106:$Z$106,Curves!$AY$63:$BV$63)</f>
        <v/>
      </c>
      <c r="AA29" s="5">
        <f>SUMPRODUCT(Adds!$C$104:$AA$104,Curves!$AX$17:$BV$17)+SUMPRODUCT(Adds!$C$105:$AA$105,Curves!$AX$40:$BV$40)+SUMPRODUCT(Adds!$C$106:$AA$106,Curves!$AX$63:$BV$63)</f>
        <v/>
      </c>
      <c r="AB29" s="5">
        <f>SUMPRODUCT(Adds!$C$104:$AB$104,Curves!$AW$17:$BV$17)+SUMPRODUCT(Adds!$C$105:$AB$105,Curves!$AW$40:$BV$40)+SUMPRODUCT(Adds!$C$106:$AB$106,Curves!$AW$63:$BV$63)</f>
        <v/>
      </c>
      <c r="AC29" s="5">
        <f>SUMPRODUCT(Adds!$C$104:$AC$104,Curves!$AV$17:$BV$17)+SUMPRODUCT(Adds!$C$105:$AC$105,Curves!$AV$40:$BV$40)+SUMPRODUCT(Adds!$C$106:$AC$106,Curves!$AV$63:$BV$63)</f>
        <v/>
      </c>
      <c r="AD29" s="5">
        <f>SUMPRODUCT(Adds!$C$104:$AD$104,Curves!$AU$17:$BV$17)+SUMPRODUCT(Adds!$C$105:$AD$105,Curves!$AU$40:$BV$40)+SUMPRODUCT(Adds!$C$106:$AD$106,Curves!$AU$63:$BV$63)</f>
        <v/>
      </c>
      <c r="AE29" s="5">
        <f>SUMPRODUCT(Adds!$C$104:$AE$104,Curves!$AT$17:$BV$17)+SUMPRODUCT(Adds!$C$105:$AE$105,Curves!$AT$40:$BV$40)+SUMPRODUCT(Adds!$C$106:$AE$106,Curves!$AT$63:$BV$63)</f>
        <v/>
      </c>
      <c r="AF29" s="5">
        <f>SUMPRODUCT(Adds!$C$104:$AF$104,Curves!$AS$17:$BV$17)+SUMPRODUCT(Adds!$C$105:$AF$105,Curves!$AS$40:$BV$40)+SUMPRODUCT(Adds!$C$106:$AF$106,Curves!$AS$63:$BV$63)</f>
        <v/>
      </c>
      <c r="AG29" s="5">
        <f>SUMPRODUCT(Adds!$C$104:$AG$104,Curves!$AR$17:$BV$17)+SUMPRODUCT(Adds!$C$105:$AG$105,Curves!$AR$40:$BV$40)+SUMPRODUCT(Adds!$C$106:$AG$106,Curves!$AR$63:$BV$63)</f>
        <v/>
      </c>
      <c r="AH29" s="5">
        <f>SUMPRODUCT(Adds!$C$104:$AH$104,Curves!$AQ$17:$BV$17)+SUMPRODUCT(Adds!$C$105:$AH$105,Curves!$AQ$40:$BV$40)+SUMPRODUCT(Adds!$C$106:$AH$106,Curves!$AQ$63:$BV$63)</f>
        <v/>
      </c>
      <c r="AI29" s="5">
        <f>SUMPRODUCT(Adds!$C$104:$AI$104,Curves!$AP$17:$BV$17)+SUMPRODUCT(Adds!$C$105:$AI$105,Curves!$AP$40:$BV$40)+SUMPRODUCT(Adds!$C$106:$AI$106,Curves!$AP$63:$BV$63)</f>
        <v/>
      </c>
      <c r="AJ29" s="5">
        <f>SUMPRODUCT(Adds!$C$104:$AJ$104,Curves!$AO$17:$BV$17)+SUMPRODUCT(Adds!$C$105:$AJ$105,Curves!$AO$40:$BV$40)+SUMPRODUCT(Adds!$C$106:$AJ$106,Curves!$AO$63:$BV$63)</f>
        <v/>
      </c>
      <c r="AK29" s="5">
        <f>SUMPRODUCT(Adds!$C$104:$AK$104,Curves!$AN$17:$BV$17)+SUMPRODUCT(Adds!$C$105:$AK$105,Curves!$AN$40:$BV$40)+SUMPRODUCT(Adds!$C$106:$AK$106,Curves!$AN$63:$BV$63)</f>
        <v/>
      </c>
      <c r="AL29" s="5">
        <f>SUMPRODUCT(Adds!$C$104:$AL$104,Curves!$AM$17:$BV$17)+SUMPRODUCT(Adds!$C$105:$AL$105,Curves!$AM$40:$BV$40)+SUMPRODUCT(Adds!$C$106:$AL$106,Curves!$AM$63:$BV$63)</f>
        <v/>
      </c>
      <c r="AM29" s="5">
        <f>SUMPRODUCT(Adds!$C$104:$AM$104,Curves!$AL$17:$BV$17)+SUMPRODUCT(Adds!$C$105:$AM$105,Curves!$AL$40:$BV$40)+SUMPRODUCT(Adds!$C$106:$AM$106,Curves!$AL$63:$BV$63)</f>
        <v/>
      </c>
      <c r="AN29" s="5">
        <f>SUMPRODUCT(Adds!$C$104:$AN$104,Curves!$AK$17:$BV$17)+SUMPRODUCT(Adds!$C$105:$AN$105,Curves!$AK$40:$BV$40)+SUMPRODUCT(Adds!$C$106:$AN$106,Curves!$AK$63:$BV$63)</f>
        <v/>
      </c>
      <c r="AO29" s="5">
        <f>SUMPRODUCT(Adds!$C$104:$AO$104,Curves!$AJ$17:$BV$17)+SUMPRODUCT(Adds!$C$105:$AO$105,Curves!$AJ$40:$BV$40)+SUMPRODUCT(Adds!$C$106:$AO$106,Curves!$AJ$63:$BV$63)</f>
        <v/>
      </c>
      <c r="AP29" s="5">
        <f>SUMPRODUCT(Adds!$C$104:$AP$104,Curves!$AI$17:$BV$17)+SUMPRODUCT(Adds!$C$105:$AP$105,Curves!$AI$40:$BV$40)+SUMPRODUCT(Adds!$C$106:$AP$106,Curves!$AI$63:$BV$63)</f>
        <v/>
      </c>
      <c r="AQ29" s="5">
        <f>SUMPRODUCT(Adds!$C$104:$AQ$104,Curves!$AH$17:$BV$17)+SUMPRODUCT(Adds!$C$105:$AQ$105,Curves!$AH$40:$BV$40)+SUMPRODUCT(Adds!$C$106:$AQ$106,Curves!$AH$63:$BV$63)</f>
        <v/>
      </c>
      <c r="AR29" s="5">
        <f>SUMPRODUCT(Adds!$C$104:$AR$104,Curves!$AG$17:$BV$17)+SUMPRODUCT(Adds!$C$105:$AR$105,Curves!$AG$40:$BV$40)+SUMPRODUCT(Adds!$C$106:$AR$106,Curves!$AG$63:$BV$63)</f>
        <v/>
      </c>
      <c r="AS29" s="5">
        <f>SUMPRODUCT(Adds!$C$104:$AS$104,Curves!$AF$17:$BV$17)+SUMPRODUCT(Adds!$C$105:$AS$105,Curves!$AF$40:$BV$40)+SUMPRODUCT(Adds!$C$106:$AS$106,Curves!$AF$63:$BV$63)</f>
        <v/>
      </c>
      <c r="AT29" s="5">
        <f>SUMPRODUCT(Adds!$C$104:$AT$104,Curves!$AE$17:$BV$17)+SUMPRODUCT(Adds!$C$105:$AT$105,Curves!$AE$40:$BV$40)+SUMPRODUCT(Adds!$C$106:$AT$106,Curves!$AE$63:$BV$63)</f>
        <v/>
      </c>
      <c r="AU29" s="5">
        <f>SUMPRODUCT(Adds!$C$104:$AU$104,Curves!$AD$17:$BV$17)+SUMPRODUCT(Adds!$C$105:$AU$105,Curves!$AD$40:$BV$40)+SUMPRODUCT(Adds!$C$106:$AU$106,Curves!$AD$63:$BV$63)</f>
        <v/>
      </c>
      <c r="AV29" s="5">
        <f>SUMPRODUCT(Adds!$C$104:$AV$104,Curves!$AC$17:$BV$17)+SUMPRODUCT(Adds!$C$105:$AV$105,Curves!$AC$40:$BV$40)+SUMPRODUCT(Adds!$C$106:$AV$106,Curves!$AC$63:$BV$63)</f>
        <v/>
      </c>
      <c r="AW29" s="5">
        <f>SUMPRODUCT(Adds!$C$104:$AW$104,Curves!$AB$17:$BV$17)+SUMPRODUCT(Adds!$C$105:$AW$105,Curves!$AB$40:$BV$40)+SUMPRODUCT(Adds!$C$106:$AW$106,Curves!$AB$63:$BV$63)</f>
        <v/>
      </c>
      <c r="AX29" s="5">
        <f>SUMPRODUCT(Adds!$C$104:$AX$104,Curves!$AA$17:$BV$17)+SUMPRODUCT(Adds!$C$105:$AX$105,Curves!$AA$40:$BV$40)+SUMPRODUCT(Adds!$C$106:$AX$106,Curves!$AA$63:$BV$63)</f>
        <v/>
      </c>
      <c r="AY29" s="5">
        <f>SUMPRODUCT(Adds!$C$104:$AY$104,Curves!$Z$17:$BV$17)+SUMPRODUCT(Adds!$C$105:$AY$105,Curves!$Z$40:$BV$40)+SUMPRODUCT(Adds!$C$106:$AY$106,Curves!$Z$63:$BV$63)</f>
        <v/>
      </c>
      <c r="AZ29" s="5">
        <f>SUMPRODUCT(Adds!$C$104:$AZ$104,Curves!$Y$17:$BV$17)+SUMPRODUCT(Adds!$C$105:$AZ$105,Curves!$Y$40:$BV$40)+SUMPRODUCT(Adds!$C$106:$AZ$106,Curves!$Y$63:$BV$63)</f>
        <v/>
      </c>
      <c r="BA29" s="5">
        <f>SUMPRODUCT(Adds!$C$104:$BA$104,Curves!$X$17:$BV$17)+SUMPRODUCT(Adds!$C$105:$BA$105,Curves!$X$40:$BV$40)+SUMPRODUCT(Adds!$C$106:$BA$106,Curves!$X$63:$BV$63)</f>
        <v/>
      </c>
      <c r="BB29" s="5">
        <f>SUMPRODUCT(Adds!$C$104:$BB$104,Curves!$W$17:$BV$17)+SUMPRODUCT(Adds!$C$105:$BB$105,Curves!$W$40:$BV$40)+SUMPRODUCT(Adds!$C$106:$BB$106,Curves!$W$63:$BV$63)</f>
        <v/>
      </c>
      <c r="BC29" s="5">
        <f>SUMPRODUCT(Adds!$C$104:$BC$104,Curves!$V$17:$BV$17)+SUMPRODUCT(Adds!$C$105:$BC$105,Curves!$V$40:$BV$40)+SUMPRODUCT(Adds!$C$106:$BC$106,Curves!$V$63:$BV$63)</f>
        <v/>
      </c>
      <c r="BD29" s="5">
        <f>SUMPRODUCT(Adds!$C$104:$BD$104,Curves!$U$17:$BV$17)+SUMPRODUCT(Adds!$C$105:$BD$105,Curves!$U$40:$BV$40)+SUMPRODUCT(Adds!$C$106:$BD$106,Curves!$U$63:$BV$63)</f>
        <v/>
      </c>
      <c r="BE29" s="5">
        <f>SUMPRODUCT(Adds!$C$104:$BE$104,Curves!$T$17:$BV$17)+SUMPRODUCT(Adds!$C$105:$BE$105,Curves!$T$40:$BV$40)+SUMPRODUCT(Adds!$C$106:$BE$106,Curves!$T$63:$BV$63)</f>
        <v/>
      </c>
      <c r="BF29" s="5">
        <f>SUMPRODUCT(Adds!$C$104:$BF$104,Curves!$S$17:$BV$17)+SUMPRODUCT(Adds!$C$105:$BF$105,Curves!$S$40:$BV$40)+SUMPRODUCT(Adds!$C$106:$BF$106,Curves!$S$63:$BV$63)</f>
        <v/>
      </c>
      <c r="BG29" s="5">
        <f>SUMPRODUCT(Adds!$C$104:$BG$104,Curves!$R$17:$BV$17)+SUMPRODUCT(Adds!$C$105:$BG$105,Curves!$R$40:$BV$40)+SUMPRODUCT(Adds!$C$106:$BG$106,Curves!$R$63:$BV$63)</f>
        <v/>
      </c>
      <c r="BH29" s="5">
        <f>SUMPRODUCT(Adds!$C$104:$BH$104,Curves!$Q$17:$BV$17)+SUMPRODUCT(Adds!$C$105:$BH$105,Curves!$Q$40:$BV$40)+SUMPRODUCT(Adds!$C$106:$BH$106,Curves!$Q$63:$BV$63)</f>
        <v/>
      </c>
      <c r="BI29" s="5">
        <f>SUMPRODUCT(Adds!$C$104:$BI$104,Curves!$P$17:$BV$17)+SUMPRODUCT(Adds!$C$105:$BI$105,Curves!$P$40:$BV$40)+SUMPRODUCT(Adds!$C$106:$BI$106,Curves!$P$63:$BV$63)</f>
        <v/>
      </c>
      <c r="BJ29" s="5">
        <f>SUMPRODUCT(Adds!$C$104:$BJ$104,Curves!$O$17:$BV$17)+SUMPRODUCT(Adds!$C$105:$BJ$105,Curves!$O$40:$BV$40)+SUMPRODUCT(Adds!$C$106:$BJ$106,Curves!$O$63:$BV$63)</f>
        <v/>
      </c>
      <c r="BK29" s="5">
        <f>SUMPRODUCT(Adds!$C$104:$BK$104,Curves!$N$17:$BV$17)+SUMPRODUCT(Adds!$C$105:$BK$105,Curves!$N$40:$BV$40)+SUMPRODUCT(Adds!$C$106:$BK$106,Curves!$N$63:$BV$63)</f>
        <v/>
      </c>
      <c r="BL29" s="5">
        <f>SUMPRODUCT(Adds!$C$104:$BL$104,Curves!$M$17:$BV$17)+SUMPRODUCT(Adds!$C$105:$BL$105,Curves!$M$40:$BV$40)+SUMPRODUCT(Adds!$C$106:$BL$106,Curves!$M$63:$BV$63)</f>
        <v/>
      </c>
      <c r="BM29" s="5">
        <f>SUMPRODUCT(Adds!$C$104:$BM$104,Curves!$L$17:$BV$17)+SUMPRODUCT(Adds!$C$105:$BM$105,Curves!$L$40:$BV$40)+SUMPRODUCT(Adds!$C$106:$BM$106,Curves!$L$63:$BV$63)</f>
        <v/>
      </c>
      <c r="BN29" s="5">
        <f>SUMPRODUCT(Adds!$C$104:$BN$104,Curves!$K$17:$BV$17)+SUMPRODUCT(Adds!$C$105:$BN$105,Curves!$K$40:$BV$40)+SUMPRODUCT(Adds!$C$106:$BN$106,Curves!$K$63:$BV$63)</f>
        <v/>
      </c>
      <c r="BO29" s="5">
        <f>SUMPRODUCT(Adds!$C$104:$BO$104,Curves!$J$17:$BV$17)+SUMPRODUCT(Adds!$C$105:$BO$105,Curves!$J$40:$BV$40)+SUMPRODUCT(Adds!$C$106:$BO$106,Curves!$J$63:$BV$63)</f>
        <v/>
      </c>
      <c r="BP29" s="5">
        <f>SUMPRODUCT(Adds!$C$104:$BP$104,Curves!$I$17:$BV$17)+SUMPRODUCT(Adds!$C$105:$BP$105,Curves!$I$40:$BV$40)+SUMPRODUCT(Adds!$C$106:$BP$106,Curves!$I$63:$BV$63)</f>
        <v/>
      </c>
      <c r="BQ29" s="5">
        <f>SUMPRODUCT(Adds!$C$104:$BQ$104,Curves!$H$17:$BV$17)+SUMPRODUCT(Adds!$C$105:$BQ$105,Curves!$H$40:$BV$40)+SUMPRODUCT(Adds!$C$106:$BQ$106,Curves!$H$63:$BV$63)</f>
        <v/>
      </c>
      <c r="BR29" s="5">
        <f>SUMPRODUCT(Adds!$C$104:$BR$104,Curves!$G$17:$BV$17)+SUMPRODUCT(Adds!$C$105:$BR$105,Curves!$G$40:$BV$40)+SUMPRODUCT(Adds!$C$106:$BR$106,Curves!$G$63:$BV$63)</f>
        <v/>
      </c>
      <c r="BS29" s="5">
        <f>SUMPRODUCT(Adds!$C$104:$BS$104,Curves!$F$17:$BV$17)+SUMPRODUCT(Adds!$C$105:$BS$105,Curves!$F$40:$BV$40)+SUMPRODUCT(Adds!$C$106:$BS$106,Curves!$F$63:$BV$63)</f>
        <v/>
      </c>
      <c r="BT29" s="5">
        <f>SUMPRODUCT(Adds!$C$104:$BT$104,Curves!$E$17:$BV$17)+SUMPRODUCT(Adds!$C$105:$BT$105,Curves!$E$40:$BV$40)+SUMPRODUCT(Adds!$C$106:$BT$106,Curves!$E$63:$BV$63)</f>
        <v/>
      </c>
      <c r="BU29" s="5">
        <f>SUMPRODUCT(Adds!$C$104:$BU$104,Curves!$D$17:$BV$17)+SUMPRODUCT(Adds!$C$105:$BU$105,Curves!$D$40:$BV$40)+SUMPRODUCT(Adds!$C$106:$BU$106,Curves!$D$63:$BV$63)</f>
        <v/>
      </c>
      <c r="BV29" s="5">
        <f>SUMPRODUCT(Adds!$C$104:$BV$104,Curves!$C$17:$BV$17)+SUMPRODUCT(Adds!$C$105:$BV$105,Curves!$C$40:$BV$40)+SUMPRODUCT(Adds!$C$106:$BV$106,Curves!$C$63:$BV$63)</f>
        <v/>
      </c>
    </row>
    <row r="31">
      <c r="A31" t="inlineStr">
        <is>
          <t>active</t>
        </is>
      </c>
      <c r="B31" t="inlineStr">
        <is>
          <t>EUROPE|BASIC_A</t>
        </is>
      </c>
      <c r="C31" s="5">
        <f>Adds!$C$119*Curves!$BV$16+Adds!$C$120*Curves!$BV$39+Adds!$C$121*Curves!$BV$62</f>
        <v/>
      </c>
      <c r="D31" s="5">
        <f>SUMPRODUCT(Adds!$C$119:$D$119,Curves!$BU$16:$BV$16)+SUMPRODUCT(Adds!$C$120:$D$120,Curves!$BU$39:$BV$39)+SUMPRODUCT(Adds!$C$121:$D$121,Curves!$BU$62:$BV$62)</f>
        <v/>
      </c>
      <c r="E31" s="5">
        <f>SUMPRODUCT(Adds!$C$119:$E$119,Curves!$BT$16:$BV$16)+SUMPRODUCT(Adds!$C$120:$E$120,Curves!$BT$39:$BV$39)+SUMPRODUCT(Adds!$C$121:$E$121,Curves!$BT$62:$BV$62)</f>
        <v/>
      </c>
      <c r="F31" s="5">
        <f>SUMPRODUCT(Adds!$C$119:$F$119,Curves!$BS$16:$BV$16)+SUMPRODUCT(Adds!$C$120:$F$120,Curves!$BS$39:$BV$39)+SUMPRODUCT(Adds!$C$121:$F$121,Curves!$BS$62:$BV$62)</f>
        <v/>
      </c>
      <c r="G31" s="5">
        <f>SUMPRODUCT(Adds!$C$119:$G$119,Curves!$BR$16:$BV$16)+SUMPRODUCT(Adds!$C$120:$G$120,Curves!$BR$39:$BV$39)+SUMPRODUCT(Adds!$C$121:$G$121,Curves!$BR$62:$BV$62)</f>
        <v/>
      </c>
      <c r="H31" s="5">
        <f>SUMPRODUCT(Adds!$C$119:$H$119,Curves!$BQ$16:$BV$16)+SUMPRODUCT(Adds!$C$120:$H$120,Curves!$BQ$39:$BV$39)+SUMPRODUCT(Adds!$C$121:$H$121,Curves!$BQ$62:$BV$62)</f>
        <v/>
      </c>
      <c r="I31" s="5">
        <f>SUMPRODUCT(Adds!$C$119:$I$119,Curves!$BP$16:$BV$16)+SUMPRODUCT(Adds!$C$120:$I$120,Curves!$BP$39:$BV$39)+SUMPRODUCT(Adds!$C$121:$I$121,Curves!$BP$62:$BV$62)</f>
        <v/>
      </c>
      <c r="J31" s="5">
        <f>SUMPRODUCT(Adds!$C$119:$J$119,Curves!$BO$16:$BV$16)+SUMPRODUCT(Adds!$C$120:$J$120,Curves!$BO$39:$BV$39)+SUMPRODUCT(Adds!$C$121:$J$121,Curves!$BO$62:$BV$62)</f>
        <v/>
      </c>
      <c r="K31" s="5">
        <f>SUMPRODUCT(Adds!$C$119:$K$119,Curves!$BN$16:$BV$16)+SUMPRODUCT(Adds!$C$120:$K$120,Curves!$BN$39:$BV$39)+SUMPRODUCT(Adds!$C$121:$K$121,Curves!$BN$62:$BV$62)</f>
        <v/>
      </c>
      <c r="L31" s="5">
        <f>SUMPRODUCT(Adds!$C$119:$L$119,Curves!$BM$16:$BV$16)+SUMPRODUCT(Adds!$C$120:$L$120,Curves!$BM$39:$BV$39)+SUMPRODUCT(Adds!$C$121:$L$121,Curves!$BM$62:$BV$62)</f>
        <v/>
      </c>
      <c r="M31" s="5">
        <f>SUMPRODUCT(Adds!$C$119:$M$119,Curves!$BL$16:$BV$16)+SUMPRODUCT(Adds!$C$120:$M$120,Curves!$BL$39:$BV$39)+SUMPRODUCT(Adds!$C$121:$M$121,Curves!$BL$62:$BV$62)</f>
        <v/>
      </c>
      <c r="N31" s="5">
        <f>SUMPRODUCT(Adds!$C$119:$N$119,Curves!$BK$16:$BV$16)+SUMPRODUCT(Adds!$C$120:$N$120,Curves!$BK$39:$BV$39)+SUMPRODUCT(Adds!$C$121:$N$121,Curves!$BK$62:$BV$62)</f>
        <v/>
      </c>
      <c r="O31" s="5">
        <f>SUMPRODUCT(Adds!$C$119:$O$119,Curves!$BJ$16:$BV$16)+SUMPRODUCT(Adds!$C$120:$O$120,Curves!$BJ$39:$BV$39)+SUMPRODUCT(Adds!$C$121:$O$121,Curves!$BJ$62:$BV$62)</f>
        <v/>
      </c>
      <c r="P31" s="5">
        <f>SUMPRODUCT(Adds!$C$119:$P$119,Curves!$BI$16:$BV$16)+SUMPRODUCT(Adds!$C$120:$P$120,Curves!$BI$39:$BV$39)+SUMPRODUCT(Adds!$C$121:$P$121,Curves!$BI$62:$BV$62)</f>
        <v/>
      </c>
      <c r="Q31" s="5">
        <f>SUMPRODUCT(Adds!$C$119:$Q$119,Curves!$BH$16:$BV$16)+SUMPRODUCT(Adds!$C$120:$Q$120,Curves!$BH$39:$BV$39)+SUMPRODUCT(Adds!$C$121:$Q$121,Curves!$BH$62:$BV$62)</f>
        <v/>
      </c>
      <c r="R31" s="5">
        <f>SUMPRODUCT(Adds!$C$119:$R$119,Curves!$BG$16:$BV$16)+SUMPRODUCT(Adds!$C$120:$R$120,Curves!$BG$39:$BV$39)+SUMPRODUCT(Adds!$C$121:$R$121,Curves!$BG$62:$BV$62)</f>
        <v/>
      </c>
      <c r="S31" s="5">
        <f>SUMPRODUCT(Adds!$C$119:$S$119,Curves!$BF$16:$BV$16)+SUMPRODUCT(Adds!$C$120:$S$120,Curves!$BF$39:$BV$39)+SUMPRODUCT(Adds!$C$121:$S$121,Curves!$BF$62:$BV$62)</f>
        <v/>
      </c>
      <c r="T31" s="5">
        <f>SUMPRODUCT(Adds!$C$119:$T$119,Curves!$BE$16:$BV$16)+SUMPRODUCT(Adds!$C$120:$T$120,Curves!$BE$39:$BV$39)+SUMPRODUCT(Adds!$C$121:$T$121,Curves!$BE$62:$BV$62)</f>
        <v/>
      </c>
      <c r="U31" s="5">
        <f>SUMPRODUCT(Adds!$C$119:$U$119,Curves!$BD$16:$BV$16)+SUMPRODUCT(Adds!$C$120:$U$120,Curves!$BD$39:$BV$39)+SUMPRODUCT(Adds!$C$121:$U$121,Curves!$BD$62:$BV$62)</f>
        <v/>
      </c>
      <c r="V31" s="5">
        <f>SUMPRODUCT(Adds!$C$119:$V$119,Curves!$BC$16:$BV$16)+SUMPRODUCT(Adds!$C$120:$V$120,Curves!$BC$39:$BV$39)+SUMPRODUCT(Adds!$C$121:$V$121,Curves!$BC$62:$BV$62)</f>
        <v/>
      </c>
      <c r="W31" s="5">
        <f>SUMPRODUCT(Adds!$C$119:$W$119,Curves!$BB$16:$BV$16)+SUMPRODUCT(Adds!$C$120:$W$120,Curves!$BB$39:$BV$39)+SUMPRODUCT(Adds!$C$121:$W$121,Curves!$BB$62:$BV$62)</f>
        <v/>
      </c>
      <c r="X31" s="5">
        <f>SUMPRODUCT(Adds!$C$119:$X$119,Curves!$BA$16:$BV$16)+SUMPRODUCT(Adds!$C$120:$X$120,Curves!$BA$39:$BV$39)+SUMPRODUCT(Adds!$C$121:$X$121,Curves!$BA$62:$BV$62)</f>
        <v/>
      </c>
      <c r="Y31" s="5">
        <f>SUMPRODUCT(Adds!$C$119:$Y$119,Curves!$AZ$16:$BV$16)+SUMPRODUCT(Adds!$C$120:$Y$120,Curves!$AZ$39:$BV$39)+SUMPRODUCT(Adds!$C$121:$Y$121,Curves!$AZ$62:$BV$62)</f>
        <v/>
      </c>
      <c r="Z31" s="5">
        <f>SUMPRODUCT(Adds!$C$119:$Z$119,Curves!$AY$16:$BV$16)+SUMPRODUCT(Adds!$C$120:$Z$120,Curves!$AY$39:$BV$39)+SUMPRODUCT(Adds!$C$121:$Z$121,Curves!$AY$62:$BV$62)</f>
        <v/>
      </c>
      <c r="AA31" s="5">
        <f>SUMPRODUCT(Adds!$C$119:$AA$119,Curves!$AX$16:$BV$16)+SUMPRODUCT(Adds!$C$120:$AA$120,Curves!$AX$39:$BV$39)+SUMPRODUCT(Adds!$C$121:$AA$121,Curves!$AX$62:$BV$62)</f>
        <v/>
      </c>
      <c r="AB31" s="5">
        <f>SUMPRODUCT(Adds!$C$119:$AB$119,Curves!$AW$16:$BV$16)+SUMPRODUCT(Adds!$C$120:$AB$120,Curves!$AW$39:$BV$39)+SUMPRODUCT(Adds!$C$121:$AB$121,Curves!$AW$62:$BV$62)</f>
        <v/>
      </c>
      <c r="AC31" s="5">
        <f>SUMPRODUCT(Adds!$C$119:$AC$119,Curves!$AV$16:$BV$16)+SUMPRODUCT(Adds!$C$120:$AC$120,Curves!$AV$39:$BV$39)+SUMPRODUCT(Adds!$C$121:$AC$121,Curves!$AV$62:$BV$62)</f>
        <v/>
      </c>
      <c r="AD31" s="5">
        <f>SUMPRODUCT(Adds!$C$119:$AD$119,Curves!$AU$16:$BV$16)+SUMPRODUCT(Adds!$C$120:$AD$120,Curves!$AU$39:$BV$39)+SUMPRODUCT(Adds!$C$121:$AD$121,Curves!$AU$62:$BV$62)</f>
        <v/>
      </c>
      <c r="AE31" s="5">
        <f>SUMPRODUCT(Adds!$C$119:$AE$119,Curves!$AT$16:$BV$16)+SUMPRODUCT(Adds!$C$120:$AE$120,Curves!$AT$39:$BV$39)+SUMPRODUCT(Adds!$C$121:$AE$121,Curves!$AT$62:$BV$62)</f>
        <v/>
      </c>
      <c r="AF31" s="5">
        <f>SUMPRODUCT(Adds!$C$119:$AF$119,Curves!$AS$16:$BV$16)+SUMPRODUCT(Adds!$C$120:$AF$120,Curves!$AS$39:$BV$39)+SUMPRODUCT(Adds!$C$121:$AF$121,Curves!$AS$62:$BV$62)</f>
        <v/>
      </c>
      <c r="AG31" s="5">
        <f>SUMPRODUCT(Adds!$C$119:$AG$119,Curves!$AR$16:$BV$16)+SUMPRODUCT(Adds!$C$120:$AG$120,Curves!$AR$39:$BV$39)+SUMPRODUCT(Adds!$C$121:$AG$121,Curves!$AR$62:$BV$62)</f>
        <v/>
      </c>
      <c r="AH31" s="5">
        <f>SUMPRODUCT(Adds!$C$119:$AH$119,Curves!$AQ$16:$BV$16)+SUMPRODUCT(Adds!$C$120:$AH$120,Curves!$AQ$39:$BV$39)+SUMPRODUCT(Adds!$C$121:$AH$121,Curves!$AQ$62:$BV$62)</f>
        <v/>
      </c>
      <c r="AI31" s="5">
        <f>SUMPRODUCT(Adds!$C$119:$AI$119,Curves!$AP$16:$BV$16)+SUMPRODUCT(Adds!$C$120:$AI$120,Curves!$AP$39:$BV$39)+SUMPRODUCT(Adds!$C$121:$AI$121,Curves!$AP$62:$BV$62)</f>
        <v/>
      </c>
      <c r="AJ31" s="5">
        <f>SUMPRODUCT(Adds!$C$119:$AJ$119,Curves!$AO$16:$BV$16)+SUMPRODUCT(Adds!$C$120:$AJ$120,Curves!$AO$39:$BV$39)+SUMPRODUCT(Adds!$C$121:$AJ$121,Curves!$AO$62:$BV$62)</f>
        <v/>
      </c>
      <c r="AK31" s="5">
        <f>SUMPRODUCT(Adds!$C$119:$AK$119,Curves!$AN$16:$BV$16)+SUMPRODUCT(Adds!$C$120:$AK$120,Curves!$AN$39:$BV$39)+SUMPRODUCT(Adds!$C$121:$AK$121,Curves!$AN$62:$BV$62)</f>
        <v/>
      </c>
      <c r="AL31" s="5">
        <f>SUMPRODUCT(Adds!$C$119:$AL$119,Curves!$AM$16:$BV$16)+SUMPRODUCT(Adds!$C$120:$AL$120,Curves!$AM$39:$BV$39)+SUMPRODUCT(Adds!$C$121:$AL$121,Curves!$AM$62:$BV$62)</f>
        <v/>
      </c>
      <c r="AM31" s="5">
        <f>SUMPRODUCT(Adds!$C$119:$AM$119,Curves!$AL$16:$BV$16)+SUMPRODUCT(Adds!$C$120:$AM$120,Curves!$AL$39:$BV$39)+SUMPRODUCT(Adds!$C$121:$AM$121,Curves!$AL$62:$BV$62)</f>
        <v/>
      </c>
      <c r="AN31" s="5">
        <f>SUMPRODUCT(Adds!$C$119:$AN$119,Curves!$AK$16:$BV$16)+SUMPRODUCT(Adds!$C$120:$AN$120,Curves!$AK$39:$BV$39)+SUMPRODUCT(Adds!$C$121:$AN$121,Curves!$AK$62:$BV$62)</f>
        <v/>
      </c>
      <c r="AO31" s="5">
        <f>SUMPRODUCT(Adds!$C$119:$AO$119,Curves!$AJ$16:$BV$16)+SUMPRODUCT(Adds!$C$120:$AO$120,Curves!$AJ$39:$BV$39)+SUMPRODUCT(Adds!$C$121:$AO$121,Curves!$AJ$62:$BV$62)</f>
        <v/>
      </c>
      <c r="AP31" s="5">
        <f>SUMPRODUCT(Adds!$C$119:$AP$119,Curves!$AI$16:$BV$16)+SUMPRODUCT(Adds!$C$120:$AP$120,Curves!$AI$39:$BV$39)+SUMPRODUCT(Adds!$C$121:$AP$121,Curves!$AI$62:$BV$62)</f>
        <v/>
      </c>
      <c r="AQ31" s="5">
        <f>SUMPRODUCT(Adds!$C$119:$AQ$119,Curves!$AH$16:$BV$16)+SUMPRODUCT(Adds!$C$120:$AQ$120,Curves!$AH$39:$BV$39)+SUMPRODUCT(Adds!$C$121:$AQ$121,Curves!$AH$62:$BV$62)</f>
        <v/>
      </c>
      <c r="AR31" s="5">
        <f>SUMPRODUCT(Adds!$C$119:$AR$119,Curves!$AG$16:$BV$16)+SUMPRODUCT(Adds!$C$120:$AR$120,Curves!$AG$39:$BV$39)+SUMPRODUCT(Adds!$C$121:$AR$121,Curves!$AG$62:$BV$62)</f>
        <v/>
      </c>
      <c r="AS31" s="5">
        <f>SUMPRODUCT(Adds!$C$119:$AS$119,Curves!$AF$16:$BV$16)+SUMPRODUCT(Adds!$C$120:$AS$120,Curves!$AF$39:$BV$39)+SUMPRODUCT(Adds!$C$121:$AS$121,Curves!$AF$62:$BV$62)</f>
        <v/>
      </c>
      <c r="AT31" s="5">
        <f>SUMPRODUCT(Adds!$C$119:$AT$119,Curves!$AE$16:$BV$16)+SUMPRODUCT(Adds!$C$120:$AT$120,Curves!$AE$39:$BV$39)+SUMPRODUCT(Adds!$C$121:$AT$121,Curves!$AE$62:$BV$62)</f>
        <v/>
      </c>
      <c r="AU31" s="5">
        <f>SUMPRODUCT(Adds!$C$119:$AU$119,Curves!$AD$16:$BV$16)+SUMPRODUCT(Adds!$C$120:$AU$120,Curves!$AD$39:$BV$39)+SUMPRODUCT(Adds!$C$121:$AU$121,Curves!$AD$62:$BV$62)</f>
        <v/>
      </c>
      <c r="AV31" s="5">
        <f>SUMPRODUCT(Adds!$C$119:$AV$119,Curves!$AC$16:$BV$16)+SUMPRODUCT(Adds!$C$120:$AV$120,Curves!$AC$39:$BV$39)+SUMPRODUCT(Adds!$C$121:$AV$121,Curves!$AC$62:$BV$62)</f>
        <v/>
      </c>
      <c r="AW31" s="5">
        <f>SUMPRODUCT(Adds!$C$119:$AW$119,Curves!$AB$16:$BV$16)+SUMPRODUCT(Adds!$C$120:$AW$120,Curves!$AB$39:$BV$39)+SUMPRODUCT(Adds!$C$121:$AW$121,Curves!$AB$62:$BV$62)</f>
        <v/>
      </c>
      <c r="AX31" s="5">
        <f>SUMPRODUCT(Adds!$C$119:$AX$119,Curves!$AA$16:$BV$16)+SUMPRODUCT(Adds!$C$120:$AX$120,Curves!$AA$39:$BV$39)+SUMPRODUCT(Adds!$C$121:$AX$121,Curves!$AA$62:$BV$62)</f>
        <v/>
      </c>
      <c r="AY31" s="5">
        <f>SUMPRODUCT(Adds!$C$119:$AY$119,Curves!$Z$16:$BV$16)+SUMPRODUCT(Adds!$C$120:$AY$120,Curves!$Z$39:$BV$39)+SUMPRODUCT(Adds!$C$121:$AY$121,Curves!$Z$62:$BV$62)</f>
        <v/>
      </c>
      <c r="AZ31" s="5">
        <f>SUMPRODUCT(Adds!$C$119:$AZ$119,Curves!$Y$16:$BV$16)+SUMPRODUCT(Adds!$C$120:$AZ$120,Curves!$Y$39:$BV$39)+SUMPRODUCT(Adds!$C$121:$AZ$121,Curves!$Y$62:$BV$62)</f>
        <v/>
      </c>
      <c r="BA31" s="5">
        <f>SUMPRODUCT(Adds!$C$119:$BA$119,Curves!$X$16:$BV$16)+SUMPRODUCT(Adds!$C$120:$BA$120,Curves!$X$39:$BV$39)+SUMPRODUCT(Adds!$C$121:$BA$121,Curves!$X$62:$BV$62)</f>
        <v/>
      </c>
      <c r="BB31" s="5">
        <f>SUMPRODUCT(Adds!$C$119:$BB$119,Curves!$W$16:$BV$16)+SUMPRODUCT(Adds!$C$120:$BB$120,Curves!$W$39:$BV$39)+SUMPRODUCT(Adds!$C$121:$BB$121,Curves!$W$62:$BV$62)</f>
        <v/>
      </c>
      <c r="BC31" s="5">
        <f>SUMPRODUCT(Adds!$C$119:$BC$119,Curves!$V$16:$BV$16)+SUMPRODUCT(Adds!$C$120:$BC$120,Curves!$V$39:$BV$39)+SUMPRODUCT(Adds!$C$121:$BC$121,Curves!$V$62:$BV$62)</f>
        <v/>
      </c>
      <c r="BD31" s="5">
        <f>SUMPRODUCT(Adds!$C$119:$BD$119,Curves!$U$16:$BV$16)+SUMPRODUCT(Adds!$C$120:$BD$120,Curves!$U$39:$BV$39)+SUMPRODUCT(Adds!$C$121:$BD$121,Curves!$U$62:$BV$62)</f>
        <v/>
      </c>
      <c r="BE31" s="5">
        <f>SUMPRODUCT(Adds!$C$119:$BE$119,Curves!$T$16:$BV$16)+SUMPRODUCT(Adds!$C$120:$BE$120,Curves!$T$39:$BV$39)+SUMPRODUCT(Adds!$C$121:$BE$121,Curves!$T$62:$BV$62)</f>
        <v/>
      </c>
      <c r="BF31" s="5">
        <f>SUMPRODUCT(Adds!$C$119:$BF$119,Curves!$S$16:$BV$16)+SUMPRODUCT(Adds!$C$120:$BF$120,Curves!$S$39:$BV$39)+SUMPRODUCT(Adds!$C$121:$BF$121,Curves!$S$62:$BV$62)</f>
        <v/>
      </c>
      <c r="BG31" s="5">
        <f>SUMPRODUCT(Adds!$C$119:$BG$119,Curves!$R$16:$BV$16)+SUMPRODUCT(Adds!$C$120:$BG$120,Curves!$R$39:$BV$39)+SUMPRODUCT(Adds!$C$121:$BG$121,Curves!$R$62:$BV$62)</f>
        <v/>
      </c>
      <c r="BH31" s="5">
        <f>SUMPRODUCT(Adds!$C$119:$BH$119,Curves!$Q$16:$BV$16)+SUMPRODUCT(Adds!$C$120:$BH$120,Curves!$Q$39:$BV$39)+SUMPRODUCT(Adds!$C$121:$BH$121,Curves!$Q$62:$BV$62)</f>
        <v/>
      </c>
      <c r="BI31" s="5">
        <f>SUMPRODUCT(Adds!$C$119:$BI$119,Curves!$P$16:$BV$16)+SUMPRODUCT(Adds!$C$120:$BI$120,Curves!$P$39:$BV$39)+SUMPRODUCT(Adds!$C$121:$BI$121,Curves!$P$62:$BV$62)</f>
        <v/>
      </c>
      <c r="BJ31" s="5">
        <f>SUMPRODUCT(Adds!$C$119:$BJ$119,Curves!$O$16:$BV$16)+SUMPRODUCT(Adds!$C$120:$BJ$120,Curves!$O$39:$BV$39)+SUMPRODUCT(Adds!$C$121:$BJ$121,Curves!$O$62:$BV$62)</f>
        <v/>
      </c>
      <c r="BK31" s="5">
        <f>SUMPRODUCT(Adds!$C$119:$BK$119,Curves!$N$16:$BV$16)+SUMPRODUCT(Adds!$C$120:$BK$120,Curves!$N$39:$BV$39)+SUMPRODUCT(Adds!$C$121:$BK$121,Curves!$N$62:$BV$62)</f>
        <v/>
      </c>
      <c r="BL31" s="5">
        <f>SUMPRODUCT(Adds!$C$119:$BL$119,Curves!$M$16:$BV$16)+SUMPRODUCT(Adds!$C$120:$BL$120,Curves!$M$39:$BV$39)+SUMPRODUCT(Adds!$C$121:$BL$121,Curves!$M$62:$BV$62)</f>
        <v/>
      </c>
      <c r="BM31" s="5">
        <f>SUMPRODUCT(Adds!$C$119:$BM$119,Curves!$L$16:$BV$16)+SUMPRODUCT(Adds!$C$120:$BM$120,Curves!$L$39:$BV$39)+SUMPRODUCT(Adds!$C$121:$BM$121,Curves!$L$62:$BV$62)</f>
        <v/>
      </c>
      <c r="BN31" s="5">
        <f>SUMPRODUCT(Adds!$C$119:$BN$119,Curves!$K$16:$BV$16)+SUMPRODUCT(Adds!$C$120:$BN$120,Curves!$K$39:$BV$39)+SUMPRODUCT(Adds!$C$121:$BN$121,Curves!$K$62:$BV$62)</f>
        <v/>
      </c>
      <c r="BO31" s="5">
        <f>SUMPRODUCT(Adds!$C$119:$BO$119,Curves!$J$16:$BV$16)+SUMPRODUCT(Adds!$C$120:$BO$120,Curves!$J$39:$BV$39)+SUMPRODUCT(Adds!$C$121:$BO$121,Curves!$J$62:$BV$62)</f>
        <v/>
      </c>
      <c r="BP31" s="5">
        <f>SUMPRODUCT(Adds!$C$119:$BP$119,Curves!$I$16:$BV$16)+SUMPRODUCT(Adds!$C$120:$BP$120,Curves!$I$39:$BV$39)+SUMPRODUCT(Adds!$C$121:$BP$121,Curves!$I$62:$BV$62)</f>
        <v/>
      </c>
      <c r="BQ31" s="5">
        <f>SUMPRODUCT(Adds!$C$119:$BQ$119,Curves!$H$16:$BV$16)+SUMPRODUCT(Adds!$C$120:$BQ$120,Curves!$H$39:$BV$39)+SUMPRODUCT(Adds!$C$121:$BQ$121,Curves!$H$62:$BV$62)</f>
        <v/>
      </c>
      <c r="BR31" s="5">
        <f>SUMPRODUCT(Adds!$C$119:$BR$119,Curves!$G$16:$BV$16)+SUMPRODUCT(Adds!$C$120:$BR$120,Curves!$G$39:$BV$39)+SUMPRODUCT(Adds!$C$121:$BR$121,Curves!$G$62:$BV$62)</f>
        <v/>
      </c>
      <c r="BS31" s="5">
        <f>SUMPRODUCT(Adds!$C$119:$BS$119,Curves!$F$16:$BV$16)+SUMPRODUCT(Adds!$C$120:$BS$120,Curves!$F$39:$BV$39)+SUMPRODUCT(Adds!$C$121:$BS$121,Curves!$F$62:$BV$62)</f>
        <v/>
      </c>
      <c r="BT31" s="5">
        <f>SUMPRODUCT(Adds!$C$119:$BT$119,Curves!$E$16:$BV$16)+SUMPRODUCT(Adds!$C$120:$BT$120,Curves!$E$39:$BV$39)+SUMPRODUCT(Adds!$C$121:$BT$121,Curves!$E$62:$BV$62)</f>
        <v/>
      </c>
      <c r="BU31" s="5">
        <f>SUMPRODUCT(Adds!$C$119:$BU$119,Curves!$D$16:$BV$16)+SUMPRODUCT(Adds!$C$120:$BU$120,Curves!$D$39:$BV$39)+SUMPRODUCT(Adds!$C$121:$BU$121,Curves!$D$62:$BV$62)</f>
        <v/>
      </c>
      <c r="BV31" s="5">
        <f>SUMPRODUCT(Adds!$C$119:$BV$119,Curves!$C$16:$BV$16)+SUMPRODUCT(Adds!$C$120:$BV$120,Curves!$C$39:$BV$39)+SUMPRODUCT(Adds!$C$121:$BV$121,Curves!$C$62:$BV$62)</f>
        <v/>
      </c>
    </row>
    <row r="32">
      <c r="A32" t="inlineStr">
        <is>
          <t>active yr 1</t>
        </is>
      </c>
      <c r="B32" t="inlineStr">
        <is>
          <t>EUROPE|BASIC_A</t>
        </is>
      </c>
      <c r="C32" s="5">
        <f>Adds!$C$119*Curves!$BV$23+Adds!$C$120*Curves!$BV$46+Adds!$C$121*Curves!$BV$69</f>
        <v/>
      </c>
      <c r="D32" s="5">
        <f>SUMPRODUCT(Adds!$C$119:$D$119,Curves!$BU$23:$BV$23)+SUMPRODUCT(Adds!$C$120:$D$120,Curves!$BU$46:$BV$46)+SUMPRODUCT(Adds!$C$121:$D$121,Curves!$BU$69:$BV$69)</f>
        <v/>
      </c>
      <c r="E32" s="5">
        <f>SUMPRODUCT(Adds!$C$119:$E$119,Curves!$BT$23:$BV$23)+SUMPRODUCT(Adds!$C$120:$E$120,Curves!$BT$46:$BV$46)+SUMPRODUCT(Adds!$C$121:$E$121,Curves!$BT$69:$BV$69)</f>
        <v/>
      </c>
      <c r="F32" s="5">
        <f>SUMPRODUCT(Adds!$C$119:$F$119,Curves!$BS$23:$BV$23)+SUMPRODUCT(Adds!$C$120:$F$120,Curves!$BS$46:$BV$46)+SUMPRODUCT(Adds!$C$121:$F$121,Curves!$BS$69:$BV$69)</f>
        <v/>
      </c>
      <c r="G32" s="5">
        <f>SUMPRODUCT(Adds!$C$119:$G$119,Curves!$BR$23:$BV$23)+SUMPRODUCT(Adds!$C$120:$G$120,Curves!$BR$46:$BV$46)+SUMPRODUCT(Adds!$C$121:$G$121,Curves!$BR$69:$BV$69)</f>
        <v/>
      </c>
      <c r="H32" s="5">
        <f>SUMPRODUCT(Adds!$C$119:$H$119,Curves!$BQ$23:$BV$23)+SUMPRODUCT(Adds!$C$120:$H$120,Curves!$BQ$46:$BV$46)+SUMPRODUCT(Adds!$C$121:$H$121,Curves!$BQ$69:$BV$69)</f>
        <v/>
      </c>
      <c r="I32" s="5">
        <f>SUMPRODUCT(Adds!$C$119:$I$119,Curves!$BP$23:$BV$23)+SUMPRODUCT(Adds!$C$120:$I$120,Curves!$BP$46:$BV$46)+SUMPRODUCT(Adds!$C$121:$I$121,Curves!$BP$69:$BV$69)</f>
        <v/>
      </c>
      <c r="J32" s="5">
        <f>SUMPRODUCT(Adds!$C$119:$J$119,Curves!$BO$23:$BV$23)+SUMPRODUCT(Adds!$C$120:$J$120,Curves!$BO$46:$BV$46)+SUMPRODUCT(Adds!$C$121:$J$121,Curves!$BO$69:$BV$69)</f>
        <v/>
      </c>
      <c r="K32" s="5">
        <f>SUMPRODUCT(Adds!$C$119:$K$119,Curves!$BN$23:$BV$23)+SUMPRODUCT(Adds!$C$120:$K$120,Curves!$BN$46:$BV$46)+SUMPRODUCT(Adds!$C$121:$K$121,Curves!$BN$69:$BV$69)</f>
        <v/>
      </c>
      <c r="L32" s="5">
        <f>SUMPRODUCT(Adds!$C$119:$L$119,Curves!$BM$23:$BV$23)+SUMPRODUCT(Adds!$C$120:$L$120,Curves!$BM$46:$BV$46)+SUMPRODUCT(Adds!$C$121:$L$121,Curves!$BM$69:$BV$69)</f>
        <v/>
      </c>
      <c r="M32" s="5">
        <f>SUMPRODUCT(Adds!$C$119:$M$119,Curves!$BL$23:$BV$23)+SUMPRODUCT(Adds!$C$120:$M$120,Curves!$BL$46:$BV$46)+SUMPRODUCT(Adds!$C$121:$M$121,Curves!$BL$69:$BV$69)</f>
        <v/>
      </c>
      <c r="N32" s="5">
        <f>SUMPRODUCT(Adds!$C$119:$N$119,Curves!$BK$23:$BV$23)+SUMPRODUCT(Adds!$C$120:$N$120,Curves!$BK$46:$BV$46)+SUMPRODUCT(Adds!$C$121:$N$121,Curves!$BK$69:$BV$69)</f>
        <v/>
      </c>
      <c r="O32" s="5">
        <f>SUMPRODUCT(Adds!$C$119:$O$119,Curves!$BJ$23:$BV$23)+SUMPRODUCT(Adds!$C$120:$O$120,Curves!$BJ$46:$BV$46)+SUMPRODUCT(Adds!$C$121:$O$121,Curves!$BJ$69:$BV$69)</f>
        <v/>
      </c>
      <c r="P32" s="5">
        <f>SUMPRODUCT(Adds!$C$119:$P$119,Curves!$BI$23:$BV$23)+SUMPRODUCT(Adds!$C$120:$P$120,Curves!$BI$46:$BV$46)+SUMPRODUCT(Adds!$C$121:$P$121,Curves!$BI$69:$BV$69)</f>
        <v/>
      </c>
      <c r="Q32" s="5">
        <f>SUMPRODUCT(Adds!$C$119:$Q$119,Curves!$BH$23:$BV$23)+SUMPRODUCT(Adds!$C$120:$Q$120,Curves!$BH$46:$BV$46)+SUMPRODUCT(Adds!$C$121:$Q$121,Curves!$BH$69:$BV$69)</f>
        <v/>
      </c>
      <c r="R32" s="5">
        <f>SUMPRODUCT(Adds!$C$119:$R$119,Curves!$BG$23:$BV$23)+SUMPRODUCT(Adds!$C$120:$R$120,Curves!$BG$46:$BV$46)+SUMPRODUCT(Adds!$C$121:$R$121,Curves!$BG$69:$BV$69)</f>
        <v/>
      </c>
      <c r="S32" s="5">
        <f>SUMPRODUCT(Adds!$C$119:$S$119,Curves!$BF$23:$BV$23)+SUMPRODUCT(Adds!$C$120:$S$120,Curves!$BF$46:$BV$46)+SUMPRODUCT(Adds!$C$121:$S$121,Curves!$BF$69:$BV$69)</f>
        <v/>
      </c>
      <c r="T32" s="5">
        <f>SUMPRODUCT(Adds!$C$119:$T$119,Curves!$BE$23:$BV$23)+SUMPRODUCT(Adds!$C$120:$T$120,Curves!$BE$46:$BV$46)+SUMPRODUCT(Adds!$C$121:$T$121,Curves!$BE$69:$BV$69)</f>
        <v/>
      </c>
      <c r="U32" s="5">
        <f>SUMPRODUCT(Adds!$C$119:$U$119,Curves!$BD$23:$BV$23)+SUMPRODUCT(Adds!$C$120:$U$120,Curves!$BD$46:$BV$46)+SUMPRODUCT(Adds!$C$121:$U$121,Curves!$BD$69:$BV$69)</f>
        <v/>
      </c>
      <c r="V32" s="5">
        <f>SUMPRODUCT(Adds!$C$119:$V$119,Curves!$BC$23:$BV$23)+SUMPRODUCT(Adds!$C$120:$V$120,Curves!$BC$46:$BV$46)+SUMPRODUCT(Adds!$C$121:$V$121,Curves!$BC$69:$BV$69)</f>
        <v/>
      </c>
      <c r="W32" s="5">
        <f>SUMPRODUCT(Adds!$C$119:$W$119,Curves!$BB$23:$BV$23)+SUMPRODUCT(Adds!$C$120:$W$120,Curves!$BB$46:$BV$46)+SUMPRODUCT(Adds!$C$121:$W$121,Curves!$BB$69:$BV$69)</f>
        <v/>
      </c>
      <c r="X32" s="5">
        <f>SUMPRODUCT(Adds!$C$119:$X$119,Curves!$BA$23:$BV$23)+SUMPRODUCT(Adds!$C$120:$X$120,Curves!$BA$46:$BV$46)+SUMPRODUCT(Adds!$C$121:$X$121,Curves!$BA$69:$BV$69)</f>
        <v/>
      </c>
      <c r="Y32" s="5">
        <f>SUMPRODUCT(Adds!$C$119:$Y$119,Curves!$AZ$23:$BV$23)+SUMPRODUCT(Adds!$C$120:$Y$120,Curves!$AZ$46:$BV$46)+SUMPRODUCT(Adds!$C$121:$Y$121,Curves!$AZ$69:$BV$69)</f>
        <v/>
      </c>
      <c r="Z32" s="5">
        <f>SUMPRODUCT(Adds!$C$119:$Z$119,Curves!$AY$23:$BV$23)+SUMPRODUCT(Adds!$C$120:$Z$120,Curves!$AY$46:$BV$46)+SUMPRODUCT(Adds!$C$121:$Z$121,Curves!$AY$69:$BV$69)</f>
        <v/>
      </c>
      <c r="AA32" s="5">
        <f>SUMPRODUCT(Adds!$C$119:$AA$119,Curves!$AX$23:$BV$23)+SUMPRODUCT(Adds!$C$120:$AA$120,Curves!$AX$46:$BV$46)+SUMPRODUCT(Adds!$C$121:$AA$121,Curves!$AX$69:$BV$69)</f>
        <v/>
      </c>
      <c r="AB32" s="5">
        <f>SUMPRODUCT(Adds!$C$119:$AB$119,Curves!$AW$23:$BV$23)+SUMPRODUCT(Adds!$C$120:$AB$120,Curves!$AW$46:$BV$46)+SUMPRODUCT(Adds!$C$121:$AB$121,Curves!$AW$69:$BV$69)</f>
        <v/>
      </c>
      <c r="AC32" s="5">
        <f>SUMPRODUCT(Adds!$C$119:$AC$119,Curves!$AV$23:$BV$23)+SUMPRODUCT(Adds!$C$120:$AC$120,Curves!$AV$46:$BV$46)+SUMPRODUCT(Adds!$C$121:$AC$121,Curves!$AV$69:$BV$69)</f>
        <v/>
      </c>
      <c r="AD32" s="5">
        <f>SUMPRODUCT(Adds!$C$119:$AD$119,Curves!$AU$23:$BV$23)+SUMPRODUCT(Adds!$C$120:$AD$120,Curves!$AU$46:$BV$46)+SUMPRODUCT(Adds!$C$121:$AD$121,Curves!$AU$69:$BV$69)</f>
        <v/>
      </c>
      <c r="AE32" s="5">
        <f>SUMPRODUCT(Adds!$C$119:$AE$119,Curves!$AT$23:$BV$23)+SUMPRODUCT(Adds!$C$120:$AE$120,Curves!$AT$46:$BV$46)+SUMPRODUCT(Adds!$C$121:$AE$121,Curves!$AT$69:$BV$69)</f>
        <v/>
      </c>
      <c r="AF32" s="5">
        <f>SUMPRODUCT(Adds!$C$119:$AF$119,Curves!$AS$23:$BV$23)+SUMPRODUCT(Adds!$C$120:$AF$120,Curves!$AS$46:$BV$46)+SUMPRODUCT(Adds!$C$121:$AF$121,Curves!$AS$69:$BV$69)</f>
        <v/>
      </c>
      <c r="AG32" s="5">
        <f>SUMPRODUCT(Adds!$C$119:$AG$119,Curves!$AR$23:$BV$23)+SUMPRODUCT(Adds!$C$120:$AG$120,Curves!$AR$46:$BV$46)+SUMPRODUCT(Adds!$C$121:$AG$121,Curves!$AR$69:$BV$69)</f>
        <v/>
      </c>
      <c r="AH32" s="5">
        <f>SUMPRODUCT(Adds!$C$119:$AH$119,Curves!$AQ$23:$BV$23)+SUMPRODUCT(Adds!$C$120:$AH$120,Curves!$AQ$46:$BV$46)+SUMPRODUCT(Adds!$C$121:$AH$121,Curves!$AQ$69:$BV$69)</f>
        <v/>
      </c>
      <c r="AI32" s="5">
        <f>SUMPRODUCT(Adds!$C$119:$AI$119,Curves!$AP$23:$BV$23)+SUMPRODUCT(Adds!$C$120:$AI$120,Curves!$AP$46:$BV$46)+SUMPRODUCT(Adds!$C$121:$AI$121,Curves!$AP$69:$BV$69)</f>
        <v/>
      </c>
      <c r="AJ32" s="5">
        <f>SUMPRODUCT(Adds!$C$119:$AJ$119,Curves!$AO$23:$BV$23)+SUMPRODUCT(Adds!$C$120:$AJ$120,Curves!$AO$46:$BV$46)+SUMPRODUCT(Adds!$C$121:$AJ$121,Curves!$AO$69:$BV$69)</f>
        <v/>
      </c>
      <c r="AK32" s="5">
        <f>SUMPRODUCT(Adds!$C$119:$AK$119,Curves!$AN$23:$BV$23)+SUMPRODUCT(Adds!$C$120:$AK$120,Curves!$AN$46:$BV$46)+SUMPRODUCT(Adds!$C$121:$AK$121,Curves!$AN$69:$BV$69)</f>
        <v/>
      </c>
      <c r="AL32" s="5">
        <f>SUMPRODUCT(Adds!$C$119:$AL$119,Curves!$AM$23:$BV$23)+SUMPRODUCT(Adds!$C$120:$AL$120,Curves!$AM$46:$BV$46)+SUMPRODUCT(Adds!$C$121:$AL$121,Curves!$AM$69:$BV$69)</f>
        <v/>
      </c>
      <c r="AM32" s="5">
        <f>SUMPRODUCT(Adds!$C$119:$AM$119,Curves!$AL$23:$BV$23)+SUMPRODUCT(Adds!$C$120:$AM$120,Curves!$AL$46:$BV$46)+SUMPRODUCT(Adds!$C$121:$AM$121,Curves!$AL$69:$BV$69)</f>
        <v/>
      </c>
      <c r="AN32" s="5">
        <f>SUMPRODUCT(Adds!$C$119:$AN$119,Curves!$AK$23:$BV$23)+SUMPRODUCT(Adds!$C$120:$AN$120,Curves!$AK$46:$BV$46)+SUMPRODUCT(Adds!$C$121:$AN$121,Curves!$AK$69:$BV$69)</f>
        <v/>
      </c>
      <c r="AO32" s="5">
        <f>SUMPRODUCT(Adds!$C$119:$AO$119,Curves!$AJ$23:$BV$23)+SUMPRODUCT(Adds!$C$120:$AO$120,Curves!$AJ$46:$BV$46)+SUMPRODUCT(Adds!$C$121:$AO$121,Curves!$AJ$69:$BV$69)</f>
        <v/>
      </c>
      <c r="AP32" s="5">
        <f>SUMPRODUCT(Adds!$C$119:$AP$119,Curves!$AI$23:$BV$23)+SUMPRODUCT(Adds!$C$120:$AP$120,Curves!$AI$46:$BV$46)+SUMPRODUCT(Adds!$C$121:$AP$121,Curves!$AI$69:$BV$69)</f>
        <v/>
      </c>
      <c r="AQ32" s="5">
        <f>SUMPRODUCT(Adds!$C$119:$AQ$119,Curves!$AH$23:$BV$23)+SUMPRODUCT(Adds!$C$120:$AQ$120,Curves!$AH$46:$BV$46)+SUMPRODUCT(Adds!$C$121:$AQ$121,Curves!$AH$69:$BV$69)</f>
        <v/>
      </c>
      <c r="AR32" s="5">
        <f>SUMPRODUCT(Adds!$C$119:$AR$119,Curves!$AG$23:$BV$23)+SUMPRODUCT(Adds!$C$120:$AR$120,Curves!$AG$46:$BV$46)+SUMPRODUCT(Adds!$C$121:$AR$121,Curves!$AG$69:$BV$69)</f>
        <v/>
      </c>
      <c r="AS32" s="5">
        <f>SUMPRODUCT(Adds!$C$119:$AS$119,Curves!$AF$23:$BV$23)+SUMPRODUCT(Adds!$C$120:$AS$120,Curves!$AF$46:$BV$46)+SUMPRODUCT(Adds!$C$121:$AS$121,Curves!$AF$69:$BV$69)</f>
        <v/>
      </c>
      <c r="AT32" s="5">
        <f>SUMPRODUCT(Adds!$C$119:$AT$119,Curves!$AE$23:$BV$23)+SUMPRODUCT(Adds!$C$120:$AT$120,Curves!$AE$46:$BV$46)+SUMPRODUCT(Adds!$C$121:$AT$121,Curves!$AE$69:$BV$69)</f>
        <v/>
      </c>
      <c r="AU32" s="5">
        <f>SUMPRODUCT(Adds!$C$119:$AU$119,Curves!$AD$23:$BV$23)+SUMPRODUCT(Adds!$C$120:$AU$120,Curves!$AD$46:$BV$46)+SUMPRODUCT(Adds!$C$121:$AU$121,Curves!$AD$69:$BV$69)</f>
        <v/>
      </c>
      <c r="AV32" s="5">
        <f>SUMPRODUCT(Adds!$C$119:$AV$119,Curves!$AC$23:$BV$23)+SUMPRODUCT(Adds!$C$120:$AV$120,Curves!$AC$46:$BV$46)+SUMPRODUCT(Adds!$C$121:$AV$121,Curves!$AC$69:$BV$69)</f>
        <v/>
      </c>
      <c r="AW32" s="5">
        <f>SUMPRODUCT(Adds!$C$119:$AW$119,Curves!$AB$23:$BV$23)+SUMPRODUCT(Adds!$C$120:$AW$120,Curves!$AB$46:$BV$46)+SUMPRODUCT(Adds!$C$121:$AW$121,Curves!$AB$69:$BV$69)</f>
        <v/>
      </c>
      <c r="AX32" s="5">
        <f>SUMPRODUCT(Adds!$C$119:$AX$119,Curves!$AA$23:$BV$23)+SUMPRODUCT(Adds!$C$120:$AX$120,Curves!$AA$46:$BV$46)+SUMPRODUCT(Adds!$C$121:$AX$121,Curves!$AA$69:$BV$69)</f>
        <v/>
      </c>
      <c r="AY32" s="5">
        <f>SUMPRODUCT(Adds!$C$119:$AY$119,Curves!$Z$23:$BV$23)+SUMPRODUCT(Adds!$C$120:$AY$120,Curves!$Z$46:$BV$46)+SUMPRODUCT(Adds!$C$121:$AY$121,Curves!$Z$69:$BV$69)</f>
        <v/>
      </c>
      <c r="AZ32" s="5">
        <f>SUMPRODUCT(Adds!$C$119:$AZ$119,Curves!$Y$23:$BV$23)+SUMPRODUCT(Adds!$C$120:$AZ$120,Curves!$Y$46:$BV$46)+SUMPRODUCT(Adds!$C$121:$AZ$121,Curves!$Y$69:$BV$69)</f>
        <v/>
      </c>
      <c r="BA32" s="5">
        <f>SUMPRODUCT(Adds!$C$119:$BA$119,Curves!$X$23:$BV$23)+SUMPRODUCT(Adds!$C$120:$BA$120,Curves!$X$46:$BV$46)+SUMPRODUCT(Adds!$C$121:$BA$121,Curves!$X$69:$BV$69)</f>
        <v/>
      </c>
      <c r="BB32" s="5">
        <f>SUMPRODUCT(Adds!$C$119:$BB$119,Curves!$W$23:$BV$23)+SUMPRODUCT(Adds!$C$120:$BB$120,Curves!$W$46:$BV$46)+SUMPRODUCT(Adds!$C$121:$BB$121,Curves!$W$69:$BV$69)</f>
        <v/>
      </c>
      <c r="BC32" s="5">
        <f>SUMPRODUCT(Adds!$C$119:$BC$119,Curves!$V$23:$BV$23)+SUMPRODUCT(Adds!$C$120:$BC$120,Curves!$V$46:$BV$46)+SUMPRODUCT(Adds!$C$121:$BC$121,Curves!$V$69:$BV$69)</f>
        <v/>
      </c>
      <c r="BD32" s="5">
        <f>SUMPRODUCT(Adds!$C$119:$BD$119,Curves!$U$23:$BV$23)+SUMPRODUCT(Adds!$C$120:$BD$120,Curves!$U$46:$BV$46)+SUMPRODUCT(Adds!$C$121:$BD$121,Curves!$U$69:$BV$69)</f>
        <v/>
      </c>
      <c r="BE32" s="5">
        <f>SUMPRODUCT(Adds!$C$119:$BE$119,Curves!$T$23:$BV$23)+SUMPRODUCT(Adds!$C$120:$BE$120,Curves!$T$46:$BV$46)+SUMPRODUCT(Adds!$C$121:$BE$121,Curves!$T$69:$BV$69)</f>
        <v/>
      </c>
      <c r="BF32" s="5">
        <f>SUMPRODUCT(Adds!$C$119:$BF$119,Curves!$S$23:$BV$23)+SUMPRODUCT(Adds!$C$120:$BF$120,Curves!$S$46:$BV$46)+SUMPRODUCT(Adds!$C$121:$BF$121,Curves!$S$69:$BV$69)</f>
        <v/>
      </c>
      <c r="BG32" s="5">
        <f>SUMPRODUCT(Adds!$C$119:$BG$119,Curves!$R$23:$BV$23)+SUMPRODUCT(Adds!$C$120:$BG$120,Curves!$R$46:$BV$46)+SUMPRODUCT(Adds!$C$121:$BG$121,Curves!$R$69:$BV$69)</f>
        <v/>
      </c>
      <c r="BH32" s="5">
        <f>SUMPRODUCT(Adds!$C$119:$BH$119,Curves!$Q$23:$BV$23)+SUMPRODUCT(Adds!$C$120:$BH$120,Curves!$Q$46:$BV$46)+SUMPRODUCT(Adds!$C$121:$BH$121,Curves!$Q$69:$BV$69)</f>
        <v/>
      </c>
      <c r="BI32" s="5">
        <f>SUMPRODUCT(Adds!$C$119:$BI$119,Curves!$P$23:$BV$23)+SUMPRODUCT(Adds!$C$120:$BI$120,Curves!$P$46:$BV$46)+SUMPRODUCT(Adds!$C$121:$BI$121,Curves!$P$69:$BV$69)</f>
        <v/>
      </c>
      <c r="BJ32" s="5">
        <f>SUMPRODUCT(Adds!$C$119:$BJ$119,Curves!$O$23:$BV$23)+SUMPRODUCT(Adds!$C$120:$BJ$120,Curves!$O$46:$BV$46)+SUMPRODUCT(Adds!$C$121:$BJ$121,Curves!$O$69:$BV$69)</f>
        <v/>
      </c>
      <c r="BK32" s="5">
        <f>SUMPRODUCT(Adds!$C$119:$BK$119,Curves!$N$23:$BV$23)+SUMPRODUCT(Adds!$C$120:$BK$120,Curves!$N$46:$BV$46)+SUMPRODUCT(Adds!$C$121:$BK$121,Curves!$N$69:$BV$69)</f>
        <v/>
      </c>
      <c r="BL32" s="5">
        <f>SUMPRODUCT(Adds!$C$119:$BL$119,Curves!$M$23:$BV$23)+SUMPRODUCT(Adds!$C$120:$BL$120,Curves!$M$46:$BV$46)+SUMPRODUCT(Adds!$C$121:$BL$121,Curves!$M$69:$BV$69)</f>
        <v/>
      </c>
      <c r="BM32" s="5">
        <f>SUMPRODUCT(Adds!$C$119:$BM$119,Curves!$L$23:$BV$23)+SUMPRODUCT(Adds!$C$120:$BM$120,Curves!$L$46:$BV$46)+SUMPRODUCT(Adds!$C$121:$BM$121,Curves!$L$69:$BV$69)</f>
        <v/>
      </c>
      <c r="BN32" s="5">
        <f>SUMPRODUCT(Adds!$C$119:$BN$119,Curves!$K$23:$BV$23)+SUMPRODUCT(Adds!$C$120:$BN$120,Curves!$K$46:$BV$46)+SUMPRODUCT(Adds!$C$121:$BN$121,Curves!$K$69:$BV$69)</f>
        <v/>
      </c>
      <c r="BO32" s="5">
        <f>SUMPRODUCT(Adds!$C$119:$BO$119,Curves!$J$23:$BV$23)+SUMPRODUCT(Adds!$C$120:$BO$120,Curves!$J$46:$BV$46)+SUMPRODUCT(Adds!$C$121:$BO$121,Curves!$J$69:$BV$69)</f>
        <v/>
      </c>
      <c r="BP32" s="5">
        <f>SUMPRODUCT(Adds!$C$119:$BP$119,Curves!$I$23:$BV$23)+SUMPRODUCT(Adds!$C$120:$BP$120,Curves!$I$46:$BV$46)+SUMPRODUCT(Adds!$C$121:$BP$121,Curves!$I$69:$BV$69)</f>
        <v/>
      </c>
      <c r="BQ32" s="5">
        <f>SUMPRODUCT(Adds!$C$119:$BQ$119,Curves!$H$23:$BV$23)+SUMPRODUCT(Adds!$C$120:$BQ$120,Curves!$H$46:$BV$46)+SUMPRODUCT(Adds!$C$121:$BQ$121,Curves!$H$69:$BV$69)</f>
        <v/>
      </c>
      <c r="BR32" s="5">
        <f>SUMPRODUCT(Adds!$C$119:$BR$119,Curves!$G$23:$BV$23)+SUMPRODUCT(Adds!$C$120:$BR$120,Curves!$G$46:$BV$46)+SUMPRODUCT(Adds!$C$121:$BR$121,Curves!$G$69:$BV$69)</f>
        <v/>
      </c>
      <c r="BS32" s="5">
        <f>SUMPRODUCT(Adds!$C$119:$BS$119,Curves!$F$23:$BV$23)+SUMPRODUCT(Adds!$C$120:$BS$120,Curves!$F$46:$BV$46)+SUMPRODUCT(Adds!$C$121:$BS$121,Curves!$F$69:$BV$69)</f>
        <v/>
      </c>
      <c r="BT32" s="5">
        <f>SUMPRODUCT(Adds!$C$119:$BT$119,Curves!$E$23:$BV$23)+SUMPRODUCT(Adds!$C$120:$BT$120,Curves!$E$46:$BV$46)+SUMPRODUCT(Adds!$C$121:$BT$121,Curves!$E$69:$BV$69)</f>
        <v/>
      </c>
      <c r="BU32" s="5">
        <f>SUMPRODUCT(Adds!$C$119:$BU$119,Curves!$D$23:$BV$23)+SUMPRODUCT(Adds!$C$120:$BU$120,Curves!$D$46:$BV$46)+SUMPRODUCT(Adds!$C$121:$BU$121,Curves!$D$69:$BV$69)</f>
        <v/>
      </c>
      <c r="BV32" s="5">
        <f>SUMPRODUCT(Adds!$C$119:$BV$119,Curves!$C$23:$BV$23)+SUMPRODUCT(Adds!$C$120:$BV$120,Curves!$C$46:$BV$46)+SUMPRODUCT(Adds!$C$121:$BV$121,Curves!$C$69:$BV$69)</f>
        <v/>
      </c>
    </row>
    <row r="33">
      <c r="A33" t="inlineStr">
        <is>
          <t>churned</t>
        </is>
      </c>
      <c r="B33" t="inlineStr">
        <is>
          <t>EUROPE|BASIC_A</t>
        </is>
      </c>
      <c r="C33" s="5">
        <f>Adds!$C$119*Curves!$BV$18+Adds!$C$120*Curves!$BV$41+Adds!$C$121*Curves!$BV$64</f>
        <v/>
      </c>
      <c r="D33" s="5">
        <f>SUMPRODUCT(Adds!$C$119:$D$119,Curves!$BU$18:$BV$18)+SUMPRODUCT(Adds!$C$120:$D$120,Curves!$BU$41:$BV$41)+SUMPRODUCT(Adds!$C$121:$D$121,Curves!$BU$64:$BV$64)</f>
        <v/>
      </c>
      <c r="E33" s="5">
        <f>SUMPRODUCT(Adds!$C$119:$E$119,Curves!$BT$18:$BV$18)+SUMPRODUCT(Adds!$C$120:$E$120,Curves!$BT$41:$BV$41)+SUMPRODUCT(Adds!$C$121:$E$121,Curves!$BT$64:$BV$64)</f>
        <v/>
      </c>
      <c r="F33" s="5">
        <f>SUMPRODUCT(Adds!$C$119:$F$119,Curves!$BS$18:$BV$18)+SUMPRODUCT(Adds!$C$120:$F$120,Curves!$BS$41:$BV$41)+SUMPRODUCT(Adds!$C$121:$F$121,Curves!$BS$64:$BV$64)</f>
        <v/>
      </c>
      <c r="G33" s="5">
        <f>SUMPRODUCT(Adds!$C$119:$G$119,Curves!$BR$18:$BV$18)+SUMPRODUCT(Adds!$C$120:$G$120,Curves!$BR$41:$BV$41)+SUMPRODUCT(Adds!$C$121:$G$121,Curves!$BR$64:$BV$64)</f>
        <v/>
      </c>
      <c r="H33" s="5">
        <f>SUMPRODUCT(Adds!$C$119:$H$119,Curves!$BQ$18:$BV$18)+SUMPRODUCT(Adds!$C$120:$H$120,Curves!$BQ$41:$BV$41)+SUMPRODUCT(Adds!$C$121:$H$121,Curves!$BQ$64:$BV$64)</f>
        <v/>
      </c>
      <c r="I33" s="5">
        <f>SUMPRODUCT(Adds!$C$119:$I$119,Curves!$BP$18:$BV$18)+SUMPRODUCT(Adds!$C$120:$I$120,Curves!$BP$41:$BV$41)+SUMPRODUCT(Adds!$C$121:$I$121,Curves!$BP$64:$BV$64)</f>
        <v/>
      </c>
      <c r="J33" s="5">
        <f>SUMPRODUCT(Adds!$C$119:$J$119,Curves!$BO$18:$BV$18)+SUMPRODUCT(Adds!$C$120:$J$120,Curves!$BO$41:$BV$41)+SUMPRODUCT(Adds!$C$121:$J$121,Curves!$BO$64:$BV$64)</f>
        <v/>
      </c>
      <c r="K33" s="5">
        <f>SUMPRODUCT(Adds!$C$119:$K$119,Curves!$BN$18:$BV$18)+SUMPRODUCT(Adds!$C$120:$K$120,Curves!$BN$41:$BV$41)+SUMPRODUCT(Adds!$C$121:$K$121,Curves!$BN$64:$BV$64)</f>
        <v/>
      </c>
      <c r="L33" s="5">
        <f>SUMPRODUCT(Adds!$C$119:$L$119,Curves!$BM$18:$BV$18)+SUMPRODUCT(Adds!$C$120:$L$120,Curves!$BM$41:$BV$41)+SUMPRODUCT(Adds!$C$121:$L$121,Curves!$BM$64:$BV$64)</f>
        <v/>
      </c>
      <c r="M33" s="5">
        <f>SUMPRODUCT(Adds!$C$119:$M$119,Curves!$BL$18:$BV$18)+SUMPRODUCT(Adds!$C$120:$M$120,Curves!$BL$41:$BV$41)+SUMPRODUCT(Adds!$C$121:$M$121,Curves!$BL$64:$BV$64)</f>
        <v/>
      </c>
      <c r="N33" s="5">
        <f>SUMPRODUCT(Adds!$C$119:$N$119,Curves!$BK$18:$BV$18)+SUMPRODUCT(Adds!$C$120:$N$120,Curves!$BK$41:$BV$41)+SUMPRODUCT(Adds!$C$121:$N$121,Curves!$BK$64:$BV$64)</f>
        <v/>
      </c>
      <c r="O33" s="5">
        <f>SUMPRODUCT(Adds!$C$119:$O$119,Curves!$BJ$18:$BV$18)+SUMPRODUCT(Adds!$C$120:$O$120,Curves!$BJ$41:$BV$41)+SUMPRODUCT(Adds!$C$121:$O$121,Curves!$BJ$64:$BV$64)</f>
        <v/>
      </c>
      <c r="P33" s="5">
        <f>SUMPRODUCT(Adds!$C$119:$P$119,Curves!$BI$18:$BV$18)+SUMPRODUCT(Adds!$C$120:$P$120,Curves!$BI$41:$BV$41)+SUMPRODUCT(Adds!$C$121:$P$121,Curves!$BI$64:$BV$64)</f>
        <v/>
      </c>
      <c r="Q33" s="5">
        <f>SUMPRODUCT(Adds!$C$119:$Q$119,Curves!$BH$18:$BV$18)+SUMPRODUCT(Adds!$C$120:$Q$120,Curves!$BH$41:$BV$41)+SUMPRODUCT(Adds!$C$121:$Q$121,Curves!$BH$64:$BV$64)</f>
        <v/>
      </c>
      <c r="R33" s="5">
        <f>SUMPRODUCT(Adds!$C$119:$R$119,Curves!$BG$18:$BV$18)+SUMPRODUCT(Adds!$C$120:$R$120,Curves!$BG$41:$BV$41)+SUMPRODUCT(Adds!$C$121:$R$121,Curves!$BG$64:$BV$64)</f>
        <v/>
      </c>
      <c r="S33" s="5">
        <f>SUMPRODUCT(Adds!$C$119:$S$119,Curves!$BF$18:$BV$18)+SUMPRODUCT(Adds!$C$120:$S$120,Curves!$BF$41:$BV$41)+SUMPRODUCT(Adds!$C$121:$S$121,Curves!$BF$64:$BV$64)</f>
        <v/>
      </c>
      <c r="T33" s="5">
        <f>SUMPRODUCT(Adds!$C$119:$T$119,Curves!$BE$18:$BV$18)+SUMPRODUCT(Adds!$C$120:$T$120,Curves!$BE$41:$BV$41)+SUMPRODUCT(Adds!$C$121:$T$121,Curves!$BE$64:$BV$64)</f>
        <v/>
      </c>
      <c r="U33" s="5">
        <f>SUMPRODUCT(Adds!$C$119:$U$119,Curves!$BD$18:$BV$18)+SUMPRODUCT(Adds!$C$120:$U$120,Curves!$BD$41:$BV$41)+SUMPRODUCT(Adds!$C$121:$U$121,Curves!$BD$64:$BV$64)</f>
        <v/>
      </c>
      <c r="V33" s="5">
        <f>SUMPRODUCT(Adds!$C$119:$V$119,Curves!$BC$18:$BV$18)+SUMPRODUCT(Adds!$C$120:$V$120,Curves!$BC$41:$BV$41)+SUMPRODUCT(Adds!$C$121:$V$121,Curves!$BC$64:$BV$64)</f>
        <v/>
      </c>
      <c r="W33" s="5">
        <f>SUMPRODUCT(Adds!$C$119:$W$119,Curves!$BB$18:$BV$18)+SUMPRODUCT(Adds!$C$120:$W$120,Curves!$BB$41:$BV$41)+SUMPRODUCT(Adds!$C$121:$W$121,Curves!$BB$64:$BV$64)</f>
        <v/>
      </c>
      <c r="X33" s="5">
        <f>SUMPRODUCT(Adds!$C$119:$X$119,Curves!$BA$18:$BV$18)+SUMPRODUCT(Adds!$C$120:$X$120,Curves!$BA$41:$BV$41)+SUMPRODUCT(Adds!$C$121:$X$121,Curves!$BA$64:$BV$64)</f>
        <v/>
      </c>
      <c r="Y33" s="5">
        <f>SUMPRODUCT(Adds!$C$119:$Y$119,Curves!$AZ$18:$BV$18)+SUMPRODUCT(Adds!$C$120:$Y$120,Curves!$AZ$41:$BV$41)+SUMPRODUCT(Adds!$C$121:$Y$121,Curves!$AZ$64:$BV$64)</f>
        <v/>
      </c>
      <c r="Z33" s="5">
        <f>SUMPRODUCT(Adds!$C$119:$Z$119,Curves!$AY$18:$BV$18)+SUMPRODUCT(Adds!$C$120:$Z$120,Curves!$AY$41:$BV$41)+SUMPRODUCT(Adds!$C$121:$Z$121,Curves!$AY$64:$BV$64)</f>
        <v/>
      </c>
      <c r="AA33" s="5">
        <f>SUMPRODUCT(Adds!$C$119:$AA$119,Curves!$AX$18:$BV$18)+SUMPRODUCT(Adds!$C$120:$AA$120,Curves!$AX$41:$BV$41)+SUMPRODUCT(Adds!$C$121:$AA$121,Curves!$AX$64:$BV$64)</f>
        <v/>
      </c>
      <c r="AB33" s="5">
        <f>SUMPRODUCT(Adds!$C$119:$AB$119,Curves!$AW$18:$BV$18)+SUMPRODUCT(Adds!$C$120:$AB$120,Curves!$AW$41:$BV$41)+SUMPRODUCT(Adds!$C$121:$AB$121,Curves!$AW$64:$BV$64)</f>
        <v/>
      </c>
      <c r="AC33" s="5">
        <f>SUMPRODUCT(Adds!$C$119:$AC$119,Curves!$AV$18:$BV$18)+SUMPRODUCT(Adds!$C$120:$AC$120,Curves!$AV$41:$BV$41)+SUMPRODUCT(Adds!$C$121:$AC$121,Curves!$AV$64:$BV$64)</f>
        <v/>
      </c>
      <c r="AD33" s="5">
        <f>SUMPRODUCT(Adds!$C$119:$AD$119,Curves!$AU$18:$BV$18)+SUMPRODUCT(Adds!$C$120:$AD$120,Curves!$AU$41:$BV$41)+SUMPRODUCT(Adds!$C$121:$AD$121,Curves!$AU$64:$BV$64)</f>
        <v/>
      </c>
      <c r="AE33" s="5">
        <f>SUMPRODUCT(Adds!$C$119:$AE$119,Curves!$AT$18:$BV$18)+SUMPRODUCT(Adds!$C$120:$AE$120,Curves!$AT$41:$BV$41)+SUMPRODUCT(Adds!$C$121:$AE$121,Curves!$AT$64:$BV$64)</f>
        <v/>
      </c>
      <c r="AF33" s="5">
        <f>SUMPRODUCT(Adds!$C$119:$AF$119,Curves!$AS$18:$BV$18)+SUMPRODUCT(Adds!$C$120:$AF$120,Curves!$AS$41:$BV$41)+SUMPRODUCT(Adds!$C$121:$AF$121,Curves!$AS$64:$BV$64)</f>
        <v/>
      </c>
      <c r="AG33" s="5">
        <f>SUMPRODUCT(Adds!$C$119:$AG$119,Curves!$AR$18:$BV$18)+SUMPRODUCT(Adds!$C$120:$AG$120,Curves!$AR$41:$BV$41)+SUMPRODUCT(Adds!$C$121:$AG$121,Curves!$AR$64:$BV$64)</f>
        <v/>
      </c>
      <c r="AH33" s="5">
        <f>SUMPRODUCT(Adds!$C$119:$AH$119,Curves!$AQ$18:$BV$18)+SUMPRODUCT(Adds!$C$120:$AH$120,Curves!$AQ$41:$BV$41)+SUMPRODUCT(Adds!$C$121:$AH$121,Curves!$AQ$64:$BV$64)</f>
        <v/>
      </c>
      <c r="AI33" s="5">
        <f>SUMPRODUCT(Adds!$C$119:$AI$119,Curves!$AP$18:$BV$18)+SUMPRODUCT(Adds!$C$120:$AI$120,Curves!$AP$41:$BV$41)+SUMPRODUCT(Adds!$C$121:$AI$121,Curves!$AP$64:$BV$64)</f>
        <v/>
      </c>
      <c r="AJ33" s="5">
        <f>SUMPRODUCT(Adds!$C$119:$AJ$119,Curves!$AO$18:$BV$18)+SUMPRODUCT(Adds!$C$120:$AJ$120,Curves!$AO$41:$BV$41)+SUMPRODUCT(Adds!$C$121:$AJ$121,Curves!$AO$64:$BV$64)</f>
        <v/>
      </c>
      <c r="AK33" s="5">
        <f>SUMPRODUCT(Adds!$C$119:$AK$119,Curves!$AN$18:$BV$18)+SUMPRODUCT(Adds!$C$120:$AK$120,Curves!$AN$41:$BV$41)+SUMPRODUCT(Adds!$C$121:$AK$121,Curves!$AN$64:$BV$64)</f>
        <v/>
      </c>
      <c r="AL33" s="5">
        <f>SUMPRODUCT(Adds!$C$119:$AL$119,Curves!$AM$18:$BV$18)+SUMPRODUCT(Adds!$C$120:$AL$120,Curves!$AM$41:$BV$41)+SUMPRODUCT(Adds!$C$121:$AL$121,Curves!$AM$64:$BV$64)</f>
        <v/>
      </c>
      <c r="AM33" s="5">
        <f>SUMPRODUCT(Adds!$C$119:$AM$119,Curves!$AL$18:$BV$18)+SUMPRODUCT(Adds!$C$120:$AM$120,Curves!$AL$41:$BV$41)+SUMPRODUCT(Adds!$C$121:$AM$121,Curves!$AL$64:$BV$64)</f>
        <v/>
      </c>
      <c r="AN33" s="5">
        <f>SUMPRODUCT(Adds!$C$119:$AN$119,Curves!$AK$18:$BV$18)+SUMPRODUCT(Adds!$C$120:$AN$120,Curves!$AK$41:$BV$41)+SUMPRODUCT(Adds!$C$121:$AN$121,Curves!$AK$64:$BV$64)</f>
        <v/>
      </c>
      <c r="AO33" s="5">
        <f>SUMPRODUCT(Adds!$C$119:$AO$119,Curves!$AJ$18:$BV$18)+SUMPRODUCT(Adds!$C$120:$AO$120,Curves!$AJ$41:$BV$41)+SUMPRODUCT(Adds!$C$121:$AO$121,Curves!$AJ$64:$BV$64)</f>
        <v/>
      </c>
      <c r="AP33" s="5">
        <f>SUMPRODUCT(Adds!$C$119:$AP$119,Curves!$AI$18:$BV$18)+SUMPRODUCT(Adds!$C$120:$AP$120,Curves!$AI$41:$BV$41)+SUMPRODUCT(Adds!$C$121:$AP$121,Curves!$AI$64:$BV$64)</f>
        <v/>
      </c>
      <c r="AQ33" s="5">
        <f>SUMPRODUCT(Adds!$C$119:$AQ$119,Curves!$AH$18:$BV$18)+SUMPRODUCT(Adds!$C$120:$AQ$120,Curves!$AH$41:$BV$41)+SUMPRODUCT(Adds!$C$121:$AQ$121,Curves!$AH$64:$BV$64)</f>
        <v/>
      </c>
      <c r="AR33" s="5">
        <f>SUMPRODUCT(Adds!$C$119:$AR$119,Curves!$AG$18:$BV$18)+SUMPRODUCT(Adds!$C$120:$AR$120,Curves!$AG$41:$BV$41)+SUMPRODUCT(Adds!$C$121:$AR$121,Curves!$AG$64:$BV$64)</f>
        <v/>
      </c>
      <c r="AS33" s="5">
        <f>SUMPRODUCT(Adds!$C$119:$AS$119,Curves!$AF$18:$BV$18)+SUMPRODUCT(Adds!$C$120:$AS$120,Curves!$AF$41:$BV$41)+SUMPRODUCT(Adds!$C$121:$AS$121,Curves!$AF$64:$BV$64)</f>
        <v/>
      </c>
      <c r="AT33" s="5">
        <f>SUMPRODUCT(Adds!$C$119:$AT$119,Curves!$AE$18:$BV$18)+SUMPRODUCT(Adds!$C$120:$AT$120,Curves!$AE$41:$BV$41)+SUMPRODUCT(Adds!$C$121:$AT$121,Curves!$AE$64:$BV$64)</f>
        <v/>
      </c>
      <c r="AU33" s="5">
        <f>SUMPRODUCT(Adds!$C$119:$AU$119,Curves!$AD$18:$BV$18)+SUMPRODUCT(Adds!$C$120:$AU$120,Curves!$AD$41:$BV$41)+SUMPRODUCT(Adds!$C$121:$AU$121,Curves!$AD$64:$BV$64)</f>
        <v/>
      </c>
      <c r="AV33" s="5">
        <f>SUMPRODUCT(Adds!$C$119:$AV$119,Curves!$AC$18:$BV$18)+SUMPRODUCT(Adds!$C$120:$AV$120,Curves!$AC$41:$BV$41)+SUMPRODUCT(Adds!$C$121:$AV$121,Curves!$AC$64:$BV$64)</f>
        <v/>
      </c>
      <c r="AW33" s="5">
        <f>SUMPRODUCT(Adds!$C$119:$AW$119,Curves!$AB$18:$BV$18)+SUMPRODUCT(Adds!$C$120:$AW$120,Curves!$AB$41:$BV$41)+SUMPRODUCT(Adds!$C$121:$AW$121,Curves!$AB$64:$BV$64)</f>
        <v/>
      </c>
      <c r="AX33" s="5">
        <f>SUMPRODUCT(Adds!$C$119:$AX$119,Curves!$AA$18:$BV$18)+SUMPRODUCT(Adds!$C$120:$AX$120,Curves!$AA$41:$BV$41)+SUMPRODUCT(Adds!$C$121:$AX$121,Curves!$AA$64:$BV$64)</f>
        <v/>
      </c>
      <c r="AY33" s="5">
        <f>SUMPRODUCT(Adds!$C$119:$AY$119,Curves!$Z$18:$BV$18)+SUMPRODUCT(Adds!$C$120:$AY$120,Curves!$Z$41:$BV$41)+SUMPRODUCT(Adds!$C$121:$AY$121,Curves!$Z$64:$BV$64)</f>
        <v/>
      </c>
      <c r="AZ33" s="5">
        <f>SUMPRODUCT(Adds!$C$119:$AZ$119,Curves!$Y$18:$BV$18)+SUMPRODUCT(Adds!$C$120:$AZ$120,Curves!$Y$41:$BV$41)+SUMPRODUCT(Adds!$C$121:$AZ$121,Curves!$Y$64:$BV$64)</f>
        <v/>
      </c>
      <c r="BA33" s="5">
        <f>SUMPRODUCT(Adds!$C$119:$BA$119,Curves!$X$18:$BV$18)+SUMPRODUCT(Adds!$C$120:$BA$120,Curves!$X$41:$BV$41)+SUMPRODUCT(Adds!$C$121:$BA$121,Curves!$X$64:$BV$64)</f>
        <v/>
      </c>
      <c r="BB33" s="5">
        <f>SUMPRODUCT(Adds!$C$119:$BB$119,Curves!$W$18:$BV$18)+SUMPRODUCT(Adds!$C$120:$BB$120,Curves!$W$41:$BV$41)+SUMPRODUCT(Adds!$C$121:$BB$121,Curves!$W$64:$BV$64)</f>
        <v/>
      </c>
      <c r="BC33" s="5">
        <f>SUMPRODUCT(Adds!$C$119:$BC$119,Curves!$V$18:$BV$18)+SUMPRODUCT(Adds!$C$120:$BC$120,Curves!$V$41:$BV$41)+SUMPRODUCT(Adds!$C$121:$BC$121,Curves!$V$64:$BV$64)</f>
        <v/>
      </c>
      <c r="BD33" s="5">
        <f>SUMPRODUCT(Adds!$C$119:$BD$119,Curves!$U$18:$BV$18)+SUMPRODUCT(Adds!$C$120:$BD$120,Curves!$U$41:$BV$41)+SUMPRODUCT(Adds!$C$121:$BD$121,Curves!$U$64:$BV$64)</f>
        <v/>
      </c>
      <c r="BE33" s="5">
        <f>SUMPRODUCT(Adds!$C$119:$BE$119,Curves!$T$18:$BV$18)+SUMPRODUCT(Adds!$C$120:$BE$120,Curves!$T$41:$BV$41)+SUMPRODUCT(Adds!$C$121:$BE$121,Curves!$T$64:$BV$64)</f>
        <v/>
      </c>
      <c r="BF33" s="5">
        <f>SUMPRODUCT(Adds!$C$119:$BF$119,Curves!$S$18:$BV$18)+SUMPRODUCT(Adds!$C$120:$BF$120,Curves!$S$41:$BV$41)+SUMPRODUCT(Adds!$C$121:$BF$121,Curves!$S$64:$BV$64)</f>
        <v/>
      </c>
      <c r="BG33" s="5">
        <f>SUMPRODUCT(Adds!$C$119:$BG$119,Curves!$R$18:$BV$18)+SUMPRODUCT(Adds!$C$120:$BG$120,Curves!$R$41:$BV$41)+SUMPRODUCT(Adds!$C$121:$BG$121,Curves!$R$64:$BV$64)</f>
        <v/>
      </c>
      <c r="BH33" s="5">
        <f>SUMPRODUCT(Adds!$C$119:$BH$119,Curves!$Q$18:$BV$18)+SUMPRODUCT(Adds!$C$120:$BH$120,Curves!$Q$41:$BV$41)+SUMPRODUCT(Adds!$C$121:$BH$121,Curves!$Q$64:$BV$64)</f>
        <v/>
      </c>
      <c r="BI33" s="5">
        <f>SUMPRODUCT(Adds!$C$119:$BI$119,Curves!$P$18:$BV$18)+SUMPRODUCT(Adds!$C$120:$BI$120,Curves!$P$41:$BV$41)+SUMPRODUCT(Adds!$C$121:$BI$121,Curves!$P$64:$BV$64)</f>
        <v/>
      </c>
      <c r="BJ33" s="5">
        <f>SUMPRODUCT(Adds!$C$119:$BJ$119,Curves!$O$18:$BV$18)+SUMPRODUCT(Adds!$C$120:$BJ$120,Curves!$O$41:$BV$41)+SUMPRODUCT(Adds!$C$121:$BJ$121,Curves!$O$64:$BV$64)</f>
        <v/>
      </c>
      <c r="BK33" s="5">
        <f>SUMPRODUCT(Adds!$C$119:$BK$119,Curves!$N$18:$BV$18)+SUMPRODUCT(Adds!$C$120:$BK$120,Curves!$N$41:$BV$41)+SUMPRODUCT(Adds!$C$121:$BK$121,Curves!$N$64:$BV$64)</f>
        <v/>
      </c>
      <c r="BL33" s="5">
        <f>SUMPRODUCT(Adds!$C$119:$BL$119,Curves!$M$18:$BV$18)+SUMPRODUCT(Adds!$C$120:$BL$120,Curves!$M$41:$BV$41)+SUMPRODUCT(Adds!$C$121:$BL$121,Curves!$M$64:$BV$64)</f>
        <v/>
      </c>
      <c r="BM33" s="5">
        <f>SUMPRODUCT(Adds!$C$119:$BM$119,Curves!$L$18:$BV$18)+SUMPRODUCT(Adds!$C$120:$BM$120,Curves!$L$41:$BV$41)+SUMPRODUCT(Adds!$C$121:$BM$121,Curves!$L$64:$BV$64)</f>
        <v/>
      </c>
      <c r="BN33" s="5">
        <f>SUMPRODUCT(Adds!$C$119:$BN$119,Curves!$K$18:$BV$18)+SUMPRODUCT(Adds!$C$120:$BN$120,Curves!$K$41:$BV$41)+SUMPRODUCT(Adds!$C$121:$BN$121,Curves!$K$64:$BV$64)</f>
        <v/>
      </c>
      <c r="BO33" s="5">
        <f>SUMPRODUCT(Adds!$C$119:$BO$119,Curves!$J$18:$BV$18)+SUMPRODUCT(Adds!$C$120:$BO$120,Curves!$J$41:$BV$41)+SUMPRODUCT(Adds!$C$121:$BO$121,Curves!$J$64:$BV$64)</f>
        <v/>
      </c>
      <c r="BP33" s="5">
        <f>SUMPRODUCT(Adds!$C$119:$BP$119,Curves!$I$18:$BV$18)+SUMPRODUCT(Adds!$C$120:$BP$120,Curves!$I$41:$BV$41)+SUMPRODUCT(Adds!$C$121:$BP$121,Curves!$I$64:$BV$64)</f>
        <v/>
      </c>
      <c r="BQ33" s="5">
        <f>SUMPRODUCT(Adds!$C$119:$BQ$119,Curves!$H$18:$BV$18)+SUMPRODUCT(Adds!$C$120:$BQ$120,Curves!$H$41:$BV$41)+SUMPRODUCT(Adds!$C$121:$BQ$121,Curves!$H$64:$BV$64)</f>
        <v/>
      </c>
      <c r="BR33" s="5">
        <f>SUMPRODUCT(Adds!$C$119:$BR$119,Curves!$G$18:$BV$18)+SUMPRODUCT(Adds!$C$120:$BR$120,Curves!$G$41:$BV$41)+SUMPRODUCT(Adds!$C$121:$BR$121,Curves!$G$64:$BV$64)</f>
        <v/>
      </c>
      <c r="BS33" s="5">
        <f>SUMPRODUCT(Adds!$C$119:$BS$119,Curves!$F$18:$BV$18)+SUMPRODUCT(Adds!$C$120:$BS$120,Curves!$F$41:$BV$41)+SUMPRODUCT(Adds!$C$121:$BS$121,Curves!$F$64:$BV$64)</f>
        <v/>
      </c>
      <c r="BT33" s="5">
        <f>SUMPRODUCT(Adds!$C$119:$BT$119,Curves!$E$18:$BV$18)+SUMPRODUCT(Adds!$C$120:$BT$120,Curves!$E$41:$BV$41)+SUMPRODUCT(Adds!$C$121:$BT$121,Curves!$E$64:$BV$64)</f>
        <v/>
      </c>
      <c r="BU33" s="5">
        <f>SUMPRODUCT(Adds!$C$119:$BU$119,Curves!$D$18:$BV$18)+SUMPRODUCT(Adds!$C$120:$BU$120,Curves!$D$41:$BV$41)+SUMPRODUCT(Adds!$C$121:$BU$121,Curves!$D$64:$BV$64)</f>
        <v/>
      </c>
      <c r="BV33" s="5">
        <f>SUMPRODUCT(Adds!$C$119:$BV$119,Curves!$C$18:$BV$18)+SUMPRODUCT(Adds!$C$120:$BV$120,Curves!$C$41:$BV$41)+SUMPRODUCT(Adds!$C$121:$BV$121,Curves!$C$64:$BV$64)</f>
        <v/>
      </c>
    </row>
    <row r="35">
      <c r="A35" t="inlineStr">
        <is>
          <t>active</t>
        </is>
      </c>
      <c r="B35" t="inlineStr">
        <is>
          <t>LATAM|NITRO_M</t>
        </is>
      </c>
      <c r="C35" s="5">
        <f>Adds!$C$134*Curves!$BV$15+Adds!$C$135*Curves!$BV$38+Adds!$C$136*Curves!$BV$61</f>
        <v/>
      </c>
      <c r="D35" s="5">
        <f>SUMPRODUCT(Adds!$C$134:$D$134,Curves!$BU$15:$BV$15)+SUMPRODUCT(Adds!$C$135:$D$135,Curves!$BU$38:$BV$38)+SUMPRODUCT(Adds!$C$136:$D$136,Curves!$BU$61:$BV$61)</f>
        <v/>
      </c>
      <c r="E35" s="5">
        <f>SUMPRODUCT(Adds!$C$134:$E$134,Curves!$BT$15:$BV$15)+SUMPRODUCT(Adds!$C$135:$E$135,Curves!$BT$38:$BV$38)+SUMPRODUCT(Adds!$C$136:$E$136,Curves!$BT$61:$BV$61)</f>
        <v/>
      </c>
      <c r="F35" s="5">
        <f>SUMPRODUCT(Adds!$C$134:$F$134,Curves!$BS$15:$BV$15)+SUMPRODUCT(Adds!$C$135:$F$135,Curves!$BS$38:$BV$38)+SUMPRODUCT(Adds!$C$136:$F$136,Curves!$BS$61:$BV$61)</f>
        <v/>
      </c>
      <c r="G35" s="5">
        <f>SUMPRODUCT(Adds!$C$134:$G$134,Curves!$BR$15:$BV$15)+SUMPRODUCT(Adds!$C$135:$G$135,Curves!$BR$38:$BV$38)+SUMPRODUCT(Adds!$C$136:$G$136,Curves!$BR$61:$BV$61)</f>
        <v/>
      </c>
      <c r="H35" s="5">
        <f>SUMPRODUCT(Adds!$C$134:$H$134,Curves!$BQ$15:$BV$15)+SUMPRODUCT(Adds!$C$135:$H$135,Curves!$BQ$38:$BV$38)+SUMPRODUCT(Adds!$C$136:$H$136,Curves!$BQ$61:$BV$61)</f>
        <v/>
      </c>
      <c r="I35" s="5">
        <f>SUMPRODUCT(Adds!$C$134:$I$134,Curves!$BP$15:$BV$15)+SUMPRODUCT(Adds!$C$135:$I$135,Curves!$BP$38:$BV$38)+SUMPRODUCT(Adds!$C$136:$I$136,Curves!$BP$61:$BV$61)</f>
        <v/>
      </c>
      <c r="J35" s="5">
        <f>SUMPRODUCT(Adds!$C$134:$J$134,Curves!$BO$15:$BV$15)+SUMPRODUCT(Adds!$C$135:$J$135,Curves!$BO$38:$BV$38)+SUMPRODUCT(Adds!$C$136:$J$136,Curves!$BO$61:$BV$61)</f>
        <v/>
      </c>
      <c r="K35" s="5">
        <f>SUMPRODUCT(Adds!$C$134:$K$134,Curves!$BN$15:$BV$15)+SUMPRODUCT(Adds!$C$135:$K$135,Curves!$BN$38:$BV$38)+SUMPRODUCT(Adds!$C$136:$K$136,Curves!$BN$61:$BV$61)</f>
        <v/>
      </c>
      <c r="L35" s="5">
        <f>SUMPRODUCT(Adds!$C$134:$L$134,Curves!$BM$15:$BV$15)+SUMPRODUCT(Adds!$C$135:$L$135,Curves!$BM$38:$BV$38)+SUMPRODUCT(Adds!$C$136:$L$136,Curves!$BM$61:$BV$61)</f>
        <v/>
      </c>
      <c r="M35" s="5">
        <f>SUMPRODUCT(Adds!$C$134:$M$134,Curves!$BL$15:$BV$15)+SUMPRODUCT(Adds!$C$135:$M$135,Curves!$BL$38:$BV$38)+SUMPRODUCT(Adds!$C$136:$M$136,Curves!$BL$61:$BV$61)</f>
        <v/>
      </c>
      <c r="N35" s="5">
        <f>SUMPRODUCT(Adds!$C$134:$N$134,Curves!$BK$15:$BV$15)+SUMPRODUCT(Adds!$C$135:$N$135,Curves!$BK$38:$BV$38)+SUMPRODUCT(Adds!$C$136:$N$136,Curves!$BK$61:$BV$61)</f>
        <v/>
      </c>
      <c r="O35" s="5">
        <f>SUMPRODUCT(Adds!$C$134:$O$134,Curves!$BJ$15:$BV$15)+SUMPRODUCT(Adds!$C$135:$O$135,Curves!$BJ$38:$BV$38)+SUMPRODUCT(Adds!$C$136:$O$136,Curves!$BJ$61:$BV$61)</f>
        <v/>
      </c>
      <c r="P35" s="5">
        <f>SUMPRODUCT(Adds!$C$134:$P$134,Curves!$BI$15:$BV$15)+SUMPRODUCT(Adds!$C$135:$P$135,Curves!$BI$38:$BV$38)+SUMPRODUCT(Adds!$C$136:$P$136,Curves!$BI$61:$BV$61)</f>
        <v/>
      </c>
      <c r="Q35" s="5">
        <f>SUMPRODUCT(Adds!$C$134:$Q$134,Curves!$BH$15:$BV$15)+SUMPRODUCT(Adds!$C$135:$Q$135,Curves!$BH$38:$BV$38)+SUMPRODUCT(Adds!$C$136:$Q$136,Curves!$BH$61:$BV$61)</f>
        <v/>
      </c>
      <c r="R35" s="5">
        <f>SUMPRODUCT(Adds!$C$134:$R$134,Curves!$BG$15:$BV$15)+SUMPRODUCT(Adds!$C$135:$R$135,Curves!$BG$38:$BV$38)+SUMPRODUCT(Adds!$C$136:$R$136,Curves!$BG$61:$BV$61)</f>
        <v/>
      </c>
      <c r="S35" s="5">
        <f>SUMPRODUCT(Adds!$C$134:$S$134,Curves!$BF$15:$BV$15)+SUMPRODUCT(Adds!$C$135:$S$135,Curves!$BF$38:$BV$38)+SUMPRODUCT(Adds!$C$136:$S$136,Curves!$BF$61:$BV$61)</f>
        <v/>
      </c>
      <c r="T35" s="5">
        <f>SUMPRODUCT(Adds!$C$134:$T$134,Curves!$BE$15:$BV$15)+SUMPRODUCT(Adds!$C$135:$T$135,Curves!$BE$38:$BV$38)+SUMPRODUCT(Adds!$C$136:$T$136,Curves!$BE$61:$BV$61)</f>
        <v/>
      </c>
      <c r="U35" s="5">
        <f>SUMPRODUCT(Adds!$C$134:$U$134,Curves!$BD$15:$BV$15)+SUMPRODUCT(Adds!$C$135:$U$135,Curves!$BD$38:$BV$38)+SUMPRODUCT(Adds!$C$136:$U$136,Curves!$BD$61:$BV$61)</f>
        <v/>
      </c>
      <c r="V35" s="5">
        <f>SUMPRODUCT(Adds!$C$134:$V$134,Curves!$BC$15:$BV$15)+SUMPRODUCT(Adds!$C$135:$V$135,Curves!$BC$38:$BV$38)+SUMPRODUCT(Adds!$C$136:$V$136,Curves!$BC$61:$BV$61)</f>
        <v/>
      </c>
      <c r="W35" s="5">
        <f>SUMPRODUCT(Adds!$C$134:$W$134,Curves!$BB$15:$BV$15)+SUMPRODUCT(Adds!$C$135:$W$135,Curves!$BB$38:$BV$38)+SUMPRODUCT(Adds!$C$136:$W$136,Curves!$BB$61:$BV$61)</f>
        <v/>
      </c>
      <c r="X35" s="5">
        <f>SUMPRODUCT(Adds!$C$134:$X$134,Curves!$BA$15:$BV$15)+SUMPRODUCT(Adds!$C$135:$X$135,Curves!$BA$38:$BV$38)+SUMPRODUCT(Adds!$C$136:$X$136,Curves!$BA$61:$BV$61)</f>
        <v/>
      </c>
      <c r="Y35" s="5">
        <f>SUMPRODUCT(Adds!$C$134:$Y$134,Curves!$AZ$15:$BV$15)+SUMPRODUCT(Adds!$C$135:$Y$135,Curves!$AZ$38:$BV$38)+SUMPRODUCT(Adds!$C$136:$Y$136,Curves!$AZ$61:$BV$61)</f>
        <v/>
      </c>
      <c r="Z35" s="5">
        <f>SUMPRODUCT(Adds!$C$134:$Z$134,Curves!$AY$15:$BV$15)+SUMPRODUCT(Adds!$C$135:$Z$135,Curves!$AY$38:$BV$38)+SUMPRODUCT(Adds!$C$136:$Z$136,Curves!$AY$61:$BV$61)</f>
        <v/>
      </c>
      <c r="AA35" s="5">
        <f>SUMPRODUCT(Adds!$C$134:$AA$134,Curves!$AX$15:$BV$15)+SUMPRODUCT(Adds!$C$135:$AA$135,Curves!$AX$38:$BV$38)+SUMPRODUCT(Adds!$C$136:$AA$136,Curves!$AX$61:$BV$61)</f>
        <v/>
      </c>
      <c r="AB35" s="5">
        <f>SUMPRODUCT(Adds!$C$134:$AB$134,Curves!$AW$15:$BV$15)+SUMPRODUCT(Adds!$C$135:$AB$135,Curves!$AW$38:$BV$38)+SUMPRODUCT(Adds!$C$136:$AB$136,Curves!$AW$61:$BV$61)</f>
        <v/>
      </c>
      <c r="AC35" s="5">
        <f>SUMPRODUCT(Adds!$C$134:$AC$134,Curves!$AV$15:$BV$15)+SUMPRODUCT(Adds!$C$135:$AC$135,Curves!$AV$38:$BV$38)+SUMPRODUCT(Adds!$C$136:$AC$136,Curves!$AV$61:$BV$61)</f>
        <v/>
      </c>
      <c r="AD35" s="5">
        <f>SUMPRODUCT(Adds!$C$134:$AD$134,Curves!$AU$15:$BV$15)+SUMPRODUCT(Adds!$C$135:$AD$135,Curves!$AU$38:$BV$38)+SUMPRODUCT(Adds!$C$136:$AD$136,Curves!$AU$61:$BV$61)</f>
        <v/>
      </c>
      <c r="AE35" s="5">
        <f>SUMPRODUCT(Adds!$C$134:$AE$134,Curves!$AT$15:$BV$15)+SUMPRODUCT(Adds!$C$135:$AE$135,Curves!$AT$38:$BV$38)+SUMPRODUCT(Adds!$C$136:$AE$136,Curves!$AT$61:$BV$61)</f>
        <v/>
      </c>
      <c r="AF35" s="5">
        <f>SUMPRODUCT(Adds!$C$134:$AF$134,Curves!$AS$15:$BV$15)+SUMPRODUCT(Adds!$C$135:$AF$135,Curves!$AS$38:$BV$38)+SUMPRODUCT(Adds!$C$136:$AF$136,Curves!$AS$61:$BV$61)</f>
        <v/>
      </c>
      <c r="AG35" s="5">
        <f>SUMPRODUCT(Adds!$C$134:$AG$134,Curves!$AR$15:$BV$15)+SUMPRODUCT(Adds!$C$135:$AG$135,Curves!$AR$38:$BV$38)+SUMPRODUCT(Adds!$C$136:$AG$136,Curves!$AR$61:$BV$61)</f>
        <v/>
      </c>
      <c r="AH35" s="5">
        <f>SUMPRODUCT(Adds!$C$134:$AH$134,Curves!$AQ$15:$BV$15)+SUMPRODUCT(Adds!$C$135:$AH$135,Curves!$AQ$38:$BV$38)+SUMPRODUCT(Adds!$C$136:$AH$136,Curves!$AQ$61:$BV$61)</f>
        <v/>
      </c>
      <c r="AI35" s="5">
        <f>SUMPRODUCT(Adds!$C$134:$AI$134,Curves!$AP$15:$BV$15)+SUMPRODUCT(Adds!$C$135:$AI$135,Curves!$AP$38:$BV$38)+SUMPRODUCT(Adds!$C$136:$AI$136,Curves!$AP$61:$BV$61)</f>
        <v/>
      </c>
      <c r="AJ35" s="5">
        <f>SUMPRODUCT(Adds!$C$134:$AJ$134,Curves!$AO$15:$BV$15)+SUMPRODUCT(Adds!$C$135:$AJ$135,Curves!$AO$38:$BV$38)+SUMPRODUCT(Adds!$C$136:$AJ$136,Curves!$AO$61:$BV$61)</f>
        <v/>
      </c>
      <c r="AK35" s="5">
        <f>SUMPRODUCT(Adds!$C$134:$AK$134,Curves!$AN$15:$BV$15)+SUMPRODUCT(Adds!$C$135:$AK$135,Curves!$AN$38:$BV$38)+SUMPRODUCT(Adds!$C$136:$AK$136,Curves!$AN$61:$BV$61)</f>
        <v/>
      </c>
      <c r="AL35" s="5">
        <f>SUMPRODUCT(Adds!$C$134:$AL$134,Curves!$AM$15:$BV$15)+SUMPRODUCT(Adds!$C$135:$AL$135,Curves!$AM$38:$BV$38)+SUMPRODUCT(Adds!$C$136:$AL$136,Curves!$AM$61:$BV$61)</f>
        <v/>
      </c>
      <c r="AM35" s="5">
        <f>SUMPRODUCT(Adds!$C$134:$AM$134,Curves!$AL$15:$BV$15)+SUMPRODUCT(Adds!$C$135:$AM$135,Curves!$AL$38:$BV$38)+SUMPRODUCT(Adds!$C$136:$AM$136,Curves!$AL$61:$BV$61)</f>
        <v/>
      </c>
      <c r="AN35" s="5">
        <f>SUMPRODUCT(Adds!$C$134:$AN$134,Curves!$AK$15:$BV$15)+SUMPRODUCT(Adds!$C$135:$AN$135,Curves!$AK$38:$BV$38)+SUMPRODUCT(Adds!$C$136:$AN$136,Curves!$AK$61:$BV$61)</f>
        <v/>
      </c>
      <c r="AO35" s="5">
        <f>SUMPRODUCT(Adds!$C$134:$AO$134,Curves!$AJ$15:$BV$15)+SUMPRODUCT(Adds!$C$135:$AO$135,Curves!$AJ$38:$BV$38)+SUMPRODUCT(Adds!$C$136:$AO$136,Curves!$AJ$61:$BV$61)</f>
        <v/>
      </c>
      <c r="AP35" s="5">
        <f>SUMPRODUCT(Adds!$C$134:$AP$134,Curves!$AI$15:$BV$15)+SUMPRODUCT(Adds!$C$135:$AP$135,Curves!$AI$38:$BV$38)+SUMPRODUCT(Adds!$C$136:$AP$136,Curves!$AI$61:$BV$61)</f>
        <v/>
      </c>
      <c r="AQ35" s="5">
        <f>SUMPRODUCT(Adds!$C$134:$AQ$134,Curves!$AH$15:$BV$15)+SUMPRODUCT(Adds!$C$135:$AQ$135,Curves!$AH$38:$BV$38)+SUMPRODUCT(Adds!$C$136:$AQ$136,Curves!$AH$61:$BV$61)</f>
        <v/>
      </c>
      <c r="AR35" s="5">
        <f>SUMPRODUCT(Adds!$C$134:$AR$134,Curves!$AG$15:$BV$15)+SUMPRODUCT(Adds!$C$135:$AR$135,Curves!$AG$38:$BV$38)+SUMPRODUCT(Adds!$C$136:$AR$136,Curves!$AG$61:$BV$61)</f>
        <v/>
      </c>
      <c r="AS35" s="5">
        <f>SUMPRODUCT(Adds!$C$134:$AS$134,Curves!$AF$15:$BV$15)+SUMPRODUCT(Adds!$C$135:$AS$135,Curves!$AF$38:$BV$38)+SUMPRODUCT(Adds!$C$136:$AS$136,Curves!$AF$61:$BV$61)</f>
        <v/>
      </c>
      <c r="AT35" s="5">
        <f>SUMPRODUCT(Adds!$C$134:$AT$134,Curves!$AE$15:$BV$15)+SUMPRODUCT(Adds!$C$135:$AT$135,Curves!$AE$38:$BV$38)+SUMPRODUCT(Adds!$C$136:$AT$136,Curves!$AE$61:$BV$61)</f>
        <v/>
      </c>
      <c r="AU35" s="5">
        <f>SUMPRODUCT(Adds!$C$134:$AU$134,Curves!$AD$15:$BV$15)+SUMPRODUCT(Adds!$C$135:$AU$135,Curves!$AD$38:$BV$38)+SUMPRODUCT(Adds!$C$136:$AU$136,Curves!$AD$61:$BV$61)</f>
        <v/>
      </c>
      <c r="AV35" s="5">
        <f>SUMPRODUCT(Adds!$C$134:$AV$134,Curves!$AC$15:$BV$15)+SUMPRODUCT(Adds!$C$135:$AV$135,Curves!$AC$38:$BV$38)+SUMPRODUCT(Adds!$C$136:$AV$136,Curves!$AC$61:$BV$61)</f>
        <v/>
      </c>
      <c r="AW35" s="5">
        <f>SUMPRODUCT(Adds!$C$134:$AW$134,Curves!$AB$15:$BV$15)+SUMPRODUCT(Adds!$C$135:$AW$135,Curves!$AB$38:$BV$38)+SUMPRODUCT(Adds!$C$136:$AW$136,Curves!$AB$61:$BV$61)</f>
        <v/>
      </c>
      <c r="AX35" s="5">
        <f>SUMPRODUCT(Adds!$C$134:$AX$134,Curves!$AA$15:$BV$15)+SUMPRODUCT(Adds!$C$135:$AX$135,Curves!$AA$38:$BV$38)+SUMPRODUCT(Adds!$C$136:$AX$136,Curves!$AA$61:$BV$61)</f>
        <v/>
      </c>
      <c r="AY35" s="5">
        <f>SUMPRODUCT(Adds!$C$134:$AY$134,Curves!$Z$15:$BV$15)+SUMPRODUCT(Adds!$C$135:$AY$135,Curves!$Z$38:$BV$38)+SUMPRODUCT(Adds!$C$136:$AY$136,Curves!$Z$61:$BV$61)</f>
        <v/>
      </c>
      <c r="AZ35" s="5">
        <f>SUMPRODUCT(Adds!$C$134:$AZ$134,Curves!$Y$15:$BV$15)+SUMPRODUCT(Adds!$C$135:$AZ$135,Curves!$Y$38:$BV$38)+SUMPRODUCT(Adds!$C$136:$AZ$136,Curves!$Y$61:$BV$61)</f>
        <v/>
      </c>
      <c r="BA35" s="5">
        <f>SUMPRODUCT(Adds!$C$134:$BA$134,Curves!$X$15:$BV$15)+SUMPRODUCT(Adds!$C$135:$BA$135,Curves!$X$38:$BV$38)+SUMPRODUCT(Adds!$C$136:$BA$136,Curves!$X$61:$BV$61)</f>
        <v/>
      </c>
      <c r="BB35" s="5">
        <f>SUMPRODUCT(Adds!$C$134:$BB$134,Curves!$W$15:$BV$15)+SUMPRODUCT(Adds!$C$135:$BB$135,Curves!$W$38:$BV$38)+SUMPRODUCT(Adds!$C$136:$BB$136,Curves!$W$61:$BV$61)</f>
        <v/>
      </c>
      <c r="BC35" s="5">
        <f>SUMPRODUCT(Adds!$C$134:$BC$134,Curves!$V$15:$BV$15)+SUMPRODUCT(Adds!$C$135:$BC$135,Curves!$V$38:$BV$38)+SUMPRODUCT(Adds!$C$136:$BC$136,Curves!$V$61:$BV$61)</f>
        <v/>
      </c>
      <c r="BD35" s="5">
        <f>SUMPRODUCT(Adds!$C$134:$BD$134,Curves!$U$15:$BV$15)+SUMPRODUCT(Adds!$C$135:$BD$135,Curves!$U$38:$BV$38)+SUMPRODUCT(Adds!$C$136:$BD$136,Curves!$U$61:$BV$61)</f>
        <v/>
      </c>
      <c r="BE35" s="5">
        <f>SUMPRODUCT(Adds!$C$134:$BE$134,Curves!$T$15:$BV$15)+SUMPRODUCT(Adds!$C$135:$BE$135,Curves!$T$38:$BV$38)+SUMPRODUCT(Adds!$C$136:$BE$136,Curves!$T$61:$BV$61)</f>
        <v/>
      </c>
      <c r="BF35" s="5">
        <f>SUMPRODUCT(Adds!$C$134:$BF$134,Curves!$S$15:$BV$15)+SUMPRODUCT(Adds!$C$135:$BF$135,Curves!$S$38:$BV$38)+SUMPRODUCT(Adds!$C$136:$BF$136,Curves!$S$61:$BV$61)</f>
        <v/>
      </c>
      <c r="BG35" s="5">
        <f>SUMPRODUCT(Adds!$C$134:$BG$134,Curves!$R$15:$BV$15)+SUMPRODUCT(Adds!$C$135:$BG$135,Curves!$R$38:$BV$38)+SUMPRODUCT(Adds!$C$136:$BG$136,Curves!$R$61:$BV$61)</f>
        <v/>
      </c>
      <c r="BH35" s="5">
        <f>SUMPRODUCT(Adds!$C$134:$BH$134,Curves!$Q$15:$BV$15)+SUMPRODUCT(Adds!$C$135:$BH$135,Curves!$Q$38:$BV$38)+SUMPRODUCT(Adds!$C$136:$BH$136,Curves!$Q$61:$BV$61)</f>
        <v/>
      </c>
      <c r="BI35" s="5">
        <f>SUMPRODUCT(Adds!$C$134:$BI$134,Curves!$P$15:$BV$15)+SUMPRODUCT(Adds!$C$135:$BI$135,Curves!$P$38:$BV$38)+SUMPRODUCT(Adds!$C$136:$BI$136,Curves!$P$61:$BV$61)</f>
        <v/>
      </c>
      <c r="BJ35" s="5">
        <f>SUMPRODUCT(Adds!$C$134:$BJ$134,Curves!$O$15:$BV$15)+SUMPRODUCT(Adds!$C$135:$BJ$135,Curves!$O$38:$BV$38)+SUMPRODUCT(Adds!$C$136:$BJ$136,Curves!$O$61:$BV$61)</f>
        <v/>
      </c>
      <c r="BK35" s="5">
        <f>SUMPRODUCT(Adds!$C$134:$BK$134,Curves!$N$15:$BV$15)+SUMPRODUCT(Adds!$C$135:$BK$135,Curves!$N$38:$BV$38)+SUMPRODUCT(Adds!$C$136:$BK$136,Curves!$N$61:$BV$61)</f>
        <v/>
      </c>
      <c r="BL35" s="5">
        <f>SUMPRODUCT(Adds!$C$134:$BL$134,Curves!$M$15:$BV$15)+SUMPRODUCT(Adds!$C$135:$BL$135,Curves!$M$38:$BV$38)+SUMPRODUCT(Adds!$C$136:$BL$136,Curves!$M$61:$BV$61)</f>
        <v/>
      </c>
      <c r="BM35" s="5">
        <f>SUMPRODUCT(Adds!$C$134:$BM$134,Curves!$L$15:$BV$15)+SUMPRODUCT(Adds!$C$135:$BM$135,Curves!$L$38:$BV$38)+SUMPRODUCT(Adds!$C$136:$BM$136,Curves!$L$61:$BV$61)</f>
        <v/>
      </c>
      <c r="BN35" s="5">
        <f>SUMPRODUCT(Adds!$C$134:$BN$134,Curves!$K$15:$BV$15)+SUMPRODUCT(Adds!$C$135:$BN$135,Curves!$K$38:$BV$38)+SUMPRODUCT(Adds!$C$136:$BN$136,Curves!$K$61:$BV$61)</f>
        <v/>
      </c>
      <c r="BO35" s="5">
        <f>SUMPRODUCT(Adds!$C$134:$BO$134,Curves!$J$15:$BV$15)+SUMPRODUCT(Adds!$C$135:$BO$135,Curves!$J$38:$BV$38)+SUMPRODUCT(Adds!$C$136:$BO$136,Curves!$J$61:$BV$61)</f>
        <v/>
      </c>
      <c r="BP35" s="5">
        <f>SUMPRODUCT(Adds!$C$134:$BP$134,Curves!$I$15:$BV$15)+SUMPRODUCT(Adds!$C$135:$BP$135,Curves!$I$38:$BV$38)+SUMPRODUCT(Adds!$C$136:$BP$136,Curves!$I$61:$BV$61)</f>
        <v/>
      </c>
      <c r="BQ35" s="5">
        <f>SUMPRODUCT(Adds!$C$134:$BQ$134,Curves!$H$15:$BV$15)+SUMPRODUCT(Adds!$C$135:$BQ$135,Curves!$H$38:$BV$38)+SUMPRODUCT(Adds!$C$136:$BQ$136,Curves!$H$61:$BV$61)</f>
        <v/>
      </c>
      <c r="BR35" s="5">
        <f>SUMPRODUCT(Adds!$C$134:$BR$134,Curves!$G$15:$BV$15)+SUMPRODUCT(Adds!$C$135:$BR$135,Curves!$G$38:$BV$38)+SUMPRODUCT(Adds!$C$136:$BR$136,Curves!$G$61:$BV$61)</f>
        <v/>
      </c>
      <c r="BS35" s="5">
        <f>SUMPRODUCT(Adds!$C$134:$BS$134,Curves!$F$15:$BV$15)+SUMPRODUCT(Adds!$C$135:$BS$135,Curves!$F$38:$BV$38)+SUMPRODUCT(Adds!$C$136:$BS$136,Curves!$F$61:$BV$61)</f>
        <v/>
      </c>
      <c r="BT35" s="5">
        <f>SUMPRODUCT(Adds!$C$134:$BT$134,Curves!$E$15:$BV$15)+SUMPRODUCT(Adds!$C$135:$BT$135,Curves!$E$38:$BV$38)+SUMPRODUCT(Adds!$C$136:$BT$136,Curves!$E$61:$BV$61)</f>
        <v/>
      </c>
      <c r="BU35" s="5">
        <f>SUMPRODUCT(Adds!$C$134:$BU$134,Curves!$D$15:$BV$15)+SUMPRODUCT(Adds!$C$135:$BU$135,Curves!$D$38:$BV$38)+SUMPRODUCT(Adds!$C$136:$BU$136,Curves!$D$61:$BV$61)</f>
        <v/>
      </c>
      <c r="BV35" s="5">
        <f>SUMPRODUCT(Adds!$C$134:$BV$134,Curves!$C$15:$BV$15)+SUMPRODUCT(Adds!$C$135:$BV$135,Curves!$C$38:$BV$38)+SUMPRODUCT(Adds!$C$136:$BV$136,Curves!$C$61:$BV$61)</f>
        <v/>
      </c>
    </row>
    <row r="36">
      <c r="A36" t="inlineStr">
        <is>
          <t>active yr 1</t>
        </is>
      </c>
      <c r="B36" t="inlineStr">
        <is>
          <t>LATAM|NITRO_M</t>
        </is>
      </c>
      <c r="C36" s="5">
        <f>Adds!$C$134*Curves!$BV$22+Adds!$C$135*Curves!$BV$45+Adds!$C$136*Curves!$BV$68</f>
        <v/>
      </c>
      <c r="D36" s="5">
        <f>SUMPRODUCT(Adds!$C$134:$D$134,Curves!$BU$22:$BV$22)+SUMPRODUCT(Adds!$C$135:$D$135,Curves!$BU$45:$BV$45)+SUMPRODUCT(Adds!$C$136:$D$136,Curves!$BU$68:$BV$68)</f>
        <v/>
      </c>
      <c r="E36" s="5">
        <f>SUMPRODUCT(Adds!$C$134:$E$134,Curves!$BT$22:$BV$22)+SUMPRODUCT(Adds!$C$135:$E$135,Curves!$BT$45:$BV$45)+SUMPRODUCT(Adds!$C$136:$E$136,Curves!$BT$68:$BV$68)</f>
        <v/>
      </c>
      <c r="F36" s="5">
        <f>SUMPRODUCT(Adds!$C$134:$F$134,Curves!$BS$22:$BV$22)+SUMPRODUCT(Adds!$C$135:$F$135,Curves!$BS$45:$BV$45)+SUMPRODUCT(Adds!$C$136:$F$136,Curves!$BS$68:$BV$68)</f>
        <v/>
      </c>
      <c r="G36" s="5">
        <f>SUMPRODUCT(Adds!$C$134:$G$134,Curves!$BR$22:$BV$22)+SUMPRODUCT(Adds!$C$135:$G$135,Curves!$BR$45:$BV$45)+SUMPRODUCT(Adds!$C$136:$G$136,Curves!$BR$68:$BV$68)</f>
        <v/>
      </c>
      <c r="H36" s="5">
        <f>SUMPRODUCT(Adds!$C$134:$H$134,Curves!$BQ$22:$BV$22)+SUMPRODUCT(Adds!$C$135:$H$135,Curves!$BQ$45:$BV$45)+SUMPRODUCT(Adds!$C$136:$H$136,Curves!$BQ$68:$BV$68)</f>
        <v/>
      </c>
      <c r="I36" s="5">
        <f>SUMPRODUCT(Adds!$C$134:$I$134,Curves!$BP$22:$BV$22)+SUMPRODUCT(Adds!$C$135:$I$135,Curves!$BP$45:$BV$45)+SUMPRODUCT(Adds!$C$136:$I$136,Curves!$BP$68:$BV$68)</f>
        <v/>
      </c>
      <c r="J36" s="5">
        <f>SUMPRODUCT(Adds!$C$134:$J$134,Curves!$BO$22:$BV$22)+SUMPRODUCT(Adds!$C$135:$J$135,Curves!$BO$45:$BV$45)+SUMPRODUCT(Adds!$C$136:$J$136,Curves!$BO$68:$BV$68)</f>
        <v/>
      </c>
      <c r="K36" s="5">
        <f>SUMPRODUCT(Adds!$C$134:$K$134,Curves!$BN$22:$BV$22)+SUMPRODUCT(Adds!$C$135:$K$135,Curves!$BN$45:$BV$45)+SUMPRODUCT(Adds!$C$136:$K$136,Curves!$BN$68:$BV$68)</f>
        <v/>
      </c>
      <c r="L36" s="5">
        <f>SUMPRODUCT(Adds!$C$134:$L$134,Curves!$BM$22:$BV$22)+SUMPRODUCT(Adds!$C$135:$L$135,Curves!$BM$45:$BV$45)+SUMPRODUCT(Adds!$C$136:$L$136,Curves!$BM$68:$BV$68)</f>
        <v/>
      </c>
      <c r="M36" s="5">
        <f>SUMPRODUCT(Adds!$C$134:$M$134,Curves!$BL$22:$BV$22)+SUMPRODUCT(Adds!$C$135:$M$135,Curves!$BL$45:$BV$45)+SUMPRODUCT(Adds!$C$136:$M$136,Curves!$BL$68:$BV$68)</f>
        <v/>
      </c>
      <c r="N36" s="5">
        <f>SUMPRODUCT(Adds!$C$134:$N$134,Curves!$BK$22:$BV$22)+SUMPRODUCT(Adds!$C$135:$N$135,Curves!$BK$45:$BV$45)+SUMPRODUCT(Adds!$C$136:$N$136,Curves!$BK$68:$BV$68)</f>
        <v/>
      </c>
      <c r="O36" s="5">
        <f>SUMPRODUCT(Adds!$C$134:$O$134,Curves!$BJ$22:$BV$22)+SUMPRODUCT(Adds!$C$135:$O$135,Curves!$BJ$45:$BV$45)+SUMPRODUCT(Adds!$C$136:$O$136,Curves!$BJ$68:$BV$68)</f>
        <v/>
      </c>
      <c r="P36" s="5">
        <f>SUMPRODUCT(Adds!$C$134:$P$134,Curves!$BI$22:$BV$22)+SUMPRODUCT(Adds!$C$135:$P$135,Curves!$BI$45:$BV$45)+SUMPRODUCT(Adds!$C$136:$P$136,Curves!$BI$68:$BV$68)</f>
        <v/>
      </c>
      <c r="Q36" s="5">
        <f>SUMPRODUCT(Adds!$C$134:$Q$134,Curves!$BH$22:$BV$22)+SUMPRODUCT(Adds!$C$135:$Q$135,Curves!$BH$45:$BV$45)+SUMPRODUCT(Adds!$C$136:$Q$136,Curves!$BH$68:$BV$68)</f>
        <v/>
      </c>
      <c r="R36" s="5">
        <f>SUMPRODUCT(Adds!$C$134:$R$134,Curves!$BG$22:$BV$22)+SUMPRODUCT(Adds!$C$135:$R$135,Curves!$BG$45:$BV$45)+SUMPRODUCT(Adds!$C$136:$R$136,Curves!$BG$68:$BV$68)</f>
        <v/>
      </c>
      <c r="S36" s="5">
        <f>SUMPRODUCT(Adds!$C$134:$S$134,Curves!$BF$22:$BV$22)+SUMPRODUCT(Adds!$C$135:$S$135,Curves!$BF$45:$BV$45)+SUMPRODUCT(Adds!$C$136:$S$136,Curves!$BF$68:$BV$68)</f>
        <v/>
      </c>
      <c r="T36" s="5">
        <f>SUMPRODUCT(Adds!$C$134:$T$134,Curves!$BE$22:$BV$22)+SUMPRODUCT(Adds!$C$135:$T$135,Curves!$BE$45:$BV$45)+SUMPRODUCT(Adds!$C$136:$T$136,Curves!$BE$68:$BV$68)</f>
        <v/>
      </c>
      <c r="U36" s="5">
        <f>SUMPRODUCT(Adds!$C$134:$U$134,Curves!$BD$22:$BV$22)+SUMPRODUCT(Adds!$C$135:$U$135,Curves!$BD$45:$BV$45)+SUMPRODUCT(Adds!$C$136:$U$136,Curves!$BD$68:$BV$68)</f>
        <v/>
      </c>
      <c r="V36" s="5">
        <f>SUMPRODUCT(Adds!$C$134:$V$134,Curves!$BC$22:$BV$22)+SUMPRODUCT(Adds!$C$135:$V$135,Curves!$BC$45:$BV$45)+SUMPRODUCT(Adds!$C$136:$V$136,Curves!$BC$68:$BV$68)</f>
        <v/>
      </c>
      <c r="W36" s="5">
        <f>SUMPRODUCT(Adds!$C$134:$W$134,Curves!$BB$22:$BV$22)+SUMPRODUCT(Adds!$C$135:$W$135,Curves!$BB$45:$BV$45)+SUMPRODUCT(Adds!$C$136:$W$136,Curves!$BB$68:$BV$68)</f>
        <v/>
      </c>
      <c r="X36" s="5">
        <f>SUMPRODUCT(Adds!$C$134:$X$134,Curves!$BA$22:$BV$22)+SUMPRODUCT(Adds!$C$135:$X$135,Curves!$BA$45:$BV$45)+SUMPRODUCT(Adds!$C$136:$X$136,Curves!$BA$68:$BV$68)</f>
        <v/>
      </c>
      <c r="Y36" s="5">
        <f>SUMPRODUCT(Adds!$C$134:$Y$134,Curves!$AZ$22:$BV$22)+SUMPRODUCT(Adds!$C$135:$Y$135,Curves!$AZ$45:$BV$45)+SUMPRODUCT(Adds!$C$136:$Y$136,Curves!$AZ$68:$BV$68)</f>
        <v/>
      </c>
      <c r="Z36" s="5">
        <f>SUMPRODUCT(Adds!$C$134:$Z$134,Curves!$AY$22:$BV$22)+SUMPRODUCT(Adds!$C$135:$Z$135,Curves!$AY$45:$BV$45)+SUMPRODUCT(Adds!$C$136:$Z$136,Curves!$AY$68:$BV$68)</f>
        <v/>
      </c>
      <c r="AA36" s="5">
        <f>SUMPRODUCT(Adds!$C$134:$AA$134,Curves!$AX$22:$BV$22)+SUMPRODUCT(Adds!$C$135:$AA$135,Curves!$AX$45:$BV$45)+SUMPRODUCT(Adds!$C$136:$AA$136,Curves!$AX$68:$BV$68)</f>
        <v/>
      </c>
      <c r="AB36" s="5">
        <f>SUMPRODUCT(Adds!$C$134:$AB$134,Curves!$AW$22:$BV$22)+SUMPRODUCT(Adds!$C$135:$AB$135,Curves!$AW$45:$BV$45)+SUMPRODUCT(Adds!$C$136:$AB$136,Curves!$AW$68:$BV$68)</f>
        <v/>
      </c>
      <c r="AC36" s="5">
        <f>SUMPRODUCT(Adds!$C$134:$AC$134,Curves!$AV$22:$BV$22)+SUMPRODUCT(Adds!$C$135:$AC$135,Curves!$AV$45:$BV$45)+SUMPRODUCT(Adds!$C$136:$AC$136,Curves!$AV$68:$BV$68)</f>
        <v/>
      </c>
      <c r="AD36" s="5">
        <f>SUMPRODUCT(Adds!$C$134:$AD$134,Curves!$AU$22:$BV$22)+SUMPRODUCT(Adds!$C$135:$AD$135,Curves!$AU$45:$BV$45)+SUMPRODUCT(Adds!$C$136:$AD$136,Curves!$AU$68:$BV$68)</f>
        <v/>
      </c>
      <c r="AE36" s="5">
        <f>SUMPRODUCT(Adds!$C$134:$AE$134,Curves!$AT$22:$BV$22)+SUMPRODUCT(Adds!$C$135:$AE$135,Curves!$AT$45:$BV$45)+SUMPRODUCT(Adds!$C$136:$AE$136,Curves!$AT$68:$BV$68)</f>
        <v/>
      </c>
      <c r="AF36" s="5">
        <f>SUMPRODUCT(Adds!$C$134:$AF$134,Curves!$AS$22:$BV$22)+SUMPRODUCT(Adds!$C$135:$AF$135,Curves!$AS$45:$BV$45)+SUMPRODUCT(Adds!$C$136:$AF$136,Curves!$AS$68:$BV$68)</f>
        <v/>
      </c>
      <c r="AG36" s="5">
        <f>SUMPRODUCT(Adds!$C$134:$AG$134,Curves!$AR$22:$BV$22)+SUMPRODUCT(Adds!$C$135:$AG$135,Curves!$AR$45:$BV$45)+SUMPRODUCT(Adds!$C$136:$AG$136,Curves!$AR$68:$BV$68)</f>
        <v/>
      </c>
      <c r="AH36" s="5">
        <f>SUMPRODUCT(Adds!$C$134:$AH$134,Curves!$AQ$22:$BV$22)+SUMPRODUCT(Adds!$C$135:$AH$135,Curves!$AQ$45:$BV$45)+SUMPRODUCT(Adds!$C$136:$AH$136,Curves!$AQ$68:$BV$68)</f>
        <v/>
      </c>
      <c r="AI36" s="5">
        <f>SUMPRODUCT(Adds!$C$134:$AI$134,Curves!$AP$22:$BV$22)+SUMPRODUCT(Adds!$C$135:$AI$135,Curves!$AP$45:$BV$45)+SUMPRODUCT(Adds!$C$136:$AI$136,Curves!$AP$68:$BV$68)</f>
        <v/>
      </c>
      <c r="AJ36" s="5">
        <f>SUMPRODUCT(Adds!$C$134:$AJ$134,Curves!$AO$22:$BV$22)+SUMPRODUCT(Adds!$C$135:$AJ$135,Curves!$AO$45:$BV$45)+SUMPRODUCT(Adds!$C$136:$AJ$136,Curves!$AO$68:$BV$68)</f>
        <v/>
      </c>
      <c r="AK36" s="5">
        <f>SUMPRODUCT(Adds!$C$134:$AK$134,Curves!$AN$22:$BV$22)+SUMPRODUCT(Adds!$C$135:$AK$135,Curves!$AN$45:$BV$45)+SUMPRODUCT(Adds!$C$136:$AK$136,Curves!$AN$68:$BV$68)</f>
        <v/>
      </c>
      <c r="AL36" s="5">
        <f>SUMPRODUCT(Adds!$C$134:$AL$134,Curves!$AM$22:$BV$22)+SUMPRODUCT(Adds!$C$135:$AL$135,Curves!$AM$45:$BV$45)+SUMPRODUCT(Adds!$C$136:$AL$136,Curves!$AM$68:$BV$68)</f>
        <v/>
      </c>
      <c r="AM36" s="5">
        <f>SUMPRODUCT(Adds!$C$134:$AM$134,Curves!$AL$22:$BV$22)+SUMPRODUCT(Adds!$C$135:$AM$135,Curves!$AL$45:$BV$45)+SUMPRODUCT(Adds!$C$136:$AM$136,Curves!$AL$68:$BV$68)</f>
        <v/>
      </c>
      <c r="AN36" s="5">
        <f>SUMPRODUCT(Adds!$C$134:$AN$134,Curves!$AK$22:$BV$22)+SUMPRODUCT(Adds!$C$135:$AN$135,Curves!$AK$45:$BV$45)+SUMPRODUCT(Adds!$C$136:$AN$136,Curves!$AK$68:$BV$68)</f>
        <v/>
      </c>
      <c r="AO36" s="5">
        <f>SUMPRODUCT(Adds!$C$134:$AO$134,Curves!$AJ$22:$BV$22)+SUMPRODUCT(Adds!$C$135:$AO$135,Curves!$AJ$45:$BV$45)+SUMPRODUCT(Adds!$C$136:$AO$136,Curves!$AJ$68:$BV$68)</f>
        <v/>
      </c>
      <c r="AP36" s="5">
        <f>SUMPRODUCT(Adds!$C$134:$AP$134,Curves!$AI$22:$BV$22)+SUMPRODUCT(Adds!$C$135:$AP$135,Curves!$AI$45:$BV$45)+SUMPRODUCT(Adds!$C$136:$AP$136,Curves!$AI$68:$BV$68)</f>
        <v/>
      </c>
      <c r="AQ36" s="5">
        <f>SUMPRODUCT(Adds!$C$134:$AQ$134,Curves!$AH$22:$BV$22)+SUMPRODUCT(Adds!$C$135:$AQ$135,Curves!$AH$45:$BV$45)+SUMPRODUCT(Adds!$C$136:$AQ$136,Curves!$AH$68:$BV$68)</f>
        <v/>
      </c>
      <c r="AR36" s="5">
        <f>SUMPRODUCT(Adds!$C$134:$AR$134,Curves!$AG$22:$BV$22)+SUMPRODUCT(Adds!$C$135:$AR$135,Curves!$AG$45:$BV$45)+SUMPRODUCT(Adds!$C$136:$AR$136,Curves!$AG$68:$BV$68)</f>
        <v/>
      </c>
      <c r="AS36" s="5">
        <f>SUMPRODUCT(Adds!$C$134:$AS$134,Curves!$AF$22:$BV$22)+SUMPRODUCT(Adds!$C$135:$AS$135,Curves!$AF$45:$BV$45)+SUMPRODUCT(Adds!$C$136:$AS$136,Curves!$AF$68:$BV$68)</f>
        <v/>
      </c>
      <c r="AT36" s="5">
        <f>SUMPRODUCT(Adds!$C$134:$AT$134,Curves!$AE$22:$BV$22)+SUMPRODUCT(Adds!$C$135:$AT$135,Curves!$AE$45:$BV$45)+SUMPRODUCT(Adds!$C$136:$AT$136,Curves!$AE$68:$BV$68)</f>
        <v/>
      </c>
      <c r="AU36" s="5">
        <f>SUMPRODUCT(Adds!$C$134:$AU$134,Curves!$AD$22:$BV$22)+SUMPRODUCT(Adds!$C$135:$AU$135,Curves!$AD$45:$BV$45)+SUMPRODUCT(Adds!$C$136:$AU$136,Curves!$AD$68:$BV$68)</f>
        <v/>
      </c>
      <c r="AV36" s="5">
        <f>SUMPRODUCT(Adds!$C$134:$AV$134,Curves!$AC$22:$BV$22)+SUMPRODUCT(Adds!$C$135:$AV$135,Curves!$AC$45:$BV$45)+SUMPRODUCT(Adds!$C$136:$AV$136,Curves!$AC$68:$BV$68)</f>
        <v/>
      </c>
      <c r="AW36" s="5">
        <f>SUMPRODUCT(Adds!$C$134:$AW$134,Curves!$AB$22:$BV$22)+SUMPRODUCT(Adds!$C$135:$AW$135,Curves!$AB$45:$BV$45)+SUMPRODUCT(Adds!$C$136:$AW$136,Curves!$AB$68:$BV$68)</f>
        <v/>
      </c>
      <c r="AX36" s="5">
        <f>SUMPRODUCT(Adds!$C$134:$AX$134,Curves!$AA$22:$BV$22)+SUMPRODUCT(Adds!$C$135:$AX$135,Curves!$AA$45:$BV$45)+SUMPRODUCT(Adds!$C$136:$AX$136,Curves!$AA$68:$BV$68)</f>
        <v/>
      </c>
      <c r="AY36" s="5">
        <f>SUMPRODUCT(Adds!$C$134:$AY$134,Curves!$Z$22:$BV$22)+SUMPRODUCT(Adds!$C$135:$AY$135,Curves!$Z$45:$BV$45)+SUMPRODUCT(Adds!$C$136:$AY$136,Curves!$Z$68:$BV$68)</f>
        <v/>
      </c>
      <c r="AZ36" s="5">
        <f>SUMPRODUCT(Adds!$C$134:$AZ$134,Curves!$Y$22:$BV$22)+SUMPRODUCT(Adds!$C$135:$AZ$135,Curves!$Y$45:$BV$45)+SUMPRODUCT(Adds!$C$136:$AZ$136,Curves!$Y$68:$BV$68)</f>
        <v/>
      </c>
      <c r="BA36" s="5">
        <f>SUMPRODUCT(Adds!$C$134:$BA$134,Curves!$X$22:$BV$22)+SUMPRODUCT(Adds!$C$135:$BA$135,Curves!$X$45:$BV$45)+SUMPRODUCT(Adds!$C$136:$BA$136,Curves!$X$68:$BV$68)</f>
        <v/>
      </c>
      <c r="BB36" s="5">
        <f>SUMPRODUCT(Adds!$C$134:$BB$134,Curves!$W$22:$BV$22)+SUMPRODUCT(Adds!$C$135:$BB$135,Curves!$W$45:$BV$45)+SUMPRODUCT(Adds!$C$136:$BB$136,Curves!$W$68:$BV$68)</f>
        <v/>
      </c>
      <c r="BC36" s="5">
        <f>SUMPRODUCT(Adds!$C$134:$BC$134,Curves!$V$22:$BV$22)+SUMPRODUCT(Adds!$C$135:$BC$135,Curves!$V$45:$BV$45)+SUMPRODUCT(Adds!$C$136:$BC$136,Curves!$V$68:$BV$68)</f>
        <v/>
      </c>
      <c r="BD36" s="5">
        <f>SUMPRODUCT(Adds!$C$134:$BD$134,Curves!$U$22:$BV$22)+SUMPRODUCT(Adds!$C$135:$BD$135,Curves!$U$45:$BV$45)+SUMPRODUCT(Adds!$C$136:$BD$136,Curves!$U$68:$BV$68)</f>
        <v/>
      </c>
      <c r="BE36" s="5">
        <f>SUMPRODUCT(Adds!$C$134:$BE$134,Curves!$T$22:$BV$22)+SUMPRODUCT(Adds!$C$135:$BE$135,Curves!$T$45:$BV$45)+SUMPRODUCT(Adds!$C$136:$BE$136,Curves!$T$68:$BV$68)</f>
        <v/>
      </c>
      <c r="BF36" s="5">
        <f>SUMPRODUCT(Adds!$C$134:$BF$134,Curves!$S$22:$BV$22)+SUMPRODUCT(Adds!$C$135:$BF$135,Curves!$S$45:$BV$45)+SUMPRODUCT(Adds!$C$136:$BF$136,Curves!$S$68:$BV$68)</f>
        <v/>
      </c>
      <c r="BG36" s="5">
        <f>SUMPRODUCT(Adds!$C$134:$BG$134,Curves!$R$22:$BV$22)+SUMPRODUCT(Adds!$C$135:$BG$135,Curves!$R$45:$BV$45)+SUMPRODUCT(Adds!$C$136:$BG$136,Curves!$R$68:$BV$68)</f>
        <v/>
      </c>
      <c r="BH36" s="5">
        <f>SUMPRODUCT(Adds!$C$134:$BH$134,Curves!$Q$22:$BV$22)+SUMPRODUCT(Adds!$C$135:$BH$135,Curves!$Q$45:$BV$45)+SUMPRODUCT(Adds!$C$136:$BH$136,Curves!$Q$68:$BV$68)</f>
        <v/>
      </c>
      <c r="BI36" s="5">
        <f>SUMPRODUCT(Adds!$C$134:$BI$134,Curves!$P$22:$BV$22)+SUMPRODUCT(Adds!$C$135:$BI$135,Curves!$P$45:$BV$45)+SUMPRODUCT(Adds!$C$136:$BI$136,Curves!$P$68:$BV$68)</f>
        <v/>
      </c>
      <c r="BJ36" s="5">
        <f>SUMPRODUCT(Adds!$C$134:$BJ$134,Curves!$O$22:$BV$22)+SUMPRODUCT(Adds!$C$135:$BJ$135,Curves!$O$45:$BV$45)+SUMPRODUCT(Adds!$C$136:$BJ$136,Curves!$O$68:$BV$68)</f>
        <v/>
      </c>
      <c r="BK36" s="5">
        <f>SUMPRODUCT(Adds!$C$134:$BK$134,Curves!$N$22:$BV$22)+SUMPRODUCT(Adds!$C$135:$BK$135,Curves!$N$45:$BV$45)+SUMPRODUCT(Adds!$C$136:$BK$136,Curves!$N$68:$BV$68)</f>
        <v/>
      </c>
      <c r="BL36" s="5">
        <f>SUMPRODUCT(Adds!$C$134:$BL$134,Curves!$M$22:$BV$22)+SUMPRODUCT(Adds!$C$135:$BL$135,Curves!$M$45:$BV$45)+SUMPRODUCT(Adds!$C$136:$BL$136,Curves!$M$68:$BV$68)</f>
        <v/>
      </c>
      <c r="BM36" s="5">
        <f>SUMPRODUCT(Adds!$C$134:$BM$134,Curves!$L$22:$BV$22)+SUMPRODUCT(Adds!$C$135:$BM$135,Curves!$L$45:$BV$45)+SUMPRODUCT(Adds!$C$136:$BM$136,Curves!$L$68:$BV$68)</f>
        <v/>
      </c>
      <c r="BN36" s="5">
        <f>SUMPRODUCT(Adds!$C$134:$BN$134,Curves!$K$22:$BV$22)+SUMPRODUCT(Adds!$C$135:$BN$135,Curves!$K$45:$BV$45)+SUMPRODUCT(Adds!$C$136:$BN$136,Curves!$K$68:$BV$68)</f>
        <v/>
      </c>
      <c r="BO36" s="5">
        <f>SUMPRODUCT(Adds!$C$134:$BO$134,Curves!$J$22:$BV$22)+SUMPRODUCT(Adds!$C$135:$BO$135,Curves!$J$45:$BV$45)+SUMPRODUCT(Adds!$C$136:$BO$136,Curves!$J$68:$BV$68)</f>
        <v/>
      </c>
      <c r="BP36" s="5">
        <f>SUMPRODUCT(Adds!$C$134:$BP$134,Curves!$I$22:$BV$22)+SUMPRODUCT(Adds!$C$135:$BP$135,Curves!$I$45:$BV$45)+SUMPRODUCT(Adds!$C$136:$BP$136,Curves!$I$68:$BV$68)</f>
        <v/>
      </c>
      <c r="BQ36" s="5">
        <f>SUMPRODUCT(Adds!$C$134:$BQ$134,Curves!$H$22:$BV$22)+SUMPRODUCT(Adds!$C$135:$BQ$135,Curves!$H$45:$BV$45)+SUMPRODUCT(Adds!$C$136:$BQ$136,Curves!$H$68:$BV$68)</f>
        <v/>
      </c>
      <c r="BR36" s="5">
        <f>SUMPRODUCT(Adds!$C$134:$BR$134,Curves!$G$22:$BV$22)+SUMPRODUCT(Adds!$C$135:$BR$135,Curves!$G$45:$BV$45)+SUMPRODUCT(Adds!$C$136:$BR$136,Curves!$G$68:$BV$68)</f>
        <v/>
      </c>
      <c r="BS36" s="5">
        <f>SUMPRODUCT(Adds!$C$134:$BS$134,Curves!$F$22:$BV$22)+SUMPRODUCT(Adds!$C$135:$BS$135,Curves!$F$45:$BV$45)+SUMPRODUCT(Adds!$C$136:$BS$136,Curves!$F$68:$BV$68)</f>
        <v/>
      </c>
      <c r="BT36" s="5">
        <f>SUMPRODUCT(Adds!$C$134:$BT$134,Curves!$E$22:$BV$22)+SUMPRODUCT(Adds!$C$135:$BT$135,Curves!$E$45:$BV$45)+SUMPRODUCT(Adds!$C$136:$BT$136,Curves!$E$68:$BV$68)</f>
        <v/>
      </c>
      <c r="BU36" s="5">
        <f>SUMPRODUCT(Adds!$C$134:$BU$134,Curves!$D$22:$BV$22)+SUMPRODUCT(Adds!$C$135:$BU$135,Curves!$D$45:$BV$45)+SUMPRODUCT(Adds!$C$136:$BU$136,Curves!$D$68:$BV$68)</f>
        <v/>
      </c>
      <c r="BV36" s="5">
        <f>SUMPRODUCT(Adds!$C$134:$BV$134,Curves!$C$22:$BV$22)+SUMPRODUCT(Adds!$C$135:$BV$135,Curves!$C$45:$BV$45)+SUMPRODUCT(Adds!$C$136:$BV$136,Curves!$C$68:$BV$68)</f>
        <v/>
      </c>
    </row>
    <row r="37">
      <c r="A37" t="inlineStr">
        <is>
          <t>churned</t>
        </is>
      </c>
      <c r="B37" t="inlineStr">
        <is>
          <t>LATAM|NITRO_M</t>
        </is>
      </c>
      <c r="C37" s="5">
        <f>Adds!$C$134*Curves!$BV$17+Adds!$C$135*Curves!$BV$40+Adds!$C$136*Curves!$BV$63</f>
        <v/>
      </c>
      <c r="D37" s="5">
        <f>SUMPRODUCT(Adds!$C$134:$D$134,Curves!$BU$17:$BV$17)+SUMPRODUCT(Adds!$C$135:$D$135,Curves!$BU$40:$BV$40)+SUMPRODUCT(Adds!$C$136:$D$136,Curves!$BU$63:$BV$63)</f>
        <v/>
      </c>
      <c r="E37" s="5">
        <f>SUMPRODUCT(Adds!$C$134:$E$134,Curves!$BT$17:$BV$17)+SUMPRODUCT(Adds!$C$135:$E$135,Curves!$BT$40:$BV$40)+SUMPRODUCT(Adds!$C$136:$E$136,Curves!$BT$63:$BV$63)</f>
        <v/>
      </c>
      <c r="F37" s="5">
        <f>SUMPRODUCT(Adds!$C$134:$F$134,Curves!$BS$17:$BV$17)+SUMPRODUCT(Adds!$C$135:$F$135,Curves!$BS$40:$BV$40)+SUMPRODUCT(Adds!$C$136:$F$136,Curves!$BS$63:$BV$63)</f>
        <v/>
      </c>
      <c r="G37" s="5">
        <f>SUMPRODUCT(Adds!$C$134:$G$134,Curves!$BR$17:$BV$17)+SUMPRODUCT(Adds!$C$135:$G$135,Curves!$BR$40:$BV$40)+SUMPRODUCT(Adds!$C$136:$G$136,Curves!$BR$63:$BV$63)</f>
        <v/>
      </c>
      <c r="H37" s="5">
        <f>SUMPRODUCT(Adds!$C$134:$H$134,Curves!$BQ$17:$BV$17)+SUMPRODUCT(Adds!$C$135:$H$135,Curves!$BQ$40:$BV$40)+SUMPRODUCT(Adds!$C$136:$H$136,Curves!$BQ$63:$BV$63)</f>
        <v/>
      </c>
      <c r="I37" s="5">
        <f>SUMPRODUCT(Adds!$C$134:$I$134,Curves!$BP$17:$BV$17)+SUMPRODUCT(Adds!$C$135:$I$135,Curves!$BP$40:$BV$40)+SUMPRODUCT(Adds!$C$136:$I$136,Curves!$BP$63:$BV$63)</f>
        <v/>
      </c>
      <c r="J37" s="5">
        <f>SUMPRODUCT(Adds!$C$134:$J$134,Curves!$BO$17:$BV$17)+SUMPRODUCT(Adds!$C$135:$J$135,Curves!$BO$40:$BV$40)+SUMPRODUCT(Adds!$C$136:$J$136,Curves!$BO$63:$BV$63)</f>
        <v/>
      </c>
      <c r="K37" s="5">
        <f>SUMPRODUCT(Adds!$C$134:$K$134,Curves!$BN$17:$BV$17)+SUMPRODUCT(Adds!$C$135:$K$135,Curves!$BN$40:$BV$40)+SUMPRODUCT(Adds!$C$136:$K$136,Curves!$BN$63:$BV$63)</f>
        <v/>
      </c>
      <c r="L37" s="5">
        <f>SUMPRODUCT(Adds!$C$134:$L$134,Curves!$BM$17:$BV$17)+SUMPRODUCT(Adds!$C$135:$L$135,Curves!$BM$40:$BV$40)+SUMPRODUCT(Adds!$C$136:$L$136,Curves!$BM$63:$BV$63)</f>
        <v/>
      </c>
      <c r="M37" s="5">
        <f>SUMPRODUCT(Adds!$C$134:$M$134,Curves!$BL$17:$BV$17)+SUMPRODUCT(Adds!$C$135:$M$135,Curves!$BL$40:$BV$40)+SUMPRODUCT(Adds!$C$136:$M$136,Curves!$BL$63:$BV$63)</f>
        <v/>
      </c>
      <c r="N37" s="5">
        <f>SUMPRODUCT(Adds!$C$134:$N$134,Curves!$BK$17:$BV$17)+SUMPRODUCT(Adds!$C$135:$N$135,Curves!$BK$40:$BV$40)+SUMPRODUCT(Adds!$C$136:$N$136,Curves!$BK$63:$BV$63)</f>
        <v/>
      </c>
      <c r="O37" s="5">
        <f>SUMPRODUCT(Adds!$C$134:$O$134,Curves!$BJ$17:$BV$17)+SUMPRODUCT(Adds!$C$135:$O$135,Curves!$BJ$40:$BV$40)+SUMPRODUCT(Adds!$C$136:$O$136,Curves!$BJ$63:$BV$63)</f>
        <v/>
      </c>
      <c r="P37" s="5">
        <f>SUMPRODUCT(Adds!$C$134:$P$134,Curves!$BI$17:$BV$17)+SUMPRODUCT(Adds!$C$135:$P$135,Curves!$BI$40:$BV$40)+SUMPRODUCT(Adds!$C$136:$P$136,Curves!$BI$63:$BV$63)</f>
        <v/>
      </c>
      <c r="Q37" s="5">
        <f>SUMPRODUCT(Adds!$C$134:$Q$134,Curves!$BH$17:$BV$17)+SUMPRODUCT(Adds!$C$135:$Q$135,Curves!$BH$40:$BV$40)+SUMPRODUCT(Adds!$C$136:$Q$136,Curves!$BH$63:$BV$63)</f>
        <v/>
      </c>
      <c r="R37" s="5">
        <f>SUMPRODUCT(Adds!$C$134:$R$134,Curves!$BG$17:$BV$17)+SUMPRODUCT(Adds!$C$135:$R$135,Curves!$BG$40:$BV$40)+SUMPRODUCT(Adds!$C$136:$R$136,Curves!$BG$63:$BV$63)</f>
        <v/>
      </c>
      <c r="S37" s="5">
        <f>SUMPRODUCT(Adds!$C$134:$S$134,Curves!$BF$17:$BV$17)+SUMPRODUCT(Adds!$C$135:$S$135,Curves!$BF$40:$BV$40)+SUMPRODUCT(Adds!$C$136:$S$136,Curves!$BF$63:$BV$63)</f>
        <v/>
      </c>
      <c r="T37" s="5">
        <f>SUMPRODUCT(Adds!$C$134:$T$134,Curves!$BE$17:$BV$17)+SUMPRODUCT(Adds!$C$135:$T$135,Curves!$BE$40:$BV$40)+SUMPRODUCT(Adds!$C$136:$T$136,Curves!$BE$63:$BV$63)</f>
        <v/>
      </c>
      <c r="U37" s="5">
        <f>SUMPRODUCT(Adds!$C$134:$U$134,Curves!$BD$17:$BV$17)+SUMPRODUCT(Adds!$C$135:$U$135,Curves!$BD$40:$BV$40)+SUMPRODUCT(Adds!$C$136:$U$136,Curves!$BD$63:$BV$63)</f>
        <v/>
      </c>
      <c r="V37" s="5">
        <f>SUMPRODUCT(Adds!$C$134:$V$134,Curves!$BC$17:$BV$17)+SUMPRODUCT(Adds!$C$135:$V$135,Curves!$BC$40:$BV$40)+SUMPRODUCT(Adds!$C$136:$V$136,Curves!$BC$63:$BV$63)</f>
        <v/>
      </c>
      <c r="W37" s="5">
        <f>SUMPRODUCT(Adds!$C$134:$W$134,Curves!$BB$17:$BV$17)+SUMPRODUCT(Adds!$C$135:$W$135,Curves!$BB$40:$BV$40)+SUMPRODUCT(Adds!$C$136:$W$136,Curves!$BB$63:$BV$63)</f>
        <v/>
      </c>
      <c r="X37" s="5">
        <f>SUMPRODUCT(Adds!$C$134:$X$134,Curves!$BA$17:$BV$17)+SUMPRODUCT(Adds!$C$135:$X$135,Curves!$BA$40:$BV$40)+SUMPRODUCT(Adds!$C$136:$X$136,Curves!$BA$63:$BV$63)</f>
        <v/>
      </c>
      <c r="Y37" s="5">
        <f>SUMPRODUCT(Adds!$C$134:$Y$134,Curves!$AZ$17:$BV$17)+SUMPRODUCT(Adds!$C$135:$Y$135,Curves!$AZ$40:$BV$40)+SUMPRODUCT(Adds!$C$136:$Y$136,Curves!$AZ$63:$BV$63)</f>
        <v/>
      </c>
      <c r="Z37" s="5">
        <f>SUMPRODUCT(Adds!$C$134:$Z$134,Curves!$AY$17:$BV$17)+SUMPRODUCT(Adds!$C$135:$Z$135,Curves!$AY$40:$BV$40)+SUMPRODUCT(Adds!$C$136:$Z$136,Curves!$AY$63:$BV$63)</f>
        <v/>
      </c>
      <c r="AA37" s="5">
        <f>SUMPRODUCT(Adds!$C$134:$AA$134,Curves!$AX$17:$BV$17)+SUMPRODUCT(Adds!$C$135:$AA$135,Curves!$AX$40:$BV$40)+SUMPRODUCT(Adds!$C$136:$AA$136,Curves!$AX$63:$BV$63)</f>
        <v/>
      </c>
      <c r="AB37" s="5">
        <f>SUMPRODUCT(Adds!$C$134:$AB$134,Curves!$AW$17:$BV$17)+SUMPRODUCT(Adds!$C$135:$AB$135,Curves!$AW$40:$BV$40)+SUMPRODUCT(Adds!$C$136:$AB$136,Curves!$AW$63:$BV$63)</f>
        <v/>
      </c>
      <c r="AC37" s="5">
        <f>SUMPRODUCT(Adds!$C$134:$AC$134,Curves!$AV$17:$BV$17)+SUMPRODUCT(Adds!$C$135:$AC$135,Curves!$AV$40:$BV$40)+SUMPRODUCT(Adds!$C$136:$AC$136,Curves!$AV$63:$BV$63)</f>
        <v/>
      </c>
      <c r="AD37" s="5">
        <f>SUMPRODUCT(Adds!$C$134:$AD$134,Curves!$AU$17:$BV$17)+SUMPRODUCT(Adds!$C$135:$AD$135,Curves!$AU$40:$BV$40)+SUMPRODUCT(Adds!$C$136:$AD$136,Curves!$AU$63:$BV$63)</f>
        <v/>
      </c>
      <c r="AE37" s="5">
        <f>SUMPRODUCT(Adds!$C$134:$AE$134,Curves!$AT$17:$BV$17)+SUMPRODUCT(Adds!$C$135:$AE$135,Curves!$AT$40:$BV$40)+SUMPRODUCT(Adds!$C$136:$AE$136,Curves!$AT$63:$BV$63)</f>
        <v/>
      </c>
      <c r="AF37" s="5">
        <f>SUMPRODUCT(Adds!$C$134:$AF$134,Curves!$AS$17:$BV$17)+SUMPRODUCT(Adds!$C$135:$AF$135,Curves!$AS$40:$BV$40)+SUMPRODUCT(Adds!$C$136:$AF$136,Curves!$AS$63:$BV$63)</f>
        <v/>
      </c>
      <c r="AG37" s="5">
        <f>SUMPRODUCT(Adds!$C$134:$AG$134,Curves!$AR$17:$BV$17)+SUMPRODUCT(Adds!$C$135:$AG$135,Curves!$AR$40:$BV$40)+SUMPRODUCT(Adds!$C$136:$AG$136,Curves!$AR$63:$BV$63)</f>
        <v/>
      </c>
      <c r="AH37" s="5">
        <f>SUMPRODUCT(Adds!$C$134:$AH$134,Curves!$AQ$17:$BV$17)+SUMPRODUCT(Adds!$C$135:$AH$135,Curves!$AQ$40:$BV$40)+SUMPRODUCT(Adds!$C$136:$AH$136,Curves!$AQ$63:$BV$63)</f>
        <v/>
      </c>
      <c r="AI37" s="5">
        <f>SUMPRODUCT(Adds!$C$134:$AI$134,Curves!$AP$17:$BV$17)+SUMPRODUCT(Adds!$C$135:$AI$135,Curves!$AP$40:$BV$40)+SUMPRODUCT(Adds!$C$136:$AI$136,Curves!$AP$63:$BV$63)</f>
        <v/>
      </c>
      <c r="AJ37" s="5">
        <f>SUMPRODUCT(Adds!$C$134:$AJ$134,Curves!$AO$17:$BV$17)+SUMPRODUCT(Adds!$C$135:$AJ$135,Curves!$AO$40:$BV$40)+SUMPRODUCT(Adds!$C$136:$AJ$136,Curves!$AO$63:$BV$63)</f>
        <v/>
      </c>
      <c r="AK37" s="5">
        <f>SUMPRODUCT(Adds!$C$134:$AK$134,Curves!$AN$17:$BV$17)+SUMPRODUCT(Adds!$C$135:$AK$135,Curves!$AN$40:$BV$40)+SUMPRODUCT(Adds!$C$136:$AK$136,Curves!$AN$63:$BV$63)</f>
        <v/>
      </c>
      <c r="AL37" s="5">
        <f>SUMPRODUCT(Adds!$C$134:$AL$134,Curves!$AM$17:$BV$17)+SUMPRODUCT(Adds!$C$135:$AL$135,Curves!$AM$40:$BV$40)+SUMPRODUCT(Adds!$C$136:$AL$136,Curves!$AM$63:$BV$63)</f>
        <v/>
      </c>
      <c r="AM37" s="5">
        <f>SUMPRODUCT(Adds!$C$134:$AM$134,Curves!$AL$17:$BV$17)+SUMPRODUCT(Adds!$C$135:$AM$135,Curves!$AL$40:$BV$40)+SUMPRODUCT(Adds!$C$136:$AM$136,Curves!$AL$63:$BV$63)</f>
        <v/>
      </c>
      <c r="AN37" s="5">
        <f>SUMPRODUCT(Adds!$C$134:$AN$134,Curves!$AK$17:$BV$17)+SUMPRODUCT(Adds!$C$135:$AN$135,Curves!$AK$40:$BV$40)+SUMPRODUCT(Adds!$C$136:$AN$136,Curves!$AK$63:$BV$63)</f>
        <v/>
      </c>
      <c r="AO37" s="5">
        <f>SUMPRODUCT(Adds!$C$134:$AO$134,Curves!$AJ$17:$BV$17)+SUMPRODUCT(Adds!$C$135:$AO$135,Curves!$AJ$40:$BV$40)+SUMPRODUCT(Adds!$C$136:$AO$136,Curves!$AJ$63:$BV$63)</f>
        <v/>
      </c>
      <c r="AP37" s="5">
        <f>SUMPRODUCT(Adds!$C$134:$AP$134,Curves!$AI$17:$BV$17)+SUMPRODUCT(Adds!$C$135:$AP$135,Curves!$AI$40:$BV$40)+SUMPRODUCT(Adds!$C$136:$AP$136,Curves!$AI$63:$BV$63)</f>
        <v/>
      </c>
      <c r="AQ37" s="5">
        <f>SUMPRODUCT(Adds!$C$134:$AQ$134,Curves!$AH$17:$BV$17)+SUMPRODUCT(Adds!$C$135:$AQ$135,Curves!$AH$40:$BV$40)+SUMPRODUCT(Adds!$C$136:$AQ$136,Curves!$AH$63:$BV$63)</f>
        <v/>
      </c>
      <c r="AR37" s="5">
        <f>SUMPRODUCT(Adds!$C$134:$AR$134,Curves!$AG$17:$BV$17)+SUMPRODUCT(Adds!$C$135:$AR$135,Curves!$AG$40:$BV$40)+SUMPRODUCT(Adds!$C$136:$AR$136,Curves!$AG$63:$BV$63)</f>
        <v/>
      </c>
      <c r="AS37" s="5">
        <f>SUMPRODUCT(Adds!$C$134:$AS$134,Curves!$AF$17:$BV$17)+SUMPRODUCT(Adds!$C$135:$AS$135,Curves!$AF$40:$BV$40)+SUMPRODUCT(Adds!$C$136:$AS$136,Curves!$AF$63:$BV$63)</f>
        <v/>
      </c>
      <c r="AT37" s="5">
        <f>SUMPRODUCT(Adds!$C$134:$AT$134,Curves!$AE$17:$BV$17)+SUMPRODUCT(Adds!$C$135:$AT$135,Curves!$AE$40:$BV$40)+SUMPRODUCT(Adds!$C$136:$AT$136,Curves!$AE$63:$BV$63)</f>
        <v/>
      </c>
      <c r="AU37" s="5">
        <f>SUMPRODUCT(Adds!$C$134:$AU$134,Curves!$AD$17:$BV$17)+SUMPRODUCT(Adds!$C$135:$AU$135,Curves!$AD$40:$BV$40)+SUMPRODUCT(Adds!$C$136:$AU$136,Curves!$AD$63:$BV$63)</f>
        <v/>
      </c>
      <c r="AV37" s="5">
        <f>SUMPRODUCT(Adds!$C$134:$AV$134,Curves!$AC$17:$BV$17)+SUMPRODUCT(Adds!$C$135:$AV$135,Curves!$AC$40:$BV$40)+SUMPRODUCT(Adds!$C$136:$AV$136,Curves!$AC$63:$BV$63)</f>
        <v/>
      </c>
      <c r="AW37" s="5">
        <f>SUMPRODUCT(Adds!$C$134:$AW$134,Curves!$AB$17:$BV$17)+SUMPRODUCT(Adds!$C$135:$AW$135,Curves!$AB$40:$BV$40)+SUMPRODUCT(Adds!$C$136:$AW$136,Curves!$AB$63:$BV$63)</f>
        <v/>
      </c>
      <c r="AX37" s="5">
        <f>SUMPRODUCT(Adds!$C$134:$AX$134,Curves!$AA$17:$BV$17)+SUMPRODUCT(Adds!$C$135:$AX$135,Curves!$AA$40:$BV$40)+SUMPRODUCT(Adds!$C$136:$AX$136,Curves!$AA$63:$BV$63)</f>
        <v/>
      </c>
      <c r="AY37" s="5">
        <f>SUMPRODUCT(Adds!$C$134:$AY$134,Curves!$Z$17:$BV$17)+SUMPRODUCT(Adds!$C$135:$AY$135,Curves!$Z$40:$BV$40)+SUMPRODUCT(Adds!$C$136:$AY$136,Curves!$Z$63:$BV$63)</f>
        <v/>
      </c>
      <c r="AZ37" s="5">
        <f>SUMPRODUCT(Adds!$C$134:$AZ$134,Curves!$Y$17:$BV$17)+SUMPRODUCT(Adds!$C$135:$AZ$135,Curves!$Y$40:$BV$40)+SUMPRODUCT(Adds!$C$136:$AZ$136,Curves!$Y$63:$BV$63)</f>
        <v/>
      </c>
      <c r="BA37" s="5">
        <f>SUMPRODUCT(Adds!$C$134:$BA$134,Curves!$X$17:$BV$17)+SUMPRODUCT(Adds!$C$135:$BA$135,Curves!$X$40:$BV$40)+SUMPRODUCT(Adds!$C$136:$BA$136,Curves!$X$63:$BV$63)</f>
        <v/>
      </c>
      <c r="BB37" s="5">
        <f>SUMPRODUCT(Adds!$C$134:$BB$134,Curves!$W$17:$BV$17)+SUMPRODUCT(Adds!$C$135:$BB$135,Curves!$W$40:$BV$40)+SUMPRODUCT(Adds!$C$136:$BB$136,Curves!$W$63:$BV$63)</f>
        <v/>
      </c>
      <c r="BC37" s="5">
        <f>SUMPRODUCT(Adds!$C$134:$BC$134,Curves!$V$17:$BV$17)+SUMPRODUCT(Adds!$C$135:$BC$135,Curves!$V$40:$BV$40)+SUMPRODUCT(Adds!$C$136:$BC$136,Curves!$V$63:$BV$63)</f>
        <v/>
      </c>
      <c r="BD37" s="5">
        <f>SUMPRODUCT(Adds!$C$134:$BD$134,Curves!$U$17:$BV$17)+SUMPRODUCT(Adds!$C$135:$BD$135,Curves!$U$40:$BV$40)+SUMPRODUCT(Adds!$C$136:$BD$136,Curves!$U$63:$BV$63)</f>
        <v/>
      </c>
      <c r="BE37" s="5">
        <f>SUMPRODUCT(Adds!$C$134:$BE$134,Curves!$T$17:$BV$17)+SUMPRODUCT(Adds!$C$135:$BE$135,Curves!$T$40:$BV$40)+SUMPRODUCT(Adds!$C$136:$BE$136,Curves!$T$63:$BV$63)</f>
        <v/>
      </c>
      <c r="BF37" s="5">
        <f>SUMPRODUCT(Adds!$C$134:$BF$134,Curves!$S$17:$BV$17)+SUMPRODUCT(Adds!$C$135:$BF$135,Curves!$S$40:$BV$40)+SUMPRODUCT(Adds!$C$136:$BF$136,Curves!$S$63:$BV$63)</f>
        <v/>
      </c>
      <c r="BG37" s="5">
        <f>SUMPRODUCT(Adds!$C$134:$BG$134,Curves!$R$17:$BV$17)+SUMPRODUCT(Adds!$C$135:$BG$135,Curves!$R$40:$BV$40)+SUMPRODUCT(Adds!$C$136:$BG$136,Curves!$R$63:$BV$63)</f>
        <v/>
      </c>
      <c r="BH37" s="5">
        <f>SUMPRODUCT(Adds!$C$134:$BH$134,Curves!$Q$17:$BV$17)+SUMPRODUCT(Adds!$C$135:$BH$135,Curves!$Q$40:$BV$40)+SUMPRODUCT(Adds!$C$136:$BH$136,Curves!$Q$63:$BV$63)</f>
        <v/>
      </c>
      <c r="BI37" s="5">
        <f>SUMPRODUCT(Adds!$C$134:$BI$134,Curves!$P$17:$BV$17)+SUMPRODUCT(Adds!$C$135:$BI$135,Curves!$P$40:$BV$40)+SUMPRODUCT(Adds!$C$136:$BI$136,Curves!$P$63:$BV$63)</f>
        <v/>
      </c>
      <c r="BJ37" s="5">
        <f>SUMPRODUCT(Adds!$C$134:$BJ$134,Curves!$O$17:$BV$17)+SUMPRODUCT(Adds!$C$135:$BJ$135,Curves!$O$40:$BV$40)+SUMPRODUCT(Adds!$C$136:$BJ$136,Curves!$O$63:$BV$63)</f>
        <v/>
      </c>
      <c r="BK37" s="5">
        <f>SUMPRODUCT(Adds!$C$134:$BK$134,Curves!$N$17:$BV$17)+SUMPRODUCT(Adds!$C$135:$BK$135,Curves!$N$40:$BV$40)+SUMPRODUCT(Adds!$C$136:$BK$136,Curves!$N$63:$BV$63)</f>
        <v/>
      </c>
      <c r="BL37" s="5">
        <f>SUMPRODUCT(Adds!$C$134:$BL$134,Curves!$M$17:$BV$17)+SUMPRODUCT(Adds!$C$135:$BL$135,Curves!$M$40:$BV$40)+SUMPRODUCT(Adds!$C$136:$BL$136,Curves!$M$63:$BV$63)</f>
        <v/>
      </c>
      <c r="BM37" s="5">
        <f>SUMPRODUCT(Adds!$C$134:$BM$134,Curves!$L$17:$BV$17)+SUMPRODUCT(Adds!$C$135:$BM$135,Curves!$L$40:$BV$40)+SUMPRODUCT(Adds!$C$136:$BM$136,Curves!$L$63:$BV$63)</f>
        <v/>
      </c>
      <c r="BN37" s="5">
        <f>SUMPRODUCT(Adds!$C$134:$BN$134,Curves!$K$17:$BV$17)+SUMPRODUCT(Adds!$C$135:$BN$135,Curves!$K$40:$BV$40)+SUMPRODUCT(Adds!$C$136:$BN$136,Curves!$K$63:$BV$63)</f>
        <v/>
      </c>
      <c r="BO37" s="5">
        <f>SUMPRODUCT(Adds!$C$134:$BO$134,Curves!$J$17:$BV$17)+SUMPRODUCT(Adds!$C$135:$BO$135,Curves!$J$40:$BV$40)+SUMPRODUCT(Adds!$C$136:$BO$136,Curves!$J$63:$BV$63)</f>
        <v/>
      </c>
      <c r="BP37" s="5">
        <f>SUMPRODUCT(Adds!$C$134:$BP$134,Curves!$I$17:$BV$17)+SUMPRODUCT(Adds!$C$135:$BP$135,Curves!$I$40:$BV$40)+SUMPRODUCT(Adds!$C$136:$BP$136,Curves!$I$63:$BV$63)</f>
        <v/>
      </c>
      <c r="BQ37" s="5">
        <f>SUMPRODUCT(Adds!$C$134:$BQ$134,Curves!$H$17:$BV$17)+SUMPRODUCT(Adds!$C$135:$BQ$135,Curves!$H$40:$BV$40)+SUMPRODUCT(Adds!$C$136:$BQ$136,Curves!$H$63:$BV$63)</f>
        <v/>
      </c>
      <c r="BR37" s="5">
        <f>SUMPRODUCT(Adds!$C$134:$BR$134,Curves!$G$17:$BV$17)+SUMPRODUCT(Adds!$C$135:$BR$135,Curves!$G$40:$BV$40)+SUMPRODUCT(Adds!$C$136:$BR$136,Curves!$G$63:$BV$63)</f>
        <v/>
      </c>
      <c r="BS37" s="5">
        <f>SUMPRODUCT(Adds!$C$134:$BS$134,Curves!$F$17:$BV$17)+SUMPRODUCT(Adds!$C$135:$BS$135,Curves!$F$40:$BV$40)+SUMPRODUCT(Adds!$C$136:$BS$136,Curves!$F$63:$BV$63)</f>
        <v/>
      </c>
      <c r="BT37" s="5">
        <f>SUMPRODUCT(Adds!$C$134:$BT$134,Curves!$E$17:$BV$17)+SUMPRODUCT(Adds!$C$135:$BT$135,Curves!$E$40:$BV$40)+SUMPRODUCT(Adds!$C$136:$BT$136,Curves!$E$63:$BV$63)</f>
        <v/>
      </c>
      <c r="BU37" s="5">
        <f>SUMPRODUCT(Adds!$C$134:$BU$134,Curves!$D$17:$BV$17)+SUMPRODUCT(Adds!$C$135:$BU$135,Curves!$D$40:$BV$40)+SUMPRODUCT(Adds!$C$136:$BU$136,Curves!$D$63:$BV$63)</f>
        <v/>
      </c>
      <c r="BV37" s="5">
        <f>SUMPRODUCT(Adds!$C$134:$BV$134,Curves!$C$17:$BV$17)+SUMPRODUCT(Adds!$C$135:$BV$135,Curves!$C$40:$BV$40)+SUMPRODUCT(Adds!$C$136:$BV$136,Curves!$C$63:$BV$63)</f>
        <v/>
      </c>
    </row>
    <row r="39">
      <c r="A39" t="inlineStr">
        <is>
          <t>active</t>
        </is>
      </c>
      <c r="B39" t="inlineStr">
        <is>
          <t>LATAM|NITRO_A</t>
        </is>
      </c>
      <c r="C39" s="5">
        <f>Adds!$C$149*Curves!$BV$16+Adds!$C$150*Curves!$BV$39+Adds!$C$151*Curves!$BV$62</f>
        <v/>
      </c>
      <c r="D39" s="5">
        <f>SUMPRODUCT(Adds!$C$149:$D$149,Curves!$BU$16:$BV$16)+SUMPRODUCT(Adds!$C$150:$D$150,Curves!$BU$39:$BV$39)+SUMPRODUCT(Adds!$C$151:$D$151,Curves!$BU$62:$BV$62)</f>
        <v/>
      </c>
      <c r="E39" s="5">
        <f>SUMPRODUCT(Adds!$C$149:$E$149,Curves!$BT$16:$BV$16)+SUMPRODUCT(Adds!$C$150:$E$150,Curves!$BT$39:$BV$39)+SUMPRODUCT(Adds!$C$151:$E$151,Curves!$BT$62:$BV$62)</f>
        <v/>
      </c>
      <c r="F39" s="5">
        <f>SUMPRODUCT(Adds!$C$149:$F$149,Curves!$BS$16:$BV$16)+SUMPRODUCT(Adds!$C$150:$F$150,Curves!$BS$39:$BV$39)+SUMPRODUCT(Adds!$C$151:$F$151,Curves!$BS$62:$BV$62)</f>
        <v/>
      </c>
      <c r="G39" s="5">
        <f>SUMPRODUCT(Adds!$C$149:$G$149,Curves!$BR$16:$BV$16)+SUMPRODUCT(Adds!$C$150:$G$150,Curves!$BR$39:$BV$39)+SUMPRODUCT(Adds!$C$151:$G$151,Curves!$BR$62:$BV$62)</f>
        <v/>
      </c>
      <c r="H39" s="5">
        <f>SUMPRODUCT(Adds!$C$149:$H$149,Curves!$BQ$16:$BV$16)+SUMPRODUCT(Adds!$C$150:$H$150,Curves!$BQ$39:$BV$39)+SUMPRODUCT(Adds!$C$151:$H$151,Curves!$BQ$62:$BV$62)</f>
        <v/>
      </c>
      <c r="I39" s="5">
        <f>SUMPRODUCT(Adds!$C$149:$I$149,Curves!$BP$16:$BV$16)+SUMPRODUCT(Adds!$C$150:$I$150,Curves!$BP$39:$BV$39)+SUMPRODUCT(Adds!$C$151:$I$151,Curves!$BP$62:$BV$62)</f>
        <v/>
      </c>
      <c r="J39" s="5">
        <f>SUMPRODUCT(Adds!$C$149:$J$149,Curves!$BO$16:$BV$16)+SUMPRODUCT(Adds!$C$150:$J$150,Curves!$BO$39:$BV$39)+SUMPRODUCT(Adds!$C$151:$J$151,Curves!$BO$62:$BV$62)</f>
        <v/>
      </c>
      <c r="K39" s="5">
        <f>SUMPRODUCT(Adds!$C$149:$K$149,Curves!$BN$16:$BV$16)+SUMPRODUCT(Adds!$C$150:$K$150,Curves!$BN$39:$BV$39)+SUMPRODUCT(Adds!$C$151:$K$151,Curves!$BN$62:$BV$62)</f>
        <v/>
      </c>
      <c r="L39" s="5">
        <f>SUMPRODUCT(Adds!$C$149:$L$149,Curves!$BM$16:$BV$16)+SUMPRODUCT(Adds!$C$150:$L$150,Curves!$BM$39:$BV$39)+SUMPRODUCT(Adds!$C$151:$L$151,Curves!$BM$62:$BV$62)</f>
        <v/>
      </c>
      <c r="M39" s="5">
        <f>SUMPRODUCT(Adds!$C$149:$M$149,Curves!$BL$16:$BV$16)+SUMPRODUCT(Adds!$C$150:$M$150,Curves!$BL$39:$BV$39)+SUMPRODUCT(Adds!$C$151:$M$151,Curves!$BL$62:$BV$62)</f>
        <v/>
      </c>
      <c r="N39" s="5">
        <f>SUMPRODUCT(Adds!$C$149:$N$149,Curves!$BK$16:$BV$16)+SUMPRODUCT(Adds!$C$150:$N$150,Curves!$BK$39:$BV$39)+SUMPRODUCT(Adds!$C$151:$N$151,Curves!$BK$62:$BV$62)</f>
        <v/>
      </c>
      <c r="O39" s="5">
        <f>SUMPRODUCT(Adds!$C$149:$O$149,Curves!$BJ$16:$BV$16)+SUMPRODUCT(Adds!$C$150:$O$150,Curves!$BJ$39:$BV$39)+SUMPRODUCT(Adds!$C$151:$O$151,Curves!$BJ$62:$BV$62)</f>
        <v/>
      </c>
      <c r="P39" s="5">
        <f>SUMPRODUCT(Adds!$C$149:$P$149,Curves!$BI$16:$BV$16)+SUMPRODUCT(Adds!$C$150:$P$150,Curves!$BI$39:$BV$39)+SUMPRODUCT(Adds!$C$151:$P$151,Curves!$BI$62:$BV$62)</f>
        <v/>
      </c>
      <c r="Q39" s="5">
        <f>SUMPRODUCT(Adds!$C$149:$Q$149,Curves!$BH$16:$BV$16)+SUMPRODUCT(Adds!$C$150:$Q$150,Curves!$BH$39:$BV$39)+SUMPRODUCT(Adds!$C$151:$Q$151,Curves!$BH$62:$BV$62)</f>
        <v/>
      </c>
      <c r="R39" s="5">
        <f>SUMPRODUCT(Adds!$C$149:$R$149,Curves!$BG$16:$BV$16)+SUMPRODUCT(Adds!$C$150:$R$150,Curves!$BG$39:$BV$39)+SUMPRODUCT(Adds!$C$151:$R$151,Curves!$BG$62:$BV$62)</f>
        <v/>
      </c>
      <c r="S39" s="5">
        <f>SUMPRODUCT(Adds!$C$149:$S$149,Curves!$BF$16:$BV$16)+SUMPRODUCT(Adds!$C$150:$S$150,Curves!$BF$39:$BV$39)+SUMPRODUCT(Adds!$C$151:$S$151,Curves!$BF$62:$BV$62)</f>
        <v/>
      </c>
      <c r="T39" s="5">
        <f>SUMPRODUCT(Adds!$C$149:$T$149,Curves!$BE$16:$BV$16)+SUMPRODUCT(Adds!$C$150:$T$150,Curves!$BE$39:$BV$39)+SUMPRODUCT(Adds!$C$151:$T$151,Curves!$BE$62:$BV$62)</f>
        <v/>
      </c>
      <c r="U39" s="5">
        <f>SUMPRODUCT(Adds!$C$149:$U$149,Curves!$BD$16:$BV$16)+SUMPRODUCT(Adds!$C$150:$U$150,Curves!$BD$39:$BV$39)+SUMPRODUCT(Adds!$C$151:$U$151,Curves!$BD$62:$BV$62)</f>
        <v/>
      </c>
      <c r="V39" s="5">
        <f>SUMPRODUCT(Adds!$C$149:$V$149,Curves!$BC$16:$BV$16)+SUMPRODUCT(Adds!$C$150:$V$150,Curves!$BC$39:$BV$39)+SUMPRODUCT(Adds!$C$151:$V$151,Curves!$BC$62:$BV$62)</f>
        <v/>
      </c>
      <c r="W39" s="5">
        <f>SUMPRODUCT(Adds!$C$149:$W$149,Curves!$BB$16:$BV$16)+SUMPRODUCT(Adds!$C$150:$W$150,Curves!$BB$39:$BV$39)+SUMPRODUCT(Adds!$C$151:$W$151,Curves!$BB$62:$BV$62)</f>
        <v/>
      </c>
      <c r="X39" s="5">
        <f>SUMPRODUCT(Adds!$C$149:$X$149,Curves!$BA$16:$BV$16)+SUMPRODUCT(Adds!$C$150:$X$150,Curves!$BA$39:$BV$39)+SUMPRODUCT(Adds!$C$151:$X$151,Curves!$BA$62:$BV$62)</f>
        <v/>
      </c>
      <c r="Y39" s="5">
        <f>SUMPRODUCT(Adds!$C$149:$Y$149,Curves!$AZ$16:$BV$16)+SUMPRODUCT(Adds!$C$150:$Y$150,Curves!$AZ$39:$BV$39)+SUMPRODUCT(Adds!$C$151:$Y$151,Curves!$AZ$62:$BV$62)</f>
        <v/>
      </c>
      <c r="Z39" s="5">
        <f>SUMPRODUCT(Adds!$C$149:$Z$149,Curves!$AY$16:$BV$16)+SUMPRODUCT(Adds!$C$150:$Z$150,Curves!$AY$39:$BV$39)+SUMPRODUCT(Adds!$C$151:$Z$151,Curves!$AY$62:$BV$62)</f>
        <v/>
      </c>
      <c r="AA39" s="5">
        <f>SUMPRODUCT(Adds!$C$149:$AA$149,Curves!$AX$16:$BV$16)+SUMPRODUCT(Adds!$C$150:$AA$150,Curves!$AX$39:$BV$39)+SUMPRODUCT(Adds!$C$151:$AA$151,Curves!$AX$62:$BV$62)</f>
        <v/>
      </c>
      <c r="AB39" s="5">
        <f>SUMPRODUCT(Adds!$C$149:$AB$149,Curves!$AW$16:$BV$16)+SUMPRODUCT(Adds!$C$150:$AB$150,Curves!$AW$39:$BV$39)+SUMPRODUCT(Adds!$C$151:$AB$151,Curves!$AW$62:$BV$62)</f>
        <v/>
      </c>
      <c r="AC39" s="5">
        <f>SUMPRODUCT(Adds!$C$149:$AC$149,Curves!$AV$16:$BV$16)+SUMPRODUCT(Adds!$C$150:$AC$150,Curves!$AV$39:$BV$39)+SUMPRODUCT(Adds!$C$151:$AC$151,Curves!$AV$62:$BV$62)</f>
        <v/>
      </c>
      <c r="AD39" s="5">
        <f>SUMPRODUCT(Adds!$C$149:$AD$149,Curves!$AU$16:$BV$16)+SUMPRODUCT(Adds!$C$150:$AD$150,Curves!$AU$39:$BV$39)+SUMPRODUCT(Adds!$C$151:$AD$151,Curves!$AU$62:$BV$62)</f>
        <v/>
      </c>
      <c r="AE39" s="5">
        <f>SUMPRODUCT(Adds!$C$149:$AE$149,Curves!$AT$16:$BV$16)+SUMPRODUCT(Adds!$C$150:$AE$150,Curves!$AT$39:$BV$39)+SUMPRODUCT(Adds!$C$151:$AE$151,Curves!$AT$62:$BV$62)</f>
        <v/>
      </c>
      <c r="AF39" s="5">
        <f>SUMPRODUCT(Adds!$C$149:$AF$149,Curves!$AS$16:$BV$16)+SUMPRODUCT(Adds!$C$150:$AF$150,Curves!$AS$39:$BV$39)+SUMPRODUCT(Adds!$C$151:$AF$151,Curves!$AS$62:$BV$62)</f>
        <v/>
      </c>
      <c r="AG39" s="5">
        <f>SUMPRODUCT(Adds!$C$149:$AG$149,Curves!$AR$16:$BV$16)+SUMPRODUCT(Adds!$C$150:$AG$150,Curves!$AR$39:$BV$39)+SUMPRODUCT(Adds!$C$151:$AG$151,Curves!$AR$62:$BV$62)</f>
        <v/>
      </c>
      <c r="AH39" s="5">
        <f>SUMPRODUCT(Adds!$C$149:$AH$149,Curves!$AQ$16:$BV$16)+SUMPRODUCT(Adds!$C$150:$AH$150,Curves!$AQ$39:$BV$39)+SUMPRODUCT(Adds!$C$151:$AH$151,Curves!$AQ$62:$BV$62)</f>
        <v/>
      </c>
      <c r="AI39" s="5">
        <f>SUMPRODUCT(Adds!$C$149:$AI$149,Curves!$AP$16:$BV$16)+SUMPRODUCT(Adds!$C$150:$AI$150,Curves!$AP$39:$BV$39)+SUMPRODUCT(Adds!$C$151:$AI$151,Curves!$AP$62:$BV$62)</f>
        <v/>
      </c>
      <c r="AJ39" s="5">
        <f>SUMPRODUCT(Adds!$C$149:$AJ$149,Curves!$AO$16:$BV$16)+SUMPRODUCT(Adds!$C$150:$AJ$150,Curves!$AO$39:$BV$39)+SUMPRODUCT(Adds!$C$151:$AJ$151,Curves!$AO$62:$BV$62)</f>
        <v/>
      </c>
      <c r="AK39" s="5">
        <f>SUMPRODUCT(Adds!$C$149:$AK$149,Curves!$AN$16:$BV$16)+SUMPRODUCT(Adds!$C$150:$AK$150,Curves!$AN$39:$BV$39)+SUMPRODUCT(Adds!$C$151:$AK$151,Curves!$AN$62:$BV$62)</f>
        <v/>
      </c>
      <c r="AL39" s="5">
        <f>SUMPRODUCT(Adds!$C$149:$AL$149,Curves!$AM$16:$BV$16)+SUMPRODUCT(Adds!$C$150:$AL$150,Curves!$AM$39:$BV$39)+SUMPRODUCT(Adds!$C$151:$AL$151,Curves!$AM$62:$BV$62)</f>
        <v/>
      </c>
      <c r="AM39" s="5">
        <f>SUMPRODUCT(Adds!$C$149:$AM$149,Curves!$AL$16:$BV$16)+SUMPRODUCT(Adds!$C$150:$AM$150,Curves!$AL$39:$BV$39)+SUMPRODUCT(Adds!$C$151:$AM$151,Curves!$AL$62:$BV$62)</f>
        <v/>
      </c>
      <c r="AN39" s="5">
        <f>SUMPRODUCT(Adds!$C$149:$AN$149,Curves!$AK$16:$BV$16)+SUMPRODUCT(Adds!$C$150:$AN$150,Curves!$AK$39:$BV$39)+SUMPRODUCT(Adds!$C$151:$AN$151,Curves!$AK$62:$BV$62)</f>
        <v/>
      </c>
      <c r="AO39" s="5">
        <f>SUMPRODUCT(Adds!$C$149:$AO$149,Curves!$AJ$16:$BV$16)+SUMPRODUCT(Adds!$C$150:$AO$150,Curves!$AJ$39:$BV$39)+SUMPRODUCT(Adds!$C$151:$AO$151,Curves!$AJ$62:$BV$62)</f>
        <v/>
      </c>
      <c r="AP39" s="5">
        <f>SUMPRODUCT(Adds!$C$149:$AP$149,Curves!$AI$16:$BV$16)+SUMPRODUCT(Adds!$C$150:$AP$150,Curves!$AI$39:$BV$39)+SUMPRODUCT(Adds!$C$151:$AP$151,Curves!$AI$62:$BV$62)</f>
        <v/>
      </c>
      <c r="AQ39" s="5">
        <f>SUMPRODUCT(Adds!$C$149:$AQ$149,Curves!$AH$16:$BV$16)+SUMPRODUCT(Adds!$C$150:$AQ$150,Curves!$AH$39:$BV$39)+SUMPRODUCT(Adds!$C$151:$AQ$151,Curves!$AH$62:$BV$62)</f>
        <v/>
      </c>
      <c r="AR39" s="5">
        <f>SUMPRODUCT(Adds!$C$149:$AR$149,Curves!$AG$16:$BV$16)+SUMPRODUCT(Adds!$C$150:$AR$150,Curves!$AG$39:$BV$39)+SUMPRODUCT(Adds!$C$151:$AR$151,Curves!$AG$62:$BV$62)</f>
        <v/>
      </c>
      <c r="AS39" s="5">
        <f>SUMPRODUCT(Adds!$C$149:$AS$149,Curves!$AF$16:$BV$16)+SUMPRODUCT(Adds!$C$150:$AS$150,Curves!$AF$39:$BV$39)+SUMPRODUCT(Adds!$C$151:$AS$151,Curves!$AF$62:$BV$62)</f>
        <v/>
      </c>
      <c r="AT39" s="5">
        <f>SUMPRODUCT(Adds!$C$149:$AT$149,Curves!$AE$16:$BV$16)+SUMPRODUCT(Adds!$C$150:$AT$150,Curves!$AE$39:$BV$39)+SUMPRODUCT(Adds!$C$151:$AT$151,Curves!$AE$62:$BV$62)</f>
        <v/>
      </c>
      <c r="AU39" s="5">
        <f>SUMPRODUCT(Adds!$C$149:$AU$149,Curves!$AD$16:$BV$16)+SUMPRODUCT(Adds!$C$150:$AU$150,Curves!$AD$39:$BV$39)+SUMPRODUCT(Adds!$C$151:$AU$151,Curves!$AD$62:$BV$62)</f>
        <v/>
      </c>
      <c r="AV39" s="5">
        <f>SUMPRODUCT(Adds!$C$149:$AV$149,Curves!$AC$16:$BV$16)+SUMPRODUCT(Adds!$C$150:$AV$150,Curves!$AC$39:$BV$39)+SUMPRODUCT(Adds!$C$151:$AV$151,Curves!$AC$62:$BV$62)</f>
        <v/>
      </c>
      <c r="AW39" s="5">
        <f>SUMPRODUCT(Adds!$C$149:$AW$149,Curves!$AB$16:$BV$16)+SUMPRODUCT(Adds!$C$150:$AW$150,Curves!$AB$39:$BV$39)+SUMPRODUCT(Adds!$C$151:$AW$151,Curves!$AB$62:$BV$62)</f>
        <v/>
      </c>
      <c r="AX39" s="5">
        <f>SUMPRODUCT(Adds!$C$149:$AX$149,Curves!$AA$16:$BV$16)+SUMPRODUCT(Adds!$C$150:$AX$150,Curves!$AA$39:$BV$39)+SUMPRODUCT(Adds!$C$151:$AX$151,Curves!$AA$62:$BV$62)</f>
        <v/>
      </c>
      <c r="AY39" s="5">
        <f>SUMPRODUCT(Adds!$C$149:$AY$149,Curves!$Z$16:$BV$16)+SUMPRODUCT(Adds!$C$150:$AY$150,Curves!$Z$39:$BV$39)+SUMPRODUCT(Adds!$C$151:$AY$151,Curves!$Z$62:$BV$62)</f>
        <v/>
      </c>
      <c r="AZ39" s="5">
        <f>SUMPRODUCT(Adds!$C$149:$AZ$149,Curves!$Y$16:$BV$16)+SUMPRODUCT(Adds!$C$150:$AZ$150,Curves!$Y$39:$BV$39)+SUMPRODUCT(Adds!$C$151:$AZ$151,Curves!$Y$62:$BV$62)</f>
        <v/>
      </c>
      <c r="BA39" s="5">
        <f>SUMPRODUCT(Adds!$C$149:$BA$149,Curves!$X$16:$BV$16)+SUMPRODUCT(Adds!$C$150:$BA$150,Curves!$X$39:$BV$39)+SUMPRODUCT(Adds!$C$151:$BA$151,Curves!$X$62:$BV$62)</f>
        <v/>
      </c>
      <c r="BB39" s="5">
        <f>SUMPRODUCT(Adds!$C$149:$BB$149,Curves!$W$16:$BV$16)+SUMPRODUCT(Adds!$C$150:$BB$150,Curves!$W$39:$BV$39)+SUMPRODUCT(Adds!$C$151:$BB$151,Curves!$W$62:$BV$62)</f>
        <v/>
      </c>
      <c r="BC39" s="5">
        <f>SUMPRODUCT(Adds!$C$149:$BC$149,Curves!$V$16:$BV$16)+SUMPRODUCT(Adds!$C$150:$BC$150,Curves!$V$39:$BV$39)+SUMPRODUCT(Adds!$C$151:$BC$151,Curves!$V$62:$BV$62)</f>
        <v/>
      </c>
      <c r="BD39" s="5">
        <f>SUMPRODUCT(Adds!$C$149:$BD$149,Curves!$U$16:$BV$16)+SUMPRODUCT(Adds!$C$150:$BD$150,Curves!$U$39:$BV$39)+SUMPRODUCT(Adds!$C$151:$BD$151,Curves!$U$62:$BV$62)</f>
        <v/>
      </c>
      <c r="BE39" s="5">
        <f>SUMPRODUCT(Adds!$C$149:$BE$149,Curves!$T$16:$BV$16)+SUMPRODUCT(Adds!$C$150:$BE$150,Curves!$T$39:$BV$39)+SUMPRODUCT(Adds!$C$151:$BE$151,Curves!$T$62:$BV$62)</f>
        <v/>
      </c>
      <c r="BF39" s="5">
        <f>SUMPRODUCT(Adds!$C$149:$BF$149,Curves!$S$16:$BV$16)+SUMPRODUCT(Adds!$C$150:$BF$150,Curves!$S$39:$BV$39)+SUMPRODUCT(Adds!$C$151:$BF$151,Curves!$S$62:$BV$62)</f>
        <v/>
      </c>
      <c r="BG39" s="5">
        <f>SUMPRODUCT(Adds!$C$149:$BG$149,Curves!$R$16:$BV$16)+SUMPRODUCT(Adds!$C$150:$BG$150,Curves!$R$39:$BV$39)+SUMPRODUCT(Adds!$C$151:$BG$151,Curves!$R$62:$BV$62)</f>
        <v/>
      </c>
      <c r="BH39" s="5">
        <f>SUMPRODUCT(Adds!$C$149:$BH$149,Curves!$Q$16:$BV$16)+SUMPRODUCT(Adds!$C$150:$BH$150,Curves!$Q$39:$BV$39)+SUMPRODUCT(Adds!$C$151:$BH$151,Curves!$Q$62:$BV$62)</f>
        <v/>
      </c>
      <c r="BI39" s="5">
        <f>SUMPRODUCT(Adds!$C$149:$BI$149,Curves!$P$16:$BV$16)+SUMPRODUCT(Adds!$C$150:$BI$150,Curves!$P$39:$BV$39)+SUMPRODUCT(Adds!$C$151:$BI$151,Curves!$P$62:$BV$62)</f>
        <v/>
      </c>
      <c r="BJ39" s="5">
        <f>SUMPRODUCT(Adds!$C$149:$BJ$149,Curves!$O$16:$BV$16)+SUMPRODUCT(Adds!$C$150:$BJ$150,Curves!$O$39:$BV$39)+SUMPRODUCT(Adds!$C$151:$BJ$151,Curves!$O$62:$BV$62)</f>
        <v/>
      </c>
      <c r="BK39" s="5">
        <f>SUMPRODUCT(Adds!$C$149:$BK$149,Curves!$N$16:$BV$16)+SUMPRODUCT(Adds!$C$150:$BK$150,Curves!$N$39:$BV$39)+SUMPRODUCT(Adds!$C$151:$BK$151,Curves!$N$62:$BV$62)</f>
        <v/>
      </c>
      <c r="BL39" s="5">
        <f>SUMPRODUCT(Adds!$C$149:$BL$149,Curves!$M$16:$BV$16)+SUMPRODUCT(Adds!$C$150:$BL$150,Curves!$M$39:$BV$39)+SUMPRODUCT(Adds!$C$151:$BL$151,Curves!$M$62:$BV$62)</f>
        <v/>
      </c>
      <c r="BM39" s="5">
        <f>SUMPRODUCT(Adds!$C$149:$BM$149,Curves!$L$16:$BV$16)+SUMPRODUCT(Adds!$C$150:$BM$150,Curves!$L$39:$BV$39)+SUMPRODUCT(Adds!$C$151:$BM$151,Curves!$L$62:$BV$62)</f>
        <v/>
      </c>
      <c r="BN39" s="5">
        <f>SUMPRODUCT(Adds!$C$149:$BN$149,Curves!$K$16:$BV$16)+SUMPRODUCT(Adds!$C$150:$BN$150,Curves!$K$39:$BV$39)+SUMPRODUCT(Adds!$C$151:$BN$151,Curves!$K$62:$BV$62)</f>
        <v/>
      </c>
      <c r="BO39" s="5">
        <f>SUMPRODUCT(Adds!$C$149:$BO$149,Curves!$J$16:$BV$16)+SUMPRODUCT(Adds!$C$150:$BO$150,Curves!$J$39:$BV$39)+SUMPRODUCT(Adds!$C$151:$BO$151,Curves!$J$62:$BV$62)</f>
        <v/>
      </c>
      <c r="BP39" s="5">
        <f>SUMPRODUCT(Adds!$C$149:$BP$149,Curves!$I$16:$BV$16)+SUMPRODUCT(Adds!$C$150:$BP$150,Curves!$I$39:$BV$39)+SUMPRODUCT(Adds!$C$151:$BP$151,Curves!$I$62:$BV$62)</f>
        <v/>
      </c>
      <c r="BQ39" s="5">
        <f>SUMPRODUCT(Adds!$C$149:$BQ$149,Curves!$H$16:$BV$16)+SUMPRODUCT(Adds!$C$150:$BQ$150,Curves!$H$39:$BV$39)+SUMPRODUCT(Adds!$C$151:$BQ$151,Curves!$H$62:$BV$62)</f>
        <v/>
      </c>
      <c r="BR39" s="5">
        <f>SUMPRODUCT(Adds!$C$149:$BR$149,Curves!$G$16:$BV$16)+SUMPRODUCT(Adds!$C$150:$BR$150,Curves!$G$39:$BV$39)+SUMPRODUCT(Adds!$C$151:$BR$151,Curves!$G$62:$BV$62)</f>
        <v/>
      </c>
      <c r="BS39" s="5">
        <f>SUMPRODUCT(Adds!$C$149:$BS$149,Curves!$F$16:$BV$16)+SUMPRODUCT(Adds!$C$150:$BS$150,Curves!$F$39:$BV$39)+SUMPRODUCT(Adds!$C$151:$BS$151,Curves!$F$62:$BV$62)</f>
        <v/>
      </c>
      <c r="BT39" s="5">
        <f>SUMPRODUCT(Adds!$C$149:$BT$149,Curves!$E$16:$BV$16)+SUMPRODUCT(Adds!$C$150:$BT$150,Curves!$E$39:$BV$39)+SUMPRODUCT(Adds!$C$151:$BT$151,Curves!$E$62:$BV$62)</f>
        <v/>
      </c>
      <c r="BU39" s="5">
        <f>SUMPRODUCT(Adds!$C$149:$BU$149,Curves!$D$16:$BV$16)+SUMPRODUCT(Adds!$C$150:$BU$150,Curves!$D$39:$BV$39)+SUMPRODUCT(Adds!$C$151:$BU$151,Curves!$D$62:$BV$62)</f>
        <v/>
      </c>
      <c r="BV39" s="5">
        <f>SUMPRODUCT(Adds!$C$149:$BV$149,Curves!$C$16:$BV$16)+SUMPRODUCT(Adds!$C$150:$BV$150,Curves!$C$39:$BV$39)+SUMPRODUCT(Adds!$C$151:$BV$151,Curves!$C$62:$BV$62)</f>
        <v/>
      </c>
    </row>
    <row r="40">
      <c r="A40" t="inlineStr">
        <is>
          <t>active yr 1</t>
        </is>
      </c>
      <c r="B40" t="inlineStr">
        <is>
          <t>LATAM|NITRO_A</t>
        </is>
      </c>
      <c r="C40" s="5">
        <f>Adds!$C$149*Curves!$BV$23+Adds!$C$150*Curves!$BV$46+Adds!$C$151*Curves!$BV$69</f>
        <v/>
      </c>
      <c r="D40" s="5">
        <f>SUMPRODUCT(Adds!$C$149:$D$149,Curves!$BU$23:$BV$23)+SUMPRODUCT(Adds!$C$150:$D$150,Curves!$BU$46:$BV$46)+SUMPRODUCT(Adds!$C$151:$D$151,Curves!$BU$69:$BV$69)</f>
        <v/>
      </c>
      <c r="E40" s="5">
        <f>SUMPRODUCT(Adds!$C$149:$E$149,Curves!$BT$23:$BV$23)+SUMPRODUCT(Adds!$C$150:$E$150,Curves!$BT$46:$BV$46)+SUMPRODUCT(Adds!$C$151:$E$151,Curves!$BT$69:$BV$69)</f>
        <v/>
      </c>
      <c r="F40" s="5">
        <f>SUMPRODUCT(Adds!$C$149:$F$149,Curves!$BS$23:$BV$23)+SUMPRODUCT(Adds!$C$150:$F$150,Curves!$BS$46:$BV$46)+SUMPRODUCT(Adds!$C$151:$F$151,Curves!$BS$69:$BV$69)</f>
        <v/>
      </c>
      <c r="G40" s="5">
        <f>SUMPRODUCT(Adds!$C$149:$G$149,Curves!$BR$23:$BV$23)+SUMPRODUCT(Adds!$C$150:$G$150,Curves!$BR$46:$BV$46)+SUMPRODUCT(Adds!$C$151:$G$151,Curves!$BR$69:$BV$69)</f>
        <v/>
      </c>
      <c r="H40" s="5">
        <f>SUMPRODUCT(Adds!$C$149:$H$149,Curves!$BQ$23:$BV$23)+SUMPRODUCT(Adds!$C$150:$H$150,Curves!$BQ$46:$BV$46)+SUMPRODUCT(Adds!$C$151:$H$151,Curves!$BQ$69:$BV$69)</f>
        <v/>
      </c>
      <c r="I40" s="5">
        <f>SUMPRODUCT(Adds!$C$149:$I$149,Curves!$BP$23:$BV$23)+SUMPRODUCT(Adds!$C$150:$I$150,Curves!$BP$46:$BV$46)+SUMPRODUCT(Adds!$C$151:$I$151,Curves!$BP$69:$BV$69)</f>
        <v/>
      </c>
      <c r="J40" s="5">
        <f>SUMPRODUCT(Adds!$C$149:$J$149,Curves!$BO$23:$BV$23)+SUMPRODUCT(Adds!$C$150:$J$150,Curves!$BO$46:$BV$46)+SUMPRODUCT(Adds!$C$151:$J$151,Curves!$BO$69:$BV$69)</f>
        <v/>
      </c>
      <c r="K40" s="5">
        <f>SUMPRODUCT(Adds!$C$149:$K$149,Curves!$BN$23:$BV$23)+SUMPRODUCT(Adds!$C$150:$K$150,Curves!$BN$46:$BV$46)+SUMPRODUCT(Adds!$C$151:$K$151,Curves!$BN$69:$BV$69)</f>
        <v/>
      </c>
      <c r="L40" s="5">
        <f>SUMPRODUCT(Adds!$C$149:$L$149,Curves!$BM$23:$BV$23)+SUMPRODUCT(Adds!$C$150:$L$150,Curves!$BM$46:$BV$46)+SUMPRODUCT(Adds!$C$151:$L$151,Curves!$BM$69:$BV$69)</f>
        <v/>
      </c>
      <c r="M40" s="5">
        <f>SUMPRODUCT(Adds!$C$149:$M$149,Curves!$BL$23:$BV$23)+SUMPRODUCT(Adds!$C$150:$M$150,Curves!$BL$46:$BV$46)+SUMPRODUCT(Adds!$C$151:$M$151,Curves!$BL$69:$BV$69)</f>
        <v/>
      </c>
      <c r="N40" s="5">
        <f>SUMPRODUCT(Adds!$C$149:$N$149,Curves!$BK$23:$BV$23)+SUMPRODUCT(Adds!$C$150:$N$150,Curves!$BK$46:$BV$46)+SUMPRODUCT(Adds!$C$151:$N$151,Curves!$BK$69:$BV$69)</f>
        <v/>
      </c>
      <c r="O40" s="5">
        <f>SUMPRODUCT(Adds!$C$149:$O$149,Curves!$BJ$23:$BV$23)+SUMPRODUCT(Adds!$C$150:$O$150,Curves!$BJ$46:$BV$46)+SUMPRODUCT(Adds!$C$151:$O$151,Curves!$BJ$69:$BV$69)</f>
        <v/>
      </c>
      <c r="P40" s="5">
        <f>SUMPRODUCT(Adds!$C$149:$P$149,Curves!$BI$23:$BV$23)+SUMPRODUCT(Adds!$C$150:$P$150,Curves!$BI$46:$BV$46)+SUMPRODUCT(Adds!$C$151:$P$151,Curves!$BI$69:$BV$69)</f>
        <v/>
      </c>
      <c r="Q40" s="5">
        <f>SUMPRODUCT(Adds!$C$149:$Q$149,Curves!$BH$23:$BV$23)+SUMPRODUCT(Adds!$C$150:$Q$150,Curves!$BH$46:$BV$46)+SUMPRODUCT(Adds!$C$151:$Q$151,Curves!$BH$69:$BV$69)</f>
        <v/>
      </c>
      <c r="R40" s="5">
        <f>SUMPRODUCT(Adds!$C$149:$R$149,Curves!$BG$23:$BV$23)+SUMPRODUCT(Adds!$C$150:$R$150,Curves!$BG$46:$BV$46)+SUMPRODUCT(Adds!$C$151:$R$151,Curves!$BG$69:$BV$69)</f>
        <v/>
      </c>
      <c r="S40" s="5">
        <f>SUMPRODUCT(Adds!$C$149:$S$149,Curves!$BF$23:$BV$23)+SUMPRODUCT(Adds!$C$150:$S$150,Curves!$BF$46:$BV$46)+SUMPRODUCT(Adds!$C$151:$S$151,Curves!$BF$69:$BV$69)</f>
        <v/>
      </c>
      <c r="T40" s="5">
        <f>SUMPRODUCT(Adds!$C$149:$T$149,Curves!$BE$23:$BV$23)+SUMPRODUCT(Adds!$C$150:$T$150,Curves!$BE$46:$BV$46)+SUMPRODUCT(Adds!$C$151:$T$151,Curves!$BE$69:$BV$69)</f>
        <v/>
      </c>
      <c r="U40" s="5">
        <f>SUMPRODUCT(Adds!$C$149:$U$149,Curves!$BD$23:$BV$23)+SUMPRODUCT(Adds!$C$150:$U$150,Curves!$BD$46:$BV$46)+SUMPRODUCT(Adds!$C$151:$U$151,Curves!$BD$69:$BV$69)</f>
        <v/>
      </c>
      <c r="V40" s="5">
        <f>SUMPRODUCT(Adds!$C$149:$V$149,Curves!$BC$23:$BV$23)+SUMPRODUCT(Adds!$C$150:$V$150,Curves!$BC$46:$BV$46)+SUMPRODUCT(Adds!$C$151:$V$151,Curves!$BC$69:$BV$69)</f>
        <v/>
      </c>
      <c r="W40" s="5">
        <f>SUMPRODUCT(Adds!$C$149:$W$149,Curves!$BB$23:$BV$23)+SUMPRODUCT(Adds!$C$150:$W$150,Curves!$BB$46:$BV$46)+SUMPRODUCT(Adds!$C$151:$W$151,Curves!$BB$69:$BV$69)</f>
        <v/>
      </c>
      <c r="X40" s="5">
        <f>SUMPRODUCT(Adds!$C$149:$X$149,Curves!$BA$23:$BV$23)+SUMPRODUCT(Adds!$C$150:$X$150,Curves!$BA$46:$BV$46)+SUMPRODUCT(Adds!$C$151:$X$151,Curves!$BA$69:$BV$69)</f>
        <v/>
      </c>
      <c r="Y40" s="5">
        <f>SUMPRODUCT(Adds!$C$149:$Y$149,Curves!$AZ$23:$BV$23)+SUMPRODUCT(Adds!$C$150:$Y$150,Curves!$AZ$46:$BV$46)+SUMPRODUCT(Adds!$C$151:$Y$151,Curves!$AZ$69:$BV$69)</f>
        <v/>
      </c>
      <c r="Z40" s="5">
        <f>SUMPRODUCT(Adds!$C$149:$Z$149,Curves!$AY$23:$BV$23)+SUMPRODUCT(Adds!$C$150:$Z$150,Curves!$AY$46:$BV$46)+SUMPRODUCT(Adds!$C$151:$Z$151,Curves!$AY$69:$BV$69)</f>
        <v/>
      </c>
      <c r="AA40" s="5">
        <f>SUMPRODUCT(Adds!$C$149:$AA$149,Curves!$AX$23:$BV$23)+SUMPRODUCT(Adds!$C$150:$AA$150,Curves!$AX$46:$BV$46)+SUMPRODUCT(Adds!$C$151:$AA$151,Curves!$AX$69:$BV$69)</f>
        <v/>
      </c>
      <c r="AB40" s="5">
        <f>SUMPRODUCT(Adds!$C$149:$AB$149,Curves!$AW$23:$BV$23)+SUMPRODUCT(Adds!$C$150:$AB$150,Curves!$AW$46:$BV$46)+SUMPRODUCT(Adds!$C$151:$AB$151,Curves!$AW$69:$BV$69)</f>
        <v/>
      </c>
      <c r="AC40" s="5">
        <f>SUMPRODUCT(Adds!$C$149:$AC$149,Curves!$AV$23:$BV$23)+SUMPRODUCT(Adds!$C$150:$AC$150,Curves!$AV$46:$BV$46)+SUMPRODUCT(Adds!$C$151:$AC$151,Curves!$AV$69:$BV$69)</f>
        <v/>
      </c>
      <c r="AD40" s="5">
        <f>SUMPRODUCT(Adds!$C$149:$AD$149,Curves!$AU$23:$BV$23)+SUMPRODUCT(Adds!$C$150:$AD$150,Curves!$AU$46:$BV$46)+SUMPRODUCT(Adds!$C$151:$AD$151,Curves!$AU$69:$BV$69)</f>
        <v/>
      </c>
      <c r="AE40" s="5">
        <f>SUMPRODUCT(Adds!$C$149:$AE$149,Curves!$AT$23:$BV$23)+SUMPRODUCT(Adds!$C$150:$AE$150,Curves!$AT$46:$BV$46)+SUMPRODUCT(Adds!$C$151:$AE$151,Curves!$AT$69:$BV$69)</f>
        <v/>
      </c>
      <c r="AF40" s="5">
        <f>SUMPRODUCT(Adds!$C$149:$AF$149,Curves!$AS$23:$BV$23)+SUMPRODUCT(Adds!$C$150:$AF$150,Curves!$AS$46:$BV$46)+SUMPRODUCT(Adds!$C$151:$AF$151,Curves!$AS$69:$BV$69)</f>
        <v/>
      </c>
      <c r="AG40" s="5">
        <f>SUMPRODUCT(Adds!$C$149:$AG$149,Curves!$AR$23:$BV$23)+SUMPRODUCT(Adds!$C$150:$AG$150,Curves!$AR$46:$BV$46)+SUMPRODUCT(Adds!$C$151:$AG$151,Curves!$AR$69:$BV$69)</f>
        <v/>
      </c>
      <c r="AH40" s="5">
        <f>SUMPRODUCT(Adds!$C$149:$AH$149,Curves!$AQ$23:$BV$23)+SUMPRODUCT(Adds!$C$150:$AH$150,Curves!$AQ$46:$BV$46)+SUMPRODUCT(Adds!$C$151:$AH$151,Curves!$AQ$69:$BV$69)</f>
        <v/>
      </c>
      <c r="AI40" s="5">
        <f>SUMPRODUCT(Adds!$C$149:$AI$149,Curves!$AP$23:$BV$23)+SUMPRODUCT(Adds!$C$150:$AI$150,Curves!$AP$46:$BV$46)+SUMPRODUCT(Adds!$C$151:$AI$151,Curves!$AP$69:$BV$69)</f>
        <v/>
      </c>
      <c r="AJ40" s="5">
        <f>SUMPRODUCT(Adds!$C$149:$AJ$149,Curves!$AO$23:$BV$23)+SUMPRODUCT(Adds!$C$150:$AJ$150,Curves!$AO$46:$BV$46)+SUMPRODUCT(Adds!$C$151:$AJ$151,Curves!$AO$69:$BV$69)</f>
        <v/>
      </c>
      <c r="AK40" s="5">
        <f>SUMPRODUCT(Adds!$C$149:$AK$149,Curves!$AN$23:$BV$23)+SUMPRODUCT(Adds!$C$150:$AK$150,Curves!$AN$46:$BV$46)+SUMPRODUCT(Adds!$C$151:$AK$151,Curves!$AN$69:$BV$69)</f>
        <v/>
      </c>
      <c r="AL40" s="5">
        <f>SUMPRODUCT(Adds!$C$149:$AL$149,Curves!$AM$23:$BV$23)+SUMPRODUCT(Adds!$C$150:$AL$150,Curves!$AM$46:$BV$46)+SUMPRODUCT(Adds!$C$151:$AL$151,Curves!$AM$69:$BV$69)</f>
        <v/>
      </c>
      <c r="AM40" s="5">
        <f>SUMPRODUCT(Adds!$C$149:$AM$149,Curves!$AL$23:$BV$23)+SUMPRODUCT(Adds!$C$150:$AM$150,Curves!$AL$46:$BV$46)+SUMPRODUCT(Adds!$C$151:$AM$151,Curves!$AL$69:$BV$69)</f>
        <v/>
      </c>
      <c r="AN40" s="5">
        <f>SUMPRODUCT(Adds!$C$149:$AN$149,Curves!$AK$23:$BV$23)+SUMPRODUCT(Adds!$C$150:$AN$150,Curves!$AK$46:$BV$46)+SUMPRODUCT(Adds!$C$151:$AN$151,Curves!$AK$69:$BV$69)</f>
        <v/>
      </c>
      <c r="AO40" s="5">
        <f>SUMPRODUCT(Adds!$C$149:$AO$149,Curves!$AJ$23:$BV$23)+SUMPRODUCT(Adds!$C$150:$AO$150,Curves!$AJ$46:$BV$46)+SUMPRODUCT(Adds!$C$151:$AO$151,Curves!$AJ$69:$BV$69)</f>
        <v/>
      </c>
      <c r="AP40" s="5">
        <f>SUMPRODUCT(Adds!$C$149:$AP$149,Curves!$AI$23:$BV$23)+SUMPRODUCT(Adds!$C$150:$AP$150,Curves!$AI$46:$BV$46)+SUMPRODUCT(Adds!$C$151:$AP$151,Curves!$AI$69:$BV$69)</f>
        <v/>
      </c>
      <c r="AQ40" s="5">
        <f>SUMPRODUCT(Adds!$C$149:$AQ$149,Curves!$AH$23:$BV$23)+SUMPRODUCT(Adds!$C$150:$AQ$150,Curves!$AH$46:$BV$46)+SUMPRODUCT(Adds!$C$151:$AQ$151,Curves!$AH$69:$BV$69)</f>
        <v/>
      </c>
      <c r="AR40" s="5">
        <f>SUMPRODUCT(Adds!$C$149:$AR$149,Curves!$AG$23:$BV$23)+SUMPRODUCT(Adds!$C$150:$AR$150,Curves!$AG$46:$BV$46)+SUMPRODUCT(Adds!$C$151:$AR$151,Curves!$AG$69:$BV$69)</f>
        <v/>
      </c>
      <c r="AS40" s="5">
        <f>SUMPRODUCT(Adds!$C$149:$AS$149,Curves!$AF$23:$BV$23)+SUMPRODUCT(Adds!$C$150:$AS$150,Curves!$AF$46:$BV$46)+SUMPRODUCT(Adds!$C$151:$AS$151,Curves!$AF$69:$BV$69)</f>
        <v/>
      </c>
      <c r="AT40" s="5">
        <f>SUMPRODUCT(Adds!$C$149:$AT$149,Curves!$AE$23:$BV$23)+SUMPRODUCT(Adds!$C$150:$AT$150,Curves!$AE$46:$BV$46)+SUMPRODUCT(Adds!$C$151:$AT$151,Curves!$AE$69:$BV$69)</f>
        <v/>
      </c>
      <c r="AU40" s="5">
        <f>SUMPRODUCT(Adds!$C$149:$AU$149,Curves!$AD$23:$BV$23)+SUMPRODUCT(Adds!$C$150:$AU$150,Curves!$AD$46:$BV$46)+SUMPRODUCT(Adds!$C$151:$AU$151,Curves!$AD$69:$BV$69)</f>
        <v/>
      </c>
      <c r="AV40" s="5">
        <f>SUMPRODUCT(Adds!$C$149:$AV$149,Curves!$AC$23:$BV$23)+SUMPRODUCT(Adds!$C$150:$AV$150,Curves!$AC$46:$BV$46)+SUMPRODUCT(Adds!$C$151:$AV$151,Curves!$AC$69:$BV$69)</f>
        <v/>
      </c>
      <c r="AW40" s="5">
        <f>SUMPRODUCT(Adds!$C$149:$AW$149,Curves!$AB$23:$BV$23)+SUMPRODUCT(Adds!$C$150:$AW$150,Curves!$AB$46:$BV$46)+SUMPRODUCT(Adds!$C$151:$AW$151,Curves!$AB$69:$BV$69)</f>
        <v/>
      </c>
      <c r="AX40" s="5">
        <f>SUMPRODUCT(Adds!$C$149:$AX$149,Curves!$AA$23:$BV$23)+SUMPRODUCT(Adds!$C$150:$AX$150,Curves!$AA$46:$BV$46)+SUMPRODUCT(Adds!$C$151:$AX$151,Curves!$AA$69:$BV$69)</f>
        <v/>
      </c>
      <c r="AY40" s="5">
        <f>SUMPRODUCT(Adds!$C$149:$AY$149,Curves!$Z$23:$BV$23)+SUMPRODUCT(Adds!$C$150:$AY$150,Curves!$Z$46:$BV$46)+SUMPRODUCT(Adds!$C$151:$AY$151,Curves!$Z$69:$BV$69)</f>
        <v/>
      </c>
      <c r="AZ40" s="5">
        <f>SUMPRODUCT(Adds!$C$149:$AZ$149,Curves!$Y$23:$BV$23)+SUMPRODUCT(Adds!$C$150:$AZ$150,Curves!$Y$46:$BV$46)+SUMPRODUCT(Adds!$C$151:$AZ$151,Curves!$Y$69:$BV$69)</f>
        <v/>
      </c>
      <c r="BA40" s="5">
        <f>SUMPRODUCT(Adds!$C$149:$BA$149,Curves!$X$23:$BV$23)+SUMPRODUCT(Adds!$C$150:$BA$150,Curves!$X$46:$BV$46)+SUMPRODUCT(Adds!$C$151:$BA$151,Curves!$X$69:$BV$69)</f>
        <v/>
      </c>
      <c r="BB40" s="5">
        <f>SUMPRODUCT(Adds!$C$149:$BB$149,Curves!$W$23:$BV$23)+SUMPRODUCT(Adds!$C$150:$BB$150,Curves!$W$46:$BV$46)+SUMPRODUCT(Adds!$C$151:$BB$151,Curves!$W$69:$BV$69)</f>
        <v/>
      </c>
      <c r="BC40" s="5">
        <f>SUMPRODUCT(Adds!$C$149:$BC$149,Curves!$V$23:$BV$23)+SUMPRODUCT(Adds!$C$150:$BC$150,Curves!$V$46:$BV$46)+SUMPRODUCT(Adds!$C$151:$BC$151,Curves!$V$69:$BV$69)</f>
        <v/>
      </c>
      <c r="BD40" s="5">
        <f>SUMPRODUCT(Adds!$C$149:$BD$149,Curves!$U$23:$BV$23)+SUMPRODUCT(Adds!$C$150:$BD$150,Curves!$U$46:$BV$46)+SUMPRODUCT(Adds!$C$151:$BD$151,Curves!$U$69:$BV$69)</f>
        <v/>
      </c>
      <c r="BE40" s="5">
        <f>SUMPRODUCT(Adds!$C$149:$BE$149,Curves!$T$23:$BV$23)+SUMPRODUCT(Adds!$C$150:$BE$150,Curves!$T$46:$BV$46)+SUMPRODUCT(Adds!$C$151:$BE$151,Curves!$T$69:$BV$69)</f>
        <v/>
      </c>
      <c r="BF40" s="5">
        <f>SUMPRODUCT(Adds!$C$149:$BF$149,Curves!$S$23:$BV$23)+SUMPRODUCT(Adds!$C$150:$BF$150,Curves!$S$46:$BV$46)+SUMPRODUCT(Adds!$C$151:$BF$151,Curves!$S$69:$BV$69)</f>
        <v/>
      </c>
      <c r="BG40" s="5">
        <f>SUMPRODUCT(Adds!$C$149:$BG$149,Curves!$R$23:$BV$23)+SUMPRODUCT(Adds!$C$150:$BG$150,Curves!$R$46:$BV$46)+SUMPRODUCT(Adds!$C$151:$BG$151,Curves!$R$69:$BV$69)</f>
        <v/>
      </c>
      <c r="BH40" s="5">
        <f>SUMPRODUCT(Adds!$C$149:$BH$149,Curves!$Q$23:$BV$23)+SUMPRODUCT(Adds!$C$150:$BH$150,Curves!$Q$46:$BV$46)+SUMPRODUCT(Adds!$C$151:$BH$151,Curves!$Q$69:$BV$69)</f>
        <v/>
      </c>
      <c r="BI40" s="5">
        <f>SUMPRODUCT(Adds!$C$149:$BI$149,Curves!$P$23:$BV$23)+SUMPRODUCT(Adds!$C$150:$BI$150,Curves!$P$46:$BV$46)+SUMPRODUCT(Adds!$C$151:$BI$151,Curves!$P$69:$BV$69)</f>
        <v/>
      </c>
      <c r="BJ40" s="5">
        <f>SUMPRODUCT(Adds!$C$149:$BJ$149,Curves!$O$23:$BV$23)+SUMPRODUCT(Adds!$C$150:$BJ$150,Curves!$O$46:$BV$46)+SUMPRODUCT(Adds!$C$151:$BJ$151,Curves!$O$69:$BV$69)</f>
        <v/>
      </c>
      <c r="BK40" s="5">
        <f>SUMPRODUCT(Adds!$C$149:$BK$149,Curves!$N$23:$BV$23)+SUMPRODUCT(Adds!$C$150:$BK$150,Curves!$N$46:$BV$46)+SUMPRODUCT(Adds!$C$151:$BK$151,Curves!$N$69:$BV$69)</f>
        <v/>
      </c>
      <c r="BL40" s="5">
        <f>SUMPRODUCT(Adds!$C$149:$BL$149,Curves!$M$23:$BV$23)+SUMPRODUCT(Adds!$C$150:$BL$150,Curves!$M$46:$BV$46)+SUMPRODUCT(Adds!$C$151:$BL$151,Curves!$M$69:$BV$69)</f>
        <v/>
      </c>
      <c r="BM40" s="5">
        <f>SUMPRODUCT(Adds!$C$149:$BM$149,Curves!$L$23:$BV$23)+SUMPRODUCT(Adds!$C$150:$BM$150,Curves!$L$46:$BV$46)+SUMPRODUCT(Adds!$C$151:$BM$151,Curves!$L$69:$BV$69)</f>
        <v/>
      </c>
      <c r="BN40" s="5">
        <f>SUMPRODUCT(Adds!$C$149:$BN$149,Curves!$K$23:$BV$23)+SUMPRODUCT(Adds!$C$150:$BN$150,Curves!$K$46:$BV$46)+SUMPRODUCT(Adds!$C$151:$BN$151,Curves!$K$69:$BV$69)</f>
        <v/>
      </c>
      <c r="BO40" s="5">
        <f>SUMPRODUCT(Adds!$C$149:$BO$149,Curves!$J$23:$BV$23)+SUMPRODUCT(Adds!$C$150:$BO$150,Curves!$J$46:$BV$46)+SUMPRODUCT(Adds!$C$151:$BO$151,Curves!$J$69:$BV$69)</f>
        <v/>
      </c>
      <c r="BP40" s="5">
        <f>SUMPRODUCT(Adds!$C$149:$BP$149,Curves!$I$23:$BV$23)+SUMPRODUCT(Adds!$C$150:$BP$150,Curves!$I$46:$BV$46)+SUMPRODUCT(Adds!$C$151:$BP$151,Curves!$I$69:$BV$69)</f>
        <v/>
      </c>
      <c r="BQ40" s="5">
        <f>SUMPRODUCT(Adds!$C$149:$BQ$149,Curves!$H$23:$BV$23)+SUMPRODUCT(Adds!$C$150:$BQ$150,Curves!$H$46:$BV$46)+SUMPRODUCT(Adds!$C$151:$BQ$151,Curves!$H$69:$BV$69)</f>
        <v/>
      </c>
      <c r="BR40" s="5">
        <f>SUMPRODUCT(Adds!$C$149:$BR$149,Curves!$G$23:$BV$23)+SUMPRODUCT(Adds!$C$150:$BR$150,Curves!$G$46:$BV$46)+SUMPRODUCT(Adds!$C$151:$BR$151,Curves!$G$69:$BV$69)</f>
        <v/>
      </c>
      <c r="BS40" s="5">
        <f>SUMPRODUCT(Adds!$C$149:$BS$149,Curves!$F$23:$BV$23)+SUMPRODUCT(Adds!$C$150:$BS$150,Curves!$F$46:$BV$46)+SUMPRODUCT(Adds!$C$151:$BS$151,Curves!$F$69:$BV$69)</f>
        <v/>
      </c>
      <c r="BT40" s="5">
        <f>SUMPRODUCT(Adds!$C$149:$BT$149,Curves!$E$23:$BV$23)+SUMPRODUCT(Adds!$C$150:$BT$150,Curves!$E$46:$BV$46)+SUMPRODUCT(Adds!$C$151:$BT$151,Curves!$E$69:$BV$69)</f>
        <v/>
      </c>
      <c r="BU40" s="5">
        <f>SUMPRODUCT(Adds!$C$149:$BU$149,Curves!$D$23:$BV$23)+SUMPRODUCT(Adds!$C$150:$BU$150,Curves!$D$46:$BV$46)+SUMPRODUCT(Adds!$C$151:$BU$151,Curves!$D$69:$BV$69)</f>
        <v/>
      </c>
      <c r="BV40" s="5">
        <f>SUMPRODUCT(Adds!$C$149:$BV$149,Curves!$C$23:$BV$23)+SUMPRODUCT(Adds!$C$150:$BV$150,Curves!$C$46:$BV$46)+SUMPRODUCT(Adds!$C$151:$BV$151,Curves!$C$69:$BV$69)</f>
        <v/>
      </c>
    </row>
    <row r="41">
      <c r="A41" t="inlineStr">
        <is>
          <t>churned</t>
        </is>
      </c>
      <c r="B41" t="inlineStr">
        <is>
          <t>LATAM|NITRO_A</t>
        </is>
      </c>
      <c r="C41" s="5">
        <f>Adds!$C$149*Curves!$BV$18+Adds!$C$150*Curves!$BV$41+Adds!$C$151*Curves!$BV$64</f>
        <v/>
      </c>
      <c r="D41" s="5">
        <f>SUMPRODUCT(Adds!$C$149:$D$149,Curves!$BU$18:$BV$18)+SUMPRODUCT(Adds!$C$150:$D$150,Curves!$BU$41:$BV$41)+SUMPRODUCT(Adds!$C$151:$D$151,Curves!$BU$64:$BV$64)</f>
        <v/>
      </c>
      <c r="E41" s="5">
        <f>SUMPRODUCT(Adds!$C$149:$E$149,Curves!$BT$18:$BV$18)+SUMPRODUCT(Adds!$C$150:$E$150,Curves!$BT$41:$BV$41)+SUMPRODUCT(Adds!$C$151:$E$151,Curves!$BT$64:$BV$64)</f>
        <v/>
      </c>
      <c r="F41" s="5">
        <f>SUMPRODUCT(Adds!$C$149:$F$149,Curves!$BS$18:$BV$18)+SUMPRODUCT(Adds!$C$150:$F$150,Curves!$BS$41:$BV$41)+SUMPRODUCT(Adds!$C$151:$F$151,Curves!$BS$64:$BV$64)</f>
        <v/>
      </c>
      <c r="G41" s="5">
        <f>SUMPRODUCT(Adds!$C$149:$G$149,Curves!$BR$18:$BV$18)+SUMPRODUCT(Adds!$C$150:$G$150,Curves!$BR$41:$BV$41)+SUMPRODUCT(Adds!$C$151:$G$151,Curves!$BR$64:$BV$64)</f>
        <v/>
      </c>
      <c r="H41" s="5">
        <f>SUMPRODUCT(Adds!$C$149:$H$149,Curves!$BQ$18:$BV$18)+SUMPRODUCT(Adds!$C$150:$H$150,Curves!$BQ$41:$BV$41)+SUMPRODUCT(Adds!$C$151:$H$151,Curves!$BQ$64:$BV$64)</f>
        <v/>
      </c>
      <c r="I41" s="5">
        <f>SUMPRODUCT(Adds!$C$149:$I$149,Curves!$BP$18:$BV$18)+SUMPRODUCT(Adds!$C$150:$I$150,Curves!$BP$41:$BV$41)+SUMPRODUCT(Adds!$C$151:$I$151,Curves!$BP$64:$BV$64)</f>
        <v/>
      </c>
      <c r="J41" s="5">
        <f>SUMPRODUCT(Adds!$C$149:$J$149,Curves!$BO$18:$BV$18)+SUMPRODUCT(Adds!$C$150:$J$150,Curves!$BO$41:$BV$41)+SUMPRODUCT(Adds!$C$151:$J$151,Curves!$BO$64:$BV$64)</f>
        <v/>
      </c>
      <c r="K41" s="5">
        <f>SUMPRODUCT(Adds!$C$149:$K$149,Curves!$BN$18:$BV$18)+SUMPRODUCT(Adds!$C$150:$K$150,Curves!$BN$41:$BV$41)+SUMPRODUCT(Adds!$C$151:$K$151,Curves!$BN$64:$BV$64)</f>
        <v/>
      </c>
      <c r="L41" s="5">
        <f>SUMPRODUCT(Adds!$C$149:$L$149,Curves!$BM$18:$BV$18)+SUMPRODUCT(Adds!$C$150:$L$150,Curves!$BM$41:$BV$41)+SUMPRODUCT(Adds!$C$151:$L$151,Curves!$BM$64:$BV$64)</f>
        <v/>
      </c>
      <c r="M41" s="5">
        <f>SUMPRODUCT(Adds!$C$149:$M$149,Curves!$BL$18:$BV$18)+SUMPRODUCT(Adds!$C$150:$M$150,Curves!$BL$41:$BV$41)+SUMPRODUCT(Adds!$C$151:$M$151,Curves!$BL$64:$BV$64)</f>
        <v/>
      </c>
      <c r="N41" s="5">
        <f>SUMPRODUCT(Adds!$C$149:$N$149,Curves!$BK$18:$BV$18)+SUMPRODUCT(Adds!$C$150:$N$150,Curves!$BK$41:$BV$41)+SUMPRODUCT(Adds!$C$151:$N$151,Curves!$BK$64:$BV$64)</f>
        <v/>
      </c>
      <c r="O41" s="5">
        <f>SUMPRODUCT(Adds!$C$149:$O$149,Curves!$BJ$18:$BV$18)+SUMPRODUCT(Adds!$C$150:$O$150,Curves!$BJ$41:$BV$41)+SUMPRODUCT(Adds!$C$151:$O$151,Curves!$BJ$64:$BV$64)</f>
        <v/>
      </c>
      <c r="P41" s="5">
        <f>SUMPRODUCT(Adds!$C$149:$P$149,Curves!$BI$18:$BV$18)+SUMPRODUCT(Adds!$C$150:$P$150,Curves!$BI$41:$BV$41)+SUMPRODUCT(Adds!$C$151:$P$151,Curves!$BI$64:$BV$64)</f>
        <v/>
      </c>
      <c r="Q41" s="5">
        <f>SUMPRODUCT(Adds!$C$149:$Q$149,Curves!$BH$18:$BV$18)+SUMPRODUCT(Adds!$C$150:$Q$150,Curves!$BH$41:$BV$41)+SUMPRODUCT(Adds!$C$151:$Q$151,Curves!$BH$64:$BV$64)</f>
        <v/>
      </c>
      <c r="R41" s="5">
        <f>SUMPRODUCT(Adds!$C$149:$R$149,Curves!$BG$18:$BV$18)+SUMPRODUCT(Adds!$C$150:$R$150,Curves!$BG$41:$BV$41)+SUMPRODUCT(Adds!$C$151:$R$151,Curves!$BG$64:$BV$64)</f>
        <v/>
      </c>
      <c r="S41" s="5">
        <f>SUMPRODUCT(Adds!$C$149:$S$149,Curves!$BF$18:$BV$18)+SUMPRODUCT(Adds!$C$150:$S$150,Curves!$BF$41:$BV$41)+SUMPRODUCT(Adds!$C$151:$S$151,Curves!$BF$64:$BV$64)</f>
        <v/>
      </c>
      <c r="T41" s="5">
        <f>SUMPRODUCT(Adds!$C$149:$T$149,Curves!$BE$18:$BV$18)+SUMPRODUCT(Adds!$C$150:$T$150,Curves!$BE$41:$BV$41)+SUMPRODUCT(Adds!$C$151:$T$151,Curves!$BE$64:$BV$64)</f>
        <v/>
      </c>
      <c r="U41" s="5">
        <f>SUMPRODUCT(Adds!$C$149:$U$149,Curves!$BD$18:$BV$18)+SUMPRODUCT(Adds!$C$150:$U$150,Curves!$BD$41:$BV$41)+SUMPRODUCT(Adds!$C$151:$U$151,Curves!$BD$64:$BV$64)</f>
        <v/>
      </c>
      <c r="V41" s="5">
        <f>SUMPRODUCT(Adds!$C$149:$V$149,Curves!$BC$18:$BV$18)+SUMPRODUCT(Adds!$C$150:$V$150,Curves!$BC$41:$BV$41)+SUMPRODUCT(Adds!$C$151:$V$151,Curves!$BC$64:$BV$64)</f>
        <v/>
      </c>
      <c r="W41" s="5">
        <f>SUMPRODUCT(Adds!$C$149:$W$149,Curves!$BB$18:$BV$18)+SUMPRODUCT(Adds!$C$150:$W$150,Curves!$BB$41:$BV$41)+SUMPRODUCT(Adds!$C$151:$W$151,Curves!$BB$64:$BV$64)</f>
        <v/>
      </c>
      <c r="X41" s="5">
        <f>SUMPRODUCT(Adds!$C$149:$X$149,Curves!$BA$18:$BV$18)+SUMPRODUCT(Adds!$C$150:$X$150,Curves!$BA$41:$BV$41)+SUMPRODUCT(Adds!$C$151:$X$151,Curves!$BA$64:$BV$64)</f>
        <v/>
      </c>
      <c r="Y41" s="5">
        <f>SUMPRODUCT(Adds!$C$149:$Y$149,Curves!$AZ$18:$BV$18)+SUMPRODUCT(Adds!$C$150:$Y$150,Curves!$AZ$41:$BV$41)+SUMPRODUCT(Adds!$C$151:$Y$151,Curves!$AZ$64:$BV$64)</f>
        <v/>
      </c>
      <c r="Z41" s="5">
        <f>SUMPRODUCT(Adds!$C$149:$Z$149,Curves!$AY$18:$BV$18)+SUMPRODUCT(Adds!$C$150:$Z$150,Curves!$AY$41:$BV$41)+SUMPRODUCT(Adds!$C$151:$Z$151,Curves!$AY$64:$BV$64)</f>
        <v/>
      </c>
      <c r="AA41" s="5">
        <f>SUMPRODUCT(Adds!$C$149:$AA$149,Curves!$AX$18:$BV$18)+SUMPRODUCT(Adds!$C$150:$AA$150,Curves!$AX$41:$BV$41)+SUMPRODUCT(Adds!$C$151:$AA$151,Curves!$AX$64:$BV$64)</f>
        <v/>
      </c>
      <c r="AB41" s="5">
        <f>SUMPRODUCT(Adds!$C$149:$AB$149,Curves!$AW$18:$BV$18)+SUMPRODUCT(Adds!$C$150:$AB$150,Curves!$AW$41:$BV$41)+SUMPRODUCT(Adds!$C$151:$AB$151,Curves!$AW$64:$BV$64)</f>
        <v/>
      </c>
      <c r="AC41" s="5">
        <f>SUMPRODUCT(Adds!$C$149:$AC$149,Curves!$AV$18:$BV$18)+SUMPRODUCT(Adds!$C$150:$AC$150,Curves!$AV$41:$BV$41)+SUMPRODUCT(Adds!$C$151:$AC$151,Curves!$AV$64:$BV$64)</f>
        <v/>
      </c>
      <c r="AD41" s="5">
        <f>SUMPRODUCT(Adds!$C$149:$AD$149,Curves!$AU$18:$BV$18)+SUMPRODUCT(Adds!$C$150:$AD$150,Curves!$AU$41:$BV$41)+SUMPRODUCT(Adds!$C$151:$AD$151,Curves!$AU$64:$BV$64)</f>
        <v/>
      </c>
      <c r="AE41" s="5">
        <f>SUMPRODUCT(Adds!$C$149:$AE$149,Curves!$AT$18:$BV$18)+SUMPRODUCT(Adds!$C$150:$AE$150,Curves!$AT$41:$BV$41)+SUMPRODUCT(Adds!$C$151:$AE$151,Curves!$AT$64:$BV$64)</f>
        <v/>
      </c>
      <c r="AF41" s="5">
        <f>SUMPRODUCT(Adds!$C$149:$AF$149,Curves!$AS$18:$BV$18)+SUMPRODUCT(Adds!$C$150:$AF$150,Curves!$AS$41:$BV$41)+SUMPRODUCT(Adds!$C$151:$AF$151,Curves!$AS$64:$BV$64)</f>
        <v/>
      </c>
      <c r="AG41" s="5">
        <f>SUMPRODUCT(Adds!$C$149:$AG$149,Curves!$AR$18:$BV$18)+SUMPRODUCT(Adds!$C$150:$AG$150,Curves!$AR$41:$BV$41)+SUMPRODUCT(Adds!$C$151:$AG$151,Curves!$AR$64:$BV$64)</f>
        <v/>
      </c>
      <c r="AH41" s="5">
        <f>SUMPRODUCT(Adds!$C$149:$AH$149,Curves!$AQ$18:$BV$18)+SUMPRODUCT(Adds!$C$150:$AH$150,Curves!$AQ$41:$BV$41)+SUMPRODUCT(Adds!$C$151:$AH$151,Curves!$AQ$64:$BV$64)</f>
        <v/>
      </c>
      <c r="AI41" s="5">
        <f>SUMPRODUCT(Adds!$C$149:$AI$149,Curves!$AP$18:$BV$18)+SUMPRODUCT(Adds!$C$150:$AI$150,Curves!$AP$41:$BV$41)+SUMPRODUCT(Adds!$C$151:$AI$151,Curves!$AP$64:$BV$64)</f>
        <v/>
      </c>
      <c r="AJ41" s="5">
        <f>SUMPRODUCT(Adds!$C$149:$AJ$149,Curves!$AO$18:$BV$18)+SUMPRODUCT(Adds!$C$150:$AJ$150,Curves!$AO$41:$BV$41)+SUMPRODUCT(Adds!$C$151:$AJ$151,Curves!$AO$64:$BV$64)</f>
        <v/>
      </c>
      <c r="AK41" s="5">
        <f>SUMPRODUCT(Adds!$C$149:$AK$149,Curves!$AN$18:$BV$18)+SUMPRODUCT(Adds!$C$150:$AK$150,Curves!$AN$41:$BV$41)+SUMPRODUCT(Adds!$C$151:$AK$151,Curves!$AN$64:$BV$64)</f>
        <v/>
      </c>
      <c r="AL41" s="5">
        <f>SUMPRODUCT(Adds!$C$149:$AL$149,Curves!$AM$18:$BV$18)+SUMPRODUCT(Adds!$C$150:$AL$150,Curves!$AM$41:$BV$41)+SUMPRODUCT(Adds!$C$151:$AL$151,Curves!$AM$64:$BV$64)</f>
        <v/>
      </c>
      <c r="AM41" s="5">
        <f>SUMPRODUCT(Adds!$C$149:$AM$149,Curves!$AL$18:$BV$18)+SUMPRODUCT(Adds!$C$150:$AM$150,Curves!$AL$41:$BV$41)+SUMPRODUCT(Adds!$C$151:$AM$151,Curves!$AL$64:$BV$64)</f>
        <v/>
      </c>
      <c r="AN41" s="5">
        <f>SUMPRODUCT(Adds!$C$149:$AN$149,Curves!$AK$18:$BV$18)+SUMPRODUCT(Adds!$C$150:$AN$150,Curves!$AK$41:$BV$41)+SUMPRODUCT(Adds!$C$151:$AN$151,Curves!$AK$64:$BV$64)</f>
        <v/>
      </c>
      <c r="AO41" s="5">
        <f>SUMPRODUCT(Adds!$C$149:$AO$149,Curves!$AJ$18:$BV$18)+SUMPRODUCT(Adds!$C$150:$AO$150,Curves!$AJ$41:$BV$41)+SUMPRODUCT(Adds!$C$151:$AO$151,Curves!$AJ$64:$BV$64)</f>
        <v/>
      </c>
      <c r="AP41" s="5">
        <f>SUMPRODUCT(Adds!$C$149:$AP$149,Curves!$AI$18:$BV$18)+SUMPRODUCT(Adds!$C$150:$AP$150,Curves!$AI$41:$BV$41)+SUMPRODUCT(Adds!$C$151:$AP$151,Curves!$AI$64:$BV$64)</f>
        <v/>
      </c>
      <c r="AQ41" s="5">
        <f>SUMPRODUCT(Adds!$C$149:$AQ$149,Curves!$AH$18:$BV$18)+SUMPRODUCT(Adds!$C$150:$AQ$150,Curves!$AH$41:$BV$41)+SUMPRODUCT(Adds!$C$151:$AQ$151,Curves!$AH$64:$BV$64)</f>
        <v/>
      </c>
      <c r="AR41" s="5">
        <f>SUMPRODUCT(Adds!$C$149:$AR$149,Curves!$AG$18:$BV$18)+SUMPRODUCT(Adds!$C$150:$AR$150,Curves!$AG$41:$BV$41)+SUMPRODUCT(Adds!$C$151:$AR$151,Curves!$AG$64:$BV$64)</f>
        <v/>
      </c>
      <c r="AS41" s="5">
        <f>SUMPRODUCT(Adds!$C$149:$AS$149,Curves!$AF$18:$BV$18)+SUMPRODUCT(Adds!$C$150:$AS$150,Curves!$AF$41:$BV$41)+SUMPRODUCT(Adds!$C$151:$AS$151,Curves!$AF$64:$BV$64)</f>
        <v/>
      </c>
      <c r="AT41" s="5">
        <f>SUMPRODUCT(Adds!$C$149:$AT$149,Curves!$AE$18:$BV$18)+SUMPRODUCT(Adds!$C$150:$AT$150,Curves!$AE$41:$BV$41)+SUMPRODUCT(Adds!$C$151:$AT$151,Curves!$AE$64:$BV$64)</f>
        <v/>
      </c>
      <c r="AU41" s="5">
        <f>SUMPRODUCT(Adds!$C$149:$AU$149,Curves!$AD$18:$BV$18)+SUMPRODUCT(Adds!$C$150:$AU$150,Curves!$AD$41:$BV$41)+SUMPRODUCT(Adds!$C$151:$AU$151,Curves!$AD$64:$BV$64)</f>
        <v/>
      </c>
      <c r="AV41" s="5">
        <f>SUMPRODUCT(Adds!$C$149:$AV$149,Curves!$AC$18:$BV$18)+SUMPRODUCT(Adds!$C$150:$AV$150,Curves!$AC$41:$BV$41)+SUMPRODUCT(Adds!$C$151:$AV$151,Curves!$AC$64:$BV$64)</f>
        <v/>
      </c>
      <c r="AW41" s="5">
        <f>SUMPRODUCT(Adds!$C$149:$AW$149,Curves!$AB$18:$BV$18)+SUMPRODUCT(Adds!$C$150:$AW$150,Curves!$AB$41:$BV$41)+SUMPRODUCT(Adds!$C$151:$AW$151,Curves!$AB$64:$BV$64)</f>
        <v/>
      </c>
      <c r="AX41" s="5">
        <f>SUMPRODUCT(Adds!$C$149:$AX$149,Curves!$AA$18:$BV$18)+SUMPRODUCT(Adds!$C$150:$AX$150,Curves!$AA$41:$BV$41)+SUMPRODUCT(Adds!$C$151:$AX$151,Curves!$AA$64:$BV$64)</f>
        <v/>
      </c>
      <c r="AY41" s="5">
        <f>SUMPRODUCT(Adds!$C$149:$AY$149,Curves!$Z$18:$BV$18)+SUMPRODUCT(Adds!$C$150:$AY$150,Curves!$Z$41:$BV$41)+SUMPRODUCT(Adds!$C$151:$AY$151,Curves!$Z$64:$BV$64)</f>
        <v/>
      </c>
      <c r="AZ41" s="5">
        <f>SUMPRODUCT(Adds!$C$149:$AZ$149,Curves!$Y$18:$BV$18)+SUMPRODUCT(Adds!$C$150:$AZ$150,Curves!$Y$41:$BV$41)+SUMPRODUCT(Adds!$C$151:$AZ$151,Curves!$Y$64:$BV$64)</f>
        <v/>
      </c>
      <c r="BA41" s="5">
        <f>SUMPRODUCT(Adds!$C$149:$BA$149,Curves!$X$18:$BV$18)+SUMPRODUCT(Adds!$C$150:$BA$150,Curves!$X$41:$BV$41)+SUMPRODUCT(Adds!$C$151:$BA$151,Curves!$X$64:$BV$64)</f>
        <v/>
      </c>
      <c r="BB41" s="5">
        <f>SUMPRODUCT(Adds!$C$149:$BB$149,Curves!$W$18:$BV$18)+SUMPRODUCT(Adds!$C$150:$BB$150,Curves!$W$41:$BV$41)+SUMPRODUCT(Adds!$C$151:$BB$151,Curves!$W$64:$BV$64)</f>
        <v/>
      </c>
      <c r="BC41" s="5">
        <f>SUMPRODUCT(Adds!$C$149:$BC$149,Curves!$V$18:$BV$18)+SUMPRODUCT(Adds!$C$150:$BC$150,Curves!$V$41:$BV$41)+SUMPRODUCT(Adds!$C$151:$BC$151,Curves!$V$64:$BV$64)</f>
        <v/>
      </c>
      <c r="BD41" s="5">
        <f>SUMPRODUCT(Adds!$C$149:$BD$149,Curves!$U$18:$BV$18)+SUMPRODUCT(Adds!$C$150:$BD$150,Curves!$U$41:$BV$41)+SUMPRODUCT(Adds!$C$151:$BD$151,Curves!$U$64:$BV$64)</f>
        <v/>
      </c>
      <c r="BE41" s="5">
        <f>SUMPRODUCT(Adds!$C$149:$BE$149,Curves!$T$18:$BV$18)+SUMPRODUCT(Adds!$C$150:$BE$150,Curves!$T$41:$BV$41)+SUMPRODUCT(Adds!$C$151:$BE$151,Curves!$T$64:$BV$64)</f>
        <v/>
      </c>
      <c r="BF41" s="5">
        <f>SUMPRODUCT(Adds!$C$149:$BF$149,Curves!$S$18:$BV$18)+SUMPRODUCT(Adds!$C$150:$BF$150,Curves!$S$41:$BV$41)+SUMPRODUCT(Adds!$C$151:$BF$151,Curves!$S$64:$BV$64)</f>
        <v/>
      </c>
      <c r="BG41" s="5">
        <f>SUMPRODUCT(Adds!$C$149:$BG$149,Curves!$R$18:$BV$18)+SUMPRODUCT(Adds!$C$150:$BG$150,Curves!$R$41:$BV$41)+SUMPRODUCT(Adds!$C$151:$BG$151,Curves!$R$64:$BV$64)</f>
        <v/>
      </c>
      <c r="BH41" s="5">
        <f>SUMPRODUCT(Adds!$C$149:$BH$149,Curves!$Q$18:$BV$18)+SUMPRODUCT(Adds!$C$150:$BH$150,Curves!$Q$41:$BV$41)+SUMPRODUCT(Adds!$C$151:$BH$151,Curves!$Q$64:$BV$64)</f>
        <v/>
      </c>
      <c r="BI41" s="5">
        <f>SUMPRODUCT(Adds!$C$149:$BI$149,Curves!$P$18:$BV$18)+SUMPRODUCT(Adds!$C$150:$BI$150,Curves!$P$41:$BV$41)+SUMPRODUCT(Adds!$C$151:$BI$151,Curves!$P$64:$BV$64)</f>
        <v/>
      </c>
      <c r="BJ41" s="5">
        <f>SUMPRODUCT(Adds!$C$149:$BJ$149,Curves!$O$18:$BV$18)+SUMPRODUCT(Adds!$C$150:$BJ$150,Curves!$O$41:$BV$41)+SUMPRODUCT(Adds!$C$151:$BJ$151,Curves!$O$64:$BV$64)</f>
        <v/>
      </c>
      <c r="BK41" s="5">
        <f>SUMPRODUCT(Adds!$C$149:$BK$149,Curves!$N$18:$BV$18)+SUMPRODUCT(Adds!$C$150:$BK$150,Curves!$N$41:$BV$41)+SUMPRODUCT(Adds!$C$151:$BK$151,Curves!$N$64:$BV$64)</f>
        <v/>
      </c>
      <c r="BL41" s="5">
        <f>SUMPRODUCT(Adds!$C$149:$BL$149,Curves!$M$18:$BV$18)+SUMPRODUCT(Adds!$C$150:$BL$150,Curves!$M$41:$BV$41)+SUMPRODUCT(Adds!$C$151:$BL$151,Curves!$M$64:$BV$64)</f>
        <v/>
      </c>
      <c r="BM41" s="5">
        <f>SUMPRODUCT(Adds!$C$149:$BM$149,Curves!$L$18:$BV$18)+SUMPRODUCT(Adds!$C$150:$BM$150,Curves!$L$41:$BV$41)+SUMPRODUCT(Adds!$C$151:$BM$151,Curves!$L$64:$BV$64)</f>
        <v/>
      </c>
      <c r="BN41" s="5">
        <f>SUMPRODUCT(Adds!$C$149:$BN$149,Curves!$K$18:$BV$18)+SUMPRODUCT(Adds!$C$150:$BN$150,Curves!$K$41:$BV$41)+SUMPRODUCT(Adds!$C$151:$BN$151,Curves!$K$64:$BV$64)</f>
        <v/>
      </c>
      <c r="BO41" s="5">
        <f>SUMPRODUCT(Adds!$C$149:$BO$149,Curves!$J$18:$BV$18)+SUMPRODUCT(Adds!$C$150:$BO$150,Curves!$J$41:$BV$41)+SUMPRODUCT(Adds!$C$151:$BO$151,Curves!$J$64:$BV$64)</f>
        <v/>
      </c>
      <c r="BP41" s="5">
        <f>SUMPRODUCT(Adds!$C$149:$BP$149,Curves!$I$18:$BV$18)+SUMPRODUCT(Adds!$C$150:$BP$150,Curves!$I$41:$BV$41)+SUMPRODUCT(Adds!$C$151:$BP$151,Curves!$I$64:$BV$64)</f>
        <v/>
      </c>
      <c r="BQ41" s="5">
        <f>SUMPRODUCT(Adds!$C$149:$BQ$149,Curves!$H$18:$BV$18)+SUMPRODUCT(Adds!$C$150:$BQ$150,Curves!$H$41:$BV$41)+SUMPRODUCT(Adds!$C$151:$BQ$151,Curves!$H$64:$BV$64)</f>
        <v/>
      </c>
      <c r="BR41" s="5">
        <f>SUMPRODUCT(Adds!$C$149:$BR$149,Curves!$G$18:$BV$18)+SUMPRODUCT(Adds!$C$150:$BR$150,Curves!$G$41:$BV$41)+SUMPRODUCT(Adds!$C$151:$BR$151,Curves!$G$64:$BV$64)</f>
        <v/>
      </c>
      <c r="BS41" s="5">
        <f>SUMPRODUCT(Adds!$C$149:$BS$149,Curves!$F$18:$BV$18)+SUMPRODUCT(Adds!$C$150:$BS$150,Curves!$F$41:$BV$41)+SUMPRODUCT(Adds!$C$151:$BS$151,Curves!$F$64:$BV$64)</f>
        <v/>
      </c>
      <c r="BT41" s="5">
        <f>SUMPRODUCT(Adds!$C$149:$BT$149,Curves!$E$18:$BV$18)+SUMPRODUCT(Adds!$C$150:$BT$150,Curves!$E$41:$BV$41)+SUMPRODUCT(Adds!$C$151:$BT$151,Curves!$E$64:$BV$64)</f>
        <v/>
      </c>
      <c r="BU41" s="5">
        <f>SUMPRODUCT(Adds!$C$149:$BU$149,Curves!$D$18:$BV$18)+SUMPRODUCT(Adds!$C$150:$BU$150,Curves!$D$41:$BV$41)+SUMPRODUCT(Adds!$C$151:$BU$151,Curves!$D$64:$BV$64)</f>
        <v/>
      </c>
      <c r="BV41" s="5">
        <f>SUMPRODUCT(Adds!$C$149:$BV$149,Curves!$C$18:$BV$18)+SUMPRODUCT(Adds!$C$150:$BV$150,Curves!$C$41:$BV$41)+SUMPRODUCT(Adds!$C$151:$BV$151,Curves!$C$64:$BV$64)</f>
        <v/>
      </c>
    </row>
    <row r="43">
      <c r="A43" t="inlineStr">
        <is>
          <t>active</t>
        </is>
      </c>
      <c r="B43" t="inlineStr">
        <is>
          <t>LATAM|BASIC_M</t>
        </is>
      </c>
      <c r="C43" s="5">
        <f>Adds!$C$164*Curves!$BV$15+Adds!$C$165*Curves!$BV$38+Adds!$C$166*Curves!$BV$61</f>
        <v/>
      </c>
      <c r="D43" s="5">
        <f>SUMPRODUCT(Adds!$C$164:$D$164,Curves!$BU$15:$BV$15)+SUMPRODUCT(Adds!$C$165:$D$165,Curves!$BU$38:$BV$38)+SUMPRODUCT(Adds!$C$166:$D$166,Curves!$BU$61:$BV$61)</f>
        <v/>
      </c>
      <c r="E43" s="5">
        <f>SUMPRODUCT(Adds!$C$164:$E$164,Curves!$BT$15:$BV$15)+SUMPRODUCT(Adds!$C$165:$E$165,Curves!$BT$38:$BV$38)+SUMPRODUCT(Adds!$C$166:$E$166,Curves!$BT$61:$BV$61)</f>
        <v/>
      </c>
      <c r="F43" s="5">
        <f>SUMPRODUCT(Adds!$C$164:$F$164,Curves!$BS$15:$BV$15)+SUMPRODUCT(Adds!$C$165:$F$165,Curves!$BS$38:$BV$38)+SUMPRODUCT(Adds!$C$166:$F$166,Curves!$BS$61:$BV$61)</f>
        <v/>
      </c>
      <c r="G43" s="5">
        <f>SUMPRODUCT(Adds!$C$164:$G$164,Curves!$BR$15:$BV$15)+SUMPRODUCT(Adds!$C$165:$G$165,Curves!$BR$38:$BV$38)+SUMPRODUCT(Adds!$C$166:$G$166,Curves!$BR$61:$BV$61)</f>
        <v/>
      </c>
      <c r="H43" s="5">
        <f>SUMPRODUCT(Adds!$C$164:$H$164,Curves!$BQ$15:$BV$15)+SUMPRODUCT(Adds!$C$165:$H$165,Curves!$BQ$38:$BV$38)+SUMPRODUCT(Adds!$C$166:$H$166,Curves!$BQ$61:$BV$61)</f>
        <v/>
      </c>
      <c r="I43" s="5">
        <f>SUMPRODUCT(Adds!$C$164:$I$164,Curves!$BP$15:$BV$15)+SUMPRODUCT(Adds!$C$165:$I$165,Curves!$BP$38:$BV$38)+SUMPRODUCT(Adds!$C$166:$I$166,Curves!$BP$61:$BV$61)</f>
        <v/>
      </c>
      <c r="J43" s="5">
        <f>SUMPRODUCT(Adds!$C$164:$J$164,Curves!$BO$15:$BV$15)+SUMPRODUCT(Adds!$C$165:$J$165,Curves!$BO$38:$BV$38)+SUMPRODUCT(Adds!$C$166:$J$166,Curves!$BO$61:$BV$61)</f>
        <v/>
      </c>
      <c r="K43" s="5">
        <f>SUMPRODUCT(Adds!$C$164:$K$164,Curves!$BN$15:$BV$15)+SUMPRODUCT(Adds!$C$165:$K$165,Curves!$BN$38:$BV$38)+SUMPRODUCT(Adds!$C$166:$K$166,Curves!$BN$61:$BV$61)</f>
        <v/>
      </c>
      <c r="L43" s="5">
        <f>SUMPRODUCT(Adds!$C$164:$L$164,Curves!$BM$15:$BV$15)+SUMPRODUCT(Adds!$C$165:$L$165,Curves!$BM$38:$BV$38)+SUMPRODUCT(Adds!$C$166:$L$166,Curves!$BM$61:$BV$61)</f>
        <v/>
      </c>
      <c r="M43" s="5">
        <f>SUMPRODUCT(Adds!$C$164:$M$164,Curves!$BL$15:$BV$15)+SUMPRODUCT(Adds!$C$165:$M$165,Curves!$BL$38:$BV$38)+SUMPRODUCT(Adds!$C$166:$M$166,Curves!$BL$61:$BV$61)</f>
        <v/>
      </c>
      <c r="N43" s="5">
        <f>SUMPRODUCT(Adds!$C$164:$N$164,Curves!$BK$15:$BV$15)+SUMPRODUCT(Adds!$C$165:$N$165,Curves!$BK$38:$BV$38)+SUMPRODUCT(Adds!$C$166:$N$166,Curves!$BK$61:$BV$61)</f>
        <v/>
      </c>
      <c r="O43" s="5">
        <f>SUMPRODUCT(Adds!$C$164:$O$164,Curves!$BJ$15:$BV$15)+SUMPRODUCT(Adds!$C$165:$O$165,Curves!$BJ$38:$BV$38)+SUMPRODUCT(Adds!$C$166:$O$166,Curves!$BJ$61:$BV$61)</f>
        <v/>
      </c>
      <c r="P43" s="5">
        <f>SUMPRODUCT(Adds!$C$164:$P$164,Curves!$BI$15:$BV$15)+SUMPRODUCT(Adds!$C$165:$P$165,Curves!$BI$38:$BV$38)+SUMPRODUCT(Adds!$C$166:$P$166,Curves!$BI$61:$BV$61)</f>
        <v/>
      </c>
      <c r="Q43" s="5">
        <f>SUMPRODUCT(Adds!$C$164:$Q$164,Curves!$BH$15:$BV$15)+SUMPRODUCT(Adds!$C$165:$Q$165,Curves!$BH$38:$BV$38)+SUMPRODUCT(Adds!$C$166:$Q$166,Curves!$BH$61:$BV$61)</f>
        <v/>
      </c>
      <c r="R43" s="5">
        <f>SUMPRODUCT(Adds!$C$164:$R$164,Curves!$BG$15:$BV$15)+SUMPRODUCT(Adds!$C$165:$R$165,Curves!$BG$38:$BV$38)+SUMPRODUCT(Adds!$C$166:$R$166,Curves!$BG$61:$BV$61)</f>
        <v/>
      </c>
      <c r="S43" s="5">
        <f>SUMPRODUCT(Adds!$C$164:$S$164,Curves!$BF$15:$BV$15)+SUMPRODUCT(Adds!$C$165:$S$165,Curves!$BF$38:$BV$38)+SUMPRODUCT(Adds!$C$166:$S$166,Curves!$BF$61:$BV$61)</f>
        <v/>
      </c>
      <c r="T43" s="5">
        <f>SUMPRODUCT(Adds!$C$164:$T$164,Curves!$BE$15:$BV$15)+SUMPRODUCT(Adds!$C$165:$T$165,Curves!$BE$38:$BV$38)+SUMPRODUCT(Adds!$C$166:$T$166,Curves!$BE$61:$BV$61)</f>
        <v/>
      </c>
      <c r="U43" s="5">
        <f>SUMPRODUCT(Adds!$C$164:$U$164,Curves!$BD$15:$BV$15)+SUMPRODUCT(Adds!$C$165:$U$165,Curves!$BD$38:$BV$38)+SUMPRODUCT(Adds!$C$166:$U$166,Curves!$BD$61:$BV$61)</f>
        <v/>
      </c>
      <c r="V43" s="5">
        <f>SUMPRODUCT(Adds!$C$164:$V$164,Curves!$BC$15:$BV$15)+SUMPRODUCT(Adds!$C$165:$V$165,Curves!$BC$38:$BV$38)+SUMPRODUCT(Adds!$C$166:$V$166,Curves!$BC$61:$BV$61)</f>
        <v/>
      </c>
      <c r="W43" s="5">
        <f>SUMPRODUCT(Adds!$C$164:$W$164,Curves!$BB$15:$BV$15)+SUMPRODUCT(Adds!$C$165:$W$165,Curves!$BB$38:$BV$38)+SUMPRODUCT(Adds!$C$166:$W$166,Curves!$BB$61:$BV$61)</f>
        <v/>
      </c>
      <c r="X43" s="5">
        <f>SUMPRODUCT(Adds!$C$164:$X$164,Curves!$BA$15:$BV$15)+SUMPRODUCT(Adds!$C$165:$X$165,Curves!$BA$38:$BV$38)+SUMPRODUCT(Adds!$C$166:$X$166,Curves!$BA$61:$BV$61)</f>
        <v/>
      </c>
      <c r="Y43" s="5">
        <f>SUMPRODUCT(Adds!$C$164:$Y$164,Curves!$AZ$15:$BV$15)+SUMPRODUCT(Adds!$C$165:$Y$165,Curves!$AZ$38:$BV$38)+SUMPRODUCT(Adds!$C$166:$Y$166,Curves!$AZ$61:$BV$61)</f>
        <v/>
      </c>
      <c r="Z43" s="5">
        <f>SUMPRODUCT(Adds!$C$164:$Z$164,Curves!$AY$15:$BV$15)+SUMPRODUCT(Adds!$C$165:$Z$165,Curves!$AY$38:$BV$38)+SUMPRODUCT(Adds!$C$166:$Z$166,Curves!$AY$61:$BV$61)</f>
        <v/>
      </c>
      <c r="AA43" s="5">
        <f>SUMPRODUCT(Adds!$C$164:$AA$164,Curves!$AX$15:$BV$15)+SUMPRODUCT(Adds!$C$165:$AA$165,Curves!$AX$38:$BV$38)+SUMPRODUCT(Adds!$C$166:$AA$166,Curves!$AX$61:$BV$61)</f>
        <v/>
      </c>
      <c r="AB43" s="5">
        <f>SUMPRODUCT(Adds!$C$164:$AB$164,Curves!$AW$15:$BV$15)+SUMPRODUCT(Adds!$C$165:$AB$165,Curves!$AW$38:$BV$38)+SUMPRODUCT(Adds!$C$166:$AB$166,Curves!$AW$61:$BV$61)</f>
        <v/>
      </c>
      <c r="AC43" s="5">
        <f>SUMPRODUCT(Adds!$C$164:$AC$164,Curves!$AV$15:$BV$15)+SUMPRODUCT(Adds!$C$165:$AC$165,Curves!$AV$38:$BV$38)+SUMPRODUCT(Adds!$C$166:$AC$166,Curves!$AV$61:$BV$61)</f>
        <v/>
      </c>
      <c r="AD43" s="5">
        <f>SUMPRODUCT(Adds!$C$164:$AD$164,Curves!$AU$15:$BV$15)+SUMPRODUCT(Adds!$C$165:$AD$165,Curves!$AU$38:$BV$38)+SUMPRODUCT(Adds!$C$166:$AD$166,Curves!$AU$61:$BV$61)</f>
        <v/>
      </c>
      <c r="AE43" s="5">
        <f>SUMPRODUCT(Adds!$C$164:$AE$164,Curves!$AT$15:$BV$15)+SUMPRODUCT(Adds!$C$165:$AE$165,Curves!$AT$38:$BV$38)+SUMPRODUCT(Adds!$C$166:$AE$166,Curves!$AT$61:$BV$61)</f>
        <v/>
      </c>
      <c r="AF43" s="5">
        <f>SUMPRODUCT(Adds!$C$164:$AF$164,Curves!$AS$15:$BV$15)+SUMPRODUCT(Adds!$C$165:$AF$165,Curves!$AS$38:$BV$38)+SUMPRODUCT(Adds!$C$166:$AF$166,Curves!$AS$61:$BV$61)</f>
        <v/>
      </c>
      <c r="AG43" s="5">
        <f>SUMPRODUCT(Adds!$C$164:$AG$164,Curves!$AR$15:$BV$15)+SUMPRODUCT(Adds!$C$165:$AG$165,Curves!$AR$38:$BV$38)+SUMPRODUCT(Adds!$C$166:$AG$166,Curves!$AR$61:$BV$61)</f>
        <v/>
      </c>
      <c r="AH43" s="5">
        <f>SUMPRODUCT(Adds!$C$164:$AH$164,Curves!$AQ$15:$BV$15)+SUMPRODUCT(Adds!$C$165:$AH$165,Curves!$AQ$38:$BV$38)+SUMPRODUCT(Adds!$C$166:$AH$166,Curves!$AQ$61:$BV$61)</f>
        <v/>
      </c>
      <c r="AI43" s="5">
        <f>SUMPRODUCT(Adds!$C$164:$AI$164,Curves!$AP$15:$BV$15)+SUMPRODUCT(Adds!$C$165:$AI$165,Curves!$AP$38:$BV$38)+SUMPRODUCT(Adds!$C$166:$AI$166,Curves!$AP$61:$BV$61)</f>
        <v/>
      </c>
      <c r="AJ43" s="5">
        <f>SUMPRODUCT(Adds!$C$164:$AJ$164,Curves!$AO$15:$BV$15)+SUMPRODUCT(Adds!$C$165:$AJ$165,Curves!$AO$38:$BV$38)+SUMPRODUCT(Adds!$C$166:$AJ$166,Curves!$AO$61:$BV$61)</f>
        <v/>
      </c>
      <c r="AK43" s="5">
        <f>SUMPRODUCT(Adds!$C$164:$AK$164,Curves!$AN$15:$BV$15)+SUMPRODUCT(Adds!$C$165:$AK$165,Curves!$AN$38:$BV$38)+SUMPRODUCT(Adds!$C$166:$AK$166,Curves!$AN$61:$BV$61)</f>
        <v/>
      </c>
      <c r="AL43" s="5">
        <f>SUMPRODUCT(Adds!$C$164:$AL$164,Curves!$AM$15:$BV$15)+SUMPRODUCT(Adds!$C$165:$AL$165,Curves!$AM$38:$BV$38)+SUMPRODUCT(Adds!$C$166:$AL$166,Curves!$AM$61:$BV$61)</f>
        <v/>
      </c>
      <c r="AM43" s="5">
        <f>SUMPRODUCT(Adds!$C$164:$AM$164,Curves!$AL$15:$BV$15)+SUMPRODUCT(Adds!$C$165:$AM$165,Curves!$AL$38:$BV$38)+SUMPRODUCT(Adds!$C$166:$AM$166,Curves!$AL$61:$BV$61)</f>
        <v/>
      </c>
      <c r="AN43" s="5">
        <f>SUMPRODUCT(Adds!$C$164:$AN$164,Curves!$AK$15:$BV$15)+SUMPRODUCT(Adds!$C$165:$AN$165,Curves!$AK$38:$BV$38)+SUMPRODUCT(Adds!$C$166:$AN$166,Curves!$AK$61:$BV$61)</f>
        <v/>
      </c>
      <c r="AO43" s="5">
        <f>SUMPRODUCT(Adds!$C$164:$AO$164,Curves!$AJ$15:$BV$15)+SUMPRODUCT(Adds!$C$165:$AO$165,Curves!$AJ$38:$BV$38)+SUMPRODUCT(Adds!$C$166:$AO$166,Curves!$AJ$61:$BV$61)</f>
        <v/>
      </c>
      <c r="AP43" s="5">
        <f>SUMPRODUCT(Adds!$C$164:$AP$164,Curves!$AI$15:$BV$15)+SUMPRODUCT(Adds!$C$165:$AP$165,Curves!$AI$38:$BV$38)+SUMPRODUCT(Adds!$C$166:$AP$166,Curves!$AI$61:$BV$61)</f>
        <v/>
      </c>
      <c r="AQ43" s="5">
        <f>SUMPRODUCT(Adds!$C$164:$AQ$164,Curves!$AH$15:$BV$15)+SUMPRODUCT(Adds!$C$165:$AQ$165,Curves!$AH$38:$BV$38)+SUMPRODUCT(Adds!$C$166:$AQ$166,Curves!$AH$61:$BV$61)</f>
        <v/>
      </c>
      <c r="AR43" s="5">
        <f>SUMPRODUCT(Adds!$C$164:$AR$164,Curves!$AG$15:$BV$15)+SUMPRODUCT(Adds!$C$165:$AR$165,Curves!$AG$38:$BV$38)+SUMPRODUCT(Adds!$C$166:$AR$166,Curves!$AG$61:$BV$61)</f>
        <v/>
      </c>
      <c r="AS43" s="5">
        <f>SUMPRODUCT(Adds!$C$164:$AS$164,Curves!$AF$15:$BV$15)+SUMPRODUCT(Adds!$C$165:$AS$165,Curves!$AF$38:$BV$38)+SUMPRODUCT(Adds!$C$166:$AS$166,Curves!$AF$61:$BV$61)</f>
        <v/>
      </c>
      <c r="AT43" s="5">
        <f>SUMPRODUCT(Adds!$C$164:$AT$164,Curves!$AE$15:$BV$15)+SUMPRODUCT(Adds!$C$165:$AT$165,Curves!$AE$38:$BV$38)+SUMPRODUCT(Adds!$C$166:$AT$166,Curves!$AE$61:$BV$61)</f>
        <v/>
      </c>
      <c r="AU43" s="5">
        <f>SUMPRODUCT(Adds!$C$164:$AU$164,Curves!$AD$15:$BV$15)+SUMPRODUCT(Adds!$C$165:$AU$165,Curves!$AD$38:$BV$38)+SUMPRODUCT(Adds!$C$166:$AU$166,Curves!$AD$61:$BV$61)</f>
        <v/>
      </c>
      <c r="AV43" s="5">
        <f>SUMPRODUCT(Adds!$C$164:$AV$164,Curves!$AC$15:$BV$15)+SUMPRODUCT(Adds!$C$165:$AV$165,Curves!$AC$38:$BV$38)+SUMPRODUCT(Adds!$C$166:$AV$166,Curves!$AC$61:$BV$61)</f>
        <v/>
      </c>
      <c r="AW43" s="5">
        <f>SUMPRODUCT(Adds!$C$164:$AW$164,Curves!$AB$15:$BV$15)+SUMPRODUCT(Adds!$C$165:$AW$165,Curves!$AB$38:$BV$38)+SUMPRODUCT(Adds!$C$166:$AW$166,Curves!$AB$61:$BV$61)</f>
        <v/>
      </c>
      <c r="AX43" s="5">
        <f>SUMPRODUCT(Adds!$C$164:$AX$164,Curves!$AA$15:$BV$15)+SUMPRODUCT(Adds!$C$165:$AX$165,Curves!$AA$38:$BV$38)+SUMPRODUCT(Adds!$C$166:$AX$166,Curves!$AA$61:$BV$61)</f>
        <v/>
      </c>
      <c r="AY43" s="5">
        <f>SUMPRODUCT(Adds!$C$164:$AY$164,Curves!$Z$15:$BV$15)+SUMPRODUCT(Adds!$C$165:$AY$165,Curves!$Z$38:$BV$38)+SUMPRODUCT(Adds!$C$166:$AY$166,Curves!$Z$61:$BV$61)</f>
        <v/>
      </c>
      <c r="AZ43" s="5">
        <f>SUMPRODUCT(Adds!$C$164:$AZ$164,Curves!$Y$15:$BV$15)+SUMPRODUCT(Adds!$C$165:$AZ$165,Curves!$Y$38:$BV$38)+SUMPRODUCT(Adds!$C$166:$AZ$166,Curves!$Y$61:$BV$61)</f>
        <v/>
      </c>
      <c r="BA43" s="5">
        <f>SUMPRODUCT(Adds!$C$164:$BA$164,Curves!$X$15:$BV$15)+SUMPRODUCT(Adds!$C$165:$BA$165,Curves!$X$38:$BV$38)+SUMPRODUCT(Adds!$C$166:$BA$166,Curves!$X$61:$BV$61)</f>
        <v/>
      </c>
      <c r="BB43" s="5">
        <f>SUMPRODUCT(Adds!$C$164:$BB$164,Curves!$W$15:$BV$15)+SUMPRODUCT(Adds!$C$165:$BB$165,Curves!$W$38:$BV$38)+SUMPRODUCT(Adds!$C$166:$BB$166,Curves!$W$61:$BV$61)</f>
        <v/>
      </c>
      <c r="BC43" s="5">
        <f>SUMPRODUCT(Adds!$C$164:$BC$164,Curves!$V$15:$BV$15)+SUMPRODUCT(Adds!$C$165:$BC$165,Curves!$V$38:$BV$38)+SUMPRODUCT(Adds!$C$166:$BC$166,Curves!$V$61:$BV$61)</f>
        <v/>
      </c>
      <c r="BD43" s="5">
        <f>SUMPRODUCT(Adds!$C$164:$BD$164,Curves!$U$15:$BV$15)+SUMPRODUCT(Adds!$C$165:$BD$165,Curves!$U$38:$BV$38)+SUMPRODUCT(Adds!$C$166:$BD$166,Curves!$U$61:$BV$61)</f>
        <v/>
      </c>
      <c r="BE43" s="5">
        <f>SUMPRODUCT(Adds!$C$164:$BE$164,Curves!$T$15:$BV$15)+SUMPRODUCT(Adds!$C$165:$BE$165,Curves!$T$38:$BV$38)+SUMPRODUCT(Adds!$C$166:$BE$166,Curves!$T$61:$BV$61)</f>
        <v/>
      </c>
      <c r="BF43" s="5">
        <f>SUMPRODUCT(Adds!$C$164:$BF$164,Curves!$S$15:$BV$15)+SUMPRODUCT(Adds!$C$165:$BF$165,Curves!$S$38:$BV$38)+SUMPRODUCT(Adds!$C$166:$BF$166,Curves!$S$61:$BV$61)</f>
        <v/>
      </c>
      <c r="BG43" s="5">
        <f>SUMPRODUCT(Adds!$C$164:$BG$164,Curves!$R$15:$BV$15)+SUMPRODUCT(Adds!$C$165:$BG$165,Curves!$R$38:$BV$38)+SUMPRODUCT(Adds!$C$166:$BG$166,Curves!$R$61:$BV$61)</f>
        <v/>
      </c>
      <c r="BH43" s="5">
        <f>SUMPRODUCT(Adds!$C$164:$BH$164,Curves!$Q$15:$BV$15)+SUMPRODUCT(Adds!$C$165:$BH$165,Curves!$Q$38:$BV$38)+SUMPRODUCT(Adds!$C$166:$BH$166,Curves!$Q$61:$BV$61)</f>
        <v/>
      </c>
      <c r="BI43" s="5">
        <f>SUMPRODUCT(Adds!$C$164:$BI$164,Curves!$P$15:$BV$15)+SUMPRODUCT(Adds!$C$165:$BI$165,Curves!$P$38:$BV$38)+SUMPRODUCT(Adds!$C$166:$BI$166,Curves!$P$61:$BV$61)</f>
        <v/>
      </c>
      <c r="BJ43" s="5">
        <f>SUMPRODUCT(Adds!$C$164:$BJ$164,Curves!$O$15:$BV$15)+SUMPRODUCT(Adds!$C$165:$BJ$165,Curves!$O$38:$BV$38)+SUMPRODUCT(Adds!$C$166:$BJ$166,Curves!$O$61:$BV$61)</f>
        <v/>
      </c>
      <c r="BK43" s="5">
        <f>SUMPRODUCT(Adds!$C$164:$BK$164,Curves!$N$15:$BV$15)+SUMPRODUCT(Adds!$C$165:$BK$165,Curves!$N$38:$BV$38)+SUMPRODUCT(Adds!$C$166:$BK$166,Curves!$N$61:$BV$61)</f>
        <v/>
      </c>
      <c r="BL43" s="5">
        <f>SUMPRODUCT(Adds!$C$164:$BL$164,Curves!$M$15:$BV$15)+SUMPRODUCT(Adds!$C$165:$BL$165,Curves!$M$38:$BV$38)+SUMPRODUCT(Adds!$C$166:$BL$166,Curves!$M$61:$BV$61)</f>
        <v/>
      </c>
      <c r="BM43" s="5">
        <f>SUMPRODUCT(Adds!$C$164:$BM$164,Curves!$L$15:$BV$15)+SUMPRODUCT(Adds!$C$165:$BM$165,Curves!$L$38:$BV$38)+SUMPRODUCT(Adds!$C$166:$BM$166,Curves!$L$61:$BV$61)</f>
        <v/>
      </c>
      <c r="BN43" s="5">
        <f>SUMPRODUCT(Adds!$C$164:$BN$164,Curves!$K$15:$BV$15)+SUMPRODUCT(Adds!$C$165:$BN$165,Curves!$K$38:$BV$38)+SUMPRODUCT(Adds!$C$166:$BN$166,Curves!$K$61:$BV$61)</f>
        <v/>
      </c>
      <c r="BO43" s="5">
        <f>SUMPRODUCT(Adds!$C$164:$BO$164,Curves!$J$15:$BV$15)+SUMPRODUCT(Adds!$C$165:$BO$165,Curves!$J$38:$BV$38)+SUMPRODUCT(Adds!$C$166:$BO$166,Curves!$J$61:$BV$61)</f>
        <v/>
      </c>
      <c r="BP43" s="5">
        <f>SUMPRODUCT(Adds!$C$164:$BP$164,Curves!$I$15:$BV$15)+SUMPRODUCT(Adds!$C$165:$BP$165,Curves!$I$38:$BV$38)+SUMPRODUCT(Adds!$C$166:$BP$166,Curves!$I$61:$BV$61)</f>
        <v/>
      </c>
      <c r="BQ43" s="5">
        <f>SUMPRODUCT(Adds!$C$164:$BQ$164,Curves!$H$15:$BV$15)+SUMPRODUCT(Adds!$C$165:$BQ$165,Curves!$H$38:$BV$38)+SUMPRODUCT(Adds!$C$166:$BQ$166,Curves!$H$61:$BV$61)</f>
        <v/>
      </c>
      <c r="BR43" s="5">
        <f>SUMPRODUCT(Adds!$C$164:$BR$164,Curves!$G$15:$BV$15)+SUMPRODUCT(Adds!$C$165:$BR$165,Curves!$G$38:$BV$38)+SUMPRODUCT(Adds!$C$166:$BR$166,Curves!$G$61:$BV$61)</f>
        <v/>
      </c>
      <c r="BS43" s="5">
        <f>SUMPRODUCT(Adds!$C$164:$BS$164,Curves!$F$15:$BV$15)+SUMPRODUCT(Adds!$C$165:$BS$165,Curves!$F$38:$BV$38)+SUMPRODUCT(Adds!$C$166:$BS$166,Curves!$F$61:$BV$61)</f>
        <v/>
      </c>
      <c r="BT43" s="5">
        <f>SUMPRODUCT(Adds!$C$164:$BT$164,Curves!$E$15:$BV$15)+SUMPRODUCT(Adds!$C$165:$BT$165,Curves!$E$38:$BV$38)+SUMPRODUCT(Adds!$C$166:$BT$166,Curves!$E$61:$BV$61)</f>
        <v/>
      </c>
      <c r="BU43" s="5">
        <f>SUMPRODUCT(Adds!$C$164:$BU$164,Curves!$D$15:$BV$15)+SUMPRODUCT(Adds!$C$165:$BU$165,Curves!$D$38:$BV$38)+SUMPRODUCT(Adds!$C$166:$BU$166,Curves!$D$61:$BV$61)</f>
        <v/>
      </c>
      <c r="BV43" s="5">
        <f>SUMPRODUCT(Adds!$C$164:$BV$164,Curves!$C$15:$BV$15)+SUMPRODUCT(Adds!$C$165:$BV$165,Curves!$C$38:$BV$38)+SUMPRODUCT(Adds!$C$166:$BV$166,Curves!$C$61:$BV$61)</f>
        <v/>
      </c>
    </row>
    <row r="44">
      <c r="A44" t="inlineStr">
        <is>
          <t>active yr 1</t>
        </is>
      </c>
      <c r="B44" t="inlineStr">
        <is>
          <t>LATAM|BASIC_M</t>
        </is>
      </c>
      <c r="C44" s="5">
        <f>Adds!$C$164*Curves!$BV$22+Adds!$C$165*Curves!$BV$45+Adds!$C$166*Curves!$BV$68</f>
        <v/>
      </c>
      <c r="D44" s="5">
        <f>SUMPRODUCT(Adds!$C$164:$D$164,Curves!$BU$22:$BV$22)+SUMPRODUCT(Adds!$C$165:$D$165,Curves!$BU$45:$BV$45)+SUMPRODUCT(Adds!$C$166:$D$166,Curves!$BU$68:$BV$68)</f>
        <v/>
      </c>
      <c r="E44" s="5">
        <f>SUMPRODUCT(Adds!$C$164:$E$164,Curves!$BT$22:$BV$22)+SUMPRODUCT(Adds!$C$165:$E$165,Curves!$BT$45:$BV$45)+SUMPRODUCT(Adds!$C$166:$E$166,Curves!$BT$68:$BV$68)</f>
        <v/>
      </c>
      <c r="F44" s="5">
        <f>SUMPRODUCT(Adds!$C$164:$F$164,Curves!$BS$22:$BV$22)+SUMPRODUCT(Adds!$C$165:$F$165,Curves!$BS$45:$BV$45)+SUMPRODUCT(Adds!$C$166:$F$166,Curves!$BS$68:$BV$68)</f>
        <v/>
      </c>
      <c r="G44" s="5">
        <f>SUMPRODUCT(Adds!$C$164:$G$164,Curves!$BR$22:$BV$22)+SUMPRODUCT(Adds!$C$165:$G$165,Curves!$BR$45:$BV$45)+SUMPRODUCT(Adds!$C$166:$G$166,Curves!$BR$68:$BV$68)</f>
        <v/>
      </c>
      <c r="H44" s="5">
        <f>SUMPRODUCT(Adds!$C$164:$H$164,Curves!$BQ$22:$BV$22)+SUMPRODUCT(Adds!$C$165:$H$165,Curves!$BQ$45:$BV$45)+SUMPRODUCT(Adds!$C$166:$H$166,Curves!$BQ$68:$BV$68)</f>
        <v/>
      </c>
      <c r="I44" s="5">
        <f>SUMPRODUCT(Adds!$C$164:$I$164,Curves!$BP$22:$BV$22)+SUMPRODUCT(Adds!$C$165:$I$165,Curves!$BP$45:$BV$45)+SUMPRODUCT(Adds!$C$166:$I$166,Curves!$BP$68:$BV$68)</f>
        <v/>
      </c>
      <c r="J44" s="5">
        <f>SUMPRODUCT(Adds!$C$164:$J$164,Curves!$BO$22:$BV$22)+SUMPRODUCT(Adds!$C$165:$J$165,Curves!$BO$45:$BV$45)+SUMPRODUCT(Adds!$C$166:$J$166,Curves!$BO$68:$BV$68)</f>
        <v/>
      </c>
      <c r="K44" s="5">
        <f>SUMPRODUCT(Adds!$C$164:$K$164,Curves!$BN$22:$BV$22)+SUMPRODUCT(Adds!$C$165:$K$165,Curves!$BN$45:$BV$45)+SUMPRODUCT(Adds!$C$166:$K$166,Curves!$BN$68:$BV$68)</f>
        <v/>
      </c>
      <c r="L44" s="5">
        <f>SUMPRODUCT(Adds!$C$164:$L$164,Curves!$BM$22:$BV$22)+SUMPRODUCT(Adds!$C$165:$L$165,Curves!$BM$45:$BV$45)+SUMPRODUCT(Adds!$C$166:$L$166,Curves!$BM$68:$BV$68)</f>
        <v/>
      </c>
      <c r="M44" s="5">
        <f>SUMPRODUCT(Adds!$C$164:$M$164,Curves!$BL$22:$BV$22)+SUMPRODUCT(Adds!$C$165:$M$165,Curves!$BL$45:$BV$45)+SUMPRODUCT(Adds!$C$166:$M$166,Curves!$BL$68:$BV$68)</f>
        <v/>
      </c>
      <c r="N44" s="5">
        <f>SUMPRODUCT(Adds!$C$164:$N$164,Curves!$BK$22:$BV$22)+SUMPRODUCT(Adds!$C$165:$N$165,Curves!$BK$45:$BV$45)+SUMPRODUCT(Adds!$C$166:$N$166,Curves!$BK$68:$BV$68)</f>
        <v/>
      </c>
      <c r="O44" s="5">
        <f>SUMPRODUCT(Adds!$C$164:$O$164,Curves!$BJ$22:$BV$22)+SUMPRODUCT(Adds!$C$165:$O$165,Curves!$BJ$45:$BV$45)+SUMPRODUCT(Adds!$C$166:$O$166,Curves!$BJ$68:$BV$68)</f>
        <v/>
      </c>
      <c r="P44" s="5">
        <f>SUMPRODUCT(Adds!$C$164:$P$164,Curves!$BI$22:$BV$22)+SUMPRODUCT(Adds!$C$165:$P$165,Curves!$BI$45:$BV$45)+SUMPRODUCT(Adds!$C$166:$P$166,Curves!$BI$68:$BV$68)</f>
        <v/>
      </c>
      <c r="Q44" s="5">
        <f>SUMPRODUCT(Adds!$C$164:$Q$164,Curves!$BH$22:$BV$22)+SUMPRODUCT(Adds!$C$165:$Q$165,Curves!$BH$45:$BV$45)+SUMPRODUCT(Adds!$C$166:$Q$166,Curves!$BH$68:$BV$68)</f>
        <v/>
      </c>
      <c r="R44" s="5">
        <f>SUMPRODUCT(Adds!$C$164:$R$164,Curves!$BG$22:$BV$22)+SUMPRODUCT(Adds!$C$165:$R$165,Curves!$BG$45:$BV$45)+SUMPRODUCT(Adds!$C$166:$R$166,Curves!$BG$68:$BV$68)</f>
        <v/>
      </c>
      <c r="S44" s="5">
        <f>SUMPRODUCT(Adds!$C$164:$S$164,Curves!$BF$22:$BV$22)+SUMPRODUCT(Adds!$C$165:$S$165,Curves!$BF$45:$BV$45)+SUMPRODUCT(Adds!$C$166:$S$166,Curves!$BF$68:$BV$68)</f>
        <v/>
      </c>
      <c r="T44" s="5">
        <f>SUMPRODUCT(Adds!$C$164:$T$164,Curves!$BE$22:$BV$22)+SUMPRODUCT(Adds!$C$165:$T$165,Curves!$BE$45:$BV$45)+SUMPRODUCT(Adds!$C$166:$T$166,Curves!$BE$68:$BV$68)</f>
        <v/>
      </c>
      <c r="U44" s="5">
        <f>SUMPRODUCT(Adds!$C$164:$U$164,Curves!$BD$22:$BV$22)+SUMPRODUCT(Adds!$C$165:$U$165,Curves!$BD$45:$BV$45)+SUMPRODUCT(Adds!$C$166:$U$166,Curves!$BD$68:$BV$68)</f>
        <v/>
      </c>
      <c r="V44" s="5">
        <f>SUMPRODUCT(Adds!$C$164:$V$164,Curves!$BC$22:$BV$22)+SUMPRODUCT(Adds!$C$165:$V$165,Curves!$BC$45:$BV$45)+SUMPRODUCT(Adds!$C$166:$V$166,Curves!$BC$68:$BV$68)</f>
        <v/>
      </c>
      <c r="W44" s="5">
        <f>SUMPRODUCT(Adds!$C$164:$W$164,Curves!$BB$22:$BV$22)+SUMPRODUCT(Adds!$C$165:$W$165,Curves!$BB$45:$BV$45)+SUMPRODUCT(Adds!$C$166:$W$166,Curves!$BB$68:$BV$68)</f>
        <v/>
      </c>
      <c r="X44" s="5">
        <f>SUMPRODUCT(Adds!$C$164:$X$164,Curves!$BA$22:$BV$22)+SUMPRODUCT(Adds!$C$165:$X$165,Curves!$BA$45:$BV$45)+SUMPRODUCT(Adds!$C$166:$X$166,Curves!$BA$68:$BV$68)</f>
        <v/>
      </c>
      <c r="Y44" s="5">
        <f>SUMPRODUCT(Adds!$C$164:$Y$164,Curves!$AZ$22:$BV$22)+SUMPRODUCT(Adds!$C$165:$Y$165,Curves!$AZ$45:$BV$45)+SUMPRODUCT(Adds!$C$166:$Y$166,Curves!$AZ$68:$BV$68)</f>
        <v/>
      </c>
      <c r="Z44" s="5">
        <f>SUMPRODUCT(Adds!$C$164:$Z$164,Curves!$AY$22:$BV$22)+SUMPRODUCT(Adds!$C$165:$Z$165,Curves!$AY$45:$BV$45)+SUMPRODUCT(Adds!$C$166:$Z$166,Curves!$AY$68:$BV$68)</f>
        <v/>
      </c>
      <c r="AA44" s="5">
        <f>SUMPRODUCT(Adds!$C$164:$AA$164,Curves!$AX$22:$BV$22)+SUMPRODUCT(Adds!$C$165:$AA$165,Curves!$AX$45:$BV$45)+SUMPRODUCT(Adds!$C$166:$AA$166,Curves!$AX$68:$BV$68)</f>
        <v/>
      </c>
      <c r="AB44" s="5">
        <f>SUMPRODUCT(Adds!$C$164:$AB$164,Curves!$AW$22:$BV$22)+SUMPRODUCT(Adds!$C$165:$AB$165,Curves!$AW$45:$BV$45)+SUMPRODUCT(Adds!$C$166:$AB$166,Curves!$AW$68:$BV$68)</f>
        <v/>
      </c>
      <c r="AC44" s="5">
        <f>SUMPRODUCT(Adds!$C$164:$AC$164,Curves!$AV$22:$BV$22)+SUMPRODUCT(Adds!$C$165:$AC$165,Curves!$AV$45:$BV$45)+SUMPRODUCT(Adds!$C$166:$AC$166,Curves!$AV$68:$BV$68)</f>
        <v/>
      </c>
      <c r="AD44" s="5">
        <f>SUMPRODUCT(Adds!$C$164:$AD$164,Curves!$AU$22:$BV$22)+SUMPRODUCT(Adds!$C$165:$AD$165,Curves!$AU$45:$BV$45)+SUMPRODUCT(Adds!$C$166:$AD$166,Curves!$AU$68:$BV$68)</f>
        <v/>
      </c>
      <c r="AE44" s="5">
        <f>SUMPRODUCT(Adds!$C$164:$AE$164,Curves!$AT$22:$BV$22)+SUMPRODUCT(Adds!$C$165:$AE$165,Curves!$AT$45:$BV$45)+SUMPRODUCT(Adds!$C$166:$AE$166,Curves!$AT$68:$BV$68)</f>
        <v/>
      </c>
      <c r="AF44" s="5">
        <f>SUMPRODUCT(Adds!$C$164:$AF$164,Curves!$AS$22:$BV$22)+SUMPRODUCT(Adds!$C$165:$AF$165,Curves!$AS$45:$BV$45)+SUMPRODUCT(Adds!$C$166:$AF$166,Curves!$AS$68:$BV$68)</f>
        <v/>
      </c>
      <c r="AG44" s="5">
        <f>SUMPRODUCT(Adds!$C$164:$AG$164,Curves!$AR$22:$BV$22)+SUMPRODUCT(Adds!$C$165:$AG$165,Curves!$AR$45:$BV$45)+SUMPRODUCT(Adds!$C$166:$AG$166,Curves!$AR$68:$BV$68)</f>
        <v/>
      </c>
      <c r="AH44" s="5">
        <f>SUMPRODUCT(Adds!$C$164:$AH$164,Curves!$AQ$22:$BV$22)+SUMPRODUCT(Adds!$C$165:$AH$165,Curves!$AQ$45:$BV$45)+SUMPRODUCT(Adds!$C$166:$AH$166,Curves!$AQ$68:$BV$68)</f>
        <v/>
      </c>
      <c r="AI44" s="5">
        <f>SUMPRODUCT(Adds!$C$164:$AI$164,Curves!$AP$22:$BV$22)+SUMPRODUCT(Adds!$C$165:$AI$165,Curves!$AP$45:$BV$45)+SUMPRODUCT(Adds!$C$166:$AI$166,Curves!$AP$68:$BV$68)</f>
        <v/>
      </c>
      <c r="AJ44" s="5">
        <f>SUMPRODUCT(Adds!$C$164:$AJ$164,Curves!$AO$22:$BV$22)+SUMPRODUCT(Adds!$C$165:$AJ$165,Curves!$AO$45:$BV$45)+SUMPRODUCT(Adds!$C$166:$AJ$166,Curves!$AO$68:$BV$68)</f>
        <v/>
      </c>
      <c r="AK44" s="5">
        <f>SUMPRODUCT(Adds!$C$164:$AK$164,Curves!$AN$22:$BV$22)+SUMPRODUCT(Adds!$C$165:$AK$165,Curves!$AN$45:$BV$45)+SUMPRODUCT(Adds!$C$166:$AK$166,Curves!$AN$68:$BV$68)</f>
        <v/>
      </c>
      <c r="AL44" s="5">
        <f>SUMPRODUCT(Adds!$C$164:$AL$164,Curves!$AM$22:$BV$22)+SUMPRODUCT(Adds!$C$165:$AL$165,Curves!$AM$45:$BV$45)+SUMPRODUCT(Adds!$C$166:$AL$166,Curves!$AM$68:$BV$68)</f>
        <v/>
      </c>
      <c r="AM44" s="5">
        <f>SUMPRODUCT(Adds!$C$164:$AM$164,Curves!$AL$22:$BV$22)+SUMPRODUCT(Adds!$C$165:$AM$165,Curves!$AL$45:$BV$45)+SUMPRODUCT(Adds!$C$166:$AM$166,Curves!$AL$68:$BV$68)</f>
        <v/>
      </c>
      <c r="AN44" s="5">
        <f>SUMPRODUCT(Adds!$C$164:$AN$164,Curves!$AK$22:$BV$22)+SUMPRODUCT(Adds!$C$165:$AN$165,Curves!$AK$45:$BV$45)+SUMPRODUCT(Adds!$C$166:$AN$166,Curves!$AK$68:$BV$68)</f>
        <v/>
      </c>
      <c r="AO44" s="5">
        <f>SUMPRODUCT(Adds!$C$164:$AO$164,Curves!$AJ$22:$BV$22)+SUMPRODUCT(Adds!$C$165:$AO$165,Curves!$AJ$45:$BV$45)+SUMPRODUCT(Adds!$C$166:$AO$166,Curves!$AJ$68:$BV$68)</f>
        <v/>
      </c>
      <c r="AP44" s="5">
        <f>SUMPRODUCT(Adds!$C$164:$AP$164,Curves!$AI$22:$BV$22)+SUMPRODUCT(Adds!$C$165:$AP$165,Curves!$AI$45:$BV$45)+SUMPRODUCT(Adds!$C$166:$AP$166,Curves!$AI$68:$BV$68)</f>
        <v/>
      </c>
      <c r="AQ44" s="5">
        <f>SUMPRODUCT(Adds!$C$164:$AQ$164,Curves!$AH$22:$BV$22)+SUMPRODUCT(Adds!$C$165:$AQ$165,Curves!$AH$45:$BV$45)+SUMPRODUCT(Adds!$C$166:$AQ$166,Curves!$AH$68:$BV$68)</f>
        <v/>
      </c>
      <c r="AR44" s="5">
        <f>SUMPRODUCT(Adds!$C$164:$AR$164,Curves!$AG$22:$BV$22)+SUMPRODUCT(Adds!$C$165:$AR$165,Curves!$AG$45:$BV$45)+SUMPRODUCT(Adds!$C$166:$AR$166,Curves!$AG$68:$BV$68)</f>
        <v/>
      </c>
      <c r="AS44" s="5">
        <f>SUMPRODUCT(Adds!$C$164:$AS$164,Curves!$AF$22:$BV$22)+SUMPRODUCT(Adds!$C$165:$AS$165,Curves!$AF$45:$BV$45)+SUMPRODUCT(Adds!$C$166:$AS$166,Curves!$AF$68:$BV$68)</f>
        <v/>
      </c>
      <c r="AT44" s="5">
        <f>SUMPRODUCT(Adds!$C$164:$AT$164,Curves!$AE$22:$BV$22)+SUMPRODUCT(Adds!$C$165:$AT$165,Curves!$AE$45:$BV$45)+SUMPRODUCT(Adds!$C$166:$AT$166,Curves!$AE$68:$BV$68)</f>
        <v/>
      </c>
      <c r="AU44" s="5">
        <f>SUMPRODUCT(Adds!$C$164:$AU$164,Curves!$AD$22:$BV$22)+SUMPRODUCT(Adds!$C$165:$AU$165,Curves!$AD$45:$BV$45)+SUMPRODUCT(Adds!$C$166:$AU$166,Curves!$AD$68:$BV$68)</f>
        <v/>
      </c>
      <c r="AV44" s="5">
        <f>SUMPRODUCT(Adds!$C$164:$AV$164,Curves!$AC$22:$BV$22)+SUMPRODUCT(Adds!$C$165:$AV$165,Curves!$AC$45:$BV$45)+SUMPRODUCT(Adds!$C$166:$AV$166,Curves!$AC$68:$BV$68)</f>
        <v/>
      </c>
      <c r="AW44" s="5">
        <f>SUMPRODUCT(Adds!$C$164:$AW$164,Curves!$AB$22:$BV$22)+SUMPRODUCT(Adds!$C$165:$AW$165,Curves!$AB$45:$BV$45)+SUMPRODUCT(Adds!$C$166:$AW$166,Curves!$AB$68:$BV$68)</f>
        <v/>
      </c>
      <c r="AX44" s="5">
        <f>SUMPRODUCT(Adds!$C$164:$AX$164,Curves!$AA$22:$BV$22)+SUMPRODUCT(Adds!$C$165:$AX$165,Curves!$AA$45:$BV$45)+SUMPRODUCT(Adds!$C$166:$AX$166,Curves!$AA$68:$BV$68)</f>
        <v/>
      </c>
      <c r="AY44" s="5">
        <f>SUMPRODUCT(Adds!$C$164:$AY$164,Curves!$Z$22:$BV$22)+SUMPRODUCT(Adds!$C$165:$AY$165,Curves!$Z$45:$BV$45)+SUMPRODUCT(Adds!$C$166:$AY$166,Curves!$Z$68:$BV$68)</f>
        <v/>
      </c>
      <c r="AZ44" s="5">
        <f>SUMPRODUCT(Adds!$C$164:$AZ$164,Curves!$Y$22:$BV$22)+SUMPRODUCT(Adds!$C$165:$AZ$165,Curves!$Y$45:$BV$45)+SUMPRODUCT(Adds!$C$166:$AZ$166,Curves!$Y$68:$BV$68)</f>
        <v/>
      </c>
      <c r="BA44" s="5">
        <f>SUMPRODUCT(Adds!$C$164:$BA$164,Curves!$X$22:$BV$22)+SUMPRODUCT(Adds!$C$165:$BA$165,Curves!$X$45:$BV$45)+SUMPRODUCT(Adds!$C$166:$BA$166,Curves!$X$68:$BV$68)</f>
        <v/>
      </c>
      <c r="BB44" s="5">
        <f>SUMPRODUCT(Adds!$C$164:$BB$164,Curves!$W$22:$BV$22)+SUMPRODUCT(Adds!$C$165:$BB$165,Curves!$W$45:$BV$45)+SUMPRODUCT(Adds!$C$166:$BB$166,Curves!$W$68:$BV$68)</f>
        <v/>
      </c>
      <c r="BC44" s="5">
        <f>SUMPRODUCT(Adds!$C$164:$BC$164,Curves!$V$22:$BV$22)+SUMPRODUCT(Adds!$C$165:$BC$165,Curves!$V$45:$BV$45)+SUMPRODUCT(Adds!$C$166:$BC$166,Curves!$V$68:$BV$68)</f>
        <v/>
      </c>
      <c r="BD44" s="5">
        <f>SUMPRODUCT(Adds!$C$164:$BD$164,Curves!$U$22:$BV$22)+SUMPRODUCT(Adds!$C$165:$BD$165,Curves!$U$45:$BV$45)+SUMPRODUCT(Adds!$C$166:$BD$166,Curves!$U$68:$BV$68)</f>
        <v/>
      </c>
      <c r="BE44" s="5">
        <f>SUMPRODUCT(Adds!$C$164:$BE$164,Curves!$T$22:$BV$22)+SUMPRODUCT(Adds!$C$165:$BE$165,Curves!$T$45:$BV$45)+SUMPRODUCT(Adds!$C$166:$BE$166,Curves!$T$68:$BV$68)</f>
        <v/>
      </c>
      <c r="BF44" s="5">
        <f>SUMPRODUCT(Adds!$C$164:$BF$164,Curves!$S$22:$BV$22)+SUMPRODUCT(Adds!$C$165:$BF$165,Curves!$S$45:$BV$45)+SUMPRODUCT(Adds!$C$166:$BF$166,Curves!$S$68:$BV$68)</f>
        <v/>
      </c>
      <c r="BG44" s="5">
        <f>SUMPRODUCT(Adds!$C$164:$BG$164,Curves!$R$22:$BV$22)+SUMPRODUCT(Adds!$C$165:$BG$165,Curves!$R$45:$BV$45)+SUMPRODUCT(Adds!$C$166:$BG$166,Curves!$R$68:$BV$68)</f>
        <v/>
      </c>
      <c r="BH44" s="5">
        <f>SUMPRODUCT(Adds!$C$164:$BH$164,Curves!$Q$22:$BV$22)+SUMPRODUCT(Adds!$C$165:$BH$165,Curves!$Q$45:$BV$45)+SUMPRODUCT(Adds!$C$166:$BH$166,Curves!$Q$68:$BV$68)</f>
        <v/>
      </c>
      <c r="BI44" s="5">
        <f>SUMPRODUCT(Adds!$C$164:$BI$164,Curves!$P$22:$BV$22)+SUMPRODUCT(Adds!$C$165:$BI$165,Curves!$P$45:$BV$45)+SUMPRODUCT(Adds!$C$166:$BI$166,Curves!$P$68:$BV$68)</f>
        <v/>
      </c>
      <c r="BJ44" s="5">
        <f>SUMPRODUCT(Adds!$C$164:$BJ$164,Curves!$O$22:$BV$22)+SUMPRODUCT(Adds!$C$165:$BJ$165,Curves!$O$45:$BV$45)+SUMPRODUCT(Adds!$C$166:$BJ$166,Curves!$O$68:$BV$68)</f>
        <v/>
      </c>
      <c r="BK44" s="5">
        <f>SUMPRODUCT(Adds!$C$164:$BK$164,Curves!$N$22:$BV$22)+SUMPRODUCT(Adds!$C$165:$BK$165,Curves!$N$45:$BV$45)+SUMPRODUCT(Adds!$C$166:$BK$166,Curves!$N$68:$BV$68)</f>
        <v/>
      </c>
      <c r="BL44" s="5">
        <f>SUMPRODUCT(Adds!$C$164:$BL$164,Curves!$M$22:$BV$22)+SUMPRODUCT(Adds!$C$165:$BL$165,Curves!$M$45:$BV$45)+SUMPRODUCT(Adds!$C$166:$BL$166,Curves!$M$68:$BV$68)</f>
        <v/>
      </c>
      <c r="BM44" s="5">
        <f>SUMPRODUCT(Adds!$C$164:$BM$164,Curves!$L$22:$BV$22)+SUMPRODUCT(Adds!$C$165:$BM$165,Curves!$L$45:$BV$45)+SUMPRODUCT(Adds!$C$166:$BM$166,Curves!$L$68:$BV$68)</f>
        <v/>
      </c>
      <c r="BN44" s="5">
        <f>SUMPRODUCT(Adds!$C$164:$BN$164,Curves!$K$22:$BV$22)+SUMPRODUCT(Adds!$C$165:$BN$165,Curves!$K$45:$BV$45)+SUMPRODUCT(Adds!$C$166:$BN$166,Curves!$K$68:$BV$68)</f>
        <v/>
      </c>
      <c r="BO44" s="5">
        <f>SUMPRODUCT(Adds!$C$164:$BO$164,Curves!$J$22:$BV$22)+SUMPRODUCT(Adds!$C$165:$BO$165,Curves!$J$45:$BV$45)+SUMPRODUCT(Adds!$C$166:$BO$166,Curves!$J$68:$BV$68)</f>
        <v/>
      </c>
      <c r="BP44" s="5">
        <f>SUMPRODUCT(Adds!$C$164:$BP$164,Curves!$I$22:$BV$22)+SUMPRODUCT(Adds!$C$165:$BP$165,Curves!$I$45:$BV$45)+SUMPRODUCT(Adds!$C$166:$BP$166,Curves!$I$68:$BV$68)</f>
        <v/>
      </c>
      <c r="BQ44" s="5">
        <f>SUMPRODUCT(Adds!$C$164:$BQ$164,Curves!$H$22:$BV$22)+SUMPRODUCT(Adds!$C$165:$BQ$165,Curves!$H$45:$BV$45)+SUMPRODUCT(Adds!$C$166:$BQ$166,Curves!$H$68:$BV$68)</f>
        <v/>
      </c>
      <c r="BR44" s="5">
        <f>SUMPRODUCT(Adds!$C$164:$BR$164,Curves!$G$22:$BV$22)+SUMPRODUCT(Adds!$C$165:$BR$165,Curves!$G$45:$BV$45)+SUMPRODUCT(Adds!$C$166:$BR$166,Curves!$G$68:$BV$68)</f>
        <v/>
      </c>
      <c r="BS44" s="5">
        <f>SUMPRODUCT(Adds!$C$164:$BS$164,Curves!$F$22:$BV$22)+SUMPRODUCT(Adds!$C$165:$BS$165,Curves!$F$45:$BV$45)+SUMPRODUCT(Adds!$C$166:$BS$166,Curves!$F$68:$BV$68)</f>
        <v/>
      </c>
      <c r="BT44" s="5">
        <f>SUMPRODUCT(Adds!$C$164:$BT$164,Curves!$E$22:$BV$22)+SUMPRODUCT(Adds!$C$165:$BT$165,Curves!$E$45:$BV$45)+SUMPRODUCT(Adds!$C$166:$BT$166,Curves!$E$68:$BV$68)</f>
        <v/>
      </c>
      <c r="BU44" s="5">
        <f>SUMPRODUCT(Adds!$C$164:$BU$164,Curves!$D$22:$BV$22)+SUMPRODUCT(Adds!$C$165:$BU$165,Curves!$D$45:$BV$45)+SUMPRODUCT(Adds!$C$166:$BU$166,Curves!$D$68:$BV$68)</f>
        <v/>
      </c>
      <c r="BV44" s="5">
        <f>SUMPRODUCT(Adds!$C$164:$BV$164,Curves!$C$22:$BV$22)+SUMPRODUCT(Adds!$C$165:$BV$165,Curves!$C$45:$BV$45)+SUMPRODUCT(Adds!$C$166:$BV$166,Curves!$C$68:$BV$68)</f>
        <v/>
      </c>
    </row>
    <row r="45">
      <c r="A45" t="inlineStr">
        <is>
          <t>churned</t>
        </is>
      </c>
      <c r="B45" t="inlineStr">
        <is>
          <t>LATAM|BASIC_M</t>
        </is>
      </c>
      <c r="C45" s="5">
        <f>Adds!$C$164*Curves!$BV$17+Adds!$C$165*Curves!$BV$40+Adds!$C$166*Curves!$BV$63</f>
        <v/>
      </c>
      <c r="D45" s="5">
        <f>SUMPRODUCT(Adds!$C$164:$D$164,Curves!$BU$17:$BV$17)+SUMPRODUCT(Adds!$C$165:$D$165,Curves!$BU$40:$BV$40)+SUMPRODUCT(Adds!$C$166:$D$166,Curves!$BU$63:$BV$63)</f>
        <v/>
      </c>
      <c r="E45" s="5">
        <f>SUMPRODUCT(Adds!$C$164:$E$164,Curves!$BT$17:$BV$17)+SUMPRODUCT(Adds!$C$165:$E$165,Curves!$BT$40:$BV$40)+SUMPRODUCT(Adds!$C$166:$E$166,Curves!$BT$63:$BV$63)</f>
        <v/>
      </c>
      <c r="F45" s="5">
        <f>SUMPRODUCT(Adds!$C$164:$F$164,Curves!$BS$17:$BV$17)+SUMPRODUCT(Adds!$C$165:$F$165,Curves!$BS$40:$BV$40)+SUMPRODUCT(Adds!$C$166:$F$166,Curves!$BS$63:$BV$63)</f>
        <v/>
      </c>
      <c r="G45" s="5">
        <f>SUMPRODUCT(Adds!$C$164:$G$164,Curves!$BR$17:$BV$17)+SUMPRODUCT(Adds!$C$165:$G$165,Curves!$BR$40:$BV$40)+SUMPRODUCT(Adds!$C$166:$G$166,Curves!$BR$63:$BV$63)</f>
        <v/>
      </c>
      <c r="H45" s="5">
        <f>SUMPRODUCT(Adds!$C$164:$H$164,Curves!$BQ$17:$BV$17)+SUMPRODUCT(Adds!$C$165:$H$165,Curves!$BQ$40:$BV$40)+SUMPRODUCT(Adds!$C$166:$H$166,Curves!$BQ$63:$BV$63)</f>
        <v/>
      </c>
      <c r="I45" s="5">
        <f>SUMPRODUCT(Adds!$C$164:$I$164,Curves!$BP$17:$BV$17)+SUMPRODUCT(Adds!$C$165:$I$165,Curves!$BP$40:$BV$40)+SUMPRODUCT(Adds!$C$166:$I$166,Curves!$BP$63:$BV$63)</f>
        <v/>
      </c>
      <c r="J45" s="5">
        <f>SUMPRODUCT(Adds!$C$164:$J$164,Curves!$BO$17:$BV$17)+SUMPRODUCT(Adds!$C$165:$J$165,Curves!$BO$40:$BV$40)+SUMPRODUCT(Adds!$C$166:$J$166,Curves!$BO$63:$BV$63)</f>
        <v/>
      </c>
      <c r="K45" s="5">
        <f>SUMPRODUCT(Adds!$C$164:$K$164,Curves!$BN$17:$BV$17)+SUMPRODUCT(Adds!$C$165:$K$165,Curves!$BN$40:$BV$40)+SUMPRODUCT(Adds!$C$166:$K$166,Curves!$BN$63:$BV$63)</f>
        <v/>
      </c>
      <c r="L45" s="5">
        <f>SUMPRODUCT(Adds!$C$164:$L$164,Curves!$BM$17:$BV$17)+SUMPRODUCT(Adds!$C$165:$L$165,Curves!$BM$40:$BV$40)+SUMPRODUCT(Adds!$C$166:$L$166,Curves!$BM$63:$BV$63)</f>
        <v/>
      </c>
      <c r="M45" s="5">
        <f>SUMPRODUCT(Adds!$C$164:$M$164,Curves!$BL$17:$BV$17)+SUMPRODUCT(Adds!$C$165:$M$165,Curves!$BL$40:$BV$40)+SUMPRODUCT(Adds!$C$166:$M$166,Curves!$BL$63:$BV$63)</f>
        <v/>
      </c>
      <c r="N45" s="5">
        <f>SUMPRODUCT(Adds!$C$164:$N$164,Curves!$BK$17:$BV$17)+SUMPRODUCT(Adds!$C$165:$N$165,Curves!$BK$40:$BV$40)+SUMPRODUCT(Adds!$C$166:$N$166,Curves!$BK$63:$BV$63)</f>
        <v/>
      </c>
      <c r="O45" s="5">
        <f>SUMPRODUCT(Adds!$C$164:$O$164,Curves!$BJ$17:$BV$17)+SUMPRODUCT(Adds!$C$165:$O$165,Curves!$BJ$40:$BV$40)+SUMPRODUCT(Adds!$C$166:$O$166,Curves!$BJ$63:$BV$63)</f>
        <v/>
      </c>
      <c r="P45" s="5">
        <f>SUMPRODUCT(Adds!$C$164:$P$164,Curves!$BI$17:$BV$17)+SUMPRODUCT(Adds!$C$165:$P$165,Curves!$BI$40:$BV$40)+SUMPRODUCT(Adds!$C$166:$P$166,Curves!$BI$63:$BV$63)</f>
        <v/>
      </c>
      <c r="Q45" s="5">
        <f>SUMPRODUCT(Adds!$C$164:$Q$164,Curves!$BH$17:$BV$17)+SUMPRODUCT(Adds!$C$165:$Q$165,Curves!$BH$40:$BV$40)+SUMPRODUCT(Adds!$C$166:$Q$166,Curves!$BH$63:$BV$63)</f>
        <v/>
      </c>
      <c r="R45" s="5">
        <f>SUMPRODUCT(Adds!$C$164:$R$164,Curves!$BG$17:$BV$17)+SUMPRODUCT(Adds!$C$165:$R$165,Curves!$BG$40:$BV$40)+SUMPRODUCT(Adds!$C$166:$R$166,Curves!$BG$63:$BV$63)</f>
        <v/>
      </c>
      <c r="S45" s="5">
        <f>SUMPRODUCT(Adds!$C$164:$S$164,Curves!$BF$17:$BV$17)+SUMPRODUCT(Adds!$C$165:$S$165,Curves!$BF$40:$BV$40)+SUMPRODUCT(Adds!$C$166:$S$166,Curves!$BF$63:$BV$63)</f>
        <v/>
      </c>
      <c r="T45" s="5">
        <f>SUMPRODUCT(Adds!$C$164:$T$164,Curves!$BE$17:$BV$17)+SUMPRODUCT(Adds!$C$165:$T$165,Curves!$BE$40:$BV$40)+SUMPRODUCT(Adds!$C$166:$T$166,Curves!$BE$63:$BV$63)</f>
        <v/>
      </c>
      <c r="U45" s="5">
        <f>SUMPRODUCT(Adds!$C$164:$U$164,Curves!$BD$17:$BV$17)+SUMPRODUCT(Adds!$C$165:$U$165,Curves!$BD$40:$BV$40)+SUMPRODUCT(Adds!$C$166:$U$166,Curves!$BD$63:$BV$63)</f>
        <v/>
      </c>
      <c r="V45" s="5">
        <f>SUMPRODUCT(Adds!$C$164:$V$164,Curves!$BC$17:$BV$17)+SUMPRODUCT(Adds!$C$165:$V$165,Curves!$BC$40:$BV$40)+SUMPRODUCT(Adds!$C$166:$V$166,Curves!$BC$63:$BV$63)</f>
        <v/>
      </c>
      <c r="W45" s="5">
        <f>SUMPRODUCT(Adds!$C$164:$W$164,Curves!$BB$17:$BV$17)+SUMPRODUCT(Adds!$C$165:$W$165,Curves!$BB$40:$BV$40)+SUMPRODUCT(Adds!$C$166:$W$166,Curves!$BB$63:$BV$63)</f>
        <v/>
      </c>
      <c r="X45" s="5">
        <f>SUMPRODUCT(Adds!$C$164:$X$164,Curves!$BA$17:$BV$17)+SUMPRODUCT(Adds!$C$165:$X$165,Curves!$BA$40:$BV$40)+SUMPRODUCT(Adds!$C$166:$X$166,Curves!$BA$63:$BV$63)</f>
        <v/>
      </c>
      <c r="Y45" s="5">
        <f>SUMPRODUCT(Adds!$C$164:$Y$164,Curves!$AZ$17:$BV$17)+SUMPRODUCT(Adds!$C$165:$Y$165,Curves!$AZ$40:$BV$40)+SUMPRODUCT(Adds!$C$166:$Y$166,Curves!$AZ$63:$BV$63)</f>
        <v/>
      </c>
      <c r="Z45" s="5">
        <f>SUMPRODUCT(Adds!$C$164:$Z$164,Curves!$AY$17:$BV$17)+SUMPRODUCT(Adds!$C$165:$Z$165,Curves!$AY$40:$BV$40)+SUMPRODUCT(Adds!$C$166:$Z$166,Curves!$AY$63:$BV$63)</f>
        <v/>
      </c>
      <c r="AA45" s="5">
        <f>SUMPRODUCT(Adds!$C$164:$AA$164,Curves!$AX$17:$BV$17)+SUMPRODUCT(Adds!$C$165:$AA$165,Curves!$AX$40:$BV$40)+SUMPRODUCT(Adds!$C$166:$AA$166,Curves!$AX$63:$BV$63)</f>
        <v/>
      </c>
      <c r="AB45" s="5">
        <f>SUMPRODUCT(Adds!$C$164:$AB$164,Curves!$AW$17:$BV$17)+SUMPRODUCT(Adds!$C$165:$AB$165,Curves!$AW$40:$BV$40)+SUMPRODUCT(Adds!$C$166:$AB$166,Curves!$AW$63:$BV$63)</f>
        <v/>
      </c>
      <c r="AC45" s="5">
        <f>SUMPRODUCT(Adds!$C$164:$AC$164,Curves!$AV$17:$BV$17)+SUMPRODUCT(Adds!$C$165:$AC$165,Curves!$AV$40:$BV$40)+SUMPRODUCT(Adds!$C$166:$AC$166,Curves!$AV$63:$BV$63)</f>
        <v/>
      </c>
      <c r="AD45" s="5">
        <f>SUMPRODUCT(Adds!$C$164:$AD$164,Curves!$AU$17:$BV$17)+SUMPRODUCT(Adds!$C$165:$AD$165,Curves!$AU$40:$BV$40)+SUMPRODUCT(Adds!$C$166:$AD$166,Curves!$AU$63:$BV$63)</f>
        <v/>
      </c>
      <c r="AE45" s="5">
        <f>SUMPRODUCT(Adds!$C$164:$AE$164,Curves!$AT$17:$BV$17)+SUMPRODUCT(Adds!$C$165:$AE$165,Curves!$AT$40:$BV$40)+SUMPRODUCT(Adds!$C$166:$AE$166,Curves!$AT$63:$BV$63)</f>
        <v/>
      </c>
      <c r="AF45" s="5">
        <f>SUMPRODUCT(Adds!$C$164:$AF$164,Curves!$AS$17:$BV$17)+SUMPRODUCT(Adds!$C$165:$AF$165,Curves!$AS$40:$BV$40)+SUMPRODUCT(Adds!$C$166:$AF$166,Curves!$AS$63:$BV$63)</f>
        <v/>
      </c>
      <c r="AG45" s="5">
        <f>SUMPRODUCT(Adds!$C$164:$AG$164,Curves!$AR$17:$BV$17)+SUMPRODUCT(Adds!$C$165:$AG$165,Curves!$AR$40:$BV$40)+SUMPRODUCT(Adds!$C$166:$AG$166,Curves!$AR$63:$BV$63)</f>
        <v/>
      </c>
      <c r="AH45" s="5">
        <f>SUMPRODUCT(Adds!$C$164:$AH$164,Curves!$AQ$17:$BV$17)+SUMPRODUCT(Adds!$C$165:$AH$165,Curves!$AQ$40:$BV$40)+SUMPRODUCT(Adds!$C$166:$AH$166,Curves!$AQ$63:$BV$63)</f>
        <v/>
      </c>
      <c r="AI45" s="5">
        <f>SUMPRODUCT(Adds!$C$164:$AI$164,Curves!$AP$17:$BV$17)+SUMPRODUCT(Adds!$C$165:$AI$165,Curves!$AP$40:$BV$40)+SUMPRODUCT(Adds!$C$166:$AI$166,Curves!$AP$63:$BV$63)</f>
        <v/>
      </c>
      <c r="AJ45" s="5">
        <f>SUMPRODUCT(Adds!$C$164:$AJ$164,Curves!$AO$17:$BV$17)+SUMPRODUCT(Adds!$C$165:$AJ$165,Curves!$AO$40:$BV$40)+SUMPRODUCT(Adds!$C$166:$AJ$166,Curves!$AO$63:$BV$63)</f>
        <v/>
      </c>
      <c r="AK45" s="5">
        <f>SUMPRODUCT(Adds!$C$164:$AK$164,Curves!$AN$17:$BV$17)+SUMPRODUCT(Adds!$C$165:$AK$165,Curves!$AN$40:$BV$40)+SUMPRODUCT(Adds!$C$166:$AK$166,Curves!$AN$63:$BV$63)</f>
        <v/>
      </c>
      <c r="AL45" s="5">
        <f>SUMPRODUCT(Adds!$C$164:$AL$164,Curves!$AM$17:$BV$17)+SUMPRODUCT(Adds!$C$165:$AL$165,Curves!$AM$40:$BV$40)+SUMPRODUCT(Adds!$C$166:$AL$166,Curves!$AM$63:$BV$63)</f>
        <v/>
      </c>
      <c r="AM45" s="5">
        <f>SUMPRODUCT(Adds!$C$164:$AM$164,Curves!$AL$17:$BV$17)+SUMPRODUCT(Adds!$C$165:$AM$165,Curves!$AL$40:$BV$40)+SUMPRODUCT(Adds!$C$166:$AM$166,Curves!$AL$63:$BV$63)</f>
        <v/>
      </c>
      <c r="AN45" s="5">
        <f>SUMPRODUCT(Adds!$C$164:$AN$164,Curves!$AK$17:$BV$17)+SUMPRODUCT(Adds!$C$165:$AN$165,Curves!$AK$40:$BV$40)+SUMPRODUCT(Adds!$C$166:$AN$166,Curves!$AK$63:$BV$63)</f>
        <v/>
      </c>
      <c r="AO45" s="5">
        <f>SUMPRODUCT(Adds!$C$164:$AO$164,Curves!$AJ$17:$BV$17)+SUMPRODUCT(Adds!$C$165:$AO$165,Curves!$AJ$40:$BV$40)+SUMPRODUCT(Adds!$C$166:$AO$166,Curves!$AJ$63:$BV$63)</f>
        <v/>
      </c>
      <c r="AP45" s="5">
        <f>SUMPRODUCT(Adds!$C$164:$AP$164,Curves!$AI$17:$BV$17)+SUMPRODUCT(Adds!$C$165:$AP$165,Curves!$AI$40:$BV$40)+SUMPRODUCT(Adds!$C$166:$AP$166,Curves!$AI$63:$BV$63)</f>
        <v/>
      </c>
      <c r="AQ45" s="5">
        <f>SUMPRODUCT(Adds!$C$164:$AQ$164,Curves!$AH$17:$BV$17)+SUMPRODUCT(Adds!$C$165:$AQ$165,Curves!$AH$40:$BV$40)+SUMPRODUCT(Adds!$C$166:$AQ$166,Curves!$AH$63:$BV$63)</f>
        <v/>
      </c>
      <c r="AR45" s="5">
        <f>SUMPRODUCT(Adds!$C$164:$AR$164,Curves!$AG$17:$BV$17)+SUMPRODUCT(Adds!$C$165:$AR$165,Curves!$AG$40:$BV$40)+SUMPRODUCT(Adds!$C$166:$AR$166,Curves!$AG$63:$BV$63)</f>
        <v/>
      </c>
      <c r="AS45" s="5">
        <f>SUMPRODUCT(Adds!$C$164:$AS$164,Curves!$AF$17:$BV$17)+SUMPRODUCT(Adds!$C$165:$AS$165,Curves!$AF$40:$BV$40)+SUMPRODUCT(Adds!$C$166:$AS$166,Curves!$AF$63:$BV$63)</f>
        <v/>
      </c>
      <c r="AT45" s="5">
        <f>SUMPRODUCT(Adds!$C$164:$AT$164,Curves!$AE$17:$BV$17)+SUMPRODUCT(Adds!$C$165:$AT$165,Curves!$AE$40:$BV$40)+SUMPRODUCT(Adds!$C$166:$AT$166,Curves!$AE$63:$BV$63)</f>
        <v/>
      </c>
      <c r="AU45" s="5">
        <f>SUMPRODUCT(Adds!$C$164:$AU$164,Curves!$AD$17:$BV$17)+SUMPRODUCT(Adds!$C$165:$AU$165,Curves!$AD$40:$BV$40)+SUMPRODUCT(Adds!$C$166:$AU$166,Curves!$AD$63:$BV$63)</f>
        <v/>
      </c>
      <c r="AV45" s="5">
        <f>SUMPRODUCT(Adds!$C$164:$AV$164,Curves!$AC$17:$BV$17)+SUMPRODUCT(Adds!$C$165:$AV$165,Curves!$AC$40:$BV$40)+SUMPRODUCT(Adds!$C$166:$AV$166,Curves!$AC$63:$BV$63)</f>
        <v/>
      </c>
      <c r="AW45" s="5">
        <f>SUMPRODUCT(Adds!$C$164:$AW$164,Curves!$AB$17:$BV$17)+SUMPRODUCT(Adds!$C$165:$AW$165,Curves!$AB$40:$BV$40)+SUMPRODUCT(Adds!$C$166:$AW$166,Curves!$AB$63:$BV$63)</f>
        <v/>
      </c>
      <c r="AX45" s="5">
        <f>SUMPRODUCT(Adds!$C$164:$AX$164,Curves!$AA$17:$BV$17)+SUMPRODUCT(Adds!$C$165:$AX$165,Curves!$AA$40:$BV$40)+SUMPRODUCT(Adds!$C$166:$AX$166,Curves!$AA$63:$BV$63)</f>
        <v/>
      </c>
      <c r="AY45" s="5">
        <f>SUMPRODUCT(Adds!$C$164:$AY$164,Curves!$Z$17:$BV$17)+SUMPRODUCT(Adds!$C$165:$AY$165,Curves!$Z$40:$BV$40)+SUMPRODUCT(Adds!$C$166:$AY$166,Curves!$Z$63:$BV$63)</f>
        <v/>
      </c>
      <c r="AZ45" s="5">
        <f>SUMPRODUCT(Adds!$C$164:$AZ$164,Curves!$Y$17:$BV$17)+SUMPRODUCT(Adds!$C$165:$AZ$165,Curves!$Y$40:$BV$40)+SUMPRODUCT(Adds!$C$166:$AZ$166,Curves!$Y$63:$BV$63)</f>
        <v/>
      </c>
      <c r="BA45" s="5">
        <f>SUMPRODUCT(Adds!$C$164:$BA$164,Curves!$X$17:$BV$17)+SUMPRODUCT(Adds!$C$165:$BA$165,Curves!$X$40:$BV$40)+SUMPRODUCT(Adds!$C$166:$BA$166,Curves!$X$63:$BV$63)</f>
        <v/>
      </c>
      <c r="BB45" s="5">
        <f>SUMPRODUCT(Adds!$C$164:$BB$164,Curves!$W$17:$BV$17)+SUMPRODUCT(Adds!$C$165:$BB$165,Curves!$W$40:$BV$40)+SUMPRODUCT(Adds!$C$166:$BB$166,Curves!$W$63:$BV$63)</f>
        <v/>
      </c>
      <c r="BC45" s="5">
        <f>SUMPRODUCT(Adds!$C$164:$BC$164,Curves!$V$17:$BV$17)+SUMPRODUCT(Adds!$C$165:$BC$165,Curves!$V$40:$BV$40)+SUMPRODUCT(Adds!$C$166:$BC$166,Curves!$V$63:$BV$63)</f>
        <v/>
      </c>
      <c r="BD45" s="5">
        <f>SUMPRODUCT(Adds!$C$164:$BD$164,Curves!$U$17:$BV$17)+SUMPRODUCT(Adds!$C$165:$BD$165,Curves!$U$40:$BV$40)+SUMPRODUCT(Adds!$C$166:$BD$166,Curves!$U$63:$BV$63)</f>
        <v/>
      </c>
      <c r="BE45" s="5">
        <f>SUMPRODUCT(Adds!$C$164:$BE$164,Curves!$T$17:$BV$17)+SUMPRODUCT(Adds!$C$165:$BE$165,Curves!$T$40:$BV$40)+SUMPRODUCT(Adds!$C$166:$BE$166,Curves!$T$63:$BV$63)</f>
        <v/>
      </c>
      <c r="BF45" s="5">
        <f>SUMPRODUCT(Adds!$C$164:$BF$164,Curves!$S$17:$BV$17)+SUMPRODUCT(Adds!$C$165:$BF$165,Curves!$S$40:$BV$40)+SUMPRODUCT(Adds!$C$166:$BF$166,Curves!$S$63:$BV$63)</f>
        <v/>
      </c>
      <c r="BG45" s="5">
        <f>SUMPRODUCT(Adds!$C$164:$BG$164,Curves!$R$17:$BV$17)+SUMPRODUCT(Adds!$C$165:$BG$165,Curves!$R$40:$BV$40)+SUMPRODUCT(Adds!$C$166:$BG$166,Curves!$R$63:$BV$63)</f>
        <v/>
      </c>
      <c r="BH45" s="5">
        <f>SUMPRODUCT(Adds!$C$164:$BH$164,Curves!$Q$17:$BV$17)+SUMPRODUCT(Adds!$C$165:$BH$165,Curves!$Q$40:$BV$40)+SUMPRODUCT(Adds!$C$166:$BH$166,Curves!$Q$63:$BV$63)</f>
        <v/>
      </c>
      <c r="BI45" s="5">
        <f>SUMPRODUCT(Adds!$C$164:$BI$164,Curves!$P$17:$BV$17)+SUMPRODUCT(Adds!$C$165:$BI$165,Curves!$P$40:$BV$40)+SUMPRODUCT(Adds!$C$166:$BI$166,Curves!$P$63:$BV$63)</f>
        <v/>
      </c>
      <c r="BJ45" s="5">
        <f>SUMPRODUCT(Adds!$C$164:$BJ$164,Curves!$O$17:$BV$17)+SUMPRODUCT(Adds!$C$165:$BJ$165,Curves!$O$40:$BV$40)+SUMPRODUCT(Adds!$C$166:$BJ$166,Curves!$O$63:$BV$63)</f>
        <v/>
      </c>
      <c r="BK45" s="5">
        <f>SUMPRODUCT(Adds!$C$164:$BK$164,Curves!$N$17:$BV$17)+SUMPRODUCT(Adds!$C$165:$BK$165,Curves!$N$40:$BV$40)+SUMPRODUCT(Adds!$C$166:$BK$166,Curves!$N$63:$BV$63)</f>
        <v/>
      </c>
      <c r="BL45" s="5">
        <f>SUMPRODUCT(Adds!$C$164:$BL$164,Curves!$M$17:$BV$17)+SUMPRODUCT(Adds!$C$165:$BL$165,Curves!$M$40:$BV$40)+SUMPRODUCT(Adds!$C$166:$BL$166,Curves!$M$63:$BV$63)</f>
        <v/>
      </c>
      <c r="BM45" s="5">
        <f>SUMPRODUCT(Adds!$C$164:$BM$164,Curves!$L$17:$BV$17)+SUMPRODUCT(Adds!$C$165:$BM$165,Curves!$L$40:$BV$40)+SUMPRODUCT(Adds!$C$166:$BM$166,Curves!$L$63:$BV$63)</f>
        <v/>
      </c>
      <c r="BN45" s="5">
        <f>SUMPRODUCT(Adds!$C$164:$BN$164,Curves!$K$17:$BV$17)+SUMPRODUCT(Adds!$C$165:$BN$165,Curves!$K$40:$BV$40)+SUMPRODUCT(Adds!$C$166:$BN$166,Curves!$K$63:$BV$63)</f>
        <v/>
      </c>
      <c r="BO45" s="5">
        <f>SUMPRODUCT(Adds!$C$164:$BO$164,Curves!$J$17:$BV$17)+SUMPRODUCT(Adds!$C$165:$BO$165,Curves!$J$40:$BV$40)+SUMPRODUCT(Adds!$C$166:$BO$166,Curves!$J$63:$BV$63)</f>
        <v/>
      </c>
      <c r="BP45" s="5">
        <f>SUMPRODUCT(Adds!$C$164:$BP$164,Curves!$I$17:$BV$17)+SUMPRODUCT(Adds!$C$165:$BP$165,Curves!$I$40:$BV$40)+SUMPRODUCT(Adds!$C$166:$BP$166,Curves!$I$63:$BV$63)</f>
        <v/>
      </c>
      <c r="BQ45" s="5">
        <f>SUMPRODUCT(Adds!$C$164:$BQ$164,Curves!$H$17:$BV$17)+SUMPRODUCT(Adds!$C$165:$BQ$165,Curves!$H$40:$BV$40)+SUMPRODUCT(Adds!$C$166:$BQ$166,Curves!$H$63:$BV$63)</f>
        <v/>
      </c>
      <c r="BR45" s="5">
        <f>SUMPRODUCT(Adds!$C$164:$BR$164,Curves!$G$17:$BV$17)+SUMPRODUCT(Adds!$C$165:$BR$165,Curves!$G$40:$BV$40)+SUMPRODUCT(Adds!$C$166:$BR$166,Curves!$G$63:$BV$63)</f>
        <v/>
      </c>
      <c r="BS45" s="5">
        <f>SUMPRODUCT(Adds!$C$164:$BS$164,Curves!$F$17:$BV$17)+SUMPRODUCT(Adds!$C$165:$BS$165,Curves!$F$40:$BV$40)+SUMPRODUCT(Adds!$C$166:$BS$166,Curves!$F$63:$BV$63)</f>
        <v/>
      </c>
      <c r="BT45" s="5">
        <f>SUMPRODUCT(Adds!$C$164:$BT$164,Curves!$E$17:$BV$17)+SUMPRODUCT(Adds!$C$165:$BT$165,Curves!$E$40:$BV$40)+SUMPRODUCT(Adds!$C$166:$BT$166,Curves!$E$63:$BV$63)</f>
        <v/>
      </c>
      <c r="BU45" s="5">
        <f>SUMPRODUCT(Adds!$C$164:$BU$164,Curves!$D$17:$BV$17)+SUMPRODUCT(Adds!$C$165:$BU$165,Curves!$D$40:$BV$40)+SUMPRODUCT(Adds!$C$166:$BU$166,Curves!$D$63:$BV$63)</f>
        <v/>
      </c>
      <c r="BV45" s="5">
        <f>SUMPRODUCT(Adds!$C$164:$BV$164,Curves!$C$17:$BV$17)+SUMPRODUCT(Adds!$C$165:$BV$165,Curves!$C$40:$BV$40)+SUMPRODUCT(Adds!$C$166:$BV$166,Curves!$C$63:$BV$63)</f>
        <v/>
      </c>
    </row>
    <row r="47">
      <c r="A47" t="inlineStr">
        <is>
          <t>active</t>
        </is>
      </c>
      <c r="B47" t="inlineStr">
        <is>
          <t>LATAM|BASIC_A</t>
        </is>
      </c>
      <c r="C47" s="5">
        <f>Adds!$C$179*Curves!$BV$16+Adds!$C$180*Curves!$BV$39+Adds!$C$181*Curves!$BV$62</f>
        <v/>
      </c>
      <c r="D47" s="5">
        <f>SUMPRODUCT(Adds!$C$179:$D$179,Curves!$BU$16:$BV$16)+SUMPRODUCT(Adds!$C$180:$D$180,Curves!$BU$39:$BV$39)+SUMPRODUCT(Adds!$C$181:$D$181,Curves!$BU$62:$BV$62)</f>
        <v/>
      </c>
      <c r="E47" s="5">
        <f>SUMPRODUCT(Adds!$C$179:$E$179,Curves!$BT$16:$BV$16)+SUMPRODUCT(Adds!$C$180:$E$180,Curves!$BT$39:$BV$39)+SUMPRODUCT(Adds!$C$181:$E$181,Curves!$BT$62:$BV$62)</f>
        <v/>
      </c>
      <c r="F47" s="5">
        <f>SUMPRODUCT(Adds!$C$179:$F$179,Curves!$BS$16:$BV$16)+SUMPRODUCT(Adds!$C$180:$F$180,Curves!$BS$39:$BV$39)+SUMPRODUCT(Adds!$C$181:$F$181,Curves!$BS$62:$BV$62)</f>
        <v/>
      </c>
      <c r="G47" s="5">
        <f>SUMPRODUCT(Adds!$C$179:$G$179,Curves!$BR$16:$BV$16)+SUMPRODUCT(Adds!$C$180:$G$180,Curves!$BR$39:$BV$39)+SUMPRODUCT(Adds!$C$181:$G$181,Curves!$BR$62:$BV$62)</f>
        <v/>
      </c>
      <c r="H47" s="5">
        <f>SUMPRODUCT(Adds!$C$179:$H$179,Curves!$BQ$16:$BV$16)+SUMPRODUCT(Adds!$C$180:$H$180,Curves!$BQ$39:$BV$39)+SUMPRODUCT(Adds!$C$181:$H$181,Curves!$BQ$62:$BV$62)</f>
        <v/>
      </c>
      <c r="I47" s="5">
        <f>SUMPRODUCT(Adds!$C$179:$I$179,Curves!$BP$16:$BV$16)+SUMPRODUCT(Adds!$C$180:$I$180,Curves!$BP$39:$BV$39)+SUMPRODUCT(Adds!$C$181:$I$181,Curves!$BP$62:$BV$62)</f>
        <v/>
      </c>
      <c r="J47" s="5">
        <f>SUMPRODUCT(Adds!$C$179:$J$179,Curves!$BO$16:$BV$16)+SUMPRODUCT(Adds!$C$180:$J$180,Curves!$BO$39:$BV$39)+SUMPRODUCT(Adds!$C$181:$J$181,Curves!$BO$62:$BV$62)</f>
        <v/>
      </c>
      <c r="K47" s="5">
        <f>SUMPRODUCT(Adds!$C$179:$K$179,Curves!$BN$16:$BV$16)+SUMPRODUCT(Adds!$C$180:$K$180,Curves!$BN$39:$BV$39)+SUMPRODUCT(Adds!$C$181:$K$181,Curves!$BN$62:$BV$62)</f>
        <v/>
      </c>
      <c r="L47" s="5">
        <f>SUMPRODUCT(Adds!$C$179:$L$179,Curves!$BM$16:$BV$16)+SUMPRODUCT(Adds!$C$180:$L$180,Curves!$BM$39:$BV$39)+SUMPRODUCT(Adds!$C$181:$L$181,Curves!$BM$62:$BV$62)</f>
        <v/>
      </c>
      <c r="M47" s="5">
        <f>SUMPRODUCT(Adds!$C$179:$M$179,Curves!$BL$16:$BV$16)+SUMPRODUCT(Adds!$C$180:$M$180,Curves!$BL$39:$BV$39)+SUMPRODUCT(Adds!$C$181:$M$181,Curves!$BL$62:$BV$62)</f>
        <v/>
      </c>
      <c r="N47" s="5">
        <f>SUMPRODUCT(Adds!$C$179:$N$179,Curves!$BK$16:$BV$16)+SUMPRODUCT(Adds!$C$180:$N$180,Curves!$BK$39:$BV$39)+SUMPRODUCT(Adds!$C$181:$N$181,Curves!$BK$62:$BV$62)</f>
        <v/>
      </c>
      <c r="O47" s="5">
        <f>SUMPRODUCT(Adds!$C$179:$O$179,Curves!$BJ$16:$BV$16)+SUMPRODUCT(Adds!$C$180:$O$180,Curves!$BJ$39:$BV$39)+SUMPRODUCT(Adds!$C$181:$O$181,Curves!$BJ$62:$BV$62)</f>
        <v/>
      </c>
      <c r="P47" s="5">
        <f>SUMPRODUCT(Adds!$C$179:$P$179,Curves!$BI$16:$BV$16)+SUMPRODUCT(Adds!$C$180:$P$180,Curves!$BI$39:$BV$39)+SUMPRODUCT(Adds!$C$181:$P$181,Curves!$BI$62:$BV$62)</f>
        <v/>
      </c>
      <c r="Q47" s="5">
        <f>SUMPRODUCT(Adds!$C$179:$Q$179,Curves!$BH$16:$BV$16)+SUMPRODUCT(Adds!$C$180:$Q$180,Curves!$BH$39:$BV$39)+SUMPRODUCT(Adds!$C$181:$Q$181,Curves!$BH$62:$BV$62)</f>
        <v/>
      </c>
      <c r="R47" s="5">
        <f>SUMPRODUCT(Adds!$C$179:$R$179,Curves!$BG$16:$BV$16)+SUMPRODUCT(Adds!$C$180:$R$180,Curves!$BG$39:$BV$39)+SUMPRODUCT(Adds!$C$181:$R$181,Curves!$BG$62:$BV$62)</f>
        <v/>
      </c>
      <c r="S47" s="5">
        <f>SUMPRODUCT(Adds!$C$179:$S$179,Curves!$BF$16:$BV$16)+SUMPRODUCT(Adds!$C$180:$S$180,Curves!$BF$39:$BV$39)+SUMPRODUCT(Adds!$C$181:$S$181,Curves!$BF$62:$BV$62)</f>
        <v/>
      </c>
      <c r="T47" s="5">
        <f>SUMPRODUCT(Adds!$C$179:$T$179,Curves!$BE$16:$BV$16)+SUMPRODUCT(Adds!$C$180:$T$180,Curves!$BE$39:$BV$39)+SUMPRODUCT(Adds!$C$181:$T$181,Curves!$BE$62:$BV$62)</f>
        <v/>
      </c>
      <c r="U47" s="5">
        <f>SUMPRODUCT(Adds!$C$179:$U$179,Curves!$BD$16:$BV$16)+SUMPRODUCT(Adds!$C$180:$U$180,Curves!$BD$39:$BV$39)+SUMPRODUCT(Adds!$C$181:$U$181,Curves!$BD$62:$BV$62)</f>
        <v/>
      </c>
      <c r="V47" s="5">
        <f>SUMPRODUCT(Adds!$C$179:$V$179,Curves!$BC$16:$BV$16)+SUMPRODUCT(Adds!$C$180:$V$180,Curves!$BC$39:$BV$39)+SUMPRODUCT(Adds!$C$181:$V$181,Curves!$BC$62:$BV$62)</f>
        <v/>
      </c>
      <c r="W47" s="5">
        <f>SUMPRODUCT(Adds!$C$179:$W$179,Curves!$BB$16:$BV$16)+SUMPRODUCT(Adds!$C$180:$W$180,Curves!$BB$39:$BV$39)+SUMPRODUCT(Adds!$C$181:$W$181,Curves!$BB$62:$BV$62)</f>
        <v/>
      </c>
      <c r="X47" s="5">
        <f>SUMPRODUCT(Adds!$C$179:$X$179,Curves!$BA$16:$BV$16)+SUMPRODUCT(Adds!$C$180:$X$180,Curves!$BA$39:$BV$39)+SUMPRODUCT(Adds!$C$181:$X$181,Curves!$BA$62:$BV$62)</f>
        <v/>
      </c>
      <c r="Y47" s="5">
        <f>SUMPRODUCT(Adds!$C$179:$Y$179,Curves!$AZ$16:$BV$16)+SUMPRODUCT(Adds!$C$180:$Y$180,Curves!$AZ$39:$BV$39)+SUMPRODUCT(Adds!$C$181:$Y$181,Curves!$AZ$62:$BV$62)</f>
        <v/>
      </c>
      <c r="Z47" s="5">
        <f>SUMPRODUCT(Adds!$C$179:$Z$179,Curves!$AY$16:$BV$16)+SUMPRODUCT(Adds!$C$180:$Z$180,Curves!$AY$39:$BV$39)+SUMPRODUCT(Adds!$C$181:$Z$181,Curves!$AY$62:$BV$62)</f>
        <v/>
      </c>
      <c r="AA47" s="5">
        <f>SUMPRODUCT(Adds!$C$179:$AA$179,Curves!$AX$16:$BV$16)+SUMPRODUCT(Adds!$C$180:$AA$180,Curves!$AX$39:$BV$39)+SUMPRODUCT(Adds!$C$181:$AA$181,Curves!$AX$62:$BV$62)</f>
        <v/>
      </c>
      <c r="AB47" s="5">
        <f>SUMPRODUCT(Adds!$C$179:$AB$179,Curves!$AW$16:$BV$16)+SUMPRODUCT(Adds!$C$180:$AB$180,Curves!$AW$39:$BV$39)+SUMPRODUCT(Adds!$C$181:$AB$181,Curves!$AW$62:$BV$62)</f>
        <v/>
      </c>
      <c r="AC47" s="5">
        <f>SUMPRODUCT(Adds!$C$179:$AC$179,Curves!$AV$16:$BV$16)+SUMPRODUCT(Adds!$C$180:$AC$180,Curves!$AV$39:$BV$39)+SUMPRODUCT(Adds!$C$181:$AC$181,Curves!$AV$62:$BV$62)</f>
        <v/>
      </c>
      <c r="AD47" s="5">
        <f>SUMPRODUCT(Adds!$C$179:$AD$179,Curves!$AU$16:$BV$16)+SUMPRODUCT(Adds!$C$180:$AD$180,Curves!$AU$39:$BV$39)+SUMPRODUCT(Adds!$C$181:$AD$181,Curves!$AU$62:$BV$62)</f>
        <v/>
      </c>
      <c r="AE47" s="5">
        <f>SUMPRODUCT(Adds!$C$179:$AE$179,Curves!$AT$16:$BV$16)+SUMPRODUCT(Adds!$C$180:$AE$180,Curves!$AT$39:$BV$39)+SUMPRODUCT(Adds!$C$181:$AE$181,Curves!$AT$62:$BV$62)</f>
        <v/>
      </c>
      <c r="AF47" s="5">
        <f>SUMPRODUCT(Adds!$C$179:$AF$179,Curves!$AS$16:$BV$16)+SUMPRODUCT(Adds!$C$180:$AF$180,Curves!$AS$39:$BV$39)+SUMPRODUCT(Adds!$C$181:$AF$181,Curves!$AS$62:$BV$62)</f>
        <v/>
      </c>
      <c r="AG47" s="5">
        <f>SUMPRODUCT(Adds!$C$179:$AG$179,Curves!$AR$16:$BV$16)+SUMPRODUCT(Adds!$C$180:$AG$180,Curves!$AR$39:$BV$39)+SUMPRODUCT(Adds!$C$181:$AG$181,Curves!$AR$62:$BV$62)</f>
        <v/>
      </c>
      <c r="AH47" s="5">
        <f>SUMPRODUCT(Adds!$C$179:$AH$179,Curves!$AQ$16:$BV$16)+SUMPRODUCT(Adds!$C$180:$AH$180,Curves!$AQ$39:$BV$39)+SUMPRODUCT(Adds!$C$181:$AH$181,Curves!$AQ$62:$BV$62)</f>
        <v/>
      </c>
      <c r="AI47" s="5">
        <f>SUMPRODUCT(Adds!$C$179:$AI$179,Curves!$AP$16:$BV$16)+SUMPRODUCT(Adds!$C$180:$AI$180,Curves!$AP$39:$BV$39)+SUMPRODUCT(Adds!$C$181:$AI$181,Curves!$AP$62:$BV$62)</f>
        <v/>
      </c>
      <c r="AJ47" s="5">
        <f>SUMPRODUCT(Adds!$C$179:$AJ$179,Curves!$AO$16:$BV$16)+SUMPRODUCT(Adds!$C$180:$AJ$180,Curves!$AO$39:$BV$39)+SUMPRODUCT(Adds!$C$181:$AJ$181,Curves!$AO$62:$BV$62)</f>
        <v/>
      </c>
      <c r="AK47" s="5">
        <f>SUMPRODUCT(Adds!$C$179:$AK$179,Curves!$AN$16:$BV$16)+SUMPRODUCT(Adds!$C$180:$AK$180,Curves!$AN$39:$BV$39)+SUMPRODUCT(Adds!$C$181:$AK$181,Curves!$AN$62:$BV$62)</f>
        <v/>
      </c>
      <c r="AL47" s="5">
        <f>SUMPRODUCT(Adds!$C$179:$AL$179,Curves!$AM$16:$BV$16)+SUMPRODUCT(Adds!$C$180:$AL$180,Curves!$AM$39:$BV$39)+SUMPRODUCT(Adds!$C$181:$AL$181,Curves!$AM$62:$BV$62)</f>
        <v/>
      </c>
      <c r="AM47" s="5">
        <f>SUMPRODUCT(Adds!$C$179:$AM$179,Curves!$AL$16:$BV$16)+SUMPRODUCT(Adds!$C$180:$AM$180,Curves!$AL$39:$BV$39)+SUMPRODUCT(Adds!$C$181:$AM$181,Curves!$AL$62:$BV$62)</f>
        <v/>
      </c>
      <c r="AN47" s="5">
        <f>SUMPRODUCT(Adds!$C$179:$AN$179,Curves!$AK$16:$BV$16)+SUMPRODUCT(Adds!$C$180:$AN$180,Curves!$AK$39:$BV$39)+SUMPRODUCT(Adds!$C$181:$AN$181,Curves!$AK$62:$BV$62)</f>
        <v/>
      </c>
      <c r="AO47" s="5">
        <f>SUMPRODUCT(Adds!$C$179:$AO$179,Curves!$AJ$16:$BV$16)+SUMPRODUCT(Adds!$C$180:$AO$180,Curves!$AJ$39:$BV$39)+SUMPRODUCT(Adds!$C$181:$AO$181,Curves!$AJ$62:$BV$62)</f>
        <v/>
      </c>
      <c r="AP47" s="5">
        <f>SUMPRODUCT(Adds!$C$179:$AP$179,Curves!$AI$16:$BV$16)+SUMPRODUCT(Adds!$C$180:$AP$180,Curves!$AI$39:$BV$39)+SUMPRODUCT(Adds!$C$181:$AP$181,Curves!$AI$62:$BV$62)</f>
        <v/>
      </c>
      <c r="AQ47" s="5">
        <f>SUMPRODUCT(Adds!$C$179:$AQ$179,Curves!$AH$16:$BV$16)+SUMPRODUCT(Adds!$C$180:$AQ$180,Curves!$AH$39:$BV$39)+SUMPRODUCT(Adds!$C$181:$AQ$181,Curves!$AH$62:$BV$62)</f>
        <v/>
      </c>
      <c r="AR47" s="5">
        <f>SUMPRODUCT(Adds!$C$179:$AR$179,Curves!$AG$16:$BV$16)+SUMPRODUCT(Adds!$C$180:$AR$180,Curves!$AG$39:$BV$39)+SUMPRODUCT(Adds!$C$181:$AR$181,Curves!$AG$62:$BV$62)</f>
        <v/>
      </c>
      <c r="AS47" s="5">
        <f>SUMPRODUCT(Adds!$C$179:$AS$179,Curves!$AF$16:$BV$16)+SUMPRODUCT(Adds!$C$180:$AS$180,Curves!$AF$39:$BV$39)+SUMPRODUCT(Adds!$C$181:$AS$181,Curves!$AF$62:$BV$62)</f>
        <v/>
      </c>
      <c r="AT47" s="5">
        <f>SUMPRODUCT(Adds!$C$179:$AT$179,Curves!$AE$16:$BV$16)+SUMPRODUCT(Adds!$C$180:$AT$180,Curves!$AE$39:$BV$39)+SUMPRODUCT(Adds!$C$181:$AT$181,Curves!$AE$62:$BV$62)</f>
        <v/>
      </c>
      <c r="AU47" s="5">
        <f>SUMPRODUCT(Adds!$C$179:$AU$179,Curves!$AD$16:$BV$16)+SUMPRODUCT(Adds!$C$180:$AU$180,Curves!$AD$39:$BV$39)+SUMPRODUCT(Adds!$C$181:$AU$181,Curves!$AD$62:$BV$62)</f>
        <v/>
      </c>
      <c r="AV47" s="5">
        <f>SUMPRODUCT(Adds!$C$179:$AV$179,Curves!$AC$16:$BV$16)+SUMPRODUCT(Adds!$C$180:$AV$180,Curves!$AC$39:$BV$39)+SUMPRODUCT(Adds!$C$181:$AV$181,Curves!$AC$62:$BV$62)</f>
        <v/>
      </c>
      <c r="AW47" s="5">
        <f>SUMPRODUCT(Adds!$C$179:$AW$179,Curves!$AB$16:$BV$16)+SUMPRODUCT(Adds!$C$180:$AW$180,Curves!$AB$39:$BV$39)+SUMPRODUCT(Adds!$C$181:$AW$181,Curves!$AB$62:$BV$62)</f>
        <v/>
      </c>
      <c r="AX47" s="5">
        <f>SUMPRODUCT(Adds!$C$179:$AX$179,Curves!$AA$16:$BV$16)+SUMPRODUCT(Adds!$C$180:$AX$180,Curves!$AA$39:$BV$39)+SUMPRODUCT(Adds!$C$181:$AX$181,Curves!$AA$62:$BV$62)</f>
        <v/>
      </c>
      <c r="AY47" s="5">
        <f>SUMPRODUCT(Adds!$C$179:$AY$179,Curves!$Z$16:$BV$16)+SUMPRODUCT(Adds!$C$180:$AY$180,Curves!$Z$39:$BV$39)+SUMPRODUCT(Adds!$C$181:$AY$181,Curves!$Z$62:$BV$62)</f>
        <v/>
      </c>
      <c r="AZ47" s="5">
        <f>SUMPRODUCT(Adds!$C$179:$AZ$179,Curves!$Y$16:$BV$16)+SUMPRODUCT(Adds!$C$180:$AZ$180,Curves!$Y$39:$BV$39)+SUMPRODUCT(Adds!$C$181:$AZ$181,Curves!$Y$62:$BV$62)</f>
        <v/>
      </c>
      <c r="BA47" s="5">
        <f>SUMPRODUCT(Adds!$C$179:$BA$179,Curves!$X$16:$BV$16)+SUMPRODUCT(Adds!$C$180:$BA$180,Curves!$X$39:$BV$39)+SUMPRODUCT(Adds!$C$181:$BA$181,Curves!$X$62:$BV$62)</f>
        <v/>
      </c>
      <c r="BB47" s="5">
        <f>SUMPRODUCT(Adds!$C$179:$BB$179,Curves!$W$16:$BV$16)+SUMPRODUCT(Adds!$C$180:$BB$180,Curves!$W$39:$BV$39)+SUMPRODUCT(Adds!$C$181:$BB$181,Curves!$W$62:$BV$62)</f>
        <v/>
      </c>
      <c r="BC47" s="5">
        <f>SUMPRODUCT(Adds!$C$179:$BC$179,Curves!$V$16:$BV$16)+SUMPRODUCT(Adds!$C$180:$BC$180,Curves!$V$39:$BV$39)+SUMPRODUCT(Adds!$C$181:$BC$181,Curves!$V$62:$BV$62)</f>
        <v/>
      </c>
      <c r="BD47" s="5">
        <f>SUMPRODUCT(Adds!$C$179:$BD$179,Curves!$U$16:$BV$16)+SUMPRODUCT(Adds!$C$180:$BD$180,Curves!$U$39:$BV$39)+SUMPRODUCT(Adds!$C$181:$BD$181,Curves!$U$62:$BV$62)</f>
        <v/>
      </c>
      <c r="BE47" s="5">
        <f>SUMPRODUCT(Adds!$C$179:$BE$179,Curves!$T$16:$BV$16)+SUMPRODUCT(Adds!$C$180:$BE$180,Curves!$T$39:$BV$39)+SUMPRODUCT(Adds!$C$181:$BE$181,Curves!$T$62:$BV$62)</f>
        <v/>
      </c>
      <c r="BF47" s="5">
        <f>SUMPRODUCT(Adds!$C$179:$BF$179,Curves!$S$16:$BV$16)+SUMPRODUCT(Adds!$C$180:$BF$180,Curves!$S$39:$BV$39)+SUMPRODUCT(Adds!$C$181:$BF$181,Curves!$S$62:$BV$62)</f>
        <v/>
      </c>
      <c r="BG47" s="5">
        <f>SUMPRODUCT(Adds!$C$179:$BG$179,Curves!$R$16:$BV$16)+SUMPRODUCT(Adds!$C$180:$BG$180,Curves!$R$39:$BV$39)+SUMPRODUCT(Adds!$C$181:$BG$181,Curves!$R$62:$BV$62)</f>
        <v/>
      </c>
      <c r="BH47" s="5">
        <f>SUMPRODUCT(Adds!$C$179:$BH$179,Curves!$Q$16:$BV$16)+SUMPRODUCT(Adds!$C$180:$BH$180,Curves!$Q$39:$BV$39)+SUMPRODUCT(Adds!$C$181:$BH$181,Curves!$Q$62:$BV$62)</f>
        <v/>
      </c>
      <c r="BI47" s="5">
        <f>SUMPRODUCT(Adds!$C$179:$BI$179,Curves!$P$16:$BV$16)+SUMPRODUCT(Adds!$C$180:$BI$180,Curves!$P$39:$BV$39)+SUMPRODUCT(Adds!$C$181:$BI$181,Curves!$P$62:$BV$62)</f>
        <v/>
      </c>
      <c r="BJ47" s="5">
        <f>SUMPRODUCT(Adds!$C$179:$BJ$179,Curves!$O$16:$BV$16)+SUMPRODUCT(Adds!$C$180:$BJ$180,Curves!$O$39:$BV$39)+SUMPRODUCT(Adds!$C$181:$BJ$181,Curves!$O$62:$BV$62)</f>
        <v/>
      </c>
      <c r="BK47" s="5">
        <f>SUMPRODUCT(Adds!$C$179:$BK$179,Curves!$N$16:$BV$16)+SUMPRODUCT(Adds!$C$180:$BK$180,Curves!$N$39:$BV$39)+SUMPRODUCT(Adds!$C$181:$BK$181,Curves!$N$62:$BV$62)</f>
        <v/>
      </c>
      <c r="BL47" s="5">
        <f>SUMPRODUCT(Adds!$C$179:$BL$179,Curves!$M$16:$BV$16)+SUMPRODUCT(Adds!$C$180:$BL$180,Curves!$M$39:$BV$39)+SUMPRODUCT(Adds!$C$181:$BL$181,Curves!$M$62:$BV$62)</f>
        <v/>
      </c>
      <c r="BM47" s="5">
        <f>SUMPRODUCT(Adds!$C$179:$BM$179,Curves!$L$16:$BV$16)+SUMPRODUCT(Adds!$C$180:$BM$180,Curves!$L$39:$BV$39)+SUMPRODUCT(Adds!$C$181:$BM$181,Curves!$L$62:$BV$62)</f>
        <v/>
      </c>
      <c r="BN47" s="5">
        <f>SUMPRODUCT(Adds!$C$179:$BN$179,Curves!$K$16:$BV$16)+SUMPRODUCT(Adds!$C$180:$BN$180,Curves!$K$39:$BV$39)+SUMPRODUCT(Adds!$C$181:$BN$181,Curves!$K$62:$BV$62)</f>
        <v/>
      </c>
      <c r="BO47" s="5">
        <f>SUMPRODUCT(Adds!$C$179:$BO$179,Curves!$J$16:$BV$16)+SUMPRODUCT(Adds!$C$180:$BO$180,Curves!$J$39:$BV$39)+SUMPRODUCT(Adds!$C$181:$BO$181,Curves!$J$62:$BV$62)</f>
        <v/>
      </c>
      <c r="BP47" s="5">
        <f>SUMPRODUCT(Adds!$C$179:$BP$179,Curves!$I$16:$BV$16)+SUMPRODUCT(Adds!$C$180:$BP$180,Curves!$I$39:$BV$39)+SUMPRODUCT(Adds!$C$181:$BP$181,Curves!$I$62:$BV$62)</f>
        <v/>
      </c>
      <c r="BQ47" s="5">
        <f>SUMPRODUCT(Adds!$C$179:$BQ$179,Curves!$H$16:$BV$16)+SUMPRODUCT(Adds!$C$180:$BQ$180,Curves!$H$39:$BV$39)+SUMPRODUCT(Adds!$C$181:$BQ$181,Curves!$H$62:$BV$62)</f>
        <v/>
      </c>
      <c r="BR47" s="5">
        <f>SUMPRODUCT(Adds!$C$179:$BR$179,Curves!$G$16:$BV$16)+SUMPRODUCT(Adds!$C$180:$BR$180,Curves!$G$39:$BV$39)+SUMPRODUCT(Adds!$C$181:$BR$181,Curves!$G$62:$BV$62)</f>
        <v/>
      </c>
      <c r="BS47" s="5">
        <f>SUMPRODUCT(Adds!$C$179:$BS$179,Curves!$F$16:$BV$16)+SUMPRODUCT(Adds!$C$180:$BS$180,Curves!$F$39:$BV$39)+SUMPRODUCT(Adds!$C$181:$BS$181,Curves!$F$62:$BV$62)</f>
        <v/>
      </c>
      <c r="BT47" s="5">
        <f>SUMPRODUCT(Adds!$C$179:$BT$179,Curves!$E$16:$BV$16)+SUMPRODUCT(Adds!$C$180:$BT$180,Curves!$E$39:$BV$39)+SUMPRODUCT(Adds!$C$181:$BT$181,Curves!$E$62:$BV$62)</f>
        <v/>
      </c>
      <c r="BU47" s="5">
        <f>SUMPRODUCT(Adds!$C$179:$BU$179,Curves!$D$16:$BV$16)+SUMPRODUCT(Adds!$C$180:$BU$180,Curves!$D$39:$BV$39)+SUMPRODUCT(Adds!$C$181:$BU$181,Curves!$D$62:$BV$62)</f>
        <v/>
      </c>
      <c r="BV47" s="5">
        <f>SUMPRODUCT(Adds!$C$179:$BV$179,Curves!$C$16:$BV$16)+SUMPRODUCT(Adds!$C$180:$BV$180,Curves!$C$39:$BV$39)+SUMPRODUCT(Adds!$C$181:$BV$181,Curves!$C$62:$BV$62)</f>
        <v/>
      </c>
    </row>
    <row r="48">
      <c r="A48" t="inlineStr">
        <is>
          <t>active yr 1</t>
        </is>
      </c>
      <c r="B48" t="inlineStr">
        <is>
          <t>LATAM|BASIC_A</t>
        </is>
      </c>
      <c r="C48" s="5">
        <f>Adds!$C$179*Curves!$BV$23+Adds!$C$180*Curves!$BV$46+Adds!$C$181*Curves!$BV$69</f>
        <v/>
      </c>
      <c r="D48" s="5">
        <f>SUMPRODUCT(Adds!$C$179:$D$179,Curves!$BU$23:$BV$23)+SUMPRODUCT(Adds!$C$180:$D$180,Curves!$BU$46:$BV$46)+SUMPRODUCT(Adds!$C$181:$D$181,Curves!$BU$69:$BV$69)</f>
        <v/>
      </c>
      <c r="E48" s="5">
        <f>SUMPRODUCT(Adds!$C$179:$E$179,Curves!$BT$23:$BV$23)+SUMPRODUCT(Adds!$C$180:$E$180,Curves!$BT$46:$BV$46)+SUMPRODUCT(Adds!$C$181:$E$181,Curves!$BT$69:$BV$69)</f>
        <v/>
      </c>
      <c r="F48" s="5">
        <f>SUMPRODUCT(Adds!$C$179:$F$179,Curves!$BS$23:$BV$23)+SUMPRODUCT(Adds!$C$180:$F$180,Curves!$BS$46:$BV$46)+SUMPRODUCT(Adds!$C$181:$F$181,Curves!$BS$69:$BV$69)</f>
        <v/>
      </c>
      <c r="G48" s="5">
        <f>SUMPRODUCT(Adds!$C$179:$G$179,Curves!$BR$23:$BV$23)+SUMPRODUCT(Adds!$C$180:$G$180,Curves!$BR$46:$BV$46)+SUMPRODUCT(Adds!$C$181:$G$181,Curves!$BR$69:$BV$69)</f>
        <v/>
      </c>
      <c r="H48" s="5">
        <f>SUMPRODUCT(Adds!$C$179:$H$179,Curves!$BQ$23:$BV$23)+SUMPRODUCT(Adds!$C$180:$H$180,Curves!$BQ$46:$BV$46)+SUMPRODUCT(Adds!$C$181:$H$181,Curves!$BQ$69:$BV$69)</f>
        <v/>
      </c>
      <c r="I48" s="5">
        <f>SUMPRODUCT(Adds!$C$179:$I$179,Curves!$BP$23:$BV$23)+SUMPRODUCT(Adds!$C$180:$I$180,Curves!$BP$46:$BV$46)+SUMPRODUCT(Adds!$C$181:$I$181,Curves!$BP$69:$BV$69)</f>
        <v/>
      </c>
      <c r="J48" s="5">
        <f>SUMPRODUCT(Adds!$C$179:$J$179,Curves!$BO$23:$BV$23)+SUMPRODUCT(Adds!$C$180:$J$180,Curves!$BO$46:$BV$46)+SUMPRODUCT(Adds!$C$181:$J$181,Curves!$BO$69:$BV$69)</f>
        <v/>
      </c>
      <c r="K48" s="5">
        <f>SUMPRODUCT(Adds!$C$179:$K$179,Curves!$BN$23:$BV$23)+SUMPRODUCT(Adds!$C$180:$K$180,Curves!$BN$46:$BV$46)+SUMPRODUCT(Adds!$C$181:$K$181,Curves!$BN$69:$BV$69)</f>
        <v/>
      </c>
      <c r="L48" s="5">
        <f>SUMPRODUCT(Adds!$C$179:$L$179,Curves!$BM$23:$BV$23)+SUMPRODUCT(Adds!$C$180:$L$180,Curves!$BM$46:$BV$46)+SUMPRODUCT(Adds!$C$181:$L$181,Curves!$BM$69:$BV$69)</f>
        <v/>
      </c>
      <c r="M48" s="5">
        <f>SUMPRODUCT(Adds!$C$179:$M$179,Curves!$BL$23:$BV$23)+SUMPRODUCT(Adds!$C$180:$M$180,Curves!$BL$46:$BV$46)+SUMPRODUCT(Adds!$C$181:$M$181,Curves!$BL$69:$BV$69)</f>
        <v/>
      </c>
      <c r="N48" s="5">
        <f>SUMPRODUCT(Adds!$C$179:$N$179,Curves!$BK$23:$BV$23)+SUMPRODUCT(Adds!$C$180:$N$180,Curves!$BK$46:$BV$46)+SUMPRODUCT(Adds!$C$181:$N$181,Curves!$BK$69:$BV$69)</f>
        <v/>
      </c>
      <c r="O48" s="5">
        <f>SUMPRODUCT(Adds!$C$179:$O$179,Curves!$BJ$23:$BV$23)+SUMPRODUCT(Adds!$C$180:$O$180,Curves!$BJ$46:$BV$46)+SUMPRODUCT(Adds!$C$181:$O$181,Curves!$BJ$69:$BV$69)</f>
        <v/>
      </c>
      <c r="P48" s="5">
        <f>SUMPRODUCT(Adds!$C$179:$P$179,Curves!$BI$23:$BV$23)+SUMPRODUCT(Adds!$C$180:$P$180,Curves!$BI$46:$BV$46)+SUMPRODUCT(Adds!$C$181:$P$181,Curves!$BI$69:$BV$69)</f>
        <v/>
      </c>
      <c r="Q48" s="5">
        <f>SUMPRODUCT(Adds!$C$179:$Q$179,Curves!$BH$23:$BV$23)+SUMPRODUCT(Adds!$C$180:$Q$180,Curves!$BH$46:$BV$46)+SUMPRODUCT(Adds!$C$181:$Q$181,Curves!$BH$69:$BV$69)</f>
        <v/>
      </c>
      <c r="R48" s="5">
        <f>SUMPRODUCT(Adds!$C$179:$R$179,Curves!$BG$23:$BV$23)+SUMPRODUCT(Adds!$C$180:$R$180,Curves!$BG$46:$BV$46)+SUMPRODUCT(Adds!$C$181:$R$181,Curves!$BG$69:$BV$69)</f>
        <v/>
      </c>
      <c r="S48" s="5">
        <f>SUMPRODUCT(Adds!$C$179:$S$179,Curves!$BF$23:$BV$23)+SUMPRODUCT(Adds!$C$180:$S$180,Curves!$BF$46:$BV$46)+SUMPRODUCT(Adds!$C$181:$S$181,Curves!$BF$69:$BV$69)</f>
        <v/>
      </c>
      <c r="T48" s="5">
        <f>SUMPRODUCT(Adds!$C$179:$T$179,Curves!$BE$23:$BV$23)+SUMPRODUCT(Adds!$C$180:$T$180,Curves!$BE$46:$BV$46)+SUMPRODUCT(Adds!$C$181:$T$181,Curves!$BE$69:$BV$69)</f>
        <v/>
      </c>
      <c r="U48" s="5">
        <f>SUMPRODUCT(Adds!$C$179:$U$179,Curves!$BD$23:$BV$23)+SUMPRODUCT(Adds!$C$180:$U$180,Curves!$BD$46:$BV$46)+SUMPRODUCT(Adds!$C$181:$U$181,Curves!$BD$69:$BV$69)</f>
        <v/>
      </c>
      <c r="V48" s="5">
        <f>SUMPRODUCT(Adds!$C$179:$V$179,Curves!$BC$23:$BV$23)+SUMPRODUCT(Adds!$C$180:$V$180,Curves!$BC$46:$BV$46)+SUMPRODUCT(Adds!$C$181:$V$181,Curves!$BC$69:$BV$69)</f>
        <v/>
      </c>
      <c r="W48" s="5">
        <f>SUMPRODUCT(Adds!$C$179:$W$179,Curves!$BB$23:$BV$23)+SUMPRODUCT(Adds!$C$180:$W$180,Curves!$BB$46:$BV$46)+SUMPRODUCT(Adds!$C$181:$W$181,Curves!$BB$69:$BV$69)</f>
        <v/>
      </c>
      <c r="X48" s="5">
        <f>SUMPRODUCT(Adds!$C$179:$X$179,Curves!$BA$23:$BV$23)+SUMPRODUCT(Adds!$C$180:$X$180,Curves!$BA$46:$BV$46)+SUMPRODUCT(Adds!$C$181:$X$181,Curves!$BA$69:$BV$69)</f>
        <v/>
      </c>
      <c r="Y48" s="5">
        <f>SUMPRODUCT(Adds!$C$179:$Y$179,Curves!$AZ$23:$BV$23)+SUMPRODUCT(Adds!$C$180:$Y$180,Curves!$AZ$46:$BV$46)+SUMPRODUCT(Adds!$C$181:$Y$181,Curves!$AZ$69:$BV$69)</f>
        <v/>
      </c>
      <c r="Z48" s="5">
        <f>SUMPRODUCT(Adds!$C$179:$Z$179,Curves!$AY$23:$BV$23)+SUMPRODUCT(Adds!$C$180:$Z$180,Curves!$AY$46:$BV$46)+SUMPRODUCT(Adds!$C$181:$Z$181,Curves!$AY$69:$BV$69)</f>
        <v/>
      </c>
      <c r="AA48" s="5">
        <f>SUMPRODUCT(Adds!$C$179:$AA$179,Curves!$AX$23:$BV$23)+SUMPRODUCT(Adds!$C$180:$AA$180,Curves!$AX$46:$BV$46)+SUMPRODUCT(Adds!$C$181:$AA$181,Curves!$AX$69:$BV$69)</f>
        <v/>
      </c>
      <c r="AB48" s="5">
        <f>SUMPRODUCT(Adds!$C$179:$AB$179,Curves!$AW$23:$BV$23)+SUMPRODUCT(Adds!$C$180:$AB$180,Curves!$AW$46:$BV$46)+SUMPRODUCT(Adds!$C$181:$AB$181,Curves!$AW$69:$BV$69)</f>
        <v/>
      </c>
      <c r="AC48" s="5">
        <f>SUMPRODUCT(Adds!$C$179:$AC$179,Curves!$AV$23:$BV$23)+SUMPRODUCT(Adds!$C$180:$AC$180,Curves!$AV$46:$BV$46)+SUMPRODUCT(Adds!$C$181:$AC$181,Curves!$AV$69:$BV$69)</f>
        <v/>
      </c>
      <c r="AD48" s="5">
        <f>SUMPRODUCT(Adds!$C$179:$AD$179,Curves!$AU$23:$BV$23)+SUMPRODUCT(Adds!$C$180:$AD$180,Curves!$AU$46:$BV$46)+SUMPRODUCT(Adds!$C$181:$AD$181,Curves!$AU$69:$BV$69)</f>
        <v/>
      </c>
      <c r="AE48" s="5">
        <f>SUMPRODUCT(Adds!$C$179:$AE$179,Curves!$AT$23:$BV$23)+SUMPRODUCT(Adds!$C$180:$AE$180,Curves!$AT$46:$BV$46)+SUMPRODUCT(Adds!$C$181:$AE$181,Curves!$AT$69:$BV$69)</f>
        <v/>
      </c>
      <c r="AF48" s="5">
        <f>SUMPRODUCT(Adds!$C$179:$AF$179,Curves!$AS$23:$BV$23)+SUMPRODUCT(Adds!$C$180:$AF$180,Curves!$AS$46:$BV$46)+SUMPRODUCT(Adds!$C$181:$AF$181,Curves!$AS$69:$BV$69)</f>
        <v/>
      </c>
      <c r="AG48" s="5">
        <f>SUMPRODUCT(Adds!$C$179:$AG$179,Curves!$AR$23:$BV$23)+SUMPRODUCT(Adds!$C$180:$AG$180,Curves!$AR$46:$BV$46)+SUMPRODUCT(Adds!$C$181:$AG$181,Curves!$AR$69:$BV$69)</f>
        <v/>
      </c>
      <c r="AH48" s="5">
        <f>SUMPRODUCT(Adds!$C$179:$AH$179,Curves!$AQ$23:$BV$23)+SUMPRODUCT(Adds!$C$180:$AH$180,Curves!$AQ$46:$BV$46)+SUMPRODUCT(Adds!$C$181:$AH$181,Curves!$AQ$69:$BV$69)</f>
        <v/>
      </c>
      <c r="AI48" s="5">
        <f>SUMPRODUCT(Adds!$C$179:$AI$179,Curves!$AP$23:$BV$23)+SUMPRODUCT(Adds!$C$180:$AI$180,Curves!$AP$46:$BV$46)+SUMPRODUCT(Adds!$C$181:$AI$181,Curves!$AP$69:$BV$69)</f>
        <v/>
      </c>
      <c r="AJ48" s="5">
        <f>SUMPRODUCT(Adds!$C$179:$AJ$179,Curves!$AO$23:$BV$23)+SUMPRODUCT(Adds!$C$180:$AJ$180,Curves!$AO$46:$BV$46)+SUMPRODUCT(Adds!$C$181:$AJ$181,Curves!$AO$69:$BV$69)</f>
        <v/>
      </c>
      <c r="AK48" s="5">
        <f>SUMPRODUCT(Adds!$C$179:$AK$179,Curves!$AN$23:$BV$23)+SUMPRODUCT(Adds!$C$180:$AK$180,Curves!$AN$46:$BV$46)+SUMPRODUCT(Adds!$C$181:$AK$181,Curves!$AN$69:$BV$69)</f>
        <v/>
      </c>
      <c r="AL48" s="5">
        <f>SUMPRODUCT(Adds!$C$179:$AL$179,Curves!$AM$23:$BV$23)+SUMPRODUCT(Adds!$C$180:$AL$180,Curves!$AM$46:$BV$46)+SUMPRODUCT(Adds!$C$181:$AL$181,Curves!$AM$69:$BV$69)</f>
        <v/>
      </c>
      <c r="AM48" s="5">
        <f>SUMPRODUCT(Adds!$C$179:$AM$179,Curves!$AL$23:$BV$23)+SUMPRODUCT(Adds!$C$180:$AM$180,Curves!$AL$46:$BV$46)+SUMPRODUCT(Adds!$C$181:$AM$181,Curves!$AL$69:$BV$69)</f>
        <v/>
      </c>
      <c r="AN48" s="5">
        <f>SUMPRODUCT(Adds!$C$179:$AN$179,Curves!$AK$23:$BV$23)+SUMPRODUCT(Adds!$C$180:$AN$180,Curves!$AK$46:$BV$46)+SUMPRODUCT(Adds!$C$181:$AN$181,Curves!$AK$69:$BV$69)</f>
        <v/>
      </c>
      <c r="AO48" s="5">
        <f>SUMPRODUCT(Adds!$C$179:$AO$179,Curves!$AJ$23:$BV$23)+SUMPRODUCT(Adds!$C$180:$AO$180,Curves!$AJ$46:$BV$46)+SUMPRODUCT(Adds!$C$181:$AO$181,Curves!$AJ$69:$BV$69)</f>
        <v/>
      </c>
      <c r="AP48" s="5">
        <f>SUMPRODUCT(Adds!$C$179:$AP$179,Curves!$AI$23:$BV$23)+SUMPRODUCT(Adds!$C$180:$AP$180,Curves!$AI$46:$BV$46)+SUMPRODUCT(Adds!$C$181:$AP$181,Curves!$AI$69:$BV$69)</f>
        <v/>
      </c>
      <c r="AQ48" s="5">
        <f>SUMPRODUCT(Adds!$C$179:$AQ$179,Curves!$AH$23:$BV$23)+SUMPRODUCT(Adds!$C$180:$AQ$180,Curves!$AH$46:$BV$46)+SUMPRODUCT(Adds!$C$181:$AQ$181,Curves!$AH$69:$BV$69)</f>
        <v/>
      </c>
      <c r="AR48" s="5">
        <f>SUMPRODUCT(Adds!$C$179:$AR$179,Curves!$AG$23:$BV$23)+SUMPRODUCT(Adds!$C$180:$AR$180,Curves!$AG$46:$BV$46)+SUMPRODUCT(Adds!$C$181:$AR$181,Curves!$AG$69:$BV$69)</f>
        <v/>
      </c>
      <c r="AS48" s="5">
        <f>SUMPRODUCT(Adds!$C$179:$AS$179,Curves!$AF$23:$BV$23)+SUMPRODUCT(Adds!$C$180:$AS$180,Curves!$AF$46:$BV$46)+SUMPRODUCT(Adds!$C$181:$AS$181,Curves!$AF$69:$BV$69)</f>
        <v/>
      </c>
      <c r="AT48" s="5">
        <f>SUMPRODUCT(Adds!$C$179:$AT$179,Curves!$AE$23:$BV$23)+SUMPRODUCT(Adds!$C$180:$AT$180,Curves!$AE$46:$BV$46)+SUMPRODUCT(Adds!$C$181:$AT$181,Curves!$AE$69:$BV$69)</f>
        <v/>
      </c>
      <c r="AU48" s="5">
        <f>SUMPRODUCT(Adds!$C$179:$AU$179,Curves!$AD$23:$BV$23)+SUMPRODUCT(Adds!$C$180:$AU$180,Curves!$AD$46:$BV$46)+SUMPRODUCT(Adds!$C$181:$AU$181,Curves!$AD$69:$BV$69)</f>
        <v/>
      </c>
      <c r="AV48" s="5">
        <f>SUMPRODUCT(Adds!$C$179:$AV$179,Curves!$AC$23:$BV$23)+SUMPRODUCT(Adds!$C$180:$AV$180,Curves!$AC$46:$BV$46)+SUMPRODUCT(Adds!$C$181:$AV$181,Curves!$AC$69:$BV$69)</f>
        <v/>
      </c>
      <c r="AW48" s="5">
        <f>SUMPRODUCT(Adds!$C$179:$AW$179,Curves!$AB$23:$BV$23)+SUMPRODUCT(Adds!$C$180:$AW$180,Curves!$AB$46:$BV$46)+SUMPRODUCT(Adds!$C$181:$AW$181,Curves!$AB$69:$BV$69)</f>
        <v/>
      </c>
      <c r="AX48" s="5">
        <f>SUMPRODUCT(Adds!$C$179:$AX$179,Curves!$AA$23:$BV$23)+SUMPRODUCT(Adds!$C$180:$AX$180,Curves!$AA$46:$BV$46)+SUMPRODUCT(Adds!$C$181:$AX$181,Curves!$AA$69:$BV$69)</f>
        <v/>
      </c>
      <c r="AY48" s="5">
        <f>SUMPRODUCT(Adds!$C$179:$AY$179,Curves!$Z$23:$BV$23)+SUMPRODUCT(Adds!$C$180:$AY$180,Curves!$Z$46:$BV$46)+SUMPRODUCT(Adds!$C$181:$AY$181,Curves!$Z$69:$BV$69)</f>
        <v/>
      </c>
      <c r="AZ48" s="5">
        <f>SUMPRODUCT(Adds!$C$179:$AZ$179,Curves!$Y$23:$BV$23)+SUMPRODUCT(Adds!$C$180:$AZ$180,Curves!$Y$46:$BV$46)+SUMPRODUCT(Adds!$C$181:$AZ$181,Curves!$Y$69:$BV$69)</f>
        <v/>
      </c>
      <c r="BA48" s="5">
        <f>SUMPRODUCT(Adds!$C$179:$BA$179,Curves!$X$23:$BV$23)+SUMPRODUCT(Adds!$C$180:$BA$180,Curves!$X$46:$BV$46)+SUMPRODUCT(Adds!$C$181:$BA$181,Curves!$X$69:$BV$69)</f>
        <v/>
      </c>
      <c r="BB48" s="5">
        <f>SUMPRODUCT(Adds!$C$179:$BB$179,Curves!$W$23:$BV$23)+SUMPRODUCT(Adds!$C$180:$BB$180,Curves!$W$46:$BV$46)+SUMPRODUCT(Adds!$C$181:$BB$181,Curves!$W$69:$BV$69)</f>
        <v/>
      </c>
      <c r="BC48" s="5">
        <f>SUMPRODUCT(Adds!$C$179:$BC$179,Curves!$V$23:$BV$23)+SUMPRODUCT(Adds!$C$180:$BC$180,Curves!$V$46:$BV$46)+SUMPRODUCT(Adds!$C$181:$BC$181,Curves!$V$69:$BV$69)</f>
        <v/>
      </c>
      <c r="BD48" s="5">
        <f>SUMPRODUCT(Adds!$C$179:$BD$179,Curves!$U$23:$BV$23)+SUMPRODUCT(Adds!$C$180:$BD$180,Curves!$U$46:$BV$46)+SUMPRODUCT(Adds!$C$181:$BD$181,Curves!$U$69:$BV$69)</f>
        <v/>
      </c>
      <c r="BE48" s="5">
        <f>SUMPRODUCT(Adds!$C$179:$BE$179,Curves!$T$23:$BV$23)+SUMPRODUCT(Adds!$C$180:$BE$180,Curves!$T$46:$BV$46)+SUMPRODUCT(Adds!$C$181:$BE$181,Curves!$T$69:$BV$69)</f>
        <v/>
      </c>
      <c r="BF48" s="5">
        <f>SUMPRODUCT(Adds!$C$179:$BF$179,Curves!$S$23:$BV$23)+SUMPRODUCT(Adds!$C$180:$BF$180,Curves!$S$46:$BV$46)+SUMPRODUCT(Adds!$C$181:$BF$181,Curves!$S$69:$BV$69)</f>
        <v/>
      </c>
      <c r="BG48" s="5">
        <f>SUMPRODUCT(Adds!$C$179:$BG$179,Curves!$R$23:$BV$23)+SUMPRODUCT(Adds!$C$180:$BG$180,Curves!$R$46:$BV$46)+SUMPRODUCT(Adds!$C$181:$BG$181,Curves!$R$69:$BV$69)</f>
        <v/>
      </c>
      <c r="BH48" s="5">
        <f>SUMPRODUCT(Adds!$C$179:$BH$179,Curves!$Q$23:$BV$23)+SUMPRODUCT(Adds!$C$180:$BH$180,Curves!$Q$46:$BV$46)+SUMPRODUCT(Adds!$C$181:$BH$181,Curves!$Q$69:$BV$69)</f>
        <v/>
      </c>
      <c r="BI48" s="5">
        <f>SUMPRODUCT(Adds!$C$179:$BI$179,Curves!$P$23:$BV$23)+SUMPRODUCT(Adds!$C$180:$BI$180,Curves!$P$46:$BV$46)+SUMPRODUCT(Adds!$C$181:$BI$181,Curves!$P$69:$BV$69)</f>
        <v/>
      </c>
      <c r="BJ48" s="5">
        <f>SUMPRODUCT(Adds!$C$179:$BJ$179,Curves!$O$23:$BV$23)+SUMPRODUCT(Adds!$C$180:$BJ$180,Curves!$O$46:$BV$46)+SUMPRODUCT(Adds!$C$181:$BJ$181,Curves!$O$69:$BV$69)</f>
        <v/>
      </c>
      <c r="BK48" s="5">
        <f>SUMPRODUCT(Adds!$C$179:$BK$179,Curves!$N$23:$BV$23)+SUMPRODUCT(Adds!$C$180:$BK$180,Curves!$N$46:$BV$46)+SUMPRODUCT(Adds!$C$181:$BK$181,Curves!$N$69:$BV$69)</f>
        <v/>
      </c>
      <c r="BL48" s="5">
        <f>SUMPRODUCT(Adds!$C$179:$BL$179,Curves!$M$23:$BV$23)+SUMPRODUCT(Adds!$C$180:$BL$180,Curves!$M$46:$BV$46)+SUMPRODUCT(Adds!$C$181:$BL$181,Curves!$M$69:$BV$69)</f>
        <v/>
      </c>
      <c r="BM48" s="5">
        <f>SUMPRODUCT(Adds!$C$179:$BM$179,Curves!$L$23:$BV$23)+SUMPRODUCT(Adds!$C$180:$BM$180,Curves!$L$46:$BV$46)+SUMPRODUCT(Adds!$C$181:$BM$181,Curves!$L$69:$BV$69)</f>
        <v/>
      </c>
      <c r="BN48" s="5">
        <f>SUMPRODUCT(Adds!$C$179:$BN$179,Curves!$K$23:$BV$23)+SUMPRODUCT(Adds!$C$180:$BN$180,Curves!$K$46:$BV$46)+SUMPRODUCT(Adds!$C$181:$BN$181,Curves!$K$69:$BV$69)</f>
        <v/>
      </c>
      <c r="BO48" s="5">
        <f>SUMPRODUCT(Adds!$C$179:$BO$179,Curves!$J$23:$BV$23)+SUMPRODUCT(Adds!$C$180:$BO$180,Curves!$J$46:$BV$46)+SUMPRODUCT(Adds!$C$181:$BO$181,Curves!$J$69:$BV$69)</f>
        <v/>
      </c>
      <c r="BP48" s="5">
        <f>SUMPRODUCT(Adds!$C$179:$BP$179,Curves!$I$23:$BV$23)+SUMPRODUCT(Adds!$C$180:$BP$180,Curves!$I$46:$BV$46)+SUMPRODUCT(Adds!$C$181:$BP$181,Curves!$I$69:$BV$69)</f>
        <v/>
      </c>
      <c r="BQ48" s="5">
        <f>SUMPRODUCT(Adds!$C$179:$BQ$179,Curves!$H$23:$BV$23)+SUMPRODUCT(Adds!$C$180:$BQ$180,Curves!$H$46:$BV$46)+SUMPRODUCT(Adds!$C$181:$BQ$181,Curves!$H$69:$BV$69)</f>
        <v/>
      </c>
      <c r="BR48" s="5">
        <f>SUMPRODUCT(Adds!$C$179:$BR$179,Curves!$G$23:$BV$23)+SUMPRODUCT(Adds!$C$180:$BR$180,Curves!$G$46:$BV$46)+SUMPRODUCT(Adds!$C$181:$BR$181,Curves!$G$69:$BV$69)</f>
        <v/>
      </c>
      <c r="BS48" s="5">
        <f>SUMPRODUCT(Adds!$C$179:$BS$179,Curves!$F$23:$BV$23)+SUMPRODUCT(Adds!$C$180:$BS$180,Curves!$F$46:$BV$46)+SUMPRODUCT(Adds!$C$181:$BS$181,Curves!$F$69:$BV$69)</f>
        <v/>
      </c>
      <c r="BT48" s="5">
        <f>SUMPRODUCT(Adds!$C$179:$BT$179,Curves!$E$23:$BV$23)+SUMPRODUCT(Adds!$C$180:$BT$180,Curves!$E$46:$BV$46)+SUMPRODUCT(Adds!$C$181:$BT$181,Curves!$E$69:$BV$69)</f>
        <v/>
      </c>
      <c r="BU48" s="5">
        <f>SUMPRODUCT(Adds!$C$179:$BU$179,Curves!$D$23:$BV$23)+SUMPRODUCT(Adds!$C$180:$BU$180,Curves!$D$46:$BV$46)+SUMPRODUCT(Adds!$C$181:$BU$181,Curves!$D$69:$BV$69)</f>
        <v/>
      </c>
      <c r="BV48" s="5">
        <f>SUMPRODUCT(Adds!$C$179:$BV$179,Curves!$C$23:$BV$23)+SUMPRODUCT(Adds!$C$180:$BV$180,Curves!$C$46:$BV$46)+SUMPRODUCT(Adds!$C$181:$BV$181,Curves!$C$69:$BV$69)</f>
        <v/>
      </c>
    </row>
    <row r="49">
      <c r="A49" t="inlineStr">
        <is>
          <t>churned</t>
        </is>
      </c>
      <c r="B49" t="inlineStr">
        <is>
          <t>LATAM|BASIC_A</t>
        </is>
      </c>
      <c r="C49" s="5">
        <f>Adds!$C$179*Curves!$BV$18+Adds!$C$180*Curves!$BV$41+Adds!$C$181*Curves!$BV$64</f>
        <v/>
      </c>
      <c r="D49" s="5">
        <f>SUMPRODUCT(Adds!$C$179:$D$179,Curves!$BU$18:$BV$18)+SUMPRODUCT(Adds!$C$180:$D$180,Curves!$BU$41:$BV$41)+SUMPRODUCT(Adds!$C$181:$D$181,Curves!$BU$64:$BV$64)</f>
        <v/>
      </c>
      <c r="E49" s="5">
        <f>SUMPRODUCT(Adds!$C$179:$E$179,Curves!$BT$18:$BV$18)+SUMPRODUCT(Adds!$C$180:$E$180,Curves!$BT$41:$BV$41)+SUMPRODUCT(Adds!$C$181:$E$181,Curves!$BT$64:$BV$64)</f>
        <v/>
      </c>
      <c r="F49" s="5">
        <f>SUMPRODUCT(Adds!$C$179:$F$179,Curves!$BS$18:$BV$18)+SUMPRODUCT(Adds!$C$180:$F$180,Curves!$BS$41:$BV$41)+SUMPRODUCT(Adds!$C$181:$F$181,Curves!$BS$64:$BV$64)</f>
        <v/>
      </c>
      <c r="G49" s="5">
        <f>SUMPRODUCT(Adds!$C$179:$G$179,Curves!$BR$18:$BV$18)+SUMPRODUCT(Adds!$C$180:$G$180,Curves!$BR$41:$BV$41)+SUMPRODUCT(Adds!$C$181:$G$181,Curves!$BR$64:$BV$64)</f>
        <v/>
      </c>
      <c r="H49" s="5">
        <f>SUMPRODUCT(Adds!$C$179:$H$179,Curves!$BQ$18:$BV$18)+SUMPRODUCT(Adds!$C$180:$H$180,Curves!$BQ$41:$BV$41)+SUMPRODUCT(Adds!$C$181:$H$181,Curves!$BQ$64:$BV$64)</f>
        <v/>
      </c>
      <c r="I49" s="5">
        <f>SUMPRODUCT(Adds!$C$179:$I$179,Curves!$BP$18:$BV$18)+SUMPRODUCT(Adds!$C$180:$I$180,Curves!$BP$41:$BV$41)+SUMPRODUCT(Adds!$C$181:$I$181,Curves!$BP$64:$BV$64)</f>
        <v/>
      </c>
      <c r="J49" s="5">
        <f>SUMPRODUCT(Adds!$C$179:$J$179,Curves!$BO$18:$BV$18)+SUMPRODUCT(Adds!$C$180:$J$180,Curves!$BO$41:$BV$41)+SUMPRODUCT(Adds!$C$181:$J$181,Curves!$BO$64:$BV$64)</f>
        <v/>
      </c>
      <c r="K49" s="5">
        <f>SUMPRODUCT(Adds!$C$179:$K$179,Curves!$BN$18:$BV$18)+SUMPRODUCT(Adds!$C$180:$K$180,Curves!$BN$41:$BV$41)+SUMPRODUCT(Adds!$C$181:$K$181,Curves!$BN$64:$BV$64)</f>
        <v/>
      </c>
      <c r="L49" s="5">
        <f>SUMPRODUCT(Adds!$C$179:$L$179,Curves!$BM$18:$BV$18)+SUMPRODUCT(Adds!$C$180:$L$180,Curves!$BM$41:$BV$41)+SUMPRODUCT(Adds!$C$181:$L$181,Curves!$BM$64:$BV$64)</f>
        <v/>
      </c>
      <c r="M49" s="5">
        <f>SUMPRODUCT(Adds!$C$179:$M$179,Curves!$BL$18:$BV$18)+SUMPRODUCT(Adds!$C$180:$M$180,Curves!$BL$41:$BV$41)+SUMPRODUCT(Adds!$C$181:$M$181,Curves!$BL$64:$BV$64)</f>
        <v/>
      </c>
      <c r="N49" s="5">
        <f>SUMPRODUCT(Adds!$C$179:$N$179,Curves!$BK$18:$BV$18)+SUMPRODUCT(Adds!$C$180:$N$180,Curves!$BK$41:$BV$41)+SUMPRODUCT(Adds!$C$181:$N$181,Curves!$BK$64:$BV$64)</f>
        <v/>
      </c>
      <c r="O49" s="5">
        <f>SUMPRODUCT(Adds!$C$179:$O$179,Curves!$BJ$18:$BV$18)+SUMPRODUCT(Adds!$C$180:$O$180,Curves!$BJ$41:$BV$41)+SUMPRODUCT(Adds!$C$181:$O$181,Curves!$BJ$64:$BV$64)</f>
        <v/>
      </c>
      <c r="P49" s="5">
        <f>SUMPRODUCT(Adds!$C$179:$P$179,Curves!$BI$18:$BV$18)+SUMPRODUCT(Adds!$C$180:$P$180,Curves!$BI$41:$BV$41)+SUMPRODUCT(Adds!$C$181:$P$181,Curves!$BI$64:$BV$64)</f>
        <v/>
      </c>
      <c r="Q49" s="5">
        <f>SUMPRODUCT(Adds!$C$179:$Q$179,Curves!$BH$18:$BV$18)+SUMPRODUCT(Adds!$C$180:$Q$180,Curves!$BH$41:$BV$41)+SUMPRODUCT(Adds!$C$181:$Q$181,Curves!$BH$64:$BV$64)</f>
        <v/>
      </c>
      <c r="R49" s="5">
        <f>SUMPRODUCT(Adds!$C$179:$R$179,Curves!$BG$18:$BV$18)+SUMPRODUCT(Adds!$C$180:$R$180,Curves!$BG$41:$BV$41)+SUMPRODUCT(Adds!$C$181:$R$181,Curves!$BG$64:$BV$64)</f>
        <v/>
      </c>
      <c r="S49" s="5">
        <f>SUMPRODUCT(Adds!$C$179:$S$179,Curves!$BF$18:$BV$18)+SUMPRODUCT(Adds!$C$180:$S$180,Curves!$BF$41:$BV$41)+SUMPRODUCT(Adds!$C$181:$S$181,Curves!$BF$64:$BV$64)</f>
        <v/>
      </c>
      <c r="T49" s="5">
        <f>SUMPRODUCT(Adds!$C$179:$T$179,Curves!$BE$18:$BV$18)+SUMPRODUCT(Adds!$C$180:$T$180,Curves!$BE$41:$BV$41)+SUMPRODUCT(Adds!$C$181:$T$181,Curves!$BE$64:$BV$64)</f>
        <v/>
      </c>
      <c r="U49" s="5">
        <f>SUMPRODUCT(Adds!$C$179:$U$179,Curves!$BD$18:$BV$18)+SUMPRODUCT(Adds!$C$180:$U$180,Curves!$BD$41:$BV$41)+SUMPRODUCT(Adds!$C$181:$U$181,Curves!$BD$64:$BV$64)</f>
        <v/>
      </c>
      <c r="V49" s="5">
        <f>SUMPRODUCT(Adds!$C$179:$V$179,Curves!$BC$18:$BV$18)+SUMPRODUCT(Adds!$C$180:$V$180,Curves!$BC$41:$BV$41)+SUMPRODUCT(Adds!$C$181:$V$181,Curves!$BC$64:$BV$64)</f>
        <v/>
      </c>
      <c r="W49" s="5">
        <f>SUMPRODUCT(Adds!$C$179:$W$179,Curves!$BB$18:$BV$18)+SUMPRODUCT(Adds!$C$180:$W$180,Curves!$BB$41:$BV$41)+SUMPRODUCT(Adds!$C$181:$W$181,Curves!$BB$64:$BV$64)</f>
        <v/>
      </c>
      <c r="X49" s="5">
        <f>SUMPRODUCT(Adds!$C$179:$X$179,Curves!$BA$18:$BV$18)+SUMPRODUCT(Adds!$C$180:$X$180,Curves!$BA$41:$BV$41)+SUMPRODUCT(Adds!$C$181:$X$181,Curves!$BA$64:$BV$64)</f>
        <v/>
      </c>
      <c r="Y49" s="5">
        <f>SUMPRODUCT(Adds!$C$179:$Y$179,Curves!$AZ$18:$BV$18)+SUMPRODUCT(Adds!$C$180:$Y$180,Curves!$AZ$41:$BV$41)+SUMPRODUCT(Adds!$C$181:$Y$181,Curves!$AZ$64:$BV$64)</f>
        <v/>
      </c>
      <c r="Z49" s="5">
        <f>SUMPRODUCT(Adds!$C$179:$Z$179,Curves!$AY$18:$BV$18)+SUMPRODUCT(Adds!$C$180:$Z$180,Curves!$AY$41:$BV$41)+SUMPRODUCT(Adds!$C$181:$Z$181,Curves!$AY$64:$BV$64)</f>
        <v/>
      </c>
      <c r="AA49" s="5">
        <f>SUMPRODUCT(Adds!$C$179:$AA$179,Curves!$AX$18:$BV$18)+SUMPRODUCT(Adds!$C$180:$AA$180,Curves!$AX$41:$BV$41)+SUMPRODUCT(Adds!$C$181:$AA$181,Curves!$AX$64:$BV$64)</f>
        <v/>
      </c>
      <c r="AB49" s="5">
        <f>SUMPRODUCT(Adds!$C$179:$AB$179,Curves!$AW$18:$BV$18)+SUMPRODUCT(Adds!$C$180:$AB$180,Curves!$AW$41:$BV$41)+SUMPRODUCT(Adds!$C$181:$AB$181,Curves!$AW$64:$BV$64)</f>
        <v/>
      </c>
      <c r="AC49" s="5">
        <f>SUMPRODUCT(Adds!$C$179:$AC$179,Curves!$AV$18:$BV$18)+SUMPRODUCT(Adds!$C$180:$AC$180,Curves!$AV$41:$BV$41)+SUMPRODUCT(Adds!$C$181:$AC$181,Curves!$AV$64:$BV$64)</f>
        <v/>
      </c>
      <c r="AD49" s="5">
        <f>SUMPRODUCT(Adds!$C$179:$AD$179,Curves!$AU$18:$BV$18)+SUMPRODUCT(Adds!$C$180:$AD$180,Curves!$AU$41:$BV$41)+SUMPRODUCT(Adds!$C$181:$AD$181,Curves!$AU$64:$BV$64)</f>
        <v/>
      </c>
      <c r="AE49" s="5">
        <f>SUMPRODUCT(Adds!$C$179:$AE$179,Curves!$AT$18:$BV$18)+SUMPRODUCT(Adds!$C$180:$AE$180,Curves!$AT$41:$BV$41)+SUMPRODUCT(Adds!$C$181:$AE$181,Curves!$AT$64:$BV$64)</f>
        <v/>
      </c>
      <c r="AF49" s="5">
        <f>SUMPRODUCT(Adds!$C$179:$AF$179,Curves!$AS$18:$BV$18)+SUMPRODUCT(Adds!$C$180:$AF$180,Curves!$AS$41:$BV$41)+SUMPRODUCT(Adds!$C$181:$AF$181,Curves!$AS$64:$BV$64)</f>
        <v/>
      </c>
      <c r="AG49" s="5">
        <f>SUMPRODUCT(Adds!$C$179:$AG$179,Curves!$AR$18:$BV$18)+SUMPRODUCT(Adds!$C$180:$AG$180,Curves!$AR$41:$BV$41)+SUMPRODUCT(Adds!$C$181:$AG$181,Curves!$AR$64:$BV$64)</f>
        <v/>
      </c>
      <c r="AH49" s="5">
        <f>SUMPRODUCT(Adds!$C$179:$AH$179,Curves!$AQ$18:$BV$18)+SUMPRODUCT(Adds!$C$180:$AH$180,Curves!$AQ$41:$BV$41)+SUMPRODUCT(Adds!$C$181:$AH$181,Curves!$AQ$64:$BV$64)</f>
        <v/>
      </c>
      <c r="AI49" s="5">
        <f>SUMPRODUCT(Adds!$C$179:$AI$179,Curves!$AP$18:$BV$18)+SUMPRODUCT(Adds!$C$180:$AI$180,Curves!$AP$41:$BV$41)+SUMPRODUCT(Adds!$C$181:$AI$181,Curves!$AP$64:$BV$64)</f>
        <v/>
      </c>
      <c r="AJ49" s="5">
        <f>SUMPRODUCT(Adds!$C$179:$AJ$179,Curves!$AO$18:$BV$18)+SUMPRODUCT(Adds!$C$180:$AJ$180,Curves!$AO$41:$BV$41)+SUMPRODUCT(Adds!$C$181:$AJ$181,Curves!$AO$64:$BV$64)</f>
        <v/>
      </c>
      <c r="AK49" s="5">
        <f>SUMPRODUCT(Adds!$C$179:$AK$179,Curves!$AN$18:$BV$18)+SUMPRODUCT(Adds!$C$180:$AK$180,Curves!$AN$41:$BV$41)+SUMPRODUCT(Adds!$C$181:$AK$181,Curves!$AN$64:$BV$64)</f>
        <v/>
      </c>
      <c r="AL49" s="5">
        <f>SUMPRODUCT(Adds!$C$179:$AL$179,Curves!$AM$18:$BV$18)+SUMPRODUCT(Adds!$C$180:$AL$180,Curves!$AM$41:$BV$41)+SUMPRODUCT(Adds!$C$181:$AL$181,Curves!$AM$64:$BV$64)</f>
        <v/>
      </c>
      <c r="AM49" s="5">
        <f>SUMPRODUCT(Adds!$C$179:$AM$179,Curves!$AL$18:$BV$18)+SUMPRODUCT(Adds!$C$180:$AM$180,Curves!$AL$41:$BV$41)+SUMPRODUCT(Adds!$C$181:$AM$181,Curves!$AL$64:$BV$64)</f>
        <v/>
      </c>
      <c r="AN49" s="5">
        <f>SUMPRODUCT(Adds!$C$179:$AN$179,Curves!$AK$18:$BV$18)+SUMPRODUCT(Adds!$C$180:$AN$180,Curves!$AK$41:$BV$41)+SUMPRODUCT(Adds!$C$181:$AN$181,Curves!$AK$64:$BV$64)</f>
        <v/>
      </c>
      <c r="AO49" s="5">
        <f>SUMPRODUCT(Adds!$C$179:$AO$179,Curves!$AJ$18:$BV$18)+SUMPRODUCT(Adds!$C$180:$AO$180,Curves!$AJ$41:$BV$41)+SUMPRODUCT(Adds!$C$181:$AO$181,Curves!$AJ$64:$BV$64)</f>
        <v/>
      </c>
      <c r="AP49" s="5">
        <f>SUMPRODUCT(Adds!$C$179:$AP$179,Curves!$AI$18:$BV$18)+SUMPRODUCT(Adds!$C$180:$AP$180,Curves!$AI$41:$BV$41)+SUMPRODUCT(Adds!$C$181:$AP$181,Curves!$AI$64:$BV$64)</f>
        <v/>
      </c>
      <c r="AQ49" s="5">
        <f>SUMPRODUCT(Adds!$C$179:$AQ$179,Curves!$AH$18:$BV$18)+SUMPRODUCT(Adds!$C$180:$AQ$180,Curves!$AH$41:$BV$41)+SUMPRODUCT(Adds!$C$181:$AQ$181,Curves!$AH$64:$BV$64)</f>
        <v/>
      </c>
      <c r="AR49" s="5">
        <f>SUMPRODUCT(Adds!$C$179:$AR$179,Curves!$AG$18:$BV$18)+SUMPRODUCT(Adds!$C$180:$AR$180,Curves!$AG$41:$BV$41)+SUMPRODUCT(Adds!$C$181:$AR$181,Curves!$AG$64:$BV$64)</f>
        <v/>
      </c>
      <c r="AS49" s="5">
        <f>SUMPRODUCT(Adds!$C$179:$AS$179,Curves!$AF$18:$BV$18)+SUMPRODUCT(Adds!$C$180:$AS$180,Curves!$AF$41:$BV$41)+SUMPRODUCT(Adds!$C$181:$AS$181,Curves!$AF$64:$BV$64)</f>
        <v/>
      </c>
      <c r="AT49" s="5">
        <f>SUMPRODUCT(Adds!$C$179:$AT$179,Curves!$AE$18:$BV$18)+SUMPRODUCT(Adds!$C$180:$AT$180,Curves!$AE$41:$BV$41)+SUMPRODUCT(Adds!$C$181:$AT$181,Curves!$AE$64:$BV$64)</f>
        <v/>
      </c>
      <c r="AU49" s="5">
        <f>SUMPRODUCT(Adds!$C$179:$AU$179,Curves!$AD$18:$BV$18)+SUMPRODUCT(Adds!$C$180:$AU$180,Curves!$AD$41:$BV$41)+SUMPRODUCT(Adds!$C$181:$AU$181,Curves!$AD$64:$BV$64)</f>
        <v/>
      </c>
      <c r="AV49" s="5">
        <f>SUMPRODUCT(Adds!$C$179:$AV$179,Curves!$AC$18:$BV$18)+SUMPRODUCT(Adds!$C$180:$AV$180,Curves!$AC$41:$BV$41)+SUMPRODUCT(Adds!$C$181:$AV$181,Curves!$AC$64:$BV$64)</f>
        <v/>
      </c>
      <c r="AW49" s="5">
        <f>SUMPRODUCT(Adds!$C$179:$AW$179,Curves!$AB$18:$BV$18)+SUMPRODUCT(Adds!$C$180:$AW$180,Curves!$AB$41:$BV$41)+SUMPRODUCT(Adds!$C$181:$AW$181,Curves!$AB$64:$BV$64)</f>
        <v/>
      </c>
      <c r="AX49" s="5">
        <f>SUMPRODUCT(Adds!$C$179:$AX$179,Curves!$AA$18:$BV$18)+SUMPRODUCT(Adds!$C$180:$AX$180,Curves!$AA$41:$BV$41)+SUMPRODUCT(Adds!$C$181:$AX$181,Curves!$AA$64:$BV$64)</f>
        <v/>
      </c>
      <c r="AY49" s="5">
        <f>SUMPRODUCT(Adds!$C$179:$AY$179,Curves!$Z$18:$BV$18)+SUMPRODUCT(Adds!$C$180:$AY$180,Curves!$Z$41:$BV$41)+SUMPRODUCT(Adds!$C$181:$AY$181,Curves!$Z$64:$BV$64)</f>
        <v/>
      </c>
      <c r="AZ49" s="5">
        <f>SUMPRODUCT(Adds!$C$179:$AZ$179,Curves!$Y$18:$BV$18)+SUMPRODUCT(Adds!$C$180:$AZ$180,Curves!$Y$41:$BV$41)+SUMPRODUCT(Adds!$C$181:$AZ$181,Curves!$Y$64:$BV$64)</f>
        <v/>
      </c>
      <c r="BA49" s="5">
        <f>SUMPRODUCT(Adds!$C$179:$BA$179,Curves!$X$18:$BV$18)+SUMPRODUCT(Adds!$C$180:$BA$180,Curves!$X$41:$BV$41)+SUMPRODUCT(Adds!$C$181:$BA$181,Curves!$X$64:$BV$64)</f>
        <v/>
      </c>
      <c r="BB49" s="5">
        <f>SUMPRODUCT(Adds!$C$179:$BB$179,Curves!$W$18:$BV$18)+SUMPRODUCT(Adds!$C$180:$BB$180,Curves!$W$41:$BV$41)+SUMPRODUCT(Adds!$C$181:$BB$181,Curves!$W$64:$BV$64)</f>
        <v/>
      </c>
      <c r="BC49" s="5">
        <f>SUMPRODUCT(Adds!$C$179:$BC$179,Curves!$V$18:$BV$18)+SUMPRODUCT(Adds!$C$180:$BC$180,Curves!$V$41:$BV$41)+SUMPRODUCT(Adds!$C$181:$BC$181,Curves!$V$64:$BV$64)</f>
        <v/>
      </c>
      <c r="BD49" s="5">
        <f>SUMPRODUCT(Adds!$C$179:$BD$179,Curves!$U$18:$BV$18)+SUMPRODUCT(Adds!$C$180:$BD$180,Curves!$U$41:$BV$41)+SUMPRODUCT(Adds!$C$181:$BD$181,Curves!$U$64:$BV$64)</f>
        <v/>
      </c>
      <c r="BE49" s="5">
        <f>SUMPRODUCT(Adds!$C$179:$BE$179,Curves!$T$18:$BV$18)+SUMPRODUCT(Adds!$C$180:$BE$180,Curves!$T$41:$BV$41)+SUMPRODUCT(Adds!$C$181:$BE$181,Curves!$T$64:$BV$64)</f>
        <v/>
      </c>
      <c r="BF49" s="5">
        <f>SUMPRODUCT(Adds!$C$179:$BF$179,Curves!$S$18:$BV$18)+SUMPRODUCT(Adds!$C$180:$BF$180,Curves!$S$41:$BV$41)+SUMPRODUCT(Adds!$C$181:$BF$181,Curves!$S$64:$BV$64)</f>
        <v/>
      </c>
      <c r="BG49" s="5">
        <f>SUMPRODUCT(Adds!$C$179:$BG$179,Curves!$R$18:$BV$18)+SUMPRODUCT(Adds!$C$180:$BG$180,Curves!$R$41:$BV$41)+SUMPRODUCT(Adds!$C$181:$BG$181,Curves!$R$64:$BV$64)</f>
        <v/>
      </c>
      <c r="BH49" s="5">
        <f>SUMPRODUCT(Adds!$C$179:$BH$179,Curves!$Q$18:$BV$18)+SUMPRODUCT(Adds!$C$180:$BH$180,Curves!$Q$41:$BV$41)+SUMPRODUCT(Adds!$C$181:$BH$181,Curves!$Q$64:$BV$64)</f>
        <v/>
      </c>
      <c r="BI49" s="5">
        <f>SUMPRODUCT(Adds!$C$179:$BI$179,Curves!$P$18:$BV$18)+SUMPRODUCT(Adds!$C$180:$BI$180,Curves!$P$41:$BV$41)+SUMPRODUCT(Adds!$C$181:$BI$181,Curves!$P$64:$BV$64)</f>
        <v/>
      </c>
      <c r="BJ49" s="5">
        <f>SUMPRODUCT(Adds!$C$179:$BJ$179,Curves!$O$18:$BV$18)+SUMPRODUCT(Adds!$C$180:$BJ$180,Curves!$O$41:$BV$41)+SUMPRODUCT(Adds!$C$181:$BJ$181,Curves!$O$64:$BV$64)</f>
        <v/>
      </c>
      <c r="BK49" s="5">
        <f>SUMPRODUCT(Adds!$C$179:$BK$179,Curves!$N$18:$BV$18)+SUMPRODUCT(Adds!$C$180:$BK$180,Curves!$N$41:$BV$41)+SUMPRODUCT(Adds!$C$181:$BK$181,Curves!$N$64:$BV$64)</f>
        <v/>
      </c>
      <c r="BL49" s="5">
        <f>SUMPRODUCT(Adds!$C$179:$BL$179,Curves!$M$18:$BV$18)+SUMPRODUCT(Adds!$C$180:$BL$180,Curves!$M$41:$BV$41)+SUMPRODUCT(Adds!$C$181:$BL$181,Curves!$M$64:$BV$64)</f>
        <v/>
      </c>
      <c r="BM49" s="5">
        <f>SUMPRODUCT(Adds!$C$179:$BM$179,Curves!$L$18:$BV$18)+SUMPRODUCT(Adds!$C$180:$BM$180,Curves!$L$41:$BV$41)+SUMPRODUCT(Adds!$C$181:$BM$181,Curves!$L$64:$BV$64)</f>
        <v/>
      </c>
      <c r="BN49" s="5">
        <f>SUMPRODUCT(Adds!$C$179:$BN$179,Curves!$K$18:$BV$18)+SUMPRODUCT(Adds!$C$180:$BN$180,Curves!$K$41:$BV$41)+SUMPRODUCT(Adds!$C$181:$BN$181,Curves!$K$64:$BV$64)</f>
        <v/>
      </c>
      <c r="BO49" s="5">
        <f>SUMPRODUCT(Adds!$C$179:$BO$179,Curves!$J$18:$BV$18)+SUMPRODUCT(Adds!$C$180:$BO$180,Curves!$J$41:$BV$41)+SUMPRODUCT(Adds!$C$181:$BO$181,Curves!$J$64:$BV$64)</f>
        <v/>
      </c>
      <c r="BP49" s="5">
        <f>SUMPRODUCT(Adds!$C$179:$BP$179,Curves!$I$18:$BV$18)+SUMPRODUCT(Adds!$C$180:$BP$180,Curves!$I$41:$BV$41)+SUMPRODUCT(Adds!$C$181:$BP$181,Curves!$I$64:$BV$64)</f>
        <v/>
      </c>
      <c r="BQ49" s="5">
        <f>SUMPRODUCT(Adds!$C$179:$BQ$179,Curves!$H$18:$BV$18)+SUMPRODUCT(Adds!$C$180:$BQ$180,Curves!$H$41:$BV$41)+SUMPRODUCT(Adds!$C$181:$BQ$181,Curves!$H$64:$BV$64)</f>
        <v/>
      </c>
      <c r="BR49" s="5">
        <f>SUMPRODUCT(Adds!$C$179:$BR$179,Curves!$G$18:$BV$18)+SUMPRODUCT(Adds!$C$180:$BR$180,Curves!$G$41:$BV$41)+SUMPRODUCT(Adds!$C$181:$BR$181,Curves!$G$64:$BV$64)</f>
        <v/>
      </c>
      <c r="BS49" s="5">
        <f>SUMPRODUCT(Adds!$C$179:$BS$179,Curves!$F$18:$BV$18)+SUMPRODUCT(Adds!$C$180:$BS$180,Curves!$F$41:$BV$41)+SUMPRODUCT(Adds!$C$181:$BS$181,Curves!$F$64:$BV$64)</f>
        <v/>
      </c>
      <c r="BT49" s="5">
        <f>SUMPRODUCT(Adds!$C$179:$BT$179,Curves!$E$18:$BV$18)+SUMPRODUCT(Adds!$C$180:$BT$180,Curves!$E$41:$BV$41)+SUMPRODUCT(Adds!$C$181:$BT$181,Curves!$E$64:$BV$64)</f>
        <v/>
      </c>
      <c r="BU49" s="5">
        <f>SUMPRODUCT(Adds!$C$179:$BU$179,Curves!$D$18:$BV$18)+SUMPRODUCT(Adds!$C$180:$BU$180,Curves!$D$41:$BV$41)+SUMPRODUCT(Adds!$C$181:$BU$181,Curves!$D$64:$BV$64)</f>
        <v/>
      </c>
      <c r="BV49" s="5">
        <f>SUMPRODUCT(Adds!$C$179:$BV$179,Curves!$C$18:$BV$18)+SUMPRODUCT(Adds!$C$180:$BV$180,Curves!$C$41:$BV$41)+SUMPRODUCT(Adds!$C$181:$BV$181,Curves!$C$64:$BV$64)</f>
        <v/>
      </c>
    </row>
    <row r="51">
      <c r="A51" t="inlineStr">
        <is>
          <t>active</t>
        </is>
      </c>
      <c r="B51" t="inlineStr">
        <is>
          <t>APAC|NITRO_M</t>
        </is>
      </c>
      <c r="C51" s="5">
        <f>Adds!$C$194*Curves!$BV$15+Adds!$C$195*Curves!$BV$38+Adds!$C$196*Curves!$BV$61</f>
        <v/>
      </c>
      <c r="D51" s="5">
        <f>SUMPRODUCT(Adds!$C$194:$D$194,Curves!$BU$15:$BV$15)+SUMPRODUCT(Adds!$C$195:$D$195,Curves!$BU$38:$BV$38)+SUMPRODUCT(Adds!$C$196:$D$196,Curves!$BU$61:$BV$61)</f>
        <v/>
      </c>
      <c r="E51" s="5">
        <f>SUMPRODUCT(Adds!$C$194:$E$194,Curves!$BT$15:$BV$15)+SUMPRODUCT(Adds!$C$195:$E$195,Curves!$BT$38:$BV$38)+SUMPRODUCT(Adds!$C$196:$E$196,Curves!$BT$61:$BV$61)</f>
        <v/>
      </c>
      <c r="F51" s="5">
        <f>SUMPRODUCT(Adds!$C$194:$F$194,Curves!$BS$15:$BV$15)+SUMPRODUCT(Adds!$C$195:$F$195,Curves!$BS$38:$BV$38)+SUMPRODUCT(Adds!$C$196:$F$196,Curves!$BS$61:$BV$61)</f>
        <v/>
      </c>
      <c r="G51" s="5">
        <f>SUMPRODUCT(Adds!$C$194:$G$194,Curves!$BR$15:$BV$15)+SUMPRODUCT(Adds!$C$195:$G$195,Curves!$BR$38:$BV$38)+SUMPRODUCT(Adds!$C$196:$G$196,Curves!$BR$61:$BV$61)</f>
        <v/>
      </c>
      <c r="H51" s="5">
        <f>SUMPRODUCT(Adds!$C$194:$H$194,Curves!$BQ$15:$BV$15)+SUMPRODUCT(Adds!$C$195:$H$195,Curves!$BQ$38:$BV$38)+SUMPRODUCT(Adds!$C$196:$H$196,Curves!$BQ$61:$BV$61)</f>
        <v/>
      </c>
      <c r="I51" s="5">
        <f>SUMPRODUCT(Adds!$C$194:$I$194,Curves!$BP$15:$BV$15)+SUMPRODUCT(Adds!$C$195:$I$195,Curves!$BP$38:$BV$38)+SUMPRODUCT(Adds!$C$196:$I$196,Curves!$BP$61:$BV$61)</f>
        <v/>
      </c>
      <c r="J51" s="5">
        <f>SUMPRODUCT(Adds!$C$194:$J$194,Curves!$BO$15:$BV$15)+SUMPRODUCT(Adds!$C$195:$J$195,Curves!$BO$38:$BV$38)+SUMPRODUCT(Adds!$C$196:$J$196,Curves!$BO$61:$BV$61)</f>
        <v/>
      </c>
      <c r="K51" s="5">
        <f>SUMPRODUCT(Adds!$C$194:$K$194,Curves!$BN$15:$BV$15)+SUMPRODUCT(Adds!$C$195:$K$195,Curves!$BN$38:$BV$38)+SUMPRODUCT(Adds!$C$196:$K$196,Curves!$BN$61:$BV$61)</f>
        <v/>
      </c>
      <c r="L51" s="5">
        <f>SUMPRODUCT(Adds!$C$194:$L$194,Curves!$BM$15:$BV$15)+SUMPRODUCT(Adds!$C$195:$L$195,Curves!$BM$38:$BV$38)+SUMPRODUCT(Adds!$C$196:$L$196,Curves!$BM$61:$BV$61)</f>
        <v/>
      </c>
      <c r="M51" s="5">
        <f>SUMPRODUCT(Adds!$C$194:$M$194,Curves!$BL$15:$BV$15)+SUMPRODUCT(Adds!$C$195:$M$195,Curves!$BL$38:$BV$38)+SUMPRODUCT(Adds!$C$196:$M$196,Curves!$BL$61:$BV$61)</f>
        <v/>
      </c>
      <c r="N51" s="5">
        <f>SUMPRODUCT(Adds!$C$194:$N$194,Curves!$BK$15:$BV$15)+SUMPRODUCT(Adds!$C$195:$N$195,Curves!$BK$38:$BV$38)+SUMPRODUCT(Adds!$C$196:$N$196,Curves!$BK$61:$BV$61)</f>
        <v/>
      </c>
      <c r="O51" s="5">
        <f>SUMPRODUCT(Adds!$C$194:$O$194,Curves!$BJ$15:$BV$15)+SUMPRODUCT(Adds!$C$195:$O$195,Curves!$BJ$38:$BV$38)+SUMPRODUCT(Adds!$C$196:$O$196,Curves!$BJ$61:$BV$61)</f>
        <v/>
      </c>
      <c r="P51" s="5">
        <f>SUMPRODUCT(Adds!$C$194:$P$194,Curves!$BI$15:$BV$15)+SUMPRODUCT(Adds!$C$195:$P$195,Curves!$BI$38:$BV$38)+SUMPRODUCT(Adds!$C$196:$P$196,Curves!$BI$61:$BV$61)</f>
        <v/>
      </c>
      <c r="Q51" s="5">
        <f>SUMPRODUCT(Adds!$C$194:$Q$194,Curves!$BH$15:$BV$15)+SUMPRODUCT(Adds!$C$195:$Q$195,Curves!$BH$38:$BV$38)+SUMPRODUCT(Adds!$C$196:$Q$196,Curves!$BH$61:$BV$61)</f>
        <v/>
      </c>
      <c r="R51" s="5">
        <f>SUMPRODUCT(Adds!$C$194:$R$194,Curves!$BG$15:$BV$15)+SUMPRODUCT(Adds!$C$195:$R$195,Curves!$BG$38:$BV$38)+SUMPRODUCT(Adds!$C$196:$R$196,Curves!$BG$61:$BV$61)</f>
        <v/>
      </c>
      <c r="S51" s="5">
        <f>SUMPRODUCT(Adds!$C$194:$S$194,Curves!$BF$15:$BV$15)+SUMPRODUCT(Adds!$C$195:$S$195,Curves!$BF$38:$BV$38)+SUMPRODUCT(Adds!$C$196:$S$196,Curves!$BF$61:$BV$61)</f>
        <v/>
      </c>
      <c r="T51" s="5">
        <f>SUMPRODUCT(Adds!$C$194:$T$194,Curves!$BE$15:$BV$15)+SUMPRODUCT(Adds!$C$195:$T$195,Curves!$BE$38:$BV$38)+SUMPRODUCT(Adds!$C$196:$T$196,Curves!$BE$61:$BV$61)</f>
        <v/>
      </c>
      <c r="U51" s="5">
        <f>SUMPRODUCT(Adds!$C$194:$U$194,Curves!$BD$15:$BV$15)+SUMPRODUCT(Adds!$C$195:$U$195,Curves!$BD$38:$BV$38)+SUMPRODUCT(Adds!$C$196:$U$196,Curves!$BD$61:$BV$61)</f>
        <v/>
      </c>
      <c r="V51" s="5">
        <f>SUMPRODUCT(Adds!$C$194:$V$194,Curves!$BC$15:$BV$15)+SUMPRODUCT(Adds!$C$195:$V$195,Curves!$BC$38:$BV$38)+SUMPRODUCT(Adds!$C$196:$V$196,Curves!$BC$61:$BV$61)</f>
        <v/>
      </c>
      <c r="W51" s="5">
        <f>SUMPRODUCT(Adds!$C$194:$W$194,Curves!$BB$15:$BV$15)+SUMPRODUCT(Adds!$C$195:$W$195,Curves!$BB$38:$BV$38)+SUMPRODUCT(Adds!$C$196:$W$196,Curves!$BB$61:$BV$61)</f>
        <v/>
      </c>
      <c r="X51" s="5">
        <f>SUMPRODUCT(Adds!$C$194:$X$194,Curves!$BA$15:$BV$15)+SUMPRODUCT(Adds!$C$195:$X$195,Curves!$BA$38:$BV$38)+SUMPRODUCT(Adds!$C$196:$X$196,Curves!$BA$61:$BV$61)</f>
        <v/>
      </c>
      <c r="Y51" s="5">
        <f>SUMPRODUCT(Adds!$C$194:$Y$194,Curves!$AZ$15:$BV$15)+SUMPRODUCT(Adds!$C$195:$Y$195,Curves!$AZ$38:$BV$38)+SUMPRODUCT(Adds!$C$196:$Y$196,Curves!$AZ$61:$BV$61)</f>
        <v/>
      </c>
      <c r="Z51" s="5">
        <f>SUMPRODUCT(Adds!$C$194:$Z$194,Curves!$AY$15:$BV$15)+SUMPRODUCT(Adds!$C$195:$Z$195,Curves!$AY$38:$BV$38)+SUMPRODUCT(Adds!$C$196:$Z$196,Curves!$AY$61:$BV$61)</f>
        <v/>
      </c>
      <c r="AA51" s="5">
        <f>SUMPRODUCT(Adds!$C$194:$AA$194,Curves!$AX$15:$BV$15)+SUMPRODUCT(Adds!$C$195:$AA$195,Curves!$AX$38:$BV$38)+SUMPRODUCT(Adds!$C$196:$AA$196,Curves!$AX$61:$BV$61)</f>
        <v/>
      </c>
      <c r="AB51" s="5">
        <f>SUMPRODUCT(Adds!$C$194:$AB$194,Curves!$AW$15:$BV$15)+SUMPRODUCT(Adds!$C$195:$AB$195,Curves!$AW$38:$BV$38)+SUMPRODUCT(Adds!$C$196:$AB$196,Curves!$AW$61:$BV$61)</f>
        <v/>
      </c>
      <c r="AC51" s="5">
        <f>SUMPRODUCT(Adds!$C$194:$AC$194,Curves!$AV$15:$BV$15)+SUMPRODUCT(Adds!$C$195:$AC$195,Curves!$AV$38:$BV$38)+SUMPRODUCT(Adds!$C$196:$AC$196,Curves!$AV$61:$BV$61)</f>
        <v/>
      </c>
      <c r="AD51" s="5">
        <f>SUMPRODUCT(Adds!$C$194:$AD$194,Curves!$AU$15:$BV$15)+SUMPRODUCT(Adds!$C$195:$AD$195,Curves!$AU$38:$BV$38)+SUMPRODUCT(Adds!$C$196:$AD$196,Curves!$AU$61:$BV$61)</f>
        <v/>
      </c>
      <c r="AE51" s="5">
        <f>SUMPRODUCT(Adds!$C$194:$AE$194,Curves!$AT$15:$BV$15)+SUMPRODUCT(Adds!$C$195:$AE$195,Curves!$AT$38:$BV$38)+SUMPRODUCT(Adds!$C$196:$AE$196,Curves!$AT$61:$BV$61)</f>
        <v/>
      </c>
      <c r="AF51" s="5">
        <f>SUMPRODUCT(Adds!$C$194:$AF$194,Curves!$AS$15:$BV$15)+SUMPRODUCT(Adds!$C$195:$AF$195,Curves!$AS$38:$BV$38)+SUMPRODUCT(Adds!$C$196:$AF$196,Curves!$AS$61:$BV$61)</f>
        <v/>
      </c>
      <c r="AG51" s="5">
        <f>SUMPRODUCT(Adds!$C$194:$AG$194,Curves!$AR$15:$BV$15)+SUMPRODUCT(Adds!$C$195:$AG$195,Curves!$AR$38:$BV$38)+SUMPRODUCT(Adds!$C$196:$AG$196,Curves!$AR$61:$BV$61)</f>
        <v/>
      </c>
      <c r="AH51" s="5">
        <f>SUMPRODUCT(Adds!$C$194:$AH$194,Curves!$AQ$15:$BV$15)+SUMPRODUCT(Adds!$C$195:$AH$195,Curves!$AQ$38:$BV$38)+SUMPRODUCT(Adds!$C$196:$AH$196,Curves!$AQ$61:$BV$61)</f>
        <v/>
      </c>
      <c r="AI51" s="5">
        <f>SUMPRODUCT(Adds!$C$194:$AI$194,Curves!$AP$15:$BV$15)+SUMPRODUCT(Adds!$C$195:$AI$195,Curves!$AP$38:$BV$38)+SUMPRODUCT(Adds!$C$196:$AI$196,Curves!$AP$61:$BV$61)</f>
        <v/>
      </c>
      <c r="AJ51" s="5">
        <f>SUMPRODUCT(Adds!$C$194:$AJ$194,Curves!$AO$15:$BV$15)+SUMPRODUCT(Adds!$C$195:$AJ$195,Curves!$AO$38:$BV$38)+SUMPRODUCT(Adds!$C$196:$AJ$196,Curves!$AO$61:$BV$61)</f>
        <v/>
      </c>
      <c r="AK51" s="5">
        <f>SUMPRODUCT(Adds!$C$194:$AK$194,Curves!$AN$15:$BV$15)+SUMPRODUCT(Adds!$C$195:$AK$195,Curves!$AN$38:$BV$38)+SUMPRODUCT(Adds!$C$196:$AK$196,Curves!$AN$61:$BV$61)</f>
        <v/>
      </c>
      <c r="AL51" s="5">
        <f>SUMPRODUCT(Adds!$C$194:$AL$194,Curves!$AM$15:$BV$15)+SUMPRODUCT(Adds!$C$195:$AL$195,Curves!$AM$38:$BV$38)+SUMPRODUCT(Adds!$C$196:$AL$196,Curves!$AM$61:$BV$61)</f>
        <v/>
      </c>
      <c r="AM51" s="5">
        <f>SUMPRODUCT(Adds!$C$194:$AM$194,Curves!$AL$15:$BV$15)+SUMPRODUCT(Adds!$C$195:$AM$195,Curves!$AL$38:$BV$38)+SUMPRODUCT(Adds!$C$196:$AM$196,Curves!$AL$61:$BV$61)</f>
        <v/>
      </c>
      <c r="AN51" s="5">
        <f>SUMPRODUCT(Adds!$C$194:$AN$194,Curves!$AK$15:$BV$15)+SUMPRODUCT(Adds!$C$195:$AN$195,Curves!$AK$38:$BV$38)+SUMPRODUCT(Adds!$C$196:$AN$196,Curves!$AK$61:$BV$61)</f>
        <v/>
      </c>
      <c r="AO51" s="5">
        <f>SUMPRODUCT(Adds!$C$194:$AO$194,Curves!$AJ$15:$BV$15)+SUMPRODUCT(Adds!$C$195:$AO$195,Curves!$AJ$38:$BV$38)+SUMPRODUCT(Adds!$C$196:$AO$196,Curves!$AJ$61:$BV$61)</f>
        <v/>
      </c>
      <c r="AP51" s="5">
        <f>SUMPRODUCT(Adds!$C$194:$AP$194,Curves!$AI$15:$BV$15)+SUMPRODUCT(Adds!$C$195:$AP$195,Curves!$AI$38:$BV$38)+SUMPRODUCT(Adds!$C$196:$AP$196,Curves!$AI$61:$BV$61)</f>
        <v/>
      </c>
      <c r="AQ51" s="5">
        <f>SUMPRODUCT(Adds!$C$194:$AQ$194,Curves!$AH$15:$BV$15)+SUMPRODUCT(Adds!$C$195:$AQ$195,Curves!$AH$38:$BV$38)+SUMPRODUCT(Adds!$C$196:$AQ$196,Curves!$AH$61:$BV$61)</f>
        <v/>
      </c>
      <c r="AR51" s="5">
        <f>SUMPRODUCT(Adds!$C$194:$AR$194,Curves!$AG$15:$BV$15)+SUMPRODUCT(Adds!$C$195:$AR$195,Curves!$AG$38:$BV$38)+SUMPRODUCT(Adds!$C$196:$AR$196,Curves!$AG$61:$BV$61)</f>
        <v/>
      </c>
      <c r="AS51" s="5">
        <f>SUMPRODUCT(Adds!$C$194:$AS$194,Curves!$AF$15:$BV$15)+SUMPRODUCT(Adds!$C$195:$AS$195,Curves!$AF$38:$BV$38)+SUMPRODUCT(Adds!$C$196:$AS$196,Curves!$AF$61:$BV$61)</f>
        <v/>
      </c>
      <c r="AT51" s="5">
        <f>SUMPRODUCT(Adds!$C$194:$AT$194,Curves!$AE$15:$BV$15)+SUMPRODUCT(Adds!$C$195:$AT$195,Curves!$AE$38:$BV$38)+SUMPRODUCT(Adds!$C$196:$AT$196,Curves!$AE$61:$BV$61)</f>
        <v/>
      </c>
      <c r="AU51" s="5">
        <f>SUMPRODUCT(Adds!$C$194:$AU$194,Curves!$AD$15:$BV$15)+SUMPRODUCT(Adds!$C$195:$AU$195,Curves!$AD$38:$BV$38)+SUMPRODUCT(Adds!$C$196:$AU$196,Curves!$AD$61:$BV$61)</f>
        <v/>
      </c>
      <c r="AV51" s="5">
        <f>SUMPRODUCT(Adds!$C$194:$AV$194,Curves!$AC$15:$BV$15)+SUMPRODUCT(Adds!$C$195:$AV$195,Curves!$AC$38:$BV$38)+SUMPRODUCT(Adds!$C$196:$AV$196,Curves!$AC$61:$BV$61)</f>
        <v/>
      </c>
      <c r="AW51" s="5">
        <f>SUMPRODUCT(Adds!$C$194:$AW$194,Curves!$AB$15:$BV$15)+SUMPRODUCT(Adds!$C$195:$AW$195,Curves!$AB$38:$BV$38)+SUMPRODUCT(Adds!$C$196:$AW$196,Curves!$AB$61:$BV$61)</f>
        <v/>
      </c>
      <c r="AX51" s="5">
        <f>SUMPRODUCT(Adds!$C$194:$AX$194,Curves!$AA$15:$BV$15)+SUMPRODUCT(Adds!$C$195:$AX$195,Curves!$AA$38:$BV$38)+SUMPRODUCT(Adds!$C$196:$AX$196,Curves!$AA$61:$BV$61)</f>
        <v/>
      </c>
      <c r="AY51" s="5">
        <f>SUMPRODUCT(Adds!$C$194:$AY$194,Curves!$Z$15:$BV$15)+SUMPRODUCT(Adds!$C$195:$AY$195,Curves!$Z$38:$BV$38)+SUMPRODUCT(Adds!$C$196:$AY$196,Curves!$Z$61:$BV$61)</f>
        <v/>
      </c>
      <c r="AZ51" s="5">
        <f>SUMPRODUCT(Adds!$C$194:$AZ$194,Curves!$Y$15:$BV$15)+SUMPRODUCT(Adds!$C$195:$AZ$195,Curves!$Y$38:$BV$38)+SUMPRODUCT(Adds!$C$196:$AZ$196,Curves!$Y$61:$BV$61)</f>
        <v/>
      </c>
      <c r="BA51" s="5">
        <f>SUMPRODUCT(Adds!$C$194:$BA$194,Curves!$X$15:$BV$15)+SUMPRODUCT(Adds!$C$195:$BA$195,Curves!$X$38:$BV$38)+SUMPRODUCT(Adds!$C$196:$BA$196,Curves!$X$61:$BV$61)</f>
        <v/>
      </c>
      <c r="BB51" s="5">
        <f>SUMPRODUCT(Adds!$C$194:$BB$194,Curves!$W$15:$BV$15)+SUMPRODUCT(Adds!$C$195:$BB$195,Curves!$W$38:$BV$38)+SUMPRODUCT(Adds!$C$196:$BB$196,Curves!$W$61:$BV$61)</f>
        <v/>
      </c>
      <c r="BC51" s="5">
        <f>SUMPRODUCT(Adds!$C$194:$BC$194,Curves!$V$15:$BV$15)+SUMPRODUCT(Adds!$C$195:$BC$195,Curves!$V$38:$BV$38)+SUMPRODUCT(Adds!$C$196:$BC$196,Curves!$V$61:$BV$61)</f>
        <v/>
      </c>
      <c r="BD51" s="5">
        <f>SUMPRODUCT(Adds!$C$194:$BD$194,Curves!$U$15:$BV$15)+SUMPRODUCT(Adds!$C$195:$BD$195,Curves!$U$38:$BV$38)+SUMPRODUCT(Adds!$C$196:$BD$196,Curves!$U$61:$BV$61)</f>
        <v/>
      </c>
      <c r="BE51" s="5">
        <f>SUMPRODUCT(Adds!$C$194:$BE$194,Curves!$T$15:$BV$15)+SUMPRODUCT(Adds!$C$195:$BE$195,Curves!$T$38:$BV$38)+SUMPRODUCT(Adds!$C$196:$BE$196,Curves!$T$61:$BV$61)</f>
        <v/>
      </c>
      <c r="BF51" s="5">
        <f>SUMPRODUCT(Adds!$C$194:$BF$194,Curves!$S$15:$BV$15)+SUMPRODUCT(Adds!$C$195:$BF$195,Curves!$S$38:$BV$38)+SUMPRODUCT(Adds!$C$196:$BF$196,Curves!$S$61:$BV$61)</f>
        <v/>
      </c>
      <c r="BG51" s="5">
        <f>SUMPRODUCT(Adds!$C$194:$BG$194,Curves!$R$15:$BV$15)+SUMPRODUCT(Adds!$C$195:$BG$195,Curves!$R$38:$BV$38)+SUMPRODUCT(Adds!$C$196:$BG$196,Curves!$R$61:$BV$61)</f>
        <v/>
      </c>
      <c r="BH51" s="5">
        <f>SUMPRODUCT(Adds!$C$194:$BH$194,Curves!$Q$15:$BV$15)+SUMPRODUCT(Adds!$C$195:$BH$195,Curves!$Q$38:$BV$38)+SUMPRODUCT(Adds!$C$196:$BH$196,Curves!$Q$61:$BV$61)</f>
        <v/>
      </c>
      <c r="BI51" s="5">
        <f>SUMPRODUCT(Adds!$C$194:$BI$194,Curves!$P$15:$BV$15)+SUMPRODUCT(Adds!$C$195:$BI$195,Curves!$P$38:$BV$38)+SUMPRODUCT(Adds!$C$196:$BI$196,Curves!$P$61:$BV$61)</f>
        <v/>
      </c>
      <c r="BJ51" s="5">
        <f>SUMPRODUCT(Adds!$C$194:$BJ$194,Curves!$O$15:$BV$15)+SUMPRODUCT(Adds!$C$195:$BJ$195,Curves!$O$38:$BV$38)+SUMPRODUCT(Adds!$C$196:$BJ$196,Curves!$O$61:$BV$61)</f>
        <v/>
      </c>
      <c r="BK51" s="5">
        <f>SUMPRODUCT(Adds!$C$194:$BK$194,Curves!$N$15:$BV$15)+SUMPRODUCT(Adds!$C$195:$BK$195,Curves!$N$38:$BV$38)+SUMPRODUCT(Adds!$C$196:$BK$196,Curves!$N$61:$BV$61)</f>
        <v/>
      </c>
      <c r="BL51" s="5">
        <f>SUMPRODUCT(Adds!$C$194:$BL$194,Curves!$M$15:$BV$15)+SUMPRODUCT(Adds!$C$195:$BL$195,Curves!$M$38:$BV$38)+SUMPRODUCT(Adds!$C$196:$BL$196,Curves!$M$61:$BV$61)</f>
        <v/>
      </c>
      <c r="BM51" s="5">
        <f>SUMPRODUCT(Adds!$C$194:$BM$194,Curves!$L$15:$BV$15)+SUMPRODUCT(Adds!$C$195:$BM$195,Curves!$L$38:$BV$38)+SUMPRODUCT(Adds!$C$196:$BM$196,Curves!$L$61:$BV$61)</f>
        <v/>
      </c>
      <c r="BN51" s="5">
        <f>SUMPRODUCT(Adds!$C$194:$BN$194,Curves!$K$15:$BV$15)+SUMPRODUCT(Adds!$C$195:$BN$195,Curves!$K$38:$BV$38)+SUMPRODUCT(Adds!$C$196:$BN$196,Curves!$K$61:$BV$61)</f>
        <v/>
      </c>
      <c r="BO51" s="5">
        <f>SUMPRODUCT(Adds!$C$194:$BO$194,Curves!$J$15:$BV$15)+SUMPRODUCT(Adds!$C$195:$BO$195,Curves!$J$38:$BV$38)+SUMPRODUCT(Adds!$C$196:$BO$196,Curves!$J$61:$BV$61)</f>
        <v/>
      </c>
      <c r="BP51" s="5">
        <f>SUMPRODUCT(Adds!$C$194:$BP$194,Curves!$I$15:$BV$15)+SUMPRODUCT(Adds!$C$195:$BP$195,Curves!$I$38:$BV$38)+SUMPRODUCT(Adds!$C$196:$BP$196,Curves!$I$61:$BV$61)</f>
        <v/>
      </c>
      <c r="BQ51" s="5">
        <f>SUMPRODUCT(Adds!$C$194:$BQ$194,Curves!$H$15:$BV$15)+SUMPRODUCT(Adds!$C$195:$BQ$195,Curves!$H$38:$BV$38)+SUMPRODUCT(Adds!$C$196:$BQ$196,Curves!$H$61:$BV$61)</f>
        <v/>
      </c>
      <c r="BR51" s="5">
        <f>SUMPRODUCT(Adds!$C$194:$BR$194,Curves!$G$15:$BV$15)+SUMPRODUCT(Adds!$C$195:$BR$195,Curves!$G$38:$BV$38)+SUMPRODUCT(Adds!$C$196:$BR$196,Curves!$G$61:$BV$61)</f>
        <v/>
      </c>
      <c r="BS51" s="5">
        <f>SUMPRODUCT(Adds!$C$194:$BS$194,Curves!$F$15:$BV$15)+SUMPRODUCT(Adds!$C$195:$BS$195,Curves!$F$38:$BV$38)+SUMPRODUCT(Adds!$C$196:$BS$196,Curves!$F$61:$BV$61)</f>
        <v/>
      </c>
      <c r="BT51" s="5">
        <f>SUMPRODUCT(Adds!$C$194:$BT$194,Curves!$E$15:$BV$15)+SUMPRODUCT(Adds!$C$195:$BT$195,Curves!$E$38:$BV$38)+SUMPRODUCT(Adds!$C$196:$BT$196,Curves!$E$61:$BV$61)</f>
        <v/>
      </c>
      <c r="BU51" s="5">
        <f>SUMPRODUCT(Adds!$C$194:$BU$194,Curves!$D$15:$BV$15)+SUMPRODUCT(Adds!$C$195:$BU$195,Curves!$D$38:$BV$38)+SUMPRODUCT(Adds!$C$196:$BU$196,Curves!$D$61:$BV$61)</f>
        <v/>
      </c>
      <c r="BV51" s="5">
        <f>SUMPRODUCT(Adds!$C$194:$BV$194,Curves!$C$15:$BV$15)+SUMPRODUCT(Adds!$C$195:$BV$195,Curves!$C$38:$BV$38)+SUMPRODUCT(Adds!$C$196:$BV$196,Curves!$C$61:$BV$61)</f>
        <v/>
      </c>
    </row>
    <row r="52">
      <c r="A52" t="inlineStr">
        <is>
          <t>active yr 1</t>
        </is>
      </c>
      <c r="B52" t="inlineStr">
        <is>
          <t>APAC|NITRO_M</t>
        </is>
      </c>
      <c r="C52" s="5">
        <f>Adds!$C$194*Curves!$BV$22+Adds!$C$195*Curves!$BV$45+Adds!$C$196*Curves!$BV$68</f>
        <v/>
      </c>
      <c r="D52" s="5">
        <f>SUMPRODUCT(Adds!$C$194:$D$194,Curves!$BU$22:$BV$22)+SUMPRODUCT(Adds!$C$195:$D$195,Curves!$BU$45:$BV$45)+SUMPRODUCT(Adds!$C$196:$D$196,Curves!$BU$68:$BV$68)</f>
        <v/>
      </c>
      <c r="E52" s="5">
        <f>SUMPRODUCT(Adds!$C$194:$E$194,Curves!$BT$22:$BV$22)+SUMPRODUCT(Adds!$C$195:$E$195,Curves!$BT$45:$BV$45)+SUMPRODUCT(Adds!$C$196:$E$196,Curves!$BT$68:$BV$68)</f>
        <v/>
      </c>
      <c r="F52" s="5">
        <f>SUMPRODUCT(Adds!$C$194:$F$194,Curves!$BS$22:$BV$22)+SUMPRODUCT(Adds!$C$195:$F$195,Curves!$BS$45:$BV$45)+SUMPRODUCT(Adds!$C$196:$F$196,Curves!$BS$68:$BV$68)</f>
        <v/>
      </c>
      <c r="G52" s="5">
        <f>SUMPRODUCT(Adds!$C$194:$G$194,Curves!$BR$22:$BV$22)+SUMPRODUCT(Adds!$C$195:$G$195,Curves!$BR$45:$BV$45)+SUMPRODUCT(Adds!$C$196:$G$196,Curves!$BR$68:$BV$68)</f>
        <v/>
      </c>
      <c r="H52" s="5">
        <f>SUMPRODUCT(Adds!$C$194:$H$194,Curves!$BQ$22:$BV$22)+SUMPRODUCT(Adds!$C$195:$H$195,Curves!$BQ$45:$BV$45)+SUMPRODUCT(Adds!$C$196:$H$196,Curves!$BQ$68:$BV$68)</f>
        <v/>
      </c>
      <c r="I52" s="5">
        <f>SUMPRODUCT(Adds!$C$194:$I$194,Curves!$BP$22:$BV$22)+SUMPRODUCT(Adds!$C$195:$I$195,Curves!$BP$45:$BV$45)+SUMPRODUCT(Adds!$C$196:$I$196,Curves!$BP$68:$BV$68)</f>
        <v/>
      </c>
      <c r="J52" s="5">
        <f>SUMPRODUCT(Adds!$C$194:$J$194,Curves!$BO$22:$BV$22)+SUMPRODUCT(Adds!$C$195:$J$195,Curves!$BO$45:$BV$45)+SUMPRODUCT(Adds!$C$196:$J$196,Curves!$BO$68:$BV$68)</f>
        <v/>
      </c>
      <c r="K52" s="5">
        <f>SUMPRODUCT(Adds!$C$194:$K$194,Curves!$BN$22:$BV$22)+SUMPRODUCT(Adds!$C$195:$K$195,Curves!$BN$45:$BV$45)+SUMPRODUCT(Adds!$C$196:$K$196,Curves!$BN$68:$BV$68)</f>
        <v/>
      </c>
      <c r="L52" s="5">
        <f>SUMPRODUCT(Adds!$C$194:$L$194,Curves!$BM$22:$BV$22)+SUMPRODUCT(Adds!$C$195:$L$195,Curves!$BM$45:$BV$45)+SUMPRODUCT(Adds!$C$196:$L$196,Curves!$BM$68:$BV$68)</f>
        <v/>
      </c>
      <c r="M52" s="5">
        <f>SUMPRODUCT(Adds!$C$194:$M$194,Curves!$BL$22:$BV$22)+SUMPRODUCT(Adds!$C$195:$M$195,Curves!$BL$45:$BV$45)+SUMPRODUCT(Adds!$C$196:$M$196,Curves!$BL$68:$BV$68)</f>
        <v/>
      </c>
      <c r="N52" s="5">
        <f>SUMPRODUCT(Adds!$C$194:$N$194,Curves!$BK$22:$BV$22)+SUMPRODUCT(Adds!$C$195:$N$195,Curves!$BK$45:$BV$45)+SUMPRODUCT(Adds!$C$196:$N$196,Curves!$BK$68:$BV$68)</f>
        <v/>
      </c>
      <c r="O52" s="5">
        <f>SUMPRODUCT(Adds!$C$194:$O$194,Curves!$BJ$22:$BV$22)+SUMPRODUCT(Adds!$C$195:$O$195,Curves!$BJ$45:$BV$45)+SUMPRODUCT(Adds!$C$196:$O$196,Curves!$BJ$68:$BV$68)</f>
        <v/>
      </c>
      <c r="P52" s="5">
        <f>SUMPRODUCT(Adds!$C$194:$P$194,Curves!$BI$22:$BV$22)+SUMPRODUCT(Adds!$C$195:$P$195,Curves!$BI$45:$BV$45)+SUMPRODUCT(Adds!$C$196:$P$196,Curves!$BI$68:$BV$68)</f>
        <v/>
      </c>
      <c r="Q52" s="5">
        <f>SUMPRODUCT(Adds!$C$194:$Q$194,Curves!$BH$22:$BV$22)+SUMPRODUCT(Adds!$C$195:$Q$195,Curves!$BH$45:$BV$45)+SUMPRODUCT(Adds!$C$196:$Q$196,Curves!$BH$68:$BV$68)</f>
        <v/>
      </c>
      <c r="R52" s="5">
        <f>SUMPRODUCT(Adds!$C$194:$R$194,Curves!$BG$22:$BV$22)+SUMPRODUCT(Adds!$C$195:$R$195,Curves!$BG$45:$BV$45)+SUMPRODUCT(Adds!$C$196:$R$196,Curves!$BG$68:$BV$68)</f>
        <v/>
      </c>
      <c r="S52" s="5">
        <f>SUMPRODUCT(Adds!$C$194:$S$194,Curves!$BF$22:$BV$22)+SUMPRODUCT(Adds!$C$195:$S$195,Curves!$BF$45:$BV$45)+SUMPRODUCT(Adds!$C$196:$S$196,Curves!$BF$68:$BV$68)</f>
        <v/>
      </c>
      <c r="T52" s="5">
        <f>SUMPRODUCT(Adds!$C$194:$T$194,Curves!$BE$22:$BV$22)+SUMPRODUCT(Adds!$C$195:$T$195,Curves!$BE$45:$BV$45)+SUMPRODUCT(Adds!$C$196:$T$196,Curves!$BE$68:$BV$68)</f>
        <v/>
      </c>
      <c r="U52" s="5">
        <f>SUMPRODUCT(Adds!$C$194:$U$194,Curves!$BD$22:$BV$22)+SUMPRODUCT(Adds!$C$195:$U$195,Curves!$BD$45:$BV$45)+SUMPRODUCT(Adds!$C$196:$U$196,Curves!$BD$68:$BV$68)</f>
        <v/>
      </c>
      <c r="V52" s="5">
        <f>SUMPRODUCT(Adds!$C$194:$V$194,Curves!$BC$22:$BV$22)+SUMPRODUCT(Adds!$C$195:$V$195,Curves!$BC$45:$BV$45)+SUMPRODUCT(Adds!$C$196:$V$196,Curves!$BC$68:$BV$68)</f>
        <v/>
      </c>
      <c r="W52" s="5">
        <f>SUMPRODUCT(Adds!$C$194:$W$194,Curves!$BB$22:$BV$22)+SUMPRODUCT(Adds!$C$195:$W$195,Curves!$BB$45:$BV$45)+SUMPRODUCT(Adds!$C$196:$W$196,Curves!$BB$68:$BV$68)</f>
        <v/>
      </c>
      <c r="X52" s="5">
        <f>SUMPRODUCT(Adds!$C$194:$X$194,Curves!$BA$22:$BV$22)+SUMPRODUCT(Adds!$C$195:$X$195,Curves!$BA$45:$BV$45)+SUMPRODUCT(Adds!$C$196:$X$196,Curves!$BA$68:$BV$68)</f>
        <v/>
      </c>
      <c r="Y52" s="5">
        <f>SUMPRODUCT(Adds!$C$194:$Y$194,Curves!$AZ$22:$BV$22)+SUMPRODUCT(Adds!$C$195:$Y$195,Curves!$AZ$45:$BV$45)+SUMPRODUCT(Adds!$C$196:$Y$196,Curves!$AZ$68:$BV$68)</f>
        <v/>
      </c>
      <c r="Z52" s="5">
        <f>SUMPRODUCT(Adds!$C$194:$Z$194,Curves!$AY$22:$BV$22)+SUMPRODUCT(Adds!$C$195:$Z$195,Curves!$AY$45:$BV$45)+SUMPRODUCT(Adds!$C$196:$Z$196,Curves!$AY$68:$BV$68)</f>
        <v/>
      </c>
      <c r="AA52" s="5">
        <f>SUMPRODUCT(Adds!$C$194:$AA$194,Curves!$AX$22:$BV$22)+SUMPRODUCT(Adds!$C$195:$AA$195,Curves!$AX$45:$BV$45)+SUMPRODUCT(Adds!$C$196:$AA$196,Curves!$AX$68:$BV$68)</f>
        <v/>
      </c>
      <c r="AB52" s="5">
        <f>SUMPRODUCT(Adds!$C$194:$AB$194,Curves!$AW$22:$BV$22)+SUMPRODUCT(Adds!$C$195:$AB$195,Curves!$AW$45:$BV$45)+SUMPRODUCT(Adds!$C$196:$AB$196,Curves!$AW$68:$BV$68)</f>
        <v/>
      </c>
      <c r="AC52" s="5">
        <f>SUMPRODUCT(Adds!$C$194:$AC$194,Curves!$AV$22:$BV$22)+SUMPRODUCT(Adds!$C$195:$AC$195,Curves!$AV$45:$BV$45)+SUMPRODUCT(Adds!$C$196:$AC$196,Curves!$AV$68:$BV$68)</f>
        <v/>
      </c>
      <c r="AD52" s="5">
        <f>SUMPRODUCT(Adds!$C$194:$AD$194,Curves!$AU$22:$BV$22)+SUMPRODUCT(Adds!$C$195:$AD$195,Curves!$AU$45:$BV$45)+SUMPRODUCT(Adds!$C$196:$AD$196,Curves!$AU$68:$BV$68)</f>
        <v/>
      </c>
      <c r="AE52" s="5">
        <f>SUMPRODUCT(Adds!$C$194:$AE$194,Curves!$AT$22:$BV$22)+SUMPRODUCT(Adds!$C$195:$AE$195,Curves!$AT$45:$BV$45)+SUMPRODUCT(Adds!$C$196:$AE$196,Curves!$AT$68:$BV$68)</f>
        <v/>
      </c>
      <c r="AF52" s="5">
        <f>SUMPRODUCT(Adds!$C$194:$AF$194,Curves!$AS$22:$BV$22)+SUMPRODUCT(Adds!$C$195:$AF$195,Curves!$AS$45:$BV$45)+SUMPRODUCT(Adds!$C$196:$AF$196,Curves!$AS$68:$BV$68)</f>
        <v/>
      </c>
      <c r="AG52" s="5">
        <f>SUMPRODUCT(Adds!$C$194:$AG$194,Curves!$AR$22:$BV$22)+SUMPRODUCT(Adds!$C$195:$AG$195,Curves!$AR$45:$BV$45)+SUMPRODUCT(Adds!$C$196:$AG$196,Curves!$AR$68:$BV$68)</f>
        <v/>
      </c>
      <c r="AH52" s="5">
        <f>SUMPRODUCT(Adds!$C$194:$AH$194,Curves!$AQ$22:$BV$22)+SUMPRODUCT(Adds!$C$195:$AH$195,Curves!$AQ$45:$BV$45)+SUMPRODUCT(Adds!$C$196:$AH$196,Curves!$AQ$68:$BV$68)</f>
        <v/>
      </c>
      <c r="AI52" s="5">
        <f>SUMPRODUCT(Adds!$C$194:$AI$194,Curves!$AP$22:$BV$22)+SUMPRODUCT(Adds!$C$195:$AI$195,Curves!$AP$45:$BV$45)+SUMPRODUCT(Adds!$C$196:$AI$196,Curves!$AP$68:$BV$68)</f>
        <v/>
      </c>
      <c r="AJ52" s="5">
        <f>SUMPRODUCT(Adds!$C$194:$AJ$194,Curves!$AO$22:$BV$22)+SUMPRODUCT(Adds!$C$195:$AJ$195,Curves!$AO$45:$BV$45)+SUMPRODUCT(Adds!$C$196:$AJ$196,Curves!$AO$68:$BV$68)</f>
        <v/>
      </c>
      <c r="AK52" s="5">
        <f>SUMPRODUCT(Adds!$C$194:$AK$194,Curves!$AN$22:$BV$22)+SUMPRODUCT(Adds!$C$195:$AK$195,Curves!$AN$45:$BV$45)+SUMPRODUCT(Adds!$C$196:$AK$196,Curves!$AN$68:$BV$68)</f>
        <v/>
      </c>
      <c r="AL52" s="5">
        <f>SUMPRODUCT(Adds!$C$194:$AL$194,Curves!$AM$22:$BV$22)+SUMPRODUCT(Adds!$C$195:$AL$195,Curves!$AM$45:$BV$45)+SUMPRODUCT(Adds!$C$196:$AL$196,Curves!$AM$68:$BV$68)</f>
        <v/>
      </c>
      <c r="AM52" s="5">
        <f>SUMPRODUCT(Adds!$C$194:$AM$194,Curves!$AL$22:$BV$22)+SUMPRODUCT(Adds!$C$195:$AM$195,Curves!$AL$45:$BV$45)+SUMPRODUCT(Adds!$C$196:$AM$196,Curves!$AL$68:$BV$68)</f>
        <v/>
      </c>
      <c r="AN52" s="5">
        <f>SUMPRODUCT(Adds!$C$194:$AN$194,Curves!$AK$22:$BV$22)+SUMPRODUCT(Adds!$C$195:$AN$195,Curves!$AK$45:$BV$45)+SUMPRODUCT(Adds!$C$196:$AN$196,Curves!$AK$68:$BV$68)</f>
        <v/>
      </c>
      <c r="AO52" s="5">
        <f>SUMPRODUCT(Adds!$C$194:$AO$194,Curves!$AJ$22:$BV$22)+SUMPRODUCT(Adds!$C$195:$AO$195,Curves!$AJ$45:$BV$45)+SUMPRODUCT(Adds!$C$196:$AO$196,Curves!$AJ$68:$BV$68)</f>
        <v/>
      </c>
      <c r="AP52" s="5">
        <f>SUMPRODUCT(Adds!$C$194:$AP$194,Curves!$AI$22:$BV$22)+SUMPRODUCT(Adds!$C$195:$AP$195,Curves!$AI$45:$BV$45)+SUMPRODUCT(Adds!$C$196:$AP$196,Curves!$AI$68:$BV$68)</f>
        <v/>
      </c>
      <c r="AQ52" s="5">
        <f>SUMPRODUCT(Adds!$C$194:$AQ$194,Curves!$AH$22:$BV$22)+SUMPRODUCT(Adds!$C$195:$AQ$195,Curves!$AH$45:$BV$45)+SUMPRODUCT(Adds!$C$196:$AQ$196,Curves!$AH$68:$BV$68)</f>
        <v/>
      </c>
      <c r="AR52" s="5">
        <f>SUMPRODUCT(Adds!$C$194:$AR$194,Curves!$AG$22:$BV$22)+SUMPRODUCT(Adds!$C$195:$AR$195,Curves!$AG$45:$BV$45)+SUMPRODUCT(Adds!$C$196:$AR$196,Curves!$AG$68:$BV$68)</f>
        <v/>
      </c>
      <c r="AS52" s="5">
        <f>SUMPRODUCT(Adds!$C$194:$AS$194,Curves!$AF$22:$BV$22)+SUMPRODUCT(Adds!$C$195:$AS$195,Curves!$AF$45:$BV$45)+SUMPRODUCT(Adds!$C$196:$AS$196,Curves!$AF$68:$BV$68)</f>
        <v/>
      </c>
      <c r="AT52" s="5">
        <f>SUMPRODUCT(Adds!$C$194:$AT$194,Curves!$AE$22:$BV$22)+SUMPRODUCT(Adds!$C$195:$AT$195,Curves!$AE$45:$BV$45)+SUMPRODUCT(Adds!$C$196:$AT$196,Curves!$AE$68:$BV$68)</f>
        <v/>
      </c>
      <c r="AU52" s="5">
        <f>SUMPRODUCT(Adds!$C$194:$AU$194,Curves!$AD$22:$BV$22)+SUMPRODUCT(Adds!$C$195:$AU$195,Curves!$AD$45:$BV$45)+SUMPRODUCT(Adds!$C$196:$AU$196,Curves!$AD$68:$BV$68)</f>
        <v/>
      </c>
      <c r="AV52" s="5">
        <f>SUMPRODUCT(Adds!$C$194:$AV$194,Curves!$AC$22:$BV$22)+SUMPRODUCT(Adds!$C$195:$AV$195,Curves!$AC$45:$BV$45)+SUMPRODUCT(Adds!$C$196:$AV$196,Curves!$AC$68:$BV$68)</f>
        <v/>
      </c>
      <c r="AW52" s="5">
        <f>SUMPRODUCT(Adds!$C$194:$AW$194,Curves!$AB$22:$BV$22)+SUMPRODUCT(Adds!$C$195:$AW$195,Curves!$AB$45:$BV$45)+SUMPRODUCT(Adds!$C$196:$AW$196,Curves!$AB$68:$BV$68)</f>
        <v/>
      </c>
      <c r="AX52" s="5">
        <f>SUMPRODUCT(Adds!$C$194:$AX$194,Curves!$AA$22:$BV$22)+SUMPRODUCT(Adds!$C$195:$AX$195,Curves!$AA$45:$BV$45)+SUMPRODUCT(Adds!$C$196:$AX$196,Curves!$AA$68:$BV$68)</f>
        <v/>
      </c>
      <c r="AY52" s="5">
        <f>SUMPRODUCT(Adds!$C$194:$AY$194,Curves!$Z$22:$BV$22)+SUMPRODUCT(Adds!$C$195:$AY$195,Curves!$Z$45:$BV$45)+SUMPRODUCT(Adds!$C$196:$AY$196,Curves!$Z$68:$BV$68)</f>
        <v/>
      </c>
      <c r="AZ52" s="5">
        <f>SUMPRODUCT(Adds!$C$194:$AZ$194,Curves!$Y$22:$BV$22)+SUMPRODUCT(Adds!$C$195:$AZ$195,Curves!$Y$45:$BV$45)+SUMPRODUCT(Adds!$C$196:$AZ$196,Curves!$Y$68:$BV$68)</f>
        <v/>
      </c>
      <c r="BA52" s="5">
        <f>SUMPRODUCT(Adds!$C$194:$BA$194,Curves!$X$22:$BV$22)+SUMPRODUCT(Adds!$C$195:$BA$195,Curves!$X$45:$BV$45)+SUMPRODUCT(Adds!$C$196:$BA$196,Curves!$X$68:$BV$68)</f>
        <v/>
      </c>
      <c r="BB52" s="5">
        <f>SUMPRODUCT(Adds!$C$194:$BB$194,Curves!$W$22:$BV$22)+SUMPRODUCT(Adds!$C$195:$BB$195,Curves!$W$45:$BV$45)+SUMPRODUCT(Adds!$C$196:$BB$196,Curves!$W$68:$BV$68)</f>
        <v/>
      </c>
      <c r="BC52" s="5">
        <f>SUMPRODUCT(Adds!$C$194:$BC$194,Curves!$V$22:$BV$22)+SUMPRODUCT(Adds!$C$195:$BC$195,Curves!$V$45:$BV$45)+SUMPRODUCT(Adds!$C$196:$BC$196,Curves!$V$68:$BV$68)</f>
        <v/>
      </c>
      <c r="BD52" s="5">
        <f>SUMPRODUCT(Adds!$C$194:$BD$194,Curves!$U$22:$BV$22)+SUMPRODUCT(Adds!$C$195:$BD$195,Curves!$U$45:$BV$45)+SUMPRODUCT(Adds!$C$196:$BD$196,Curves!$U$68:$BV$68)</f>
        <v/>
      </c>
      <c r="BE52" s="5">
        <f>SUMPRODUCT(Adds!$C$194:$BE$194,Curves!$T$22:$BV$22)+SUMPRODUCT(Adds!$C$195:$BE$195,Curves!$T$45:$BV$45)+SUMPRODUCT(Adds!$C$196:$BE$196,Curves!$T$68:$BV$68)</f>
        <v/>
      </c>
      <c r="BF52" s="5">
        <f>SUMPRODUCT(Adds!$C$194:$BF$194,Curves!$S$22:$BV$22)+SUMPRODUCT(Adds!$C$195:$BF$195,Curves!$S$45:$BV$45)+SUMPRODUCT(Adds!$C$196:$BF$196,Curves!$S$68:$BV$68)</f>
        <v/>
      </c>
      <c r="BG52" s="5">
        <f>SUMPRODUCT(Adds!$C$194:$BG$194,Curves!$R$22:$BV$22)+SUMPRODUCT(Adds!$C$195:$BG$195,Curves!$R$45:$BV$45)+SUMPRODUCT(Adds!$C$196:$BG$196,Curves!$R$68:$BV$68)</f>
        <v/>
      </c>
      <c r="BH52" s="5">
        <f>SUMPRODUCT(Adds!$C$194:$BH$194,Curves!$Q$22:$BV$22)+SUMPRODUCT(Adds!$C$195:$BH$195,Curves!$Q$45:$BV$45)+SUMPRODUCT(Adds!$C$196:$BH$196,Curves!$Q$68:$BV$68)</f>
        <v/>
      </c>
      <c r="BI52" s="5">
        <f>SUMPRODUCT(Adds!$C$194:$BI$194,Curves!$P$22:$BV$22)+SUMPRODUCT(Adds!$C$195:$BI$195,Curves!$P$45:$BV$45)+SUMPRODUCT(Adds!$C$196:$BI$196,Curves!$P$68:$BV$68)</f>
        <v/>
      </c>
      <c r="BJ52" s="5">
        <f>SUMPRODUCT(Adds!$C$194:$BJ$194,Curves!$O$22:$BV$22)+SUMPRODUCT(Adds!$C$195:$BJ$195,Curves!$O$45:$BV$45)+SUMPRODUCT(Adds!$C$196:$BJ$196,Curves!$O$68:$BV$68)</f>
        <v/>
      </c>
      <c r="BK52" s="5">
        <f>SUMPRODUCT(Adds!$C$194:$BK$194,Curves!$N$22:$BV$22)+SUMPRODUCT(Adds!$C$195:$BK$195,Curves!$N$45:$BV$45)+SUMPRODUCT(Adds!$C$196:$BK$196,Curves!$N$68:$BV$68)</f>
        <v/>
      </c>
      <c r="BL52" s="5">
        <f>SUMPRODUCT(Adds!$C$194:$BL$194,Curves!$M$22:$BV$22)+SUMPRODUCT(Adds!$C$195:$BL$195,Curves!$M$45:$BV$45)+SUMPRODUCT(Adds!$C$196:$BL$196,Curves!$M$68:$BV$68)</f>
        <v/>
      </c>
      <c r="BM52" s="5">
        <f>SUMPRODUCT(Adds!$C$194:$BM$194,Curves!$L$22:$BV$22)+SUMPRODUCT(Adds!$C$195:$BM$195,Curves!$L$45:$BV$45)+SUMPRODUCT(Adds!$C$196:$BM$196,Curves!$L$68:$BV$68)</f>
        <v/>
      </c>
      <c r="BN52" s="5">
        <f>SUMPRODUCT(Adds!$C$194:$BN$194,Curves!$K$22:$BV$22)+SUMPRODUCT(Adds!$C$195:$BN$195,Curves!$K$45:$BV$45)+SUMPRODUCT(Adds!$C$196:$BN$196,Curves!$K$68:$BV$68)</f>
        <v/>
      </c>
      <c r="BO52" s="5">
        <f>SUMPRODUCT(Adds!$C$194:$BO$194,Curves!$J$22:$BV$22)+SUMPRODUCT(Adds!$C$195:$BO$195,Curves!$J$45:$BV$45)+SUMPRODUCT(Adds!$C$196:$BO$196,Curves!$J$68:$BV$68)</f>
        <v/>
      </c>
      <c r="BP52" s="5">
        <f>SUMPRODUCT(Adds!$C$194:$BP$194,Curves!$I$22:$BV$22)+SUMPRODUCT(Adds!$C$195:$BP$195,Curves!$I$45:$BV$45)+SUMPRODUCT(Adds!$C$196:$BP$196,Curves!$I$68:$BV$68)</f>
        <v/>
      </c>
      <c r="BQ52" s="5">
        <f>SUMPRODUCT(Adds!$C$194:$BQ$194,Curves!$H$22:$BV$22)+SUMPRODUCT(Adds!$C$195:$BQ$195,Curves!$H$45:$BV$45)+SUMPRODUCT(Adds!$C$196:$BQ$196,Curves!$H$68:$BV$68)</f>
        <v/>
      </c>
      <c r="BR52" s="5">
        <f>SUMPRODUCT(Adds!$C$194:$BR$194,Curves!$G$22:$BV$22)+SUMPRODUCT(Adds!$C$195:$BR$195,Curves!$G$45:$BV$45)+SUMPRODUCT(Adds!$C$196:$BR$196,Curves!$G$68:$BV$68)</f>
        <v/>
      </c>
      <c r="BS52" s="5">
        <f>SUMPRODUCT(Adds!$C$194:$BS$194,Curves!$F$22:$BV$22)+SUMPRODUCT(Adds!$C$195:$BS$195,Curves!$F$45:$BV$45)+SUMPRODUCT(Adds!$C$196:$BS$196,Curves!$F$68:$BV$68)</f>
        <v/>
      </c>
      <c r="BT52" s="5">
        <f>SUMPRODUCT(Adds!$C$194:$BT$194,Curves!$E$22:$BV$22)+SUMPRODUCT(Adds!$C$195:$BT$195,Curves!$E$45:$BV$45)+SUMPRODUCT(Adds!$C$196:$BT$196,Curves!$E$68:$BV$68)</f>
        <v/>
      </c>
      <c r="BU52" s="5">
        <f>SUMPRODUCT(Adds!$C$194:$BU$194,Curves!$D$22:$BV$22)+SUMPRODUCT(Adds!$C$195:$BU$195,Curves!$D$45:$BV$45)+SUMPRODUCT(Adds!$C$196:$BU$196,Curves!$D$68:$BV$68)</f>
        <v/>
      </c>
      <c r="BV52" s="5">
        <f>SUMPRODUCT(Adds!$C$194:$BV$194,Curves!$C$22:$BV$22)+SUMPRODUCT(Adds!$C$195:$BV$195,Curves!$C$45:$BV$45)+SUMPRODUCT(Adds!$C$196:$BV$196,Curves!$C$68:$BV$68)</f>
        <v/>
      </c>
    </row>
    <row r="53">
      <c r="A53" t="inlineStr">
        <is>
          <t>churned</t>
        </is>
      </c>
      <c r="B53" t="inlineStr">
        <is>
          <t>APAC|NITRO_M</t>
        </is>
      </c>
      <c r="C53" s="5">
        <f>Adds!$C$194*Curves!$BV$17+Adds!$C$195*Curves!$BV$40+Adds!$C$196*Curves!$BV$63</f>
        <v/>
      </c>
      <c r="D53" s="5">
        <f>SUMPRODUCT(Adds!$C$194:$D$194,Curves!$BU$17:$BV$17)+SUMPRODUCT(Adds!$C$195:$D$195,Curves!$BU$40:$BV$40)+SUMPRODUCT(Adds!$C$196:$D$196,Curves!$BU$63:$BV$63)</f>
        <v/>
      </c>
      <c r="E53" s="5">
        <f>SUMPRODUCT(Adds!$C$194:$E$194,Curves!$BT$17:$BV$17)+SUMPRODUCT(Adds!$C$195:$E$195,Curves!$BT$40:$BV$40)+SUMPRODUCT(Adds!$C$196:$E$196,Curves!$BT$63:$BV$63)</f>
        <v/>
      </c>
      <c r="F53" s="5">
        <f>SUMPRODUCT(Adds!$C$194:$F$194,Curves!$BS$17:$BV$17)+SUMPRODUCT(Adds!$C$195:$F$195,Curves!$BS$40:$BV$40)+SUMPRODUCT(Adds!$C$196:$F$196,Curves!$BS$63:$BV$63)</f>
        <v/>
      </c>
      <c r="G53" s="5">
        <f>SUMPRODUCT(Adds!$C$194:$G$194,Curves!$BR$17:$BV$17)+SUMPRODUCT(Adds!$C$195:$G$195,Curves!$BR$40:$BV$40)+SUMPRODUCT(Adds!$C$196:$G$196,Curves!$BR$63:$BV$63)</f>
        <v/>
      </c>
      <c r="H53" s="5">
        <f>SUMPRODUCT(Adds!$C$194:$H$194,Curves!$BQ$17:$BV$17)+SUMPRODUCT(Adds!$C$195:$H$195,Curves!$BQ$40:$BV$40)+SUMPRODUCT(Adds!$C$196:$H$196,Curves!$BQ$63:$BV$63)</f>
        <v/>
      </c>
      <c r="I53" s="5">
        <f>SUMPRODUCT(Adds!$C$194:$I$194,Curves!$BP$17:$BV$17)+SUMPRODUCT(Adds!$C$195:$I$195,Curves!$BP$40:$BV$40)+SUMPRODUCT(Adds!$C$196:$I$196,Curves!$BP$63:$BV$63)</f>
        <v/>
      </c>
      <c r="J53" s="5">
        <f>SUMPRODUCT(Adds!$C$194:$J$194,Curves!$BO$17:$BV$17)+SUMPRODUCT(Adds!$C$195:$J$195,Curves!$BO$40:$BV$40)+SUMPRODUCT(Adds!$C$196:$J$196,Curves!$BO$63:$BV$63)</f>
        <v/>
      </c>
      <c r="K53" s="5">
        <f>SUMPRODUCT(Adds!$C$194:$K$194,Curves!$BN$17:$BV$17)+SUMPRODUCT(Adds!$C$195:$K$195,Curves!$BN$40:$BV$40)+SUMPRODUCT(Adds!$C$196:$K$196,Curves!$BN$63:$BV$63)</f>
        <v/>
      </c>
      <c r="L53" s="5">
        <f>SUMPRODUCT(Adds!$C$194:$L$194,Curves!$BM$17:$BV$17)+SUMPRODUCT(Adds!$C$195:$L$195,Curves!$BM$40:$BV$40)+SUMPRODUCT(Adds!$C$196:$L$196,Curves!$BM$63:$BV$63)</f>
        <v/>
      </c>
      <c r="M53" s="5">
        <f>SUMPRODUCT(Adds!$C$194:$M$194,Curves!$BL$17:$BV$17)+SUMPRODUCT(Adds!$C$195:$M$195,Curves!$BL$40:$BV$40)+SUMPRODUCT(Adds!$C$196:$M$196,Curves!$BL$63:$BV$63)</f>
        <v/>
      </c>
      <c r="N53" s="5">
        <f>SUMPRODUCT(Adds!$C$194:$N$194,Curves!$BK$17:$BV$17)+SUMPRODUCT(Adds!$C$195:$N$195,Curves!$BK$40:$BV$40)+SUMPRODUCT(Adds!$C$196:$N$196,Curves!$BK$63:$BV$63)</f>
        <v/>
      </c>
      <c r="O53" s="5">
        <f>SUMPRODUCT(Adds!$C$194:$O$194,Curves!$BJ$17:$BV$17)+SUMPRODUCT(Adds!$C$195:$O$195,Curves!$BJ$40:$BV$40)+SUMPRODUCT(Adds!$C$196:$O$196,Curves!$BJ$63:$BV$63)</f>
        <v/>
      </c>
      <c r="P53" s="5">
        <f>SUMPRODUCT(Adds!$C$194:$P$194,Curves!$BI$17:$BV$17)+SUMPRODUCT(Adds!$C$195:$P$195,Curves!$BI$40:$BV$40)+SUMPRODUCT(Adds!$C$196:$P$196,Curves!$BI$63:$BV$63)</f>
        <v/>
      </c>
      <c r="Q53" s="5">
        <f>SUMPRODUCT(Adds!$C$194:$Q$194,Curves!$BH$17:$BV$17)+SUMPRODUCT(Adds!$C$195:$Q$195,Curves!$BH$40:$BV$40)+SUMPRODUCT(Adds!$C$196:$Q$196,Curves!$BH$63:$BV$63)</f>
        <v/>
      </c>
      <c r="R53" s="5">
        <f>SUMPRODUCT(Adds!$C$194:$R$194,Curves!$BG$17:$BV$17)+SUMPRODUCT(Adds!$C$195:$R$195,Curves!$BG$40:$BV$40)+SUMPRODUCT(Adds!$C$196:$R$196,Curves!$BG$63:$BV$63)</f>
        <v/>
      </c>
      <c r="S53" s="5">
        <f>SUMPRODUCT(Adds!$C$194:$S$194,Curves!$BF$17:$BV$17)+SUMPRODUCT(Adds!$C$195:$S$195,Curves!$BF$40:$BV$40)+SUMPRODUCT(Adds!$C$196:$S$196,Curves!$BF$63:$BV$63)</f>
        <v/>
      </c>
      <c r="T53" s="5">
        <f>SUMPRODUCT(Adds!$C$194:$T$194,Curves!$BE$17:$BV$17)+SUMPRODUCT(Adds!$C$195:$T$195,Curves!$BE$40:$BV$40)+SUMPRODUCT(Adds!$C$196:$T$196,Curves!$BE$63:$BV$63)</f>
        <v/>
      </c>
      <c r="U53" s="5">
        <f>SUMPRODUCT(Adds!$C$194:$U$194,Curves!$BD$17:$BV$17)+SUMPRODUCT(Adds!$C$195:$U$195,Curves!$BD$40:$BV$40)+SUMPRODUCT(Adds!$C$196:$U$196,Curves!$BD$63:$BV$63)</f>
        <v/>
      </c>
      <c r="V53" s="5">
        <f>SUMPRODUCT(Adds!$C$194:$V$194,Curves!$BC$17:$BV$17)+SUMPRODUCT(Adds!$C$195:$V$195,Curves!$BC$40:$BV$40)+SUMPRODUCT(Adds!$C$196:$V$196,Curves!$BC$63:$BV$63)</f>
        <v/>
      </c>
      <c r="W53" s="5">
        <f>SUMPRODUCT(Adds!$C$194:$W$194,Curves!$BB$17:$BV$17)+SUMPRODUCT(Adds!$C$195:$W$195,Curves!$BB$40:$BV$40)+SUMPRODUCT(Adds!$C$196:$W$196,Curves!$BB$63:$BV$63)</f>
        <v/>
      </c>
      <c r="X53" s="5">
        <f>SUMPRODUCT(Adds!$C$194:$X$194,Curves!$BA$17:$BV$17)+SUMPRODUCT(Adds!$C$195:$X$195,Curves!$BA$40:$BV$40)+SUMPRODUCT(Adds!$C$196:$X$196,Curves!$BA$63:$BV$63)</f>
        <v/>
      </c>
      <c r="Y53" s="5">
        <f>SUMPRODUCT(Adds!$C$194:$Y$194,Curves!$AZ$17:$BV$17)+SUMPRODUCT(Adds!$C$195:$Y$195,Curves!$AZ$40:$BV$40)+SUMPRODUCT(Adds!$C$196:$Y$196,Curves!$AZ$63:$BV$63)</f>
        <v/>
      </c>
      <c r="Z53" s="5">
        <f>SUMPRODUCT(Adds!$C$194:$Z$194,Curves!$AY$17:$BV$17)+SUMPRODUCT(Adds!$C$195:$Z$195,Curves!$AY$40:$BV$40)+SUMPRODUCT(Adds!$C$196:$Z$196,Curves!$AY$63:$BV$63)</f>
        <v/>
      </c>
      <c r="AA53" s="5">
        <f>SUMPRODUCT(Adds!$C$194:$AA$194,Curves!$AX$17:$BV$17)+SUMPRODUCT(Adds!$C$195:$AA$195,Curves!$AX$40:$BV$40)+SUMPRODUCT(Adds!$C$196:$AA$196,Curves!$AX$63:$BV$63)</f>
        <v/>
      </c>
      <c r="AB53" s="5">
        <f>SUMPRODUCT(Adds!$C$194:$AB$194,Curves!$AW$17:$BV$17)+SUMPRODUCT(Adds!$C$195:$AB$195,Curves!$AW$40:$BV$40)+SUMPRODUCT(Adds!$C$196:$AB$196,Curves!$AW$63:$BV$63)</f>
        <v/>
      </c>
      <c r="AC53" s="5">
        <f>SUMPRODUCT(Adds!$C$194:$AC$194,Curves!$AV$17:$BV$17)+SUMPRODUCT(Adds!$C$195:$AC$195,Curves!$AV$40:$BV$40)+SUMPRODUCT(Adds!$C$196:$AC$196,Curves!$AV$63:$BV$63)</f>
        <v/>
      </c>
      <c r="AD53" s="5">
        <f>SUMPRODUCT(Adds!$C$194:$AD$194,Curves!$AU$17:$BV$17)+SUMPRODUCT(Adds!$C$195:$AD$195,Curves!$AU$40:$BV$40)+SUMPRODUCT(Adds!$C$196:$AD$196,Curves!$AU$63:$BV$63)</f>
        <v/>
      </c>
      <c r="AE53" s="5">
        <f>SUMPRODUCT(Adds!$C$194:$AE$194,Curves!$AT$17:$BV$17)+SUMPRODUCT(Adds!$C$195:$AE$195,Curves!$AT$40:$BV$40)+SUMPRODUCT(Adds!$C$196:$AE$196,Curves!$AT$63:$BV$63)</f>
        <v/>
      </c>
      <c r="AF53" s="5">
        <f>SUMPRODUCT(Adds!$C$194:$AF$194,Curves!$AS$17:$BV$17)+SUMPRODUCT(Adds!$C$195:$AF$195,Curves!$AS$40:$BV$40)+SUMPRODUCT(Adds!$C$196:$AF$196,Curves!$AS$63:$BV$63)</f>
        <v/>
      </c>
      <c r="AG53" s="5">
        <f>SUMPRODUCT(Adds!$C$194:$AG$194,Curves!$AR$17:$BV$17)+SUMPRODUCT(Adds!$C$195:$AG$195,Curves!$AR$40:$BV$40)+SUMPRODUCT(Adds!$C$196:$AG$196,Curves!$AR$63:$BV$63)</f>
        <v/>
      </c>
      <c r="AH53" s="5">
        <f>SUMPRODUCT(Adds!$C$194:$AH$194,Curves!$AQ$17:$BV$17)+SUMPRODUCT(Adds!$C$195:$AH$195,Curves!$AQ$40:$BV$40)+SUMPRODUCT(Adds!$C$196:$AH$196,Curves!$AQ$63:$BV$63)</f>
        <v/>
      </c>
      <c r="AI53" s="5">
        <f>SUMPRODUCT(Adds!$C$194:$AI$194,Curves!$AP$17:$BV$17)+SUMPRODUCT(Adds!$C$195:$AI$195,Curves!$AP$40:$BV$40)+SUMPRODUCT(Adds!$C$196:$AI$196,Curves!$AP$63:$BV$63)</f>
        <v/>
      </c>
      <c r="AJ53" s="5">
        <f>SUMPRODUCT(Adds!$C$194:$AJ$194,Curves!$AO$17:$BV$17)+SUMPRODUCT(Adds!$C$195:$AJ$195,Curves!$AO$40:$BV$40)+SUMPRODUCT(Adds!$C$196:$AJ$196,Curves!$AO$63:$BV$63)</f>
        <v/>
      </c>
      <c r="AK53" s="5">
        <f>SUMPRODUCT(Adds!$C$194:$AK$194,Curves!$AN$17:$BV$17)+SUMPRODUCT(Adds!$C$195:$AK$195,Curves!$AN$40:$BV$40)+SUMPRODUCT(Adds!$C$196:$AK$196,Curves!$AN$63:$BV$63)</f>
        <v/>
      </c>
      <c r="AL53" s="5">
        <f>SUMPRODUCT(Adds!$C$194:$AL$194,Curves!$AM$17:$BV$17)+SUMPRODUCT(Adds!$C$195:$AL$195,Curves!$AM$40:$BV$40)+SUMPRODUCT(Adds!$C$196:$AL$196,Curves!$AM$63:$BV$63)</f>
        <v/>
      </c>
      <c r="AM53" s="5">
        <f>SUMPRODUCT(Adds!$C$194:$AM$194,Curves!$AL$17:$BV$17)+SUMPRODUCT(Adds!$C$195:$AM$195,Curves!$AL$40:$BV$40)+SUMPRODUCT(Adds!$C$196:$AM$196,Curves!$AL$63:$BV$63)</f>
        <v/>
      </c>
      <c r="AN53" s="5">
        <f>SUMPRODUCT(Adds!$C$194:$AN$194,Curves!$AK$17:$BV$17)+SUMPRODUCT(Adds!$C$195:$AN$195,Curves!$AK$40:$BV$40)+SUMPRODUCT(Adds!$C$196:$AN$196,Curves!$AK$63:$BV$63)</f>
        <v/>
      </c>
      <c r="AO53" s="5">
        <f>SUMPRODUCT(Adds!$C$194:$AO$194,Curves!$AJ$17:$BV$17)+SUMPRODUCT(Adds!$C$195:$AO$195,Curves!$AJ$40:$BV$40)+SUMPRODUCT(Adds!$C$196:$AO$196,Curves!$AJ$63:$BV$63)</f>
        <v/>
      </c>
      <c r="AP53" s="5">
        <f>SUMPRODUCT(Adds!$C$194:$AP$194,Curves!$AI$17:$BV$17)+SUMPRODUCT(Adds!$C$195:$AP$195,Curves!$AI$40:$BV$40)+SUMPRODUCT(Adds!$C$196:$AP$196,Curves!$AI$63:$BV$63)</f>
        <v/>
      </c>
      <c r="AQ53" s="5">
        <f>SUMPRODUCT(Adds!$C$194:$AQ$194,Curves!$AH$17:$BV$17)+SUMPRODUCT(Adds!$C$195:$AQ$195,Curves!$AH$40:$BV$40)+SUMPRODUCT(Adds!$C$196:$AQ$196,Curves!$AH$63:$BV$63)</f>
        <v/>
      </c>
      <c r="AR53" s="5">
        <f>SUMPRODUCT(Adds!$C$194:$AR$194,Curves!$AG$17:$BV$17)+SUMPRODUCT(Adds!$C$195:$AR$195,Curves!$AG$40:$BV$40)+SUMPRODUCT(Adds!$C$196:$AR$196,Curves!$AG$63:$BV$63)</f>
        <v/>
      </c>
      <c r="AS53" s="5">
        <f>SUMPRODUCT(Adds!$C$194:$AS$194,Curves!$AF$17:$BV$17)+SUMPRODUCT(Adds!$C$195:$AS$195,Curves!$AF$40:$BV$40)+SUMPRODUCT(Adds!$C$196:$AS$196,Curves!$AF$63:$BV$63)</f>
        <v/>
      </c>
      <c r="AT53" s="5">
        <f>SUMPRODUCT(Adds!$C$194:$AT$194,Curves!$AE$17:$BV$17)+SUMPRODUCT(Adds!$C$195:$AT$195,Curves!$AE$40:$BV$40)+SUMPRODUCT(Adds!$C$196:$AT$196,Curves!$AE$63:$BV$63)</f>
        <v/>
      </c>
      <c r="AU53" s="5">
        <f>SUMPRODUCT(Adds!$C$194:$AU$194,Curves!$AD$17:$BV$17)+SUMPRODUCT(Adds!$C$195:$AU$195,Curves!$AD$40:$BV$40)+SUMPRODUCT(Adds!$C$196:$AU$196,Curves!$AD$63:$BV$63)</f>
        <v/>
      </c>
      <c r="AV53" s="5">
        <f>SUMPRODUCT(Adds!$C$194:$AV$194,Curves!$AC$17:$BV$17)+SUMPRODUCT(Adds!$C$195:$AV$195,Curves!$AC$40:$BV$40)+SUMPRODUCT(Adds!$C$196:$AV$196,Curves!$AC$63:$BV$63)</f>
        <v/>
      </c>
      <c r="AW53" s="5">
        <f>SUMPRODUCT(Adds!$C$194:$AW$194,Curves!$AB$17:$BV$17)+SUMPRODUCT(Adds!$C$195:$AW$195,Curves!$AB$40:$BV$40)+SUMPRODUCT(Adds!$C$196:$AW$196,Curves!$AB$63:$BV$63)</f>
        <v/>
      </c>
      <c r="AX53" s="5">
        <f>SUMPRODUCT(Adds!$C$194:$AX$194,Curves!$AA$17:$BV$17)+SUMPRODUCT(Adds!$C$195:$AX$195,Curves!$AA$40:$BV$40)+SUMPRODUCT(Adds!$C$196:$AX$196,Curves!$AA$63:$BV$63)</f>
        <v/>
      </c>
      <c r="AY53" s="5">
        <f>SUMPRODUCT(Adds!$C$194:$AY$194,Curves!$Z$17:$BV$17)+SUMPRODUCT(Adds!$C$195:$AY$195,Curves!$Z$40:$BV$40)+SUMPRODUCT(Adds!$C$196:$AY$196,Curves!$Z$63:$BV$63)</f>
        <v/>
      </c>
      <c r="AZ53" s="5">
        <f>SUMPRODUCT(Adds!$C$194:$AZ$194,Curves!$Y$17:$BV$17)+SUMPRODUCT(Adds!$C$195:$AZ$195,Curves!$Y$40:$BV$40)+SUMPRODUCT(Adds!$C$196:$AZ$196,Curves!$Y$63:$BV$63)</f>
        <v/>
      </c>
      <c r="BA53" s="5">
        <f>SUMPRODUCT(Adds!$C$194:$BA$194,Curves!$X$17:$BV$17)+SUMPRODUCT(Adds!$C$195:$BA$195,Curves!$X$40:$BV$40)+SUMPRODUCT(Adds!$C$196:$BA$196,Curves!$X$63:$BV$63)</f>
        <v/>
      </c>
      <c r="BB53" s="5">
        <f>SUMPRODUCT(Adds!$C$194:$BB$194,Curves!$W$17:$BV$17)+SUMPRODUCT(Adds!$C$195:$BB$195,Curves!$W$40:$BV$40)+SUMPRODUCT(Adds!$C$196:$BB$196,Curves!$W$63:$BV$63)</f>
        <v/>
      </c>
      <c r="BC53" s="5">
        <f>SUMPRODUCT(Adds!$C$194:$BC$194,Curves!$V$17:$BV$17)+SUMPRODUCT(Adds!$C$195:$BC$195,Curves!$V$40:$BV$40)+SUMPRODUCT(Adds!$C$196:$BC$196,Curves!$V$63:$BV$63)</f>
        <v/>
      </c>
      <c r="BD53" s="5">
        <f>SUMPRODUCT(Adds!$C$194:$BD$194,Curves!$U$17:$BV$17)+SUMPRODUCT(Adds!$C$195:$BD$195,Curves!$U$40:$BV$40)+SUMPRODUCT(Adds!$C$196:$BD$196,Curves!$U$63:$BV$63)</f>
        <v/>
      </c>
      <c r="BE53" s="5">
        <f>SUMPRODUCT(Adds!$C$194:$BE$194,Curves!$T$17:$BV$17)+SUMPRODUCT(Adds!$C$195:$BE$195,Curves!$T$40:$BV$40)+SUMPRODUCT(Adds!$C$196:$BE$196,Curves!$T$63:$BV$63)</f>
        <v/>
      </c>
      <c r="BF53" s="5">
        <f>SUMPRODUCT(Adds!$C$194:$BF$194,Curves!$S$17:$BV$17)+SUMPRODUCT(Adds!$C$195:$BF$195,Curves!$S$40:$BV$40)+SUMPRODUCT(Adds!$C$196:$BF$196,Curves!$S$63:$BV$63)</f>
        <v/>
      </c>
      <c r="BG53" s="5">
        <f>SUMPRODUCT(Adds!$C$194:$BG$194,Curves!$R$17:$BV$17)+SUMPRODUCT(Adds!$C$195:$BG$195,Curves!$R$40:$BV$40)+SUMPRODUCT(Adds!$C$196:$BG$196,Curves!$R$63:$BV$63)</f>
        <v/>
      </c>
      <c r="BH53" s="5">
        <f>SUMPRODUCT(Adds!$C$194:$BH$194,Curves!$Q$17:$BV$17)+SUMPRODUCT(Adds!$C$195:$BH$195,Curves!$Q$40:$BV$40)+SUMPRODUCT(Adds!$C$196:$BH$196,Curves!$Q$63:$BV$63)</f>
        <v/>
      </c>
      <c r="BI53" s="5">
        <f>SUMPRODUCT(Adds!$C$194:$BI$194,Curves!$P$17:$BV$17)+SUMPRODUCT(Adds!$C$195:$BI$195,Curves!$P$40:$BV$40)+SUMPRODUCT(Adds!$C$196:$BI$196,Curves!$P$63:$BV$63)</f>
        <v/>
      </c>
      <c r="BJ53" s="5">
        <f>SUMPRODUCT(Adds!$C$194:$BJ$194,Curves!$O$17:$BV$17)+SUMPRODUCT(Adds!$C$195:$BJ$195,Curves!$O$40:$BV$40)+SUMPRODUCT(Adds!$C$196:$BJ$196,Curves!$O$63:$BV$63)</f>
        <v/>
      </c>
      <c r="BK53" s="5">
        <f>SUMPRODUCT(Adds!$C$194:$BK$194,Curves!$N$17:$BV$17)+SUMPRODUCT(Adds!$C$195:$BK$195,Curves!$N$40:$BV$40)+SUMPRODUCT(Adds!$C$196:$BK$196,Curves!$N$63:$BV$63)</f>
        <v/>
      </c>
      <c r="BL53" s="5">
        <f>SUMPRODUCT(Adds!$C$194:$BL$194,Curves!$M$17:$BV$17)+SUMPRODUCT(Adds!$C$195:$BL$195,Curves!$M$40:$BV$40)+SUMPRODUCT(Adds!$C$196:$BL$196,Curves!$M$63:$BV$63)</f>
        <v/>
      </c>
      <c r="BM53" s="5">
        <f>SUMPRODUCT(Adds!$C$194:$BM$194,Curves!$L$17:$BV$17)+SUMPRODUCT(Adds!$C$195:$BM$195,Curves!$L$40:$BV$40)+SUMPRODUCT(Adds!$C$196:$BM$196,Curves!$L$63:$BV$63)</f>
        <v/>
      </c>
      <c r="BN53" s="5">
        <f>SUMPRODUCT(Adds!$C$194:$BN$194,Curves!$K$17:$BV$17)+SUMPRODUCT(Adds!$C$195:$BN$195,Curves!$K$40:$BV$40)+SUMPRODUCT(Adds!$C$196:$BN$196,Curves!$K$63:$BV$63)</f>
        <v/>
      </c>
      <c r="BO53" s="5">
        <f>SUMPRODUCT(Adds!$C$194:$BO$194,Curves!$J$17:$BV$17)+SUMPRODUCT(Adds!$C$195:$BO$195,Curves!$J$40:$BV$40)+SUMPRODUCT(Adds!$C$196:$BO$196,Curves!$J$63:$BV$63)</f>
        <v/>
      </c>
      <c r="BP53" s="5">
        <f>SUMPRODUCT(Adds!$C$194:$BP$194,Curves!$I$17:$BV$17)+SUMPRODUCT(Adds!$C$195:$BP$195,Curves!$I$40:$BV$40)+SUMPRODUCT(Adds!$C$196:$BP$196,Curves!$I$63:$BV$63)</f>
        <v/>
      </c>
      <c r="BQ53" s="5">
        <f>SUMPRODUCT(Adds!$C$194:$BQ$194,Curves!$H$17:$BV$17)+SUMPRODUCT(Adds!$C$195:$BQ$195,Curves!$H$40:$BV$40)+SUMPRODUCT(Adds!$C$196:$BQ$196,Curves!$H$63:$BV$63)</f>
        <v/>
      </c>
      <c r="BR53" s="5">
        <f>SUMPRODUCT(Adds!$C$194:$BR$194,Curves!$G$17:$BV$17)+SUMPRODUCT(Adds!$C$195:$BR$195,Curves!$G$40:$BV$40)+SUMPRODUCT(Adds!$C$196:$BR$196,Curves!$G$63:$BV$63)</f>
        <v/>
      </c>
      <c r="BS53" s="5">
        <f>SUMPRODUCT(Adds!$C$194:$BS$194,Curves!$F$17:$BV$17)+SUMPRODUCT(Adds!$C$195:$BS$195,Curves!$F$40:$BV$40)+SUMPRODUCT(Adds!$C$196:$BS$196,Curves!$F$63:$BV$63)</f>
        <v/>
      </c>
      <c r="BT53" s="5">
        <f>SUMPRODUCT(Adds!$C$194:$BT$194,Curves!$E$17:$BV$17)+SUMPRODUCT(Adds!$C$195:$BT$195,Curves!$E$40:$BV$40)+SUMPRODUCT(Adds!$C$196:$BT$196,Curves!$E$63:$BV$63)</f>
        <v/>
      </c>
      <c r="BU53" s="5">
        <f>SUMPRODUCT(Adds!$C$194:$BU$194,Curves!$D$17:$BV$17)+SUMPRODUCT(Adds!$C$195:$BU$195,Curves!$D$40:$BV$40)+SUMPRODUCT(Adds!$C$196:$BU$196,Curves!$D$63:$BV$63)</f>
        <v/>
      </c>
      <c r="BV53" s="5">
        <f>SUMPRODUCT(Adds!$C$194:$BV$194,Curves!$C$17:$BV$17)+SUMPRODUCT(Adds!$C$195:$BV$195,Curves!$C$40:$BV$40)+SUMPRODUCT(Adds!$C$196:$BV$196,Curves!$C$63:$BV$63)</f>
        <v/>
      </c>
    </row>
    <row r="55">
      <c r="A55" t="inlineStr">
        <is>
          <t>active</t>
        </is>
      </c>
      <c r="B55" t="inlineStr">
        <is>
          <t>APAC|NITRO_A</t>
        </is>
      </c>
      <c r="C55" s="5">
        <f>Adds!$C$209*Curves!$BV$16+Adds!$C$210*Curves!$BV$39+Adds!$C$211*Curves!$BV$62</f>
        <v/>
      </c>
      <c r="D55" s="5">
        <f>SUMPRODUCT(Adds!$C$209:$D$209,Curves!$BU$16:$BV$16)+SUMPRODUCT(Adds!$C$210:$D$210,Curves!$BU$39:$BV$39)+SUMPRODUCT(Adds!$C$211:$D$211,Curves!$BU$62:$BV$62)</f>
        <v/>
      </c>
      <c r="E55" s="5">
        <f>SUMPRODUCT(Adds!$C$209:$E$209,Curves!$BT$16:$BV$16)+SUMPRODUCT(Adds!$C$210:$E$210,Curves!$BT$39:$BV$39)+SUMPRODUCT(Adds!$C$211:$E$211,Curves!$BT$62:$BV$62)</f>
        <v/>
      </c>
      <c r="F55" s="5">
        <f>SUMPRODUCT(Adds!$C$209:$F$209,Curves!$BS$16:$BV$16)+SUMPRODUCT(Adds!$C$210:$F$210,Curves!$BS$39:$BV$39)+SUMPRODUCT(Adds!$C$211:$F$211,Curves!$BS$62:$BV$62)</f>
        <v/>
      </c>
      <c r="G55" s="5">
        <f>SUMPRODUCT(Adds!$C$209:$G$209,Curves!$BR$16:$BV$16)+SUMPRODUCT(Adds!$C$210:$G$210,Curves!$BR$39:$BV$39)+SUMPRODUCT(Adds!$C$211:$G$211,Curves!$BR$62:$BV$62)</f>
        <v/>
      </c>
      <c r="H55" s="5">
        <f>SUMPRODUCT(Adds!$C$209:$H$209,Curves!$BQ$16:$BV$16)+SUMPRODUCT(Adds!$C$210:$H$210,Curves!$BQ$39:$BV$39)+SUMPRODUCT(Adds!$C$211:$H$211,Curves!$BQ$62:$BV$62)</f>
        <v/>
      </c>
      <c r="I55" s="5">
        <f>SUMPRODUCT(Adds!$C$209:$I$209,Curves!$BP$16:$BV$16)+SUMPRODUCT(Adds!$C$210:$I$210,Curves!$BP$39:$BV$39)+SUMPRODUCT(Adds!$C$211:$I$211,Curves!$BP$62:$BV$62)</f>
        <v/>
      </c>
      <c r="J55" s="5">
        <f>SUMPRODUCT(Adds!$C$209:$J$209,Curves!$BO$16:$BV$16)+SUMPRODUCT(Adds!$C$210:$J$210,Curves!$BO$39:$BV$39)+SUMPRODUCT(Adds!$C$211:$J$211,Curves!$BO$62:$BV$62)</f>
        <v/>
      </c>
      <c r="K55" s="5">
        <f>SUMPRODUCT(Adds!$C$209:$K$209,Curves!$BN$16:$BV$16)+SUMPRODUCT(Adds!$C$210:$K$210,Curves!$BN$39:$BV$39)+SUMPRODUCT(Adds!$C$211:$K$211,Curves!$BN$62:$BV$62)</f>
        <v/>
      </c>
      <c r="L55" s="5">
        <f>SUMPRODUCT(Adds!$C$209:$L$209,Curves!$BM$16:$BV$16)+SUMPRODUCT(Adds!$C$210:$L$210,Curves!$BM$39:$BV$39)+SUMPRODUCT(Adds!$C$211:$L$211,Curves!$BM$62:$BV$62)</f>
        <v/>
      </c>
      <c r="M55" s="5">
        <f>SUMPRODUCT(Adds!$C$209:$M$209,Curves!$BL$16:$BV$16)+SUMPRODUCT(Adds!$C$210:$M$210,Curves!$BL$39:$BV$39)+SUMPRODUCT(Adds!$C$211:$M$211,Curves!$BL$62:$BV$62)</f>
        <v/>
      </c>
      <c r="N55" s="5">
        <f>SUMPRODUCT(Adds!$C$209:$N$209,Curves!$BK$16:$BV$16)+SUMPRODUCT(Adds!$C$210:$N$210,Curves!$BK$39:$BV$39)+SUMPRODUCT(Adds!$C$211:$N$211,Curves!$BK$62:$BV$62)</f>
        <v/>
      </c>
      <c r="O55" s="5">
        <f>SUMPRODUCT(Adds!$C$209:$O$209,Curves!$BJ$16:$BV$16)+SUMPRODUCT(Adds!$C$210:$O$210,Curves!$BJ$39:$BV$39)+SUMPRODUCT(Adds!$C$211:$O$211,Curves!$BJ$62:$BV$62)</f>
        <v/>
      </c>
      <c r="P55" s="5">
        <f>SUMPRODUCT(Adds!$C$209:$P$209,Curves!$BI$16:$BV$16)+SUMPRODUCT(Adds!$C$210:$P$210,Curves!$BI$39:$BV$39)+SUMPRODUCT(Adds!$C$211:$P$211,Curves!$BI$62:$BV$62)</f>
        <v/>
      </c>
      <c r="Q55" s="5">
        <f>SUMPRODUCT(Adds!$C$209:$Q$209,Curves!$BH$16:$BV$16)+SUMPRODUCT(Adds!$C$210:$Q$210,Curves!$BH$39:$BV$39)+SUMPRODUCT(Adds!$C$211:$Q$211,Curves!$BH$62:$BV$62)</f>
        <v/>
      </c>
      <c r="R55" s="5">
        <f>SUMPRODUCT(Adds!$C$209:$R$209,Curves!$BG$16:$BV$16)+SUMPRODUCT(Adds!$C$210:$R$210,Curves!$BG$39:$BV$39)+SUMPRODUCT(Adds!$C$211:$R$211,Curves!$BG$62:$BV$62)</f>
        <v/>
      </c>
      <c r="S55" s="5">
        <f>SUMPRODUCT(Adds!$C$209:$S$209,Curves!$BF$16:$BV$16)+SUMPRODUCT(Adds!$C$210:$S$210,Curves!$BF$39:$BV$39)+SUMPRODUCT(Adds!$C$211:$S$211,Curves!$BF$62:$BV$62)</f>
        <v/>
      </c>
      <c r="T55" s="5">
        <f>SUMPRODUCT(Adds!$C$209:$T$209,Curves!$BE$16:$BV$16)+SUMPRODUCT(Adds!$C$210:$T$210,Curves!$BE$39:$BV$39)+SUMPRODUCT(Adds!$C$211:$T$211,Curves!$BE$62:$BV$62)</f>
        <v/>
      </c>
      <c r="U55" s="5">
        <f>SUMPRODUCT(Adds!$C$209:$U$209,Curves!$BD$16:$BV$16)+SUMPRODUCT(Adds!$C$210:$U$210,Curves!$BD$39:$BV$39)+SUMPRODUCT(Adds!$C$211:$U$211,Curves!$BD$62:$BV$62)</f>
        <v/>
      </c>
      <c r="V55" s="5">
        <f>SUMPRODUCT(Adds!$C$209:$V$209,Curves!$BC$16:$BV$16)+SUMPRODUCT(Adds!$C$210:$V$210,Curves!$BC$39:$BV$39)+SUMPRODUCT(Adds!$C$211:$V$211,Curves!$BC$62:$BV$62)</f>
        <v/>
      </c>
      <c r="W55" s="5">
        <f>SUMPRODUCT(Adds!$C$209:$W$209,Curves!$BB$16:$BV$16)+SUMPRODUCT(Adds!$C$210:$W$210,Curves!$BB$39:$BV$39)+SUMPRODUCT(Adds!$C$211:$W$211,Curves!$BB$62:$BV$62)</f>
        <v/>
      </c>
      <c r="X55" s="5">
        <f>SUMPRODUCT(Adds!$C$209:$X$209,Curves!$BA$16:$BV$16)+SUMPRODUCT(Adds!$C$210:$X$210,Curves!$BA$39:$BV$39)+SUMPRODUCT(Adds!$C$211:$X$211,Curves!$BA$62:$BV$62)</f>
        <v/>
      </c>
      <c r="Y55" s="5">
        <f>SUMPRODUCT(Adds!$C$209:$Y$209,Curves!$AZ$16:$BV$16)+SUMPRODUCT(Adds!$C$210:$Y$210,Curves!$AZ$39:$BV$39)+SUMPRODUCT(Adds!$C$211:$Y$211,Curves!$AZ$62:$BV$62)</f>
        <v/>
      </c>
      <c r="Z55" s="5">
        <f>SUMPRODUCT(Adds!$C$209:$Z$209,Curves!$AY$16:$BV$16)+SUMPRODUCT(Adds!$C$210:$Z$210,Curves!$AY$39:$BV$39)+SUMPRODUCT(Adds!$C$211:$Z$211,Curves!$AY$62:$BV$62)</f>
        <v/>
      </c>
      <c r="AA55" s="5">
        <f>SUMPRODUCT(Adds!$C$209:$AA$209,Curves!$AX$16:$BV$16)+SUMPRODUCT(Adds!$C$210:$AA$210,Curves!$AX$39:$BV$39)+SUMPRODUCT(Adds!$C$211:$AA$211,Curves!$AX$62:$BV$62)</f>
        <v/>
      </c>
      <c r="AB55" s="5">
        <f>SUMPRODUCT(Adds!$C$209:$AB$209,Curves!$AW$16:$BV$16)+SUMPRODUCT(Adds!$C$210:$AB$210,Curves!$AW$39:$BV$39)+SUMPRODUCT(Adds!$C$211:$AB$211,Curves!$AW$62:$BV$62)</f>
        <v/>
      </c>
      <c r="AC55" s="5">
        <f>SUMPRODUCT(Adds!$C$209:$AC$209,Curves!$AV$16:$BV$16)+SUMPRODUCT(Adds!$C$210:$AC$210,Curves!$AV$39:$BV$39)+SUMPRODUCT(Adds!$C$211:$AC$211,Curves!$AV$62:$BV$62)</f>
        <v/>
      </c>
      <c r="AD55" s="5">
        <f>SUMPRODUCT(Adds!$C$209:$AD$209,Curves!$AU$16:$BV$16)+SUMPRODUCT(Adds!$C$210:$AD$210,Curves!$AU$39:$BV$39)+SUMPRODUCT(Adds!$C$211:$AD$211,Curves!$AU$62:$BV$62)</f>
        <v/>
      </c>
      <c r="AE55" s="5">
        <f>SUMPRODUCT(Adds!$C$209:$AE$209,Curves!$AT$16:$BV$16)+SUMPRODUCT(Adds!$C$210:$AE$210,Curves!$AT$39:$BV$39)+SUMPRODUCT(Adds!$C$211:$AE$211,Curves!$AT$62:$BV$62)</f>
        <v/>
      </c>
      <c r="AF55" s="5">
        <f>SUMPRODUCT(Adds!$C$209:$AF$209,Curves!$AS$16:$BV$16)+SUMPRODUCT(Adds!$C$210:$AF$210,Curves!$AS$39:$BV$39)+SUMPRODUCT(Adds!$C$211:$AF$211,Curves!$AS$62:$BV$62)</f>
        <v/>
      </c>
      <c r="AG55" s="5">
        <f>SUMPRODUCT(Adds!$C$209:$AG$209,Curves!$AR$16:$BV$16)+SUMPRODUCT(Adds!$C$210:$AG$210,Curves!$AR$39:$BV$39)+SUMPRODUCT(Adds!$C$211:$AG$211,Curves!$AR$62:$BV$62)</f>
        <v/>
      </c>
      <c r="AH55" s="5">
        <f>SUMPRODUCT(Adds!$C$209:$AH$209,Curves!$AQ$16:$BV$16)+SUMPRODUCT(Adds!$C$210:$AH$210,Curves!$AQ$39:$BV$39)+SUMPRODUCT(Adds!$C$211:$AH$211,Curves!$AQ$62:$BV$62)</f>
        <v/>
      </c>
      <c r="AI55" s="5">
        <f>SUMPRODUCT(Adds!$C$209:$AI$209,Curves!$AP$16:$BV$16)+SUMPRODUCT(Adds!$C$210:$AI$210,Curves!$AP$39:$BV$39)+SUMPRODUCT(Adds!$C$211:$AI$211,Curves!$AP$62:$BV$62)</f>
        <v/>
      </c>
      <c r="AJ55" s="5">
        <f>SUMPRODUCT(Adds!$C$209:$AJ$209,Curves!$AO$16:$BV$16)+SUMPRODUCT(Adds!$C$210:$AJ$210,Curves!$AO$39:$BV$39)+SUMPRODUCT(Adds!$C$211:$AJ$211,Curves!$AO$62:$BV$62)</f>
        <v/>
      </c>
      <c r="AK55" s="5">
        <f>SUMPRODUCT(Adds!$C$209:$AK$209,Curves!$AN$16:$BV$16)+SUMPRODUCT(Adds!$C$210:$AK$210,Curves!$AN$39:$BV$39)+SUMPRODUCT(Adds!$C$211:$AK$211,Curves!$AN$62:$BV$62)</f>
        <v/>
      </c>
      <c r="AL55" s="5">
        <f>SUMPRODUCT(Adds!$C$209:$AL$209,Curves!$AM$16:$BV$16)+SUMPRODUCT(Adds!$C$210:$AL$210,Curves!$AM$39:$BV$39)+SUMPRODUCT(Adds!$C$211:$AL$211,Curves!$AM$62:$BV$62)</f>
        <v/>
      </c>
      <c r="AM55" s="5">
        <f>SUMPRODUCT(Adds!$C$209:$AM$209,Curves!$AL$16:$BV$16)+SUMPRODUCT(Adds!$C$210:$AM$210,Curves!$AL$39:$BV$39)+SUMPRODUCT(Adds!$C$211:$AM$211,Curves!$AL$62:$BV$62)</f>
        <v/>
      </c>
      <c r="AN55" s="5">
        <f>SUMPRODUCT(Adds!$C$209:$AN$209,Curves!$AK$16:$BV$16)+SUMPRODUCT(Adds!$C$210:$AN$210,Curves!$AK$39:$BV$39)+SUMPRODUCT(Adds!$C$211:$AN$211,Curves!$AK$62:$BV$62)</f>
        <v/>
      </c>
      <c r="AO55" s="5">
        <f>SUMPRODUCT(Adds!$C$209:$AO$209,Curves!$AJ$16:$BV$16)+SUMPRODUCT(Adds!$C$210:$AO$210,Curves!$AJ$39:$BV$39)+SUMPRODUCT(Adds!$C$211:$AO$211,Curves!$AJ$62:$BV$62)</f>
        <v/>
      </c>
      <c r="AP55" s="5">
        <f>SUMPRODUCT(Adds!$C$209:$AP$209,Curves!$AI$16:$BV$16)+SUMPRODUCT(Adds!$C$210:$AP$210,Curves!$AI$39:$BV$39)+SUMPRODUCT(Adds!$C$211:$AP$211,Curves!$AI$62:$BV$62)</f>
        <v/>
      </c>
      <c r="AQ55" s="5">
        <f>SUMPRODUCT(Adds!$C$209:$AQ$209,Curves!$AH$16:$BV$16)+SUMPRODUCT(Adds!$C$210:$AQ$210,Curves!$AH$39:$BV$39)+SUMPRODUCT(Adds!$C$211:$AQ$211,Curves!$AH$62:$BV$62)</f>
        <v/>
      </c>
      <c r="AR55" s="5">
        <f>SUMPRODUCT(Adds!$C$209:$AR$209,Curves!$AG$16:$BV$16)+SUMPRODUCT(Adds!$C$210:$AR$210,Curves!$AG$39:$BV$39)+SUMPRODUCT(Adds!$C$211:$AR$211,Curves!$AG$62:$BV$62)</f>
        <v/>
      </c>
      <c r="AS55" s="5">
        <f>SUMPRODUCT(Adds!$C$209:$AS$209,Curves!$AF$16:$BV$16)+SUMPRODUCT(Adds!$C$210:$AS$210,Curves!$AF$39:$BV$39)+SUMPRODUCT(Adds!$C$211:$AS$211,Curves!$AF$62:$BV$62)</f>
        <v/>
      </c>
      <c r="AT55" s="5">
        <f>SUMPRODUCT(Adds!$C$209:$AT$209,Curves!$AE$16:$BV$16)+SUMPRODUCT(Adds!$C$210:$AT$210,Curves!$AE$39:$BV$39)+SUMPRODUCT(Adds!$C$211:$AT$211,Curves!$AE$62:$BV$62)</f>
        <v/>
      </c>
      <c r="AU55" s="5">
        <f>SUMPRODUCT(Adds!$C$209:$AU$209,Curves!$AD$16:$BV$16)+SUMPRODUCT(Adds!$C$210:$AU$210,Curves!$AD$39:$BV$39)+SUMPRODUCT(Adds!$C$211:$AU$211,Curves!$AD$62:$BV$62)</f>
        <v/>
      </c>
      <c r="AV55" s="5">
        <f>SUMPRODUCT(Adds!$C$209:$AV$209,Curves!$AC$16:$BV$16)+SUMPRODUCT(Adds!$C$210:$AV$210,Curves!$AC$39:$BV$39)+SUMPRODUCT(Adds!$C$211:$AV$211,Curves!$AC$62:$BV$62)</f>
        <v/>
      </c>
      <c r="AW55" s="5">
        <f>SUMPRODUCT(Adds!$C$209:$AW$209,Curves!$AB$16:$BV$16)+SUMPRODUCT(Adds!$C$210:$AW$210,Curves!$AB$39:$BV$39)+SUMPRODUCT(Adds!$C$211:$AW$211,Curves!$AB$62:$BV$62)</f>
        <v/>
      </c>
      <c r="AX55" s="5">
        <f>SUMPRODUCT(Adds!$C$209:$AX$209,Curves!$AA$16:$BV$16)+SUMPRODUCT(Adds!$C$210:$AX$210,Curves!$AA$39:$BV$39)+SUMPRODUCT(Adds!$C$211:$AX$211,Curves!$AA$62:$BV$62)</f>
        <v/>
      </c>
      <c r="AY55" s="5">
        <f>SUMPRODUCT(Adds!$C$209:$AY$209,Curves!$Z$16:$BV$16)+SUMPRODUCT(Adds!$C$210:$AY$210,Curves!$Z$39:$BV$39)+SUMPRODUCT(Adds!$C$211:$AY$211,Curves!$Z$62:$BV$62)</f>
        <v/>
      </c>
      <c r="AZ55" s="5">
        <f>SUMPRODUCT(Adds!$C$209:$AZ$209,Curves!$Y$16:$BV$16)+SUMPRODUCT(Adds!$C$210:$AZ$210,Curves!$Y$39:$BV$39)+SUMPRODUCT(Adds!$C$211:$AZ$211,Curves!$Y$62:$BV$62)</f>
        <v/>
      </c>
      <c r="BA55" s="5">
        <f>SUMPRODUCT(Adds!$C$209:$BA$209,Curves!$X$16:$BV$16)+SUMPRODUCT(Adds!$C$210:$BA$210,Curves!$X$39:$BV$39)+SUMPRODUCT(Adds!$C$211:$BA$211,Curves!$X$62:$BV$62)</f>
        <v/>
      </c>
      <c r="BB55" s="5">
        <f>SUMPRODUCT(Adds!$C$209:$BB$209,Curves!$W$16:$BV$16)+SUMPRODUCT(Adds!$C$210:$BB$210,Curves!$W$39:$BV$39)+SUMPRODUCT(Adds!$C$211:$BB$211,Curves!$W$62:$BV$62)</f>
        <v/>
      </c>
      <c r="BC55" s="5">
        <f>SUMPRODUCT(Adds!$C$209:$BC$209,Curves!$V$16:$BV$16)+SUMPRODUCT(Adds!$C$210:$BC$210,Curves!$V$39:$BV$39)+SUMPRODUCT(Adds!$C$211:$BC$211,Curves!$V$62:$BV$62)</f>
        <v/>
      </c>
      <c r="BD55" s="5">
        <f>SUMPRODUCT(Adds!$C$209:$BD$209,Curves!$U$16:$BV$16)+SUMPRODUCT(Adds!$C$210:$BD$210,Curves!$U$39:$BV$39)+SUMPRODUCT(Adds!$C$211:$BD$211,Curves!$U$62:$BV$62)</f>
        <v/>
      </c>
      <c r="BE55" s="5">
        <f>SUMPRODUCT(Adds!$C$209:$BE$209,Curves!$T$16:$BV$16)+SUMPRODUCT(Adds!$C$210:$BE$210,Curves!$T$39:$BV$39)+SUMPRODUCT(Adds!$C$211:$BE$211,Curves!$T$62:$BV$62)</f>
        <v/>
      </c>
      <c r="BF55" s="5">
        <f>SUMPRODUCT(Adds!$C$209:$BF$209,Curves!$S$16:$BV$16)+SUMPRODUCT(Adds!$C$210:$BF$210,Curves!$S$39:$BV$39)+SUMPRODUCT(Adds!$C$211:$BF$211,Curves!$S$62:$BV$62)</f>
        <v/>
      </c>
      <c r="BG55" s="5">
        <f>SUMPRODUCT(Adds!$C$209:$BG$209,Curves!$R$16:$BV$16)+SUMPRODUCT(Adds!$C$210:$BG$210,Curves!$R$39:$BV$39)+SUMPRODUCT(Adds!$C$211:$BG$211,Curves!$R$62:$BV$62)</f>
        <v/>
      </c>
      <c r="BH55" s="5">
        <f>SUMPRODUCT(Adds!$C$209:$BH$209,Curves!$Q$16:$BV$16)+SUMPRODUCT(Adds!$C$210:$BH$210,Curves!$Q$39:$BV$39)+SUMPRODUCT(Adds!$C$211:$BH$211,Curves!$Q$62:$BV$62)</f>
        <v/>
      </c>
      <c r="BI55" s="5">
        <f>SUMPRODUCT(Adds!$C$209:$BI$209,Curves!$P$16:$BV$16)+SUMPRODUCT(Adds!$C$210:$BI$210,Curves!$P$39:$BV$39)+SUMPRODUCT(Adds!$C$211:$BI$211,Curves!$P$62:$BV$62)</f>
        <v/>
      </c>
      <c r="BJ55" s="5">
        <f>SUMPRODUCT(Adds!$C$209:$BJ$209,Curves!$O$16:$BV$16)+SUMPRODUCT(Adds!$C$210:$BJ$210,Curves!$O$39:$BV$39)+SUMPRODUCT(Adds!$C$211:$BJ$211,Curves!$O$62:$BV$62)</f>
        <v/>
      </c>
      <c r="BK55" s="5">
        <f>SUMPRODUCT(Adds!$C$209:$BK$209,Curves!$N$16:$BV$16)+SUMPRODUCT(Adds!$C$210:$BK$210,Curves!$N$39:$BV$39)+SUMPRODUCT(Adds!$C$211:$BK$211,Curves!$N$62:$BV$62)</f>
        <v/>
      </c>
      <c r="BL55" s="5">
        <f>SUMPRODUCT(Adds!$C$209:$BL$209,Curves!$M$16:$BV$16)+SUMPRODUCT(Adds!$C$210:$BL$210,Curves!$M$39:$BV$39)+SUMPRODUCT(Adds!$C$211:$BL$211,Curves!$M$62:$BV$62)</f>
        <v/>
      </c>
      <c r="BM55" s="5">
        <f>SUMPRODUCT(Adds!$C$209:$BM$209,Curves!$L$16:$BV$16)+SUMPRODUCT(Adds!$C$210:$BM$210,Curves!$L$39:$BV$39)+SUMPRODUCT(Adds!$C$211:$BM$211,Curves!$L$62:$BV$62)</f>
        <v/>
      </c>
      <c r="BN55" s="5">
        <f>SUMPRODUCT(Adds!$C$209:$BN$209,Curves!$K$16:$BV$16)+SUMPRODUCT(Adds!$C$210:$BN$210,Curves!$K$39:$BV$39)+SUMPRODUCT(Adds!$C$211:$BN$211,Curves!$K$62:$BV$62)</f>
        <v/>
      </c>
      <c r="BO55" s="5">
        <f>SUMPRODUCT(Adds!$C$209:$BO$209,Curves!$J$16:$BV$16)+SUMPRODUCT(Adds!$C$210:$BO$210,Curves!$J$39:$BV$39)+SUMPRODUCT(Adds!$C$211:$BO$211,Curves!$J$62:$BV$62)</f>
        <v/>
      </c>
      <c r="BP55" s="5">
        <f>SUMPRODUCT(Adds!$C$209:$BP$209,Curves!$I$16:$BV$16)+SUMPRODUCT(Adds!$C$210:$BP$210,Curves!$I$39:$BV$39)+SUMPRODUCT(Adds!$C$211:$BP$211,Curves!$I$62:$BV$62)</f>
        <v/>
      </c>
      <c r="BQ55" s="5">
        <f>SUMPRODUCT(Adds!$C$209:$BQ$209,Curves!$H$16:$BV$16)+SUMPRODUCT(Adds!$C$210:$BQ$210,Curves!$H$39:$BV$39)+SUMPRODUCT(Adds!$C$211:$BQ$211,Curves!$H$62:$BV$62)</f>
        <v/>
      </c>
      <c r="BR55" s="5">
        <f>SUMPRODUCT(Adds!$C$209:$BR$209,Curves!$G$16:$BV$16)+SUMPRODUCT(Adds!$C$210:$BR$210,Curves!$G$39:$BV$39)+SUMPRODUCT(Adds!$C$211:$BR$211,Curves!$G$62:$BV$62)</f>
        <v/>
      </c>
      <c r="BS55" s="5">
        <f>SUMPRODUCT(Adds!$C$209:$BS$209,Curves!$F$16:$BV$16)+SUMPRODUCT(Adds!$C$210:$BS$210,Curves!$F$39:$BV$39)+SUMPRODUCT(Adds!$C$211:$BS$211,Curves!$F$62:$BV$62)</f>
        <v/>
      </c>
      <c r="BT55" s="5">
        <f>SUMPRODUCT(Adds!$C$209:$BT$209,Curves!$E$16:$BV$16)+SUMPRODUCT(Adds!$C$210:$BT$210,Curves!$E$39:$BV$39)+SUMPRODUCT(Adds!$C$211:$BT$211,Curves!$E$62:$BV$62)</f>
        <v/>
      </c>
      <c r="BU55" s="5">
        <f>SUMPRODUCT(Adds!$C$209:$BU$209,Curves!$D$16:$BV$16)+SUMPRODUCT(Adds!$C$210:$BU$210,Curves!$D$39:$BV$39)+SUMPRODUCT(Adds!$C$211:$BU$211,Curves!$D$62:$BV$62)</f>
        <v/>
      </c>
      <c r="BV55" s="5">
        <f>SUMPRODUCT(Adds!$C$209:$BV$209,Curves!$C$16:$BV$16)+SUMPRODUCT(Adds!$C$210:$BV$210,Curves!$C$39:$BV$39)+SUMPRODUCT(Adds!$C$211:$BV$211,Curves!$C$62:$BV$62)</f>
        <v/>
      </c>
    </row>
    <row r="56">
      <c r="A56" t="inlineStr">
        <is>
          <t>active yr 1</t>
        </is>
      </c>
      <c r="B56" t="inlineStr">
        <is>
          <t>APAC|NITRO_A</t>
        </is>
      </c>
      <c r="C56" s="5">
        <f>Adds!$C$209*Curves!$BV$23+Adds!$C$210*Curves!$BV$46+Adds!$C$211*Curves!$BV$69</f>
        <v/>
      </c>
      <c r="D56" s="5">
        <f>SUMPRODUCT(Adds!$C$209:$D$209,Curves!$BU$23:$BV$23)+SUMPRODUCT(Adds!$C$210:$D$210,Curves!$BU$46:$BV$46)+SUMPRODUCT(Adds!$C$211:$D$211,Curves!$BU$69:$BV$69)</f>
        <v/>
      </c>
      <c r="E56" s="5">
        <f>SUMPRODUCT(Adds!$C$209:$E$209,Curves!$BT$23:$BV$23)+SUMPRODUCT(Adds!$C$210:$E$210,Curves!$BT$46:$BV$46)+SUMPRODUCT(Adds!$C$211:$E$211,Curves!$BT$69:$BV$69)</f>
        <v/>
      </c>
      <c r="F56" s="5">
        <f>SUMPRODUCT(Adds!$C$209:$F$209,Curves!$BS$23:$BV$23)+SUMPRODUCT(Adds!$C$210:$F$210,Curves!$BS$46:$BV$46)+SUMPRODUCT(Adds!$C$211:$F$211,Curves!$BS$69:$BV$69)</f>
        <v/>
      </c>
      <c r="G56" s="5">
        <f>SUMPRODUCT(Adds!$C$209:$G$209,Curves!$BR$23:$BV$23)+SUMPRODUCT(Adds!$C$210:$G$210,Curves!$BR$46:$BV$46)+SUMPRODUCT(Adds!$C$211:$G$211,Curves!$BR$69:$BV$69)</f>
        <v/>
      </c>
      <c r="H56" s="5">
        <f>SUMPRODUCT(Adds!$C$209:$H$209,Curves!$BQ$23:$BV$23)+SUMPRODUCT(Adds!$C$210:$H$210,Curves!$BQ$46:$BV$46)+SUMPRODUCT(Adds!$C$211:$H$211,Curves!$BQ$69:$BV$69)</f>
        <v/>
      </c>
      <c r="I56" s="5">
        <f>SUMPRODUCT(Adds!$C$209:$I$209,Curves!$BP$23:$BV$23)+SUMPRODUCT(Adds!$C$210:$I$210,Curves!$BP$46:$BV$46)+SUMPRODUCT(Adds!$C$211:$I$211,Curves!$BP$69:$BV$69)</f>
        <v/>
      </c>
      <c r="J56" s="5">
        <f>SUMPRODUCT(Adds!$C$209:$J$209,Curves!$BO$23:$BV$23)+SUMPRODUCT(Adds!$C$210:$J$210,Curves!$BO$46:$BV$46)+SUMPRODUCT(Adds!$C$211:$J$211,Curves!$BO$69:$BV$69)</f>
        <v/>
      </c>
      <c r="K56" s="5">
        <f>SUMPRODUCT(Adds!$C$209:$K$209,Curves!$BN$23:$BV$23)+SUMPRODUCT(Adds!$C$210:$K$210,Curves!$BN$46:$BV$46)+SUMPRODUCT(Adds!$C$211:$K$211,Curves!$BN$69:$BV$69)</f>
        <v/>
      </c>
      <c r="L56" s="5">
        <f>SUMPRODUCT(Adds!$C$209:$L$209,Curves!$BM$23:$BV$23)+SUMPRODUCT(Adds!$C$210:$L$210,Curves!$BM$46:$BV$46)+SUMPRODUCT(Adds!$C$211:$L$211,Curves!$BM$69:$BV$69)</f>
        <v/>
      </c>
      <c r="M56" s="5">
        <f>SUMPRODUCT(Adds!$C$209:$M$209,Curves!$BL$23:$BV$23)+SUMPRODUCT(Adds!$C$210:$M$210,Curves!$BL$46:$BV$46)+SUMPRODUCT(Adds!$C$211:$M$211,Curves!$BL$69:$BV$69)</f>
        <v/>
      </c>
      <c r="N56" s="5">
        <f>SUMPRODUCT(Adds!$C$209:$N$209,Curves!$BK$23:$BV$23)+SUMPRODUCT(Adds!$C$210:$N$210,Curves!$BK$46:$BV$46)+SUMPRODUCT(Adds!$C$211:$N$211,Curves!$BK$69:$BV$69)</f>
        <v/>
      </c>
      <c r="O56" s="5">
        <f>SUMPRODUCT(Adds!$C$209:$O$209,Curves!$BJ$23:$BV$23)+SUMPRODUCT(Adds!$C$210:$O$210,Curves!$BJ$46:$BV$46)+SUMPRODUCT(Adds!$C$211:$O$211,Curves!$BJ$69:$BV$69)</f>
        <v/>
      </c>
      <c r="P56" s="5">
        <f>SUMPRODUCT(Adds!$C$209:$P$209,Curves!$BI$23:$BV$23)+SUMPRODUCT(Adds!$C$210:$P$210,Curves!$BI$46:$BV$46)+SUMPRODUCT(Adds!$C$211:$P$211,Curves!$BI$69:$BV$69)</f>
        <v/>
      </c>
      <c r="Q56" s="5">
        <f>SUMPRODUCT(Adds!$C$209:$Q$209,Curves!$BH$23:$BV$23)+SUMPRODUCT(Adds!$C$210:$Q$210,Curves!$BH$46:$BV$46)+SUMPRODUCT(Adds!$C$211:$Q$211,Curves!$BH$69:$BV$69)</f>
        <v/>
      </c>
      <c r="R56" s="5">
        <f>SUMPRODUCT(Adds!$C$209:$R$209,Curves!$BG$23:$BV$23)+SUMPRODUCT(Adds!$C$210:$R$210,Curves!$BG$46:$BV$46)+SUMPRODUCT(Adds!$C$211:$R$211,Curves!$BG$69:$BV$69)</f>
        <v/>
      </c>
      <c r="S56" s="5">
        <f>SUMPRODUCT(Adds!$C$209:$S$209,Curves!$BF$23:$BV$23)+SUMPRODUCT(Adds!$C$210:$S$210,Curves!$BF$46:$BV$46)+SUMPRODUCT(Adds!$C$211:$S$211,Curves!$BF$69:$BV$69)</f>
        <v/>
      </c>
      <c r="T56" s="5">
        <f>SUMPRODUCT(Adds!$C$209:$T$209,Curves!$BE$23:$BV$23)+SUMPRODUCT(Adds!$C$210:$T$210,Curves!$BE$46:$BV$46)+SUMPRODUCT(Adds!$C$211:$T$211,Curves!$BE$69:$BV$69)</f>
        <v/>
      </c>
      <c r="U56" s="5">
        <f>SUMPRODUCT(Adds!$C$209:$U$209,Curves!$BD$23:$BV$23)+SUMPRODUCT(Adds!$C$210:$U$210,Curves!$BD$46:$BV$46)+SUMPRODUCT(Adds!$C$211:$U$211,Curves!$BD$69:$BV$69)</f>
        <v/>
      </c>
      <c r="V56" s="5">
        <f>SUMPRODUCT(Adds!$C$209:$V$209,Curves!$BC$23:$BV$23)+SUMPRODUCT(Adds!$C$210:$V$210,Curves!$BC$46:$BV$46)+SUMPRODUCT(Adds!$C$211:$V$211,Curves!$BC$69:$BV$69)</f>
        <v/>
      </c>
      <c r="W56" s="5">
        <f>SUMPRODUCT(Adds!$C$209:$W$209,Curves!$BB$23:$BV$23)+SUMPRODUCT(Adds!$C$210:$W$210,Curves!$BB$46:$BV$46)+SUMPRODUCT(Adds!$C$211:$W$211,Curves!$BB$69:$BV$69)</f>
        <v/>
      </c>
      <c r="X56" s="5">
        <f>SUMPRODUCT(Adds!$C$209:$X$209,Curves!$BA$23:$BV$23)+SUMPRODUCT(Adds!$C$210:$X$210,Curves!$BA$46:$BV$46)+SUMPRODUCT(Adds!$C$211:$X$211,Curves!$BA$69:$BV$69)</f>
        <v/>
      </c>
      <c r="Y56" s="5">
        <f>SUMPRODUCT(Adds!$C$209:$Y$209,Curves!$AZ$23:$BV$23)+SUMPRODUCT(Adds!$C$210:$Y$210,Curves!$AZ$46:$BV$46)+SUMPRODUCT(Adds!$C$211:$Y$211,Curves!$AZ$69:$BV$69)</f>
        <v/>
      </c>
      <c r="Z56" s="5">
        <f>SUMPRODUCT(Adds!$C$209:$Z$209,Curves!$AY$23:$BV$23)+SUMPRODUCT(Adds!$C$210:$Z$210,Curves!$AY$46:$BV$46)+SUMPRODUCT(Adds!$C$211:$Z$211,Curves!$AY$69:$BV$69)</f>
        <v/>
      </c>
      <c r="AA56" s="5">
        <f>SUMPRODUCT(Adds!$C$209:$AA$209,Curves!$AX$23:$BV$23)+SUMPRODUCT(Adds!$C$210:$AA$210,Curves!$AX$46:$BV$46)+SUMPRODUCT(Adds!$C$211:$AA$211,Curves!$AX$69:$BV$69)</f>
        <v/>
      </c>
      <c r="AB56" s="5">
        <f>SUMPRODUCT(Adds!$C$209:$AB$209,Curves!$AW$23:$BV$23)+SUMPRODUCT(Adds!$C$210:$AB$210,Curves!$AW$46:$BV$46)+SUMPRODUCT(Adds!$C$211:$AB$211,Curves!$AW$69:$BV$69)</f>
        <v/>
      </c>
      <c r="AC56" s="5">
        <f>SUMPRODUCT(Adds!$C$209:$AC$209,Curves!$AV$23:$BV$23)+SUMPRODUCT(Adds!$C$210:$AC$210,Curves!$AV$46:$BV$46)+SUMPRODUCT(Adds!$C$211:$AC$211,Curves!$AV$69:$BV$69)</f>
        <v/>
      </c>
      <c r="AD56" s="5">
        <f>SUMPRODUCT(Adds!$C$209:$AD$209,Curves!$AU$23:$BV$23)+SUMPRODUCT(Adds!$C$210:$AD$210,Curves!$AU$46:$BV$46)+SUMPRODUCT(Adds!$C$211:$AD$211,Curves!$AU$69:$BV$69)</f>
        <v/>
      </c>
      <c r="AE56" s="5">
        <f>SUMPRODUCT(Adds!$C$209:$AE$209,Curves!$AT$23:$BV$23)+SUMPRODUCT(Adds!$C$210:$AE$210,Curves!$AT$46:$BV$46)+SUMPRODUCT(Adds!$C$211:$AE$211,Curves!$AT$69:$BV$69)</f>
        <v/>
      </c>
      <c r="AF56" s="5">
        <f>SUMPRODUCT(Adds!$C$209:$AF$209,Curves!$AS$23:$BV$23)+SUMPRODUCT(Adds!$C$210:$AF$210,Curves!$AS$46:$BV$46)+SUMPRODUCT(Adds!$C$211:$AF$211,Curves!$AS$69:$BV$69)</f>
        <v/>
      </c>
      <c r="AG56" s="5">
        <f>SUMPRODUCT(Adds!$C$209:$AG$209,Curves!$AR$23:$BV$23)+SUMPRODUCT(Adds!$C$210:$AG$210,Curves!$AR$46:$BV$46)+SUMPRODUCT(Adds!$C$211:$AG$211,Curves!$AR$69:$BV$69)</f>
        <v/>
      </c>
      <c r="AH56" s="5">
        <f>SUMPRODUCT(Adds!$C$209:$AH$209,Curves!$AQ$23:$BV$23)+SUMPRODUCT(Adds!$C$210:$AH$210,Curves!$AQ$46:$BV$46)+SUMPRODUCT(Adds!$C$211:$AH$211,Curves!$AQ$69:$BV$69)</f>
        <v/>
      </c>
      <c r="AI56" s="5">
        <f>SUMPRODUCT(Adds!$C$209:$AI$209,Curves!$AP$23:$BV$23)+SUMPRODUCT(Adds!$C$210:$AI$210,Curves!$AP$46:$BV$46)+SUMPRODUCT(Adds!$C$211:$AI$211,Curves!$AP$69:$BV$69)</f>
        <v/>
      </c>
      <c r="AJ56" s="5">
        <f>SUMPRODUCT(Adds!$C$209:$AJ$209,Curves!$AO$23:$BV$23)+SUMPRODUCT(Adds!$C$210:$AJ$210,Curves!$AO$46:$BV$46)+SUMPRODUCT(Adds!$C$211:$AJ$211,Curves!$AO$69:$BV$69)</f>
        <v/>
      </c>
      <c r="AK56" s="5">
        <f>SUMPRODUCT(Adds!$C$209:$AK$209,Curves!$AN$23:$BV$23)+SUMPRODUCT(Adds!$C$210:$AK$210,Curves!$AN$46:$BV$46)+SUMPRODUCT(Adds!$C$211:$AK$211,Curves!$AN$69:$BV$69)</f>
        <v/>
      </c>
      <c r="AL56" s="5">
        <f>SUMPRODUCT(Adds!$C$209:$AL$209,Curves!$AM$23:$BV$23)+SUMPRODUCT(Adds!$C$210:$AL$210,Curves!$AM$46:$BV$46)+SUMPRODUCT(Adds!$C$211:$AL$211,Curves!$AM$69:$BV$69)</f>
        <v/>
      </c>
      <c r="AM56" s="5">
        <f>SUMPRODUCT(Adds!$C$209:$AM$209,Curves!$AL$23:$BV$23)+SUMPRODUCT(Adds!$C$210:$AM$210,Curves!$AL$46:$BV$46)+SUMPRODUCT(Adds!$C$211:$AM$211,Curves!$AL$69:$BV$69)</f>
        <v/>
      </c>
      <c r="AN56" s="5">
        <f>SUMPRODUCT(Adds!$C$209:$AN$209,Curves!$AK$23:$BV$23)+SUMPRODUCT(Adds!$C$210:$AN$210,Curves!$AK$46:$BV$46)+SUMPRODUCT(Adds!$C$211:$AN$211,Curves!$AK$69:$BV$69)</f>
        <v/>
      </c>
      <c r="AO56" s="5">
        <f>SUMPRODUCT(Adds!$C$209:$AO$209,Curves!$AJ$23:$BV$23)+SUMPRODUCT(Adds!$C$210:$AO$210,Curves!$AJ$46:$BV$46)+SUMPRODUCT(Adds!$C$211:$AO$211,Curves!$AJ$69:$BV$69)</f>
        <v/>
      </c>
      <c r="AP56" s="5">
        <f>SUMPRODUCT(Adds!$C$209:$AP$209,Curves!$AI$23:$BV$23)+SUMPRODUCT(Adds!$C$210:$AP$210,Curves!$AI$46:$BV$46)+SUMPRODUCT(Adds!$C$211:$AP$211,Curves!$AI$69:$BV$69)</f>
        <v/>
      </c>
      <c r="AQ56" s="5">
        <f>SUMPRODUCT(Adds!$C$209:$AQ$209,Curves!$AH$23:$BV$23)+SUMPRODUCT(Adds!$C$210:$AQ$210,Curves!$AH$46:$BV$46)+SUMPRODUCT(Adds!$C$211:$AQ$211,Curves!$AH$69:$BV$69)</f>
        <v/>
      </c>
      <c r="AR56" s="5">
        <f>SUMPRODUCT(Adds!$C$209:$AR$209,Curves!$AG$23:$BV$23)+SUMPRODUCT(Adds!$C$210:$AR$210,Curves!$AG$46:$BV$46)+SUMPRODUCT(Adds!$C$211:$AR$211,Curves!$AG$69:$BV$69)</f>
        <v/>
      </c>
      <c r="AS56" s="5">
        <f>SUMPRODUCT(Adds!$C$209:$AS$209,Curves!$AF$23:$BV$23)+SUMPRODUCT(Adds!$C$210:$AS$210,Curves!$AF$46:$BV$46)+SUMPRODUCT(Adds!$C$211:$AS$211,Curves!$AF$69:$BV$69)</f>
        <v/>
      </c>
      <c r="AT56" s="5">
        <f>SUMPRODUCT(Adds!$C$209:$AT$209,Curves!$AE$23:$BV$23)+SUMPRODUCT(Adds!$C$210:$AT$210,Curves!$AE$46:$BV$46)+SUMPRODUCT(Adds!$C$211:$AT$211,Curves!$AE$69:$BV$69)</f>
        <v/>
      </c>
      <c r="AU56" s="5">
        <f>SUMPRODUCT(Adds!$C$209:$AU$209,Curves!$AD$23:$BV$23)+SUMPRODUCT(Adds!$C$210:$AU$210,Curves!$AD$46:$BV$46)+SUMPRODUCT(Adds!$C$211:$AU$211,Curves!$AD$69:$BV$69)</f>
        <v/>
      </c>
      <c r="AV56" s="5">
        <f>SUMPRODUCT(Adds!$C$209:$AV$209,Curves!$AC$23:$BV$23)+SUMPRODUCT(Adds!$C$210:$AV$210,Curves!$AC$46:$BV$46)+SUMPRODUCT(Adds!$C$211:$AV$211,Curves!$AC$69:$BV$69)</f>
        <v/>
      </c>
      <c r="AW56" s="5">
        <f>SUMPRODUCT(Adds!$C$209:$AW$209,Curves!$AB$23:$BV$23)+SUMPRODUCT(Adds!$C$210:$AW$210,Curves!$AB$46:$BV$46)+SUMPRODUCT(Adds!$C$211:$AW$211,Curves!$AB$69:$BV$69)</f>
        <v/>
      </c>
      <c r="AX56" s="5">
        <f>SUMPRODUCT(Adds!$C$209:$AX$209,Curves!$AA$23:$BV$23)+SUMPRODUCT(Adds!$C$210:$AX$210,Curves!$AA$46:$BV$46)+SUMPRODUCT(Adds!$C$211:$AX$211,Curves!$AA$69:$BV$69)</f>
        <v/>
      </c>
      <c r="AY56" s="5">
        <f>SUMPRODUCT(Adds!$C$209:$AY$209,Curves!$Z$23:$BV$23)+SUMPRODUCT(Adds!$C$210:$AY$210,Curves!$Z$46:$BV$46)+SUMPRODUCT(Adds!$C$211:$AY$211,Curves!$Z$69:$BV$69)</f>
        <v/>
      </c>
      <c r="AZ56" s="5">
        <f>SUMPRODUCT(Adds!$C$209:$AZ$209,Curves!$Y$23:$BV$23)+SUMPRODUCT(Adds!$C$210:$AZ$210,Curves!$Y$46:$BV$46)+SUMPRODUCT(Adds!$C$211:$AZ$211,Curves!$Y$69:$BV$69)</f>
        <v/>
      </c>
      <c r="BA56" s="5">
        <f>SUMPRODUCT(Adds!$C$209:$BA$209,Curves!$X$23:$BV$23)+SUMPRODUCT(Adds!$C$210:$BA$210,Curves!$X$46:$BV$46)+SUMPRODUCT(Adds!$C$211:$BA$211,Curves!$X$69:$BV$69)</f>
        <v/>
      </c>
      <c r="BB56" s="5">
        <f>SUMPRODUCT(Adds!$C$209:$BB$209,Curves!$W$23:$BV$23)+SUMPRODUCT(Adds!$C$210:$BB$210,Curves!$W$46:$BV$46)+SUMPRODUCT(Adds!$C$211:$BB$211,Curves!$W$69:$BV$69)</f>
        <v/>
      </c>
      <c r="BC56" s="5">
        <f>SUMPRODUCT(Adds!$C$209:$BC$209,Curves!$V$23:$BV$23)+SUMPRODUCT(Adds!$C$210:$BC$210,Curves!$V$46:$BV$46)+SUMPRODUCT(Adds!$C$211:$BC$211,Curves!$V$69:$BV$69)</f>
        <v/>
      </c>
      <c r="BD56" s="5">
        <f>SUMPRODUCT(Adds!$C$209:$BD$209,Curves!$U$23:$BV$23)+SUMPRODUCT(Adds!$C$210:$BD$210,Curves!$U$46:$BV$46)+SUMPRODUCT(Adds!$C$211:$BD$211,Curves!$U$69:$BV$69)</f>
        <v/>
      </c>
      <c r="BE56" s="5">
        <f>SUMPRODUCT(Adds!$C$209:$BE$209,Curves!$T$23:$BV$23)+SUMPRODUCT(Adds!$C$210:$BE$210,Curves!$T$46:$BV$46)+SUMPRODUCT(Adds!$C$211:$BE$211,Curves!$T$69:$BV$69)</f>
        <v/>
      </c>
      <c r="BF56" s="5">
        <f>SUMPRODUCT(Adds!$C$209:$BF$209,Curves!$S$23:$BV$23)+SUMPRODUCT(Adds!$C$210:$BF$210,Curves!$S$46:$BV$46)+SUMPRODUCT(Adds!$C$211:$BF$211,Curves!$S$69:$BV$69)</f>
        <v/>
      </c>
      <c r="BG56" s="5">
        <f>SUMPRODUCT(Adds!$C$209:$BG$209,Curves!$R$23:$BV$23)+SUMPRODUCT(Adds!$C$210:$BG$210,Curves!$R$46:$BV$46)+SUMPRODUCT(Adds!$C$211:$BG$211,Curves!$R$69:$BV$69)</f>
        <v/>
      </c>
      <c r="BH56" s="5">
        <f>SUMPRODUCT(Adds!$C$209:$BH$209,Curves!$Q$23:$BV$23)+SUMPRODUCT(Adds!$C$210:$BH$210,Curves!$Q$46:$BV$46)+SUMPRODUCT(Adds!$C$211:$BH$211,Curves!$Q$69:$BV$69)</f>
        <v/>
      </c>
      <c r="BI56" s="5">
        <f>SUMPRODUCT(Adds!$C$209:$BI$209,Curves!$P$23:$BV$23)+SUMPRODUCT(Adds!$C$210:$BI$210,Curves!$P$46:$BV$46)+SUMPRODUCT(Adds!$C$211:$BI$211,Curves!$P$69:$BV$69)</f>
        <v/>
      </c>
      <c r="BJ56" s="5">
        <f>SUMPRODUCT(Adds!$C$209:$BJ$209,Curves!$O$23:$BV$23)+SUMPRODUCT(Adds!$C$210:$BJ$210,Curves!$O$46:$BV$46)+SUMPRODUCT(Adds!$C$211:$BJ$211,Curves!$O$69:$BV$69)</f>
        <v/>
      </c>
      <c r="BK56" s="5">
        <f>SUMPRODUCT(Adds!$C$209:$BK$209,Curves!$N$23:$BV$23)+SUMPRODUCT(Adds!$C$210:$BK$210,Curves!$N$46:$BV$46)+SUMPRODUCT(Adds!$C$211:$BK$211,Curves!$N$69:$BV$69)</f>
        <v/>
      </c>
      <c r="BL56" s="5">
        <f>SUMPRODUCT(Adds!$C$209:$BL$209,Curves!$M$23:$BV$23)+SUMPRODUCT(Adds!$C$210:$BL$210,Curves!$M$46:$BV$46)+SUMPRODUCT(Adds!$C$211:$BL$211,Curves!$M$69:$BV$69)</f>
        <v/>
      </c>
      <c r="BM56" s="5">
        <f>SUMPRODUCT(Adds!$C$209:$BM$209,Curves!$L$23:$BV$23)+SUMPRODUCT(Adds!$C$210:$BM$210,Curves!$L$46:$BV$46)+SUMPRODUCT(Adds!$C$211:$BM$211,Curves!$L$69:$BV$69)</f>
        <v/>
      </c>
      <c r="BN56" s="5">
        <f>SUMPRODUCT(Adds!$C$209:$BN$209,Curves!$K$23:$BV$23)+SUMPRODUCT(Adds!$C$210:$BN$210,Curves!$K$46:$BV$46)+SUMPRODUCT(Adds!$C$211:$BN$211,Curves!$K$69:$BV$69)</f>
        <v/>
      </c>
      <c r="BO56" s="5">
        <f>SUMPRODUCT(Adds!$C$209:$BO$209,Curves!$J$23:$BV$23)+SUMPRODUCT(Adds!$C$210:$BO$210,Curves!$J$46:$BV$46)+SUMPRODUCT(Adds!$C$211:$BO$211,Curves!$J$69:$BV$69)</f>
        <v/>
      </c>
      <c r="BP56" s="5">
        <f>SUMPRODUCT(Adds!$C$209:$BP$209,Curves!$I$23:$BV$23)+SUMPRODUCT(Adds!$C$210:$BP$210,Curves!$I$46:$BV$46)+SUMPRODUCT(Adds!$C$211:$BP$211,Curves!$I$69:$BV$69)</f>
        <v/>
      </c>
      <c r="BQ56" s="5">
        <f>SUMPRODUCT(Adds!$C$209:$BQ$209,Curves!$H$23:$BV$23)+SUMPRODUCT(Adds!$C$210:$BQ$210,Curves!$H$46:$BV$46)+SUMPRODUCT(Adds!$C$211:$BQ$211,Curves!$H$69:$BV$69)</f>
        <v/>
      </c>
      <c r="BR56" s="5">
        <f>SUMPRODUCT(Adds!$C$209:$BR$209,Curves!$G$23:$BV$23)+SUMPRODUCT(Adds!$C$210:$BR$210,Curves!$G$46:$BV$46)+SUMPRODUCT(Adds!$C$211:$BR$211,Curves!$G$69:$BV$69)</f>
        <v/>
      </c>
      <c r="BS56" s="5">
        <f>SUMPRODUCT(Adds!$C$209:$BS$209,Curves!$F$23:$BV$23)+SUMPRODUCT(Adds!$C$210:$BS$210,Curves!$F$46:$BV$46)+SUMPRODUCT(Adds!$C$211:$BS$211,Curves!$F$69:$BV$69)</f>
        <v/>
      </c>
      <c r="BT56" s="5">
        <f>SUMPRODUCT(Adds!$C$209:$BT$209,Curves!$E$23:$BV$23)+SUMPRODUCT(Adds!$C$210:$BT$210,Curves!$E$46:$BV$46)+SUMPRODUCT(Adds!$C$211:$BT$211,Curves!$E$69:$BV$69)</f>
        <v/>
      </c>
      <c r="BU56" s="5">
        <f>SUMPRODUCT(Adds!$C$209:$BU$209,Curves!$D$23:$BV$23)+SUMPRODUCT(Adds!$C$210:$BU$210,Curves!$D$46:$BV$46)+SUMPRODUCT(Adds!$C$211:$BU$211,Curves!$D$69:$BV$69)</f>
        <v/>
      </c>
      <c r="BV56" s="5">
        <f>SUMPRODUCT(Adds!$C$209:$BV$209,Curves!$C$23:$BV$23)+SUMPRODUCT(Adds!$C$210:$BV$210,Curves!$C$46:$BV$46)+SUMPRODUCT(Adds!$C$211:$BV$211,Curves!$C$69:$BV$69)</f>
        <v/>
      </c>
    </row>
    <row r="57">
      <c r="A57" t="inlineStr">
        <is>
          <t>churned</t>
        </is>
      </c>
      <c r="B57" t="inlineStr">
        <is>
          <t>APAC|NITRO_A</t>
        </is>
      </c>
      <c r="C57" s="5">
        <f>Adds!$C$209*Curves!$BV$18+Adds!$C$210*Curves!$BV$41+Adds!$C$211*Curves!$BV$64</f>
        <v/>
      </c>
      <c r="D57" s="5">
        <f>SUMPRODUCT(Adds!$C$209:$D$209,Curves!$BU$18:$BV$18)+SUMPRODUCT(Adds!$C$210:$D$210,Curves!$BU$41:$BV$41)+SUMPRODUCT(Adds!$C$211:$D$211,Curves!$BU$64:$BV$64)</f>
        <v/>
      </c>
      <c r="E57" s="5">
        <f>SUMPRODUCT(Adds!$C$209:$E$209,Curves!$BT$18:$BV$18)+SUMPRODUCT(Adds!$C$210:$E$210,Curves!$BT$41:$BV$41)+SUMPRODUCT(Adds!$C$211:$E$211,Curves!$BT$64:$BV$64)</f>
        <v/>
      </c>
      <c r="F57" s="5">
        <f>SUMPRODUCT(Adds!$C$209:$F$209,Curves!$BS$18:$BV$18)+SUMPRODUCT(Adds!$C$210:$F$210,Curves!$BS$41:$BV$41)+SUMPRODUCT(Adds!$C$211:$F$211,Curves!$BS$64:$BV$64)</f>
        <v/>
      </c>
      <c r="G57" s="5">
        <f>SUMPRODUCT(Adds!$C$209:$G$209,Curves!$BR$18:$BV$18)+SUMPRODUCT(Adds!$C$210:$G$210,Curves!$BR$41:$BV$41)+SUMPRODUCT(Adds!$C$211:$G$211,Curves!$BR$64:$BV$64)</f>
        <v/>
      </c>
      <c r="H57" s="5">
        <f>SUMPRODUCT(Adds!$C$209:$H$209,Curves!$BQ$18:$BV$18)+SUMPRODUCT(Adds!$C$210:$H$210,Curves!$BQ$41:$BV$41)+SUMPRODUCT(Adds!$C$211:$H$211,Curves!$BQ$64:$BV$64)</f>
        <v/>
      </c>
      <c r="I57" s="5">
        <f>SUMPRODUCT(Adds!$C$209:$I$209,Curves!$BP$18:$BV$18)+SUMPRODUCT(Adds!$C$210:$I$210,Curves!$BP$41:$BV$41)+SUMPRODUCT(Adds!$C$211:$I$211,Curves!$BP$64:$BV$64)</f>
        <v/>
      </c>
      <c r="J57" s="5">
        <f>SUMPRODUCT(Adds!$C$209:$J$209,Curves!$BO$18:$BV$18)+SUMPRODUCT(Adds!$C$210:$J$210,Curves!$BO$41:$BV$41)+SUMPRODUCT(Adds!$C$211:$J$211,Curves!$BO$64:$BV$64)</f>
        <v/>
      </c>
      <c r="K57" s="5">
        <f>SUMPRODUCT(Adds!$C$209:$K$209,Curves!$BN$18:$BV$18)+SUMPRODUCT(Adds!$C$210:$K$210,Curves!$BN$41:$BV$41)+SUMPRODUCT(Adds!$C$211:$K$211,Curves!$BN$64:$BV$64)</f>
        <v/>
      </c>
      <c r="L57" s="5">
        <f>SUMPRODUCT(Adds!$C$209:$L$209,Curves!$BM$18:$BV$18)+SUMPRODUCT(Adds!$C$210:$L$210,Curves!$BM$41:$BV$41)+SUMPRODUCT(Adds!$C$211:$L$211,Curves!$BM$64:$BV$64)</f>
        <v/>
      </c>
      <c r="M57" s="5">
        <f>SUMPRODUCT(Adds!$C$209:$M$209,Curves!$BL$18:$BV$18)+SUMPRODUCT(Adds!$C$210:$M$210,Curves!$BL$41:$BV$41)+SUMPRODUCT(Adds!$C$211:$M$211,Curves!$BL$64:$BV$64)</f>
        <v/>
      </c>
      <c r="N57" s="5">
        <f>SUMPRODUCT(Adds!$C$209:$N$209,Curves!$BK$18:$BV$18)+SUMPRODUCT(Adds!$C$210:$N$210,Curves!$BK$41:$BV$41)+SUMPRODUCT(Adds!$C$211:$N$211,Curves!$BK$64:$BV$64)</f>
        <v/>
      </c>
      <c r="O57" s="5">
        <f>SUMPRODUCT(Adds!$C$209:$O$209,Curves!$BJ$18:$BV$18)+SUMPRODUCT(Adds!$C$210:$O$210,Curves!$BJ$41:$BV$41)+SUMPRODUCT(Adds!$C$211:$O$211,Curves!$BJ$64:$BV$64)</f>
        <v/>
      </c>
      <c r="P57" s="5">
        <f>SUMPRODUCT(Adds!$C$209:$P$209,Curves!$BI$18:$BV$18)+SUMPRODUCT(Adds!$C$210:$P$210,Curves!$BI$41:$BV$41)+SUMPRODUCT(Adds!$C$211:$P$211,Curves!$BI$64:$BV$64)</f>
        <v/>
      </c>
      <c r="Q57" s="5">
        <f>SUMPRODUCT(Adds!$C$209:$Q$209,Curves!$BH$18:$BV$18)+SUMPRODUCT(Adds!$C$210:$Q$210,Curves!$BH$41:$BV$41)+SUMPRODUCT(Adds!$C$211:$Q$211,Curves!$BH$64:$BV$64)</f>
        <v/>
      </c>
      <c r="R57" s="5">
        <f>SUMPRODUCT(Adds!$C$209:$R$209,Curves!$BG$18:$BV$18)+SUMPRODUCT(Adds!$C$210:$R$210,Curves!$BG$41:$BV$41)+SUMPRODUCT(Adds!$C$211:$R$211,Curves!$BG$64:$BV$64)</f>
        <v/>
      </c>
      <c r="S57" s="5">
        <f>SUMPRODUCT(Adds!$C$209:$S$209,Curves!$BF$18:$BV$18)+SUMPRODUCT(Adds!$C$210:$S$210,Curves!$BF$41:$BV$41)+SUMPRODUCT(Adds!$C$211:$S$211,Curves!$BF$64:$BV$64)</f>
        <v/>
      </c>
      <c r="T57" s="5">
        <f>SUMPRODUCT(Adds!$C$209:$T$209,Curves!$BE$18:$BV$18)+SUMPRODUCT(Adds!$C$210:$T$210,Curves!$BE$41:$BV$41)+SUMPRODUCT(Adds!$C$211:$T$211,Curves!$BE$64:$BV$64)</f>
        <v/>
      </c>
      <c r="U57" s="5">
        <f>SUMPRODUCT(Adds!$C$209:$U$209,Curves!$BD$18:$BV$18)+SUMPRODUCT(Adds!$C$210:$U$210,Curves!$BD$41:$BV$41)+SUMPRODUCT(Adds!$C$211:$U$211,Curves!$BD$64:$BV$64)</f>
        <v/>
      </c>
      <c r="V57" s="5">
        <f>SUMPRODUCT(Adds!$C$209:$V$209,Curves!$BC$18:$BV$18)+SUMPRODUCT(Adds!$C$210:$V$210,Curves!$BC$41:$BV$41)+SUMPRODUCT(Adds!$C$211:$V$211,Curves!$BC$64:$BV$64)</f>
        <v/>
      </c>
      <c r="W57" s="5">
        <f>SUMPRODUCT(Adds!$C$209:$W$209,Curves!$BB$18:$BV$18)+SUMPRODUCT(Adds!$C$210:$W$210,Curves!$BB$41:$BV$41)+SUMPRODUCT(Adds!$C$211:$W$211,Curves!$BB$64:$BV$64)</f>
        <v/>
      </c>
      <c r="X57" s="5">
        <f>SUMPRODUCT(Adds!$C$209:$X$209,Curves!$BA$18:$BV$18)+SUMPRODUCT(Adds!$C$210:$X$210,Curves!$BA$41:$BV$41)+SUMPRODUCT(Adds!$C$211:$X$211,Curves!$BA$64:$BV$64)</f>
        <v/>
      </c>
      <c r="Y57" s="5">
        <f>SUMPRODUCT(Adds!$C$209:$Y$209,Curves!$AZ$18:$BV$18)+SUMPRODUCT(Adds!$C$210:$Y$210,Curves!$AZ$41:$BV$41)+SUMPRODUCT(Adds!$C$211:$Y$211,Curves!$AZ$64:$BV$64)</f>
        <v/>
      </c>
      <c r="Z57" s="5">
        <f>SUMPRODUCT(Adds!$C$209:$Z$209,Curves!$AY$18:$BV$18)+SUMPRODUCT(Adds!$C$210:$Z$210,Curves!$AY$41:$BV$41)+SUMPRODUCT(Adds!$C$211:$Z$211,Curves!$AY$64:$BV$64)</f>
        <v/>
      </c>
      <c r="AA57" s="5">
        <f>SUMPRODUCT(Adds!$C$209:$AA$209,Curves!$AX$18:$BV$18)+SUMPRODUCT(Adds!$C$210:$AA$210,Curves!$AX$41:$BV$41)+SUMPRODUCT(Adds!$C$211:$AA$211,Curves!$AX$64:$BV$64)</f>
        <v/>
      </c>
      <c r="AB57" s="5">
        <f>SUMPRODUCT(Adds!$C$209:$AB$209,Curves!$AW$18:$BV$18)+SUMPRODUCT(Adds!$C$210:$AB$210,Curves!$AW$41:$BV$41)+SUMPRODUCT(Adds!$C$211:$AB$211,Curves!$AW$64:$BV$64)</f>
        <v/>
      </c>
      <c r="AC57" s="5">
        <f>SUMPRODUCT(Adds!$C$209:$AC$209,Curves!$AV$18:$BV$18)+SUMPRODUCT(Adds!$C$210:$AC$210,Curves!$AV$41:$BV$41)+SUMPRODUCT(Adds!$C$211:$AC$211,Curves!$AV$64:$BV$64)</f>
        <v/>
      </c>
      <c r="AD57" s="5">
        <f>SUMPRODUCT(Adds!$C$209:$AD$209,Curves!$AU$18:$BV$18)+SUMPRODUCT(Adds!$C$210:$AD$210,Curves!$AU$41:$BV$41)+SUMPRODUCT(Adds!$C$211:$AD$211,Curves!$AU$64:$BV$64)</f>
        <v/>
      </c>
      <c r="AE57" s="5">
        <f>SUMPRODUCT(Adds!$C$209:$AE$209,Curves!$AT$18:$BV$18)+SUMPRODUCT(Adds!$C$210:$AE$210,Curves!$AT$41:$BV$41)+SUMPRODUCT(Adds!$C$211:$AE$211,Curves!$AT$64:$BV$64)</f>
        <v/>
      </c>
      <c r="AF57" s="5">
        <f>SUMPRODUCT(Adds!$C$209:$AF$209,Curves!$AS$18:$BV$18)+SUMPRODUCT(Adds!$C$210:$AF$210,Curves!$AS$41:$BV$41)+SUMPRODUCT(Adds!$C$211:$AF$211,Curves!$AS$64:$BV$64)</f>
        <v/>
      </c>
      <c r="AG57" s="5">
        <f>SUMPRODUCT(Adds!$C$209:$AG$209,Curves!$AR$18:$BV$18)+SUMPRODUCT(Adds!$C$210:$AG$210,Curves!$AR$41:$BV$41)+SUMPRODUCT(Adds!$C$211:$AG$211,Curves!$AR$64:$BV$64)</f>
        <v/>
      </c>
      <c r="AH57" s="5">
        <f>SUMPRODUCT(Adds!$C$209:$AH$209,Curves!$AQ$18:$BV$18)+SUMPRODUCT(Adds!$C$210:$AH$210,Curves!$AQ$41:$BV$41)+SUMPRODUCT(Adds!$C$211:$AH$211,Curves!$AQ$64:$BV$64)</f>
        <v/>
      </c>
      <c r="AI57" s="5">
        <f>SUMPRODUCT(Adds!$C$209:$AI$209,Curves!$AP$18:$BV$18)+SUMPRODUCT(Adds!$C$210:$AI$210,Curves!$AP$41:$BV$41)+SUMPRODUCT(Adds!$C$211:$AI$211,Curves!$AP$64:$BV$64)</f>
        <v/>
      </c>
      <c r="AJ57" s="5">
        <f>SUMPRODUCT(Adds!$C$209:$AJ$209,Curves!$AO$18:$BV$18)+SUMPRODUCT(Adds!$C$210:$AJ$210,Curves!$AO$41:$BV$41)+SUMPRODUCT(Adds!$C$211:$AJ$211,Curves!$AO$64:$BV$64)</f>
        <v/>
      </c>
      <c r="AK57" s="5">
        <f>SUMPRODUCT(Adds!$C$209:$AK$209,Curves!$AN$18:$BV$18)+SUMPRODUCT(Adds!$C$210:$AK$210,Curves!$AN$41:$BV$41)+SUMPRODUCT(Adds!$C$211:$AK$211,Curves!$AN$64:$BV$64)</f>
        <v/>
      </c>
      <c r="AL57" s="5">
        <f>SUMPRODUCT(Adds!$C$209:$AL$209,Curves!$AM$18:$BV$18)+SUMPRODUCT(Adds!$C$210:$AL$210,Curves!$AM$41:$BV$41)+SUMPRODUCT(Adds!$C$211:$AL$211,Curves!$AM$64:$BV$64)</f>
        <v/>
      </c>
      <c r="AM57" s="5">
        <f>SUMPRODUCT(Adds!$C$209:$AM$209,Curves!$AL$18:$BV$18)+SUMPRODUCT(Adds!$C$210:$AM$210,Curves!$AL$41:$BV$41)+SUMPRODUCT(Adds!$C$211:$AM$211,Curves!$AL$64:$BV$64)</f>
        <v/>
      </c>
      <c r="AN57" s="5">
        <f>SUMPRODUCT(Adds!$C$209:$AN$209,Curves!$AK$18:$BV$18)+SUMPRODUCT(Adds!$C$210:$AN$210,Curves!$AK$41:$BV$41)+SUMPRODUCT(Adds!$C$211:$AN$211,Curves!$AK$64:$BV$64)</f>
        <v/>
      </c>
      <c r="AO57" s="5">
        <f>SUMPRODUCT(Adds!$C$209:$AO$209,Curves!$AJ$18:$BV$18)+SUMPRODUCT(Adds!$C$210:$AO$210,Curves!$AJ$41:$BV$41)+SUMPRODUCT(Adds!$C$211:$AO$211,Curves!$AJ$64:$BV$64)</f>
        <v/>
      </c>
      <c r="AP57" s="5">
        <f>SUMPRODUCT(Adds!$C$209:$AP$209,Curves!$AI$18:$BV$18)+SUMPRODUCT(Adds!$C$210:$AP$210,Curves!$AI$41:$BV$41)+SUMPRODUCT(Adds!$C$211:$AP$211,Curves!$AI$64:$BV$64)</f>
        <v/>
      </c>
      <c r="AQ57" s="5">
        <f>SUMPRODUCT(Adds!$C$209:$AQ$209,Curves!$AH$18:$BV$18)+SUMPRODUCT(Adds!$C$210:$AQ$210,Curves!$AH$41:$BV$41)+SUMPRODUCT(Adds!$C$211:$AQ$211,Curves!$AH$64:$BV$64)</f>
        <v/>
      </c>
      <c r="AR57" s="5">
        <f>SUMPRODUCT(Adds!$C$209:$AR$209,Curves!$AG$18:$BV$18)+SUMPRODUCT(Adds!$C$210:$AR$210,Curves!$AG$41:$BV$41)+SUMPRODUCT(Adds!$C$211:$AR$211,Curves!$AG$64:$BV$64)</f>
        <v/>
      </c>
      <c r="AS57" s="5">
        <f>SUMPRODUCT(Adds!$C$209:$AS$209,Curves!$AF$18:$BV$18)+SUMPRODUCT(Adds!$C$210:$AS$210,Curves!$AF$41:$BV$41)+SUMPRODUCT(Adds!$C$211:$AS$211,Curves!$AF$64:$BV$64)</f>
        <v/>
      </c>
      <c r="AT57" s="5">
        <f>SUMPRODUCT(Adds!$C$209:$AT$209,Curves!$AE$18:$BV$18)+SUMPRODUCT(Adds!$C$210:$AT$210,Curves!$AE$41:$BV$41)+SUMPRODUCT(Adds!$C$211:$AT$211,Curves!$AE$64:$BV$64)</f>
        <v/>
      </c>
      <c r="AU57" s="5">
        <f>SUMPRODUCT(Adds!$C$209:$AU$209,Curves!$AD$18:$BV$18)+SUMPRODUCT(Adds!$C$210:$AU$210,Curves!$AD$41:$BV$41)+SUMPRODUCT(Adds!$C$211:$AU$211,Curves!$AD$64:$BV$64)</f>
        <v/>
      </c>
      <c r="AV57" s="5">
        <f>SUMPRODUCT(Adds!$C$209:$AV$209,Curves!$AC$18:$BV$18)+SUMPRODUCT(Adds!$C$210:$AV$210,Curves!$AC$41:$BV$41)+SUMPRODUCT(Adds!$C$211:$AV$211,Curves!$AC$64:$BV$64)</f>
        <v/>
      </c>
      <c r="AW57" s="5">
        <f>SUMPRODUCT(Adds!$C$209:$AW$209,Curves!$AB$18:$BV$18)+SUMPRODUCT(Adds!$C$210:$AW$210,Curves!$AB$41:$BV$41)+SUMPRODUCT(Adds!$C$211:$AW$211,Curves!$AB$64:$BV$64)</f>
        <v/>
      </c>
      <c r="AX57" s="5">
        <f>SUMPRODUCT(Adds!$C$209:$AX$209,Curves!$AA$18:$BV$18)+SUMPRODUCT(Adds!$C$210:$AX$210,Curves!$AA$41:$BV$41)+SUMPRODUCT(Adds!$C$211:$AX$211,Curves!$AA$64:$BV$64)</f>
        <v/>
      </c>
      <c r="AY57" s="5">
        <f>SUMPRODUCT(Adds!$C$209:$AY$209,Curves!$Z$18:$BV$18)+SUMPRODUCT(Adds!$C$210:$AY$210,Curves!$Z$41:$BV$41)+SUMPRODUCT(Adds!$C$211:$AY$211,Curves!$Z$64:$BV$64)</f>
        <v/>
      </c>
      <c r="AZ57" s="5">
        <f>SUMPRODUCT(Adds!$C$209:$AZ$209,Curves!$Y$18:$BV$18)+SUMPRODUCT(Adds!$C$210:$AZ$210,Curves!$Y$41:$BV$41)+SUMPRODUCT(Adds!$C$211:$AZ$211,Curves!$Y$64:$BV$64)</f>
        <v/>
      </c>
      <c r="BA57" s="5">
        <f>SUMPRODUCT(Adds!$C$209:$BA$209,Curves!$X$18:$BV$18)+SUMPRODUCT(Adds!$C$210:$BA$210,Curves!$X$41:$BV$41)+SUMPRODUCT(Adds!$C$211:$BA$211,Curves!$X$64:$BV$64)</f>
        <v/>
      </c>
      <c r="BB57" s="5">
        <f>SUMPRODUCT(Adds!$C$209:$BB$209,Curves!$W$18:$BV$18)+SUMPRODUCT(Adds!$C$210:$BB$210,Curves!$W$41:$BV$41)+SUMPRODUCT(Adds!$C$211:$BB$211,Curves!$W$64:$BV$64)</f>
        <v/>
      </c>
      <c r="BC57" s="5">
        <f>SUMPRODUCT(Adds!$C$209:$BC$209,Curves!$V$18:$BV$18)+SUMPRODUCT(Adds!$C$210:$BC$210,Curves!$V$41:$BV$41)+SUMPRODUCT(Adds!$C$211:$BC$211,Curves!$V$64:$BV$64)</f>
        <v/>
      </c>
      <c r="BD57" s="5">
        <f>SUMPRODUCT(Adds!$C$209:$BD$209,Curves!$U$18:$BV$18)+SUMPRODUCT(Adds!$C$210:$BD$210,Curves!$U$41:$BV$41)+SUMPRODUCT(Adds!$C$211:$BD$211,Curves!$U$64:$BV$64)</f>
        <v/>
      </c>
      <c r="BE57" s="5">
        <f>SUMPRODUCT(Adds!$C$209:$BE$209,Curves!$T$18:$BV$18)+SUMPRODUCT(Adds!$C$210:$BE$210,Curves!$T$41:$BV$41)+SUMPRODUCT(Adds!$C$211:$BE$211,Curves!$T$64:$BV$64)</f>
        <v/>
      </c>
      <c r="BF57" s="5">
        <f>SUMPRODUCT(Adds!$C$209:$BF$209,Curves!$S$18:$BV$18)+SUMPRODUCT(Adds!$C$210:$BF$210,Curves!$S$41:$BV$41)+SUMPRODUCT(Adds!$C$211:$BF$211,Curves!$S$64:$BV$64)</f>
        <v/>
      </c>
      <c r="BG57" s="5">
        <f>SUMPRODUCT(Adds!$C$209:$BG$209,Curves!$R$18:$BV$18)+SUMPRODUCT(Adds!$C$210:$BG$210,Curves!$R$41:$BV$41)+SUMPRODUCT(Adds!$C$211:$BG$211,Curves!$R$64:$BV$64)</f>
        <v/>
      </c>
      <c r="BH57" s="5">
        <f>SUMPRODUCT(Adds!$C$209:$BH$209,Curves!$Q$18:$BV$18)+SUMPRODUCT(Adds!$C$210:$BH$210,Curves!$Q$41:$BV$41)+SUMPRODUCT(Adds!$C$211:$BH$211,Curves!$Q$64:$BV$64)</f>
        <v/>
      </c>
      <c r="BI57" s="5">
        <f>SUMPRODUCT(Adds!$C$209:$BI$209,Curves!$P$18:$BV$18)+SUMPRODUCT(Adds!$C$210:$BI$210,Curves!$P$41:$BV$41)+SUMPRODUCT(Adds!$C$211:$BI$211,Curves!$P$64:$BV$64)</f>
        <v/>
      </c>
      <c r="BJ57" s="5">
        <f>SUMPRODUCT(Adds!$C$209:$BJ$209,Curves!$O$18:$BV$18)+SUMPRODUCT(Adds!$C$210:$BJ$210,Curves!$O$41:$BV$41)+SUMPRODUCT(Adds!$C$211:$BJ$211,Curves!$O$64:$BV$64)</f>
        <v/>
      </c>
      <c r="BK57" s="5">
        <f>SUMPRODUCT(Adds!$C$209:$BK$209,Curves!$N$18:$BV$18)+SUMPRODUCT(Adds!$C$210:$BK$210,Curves!$N$41:$BV$41)+SUMPRODUCT(Adds!$C$211:$BK$211,Curves!$N$64:$BV$64)</f>
        <v/>
      </c>
      <c r="BL57" s="5">
        <f>SUMPRODUCT(Adds!$C$209:$BL$209,Curves!$M$18:$BV$18)+SUMPRODUCT(Adds!$C$210:$BL$210,Curves!$M$41:$BV$41)+SUMPRODUCT(Adds!$C$211:$BL$211,Curves!$M$64:$BV$64)</f>
        <v/>
      </c>
      <c r="BM57" s="5">
        <f>SUMPRODUCT(Adds!$C$209:$BM$209,Curves!$L$18:$BV$18)+SUMPRODUCT(Adds!$C$210:$BM$210,Curves!$L$41:$BV$41)+SUMPRODUCT(Adds!$C$211:$BM$211,Curves!$L$64:$BV$64)</f>
        <v/>
      </c>
      <c r="BN57" s="5">
        <f>SUMPRODUCT(Adds!$C$209:$BN$209,Curves!$K$18:$BV$18)+SUMPRODUCT(Adds!$C$210:$BN$210,Curves!$K$41:$BV$41)+SUMPRODUCT(Adds!$C$211:$BN$211,Curves!$K$64:$BV$64)</f>
        <v/>
      </c>
      <c r="BO57" s="5">
        <f>SUMPRODUCT(Adds!$C$209:$BO$209,Curves!$J$18:$BV$18)+SUMPRODUCT(Adds!$C$210:$BO$210,Curves!$J$41:$BV$41)+SUMPRODUCT(Adds!$C$211:$BO$211,Curves!$J$64:$BV$64)</f>
        <v/>
      </c>
      <c r="BP57" s="5">
        <f>SUMPRODUCT(Adds!$C$209:$BP$209,Curves!$I$18:$BV$18)+SUMPRODUCT(Adds!$C$210:$BP$210,Curves!$I$41:$BV$41)+SUMPRODUCT(Adds!$C$211:$BP$211,Curves!$I$64:$BV$64)</f>
        <v/>
      </c>
      <c r="BQ57" s="5">
        <f>SUMPRODUCT(Adds!$C$209:$BQ$209,Curves!$H$18:$BV$18)+SUMPRODUCT(Adds!$C$210:$BQ$210,Curves!$H$41:$BV$41)+SUMPRODUCT(Adds!$C$211:$BQ$211,Curves!$H$64:$BV$64)</f>
        <v/>
      </c>
      <c r="BR57" s="5">
        <f>SUMPRODUCT(Adds!$C$209:$BR$209,Curves!$G$18:$BV$18)+SUMPRODUCT(Adds!$C$210:$BR$210,Curves!$G$41:$BV$41)+SUMPRODUCT(Adds!$C$211:$BR$211,Curves!$G$64:$BV$64)</f>
        <v/>
      </c>
      <c r="BS57" s="5">
        <f>SUMPRODUCT(Adds!$C$209:$BS$209,Curves!$F$18:$BV$18)+SUMPRODUCT(Adds!$C$210:$BS$210,Curves!$F$41:$BV$41)+SUMPRODUCT(Adds!$C$211:$BS$211,Curves!$F$64:$BV$64)</f>
        <v/>
      </c>
      <c r="BT57" s="5">
        <f>SUMPRODUCT(Adds!$C$209:$BT$209,Curves!$E$18:$BV$18)+SUMPRODUCT(Adds!$C$210:$BT$210,Curves!$E$41:$BV$41)+SUMPRODUCT(Adds!$C$211:$BT$211,Curves!$E$64:$BV$64)</f>
        <v/>
      </c>
      <c r="BU57" s="5">
        <f>SUMPRODUCT(Adds!$C$209:$BU$209,Curves!$D$18:$BV$18)+SUMPRODUCT(Adds!$C$210:$BU$210,Curves!$D$41:$BV$41)+SUMPRODUCT(Adds!$C$211:$BU$211,Curves!$D$64:$BV$64)</f>
        <v/>
      </c>
      <c r="BV57" s="5">
        <f>SUMPRODUCT(Adds!$C$209:$BV$209,Curves!$C$18:$BV$18)+SUMPRODUCT(Adds!$C$210:$BV$210,Curves!$C$41:$BV$41)+SUMPRODUCT(Adds!$C$211:$BV$211,Curves!$C$64:$BV$64)</f>
        <v/>
      </c>
    </row>
    <row r="59">
      <c r="A59" t="inlineStr">
        <is>
          <t>active</t>
        </is>
      </c>
      <c r="B59" t="inlineStr">
        <is>
          <t>APAC|BASIC_M</t>
        </is>
      </c>
      <c r="C59" s="5">
        <f>Adds!$C$224*Curves!$BV$15+Adds!$C$225*Curves!$BV$38+Adds!$C$226*Curves!$BV$61</f>
        <v/>
      </c>
      <c r="D59" s="5">
        <f>SUMPRODUCT(Adds!$C$224:$D$224,Curves!$BU$15:$BV$15)+SUMPRODUCT(Adds!$C$225:$D$225,Curves!$BU$38:$BV$38)+SUMPRODUCT(Adds!$C$226:$D$226,Curves!$BU$61:$BV$61)</f>
        <v/>
      </c>
      <c r="E59" s="5">
        <f>SUMPRODUCT(Adds!$C$224:$E$224,Curves!$BT$15:$BV$15)+SUMPRODUCT(Adds!$C$225:$E$225,Curves!$BT$38:$BV$38)+SUMPRODUCT(Adds!$C$226:$E$226,Curves!$BT$61:$BV$61)</f>
        <v/>
      </c>
      <c r="F59" s="5">
        <f>SUMPRODUCT(Adds!$C$224:$F$224,Curves!$BS$15:$BV$15)+SUMPRODUCT(Adds!$C$225:$F$225,Curves!$BS$38:$BV$38)+SUMPRODUCT(Adds!$C$226:$F$226,Curves!$BS$61:$BV$61)</f>
        <v/>
      </c>
      <c r="G59" s="5">
        <f>SUMPRODUCT(Adds!$C$224:$G$224,Curves!$BR$15:$BV$15)+SUMPRODUCT(Adds!$C$225:$G$225,Curves!$BR$38:$BV$38)+SUMPRODUCT(Adds!$C$226:$G$226,Curves!$BR$61:$BV$61)</f>
        <v/>
      </c>
      <c r="H59" s="5">
        <f>SUMPRODUCT(Adds!$C$224:$H$224,Curves!$BQ$15:$BV$15)+SUMPRODUCT(Adds!$C$225:$H$225,Curves!$BQ$38:$BV$38)+SUMPRODUCT(Adds!$C$226:$H$226,Curves!$BQ$61:$BV$61)</f>
        <v/>
      </c>
      <c r="I59" s="5">
        <f>SUMPRODUCT(Adds!$C$224:$I$224,Curves!$BP$15:$BV$15)+SUMPRODUCT(Adds!$C$225:$I$225,Curves!$BP$38:$BV$38)+SUMPRODUCT(Adds!$C$226:$I$226,Curves!$BP$61:$BV$61)</f>
        <v/>
      </c>
      <c r="J59" s="5">
        <f>SUMPRODUCT(Adds!$C$224:$J$224,Curves!$BO$15:$BV$15)+SUMPRODUCT(Adds!$C$225:$J$225,Curves!$BO$38:$BV$38)+SUMPRODUCT(Adds!$C$226:$J$226,Curves!$BO$61:$BV$61)</f>
        <v/>
      </c>
      <c r="K59" s="5">
        <f>SUMPRODUCT(Adds!$C$224:$K$224,Curves!$BN$15:$BV$15)+SUMPRODUCT(Adds!$C$225:$K$225,Curves!$BN$38:$BV$38)+SUMPRODUCT(Adds!$C$226:$K$226,Curves!$BN$61:$BV$61)</f>
        <v/>
      </c>
      <c r="L59" s="5">
        <f>SUMPRODUCT(Adds!$C$224:$L$224,Curves!$BM$15:$BV$15)+SUMPRODUCT(Adds!$C$225:$L$225,Curves!$BM$38:$BV$38)+SUMPRODUCT(Adds!$C$226:$L$226,Curves!$BM$61:$BV$61)</f>
        <v/>
      </c>
      <c r="M59" s="5">
        <f>SUMPRODUCT(Adds!$C$224:$M$224,Curves!$BL$15:$BV$15)+SUMPRODUCT(Adds!$C$225:$M$225,Curves!$BL$38:$BV$38)+SUMPRODUCT(Adds!$C$226:$M$226,Curves!$BL$61:$BV$61)</f>
        <v/>
      </c>
      <c r="N59" s="5">
        <f>SUMPRODUCT(Adds!$C$224:$N$224,Curves!$BK$15:$BV$15)+SUMPRODUCT(Adds!$C$225:$N$225,Curves!$BK$38:$BV$38)+SUMPRODUCT(Adds!$C$226:$N$226,Curves!$BK$61:$BV$61)</f>
        <v/>
      </c>
      <c r="O59" s="5">
        <f>SUMPRODUCT(Adds!$C$224:$O$224,Curves!$BJ$15:$BV$15)+SUMPRODUCT(Adds!$C$225:$O$225,Curves!$BJ$38:$BV$38)+SUMPRODUCT(Adds!$C$226:$O$226,Curves!$BJ$61:$BV$61)</f>
        <v/>
      </c>
      <c r="P59" s="5">
        <f>SUMPRODUCT(Adds!$C$224:$P$224,Curves!$BI$15:$BV$15)+SUMPRODUCT(Adds!$C$225:$P$225,Curves!$BI$38:$BV$38)+SUMPRODUCT(Adds!$C$226:$P$226,Curves!$BI$61:$BV$61)</f>
        <v/>
      </c>
      <c r="Q59" s="5">
        <f>SUMPRODUCT(Adds!$C$224:$Q$224,Curves!$BH$15:$BV$15)+SUMPRODUCT(Adds!$C$225:$Q$225,Curves!$BH$38:$BV$38)+SUMPRODUCT(Adds!$C$226:$Q$226,Curves!$BH$61:$BV$61)</f>
        <v/>
      </c>
      <c r="R59" s="5">
        <f>SUMPRODUCT(Adds!$C$224:$R$224,Curves!$BG$15:$BV$15)+SUMPRODUCT(Adds!$C$225:$R$225,Curves!$BG$38:$BV$38)+SUMPRODUCT(Adds!$C$226:$R$226,Curves!$BG$61:$BV$61)</f>
        <v/>
      </c>
      <c r="S59" s="5">
        <f>SUMPRODUCT(Adds!$C$224:$S$224,Curves!$BF$15:$BV$15)+SUMPRODUCT(Adds!$C$225:$S$225,Curves!$BF$38:$BV$38)+SUMPRODUCT(Adds!$C$226:$S$226,Curves!$BF$61:$BV$61)</f>
        <v/>
      </c>
      <c r="T59" s="5">
        <f>SUMPRODUCT(Adds!$C$224:$T$224,Curves!$BE$15:$BV$15)+SUMPRODUCT(Adds!$C$225:$T$225,Curves!$BE$38:$BV$38)+SUMPRODUCT(Adds!$C$226:$T$226,Curves!$BE$61:$BV$61)</f>
        <v/>
      </c>
      <c r="U59" s="5">
        <f>SUMPRODUCT(Adds!$C$224:$U$224,Curves!$BD$15:$BV$15)+SUMPRODUCT(Adds!$C$225:$U$225,Curves!$BD$38:$BV$38)+SUMPRODUCT(Adds!$C$226:$U$226,Curves!$BD$61:$BV$61)</f>
        <v/>
      </c>
      <c r="V59" s="5">
        <f>SUMPRODUCT(Adds!$C$224:$V$224,Curves!$BC$15:$BV$15)+SUMPRODUCT(Adds!$C$225:$V$225,Curves!$BC$38:$BV$38)+SUMPRODUCT(Adds!$C$226:$V$226,Curves!$BC$61:$BV$61)</f>
        <v/>
      </c>
      <c r="W59" s="5">
        <f>SUMPRODUCT(Adds!$C$224:$W$224,Curves!$BB$15:$BV$15)+SUMPRODUCT(Adds!$C$225:$W$225,Curves!$BB$38:$BV$38)+SUMPRODUCT(Adds!$C$226:$W$226,Curves!$BB$61:$BV$61)</f>
        <v/>
      </c>
      <c r="X59" s="5">
        <f>SUMPRODUCT(Adds!$C$224:$X$224,Curves!$BA$15:$BV$15)+SUMPRODUCT(Adds!$C$225:$X$225,Curves!$BA$38:$BV$38)+SUMPRODUCT(Adds!$C$226:$X$226,Curves!$BA$61:$BV$61)</f>
        <v/>
      </c>
      <c r="Y59" s="5">
        <f>SUMPRODUCT(Adds!$C$224:$Y$224,Curves!$AZ$15:$BV$15)+SUMPRODUCT(Adds!$C$225:$Y$225,Curves!$AZ$38:$BV$38)+SUMPRODUCT(Adds!$C$226:$Y$226,Curves!$AZ$61:$BV$61)</f>
        <v/>
      </c>
      <c r="Z59" s="5">
        <f>SUMPRODUCT(Adds!$C$224:$Z$224,Curves!$AY$15:$BV$15)+SUMPRODUCT(Adds!$C$225:$Z$225,Curves!$AY$38:$BV$38)+SUMPRODUCT(Adds!$C$226:$Z$226,Curves!$AY$61:$BV$61)</f>
        <v/>
      </c>
      <c r="AA59" s="5">
        <f>SUMPRODUCT(Adds!$C$224:$AA$224,Curves!$AX$15:$BV$15)+SUMPRODUCT(Adds!$C$225:$AA$225,Curves!$AX$38:$BV$38)+SUMPRODUCT(Adds!$C$226:$AA$226,Curves!$AX$61:$BV$61)</f>
        <v/>
      </c>
      <c r="AB59" s="5">
        <f>SUMPRODUCT(Adds!$C$224:$AB$224,Curves!$AW$15:$BV$15)+SUMPRODUCT(Adds!$C$225:$AB$225,Curves!$AW$38:$BV$38)+SUMPRODUCT(Adds!$C$226:$AB$226,Curves!$AW$61:$BV$61)</f>
        <v/>
      </c>
      <c r="AC59" s="5">
        <f>SUMPRODUCT(Adds!$C$224:$AC$224,Curves!$AV$15:$BV$15)+SUMPRODUCT(Adds!$C$225:$AC$225,Curves!$AV$38:$BV$38)+SUMPRODUCT(Adds!$C$226:$AC$226,Curves!$AV$61:$BV$61)</f>
        <v/>
      </c>
      <c r="AD59" s="5">
        <f>SUMPRODUCT(Adds!$C$224:$AD$224,Curves!$AU$15:$BV$15)+SUMPRODUCT(Adds!$C$225:$AD$225,Curves!$AU$38:$BV$38)+SUMPRODUCT(Adds!$C$226:$AD$226,Curves!$AU$61:$BV$61)</f>
        <v/>
      </c>
      <c r="AE59" s="5">
        <f>SUMPRODUCT(Adds!$C$224:$AE$224,Curves!$AT$15:$BV$15)+SUMPRODUCT(Adds!$C$225:$AE$225,Curves!$AT$38:$BV$38)+SUMPRODUCT(Adds!$C$226:$AE$226,Curves!$AT$61:$BV$61)</f>
        <v/>
      </c>
      <c r="AF59" s="5">
        <f>SUMPRODUCT(Adds!$C$224:$AF$224,Curves!$AS$15:$BV$15)+SUMPRODUCT(Adds!$C$225:$AF$225,Curves!$AS$38:$BV$38)+SUMPRODUCT(Adds!$C$226:$AF$226,Curves!$AS$61:$BV$61)</f>
        <v/>
      </c>
      <c r="AG59" s="5">
        <f>SUMPRODUCT(Adds!$C$224:$AG$224,Curves!$AR$15:$BV$15)+SUMPRODUCT(Adds!$C$225:$AG$225,Curves!$AR$38:$BV$38)+SUMPRODUCT(Adds!$C$226:$AG$226,Curves!$AR$61:$BV$61)</f>
        <v/>
      </c>
      <c r="AH59" s="5">
        <f>SUMPRODUCT(Adds!$C$224:$AH$224,Curves!$AQ$15:$BV$15)+SUMPRODUCT(Adds!$C$225:$AH$225,Curves!$AQ$38:$BV$38)+SUMPRODUCT(Adds!$C$226:$AH$226,Curves!$AQ$61:$BV$61)</f>
        <v/>
      </c>
      <c r="AI59" s="5">
        <f>SUMPRODUCT(Adds!$C$224:$AI$224,Curves!$AP$15:$BV$15)+SUMPRODUCT(Adds!$C$225:$AI$225,Curves!$AP$38:$BV$38)+SUMPRODUCT(Adds!$C$226:$AI$226,Curves!$AP$61:$BV$61)</f>
        <v/>
      </c>
      <c r="AJ59" s="5">
        <f>SUMPRODUCT(Adds!$C$224:$AJ$224,Curves!$AO$15:$BV$15)+SUMPRODUCT(Adds!$C$225:$AJ$225,Curves!$AO$38:$BV$38)+SUMPRODUCT(Adds!$C$226:$AJ$226,Curves!$AO$61:$BV$61)</f>
        <v/>
      </c>
      <c r="AK59" s="5">
        <f>SUMPRODUCT(Adds!$C$224:$AK$224,Curves!$AN$15:$BV$15)+SUMPRODUCT(Adds!$C$225:$AK$225,Curves!$AN$38:$BV$38)+SUMPRODUCT(Adds!$C$226:$AK$226,Curves!$AN$61:$BV$61)</f>
        <v/>
      </c>
      <c r="AL59" s="5">
        <f>SUMPRODUCT(Adds!$C$224:$AL$224,Curves!$AM$15:$BV$15)+SUMPRODUCT(Adds!$C$225:$AL$225,Curves!$AM$38:$BV$38)+SUMPRODUCT(Adds!$C$226:$AL$226,Curves!$AM$61:$BV$61)</f>
        <v/>
      </c>
      <c r="AM59" s="5">
        <f>SUMPRODUCT(Adds!$C$224:$AM$224,Curves!$AL$15:$BV$15)+SUMPRODUCT(Adds!$C$225:$AM$225,Curves!$AL$38:$BV$38)+SUMPRODUCT(Adds!$C$226:$AM$226,Curves!$AL$61:$BV$61)</f>
        <v/>
      </c>
      <c r="AN59" s="5">
        <f>SUMPRODUCT(Adds!$C$224:$AN$224,Curves!$AK$15:$BV$15)+SUMPRODUCT(Adds!$C$225:$AN$225,Curves!$AK$38:$BV$38)+SUMPRODUCT(Adds!$C$226:$AN$226,Curves!$AK$61:$BV$61)</f>
        <v/>
      </c>
      <c r="AO59" s="5">
        <f>SUMPRODUCT(Adds!$C$224:$AO$224,Curves!$AJ$15:$BV$15)+SUMPRODUCT(Adds!$C$225:$AO$225,Curves!$AJ$38:$BV$38)+SUMPRODUCT(Adds!$C$226:$AO$226,Curves!$AJ$61:$BV$61)</f>
        <v/>
      </c>
      <c r="AP59" s="5">
        <f>SUMPRODUCT(Adds!$C$224:$AP$224,Curves!$AI$15:$BV$15)+SUMPRODUCT(Adds!$C$225:$AP$225,Curves!$AI$38:$BV$38)+SUMPRODUCT(Adds!$C$226:$AP$226,Curves!$AI$61:$BV$61)</f>
        <v/>
      </c>
      <c r="AQ59" s="5">
        <f>SUMPRODUCT(Adds!$C$224:$AQ$224,Curves!$AH$15:$BV$15)+SUMPRODUCT(Adds!$C$225:$AQ$225,Curves!$AH$38:$BV$38)+SUMPRODUCT(Adds!$C$226:$AQ$226,Curves!$AH$61:$BV$61)</f>
        <v/>
      </c>
      <c r="AR59" s="5">
        <f>SUMPRODUCT(Adds!$C$224:$AR$224,Curves!$AG$15:$BV$15)+SUMPRODUCT(Adds!$C$225:$AR$225,Curves!$AG$38:$BV$38)+SUMPRODUCT(Adds!$C$226:$AR$226,Curves!$AG$61:$BV$61)</f>
        <v/>
      </c>
      <c r="AS59" s="5">
        <f>SUMPRODUCT(Adds!$C$224:$AS$224,Curves!$AF$15:$BV$15)+SUMPRODUCT(Adds!$C$225:$AS$225,Curves!$AF$38:$BV$38)+SUMPRODUCT(Adds!$C$226:$AS$226,Curves!$AF$61:$BV$61)</f>
        <v/>
      </c>
      <c r="AT59" s="5">
        <f>SUMPRODUCT(Adds!$C$224:$AT$224,Curves!$AE$15:$BV$15)+SUMPRODUCT(Adds!$C$225:$AT$225,Curves!$AE$38:$BV$38)+SUMPRODUCT(Adds!$C$226:$AT$226,Curves!$AE$61:$BV$61)</f>
        <v/>
      </c>
      <c r="AU59" s="5">
        <f>SUMPRODUCT(Adds!$C$224:$AU$224,Curves!$AD$15:$BV$15)+SUMPRODUCT(Adds!$C$225:$AU$225,Curves!$AD$38:$BV$38)+SUMPRODUCT(Adds!$C$226:$AU$226,Curves!$AD$61:$BV$61)</f>
        <v/>
      </c>
      <c r="AV59" s="5">
        <f>SUMPRODUCT(Adds!$C$224:$AV$224,Curves!$AC$15:$BV$15)+SUMPRODUCT(Adds!$C$225:$AV$225,Curves!$AC$38:$BV$38)+SUMPRODUCT(Adds!$C$226:$AV$226,Curves!$AC$61:$BV$61)</f>
        <v/>
      </c>
      <c r="AW59" s="5">
        <f>SUMPRODUCT(Adds!$C$224:$AW$224,Curves!$AB$15:$BV$15)+SUMPRODUCT(Adds!$C$225:$AW$225,Curves!$AB$38:$BV$38)+SUMPRODUCT(Adds!$C$226:$AW$226,Curves!$AB$61:$BV$61)</f>
        <v/>
      </c>
      <c r="AX59" s="5">
        <f>SUMPRODUCT(Adds!$C$224:$AX$224,Curves!$AA$15:$BV$15)+SUMPRODUCT(Adds!$C$225:$AX$225,Curves!$AA$38:$BV$38)+SUMPRODUCT(Adds!$C$226:$AX$226,Curves!$AA$61:$BV$61)</f>
        <v/>
      </c>
      <c r="AY59" s="5">
        <f>SUMPRODUCT(Adds!$C$224:$AY$224,Curves!$Z$15:$BV$15)+SUMPRODUCT(Adds!$C$225:$AY$225,Curves!$Z$38:$BV$38)+SUMPRODUCT(Adds!$C$226:$AY$226,Curves!$Z$61:$BV$61)</f>
        <v/>
      </c>
      <c r="AZ59" s="5">
        <f>SUMPRODUCT(Adds!$C$224:$AZ$224,Curves!$Y$15:$BV$15)+SUMPRODUCT(Adds!$C$225:$AZ$225,Curves!$Y$38:$BV$38)+SUMPRODUCT(Adds!$C$226:$AZ$226,Curves!$Y$61:$BV$61)</f>
        <v/>
      </c>
      <c r="BA59" s="5">
        <f>SUMPRODUCT(Adds!$C$224:$BA$224,Curves!$X$15:$BV$15)+SUMPRODUCT(Adds!$C$225:$BA$225,Curves!$X$38:$BV$38)+SUMPRODUCT(Adds!$C$226:$BA$226,Curves!$X$61:$BV$61)</f>
        <v/>
      </c>
      <c r="BB59" s="5">
        <f>SUMPRODUCT(Adds!$C$224:$BB$224,Curves!$W$15:$BV$15)+SUMPRODUCT(Adds!$C$225:$BB$225,Curves!$W$38:$BV$38)+SUMPRODUCT(Adds!$C$226:$BB$226,Curves!$W$61:$BV$61)</f>
        <v/>
      </c>
      <c r="BC59" s="5">
        <f>SUMPRODUCT(Adds!$C$224:$BC$224,Curves!$V$15:$BV$15)+SUMPRODUCT(Adds!$C$225:$BC$225,Curves!$V$38:$BV$38)+SUMPRODUCT(Adds!$C$226:$BC$226,Curves!$V$61:$BV$61)</f>
        <v/>
      </c>
      <c r="BD59" s="5">
        <f>SUMPRODUCT(Adds!$C$224:$BD$224,Curves!$U$15:$BV$15)+SUMPRODUCT(Adds!$C$225:$BD$225,Curves!$U$38:$BV$38)+SUMPRODUCT(Adds!$C$226:$BD$226,Curves!$U$61:$BV$61)</f>
        <v/>
      </c>
      <c r="BE59" s="5">
        <f>SUMPRODUCT(Adds!$C$224:$BE$224,Curves!$T$15:$BV$15)+SUMPRODUCT(Adds!$C$225:$BE$225,Curves!$T$38:$BV$38)+SUMPRODUCT(Adds!$C$226:$BE$226,Curves!$T$61:$BV$61)</f>
        <v/>
      </c>
      <c r="BF59" s="5">
        <f>SUMPRODUCT(Adds!$C$224:$BF$224,Curves!$S$15:$BV$15)+SUMPRODUCT(Adds!$C$225:$BF$225,Curves!$S$38:$BV$38)+SUMPRODUCT(Adds!$C$226:$BF$226,Curves!$S$61:$BV$61)</f>
        <v/>
      </c>
      <c r="BG59" s="5">
        <f>SUMPRODUCT(Adds!$C$224:$BG$224,Curves!$R$15:$BV$15)+SUMPRODUCT(Adds!$C$225:$BG$225,Curves!$R$38:$BV$38)+SUMPRODUCT(Adds!$C$226:$BG$226,Curves!$R$61:$BV$61)</f>
        <v/>
      </c>
      <c r="BH59" s="5">
        <f>SUMPRODUCT(Adds!$C$224:$BH$224,Curves!$Q$15:$BV$15)+SUMPRODUCT(Adds!$C$225:$BH$225,Curves!$Q$38:$BV$38)+SUMPRODUCT(Adds!$C$226:$BH$226,Curves!$Q$61:$BV$61)</f>
        <v/>
      </c>
      <c r="BI59" s="5">
        <f>SUMPRODUCT(Adds!$C$224:$BI$224,Curves!$P$15:$BV$15)+SUMPRODUCT(Adds!$C$225:$BI$225,Curves!$P$38:$BV$38)+SUMPRODUCT(Adds!$C$226:$BI$226,Curves!$P$61:$BV$61)</f>
        <v/>
      </c>
      <c r="BJ59" s="5">
        <f>SUMPRODUCT(Adds!$C$224:$BJ$224,Curves!$O$15:$BV$15)+SUMPRODUCT(Adds!$C$225:$BJ$225,Curves!$O$38:$BV$38)+SUMPRODUCT(Adds!$C$226:$BJ$226,Curves!$O$61:$BV$61)</f>
        <v/>
      </c>
      <c r="BK59" s="5">
        <f>SUMPRODUCT(Adds!$C$224:$BK$224,Curves!$N$15:$BV$15)+SUMPRODUCT(Adds!$C$225:$BK$225,Curves!$N$38:$BV$38)+SUMPRODUCT(Adds!$C$226:$BK$226,Curves!$N$61:$BV$61)</f>
        <v/>
      </c>
      <c r="BL59" s="5">
        <f>SUMPRODUCT(Adds!$C$224:$BL$224,Curves!$M$15:$BV$15)+SUMPRODUCT(Adds!$C$225:$BL$225,Curves!$M$38:$BV$38)+SUMPRODUCT(Adds!$C$226:$BL$226,Curves!$M$61:$BV$61)</f>
        <v/>
      </c>
      <c r="BM59" s="5">
        <f>SUMPRODUCT(Adds!$C$224:$BM$224,Curves!$L$15:$BV$15)+SUMPRODUCT(Adds!$C$225:$BM$225,Curves!$L$38:$BV$38)+SUMPRODUCT(Adds!$C$226:$BM$226,Curves!$L$61:$BV$61)</f>
        <v/>
      </c>
      <c r="BN59" s="5">
        <f>SUMPRODUCT(Adds!$C$224:$BN$224,Curves!$K$15:$BV$15)+SUMPRODUCT(Adds!$C$225:$BN$225,Curves!$K$38:$BV$38)+SUMPRODUCT(Adds!$C$226:$BN$226,Curves!$K$61:$BV$61)</f>
        <v/>
      </c>
      <c r="BO59" s="5">
        <f>SUMPRODUCT(Adds!$C$224:$BO$224,Curves!$J$15:$BV$15)+SUMPRODUCT(Adds!$C$225:$BO$225,Curves!$J$38:$BV$38)+SUMPRODUCT(Adds!$C$226:$BO$226,Curves!$J$61:$BV$61)</f>
        <v/>
      </c>
      <c r="BP59" s="5">
        <f>SUMPRODUCT(Adds!$C$224:$BP$224,Curves!$I$15:$BV$15)+SUMPRODUCT(Adds!$C$225:$BP$225,Curves!$I$38:$BV$38)+SUMPRODUCT(Adds!$C$226:$BP$226,Curves!$I$61:$BV$61)</f>
        <v/>
      </c>
      <c r="BQ59" s="5">
        <f>SUMPRODUCT(Adds!$C$224:$BQ$224,Curves!$H$15:$BV$15)+SUMPRODUCT(Adds!$C$225:$BQ$225,Curves!$H$38:$BV$38)+SUMPRODUCT(Adds!$C$226:$BQ$226,Curves!$H$61:$BV$61)</f>
        <v/>
      </c>
      <c r="BR59" s="5">
        <f>SUMPRODUCT(Adds!$C$224:$BR$224,Curves!$G$15:$BV$15)+SUMPRODUCT(Adds!$C$225:$BR$225,Curves!$G$38:$BV$38)+SUMPRODUCT(Adds!$C$226:$BR$226,Curves!$G$61:$BV$61)</f>
        <v/>
      </c>
      <c r="BS59" s="5">
        <f>SUMPRODUCT(Adds!$C$224:$BS$224,Curves!$F$15:$BV$15)+SUMPRODUCT(Adds!$C$225:$BS$225,Curves!$F$38:$BV$38)+SUMPRODUCT(Adds!$C$226:$BS$226,Curves!$F$61:$BV$61)</f>
        <v/>
      </c>
      <c r="BT59" s="5">
        <f>SUMPRODUCT(Adds!$C$224:$BT$224,Curves!$E$15:$BV$15)+SUMPRODUCT(Adds!$C$225:$BT$225,Curves!$E$38:$BV$38)+SUMPRODUCT(Adds!$C$226:$BT$226,Curves!$E$61:$BV$61)</f>
        <v/>
      </c>
      <c r="BU59" s="5">
        <f>SUMPRODUCT(Adds!$C$224:$BU$224,Curves!$D$15:$BV$15)+SUMPRODUCT(Adds!$C$225:$BU$225,Curves!$D$38:$BV$38)+SUMPRODUCT(Adds!$C$226:$BU$226,Curves!$D$61:$BV$61)</f>
        <v/>
      </c>
      <c r="BV59" s="5">
        <f>SUMPRODUCT(Adds!$C$224:$BV$224,Curves!$C$15:$BV$15)+SUMPRODUCT(Adds!$C$225:$BV$225,Curves!$C$38:$BV$38)+SUMPRODUCT(Adds!$C$226:$BV$226,Curves!$C$61:$BV$61)</f>
        <v/>
      </c>
    </row>
    <row r="60">
      <c r="A60" t="inlineStr">
        <is>
          <t>active yr 1</t>
        </is>
      </c>
      <c r="B60" t="inlineStr">
        <is>
          <t>APAC|BASIC_M</t>
        </is>
      </c>
      <c r="C60" s="5">
        <f>Adds!$C$224*Curves!$BV$22+Adds!$C$225*Curves!$BV$45+Adds!$C$226*Curves!$BV$68</f>
        <v/>
      </c>
      <c r="D60" s="5">
        <f>SUMPRODUCT(Adds!$C$224:$D$224,Curves!$BU$22:$BV$22)+SUMPRODUCT(Adds!$C$225:$D$225,Curves!$BU$45:$BV$45)+SUMPRODUCT(Adds!$C$226:$D$226,Curves!$BU$68:$BV$68)</f>
        <v/>
      </c>
      <c r="E60" s="5">
        <f>SUMPRODUCT(Adds!$C$224:$E$224,Curves!$BT$22:$BV$22)+SUMPRODUCT(Adds!$C$225:$E$225,Curves!$BT$45:$BV$45)+SUMPRODUCT(Adds!$C$226:$E$226,Curves!$BT$68:$BV$68)</f>
        <v/>
      </c>
      <c r="F60" s="5">
        <f>SUMPRODUCT(Adds!$C$224:$F$224,Curves!$BS$22:$BV$22)+SUMPRODUCT(Adds!$C$225:$F$225,Curves!$BS$45:$BV$45)+SUMPRODUCT(Adds!$C$226:$F$226,Curves!$BS$68:$BV$68)</f>
        <v/>
      </c>
      <c r="G60" s="5">
        <f>SUMPRODUCT(Adds!$C$224:$G$224,Curves!$BR$22:$BV$22)+SUMPRODUCT(Adds!$C$225:$G$225,Curves!$BR$45:$BV$45)+SUMPRODUCT(Adds!$C$226:$G$226,Curves!$BR$68:$BV$68)</f>
        <v/>
      </c>
      <c r="H60" s="5">
        <f>SUMPRODUCT(Adds!$C$224:$H$224,Curves!$BQ$22:$BV$22)+SUMPRODUCT(Adds!$C$225:$H$225,Curves!$BQ$45:$BV$45)+SUMPRODUCT(Adds!$C$226:$H$226,Curves!$BQ$68:$BV$68)</f>
        <v/>
      </c>
      <c r="I60" s="5">
        <f>SUMPRODUCT(Adds!$C$224:$I$224,Curves!$BP$22:$BV$22)+SUMPRODUCT(Adds!$C$225:$I$225,Curves!$BP$45:$BV$45)+SUMPRODUCT(Adds!$C$226:$I$226,Curves!$BP$68:$BV$68)</f>
        <v/>
      </c>
      <c r="J60" s="5">
        <f>SUMPRODUCT(Adds!$C$224:$J$224,Curves!$BO$22:$BV$22)+SUMPRODUCT(Adds!$C$225:$J$225,Curves!$BO$45:$BV$45)+SUMPRODUCT(Adds!$C$226:$J$226,Curves!$BO$68:$BV$68)</f>
        <v/>
      </c>
      <c r="K60" s="5">
        <f>SUMPRODUCT(Adds!$C$224:$K$224,Curves!$BN$22:$BV$22)+SUMPRODUCT(Adds!$C$225:$K$225,Curves!$BN$45:$BV$45)+SUMPRODUCT(Adds!$C$226:$K$226,Curves!$BN$68:$BV$68)</f>
        <v/>
      </c>
      <c r="L60" s="5">
        <f>SUMPRODUCT(Adds!$C$224:$L$224,Curves!$BM$22:$BV$22)+SUMPRODUCT(Adds!$C$225:$L$225,Curves!$BM$45:$BV$45)+SUMPRODUCT(Adds!$C$226:$L$226,Curves!$BM$68:$BV$68)</f>
        <v/>
      </c>
      <c r="M60" s="5">
        <f>SUMPRODUCT(Adds!$C$224:$M$224,Curves!$BL$22:$BV$22)+SUMPRODUCT(Adds!$C$225:$M$225,Curves!$BL$45:$BV$45)+SUMPRODUCT(Adds!$C$226:$M$226,Curves!$BL$68:$BV$68)</f>
        <v/>
      </c>
      <c r="N60" s="5">
        <f>SUMPRODUCT(Adds!$C$224:$N$224,Curves!$BK$22:$BV$22)+SUMPRODUCT(Adds!$C$225:$N$225,Curves!$BK$45:$BV$45)+SUMPRODUCT(Adds!$C$226:$N$226,Curves!$BK$68:$BV$68)</f>
        <v/>
      </c>
      <c r="O60" s="5">
        <f>SUMPRODUCT(Adds!$C$224:$O$224,Curves!$BJ$22:$BV$22)+SUMPRODUCT(Adds!$C$225:$O$225,Curves!$BJ$45:$BV$45)+SUMPRODUCT(Adds!$C$226:$O$226,Curves!$BJ$68:$BV$68)</f>
        <v/>
      </c>
      <c r="P60" s="5">
        <f>SUMPRODUCT(Adds!$C$224:$P$224,Curves!$BI$22:$BV$22)+SUMPRODUCT(Adds!$C$225:$P$225,Curves!$BI$45:$BV$45)+SUMPRODUCT(Adds!$C$226:$P$226,Curves!$BI$68:$BV$68)</f>
        <v/>
      </c>
      <c r="Q60" s="5">
        <f>SUMPRODUCT(Adds!$C$224:$Q$224,Curves!$BH$22:$BV$22)+SUMPRODUCT(Adds!$C$225:$Q$225,Curves!$BH$45:$BV$45)+SUMPRODUCT(Adds!$C$226:$Q$226,Curves!$BH$68:$BV$68)</f>
        <v/>
      </c>
      <c r="R60" s="5">
        <f>SUMPRODUCT(Adds!$C$224:$R$224,Curves!$BG$22:$BV$22)+SUMPRODUCT(Adds!$C$225:$R$225,Curves!$BG$45:$BV$45)+SUMPRODUCT(Adds!$C$226:$R$226,Curves!$BG$68:$BV$68)</f>
        <v/>
      </c>
      <c r="S60" s="5">
        <f>SUMPRODUCT(Adds!$C$224:$S$224,Curves!$BF$22:$BV$22)+SUMPRODUCT(Adds!$C$225:$S$225,Curves!$BF$45:$BV$45)+SUMPRODUCT(Adds!$C$226:$S$226,Curves!$BF$68:$BV$68)</f>
        <v/>
      </c>
      <c r="T60" s="5">
        <f>SUMPRODUCT(Adds!$C$224:$T$224,Curves!$BE$22:$BV$22)+SUMPRODUCT(Adds!$C$225:$T$225,Curves!$BE$45:$BV$45)+SUMPRODUCT(Adds!$C$226:$T$226,Curves!$BE$68:$BV$68)</f>
        <v/>
      </c>
      <c r="U60" s="5">
        <f>SUMPRODUCT(Adds!$C$224:$U$224,Curves!$BD$22:$BV$22)+SUMPRODUCT(Adds!$C$225:$U$225,Curves!$BD$45:$BV$45)+SUMPRODUCT(Adds!$C$226:$U$226,Curves!$BD$68:$BV$68)</f>
        <v/>
      </c>
      <c r="V60" s="5">
        <f>SUMPRODUCT(Adds!$C$224:$V$224,Curves!$BC$22:$BV$22)+SUMPRODUCT(Adds!$C$225:$V$225,Curves!$BC$45:$BV$45)+SUMPRODUCT(Adds!$C$226:$V$226,Curves!$BC$68:$BV$68)</f>
        <v/>
      </c>
      <c r="W60" s="5">
        <f>SUMPRODUCT(Adds!$C$224:$W$224,Curves!$BB$22:$BV$22)+SUMPRODUCT(Adds!$C$225:$W$225,Curves!$BB$45:$BV$45)+SUMPRODUCT(Adds!$C$226:$W$226,Curves!$BB$68:$BV$68)</f>
        <v/>
      </c>
      <c r="X60" s="5">
        <f>SUMPRODUCT(Adds!$C$224:$X$224,Curves!$BA$22:$BV$22)+SUMPRODUCT(Adds!$C$225:$X$225,Curves!$BA$45:$BV$45)+SUMPRODUCT(Adds!$C$226:$X$226,Curves!$BA$68:$BV$68)</f>
        <v/>
      </c>
      <c r="Y60" s="5">
        <f>SUMPRODUCT(Adds!$C$224:$Y$224,Curves!$AZ$22:$BV$22)+SUMPRODUCT(Adds!$C$225:$Y$225,Curves!$AZ$45:$BV$45)+SUMPRODUCT(Adds!$C$226:$Y$226,Curves!$AZ$68:$BV$68)</f>
        <v/>
      </c>
      <c r="Z60" s="5">
        <f>SUMPRODUCT(Adds!$C$224:$Z$224,Curves!$AY$22:$BV$22)+SUMPRODUCT(Adds!$C$225:$Z$225,Curves!$AY$45:$BV$45)+SUMPRODUCT(Adds!$C$226:$Z$226,Curves!$AY$68:$BV$68)</f>
        <v/>
      </c>
      <c r="AA60" s="5">
        <f>SUMPRODUCT(Adds!$C$224:$AA$224,Curves!$AX$22:$BV$22)+SUMPRODUCT(Adds!$C$225:$AA$225,Curves!$AX$45:$BV$45)+SUMPRODUCT(Adds!$C$226:$AA$226,Curves!$AX$68:$BV$68)</f>
        <v/>
      </c>
      <c r="AB60" s="5">
        <f>SUMPRODUCT(Adds!$C$224:$AB$224,Curves!$AW$22:$BV$22)+SUMPRODUCT(Adds!$C$225:$AB$225,Curves!$AW$45:$BV$45)+SUMPRODUCT(Adds!$C$226:$AB$226,Curves!$AW$68:$BV$68)</f>
        <v/>
      </c>
      <c r="AC60" s="5">
        <f>SUMPRODUCT(Adds!$C$224:$AC$224,Curves!$AV$22:$BV$22)+SUMPRODUCT(Adds!$C$225:$AC$225,Curves!$AV$45:$BV$45)+SUMPRODUCT(Adds!$C$226:$AC$226,Curves!$AV$68:$BV$68)</f>
        <v/>
      </c>
      <c r="AD60" s="5">
        <f>SUMPRODUCT(Adds!$C$224:$AD$224,Curves!$AU$22:$BV$22)+SUMPRODUCT(Adds!$C$225:$AD$225,Curves!$AU$45:$BV$45)+SUMPRODUCT(Adds!$C$226:$AD$226,Curves!$AU$68:$BV$68)</f>
        <v/>
      </c>
      <c r="AE60" s="5">
        <f>SUMPRODUCT(Adds!$C$224:$AE$224,Curves!$AT$22:$BV$22)+SUMPRODUCT(Adds!$C$225:$AE$225,Curves!$AT$45:$BV$45)+SUMPRODUCT(Adds!$C$226:$AE$226,Curves!$AT$68:$BV$68)</f>
        <v/>
      </c>
      <c r="AF60" s="5">
        <f>SUMPRODUCT(Adds!$C$224:$AF$224,Curves!$AS$22:$BV$22)+SUMPRODUCT(Adds!$C$225:$AF$225,Curves!$AS$45:$BV$45)+SUMPRODUCT(Adds!$C$226:$AF$226,Curves!$AS$68:$BV$68)</f>
        <v/>
      </c>
      <c r="AG60" s="5">
        <f>SUMPRODUCT(Adds!$C$224:$AG$224,Curves!$AR$22:$BV$22)+SUMPRODUCT(Adds!$C$225:$AG$225,Curves!$AR$45:$BV$45)+SUMPRODUCT(Adds!$C$226:$AG$226,Curves!$AR$68:$BV$68)</f>
        <v/>
      </c>
      <c r="AH60" s="5">
        <f>SUMPRODUCT(Adds!$C$224:$AH$224,Curves!$AQ$22:$BV$22)+SUMPRODUCT(Adds!$C$225:$AH$225,Curves!$AQ$45:$BV$45)+SUMPRODUCT(Adds!$C$226:$AH$226,Curves!$AQ$68:$BV$68)</f>
        <v/>
      </c>
      <c r="AI60" s="5">
        <f>SUMPRODUCT(Adds!$C$224:$AI$224,Curves!$AP$22:$BV$22)+SUMPRODUCT(Adds!$C$225:$AI$225,Curves!$AP$45:$BV$45)+SUMPRODUCT(Adds!$C$226:$AI$226,Curves!$AP$68:$BV$68)</f>
        <v/>
      </c>
      <c r="AJ60" s="5">
        <f>SUMPRODUCT(Adds!$C$224:$AJ$224,Curves!$AO$22:$BV$22)+SUMPRODUCT(Adds!$C$225:$AJ$225,Curves!$AO$45:$BV$45)+SUMPRODUCT(Adds!$C$226:$AJ$226,Curves!$AO$68:$BV$68)</f>
        <v/>
      </c>
      <c r="AK60" s="5">
        <f>SUMPRODUCT(Adds!$C$224:$AK$224,Curves!$AN$22:$BV$22)+SUMPRODUCT(Adds!$C$225:$AK$225,Curves!$AN$45:$BV$45)+SUMPRODUCT(Adds!$C$226:$AK$226,Curves!$AN$68:$BV$68)</f>
        <v/>
      </c>
      <c r="AL60" s="5">
        <f>SUMPRODUCT(Adds!$C$224:$AL$224,Curves!$AM$22:$BV$22)+SUMPRODUCT(Adds!$C$225:$AL$225,Curves!$AM$45:$BV$45)+SUMPRODUCT(Adds!$C$226:$AL$226,Curves!$AM$68:$BV$68)</f>
        <v/>
      </c>
      <c r="AM60" s="5">
        <f>SUMPRODUCT(Adds!$C$224:$AM$224,Curves!$AL$22:$BV$22)+SUMPRODUCT(Adds!$C$225:$AM$225,Curves!$AL$45:$BV$45)+SUMPRODUCT(Adds!$C$226:$AM$226,Curves!$AL$68:$BV$68)</f>
        <v/>
      </c>
      <c r="AN60" s="5">
        <f>SUMPRODUCT(Adds!$C$224:$AN$224,Curves!$AK$22:$BV$22)+SUMPRODUCT(Adds!$C$225:$AN$225,Curves!$AK$45:$BV$45)+SUMPRODUCT(Adds!$C$226:$AN$226,Curves!$AK$68:$BV$68)</f>
        <v/>
      </c>
      <c r="AO60" s="5">
        <f>SUMPRODUCT(Adds!$C$224:$AO$224,Curves!$AJ$22:$BV$22)+SUMPRODUCT(Adds!$C$225:$AO$225,Curves!$AJ$45:$BV$45)+SUMPRODUCT(Adds!$C$226:$AO$226,Curves!$AJ$68:$BV$68)</f>
        <v/>
      </c>
      <c r="AP60" s="5">
        <f>SUMPRODUCT(Adds!$C$224:$AP$224,Curves!$AI$22:$BV$22)+SUMPRODUCT(Adds!$C$225:$AP$225,Curves!$AI$45:$BV$45)+SUMPRODUCT(Adds!$C$226:$AP$226,Curves!$AI$68:$BV$68)</f>
        <v/>
      </c>
      <c r="AQ60" s="5">
        <f>SUMPRODUCT(Adds!$C$224:$AQ$224,Curves!$AH$22:$BV$22)+SUMPRODUCT(Adds!$C$225:$AQ$225,Curves!$AH$45:$BV$45)+SUMPRODUCT(Adds!$C$226:$AQ$226,Curves!$AH$68:$BV$68)</f>
        <v/>
      </c>
      <c r="AR60" s="5">
        <f>SUMPRODUCT(Adds!$C$224:$AR$224,Curves!$AG$22:$BV$22)+SUMPRODUCT(Adds!$C$225:$AR$225,Curves!$AG$45:$BV$45)+SUMPRODUCT(Adds!$C$226:$AR$226,Curves!$AG$68:$BV$68)</f>
        <v/>
      </c>
      <c r="AS60" s="5">
        <f>SUMPRODUCT(Adds!$C$224:$AS$224,Curves!$AF$22:$BV$22)+SUMPRODUCT(Adds!$C$225:$AS$225,Curves!$AF$45:$BV$45)+SUMPRODUCT(Adds!$C$226:$AS$226,Curves!$AF$68:$BV$68)</f>
        <v/>
      </c>
      <c r="AT60" s="5">
        <f>SUMPRODUCT(Adds!$C$224:$AT$224,Curves!$AE$22:$BV$22)+SUMPRODUCT(Adds!$C$225:$AT$225,Curves!$AE$45:$BV$45)+SUMPRODUCT(Adds!$C$226:$AT$226,Curves!$AE$68:$BV$68)</f>
        <v/>
      </c>
      <c r="AU60" s="5">
        <f>SUMPRODUCT(Adds!$C$224:$AU$224,Curves!$AD$22:$BV$22)+SUMPRODUCT(Adds!$C$225:$AU$225,Curves!$AD$45:$BV$45)+SUMPRODUCT(Adds!$C$226:$AU$226,Curves!$AD$68:$BV$68)</f>
        <v/>
      </c>
      <c r="AV60" s="5">
        <f>SUMPRODUCT(Adds!$C$224:$AV$224,Curves!$AC$22:$BV$22)+SUMPRODUCT(Adds!$C$225:$AV$225,Curves!$AC$45:$BV$45)+SUMPRODUCT(Adds!$C$226:$AV$226,Curves!$AC$68:$BV$68)</f>
        <v/>
      </c>
      <c r="AW60" s="5">
        <f>SUMPRODUCT(Adds!$C$224:$AW$224,Curves!$AB$22:$BV$22)+SUMPRODUCT(Adds!$C$225:$AW$225,Curves!$AB$45:$BV$45)+SUMPRODUCT(Adds!$C$226:$AW$226,Curves!$AB$68:$BV$68)</f>
        <v/>
      </c>
      <c r="AX60" s="5">
        <f>SUMPRODUCT(Adds!$C$224:$AX$224,Curves!$AA$22:$BV$22)+SUMPRODUCT(Adds!$C$225:$AX$225,Curves!$AA$45:$BV$45)+SUMPRODUCT(Adds!$C$226:$AX$226,Curves!$AA$68:$BV$68)</f>
        <v/>
      </c>
      <c r="AY60" s="5">
        <f>SUMPRODUCT(Adds!$C$224:$AY$224,Curves!$Z$22:$BV$22)+SUMPRODUCT(Adds!$C$225:$AY$225,Curves!$Z$45:$BV$45)+SUMPRODUCT(Adds!$C$226:$AY$226,Curves!$Z$68:$BV$68)</f>
        <v/>
      </c>
      <c r="AZ60" s="5">
        <f>SUMPRODUCT(Adds!$C$224:$AZ$224,Curves!$Y$22:$BV$22)+SUMPRODUCT(Adds!$C$225:$AZ$225,Curves!$Y$45:$BV$45)+SUMPRODUCT(Adds!$C$226:$AZ$226,Curves!$Y$68:$BV$68)</f>
        <v/>
      </c>
      <c r="BA60" s="5">
        <f>SUMPRODUCT(Adds!$C$224:$BA$224,Curves!$X$22:$BV$22)+SUMPRODUCT(Adds!$C$225:$BA$225,Curves!$X$45:$BV$45)+SUMPRODUCT(Adds!$C$226:$BA$226,Curves!$X$68:$BV$68)</f>
        <v/>
      </c>
      <c r="BB60" s="5">
        <f>SUMPRODUCT(Adds!$C$224:$BB$224,Curves!$W$22:$BV$22)+SUMPRODUCT(Adds!$C$225:$BB$225,Curves!$W$45:$BV$45)+SUMPRODUCT(Adds!$C$226:$BB$226,Curves!$W$68:$BV$68)</f>
        <v/>
      </c>
      <c r="BC60" s="5">
        <f>SUMPRODUCT(Adds!$C$224:$BC$224,Curves!$V$22:$BV$22)+SUMPRODUCT(Adds!$C$225:$BC$225,Curves!$V$45:$BV$45)+SUMPRODUCT(Adds!$C$226:$BC$226,Curves!$V$68:$BV$68)</f>
        <v/>
      </c>
      <c r="BD60" s="5">
        <f>SUMPRODUCT(Adds!$C$224:$BD$224,Curves!$U$22:$BV$22)+SUMPRODUCT(Adds!$C$225:$BD$225,Curves!$U$45:$BV$45)+SUMPRODUCT(Adds!$C$226:$BD$226,Curves!$U$68:$BV$68)</f>
        <v/>
      </c>
      <c r="BE60" s="5">
        <f>SUMPRODUCT(Adds!$C$224:$BE$224,Curves!$T$22:$BV$22)+SUMPRODUCT(Adds!$C$225:$BE$225,Curves!$T$45:$BV$45)+SUMPRODUCT(Adds!$C$226:$BE$226,Curves!$T$68:$BV$68)</f>
        <v/>
      </c>
      <c r="BF60" s="5">
        <f>SUMPRODUCT(Adds!$C$224:$BF$224,Curves!$S$22:$BV$22)+SUMPRODUCT(Adds!$C$225:$BF$225,Curves!$S$45:$BV$45)+SUMPRODUCT(Adds!$C$226:$BF$226,Curves!$S$68:$BV$68)</f>
        <v/>
      </c>
      <c r="BG60" s="5">
        <f>SUMPRODUCT(Adds!$C$224:$BG$224,Curves!$R$22:$BV$22)+SUMPRODUCT(Adds!$C$225:$BG$225,Curves!$R$45:$BV$45)+SUMPRODUCT(Adds!$C$226:$BG$226,Curves!$R$68:$BV$68)</f>
        <v/>
      </c>
      <c r="BH60" s="5">
        <f>SUMPRODUCT(Adds!$C$224:$BH$224,Curves!$Q$22:$BV$22)+SUMPRODUCT(Adds!$C$225:$BH$225,Curves!$Q$45:$BV$45)+SUMPRODUCT(Adds!$C$226:$BH$226,Curves!$Q$68:$BV$68)</f>
        <v/>
      </c>
      <c r="BI60" s="5">
        <f>SUMPRODUCT(Adds!$C$224:$BI$224,Curves!$P$22:$BV$22)+SUMPRODUCT(Adds!$C$225:$BI$225,Curves!$P$45:$BV$45)+SUMPRODUCT(Adds!$C$226:$BI$226,Curves!$P$68:$BV$68)</f>
        <v/>
      </c>
      <c r="BJ60" s="5">
        <f>SUMPRODUCT(Adds!$C$224:$BJ$224,Curves!$O$22:$BV$22)+SUMPRODUCT(Adds!$C$225:$BJ$225,Curves!$O$45:$BV$45)+SUMPRODUCT(Adds!$C$226:$BJ$226,Curves!$O$68:$BV$68)</f>
        <v/>
      </c>
      <c r="BK60" s="5">
        <f>SUMPRODUCT(Adds!$C$224:$BK$224,Curves!$N$22:$BV$22)+SUMPRODUCT(Adds!$C$225:$BK$225,Curves!$N$45:$BV$45)+SUMPRODUCT(Adds!$C$226:$BK$226,Curves!$N$68:$BV$68)</f>
        <v/>
      </c>
      <c r="BL60" s="5">
        <f>SUMPRODUCT(Adds!$C$224:$BL$224,Curves!$M$22:$BV$22)+SUMPRODUCT(Adds!$C$225:$BL$225,Curves!$M$45:$BV$45)+SUMPRODUCT(Adds!$C$226:$BL$226,Curves!$M$68:$BV$68)</f>
        <v/>
      </c>
      <c r="BM60" s="5">
        <f>SUMPRODUCT(Adds!$C$224:$BM$224,Curves!$L$22:$BV$22)+SUMPRODUCT(Adds!$C$225:$BM$225,Curves!$L$45:$BV$45)+SUMPRODUCT(Adds!$C$226:$BM$226,Curves!$L$68:$BV$68)</f>
        <v/>
      </c>
      <c r="BN60" s="5">
        <f>SUMPRODUCT(Adds!$C$224:$BN$224,Curves!$K$22:$BV$22)+SUMPRODUCT(Adds!$C$225:$BN$225,Curves!$K$45:$BV$45)+SUMPRODUCT(Adds!$C$226:$BN$226,Curves!$K$68:$BV$68)</f>
        <v/>
      </c>
      <c r="BO60" s="5">
        <f>SUMPRODUCT(Adds!$C$224:$BO$224,Curves!$J$22:$BV$22)+SUMPRODUCT(Adds!$C$225:$BO$225,Curves!$J$45:$BV$45)+SUMPRODUCT(Adds!$C$226:$BO$226,Curves!$J$68:$BV$68)</f>
        <v/>
      </c>
      <c r="BP60" s="5">
        <f>SUMPRODUCT(Adds!$C$224:$BP$224,Curves!$I$22:$BV$22)+SUMPRODUCT(Adds!$C$225:$BP$225,Curves!$I$45:$BV$45)+SUMPRODUCT(Adds!$C$226:$BP$226,Curves!$I$68:$BV$68)</f>
        <v/>
      </c>
      <c r="BQ60" s="5">
        <f>SUMPRODUCT(Adds!$C$224:$BQ$224,Curves!$H$22:$BV$22)+SUMPRODUCT(Adds!$C$225:$BQ$225,Curves!$H$45:$BV$45)+SUMPRODUCT(Adds!$C$226:$BQ$226,Curves!$H$68:$BV$68)</f>
        <v/>
      </c>
      <c r="BR60" s="5">
        <f>SUMPRODUCT(Adds!$C$224:$BR$224,Curves!$G$22:$BV$22)+SUMPRODUCT(Adds!$C$225:$BR$225,Curves!$G$45:$BV$45)+SUMPRODUCT(Adds!$C$226:$BR$226,Curves!$G$68:$BV$68)</f>
        <v/>
      </c>
      <c r="BS60" s="5">
        <f>SUMPRODUCT(Adds!$C$224:$BS$224,Curves!$F$22:$BV$22)+SUMPRODUCT(Adds!$C$225:$BS$225,Curves!$F$45:$BV$45)+SUMPRODUCT(Adds!$C$226:$BS$226,Curves!$F$68:$BV$68)</f>
        <v/>
      </c>
      <c r="BT60" s="5">
        <f>SUMPRODUCT(Adds!$C$224:$BT$224,Curves!$E$22:$BV$22)+SUMPRODUCT(Adds!$C$225:$BT$225,Curves!$E$45:$BV$45)+SUMPRODUCT(Adds!$C$226:$BT$226,Curves!$E$68:$BV$68)</f>
        <v/>
      </c>
      <c r="BU60" s="5">
        <f>SUMPRODUCT(Adds!$C$224:$BU$224,Curves!$D$22:$BV$22)+SUMPRODUCT(Adds!$C$225:$BU$225,Curves!$D$45:$BV$45)+SUMPRODUCT(Adds!$C$226:$BU$226,Curves!$D$68:$BV$68)</f>
        <v/>
      </c>
      <c r="BV60" s="5">
        <f>SUMPRODUCT(Adds!$C$224:$BV$224,Curves!$C$22:$BV$22)+SUMPRODUCT(Adds!$C$225:$BV$225,Curves!$C$45:$BV$45)+SUMPRODUCT(Adds!$C$226:$BV$226,Curves!$C$68:$BV$68)</f>
        <v/>
      </c>
    </row>
    <row r="61">
      <c r="A61" t="inlineStr">
        <is>
          <t>churned</t>
        </is>
      </c>
      <c r="B61" t="inlineStr">
        <is>
          <t>APAC|BASIC_M</t>
        </is>
      </c>
      <c r="C61" s="5">
        <f>Adds!$C$224*Curves!$BV$17+Adds!$C$225*Curves!$BV$40+Adds!$C$226*Curves!$BV$63</f>
        <v/>
      </c>
      <c r="D61" s="5">
        <f>SUMPRODUCT(Adds!$C$224:$D$224,Curves!$BU$17:$BV$17)+SUMPRODUCT(Adds!$C$225:$D$225,Curves!$BU$40:$BV$40)+SUMPRODUCT(Adds!$C$226:$D$226,Curves!$BU$63:$BV$63)</f>
        <v/>
      </c>
      <c r="E61" s="5">
        <f>SUMPRODUCT(Adds!$C$224:$E$224,Curves!$BT$17:$BV$17)+SUMPRODUCT(Adds!$C$225:$E$225,Curves!$BT$40:$BV$40)+SUMPRODUCT(Adds!$C$226:$E$226,Curves!$BT$63:$BV$63)</f>
        <v/>
      </c>
      <c r="F61" s="5">
        <f>SUMPRODUCT(Adds!$C$224:$F$224,Curves!$BS$17:$BV$17)+SUMPRODUCT(Adds!$C$225:$F$225,Curves!$BS$40:$BV$40)+SUMPRODUCT(Adds!$C$226:$F$226,Curves!$BS$63:$BV$63)</f>
        <v/>
      </c>
      <c r="G61" s="5">
        <f>SUMPRODUCT(Adds!$C$224:$G$224,Curves!$BR$17:$BV$17)+SUMPRODUCT(Adds!$C$225:$G$225,Curves!$BR$40:$BV$40)+SUMPRODUCT(Adds!$C$226:$G$226,Curves!$BR$63:$BV$63)</f>
        <v/>
      </c>
      <c r="H61" s="5">
        <f>SUMPRODUCT(Adds!$C$224:$H$224,Curves!$BQ$17:$BV$17)+SUMPRODUCT(Adds!$C$225:$H$225,Curves!$BQ$40:$BV$40)+SUMPRODUCT(Adds!$C$226:$H$226,Curves!$BQ$63:$BV$63)</f>
        <v/>
      </c>
      <c r="I61" s="5">
        <f>SUMPRODUCT(Adds!$C$224:$I$224,Curves!$BP$17:$BV$17)+SUMPRODUCT(Adds!$C$225:$I$225,Curves!$BP$40:$BV$40)+SUMPRODUCT(Adds!$C$226:$I$226,Curves!$BP$63:$BV$63)</f>
        <v/>
      </c>
      <c r="J61" s="5">
        <f>SUMPRODUCT(Adds!$C$224:$J$224,Curves!$BO$17:$BV$17)+SUMPRODUCT(Adds!$C$225:$J$225,Curves!$BO$40:$BV$40)+SUMPRODUCT(Adds!$C$226:$J$226,Curves!$BO$63:$BV$63)</f>
        <v/>
      </c>
      <c r="K61" s="5">
        <f>SUMPRODUCT(Adds!$C$224:$K$224,Curves!$BN$17:$BV$17)+SUMPRODUCT(Adds!$C$225:$K$225,Curves!$BN$40:$BV$40)+SUMPRODUCT(Adds!$C$226:$K$226,Curves!$BN$63:$BV$63)</f>
        <v/>
      </c>
      <c r="L61" s="5">
        <f>SUMPRODUCT(Adds!$C$224:$L$224,Curves!$BM$17:$BV$17)+SUMPRODUCT(Adds!$C$225:$L$225,Curves!$BM$40:$BV$40)+SUMPRODUCT(Adds!$C$226:$L$226,Curves!$BM$63:$BV$63)</f>
        <v/>
      </c>
      <c r="M61" s="5">
        <f>SUMPRODUCT(Adds!$C$224:$M$224,Curves!$BL$17:$BV$17)+SUMPRODUCT(Adds!$C$225:$M$225,Curves!$BL$40:$BV$40)+SUMPRODUCT(Adds!$C$226:$M$226,Curves!$BL$63:$BV$63)</f>
        <v/>
      </c>
      <c r="N61" s="5">
        <f>SUMPRODUCT(Adds!$C$224:$N$224,Curves!$BK$17:$BV$17)+SUMPRODUCT(Adds!$C$225:$N$225,Curves!$BK$40:$BV$40)+SUMPRODUCT(Adds!$C$226:$N$226,Curves!$BK$63:$BV$63)</f>
        <v/>
      </c>
      <c r="O61" s="5">
        <f>SUMPRODUCT(Adds!$C$224:$O$224,Curves!$BJ$17:$BV$17)+SUMPRODUCT(Adds!$C$225:$O$225,Curves!$BJ$40:$BV$40)+SUMPRODUCT(Adds!$C$226:$O$226,Curves!$BJ$63:$BV$63)</f>
        <v/>
      </c>
      <c r="P61" s="5">
        <f>SUMPRODUCT(Adds!$C$224:$P$224,Curves!$BI$17:$BV$17)+SUMPRODUCT(Adds!$C$225:$P$225,Curves!$BI$40:$BV$40)+SUMPRODUCT(Adds!$C$226:$P$226,Curves!$BI$63:$BV$63)</f>
        <v/>
      </c>
      <c r="Q61" s="5">
        <f>SUMPRODUCT(Adds!$C$224:$Q$224,Curves!$BH$17:$BV$17)+SUMPRODUCT(Adds!$C$225:$Q$225,Curves!$BH$40:$BV$40)+SUMPRODUCT(Adds!$C$226:$Q$226,Curves!$BH$63:$BV$63)</f>
        <v/>
      </c>
      <c r="R61" s="5">
        <f>SUMPRODUCT(Adds!$C$224:$R$224,Curves!$BG$17:$BV$17)+SUMPRODUCT(Adds!$C$225:$R$225,Curves!$BG$40:$BV$40)+SUMPRODUCT(Adds!$C$226:$R$226,Curves!$BG$63:$BV$63)</f>
        <v/>
      </c>
      <c r="S61" s="5">
        <f>SUMPRODUCT(Adds!$C$224:$S$224,Curves!$BF$17:$BV$17)+SUMPRODUCT(Adds!$C$225:$S$225,Curves!$BF$40:$BV$40)+SUMPRODUCT(Adds!$C$226:$S$226,Curves!$BF$63:$BV$63)</f>
        <v/>
      </c>
      <c r="T61" s="5">
        <f>SUMPRODUCT(Adds!$C$224:$T$224,Curves!$BE$17:$BV$17)+SUMPRODUCT(Adds!$C$225:$T$225,Curves!$BE$40:$BV$40)+SUMPRODUCT(Adds!$C$226:$T$226,Curves!$BE$63:$BV$63)</f>
        <v/>
      </c>
      <c r="U61" s="5">
        <f>SUMPRODUCT(Adds!$C$224:$U$224,Curves!$BD$17:$BV$17)+SUMPRODUCT(Adds!$C$225:$U$225,Curves!$BD$40:$BV$40)+SUMPRODUCT(Adds!$C$226:$U$226,Curves!$BD$63:$BV$63)</f>
        <v/>
      </c>
      <c r="V61" s="5">
        <f>SUMPRODUCT(Adds!$C$224:$V$224,Curves!$BC$17:$BV$17)+SUMPRODUCT(Adds!$C$225:$V$225,Curves!$BC$40:$BV$40)+SUMPRODUCT(Adds!$C$226:$V$226,Curves!$BC$63:$BV$63)</f>
        <v/>
      </c>
      <c r="W61" s="5">
        <f>SUMPRODUCT(Adds!$C$224:$W$224,Curves!$BB$17:$BV$17)+SUMPRODUCT(Adds!$C$225:$W$225,Curves!$BB$40:$BV$40)+SUMPRODUCT(Adds!$C$226:$W$226,Curves!$BB$63:$BV$63)</f>
        <v/>
      </c>
      <c r="X61" s="5">
        <f>SUMPRODUCT(Adds!$C$224:$X$224,Curves!$BA$17:$BV$17)+SUMPRODUCT(Adds!$C$225:$X$225,Curves!$BA$40:$BV$40)+SUMPRODUCT(Adds!$C$226:$X$226,Curves!$BA$63:$BV$63)</f>
        <v/>
      </c>
      <c r="Y61" s="5">
        <f>SUMPRODUCT(Adds!$C$224:$Y$224,Curves!$AZ$17:$BV$17)+SUMPRODUCT(Adds!$C$225:$Y$225,Curves!$AZ$40:$BV$40)+SUMPRODUCT(Adds!$C$226:$Y$226,Curves!$AZ$63:$BV$63)</f>
        <v/>
      </c>
      <c r="Z61" s="5">
        <f>SUMPRODUCT(Adds!$C$224:$Z$224,Curves!$AY$17:$BV$17)+SUMPRODUCT(Adds!$C$225:$Z$225,Curves!$AY$40:$BV$40)+SUMPRODUCT(Adds!$C$226:$Z$226,Curves!$AY$63:$BV$63)</f>
        <v/>
      </c>
      <c r="AA61" s="5">
        <f>SUMPRODUCT(Adds!$C$224:$AA$224,Curves!$AX$17:$BV$17)+SUMPRODUCT(Adds!$C$225:$AA$225,Curves!$AX$40:$BV$40)+SUMPRODUCT(Adds!$C$226:$AA$226,Curves!$AX$63:$BV$63)</f>
        <v/>
      </c>
      <c r="AB61" s="5">
        <f>SUMPRODUCT(Adds!$C$224:$AB$224,Curves!$AW$17:$BV$17)+SUMPRODUCT(Adds!$C$225:$AB$225,Curves!$AW$40:$BV$40)+SUMPRODUCT(Adds!$C$226:$AB$226,Curves!$AW$63:$BV$63)</f>
        <v/>
      </c>
      <c r="AC61" s="5">
        <f>SUMPRODUCT(Adds!$C$224:$AC$224,Curves!$AV$17:$BV$17)+SUMPRODUCT(Adds!$C$225:$AC$225,Curves!$AV$40:$BV$40)+SUMPRODUCT(Adds!$C$226:$AC$226,Curves!$AV$63:$BV$63)</f>
        <v/>
      </c>
      <c r="AD61" s="5">
        <f>SUMPRODUCT(Adds!$C$224:$AD$224,Curves!$AU$17:$BV$17)+SUMPRODUCT(Adds!$C$225:$AD$225,Curves!$AU$40:$BV$40)+SUMPRODUCT(Adds!$C$226:$AD$226,Curves!$AU$63:$BV$63)</f>
        <v/>
      </c>
      <c r="AE61" s="5">
        <f>SUMPRODUCT(Adds!$C$224:$AE$224,Curves!$AT$17:$BV$17)+SUMPRODUCT(Adds!$C$225:$AE$225,Curves!$AT$40:$BV$40)+SUMPRODUCT(Adds!$C$226:$AE$226,Curves!$AT$63:$BV$63)</f>
        <v/>
      </c>
      <c r="AF61" s="5">
        <f>SUMPRODUCT(Adds!$C$224:$AF$224,Curves!$AS$17:$BV$17)+SUMPRODUCT(Adds!$C$225:$AF$225,Curves!$AS$40:$BV$40)+SUMPRODUCT(Adds!$C$226:$AF$226,Curves!$AS$63:$BV$63)</f>
        <v/>
      </c>
      <c r="AG61" s="5">
        <f>SUMPRODUCT(Adds!$C$224:$AG$224,Curves!$AR$17:$BV$17)+SUMPRODUCT(Adds!$C$225:$AG$225,Curves!$AR$40:$BV$40)+SUMPRODUCT(Adds!$C$226:$AG$226,Curves!$AR$63:$BV$63)</f>
        <v/>
      </c>
      <c r="AH61" s="5">
        <f>SUMPRODUCT(Adds!$C$224:$AH$224,Curves!$AQ$17:$BV$17)+SUMPRODUCT(Adds!$C$225:$AH$225,Curves!$AQ$40:$BV$40)+SUMPRODUCT(Adds!$C$226:$AH$226,Curves!$AQ$63:$BV$63)</f>
        <v/>
      </c>
      <c r="AI61" s="5">
        <f>SUMPRODUCT(Adds!$C$224:$AI$224,Curves!$AP$17:$BV$17)+SUMPRODUCT(Adds!$C$225:$AI$225,Curves!$AP$40:$BV$40)+SUMPRODUCT(Adds!$C$226:$AI$226,Curves!$AP$63:$BV$63)</f>
        <v/>
      </c>
      <c r="AJ61" s="5">
        <f>SUMPRODUCT(Adds!$C$224:$AJ$224,Curves!$AO$17:$BV$17)+SUMPRODUCT(Adds!$C$225:$AJ$225,Curves!$AO$40:$BV$40)+SUMPRODUCT(Adds!$C$226:$AJ$226,Curves!$AO$63:$BV$63)</f>
        <v/>
      </c>
      <c r="AK61" s="5">
        <f>SUMPRODUCT(Adds!$C$224:$AK$224,Curves!$AN$17:$BV$17)+SUMPRODUCT(Adds!$C$225:$AK$225,Curves!$AN$40:$BV$40)+SUMPRODUCT(Adds!$C$226:$AK$226,Curves!$AN$63:$BV$63)</f>
        <v/>
      </c>
      <c r="AL61" s="5">
        <f>SUMPRODUCT(Adds!$C$224:$AL$224,Curves!$AM$17:$BV$17)+SUMPRODUCT(Adds!$C$225:$AL$225,Curves!$AM$40:$BV$40)+SUMPRODUCT(Adds!$C$226:$AL$226,Curves!$AM$63:$BV$63)</f>
        <v/>
      </c>
      <c r="AM61" s="5">
        <f>SUMPRODUCT(Adds!$C$224:$AM$224,Curves!$AL$17:$BV$17)+SUMPRODUCT(Adds!$C$225:$AM$225,Curves!$AL$40:$BV$40)+SUMPRODUCT(Adds!$C$226:$AM$226,Curves!$AL$63:$BV$63)</f>
        <v/>
      </c>
      <c r="AN61" s="5">
        <f>SUMPRODUCT(Adds!$C$224:$AN$224,Curves!$AK$17:$BV$17)+SUMPRODUCT(Adds!$C$225:$AN$225,Curves!$AK$40:$BV$40)+SUMPRODUCT(Adds!$C$226:$AN$226,Curves!$AK$63:$BV$63)</f>
        <v/>
      </c>
      <c r="AO61" s="5">
        <f>SUMPRODUCT(Adds!$C$224:$AO$224,Curves!$AJ$17:$BV$17)+SUMPRODUCT(Adds!$C$225:$AO$225,Curves!$AJ$40:$BV$40)+SUMPRODUCT(Adds!$C$226:$AO$226,Curves!$AJ$63:$BV$63)</f>
        <v/>
      </c>
      <c r="AP61" s="5">
        <f>SUMPRODUCT(Adds!$C$224:$AP$224,Curves!$AI$17:$BV$17)+SUMPRODUCT(Adds!$C$225:$AP$225,Curves!$AI$40:$BV$40)+SUMPRODUCT(Adds!$C$226:$AP$226,Curves!$AI$63:$BV$63)</f>
        <v/>
      </c>
      <c r="AQ61" s="5">
        <f>SUMPRODUCT(Adds!$C$224:$AQ$224,Curves!$AH$17:$BV$17)+SUMPRODUCT(Adds!$C$225:$AQ$225,Curves!$AH$40:$BV$40)+SUMPRODUCT(Adds!$C$226:$AQ$226,Curves!$AH$63:$BV$63)</f>
        <v/>
      </c>
      <c r="AR61" s="5">
        <f>SUMPRODUCT(Adds!$C$224:$AR$224,Curves!$AG$17:$BV$17)+SUMPRODUCT(Adds!$C$225:$AR$225,Curves!$AG$40:$BV$40)+SUMPRODUCT(Adds!$C$226:$AR$226,Curves!$AG$63:$BV$63)</f>
        <v/>
      </c>
      <c r="AS61" s="5">
        <f>SUMPRODUCT(Adds!$C$224:$AS$224,Curves!$AF$17:$BV$17)+SUMPRODUCT(Adds!$C$225:$AS$225,Curves!$AF$40:$BV$40)+SUMPRODUCT(Adds!$C$226:$AS$226,Curves!$AF$63:$BV$63)</f>
        <v/>
      </c>
      <c r="AT61" s="5">
        <f>SUMPRODUCT(Adds!$C$224:$AT$224,Curves!$AE$17:$BV$17)+SUMPRODUCT(Adds!$C$225:$AT$225,Curves!$AE$40:$BV$40)+SUMPRODUCT(Adds!$C$226:$AT$226,Curves!$AE$63:$BV$63)</f>
        <v/>
      </c>
      <c r="AU61" s="5">
        <f>SUMPRODUCT(Adds!$C$224:$AU$224,Curves!$AD$17:$BV$17)+SUMPRODUCT(Adds!$C$225:$AU$225,Curves!$AD$40:$BV$40)+SUMPRODUCT(Adds!$C$226:$AU$226,Curves!$AD$63:$BV$63)</f>
        <v/>
      </c>
      <c r="AV61" s="5">
        <f>SUMPRODUCT(Adds!$C$224:$AV$224,Curves!$AC$17:$BV$17)+SUMPRODUCT(Adds!$C$225:$AV$225,Curves!$AC$40:$BV$40)+SUMPRODUCT(Adds!$C$226:$AV$226,Curves!$AC$63:$BV$63)</f>
        <v/>
      </c>
      <c r="AW61" s="5">
        <f>SUMPRODUCT(Adds!$C$224:$AW$224,Curves!$AB$17:$BV$17)+SUMPRODUCT(Adds!$C$225:$AW$225,Curves!$AB$40:$BV$40)+SUMPRODUCT(Adds!$C$226:$AW$226,Curves!$AB$63:$BV$63)</f>
        <v/>
      </c>
      <c r="AX61" s="5">
        <f>SUMPRODUCT(Adds!$C$224:$AX$224,Curves!$AA$17:$BV$17)+SUMPRODUCT(Adds!$C$225:$AX$225,Curves!$AA$40:$BV$40)+SUMPRODUCT(Adds!$C$226:$AX$226,Curves!$AA$63:$BV$63)</f>
        <v/>
      </c>
      <c r="AY61" s="5">
        <f>SUMPRODUCT(Adds!$C$224:$AY$224,Curves!$Z$17:$BV$17)+SUMPRODUCT(Adds!$C$225:$AY$225,Curves!$Z$40:$BV$40)+SUMPRODUCT(Adds!$C$226:$AY$226,Curves!$Z$63:$BV$63)</f>
        <v/>
      </c>
      <c r="AZ61" s="5">
        <f>SUMPRODUCT(Adds!$C$224:$AZ$224,Curves!$Y$17:$BV$17)+SUMPRODUCT(Adds!$C$225:$AZ$225,Curves!$Y$40:$BV$40)+SUMPRODUCT(Adds!$C$226:$AZ$226,Curves!$Y$63:$BV$63)</f>
        <v/>
      </c>
      <c r="BA61" s="5">
        <f>SUMPRODUCT(Adds!$C$224:$BA$224,Curves!$X$17:$BV$17)+SUMPRODUCT(Adds!$C$225:$BA$225,Curves!$X$40:$BV$40)+SUMPRODUCT(Adds!$C$226:$BA$226,Curves!$X$63:$BV$63)</f>
        <v/>
      </c>
      <c r="BB61" s="5">
        <f>SUMPRODUCT(Adds!$C$224:$BB$224,Curves!$W$17:$BV$17)+SUMPRODUCT(Adds!$C$225:$BB$225,Curves!$W$40:$BV$40)+SUMPRODUCT(Adds!$C$226:$BB$226,Curves!$W$63:$BV$63)</f>
        <v/>
      </c>
      <c r="BC61" s="5">
        <f>SUMPRODUCT(Adds!$C$224:$BC$224,Curves!$V$17:$BV$17)+SUMPRODUCT(Adds!$C$225:$BC$225,Curves!$V$40:$BV$40)+SUMPRODUCT(Adds!$C$226:$BC$226,Curves!$V$63:$BV$63)</f>
        <v/>
      </c>
      <c r="BD61" s="5">
        <f>SUMPRODUCT(Adds!$C$224:$BD$224,Curves!$U$17:$BV$17)+SUMPRODUCT(Adds!$C$225:$BD$225,Curves!$U$40:$BV$40)+SUMPRODUCT(Adds!$C$226:$BD$226,Curves!$U$63:$BV$63)</f>
        <v/>
      </c>
      <c r="BE61" s="5">
        <f>SUMPRODUCT(Adds!$C$224:$BE$224,Curves!$T$17:$BV$17)+SUMPRODUCT(Adds!$C$225:$BE$225,Curves!$T$40:$BV$40)+SUMPRODUCT(Adds!$C$226:$BE$226,Curves!$T$63:$BV$63)</f>
        <v/>
      </c>
      <c r="BF61" s="5">
        <f>SUMPRODUCT(Adds!$C$224:$BF$224,Curves!$S$17:$BV$17)+SUMPRODUCT(Adds!$C$225:$BF$225,Curves!$S$40:$BV$40)+SUMPRODUCT(Adds!$C$226:$BF$226,Curves!$S$63:$BV$63)</f>
        <v/>
      </c>
      <c r="BG61" s="5">
        <f>SUMPRODUCT(Adds!$C$224:$BG$224,Curves!$R$17:$BV$17)+SUMPRODUCT(Adds!$C$225:$BG$225,Curves!$R$40:$BV$40)+SUMPRODUCT(Adds!$C$226:$BG$226,Curves!$R$63:$BV$63)</f>
        <v/>
      </c>
      <c r="BH61" s="5">
        <f>SUMPRODUCT(Adds!$C$224:$BH$224,Curves!$Q$17:$BV$17)+SUMPRODUCT(Adds!$C$225:$BH$225,Curves!$Q$40:$BV$40)+SUMPRODUCT(Adds!$C$226:$BH$226,Curves!$Q$63:$BV$63)</f>
        <v/>
      </c>
      <c r="BI61" s="5">
        <f>SUMPRODUCT(Adds!$C$224:$BI$224,Curves!$P$17:$BV$17)+SUMPRODUCT(Adds!$C$225:$BI$225,Curves!$P$40:$BV$40)+SUMPRODUCT(Adds!$C$226:$BI$226,Curves!$P$63:$BV$63)</f>
        <v/>
      </c>
      <c r="BJ61" s="5">
        <f>SUMPRODUCT(Adds!$C$224:$BJ$224,Curves!$O$17:$BV$17)+SUMPRODUCT(Adds!$C$225:$BJ$225,Curves!$O$40:$BV$40)+SUMPRODUCT(Adds!$C$226:$BJ$226,Curves!$O$63:$BV$63)</f>
        <v/>
      </c>
      <c r="BK61" s="5">
        <f>SUMPRODUCT(Adds!$C$224:$BK$224,Curves!$N$17:$BV$17)+SUMPRODUCT(Adds!$C$225:$BK$225,Curves!$N$40:$BV$40)+SUMPRODUCT(Adds!$C$226:$BK$226,Curves!$N$63:$BV$63)</f>
        <v/>
      </c>
      <c r="BL61" s="5">
        <f>SUMPRODUCT(Adds!$C$224:$BL$224,Curves!$M$17:$BV$17)+SUMPRODUCT(Adds!$C$225:$BL$225,Curves!$M$40:$BV$40)+SUMPRODUCT(Adds!$C$226:$BL$226,Curves!$M$63:$BV$63)</f>
        <v/>
      </c>
      <c r="BM61" s="5">
        <f>SUMPRODUCT(Adds!$C$224:$BM$224,Curves!$L$17:$BV$17)+SUMPRODUCT(Adds!$C$225:$BM$225,Curves!$L$40:$BV$40)+SUMPRODUCT(Adds!$C$226:$BM$226,Curves!$L$63:$BV$63)</f>
        <v/>
      </c>
      <c r="BN61" s="5">
        <f>SUMPRODUCT(Adds!$C$224:$BN$224,Curves!$K$17:$BV$17)+SUMPRODUCT(Adds!$C$225:$BN$225,Curves!$K$40:$BV$40)+SUMPRODUCT(Adds!$C$226:$BN$226,Curves!$K$63:$BV$63)</f>
        <v/>
      </c>
      <c r="BO61" s="5">
        <f>SUMPRODUCT(Adds!$C$224:$BO$224,Curves!$J$17:$BV$17)+SUMPRODUCT(Adds!$C$225:$BO$225,Curves!$J$40:$BV$40)+SUMPRODUCT(Adds!$C$226:$BO$226,Curves!$J$63:$BV$63)</f>
        <v/>
      </c>
      <c r="BP61" s="5">
        <f>SUMPRODUCT(Adds!$C$224:$BP$224,Curves!$I$17:$BV$17)+SUMPRODUCT(Adds!$C$225:$BP$225,Curves!$I$40:$BV$40)+SUMPRODUCT(Adds!$C$226:$BP$226,Curves!$I$63:$BV$63)</f>
        <v/>
      </c>
      <c r="BQ61" s="5">
        <f>SUMPRODUCT(Adds!$C$224:$BQ$224,Curves!$H$17:$BV$17)+SUMPRODUCT(Adds!$C$225:$BQ$225,Curves!$H$40:$BV$40)+SUMPRODUCT(Adds!$C$226:$BQ$226,Curves!$H$63:$BV$63)</f>
        <v/>
      </c>
      <c r="BR61" s="5">
        <f>SUMPRODUCT(Adds!$C$224:$BR$224,Curves!$G$17:$BV$17)+SUMPRODUCT(Adds!$C$225:$BR$225,Curves!$G$40:$BV$40)+SUMPRODUCT(Adds!$C$226:$BR$226,Curves!$G$63:$BV$63)</f>
        <v/>
      </c>
      <c r="BS61" s="5">
        <f>SUMPRODUCT(Adds!$C$224:$BS$224,Curves!$F$17:$BV$17)+SUMPRODUCT(Adds!$C$225:$BS$225,Curves!$F$40:$BV$40)+SUMPRODUCT(Adds!$C$226:$BS$226,Curves!$F$63:$BV$63)</f>
        <v/>
      </c>
      <c r="BT61" s="5">
        <f>SUMPRODUCT(Adds!$C$224:$BT$224,Curves!$E$17:$BV$17)+SUMPRODUCT(Adds!$C$225:$BT$225,Curves!$E$40:$BV$40)+SUMPRODUCT(Adds!$C$226:$BT$226,Curves!$E$63:$BV$63)</f>
        <v/>
      </c>
      <c r="BU61" s="5">
        <f>SUMPRODUCT(Adds!$C$224:$BU$224,Curves!$D$17:$BV$17)+SUMPRODUCT(Adds!$C$225:$BU$225,Curves!$D$40:$BV$40)+SUMPRODUCT(Adds!$C$226:$BU$226,Curves!$D$63:$BV$63)</f>
        <v/>
      </c>
      <c r="BV61" s="5">
        <f>SUMPRODUCT(Adds!$C$224:$BV$224,Curves!$C$17:$BV$17)+SUMPRODUCT(Adds!$C$225:$BV$225,Curves!$C$40:$BV$40)+SUMPRODUCT(Adds!$C$226:$BV$226,Curves!$C$63:$BV$63)</f>
        <v/>
      </c>
    </row>
    <row r="63">
      <c r="A63" t="inlineStr">
        <is>
          <t>active</t>
        </is>
      </c>
      <c r="B63" t="inlineStr">
        <is>
          <t>APAC|BASIC_A</t>
        </is>
      </c>
      <c r="C63" s="5">
        <f>Adds!$C$239*Curves!$BV$16+Adds!$C$240*Curves!$BV$39+Adds!$C$241*Curves!$BV$62</f>
        <v/>
      </c>
      <c r="D63" s="5">
        <f>SUMPRODUCT(Adds!$C$239:$D$239,Curves!$BU$16:$BV$16)+SUMPRODUCT(Adds!$C$240:$D$240,Curves!$BU$39:$BV$39)+SUMPRODUCT(Adds!$C$241:$D$241,Curves!$BU$62:$BV$62)</f>
        <v/>
      </c>
      <c r="E63" s="5">
        <f>SUMPRODUCT(Adds!$C$239:$E$239,Curves!$BT$16:$BV$16)+SUMPRODUCT(Adds!$C$240:$E$240,Curves!$BT$39:$BV$39)+SUMPRODUCT(Adds!$C$241:$E$241,Curves!$BT$62:$BV$62)</f>
        <v/>
      </c>
      <c r="F63" s="5">
        <f>SUMPRODUCT(Adds!$C$239:$F$239,Curves!$BS$16:$BV$16)+SUMPRODUCT(Adds!$C$240:$F$240,Curves!$BS$39:$BV$39)+SUMPRODUCT(Adds!$C$241:$F$241,Curves!$BS$62:$BV$62)</f>
        <v/>
      </c>
      <c r="G63" s="5">
        <f>SUMPRODUCT(Adds!$C$239:$G$239,Curves!$BR$16:$BV$16)+SUMPRODUCT(Adds!$C$240:$G$240,Curves!$BR$39:$BV$39)+SUMPRODUCT(Adds!$C$241:$G$241,Curves!$BR$62:$BV$62)</f>
        <v/>
      </c>
      <c r="H63" s="5">
        <f>SUMPRODUCT(Adds!$C$239:$H$239,Curves!$BQ$16:$BV$16)+SUMPRODUCT(Adds!$C$240:$H$240,Curves!$BQ$39:$BV$39)+SUMPRODUCT(Adds!$C$241:$H$241,Curves!$BQ$62:$BV$62)</f>
        <v/>
      </c>
      <c r="I63" s="5">
        <f>SUMPRODUCT(Adds!$C$239:$I$239,Curves!$BP$16:$BV$16)+SUMPRODUCT(Adds!$C$240:$I$240,Curves!$BP$39:$BV$39)+SUMPRODUCT(Adds!$C$241:$I$241,Curves!$BP$62:$BV$62)</f>
        <v/>
      </c>
      <c r="J63" s="5">
        <f>SUMPRODUCT(Adds!$C$239:$J$239,Curves!$BO$16:$BV$16)+SUMPRODUCT(Adds!$C$240:$J$240,Curves!$BO$39:$BV$39)+SUMPRODUCT(Adds!$C$241:$J$241,Curves!$BO$62:$BV$62)</f>
        <v/>
      </c>
      <c r="K63" s="5">
        <f>SUMPRODUCT(Adds!$C$239:$K$239,Curves!$BN$16:$BV$16)+SUMPRODUCT(Adds!$C$240:$K$240,Curves!$BN$39:$BV$39)+SUMPRODUCT(Adds!$C$241:$K$241,Curves!$BN$62:$BV$62)</f>
        <v/>
      </c>
      <c r="L63" s="5">
        <f>SUMPRODUCT(Adds!$C$239:$L$239,Curves!$BM$16:$BV$16)+SUMPRODUCT(Adds!$C$240:$L$240,Curves!$BM$39:$BV$39)+SUMPRODUCT(Adds!$C$241:$L$241,Curves!$BM$62:$BV$62)</f>
        <v/>
      </c>
      <c r="M63" s="5">
        <f>SUMPRODUCT(Adds!$C$239:$M$239,Curves!$BL$16:$BV$16)+SUMPRODUCT(Adds!$C$240:$M$240,Curves!$BL$39:$BV$39)+SUMPRODUCT(Adds!$C$241:$M$241,Curves!$BL$62:$BV$62)</f>
        <v/>
      </c>
      <c r="N63" s="5">
        <f>SUMPRODUCT(Adds!$C$239:$N$239,Curves!$BK$16:$BV$16)+SUMPRODUCT(Adds!$C$240:$N$240,Curves!$BK$39:$BV$39)+SUMPRODUCT(Adds!$C$241:$N$241,Curves!$BK$62:$BV$62)</f>
        <v/>
      </c>
      <c r="O63" s="5">
        <f>SUMPRODUCT(Adds!$C$239:$O$239,Curves!$BJ$16:$BV$16)+SUMPRODUCT(Adds!$C$240:$O$240,Curves!$BJ$39:$BV$39)+SUMPRODUCT(Adds!$C$241:$O$241,Curves!$BJ$62:$BV$62)</f>
        <v/>
      </c>
      <c r="P63" s="5">
        <f>SUMPRODUCT(Adds!$C$239:$P$239,Curves!$BI$16:$BV$16)+SUMPRODUCT(Adds!$C$240:$P$240,Curves!$BI$39:$BV$39)+SUMPRODUCT(Adds!$C$241:$P$241,Curves!$BI$62:$BV$62)</f>
        <v/>
      </c>
      <c r="Q63" s="5">
        <f>SUMPRODUCT(Adds!$C$239:$Q$239,Curves!$BH$16:$BV$16)+SUMPRODUCT(Adds!$C$240:$Q$240,Curves!$BH$39:$BV$39)+SUMPRODUCT(Adds!$C$241:$Q$241,Curves!$BH$62:$BV$62)</f>
        <v/>
      </c>
      <c r="R63" s="5">
        <f>SUMPRODUCT(Adds!$C$239:$R$239,Curves!$BG$16:$BV$16)+SUMPRODUCT(Adds!$C$240:$R$240,Curves!$BG$39:$BV$39)+SUMPRODUCT(Adds!$C$241:$R$241,Curves!$BG$62:$BV$62)</f>
        <v/>
      </c>
      <c r="S63" s="5">
        <f>SUMPRODUCT(Adds!$C$239:$S$239,Curves!$BF$16:$BV$16)+SUMPRODUCT(Adds!$C$240:$S$240,Curves!$BF$39:$BV$39)+SUMPRODUCT(Adds!$C$241:$S$241,Curves!$BF$62:$BV$62)</f>
        <v/>
      </c>
      <c r="T63" s="5">
        <f>SUMPRODUCT(Adds!$C$239:$T$239,Curves!$BE$16:$BV$16)+SUMPRODUCT(Adds!$C$240:$T$240,Curves!$BE$39:$BV$39)+SUMPRODUCT(Adds!$C$241:$T$241,Curves!$BE$62:$BV$62)</f>
        <v/>
      </c>
      <c r="U63" s="5">
        <f>SUMPRODUCT(Adds!$C$239:$U$239,Curves!$BD$16:$BV$16)+SUMPRODUCT(Adds!$C$240:$U$240,Curves!$BD$39:$BV$39)+SUMPRODUCT(Adds!$C$241:$U$241,Curves!$BD$62:$BV$62)</f>
        <v/>
      </c>
      <c r="V63" s="5">
        <f>SUMPRODUCT(Adds!$C$239:$V$239,Curves!$BC$16:$BV$16)+SUMPRODUCT(Adds!$C$240:$V$240,Curves!$BC$39:$BV$39)+SUMPRODUCT(Adds!$C$241:$V$241,Curves!$BC$62:$BV$62)</f>
        <v/>
      </c>
      <c r="W63" s="5">
        <f>SUMPRODUCT(Adds!$C$239:$W$239,Curves!$BB$16:$BV$16)+SUMPRODUCT(Adds!$C$240:$W$240,Curves!$BB$39:$BV$39)+SUMPRODUCT(Adds!$C$241:$W$241,Curves!$BB$62:$BV$62)</f>
        <v/>
      </c>
      <c r="X63" s="5">
        <f>SUMPRODUCT(Adds!$C$239:$X$239,Curves!$BA$16:$BV$16)+SUMPRODUCT(Adds!$C$240:$X$240,Curves!$BA$39:$BV$39)+SUMPRODUCT(Adds!$C$241:$X$241,Curves!$BA$62:$BV$62)</f>
        <v/>
      </c>
      <c r="Y63" s="5">
        <f>SUMPRODUCT(Adds!$C$239:$Y$239,Curves!$AZ$16:$BV$16)+SUMPRODUCT(Adds!$C$240:$Y$240,Curves!$AZ$39:$BV$39)+SUMPRODUCT(Adds!$C$241:$Y$241,Curves!$AZ$62:$BV$62)</f>
        <v/>
      </c>
      <c r="Z63" s="5">
        <f>SUMPRODUCT(Adds!$C$239:$Z$239,Curves!$AY$16:$BV$16)+SUMPRODUCT(Adds!$C$240:$Z$240,Curves!$AY$39:$BV$39)+SUMPRODUCT(Adds!$C$241:$Z$241,Curves!$AY$62:$BV$62)</f>
        <v/>
      </c>
      <c r="AA63" s="5">
        <f>SUMPRODUCT(Adds!$C$239:$AA$239,Curves!$AX$16:$BV$16)+SUMPRODUCT(Adds!$C$240:$AA$240,Curves!$AX$39:$BV$39)+SUMPRODUCT(Adds!$C$241:$AA$241,Curves!$AX$62:$BV$62)</f>
        <v/>
      </c>
      <c r="AB63" s="5">
        <f>SUMPRODUCT(Adds!$C$239:$AB$239,Curves!$AW$16:$BV$16)+SUMPRODUCT(Adds!$C$240:$AB$240,Curves!$AW$39:$BV$39)+SUMPRODUCT(Adds!$C$241:$AB$241,Curves!$AW$62:$BV$62)</f>
        <v/>
      </c>
      <c r="AC63" s="5">
        <f>SUMPRODUCT(Adds!$C$239:$AC$239,Curves!$AV$16:$BV$16)+SUMPRODUCT(Adds!$C$240:$AC$240,Curves!$AV$39:$BV$39)+SUMPRODUCT(Adds!$C$241:$AC$241,Curves!$AV$62:$BV$62)</f>
        <v/>
      </c>
      <c r="AD63" s="5">
        <f>SUMPRODUCT(Adds!$C$239:$AD$239,Curves!$AU$16:$BV$16)+SUMPRODUCT(Adds!$C$240:$AD$240,Curves!$AU$39:$BV$39)+SUMPRODUCT(Adds!$C$241:$AD$241,Curves!$AU$62:$BV$62)</f>
        <v/>
      </c>
      <c r="AE63" s="5">
        <f>SUMPRODUCT(Adds!$C$239:$AE$239,Curves!$AT$16:$BV$16)+SUMPRODUCT(Adds!$C$240:$AE$240,Curves!$AT$39:$BV$39)+SUMPRODUCT(Adds!$C$241:$AE$241,Curves!$AT$62:$BV$62)</f>
        <v/>
      </c>
      <c r="AF63" s="5">
        <f>SUMPRODUCT(Adds!$C$239:$AF$239,Curves!$AS$16:$BV$16)+SUMPRODUCT(Adds!$C$240:$AF$240,Curves!$AS$39:$BV$39)+SUMPRODUCT(Adds!$C$241:$AF$241,Curves!$AS$62:$BV$62)</f>
        <v/>
      </c>
      <c r="AG63" s="5">
        <f>SUMPRODUCT(Adds!$C$239:$AG$239,Curves!$AR$16:$BV$16)+SUMPRODUCT(Adds!$C$240:$AG$240,Curves!$AR$39:$BV$39)+SUMPRODUCT(Adds!$C$241:$AG$241,Curves!$AR$62:$BV$62)</f>
        <v/>
      </c>
      <c r="AH63" s="5">
        <f>SUMPRODUCT(Adds!$C$239:$AH$239,Curves!$AQ$16:$BV$16)+SUMPRODUCT(Adds!$C$240:$AH$240,Curves!$AQ$39:$BV$39)+SUMPRODUCT(Adds!$C$241:$AH$241,Curves!$AQ$62:$BV$62)</f>
        <v/>
      </c>
      <c r="AI63" s="5">
        <f>SUMPRODUCT(Adds!$C$239:$AI$239,Curves!$AP$16:$BV$16)+SUMPRODUCT(Adds!$C$240:$AI$240,Curves!$AP$39:$BV$39)+SUMPRODUCT(Adds!$C$241:$AI$241,Curves!$AP$62:$BV$62)</f>
        <v/>
      </c>
      <c r="AJ63" s="5">
        <f>SUMPRODUCT(Adds!$C$239:$AJ$239,Curves!$AO$16:$BV$16)+SUMPRODUCT(Adds!$C$240:$AJ$240,Curves!$AO$39:$BV$39)+SUMPRODUCT(Adds!$C$241:$AJ$241,Curves!$AO$62:$BV$62)</f>
        <v/>
      </c>
      <c r="AK63" s="5">
        <f>SUMPRODUCT(Adds!$C$239:$AK$239,Curves!$AN$16:$BV$16)+SUMPRODUCT(Adds!$C$240:$AK$240,Curves!$AN$39:$BV$39)+SUMPRODUCT(Adds!$C$241:$AK$241,Curves!$AN$62:$BV$62)</f>
        <v/>
      </c>
      <c r="AL63" s="5">
        <f>SUMPRODUCT(Adds!$C$239:$AL$239,Curves!$AM$16:$BV$16)+SUMPRODUCT(Adds!$C$240:$AL$240,Curves!$AM$39:$BV$39)+SUMPRODUCT(Adds!$C$241:$AL$241,Curves!$AM$62:$BV$62)</f>
        <v/>
      </c>
      <c r="AM63" s="5">
        <f>SUMPRODUCT(Adds!$C$239:$AM$239,Curves!$AL$16:$BV$16)+SUMPRODUCT(Adds!$C$240:$AM$240,Curves!$AL$39:$BV$39)+SUMPRODUCT(Adds!$C$241:$AM$241,Curves!$AL$62:$BV$62)</f>
        <v/>
      </c>
      <c r="AN63" s="5">
        <f>SUMPRODUCT(Adds!$C$239:$AN$239,Curves!$AK$16:$BV$16)+SUMPRODUCT(Adds!$C$240:$AN$240,Curves!$AK$39:$BV$39)+SUMPRODUCT(Adds!$C$241:$AN$241,Curves!$AK$62:$BV$62)</f>
        <v/>
      </c>
      <c r="AO63" s="5">
        <f>SUMPRODUCT(Adds!$C$239:$AO$239,Curves!$AJ$16:$BV$16)+SUMPRODUCT(Adds!$C$240:$AO$240,Curves!$AJ$39:$BV$39)+SUMPRODUCT(Adds!$C$241:$AO$241,Curves!$AJ$62:$BV$62)</f>
        <v/>
      </c>
      <c r="AP63" s="5">
        <f>SUMPRODUCT(Adds!$C$239:$AP$239,Curves!$AI$16:$BV$16)+SUMPRODUCT(Adds!$C$240:$AP$240,Curves!$AI$39:$BV$39)+SUMPRODUCT(Adds!$C$241:$AP$241,Curves!$AI$62:$BV$62)</f>
        <v/>
      </c>
      <c r="AQ63" s="5">
        <f>SUMPRODUCT(Adds!$C$239:$AQ$239,Curves!$AH$16:$BV$16)+SUMPRODUCT(Adds!$C$240:$AQ$240,Curves!$AH$39:$BV$39)+SUMPRODUCT(Adds!$C$241:$AQ$241,Curves!$AH$62:$BV$62)</f>
        <v/>
      </c>
      <c r="AR63" s="5">
        <f>SUMPRODUCT(Adds!$C$239:$AR$239,Curves!$AG$16:$BV$16)+SUMPRODUCT(Adds!$C$240:$AR$240,Curves!$AG$39:$BV$39)+SUMPRODUCT(Adds!$C$241:$AR$241,Curves!$AG$62:$BV$62)</f>
        <v/>
      </c>
      <c r="AS63" s="5">
        <f>SUMPRODUCT(Adds!$C$239:$AS$239,Curves!$AF$16:$BV$16)+SUMPRODUCT(Adds!$C$240:$AS$240,Curves!$AF$39:$BV$39)+SUMPRODUCT(Adds!$C$241:$AS$241,Curves!$AF$62:$BV$62)</f>
        <v/>
      </c>
      <c r="AT63" s="5">
        <f>SUMPRODUCT(Adds!$C$239:$AT$239,Curves!$AE$16:$BV$16)+SUMPRODUCT(Adds!$C$240:$AT$240,Curves!$AE$39:$BV$39)+SUMPRODUCT(Adds!$C$241:$AT$241,Curves!$AE$62:$BV$62)</f>
        <v/>
      </c>
      <c r="AU63" s="5">
        <f>SUMPRODUCT(Adds!$C$239:$AU$239,Curves!$AD$16:$BV$16)+SUMPRODUCT(Adds!$C$240:$AU$240,Curves!$AD$39:$BV$39)+SUMPRODUCT(Adds!$C$241:$AU$241,Curves!$AD$62:$BV$62)</f>
        <v/>
      </c>
      <c r="AV63" s="5">
        <f>SUMPRODUCT(Adds!$C$239:$AV$239,Curves!$AC$16:$BV$16)+SUMPRODUCT(Adds!$C$240:$AV$240,Curves!$AC$39:$BV$39)+SUMPRODUCT(Adds!$C$241:$AV$241,Curves!$AC$62:$BV$62)</f>
        <v/>
      </c>
      <c r="AW63" s="5">
        <f>SUMPRODUCT(Adds!$C$239:$AW$239,Curves!$AB$16:$BV$16)+SUMPRODUCT(Adds!$C$240:$AW$240,Curves!$AB$39:$BV$39)+SUMPRODUCT(Adds!$C$241:$AW$241,Curves!$AB$62:$BV$62)</f>
        <v/>
      </c>
      <c r="AX63" s="5">
        <f>SUMPRODUCT(Adds!$C$239:$AX$239,Curves!$AA$16:$BV$16)+SUMPRODUCT(Adds!$C$240:$AX$240,Curves!$AA$39:$BV$39)+SUMPRODUCT(Adds!$C$241:$AX$241,Curves!$AA$62:$BV$62)</f>
        <v/>
      </c>
      <c r="AY63" s="5">
        <f>SUMPRODUCT(Adds!$C$239:$AY$239,Curves!$Z$16:$BV$16)+SUMPRODUCT(Adds!$C$240:$AY$240,Curves!$Z$39:$BV$39)+SUMPRODUCT(Adds!$C$241:$AY$241,Curves!$Z$62:$BV$62)</f>
        <v/>
      </c>
      <c r="AZ63" s="5">
        <f>SUMPRODUCT(Adds!$C$239:$AZ$239,Curves!$Y$16:$BV$16)+SUMPRODUCT(Adds!$C$240:$AZ$240,Curves!$Y$39:$BV$39)+SUMPRODUCT(Adds!$C$241:$AZ$241,Curves!$Y$62:$BV$62)</f>
        <v/>
      </c>
      <c r="BA63" s="5">
        <f>SUMPRODUCT(Adds!$C$239:$BA$239,Curves!$X$16:$BV$16)+SUMPRODUCT(Adds!$C$240:$BA$240,Curves!$X$39:$BV$39)+SUMPRODUCT(Adds!$C$241:$BA$241,Curves!$X$62:$BV$62)</f>
        <v/>
      </c>
      <c r="BB63" s="5">
        <f>SUMPRODUCT(Adds!$C$239:$BB$239,Curves!$W$16:$BV$16)+SUMPRODUCT(Adds!$C$240:$BB$240,Curves!$W$39:$BV$39)+SUMPRODUCT(Adds!$C$241:$BB$241,Curves!$W$62:$BV$62)</f>
        <v/>
      </c>
      <c r="BC63" s="5">
        <f>SUMPRODUCT(Adds!$C$239:$BC$239,Curves!$V$16:$BV$16)+SUMPRODUCT(Adds!$C$240:$BC$240,Curves!$V$39:$BV$39)+SUMPRODUCT(Adds!$C$241:$BC$241,Curves!$V$62:$BV$62)</f>
        <v/>
      </c>
      <c r="BD63" s="5">
        <f>SUMPRODUCT(Adds!$C$239:$BD$239,Curves!$U$16:$BV$16)+SUMPRODUCT(Adds!$C$240:$BD$240,Curves!$U$39:$BV$39)+SUMPRODUCT(Adds!$C$241:$BD$241,Curves!$U$62:$BV$62)</f>
        <v/>
      </c>
      <c r="BE63" s="5">
        <f>SUMPRODUCT(Adds!$C$239:$BE$239,Curves!$T$16:$BV$16)+SUMPRODUCT(Adds!$C$240:$BE$240,Curves!$T$39:$BV$39)+SUMPRODUCT(Adds!$C$241:$BE$241,Curves!$T$62:$BV$62)</f>
        <v/>
      </c>
      <c r="BF63" s="5">
        <f>SUMPRODUCT(Adds!$C$239:$BF$239,Curves!$S$16:$BV$16)+SUMPRODUCT(Adds!$C$240:$BF$240,Curves!$S$39:$BV$39)+SUMPRODUCT(Adds!$C$241:$BF$241,Curves!$S$62:$BV$62)</f>
        <v/>
      </c>
      <c r="BG63" s="5">
        <f>SUMPRODUCT(Adds!$C$239:$BG$239,Curves!$R$16:$BV$16)+SUMPRODUCT(Adds!$C$240:$BG$240,Curves!$R$39:$BV$39)+SUMPRODUCT(Adds!$C$241:$BG$241,Curves!$R$62:$BV$62)</f>
        <v/>
      </c>
      <c r="BH63" s="5">
        <f>SUMPRODUCT(Adds!$C$239:$BH$239,Curves!$Q$16:$BV$16)+SUMPRODUCT(Adds!$C$240:$BH$240,Curves!$Q$39:$BV$39)+SUMPRODUCT(Adds!$C$241:$BH$241,Curves!$Q$62:$BV$62)</f>
        <v/>
      </c>
      <c r="BI63" s="5">
        <f>SUMPRODUCT(Adds!$C$239:$BI$239,Curves!$P$16:$BV$16)+SUMPRODUCT(Adds!$C$240:$BI$240,Curves!$P$39:$BV$39)+SUMPRODUCT(Adds!$C$241:$BI$241,Curves!$P$62:$BV$62)</f>
        <v/>
      </c>
      <c r="BJ63" s="5">
        <f>SUMPRODUCT(Adds!$C$239:$BJ$239,Curves!$O$16:$BV$16)+SUMPRODUCT(Adds!$C$240:$BJ$240,Curves!$O$39:$BV$39)+SUMPRODUCT(Adds!$C$241:$BJ$241,Curves!$O$62:$BV$62)</f>
        <v/>
      </c>
      <c r="BK63" s="5">
        <f>SUMPRODUCT(Adds!$C$239:$BK$239,Curves!$N$16:$BV$16)+SUMPRODUCT(Adds!$C$240:$BK$240,Curves!$N$39:$BV$39)+SUMPRODUCT(Adds!$C$241:$BK$241,Curves!$N$62:$BV$62)</f>
        <v/>
      </c>
      <c r="BL63" s="5">
        <f>SUMPRODUCT(Adds!$C$239:$BL$239,Curves!$M$16:$BV$16)+SUMPRODUCT(Adds!$C$240:$BL$240,Curves!$M$39:$BV$39)+SUMPRODUCT(Adds!$C$241:$BL$241,Curves!$M$62:$BV$62)</f>
        <v/>
      </c>
      <c r="BM63" s="5">
        <f>SUMPRODUCT(Adds!$C$239:$BM$239,Curves!$L$16:$BV$16)+SUMPRODUCT(Adds!$C$240:$BM$240,Curves!$L$39:$BV$39)+SUMPRODUCT(Adds!$C$241:$BM$241,Curves!$L$62:$BV$62)</f>
        <v/>
      </c>
      <c r="BN63" s="5">
        <f>SUMPRODUCT(Adds!$C$239:$BN$239,Curves!$K$16:$BV$16)+SUMPRODUCT(Adds!$C$240:$BN$240,Curves!$K$39:$BV$39)+SUMPRODUCT(Adds!$C$241:$BN$241,Curves!$K$62:$BV$62)</f>
        <v/>
      </c>
      <c r="BO63" s="5">
        <f>SUMPRODUCT(Adds!$C$239:$BO$239,Curves!$J$16:$BV$16)+SUMPRODUCT(Adds!$C$240:$BO$240,Curves!$J$39:$BV$39)+SUMPRODUCT(Adds!$C$241:$BO$241,Curves!$J$62:$BV$62)</f>
        <v/>
      </c>
      <c r="BP63" s="5">
        <f>SUMPRODUCT(Adds!$C$239:$BP$239,Curves!$I$16:$BV$16)+SUMPRODUCT(Adds!$C$240:$BP$240,Curves!$I$39:$BV$39)+SUMPRODUCT(Adds!$C$241:$BP$241,Curves!$I$62:$BV$62)</f>
        <v/>
      </c>
      <c r="BQ63" s="5">
        <f>SUMPRODUCT(Adds!$C$239:$BQ$239,Curves!$H$16:$BV$16)+SUMPRODUCT(Adds!$C$240:$BQ$240,Curves!$H$39:$BV$39)+SUMPRODUCT(Adds!$C$241:$BQ$241,Curves!$H$62:$BV$62)</f>
        <v/>
      </c>
      <c r="BR63" s="5">
        <f>SUMPRODUCT(Adds!$C$239:$BR$239,Curves!$G$16:$BV$16)+SUMPRODUCT(Adds!$C$240:$BR$240,Curves!$G$39:$BV$39)+SUMPRODUCT(Adds!$C$241:$BR$241,Curves!$G$62:$BV$62)</f>
        <v/>
      </c>
      <c r="BS63" s="5">
        <f>SUMPRODUCT(Adds!$C$239:$BS$239,Curves!$F$16:$BV$16)+SUMPRODUCT(Adds!$C$240:$BS$240,Curves!$F$39:$BV$39)+SUMPRODUCT(Adds!$C$241:$BS$241,Curves!$F$62:$BV$62)</f>
        <v/>
      </c>
      <c r="BT63" s="5">
        <f>SUMPRODUCT(Adds!$C$239:$BT$239,Curves!$E$16:$BV$16)+SUMPRODUCT(Adds!$C$240:$BT$240,Curves!$E$39:$BV$39)+SUMPRODUCT(Adds!$C$241:$BT$241,Curves!$E$62:$BV$62)</f>
        <v/>
      </c>
      <c r="BU63" s="5">
        <f>SUMPRODUCT(Adds!$C$239:$BU$239,Curves!$D$16:$BV$16)+SUMPRODUCT(Adds!$C$240:$BU$240,Curves!$D$39:$BV$39)+SUMPRODUCT(Adds!$C$241:$BU$241,Curves!$D$62:$BV$62)</f>
        <v/>
      </c>
      <c r="BV63" s="5">
        <f>SUMPRODUCT(Adds!$C$239:$BV$239,Curves!$C$16:$BV$16)+SUMPRODUCT(Adds!$C$240:$BV$240,Curves!$C$39:$BV$39)+SUMPRODUCT(Adds!$C$241:$BV$241,Curves!$C$62:$BV$62)</f>
        <v/>
      </c>
    </row>
    <row r="64">
      <c r="A64" t="inlineStr">
        <is>
          <t>active yr 1</t>
        </is>
      </c>
      <c r="B64" t="inlineStr">
        <is>
          <t>APAC|BASIC_A</t>
        </is>
      </c>
      <c r="C64" s="5">
        <f>Adds!$C$239*Curves!$BV$23+Adds!$C$240*Curves!$BV$46+Adds!$C$241*Curves!$BV$69</f>
        <v/>
      </c>
      <c r="D64" s="5">
        <f>SUMPRODUCT(Adds!$C$239:$D$239,Curves!$BU$23:$BV$23)+SUMPRODUCT(Adds!$C$240:$D$240,Curves!$BU$46:$BV$46)+SUMPRODUCT(Adds!$C$241:$D$241,Curves!$BU$69:$BV$69)</f>
        <v/>
      </c>
      <c r="E64" s="5">
        <f>SUMPRODUCT(Adds!$C$239:$E$239,Curves!$BT$23:$BV$23)+SUMPRODUCT(Adds!$C$240:$E$240,Curves!$BT$46:$BV$46)+SUMPRODUCT(Adds!$C$241:$E$241,Curves!$BT$69:$BV$69)</f>
        <v/>
      </c>
      <c r="F64" s="5">
        <f>SUMPRODUCT(Adds!$C$239:$F$239,Curves!$BS$23:$BV$23)+SUMPRODUCT(Adds!$C$240:$F$240,Curves!$BS$46:$BV$46)+SUMPRODUCT(Adds!$C$241:$F$241,Curves!$BS$69:$BV$69)</f>
        <v/>
      </c>
      <c r="G64" s="5">
        <f>SUMPRODUCT(Adds!$C$239:$G$239,Curves!$BR$23:$BV$23)+SUMPRODUCT(Adds!$C$240:$G$240,Curves!$BR$46:$BV$46)+SUMPRODUCT(Adds!$C$241:$G$241,Curves!$BR$69:$BV$69)</f>
        <v/>
      </c>
      <c r="H64" s="5">
        <f>SUMPRODUCT(Adds!$C$239:$H$239,Curves!$BQ$23:$BV$23)+SUMPRODUCT(Adds!$C$240:$H$240,Curves!$BQ$46:$BV$46)+SUMPRODUCT(Adds!$C$241:$H$241,Curves!$BQ$69:$BV$69)</f>
        <v/>
      </c>
      <c r="I64" s="5">
        <f>SUMPRODUCT(Adds!$C$239:$I$239,Curves!$BP$23:$BV$23)+SUMPRODUCT(Adds!$C$240:$I$240,Curves!$BP$46:$BV$46)+SUMPRODUCT(Adds!$C$241:$I$241,Curves!$BP$69:$BV$69)</f>
        <v/>
      </c>
      <c r="J64" s="5">
        <f>SUMPRODUCT(Adds!$C$239:$J$239,Curves!$BO$23:$BV$23)+SUMPRODUCT(Adds!$C$240:$J$240,Curves!$BO$46:$BV$46)+SUMPRODUCT(Adds!$C$241:$J$241,Curves!$BO$69:$BV$69)</f>
        <v/>
      </c>
      <c r="K64" s="5">
        <f>SUMPRODUCT(Adds!$C$239:$K$239,Curves!$BN$23:$BV$23)+SUMPRODUCT(Adds!$C$240:$K$240,Curves!$BN$46:$BV$46)+SUMPRODUCT(Adds!$C$241:$K$241,Curves!$BN$69:$BV$69)</f>
        <v/>
      </c>
      <c r="L64" s="5">
        <f>SUMPRODUCT(Adds!$C$239:$L$239,Curves!$BM$23:$BV$23)+SUMPRODUCT(Adds!$C$240:$L$240,Curves!$BM$46:$BV$46)+SUMPRODUCT(Adds!$C$241:$L$241,Curves!$BM$69:$BV$69)</f>
        <v/>
      </c>
      <c r="M64" s="5">
        <f>SUMPRODUCT(Adds!$C$239:$M$239,Curves!$BL$23:$BV$23)+SUMPRODUCT(Adds!$C$240:$M$240,Curves!$BL$46:$BV$46)+SUMPRODUCT(Adds!$C$241:$M$241,Curves!$BL$69:$BV$69)</f>
        <v/>
      </c>
      <c r="N64" s="5">
        <f>SUMPRODUCT(Adds!$C$239:$N$239,Curves!$BK$23:$BV$23)+SUMPRODUCT(Adds!$C$240:$N$240,Curves!$BK$46:$BV$46)+SUMPRODUCT(Adds!$C$241:$N$241,Curves!$BK$69:$BV$69)</f>
        <v/>
      </c>
      <c r="O64" s="5">
        <f>SUMPRODUCT(Adds!$C$239:$O$239,Curves!$BJ$23:$BV$23)+SUMPRODUCT(Adds!$C$240:$O$240,Curves!$BJ$46:$BV$46)+SUMPRODUCT(Adds!$C$241:$O$241,Curves!$BJ$69:$BV$69)</f>
        <v/>
      </c>
      <c r="P64" s="5">
        <f>SUMPRODUCT(Adds!$C$239:$P$239,Curves!$BI$23:$BV$23)+SUMPRODUCT(Adds!$C$240:$P$240,Curves!$BI$46:$BV$46)+SUMPRODUCT(Adds!$C$241:$P$241,Curves!$BI$69:$BV$69)</f>
        <v/>
      </c>
      <c r="Q64" s="5">
        <f>SUMPRODUCT(Adds!$C$239:$Q$239,Curves!$BH$23:$BV$23)+SUMPRODUCT(Adds!$C$240:$Q$240,Curves!$BH$46:$BV$46)+SUMPRODUCT(Adds!$C$241:$Q$241,Curves!$BH$69:$BV$69)</f>
        <v/>
      </c>
      <c r="R64" s="5">
        <f>SUMPRODUCT(Adds!$C$239:$R$239,Curves!$BG$23:$BV$23)+SUMPRODUCT(Adds!$C$240:$R$240,Curves!$BG$46:$BV$46)+SUMPRODUCT(Adds!$C$241:$R$241,Curves!$BG$69:$BV$69)</f>
        <v/>
      </c>
      <c r="S64" s="5">
        <f>SUMPRODUCT(Adds!$C$239:$S$239,Curves!$BF$23:$BV$23)+SUMPRODUCT(Adds!$C$240:$S$240,Curves!$BF$46:$BV$46)+SUMPRODUCT(Adds!$C$241:$S$241,Curves!$BF$69:$BV$69)</f>
        <v/>
      </c>
      <c r="T64" s="5">
        <f>SUMPRODUCT(Adds!$C$239:$T$239,Curves!$BE$23:$BV$23)+SUMPRODUCT(Adds!$C$240:$T$240,Curves!$BE$46:$BV$46)+SUMPRODUCT(Adds!$C$241:$T$241,Curves!$BE$69:$BV$69)</f>
        <v/>
      </c>
      <c r="U64" s="5">
        <f>SUMPRODUCT(Adds!$C$239:$U$239,Curves!$BD$23:$BV$23)+SUMPRODUCT(Adds!$C$240:$U$240,Curves!$BD$46:$BV$46)+SUMPRODUCT(Adds!$C$241:$U$241,Curves!$BD$69:$BV$69)</f>
        <v/>
      </c>
      <c r="V64" s="5">
        <f>SUMPRODUCT(Adds!$C$239:$V$239,Curves!$BC$23:$BV$23)+SUMPRODUCT(Adds!$C$240:$V$240,Curves!$BC$46:$BV$46)+SUMPRODUCT(Adds!$C$241:$V$241,Curves!$BC$69:$BV$69)</f>
        <v/>
      </c>
      <c r="W64" s="5">
        <f>SUMPRODUCT(Adds!$C$239:$W$239,Curves!$BB$23:$BV$23)+SUMPRODUCT(Adds!$C$240:$W$240,Curves!$BB$46:$BV$46)+SUMPRODUCT(Adds!$C$241:$W$241,Curves!$BB$69:$BV$69)</f>
        <v/>
      </c>
      <c r="X64" s="5">
        <f>SUMPRODUCT(Adds!$C$239:$X$239,Curves!$BA$23:$BV$23)+SUMPRODUCT(Adds!$C$240:$X$240,Curves!$BA$46:$BV$46)+SUMPRODUCT(Adds!$C$241:$X$241,Curves!$BA$69:$BV$69)</f>
        <v/>
      </c>
      <c r="Y64" s="5">
        <f>SUMPRODUCT(Adds!$C$239:$Y$239,Curves!$AZ$23:$BV$23)+SUMPRODUCT(Adds!$C$240:$Y$240,Curves!$AZ$46:$BV$46)+SUMPRODUCT(Adds!$C$241:$Y$241,Curves!$AZ$69:$BV$69)</f>
        <v/>
      </c>
      <c r="Z64" s="5">
        <f>SUMPRODUCT(Adds!$C$239:$Z$239,Curves!$AY$23:$BV$23)+SUMPRODUCT(Adds!$C$240:$Z$240,Curves!$AY$46:$BV$46)+SUMPRODUCT(Adds!$C$241:$Z$241,Curves!$AY$69:$BV$69)</f>
        <v/>
      </c>
      <c r="AA64" s="5">
        <f>SUMPRODUCT(Adds!$C$239:$AA$239,Curves!$AX$23:$BV$23)+SUMPRODUCT(Adds!$C$240:$AA$240,Curves!$AX$46:$BV$46)+SUMPRODUCT(Adds!$C$241:$AA$241,Curves!$AX$69:$BV$69)</f>
        <v/>
      </c>
      <c r="AB64" s="5">
        <f>SUMPRODUCT(Adds!$C$239:$AB$239,Curves!$AW$23:$BV$23)+SUMPRODUCT(Adds!$C$240:$AB$240,Curves!$AW$46:$BV$46)+SUMPRODUCT(Adds!$C$241:$AB$241,Curves!$AW$69:$BV$69)</f>
        <v/>
      </c>
      <c r="AC64" s="5">
        <f>SUMPRODUCT(Adds!$C$239:$AC$239,Curves!$AV$23:$BV$23)+SUMPRODUCT(Adds!$C$240:$AC$240,Curves!$AV$46:$BV$46)+SUMPRODUCT(Adds!$C$241:$AC$241,Curves!$AV$69:$BV$69)</f>
        <v/>
      </c>
      <c r="AD64" s="5">
        <f>SUMPRODUCT(Adds!$C$239:$AD$239,Curves!$AU$23:$BV$23)+SUMPRODUCT(Adds!$C$240:$AD$240,Curves!$AU$46:$BV$46)+SUMPRODUCT(Adds!$C$241:$AD$241,Curves!$AU$69:$BV$69)</f>
        <v/>
      </c>
      <c r="AE64" s="5">
        <f>SUMPRODUCT(Adds!$C$239:$AE$239,Curves!$AT$23:$BV$23)+SUMPRODUCT(Adds!$C$240:$AE$240,Curves!$AT$46:$BV$46)+SUMPRODUCT(Adds!$C$241:$AE$241,Curves!$AT$69:$BV$69)</f>
        <v/>
      </c>
      <c r="AF64" s="5">
        <f>SUMPRODUCT(Adds!$C$239:$AF$239,Curves!$AS$23:$BV$23)+SUMPRODUCT(Adds!$C$240:$AF$240,Curves!$AS$46:$BV$46)+SUMPRODUCT(Adds!$C$241:$AF$241,Curves!$AS$69:$BV$69)</f>
        <v/>
      </c>
      <c r="AG64" s="5">
        <f>SUMPRODUCT(Adds!$C$239:$AG$239,Curves!$AR$23:$BV$23)+SUMPRODUCT(Adds!$C$240:$AG$240,Curves!$AR$46:$BV$46)+SUMPRODUCT(Adds!$C$241:$AG$241,Curves!$AR$69:$BV$69)</f>
        <v/>
      </c>
      <c r="AH64" s="5">
        <f>SUMPRODUCT(Adds!$C$239:$AH$239,Curves!$AQ$23:$BV$23)+SUMPRODUCT(Adds!$C$240:$AH$240,Curves!$AQ$46:$BV$46)+SUMPRODUCT(Adds!$C$241:$AH$241,Curves!$AQ$69:$BV$69)</f>
        <v/>
      </c>
      <c r="AI64" s="5">
        <f>SUMPRODUCT(Adds!$C$239:$AI$239,Curves!$AP$23:$BV$23)+SUMPRODUCT(Adds!$C$240:$AI$240,Curves!$AP$46:$BV$46)+SUMPRODUCT(Adds!$C$241:$AI$241,Curves!$AP$69:$BV$69)</f>
        <v/>
      </c>
      <c r="AJ64" s="5">
        <f>SUMPRODUCT(Adds!$C$239:$AJ$239,Curves!$AO$23:$BV$23)+SUMPRODUCT(Adds!$C$240:$AJ$240,Curves!$AO$46:$BV$46)+SUMPRODUCT(Adds!$C$241:$AJ$241,Curves!$AO$69:$BV$69)</f>
        <v/>
      </c>
      <c r="AK64" s="5">
        <f>SUMPRODUCT(Adds!$C$239:$AK$239,Curves!$AN$23:$BV$23)+SUMPRODUCT(Adds!$C$240:$AK$240,Curves!$AN$46:$BV$46)+SUMPRODUCT(Adds!$C$241:$AK$241,Curves!$AN$69:$BV$69)</f>
        <v/>
      </c>
      <c r="AL64" s="5">
        <f>SUMPRODUCT(Adds!$C$239:$AL$239,Curves!$AM$23:$BV$23)+SUMPRODUCT(Adds!$C$240:$AL$240,Curves!$AM$46:$BV$46)+SUMPRODUCT(Adds!$C$241:$AL$241,Curves!$AM$69:$BV$69)</f>
        <v/>
      </c>
      <c r="AM64" s="5">
        <f>SUMPRODUCT(Adds!$C$239:$AM$239,Curves!$AL$23:$BV$23)+SUMPRODUCT(Adds!$C$240:$AM$240,Curves!$AL$46:$BV$46)+SUMPRODUCT(Adds!$C$241:$AM$241,Curves!$AL$69:$BV$69)</f>
        <v/>
      </c>
      <c r="AN64" s="5">
        <f>SUMPRODUCT(Adds!$C$239:$AN$239,Curves!$AK$23:$BV$23)+SUMPRODUCT(Adds!$C$240:$AN$240,Curves!$AK$46:$BV$46)+SUMPRODUCT(Adds!$C$241:$AN$241,Curves!$AK$69:$BV$69)</f>
        <v/>
      </c>
      <c r="AO64" s="5">
        <f>SUMPRODUCT(Adds!$C$239:$AO$239,Curves!$AJ$23:$BV$23)+SUMPRODUCT(Adds!$C$240:$AO$240,Curves!$AJ$46:$BV$46)+SUMPRODUCT(Adds!$C$241:$AO$241,Curves!$AJ$69:$BV$69)</f>
        <v/>
      </c>
      <c r="AP64" s="5">
        <f>SUMPRODUCT(Adds!$C$239:$AP$239,Curves!$AI$23:$BV$23)+SUMPRODUCT(Adds!$C$240:$AP$240,Curves!$AI$46:$BV$46)+SUMPRODUCT(Adds!$C$241:$AP$241,Curves!$AI$69:$BV$69)</f>
        <v/>
      </c>
      <c r="AQ64" s="5">
        <f>SUMPRODUCT(Adds!$C$239:$AQ$239,Curves!$AH$23:$BV$23)+SUMPRODUCT(Adds!$C$240:$AQ$240,Curves!$AH$46:$BV$46)+SUMPRODUCT(Adds!$C$241:$AQ$241,Curves!$AH$69:$BV$69)</f>
        <v/>
      </c>
      <c r="AR64" s="5">
        <f>SUMPRODUCT(Adds!$C$239:$AR$239,Curves!$AG$23:$BV$23)+SUMPRODUCT(Adds!$C$240:$AR$240,Curves!$AG$46:$BV$46)+SUMPRODUCT(Adds!$C$241:$AR$241,Curves!$AG$69:$BV$69)</f>
        <v/>
      </c>
      <c r="AS64" s="5">
        <f>SUMPRODUCT(Adds!$C$239:$AS$239,Curves!$AF$23:$BV$23)+SUMPRODUCT(Adds!$C$240:$AS$240,Curves!$AF$46:$BV$46)+SUMPRODUCT(Adds!$C$241:$AS$241,Curves!$AF$69:$BV$69)</f>
        <v/>
      </c>
      <c r="AT64" s="5">
        <f>SUMPRODUCT(Adds!$C$239:$AT$239,Curves!$AE$23:$BV$23)+SUMPRODUCT(Adds!$C$240:$AT$240,Curves!$AE$46:$BV$46)+SUMPRODUCT(Adds!$C$241:$AT$241,Curves!$AE$69:$BV$69)</f>
        <v/>
      </c>
      <c r="AU64" s="5">
        <f>SUMPRODUCT(Adds!$C$239:$AU$239,Curves!$AD$23:$BV$23)+SUMPRODUCT(Adds!$C$240:$AU$240,Curves!$AD$46:$BV$46)+SUMPRODUCT(Adds!$C$241:$AU$241,Curves!$AD$69:$BV$69)</f>
        <v/>
      </c>
      <c r="AV64" s="5">
        <f>SUMPRODUCT(Adds!$C$239:$AV$239,Curves!$AC$23:$BV$23)+SUMPRODUCT(Adds!$C$240:$AV$240,Curves!$AC$46:$BV$46)+SUMPRODUCT(Adds!$C$241:$AV$241,Curves!$AC$69:$BV$69)</f>
        <v/>
      </c>
      <c r="AW64" s="5">
        <f>SUMPRODUCT(Adds!$C$239:$AW$239,Curves!$AB$23:$BV$23)+SUMPRODUCT(Adds!$C$240:$AW$240,Curves!$AB$46:$BV$46)+SUMPRODUCT(Adds!$C$241:$AW$241,Curves!$AB$69:$BV$69)</f>
        <v/>
      </c>
      <c r="AX64" s="5">
        <f>SUMPRODUCT(Adds!$C$239:$AX$239,Curves!$AA$23:$BV$23)+SUMPRODUCT(Adds!$C$240:$AX$240,Curves!$AA$46:$BV$46)+SUMPRODUCT(Adds!$C$241:$AX$241,Curves!$AA$69:$BV$69)</f>
        <v/>
      </c>
      <c r="AY64" s="5">
        <f>SUMPRODUCT(Adds!$C$239:$AY$239,Curves!$Z$23:$BV$23)+SUMPRODUCT(Adds!$C$240:$AY$240,Curves!$Z$46:$BV$46)+SUMPRODUCT(Adds!$C$241:$AY$241,Curves!$Z$69:$BV$69)</f>
        <v/>
      </c>
      <c r="AZ64" s="5">
        <f>SUMPRODUCT(Adds!$C$239:$AZ$239,Curves!$Y$23:$BV$23)+SUMPRODUCT(Adds!$C$240:$AZ$240,Curves!$Y$46:$BV$46)+SUMPRODUCT(Adds!$C$241:$AZ$241,Curves!$Y$69:$BV$69)</f>
        <v/>
      </c>
      <c r="BA64" s="5">
        <f>SUMPRODUCT(Adds!$C$239:$BA$239,Curves!$X$23:$BV$23)+SUMPRODUCT(Adds!$C$240:$BA$240,Curves!$X$46:$BV$46)+SUMPRODUCT(Adds!$C$241:$BA$241,Curves!$X$69:$BV$69)</f>
        <v/>
      </c>
      <c r="BB64" s="5">
        <f>SUMPRODUCT(Adds!$C$239:$BB$239,Curves!$W$23:$BV$23)+SUMPRODUCT(Adds!$C$240:$BB$240,Curves!$W$46:$BV$46)+SUMPRODUCT(Adds!$C$241:$BB$241,Curves!$W$69:$BV$69)</f>
        <v/>
      </c>
      <c r="BC64" s="5">
        <f>SUMPRODUCT(Adds!$C$239:$BC$239,Curves!$V$23:$BV$23)+SUMPRODUCT(Adds!$C$240:$BC$240,Curves!$V$46:$BV$46)+SUMPRODUCT(Adds!$C$241:$BC$241,Curves!$V$69:$BV$69)</f>
        <v/>
      </c>
      <c r="BD64" s="5">
        <f>SUMPRODUCT(Adds!$C$239:$BD$239,Curves!$U$23:$BV$23)+SUMPRODUCT(Adds!$C$240:$BD$240,Curves!$U$46:$BV$46)+SUMPRODUCT(Adds!$C$241:$BD$241,Curves!$U$69:$BV$69)</f>
        <v/>
      </c>
      <c r="BE64" s="5">
        <f>SUMPRODUCT(Adds!$C$239:$BE$239,Curves!$T$23:$BV$23)+SUMPRODUCT(Adds!$C$240:$BE$240,Curves!$T$46:$BV$46)+SUMPRODUCT(Adds!$C$241:$BE$241,Curves!$T$69:$BV$69)</f>
        <v/>
      </c>
      <c r="BF64" s="5">
        <f>SUMPRODUCT(Adds!$C$239:$BF$239,Curves!$S$23:$BV$23)+SUMPRODUCT(Adds!$C$240:$BF$240,Curves!$S$46:$BV$46)+SUMPRODUCT(Adds!$C$241:$BF$241,Curves!$S$69:$BV$69)</f>
        <v/>
      </c>
      <c r="BG64" s="5">
        <f>SUMPRODUCT(Adds!$C$239:$BG$239,Curves!$R$23:$BV$23)+SUMPRODUCT(Adds!$C$240:$BG$240,Curves!$R$46:$BV$46)+SUMPRODUCT(Adds!$C$241:$BG$241,Curves!$R$69:$BV$69)</f>
        <v/>
      </c>
      <c r="BH64" s="5">
        <f>SUMPRODUCT(Adds!$C$239:$BH$239,Curves!$Q$23:$BV$23)+SUMPRODUCT(Adds!$C$240:$BH$240,Curves!$Q$46:$BV$46)+SUMPRODUCT(Adds!$C$241:$BH$241,Curves!$Q$69:$BV$69)</f>
        <v/>
      </c>
      <c r="BI64" s="5">
        <f>SUMPRODUCT(Adds!$C$239:$BI$239,Curves!$P$23:$BV$23)+SUMPRODUCT(Adds!$C$240:$BI$240,Curves!$P$46:$BV$46)+SUMPRODUCT(Adds!$C$241:$BI$241,Curves!$P$69:$BV$69)</f>
        <v/>
      </c>
      <c r="BJ64" s="5">
        <f>SUMPRODUCT(Adds!$C$239:$BJ$239,Curves!$O$23:$BV$23)+SUMPRODUCT(Adds!$C$240:$BJ$240,Curves!$O$46:$BV$46)+SUMPRODUCT(Adds!$C$241:$BJ$241,Curves!$O$69:$BV$69)</f>
        <v/>
      </c>
      <c r="BK64" s="5">
        <f>SUMPRODUCT(Adds!$C$239:$BK$239,Curves!$N$23:$BV$23)+SUMPRODUCT(Adds!$C$240:$BK$240,Curves!$N$46:$BV$46)+SUMPRODUCT(Adds!$C$241:$BK$241,Curves!$N$69:$BV$69)</f>
        <v/>
      </c>
      <c r="BL64" s="5">
        <f>SUMPRODUCT(Adds!$C$239:$BL$239,Curves!$M$23:$BV$23)+SUMPRODUCT(Adds!$C$240:$BL$240,Curves!$M$46:$BV$46)+SUMPRODUCT(Adds!$C$241:$BL$241,Curves!$M$69:$BV$69)</f>
        <v/>
      </c>
      <c r="BM64" s="5">
        <f>SUMPRODUCT(Adds!$C$239:$BM$239,Curves!$L$23:$BV$23)+SUMPRODUCT(Adds!$C$240:$BM$240,Curves!$L$46:$BV$46)+SUMPRODUCT(Adds!$C$241:$BM$241,Curves!$L$69:$BV$69)</f>
        <v/>
      </c>
      <c r="BN64" s="5">
        <f>SUMPRODUCT(Adds!$C$239:$BN$239,Curves!$K$23:$BV$23)+SUMPRODUCT(Adds!$C$240:$BN$240,Curves!$K$46:$BV$46)+SUMPRODUCT(Adds!$C$241:$BN$241,Curves!$K$69:$BV$69)</f>
        <v/>
      </c>
      <c r="BO64" s="5">
        <f>SUMPRODUCT(Adds!$C$239:$BO$239,Curves!$J$23:$BV$23)+SUMPRODUCT(Adds!$C$240:$BO$240,Curves!$J$46:$BV$46)+SUMPRODUCT(Adds!$C$241:$BO$241,Curves!$J$69:$BV$69)</f>
        <v/>
      </c>
      <c r="BP64" s="5">
        <f>SUMPRODUCT(Adds!$C$239:$BP$239,Curves!$I$23:$BV$23)+SUMPRODUCT(Adds!$C$240:$BP$240,Curves!$I$46:$BV$46)+SUMPRODUCT(Adds!$C$241:$BP$241,Curves!$I$69:$BV$69)</f>
        <v/>
      </c>
      <c r="BQ64" s="5">
        <f>SUMPRODUCT(Adds!$C$239:$BQ$239,Curves!$H$23:$BV$23)+SUMPRODUCT(Adds!$C$240:$BQ$240,Curves!$H$46:$BV$46)+SUMPRODUCT(Adds!$C$241:$BQ$241,Curves!$H$69:$BV$69)</f>
        <v/>
      </c>
      <c r="BR64" s="5">
        <f>SUMPRODUCT(Adds!$C$239:$BR$239,Curves!$G$23:$BV$23)+SUMPRODUCT(Adds!$C$240:$BR$240,Curves!$G$46:$BV$46)+SUMPRODUCT(Adds!$C$241:$BR$241,Curves!$G$69:$BV$69)</f>
        <v/>
      </c>
      <c r="BS64" s="5">
        <f>SUMPRODUCT(Adds!$C$239:$BS$239,Curves!$F$23:$BV$23)+SUMPRODUCT(Adds!$C$240:$BS$240,Curves!$F$46:$BV$46)+SUMPRODUCT(Adds!$C$241:$BS$241,Curves!$F$69:$BV$69)</f>
        <v/>
      </c>
      <c r="BT64" s="5">
        <f>SUMPRODUCT(Adds!$C$239:$BT$239,Curves!$E$23:$BV$23)+SUMPRODUCT(Adds!$C$240:$BT$240,Curves!$E$46:$BV$46)+SUMPRODUCT(Adds!$C$241:$BT$241,Curves!$E$69:$BV$69)</f>
        <v/>
      </c>
      <c r="BU64" s="5">
        <f>SUMPRODUCT(Adds!$C$239:$BU$239,Curves!$D$23:$BV$23)+SUMPRODUCT(Adds!$C$240:$BU$240,Curves!$D$46:$BV$46)+SUMPRODUCT(Adds!$C$241:$BU$241,Curves!$D$69:$BV$69)</f>
        <v/>
      </c>
      <c r="BV64" s="5">
        <f>SUMPRODUCT(Adds!$C$239:$BV$239,Curves!$C$23:$BV$23)+SUMPRODUCT(Adds!$C$240:$BV$240,Curves!$C$46:$BV$46)+SUMPRODUCT(Adds!$C$241:$BV$241,Curves!$C$69:$BV$69)</f>
        <v/>
      </c>
    </row>
    <row r="65">
      <c r="A65" t="inlineStr">
        <is>
          <t>churned</t>
        </is>
      </c>
      <c r="B65" t="inlineStr">
        <is>
          <t>APAC|BASIC_A</t>
        </is>
      </c>
      <c r="C65" s="5">
        <f>Adds!$C$239*Curves!$BV$18+Adds!$C$240*Curves!$BV$41+Adds!$C$241*Curves!$BV$64</f>
        <v/>
      </c>
      <c r="D65" s="5">
        <f>SUMPRODUCT(Adds!$C$239:$D$239,Curves!$BU$18:$BV$18)+SUMPRODUCT(Adds!$C$240:$D$240,Curves!$BU$41:$BV$41)+SUMPRODUCT(Adds!$C$241:$D$241,Curves!$BU$64:$BV$64)</f>
        <v/>
      </c>
      <c r="E65" s="5">
        <f>SUMPRODUCT(Adds!$C$239:$E$239,Curves!$BT$18:$BV$18)+SUMPRODUCT(Adds!$C$240:$E$240,Curves!$BT$41:$BV$41)+SUMPRODUCT(Adds!$C$241:$E$241,Curves!$BT$64:$BV$64)</f>
        <v/>
      </c>
      <c r="F65" s="5">
        <f>SUMPRODUCT(Adds!$C$239:$F$239,Curves!$BS$18:$BV$18)+SUMPRODUCT(Adds!$C$240:$F$240,Curves!$BS$41:$BV$41)+SUMPRODUCT(Adds!$C$241:$F$241,Curves!$BS$64:$BV$64)</f>
        <v/>
      </c>
      <c r="G65" s="5">
        <f>SUMPRODUCT(Adds!$C$239:$G$239,Curves!$BR$18:$BV$18)+SUMPRODUCT(Adds!$C$240:$G$240,Curves!$BR$41:$BV$41)+SUMPRODUCT(Adds!$C$241:$G$241,Curves!$BR$64:$BV$64)</f>
        <v/>
      </c>
      <c r="H65" s="5">
        <f>SUMPRODUCT(Adds!$C$239:$H$239,Curves!$BQ$18:$BV$18)+SUMPRODUCT(Adds!$C$240:$H$240,Curves!$BQ$41:$BV$41)+SUMPRODUCT(Adds!$C$241:$H$241,Curves!$BQ$64:$BV$64)</f>
        <v/>
      </c>
      <c r="I65" s="5">
        <f>SUMPRODUCT(Adds!$C$239:$I$239,Curves!$BP$18:$BV$18)+SUMPRODUCT(Adds!$C$240:$I$240,Curves!$BP$41:$BV$41)+SUMPRODUCT(Adds!$C$241:$I$241,Curves!$BP$64:$BV$64)</f>
        <v/>
      </c>
      <c r="J65" s="5">
        <f>SUMPRODUCT(Adds!$C$239:$J$239,Curves!$BO$18:$BV$18)+SUMPRODUCT(Adds!$C$240:$J$240,Curves!$BO$41:$BV$41)+SUMPRODUCT(Adds!$C$241:$J$241,Curves!$BO$64:$BV$64)</f>
        <v/>
      </c>
      <c r="K65" s="5">
        <f>SUMPRODUCT(Adds!$C$239:$K$239,Curves!$BN$18:$BV$18)+SUMPRODUCT(Adds!$C$240:$K$240,Curves!$BN$41:$BV$41)+SUMPRODUCT(Adds!$C$241:$K$241,Curves!$BN$64:$BV$64)</f>
        <v/>
      </c>
      <c r="L65" s="5">
        <f>SUMPRODUCT(Adds!$C$239:$L$239,Curves!$BM$18:$BV$18)+SUMPRODUCT(Adds!$C$240:$L$240,Curves!$BM$41:$BV$41)+SUMPRODUCT(Adds!$C$241:$L$241,Curves!$BM$64:$BV$64)</f>
        <v/>
      </c>
      <c r="M65" s="5">
        <f>SUMPRODUCT(Adds!$C$239:$M$239,Curves!$BL$18:$BV$18)+SUMPRODUCT(Adds!$C$240:$M$240,Curves!$BL$41:$BV$41)+SUMPRODUCT(Adds!$C$241:$M$241,Curves!$BL$64:$BV$64)</f>
        <v/>
      </c>
      <c r="N65" s="5">
        <f>SUMPRODUCT(Adds!$C$239:$N$239,Curves!$BK$18:$BV$18)+SUMPRODUCT(Adds!$C$240:$N$240,Curves!$BK$41:$BV$41)+SUMPRODUCT(Adds!$C$241:$N$241,Curves!$BK$64:$BV$64)</f>
        <v/>
      </c>
      <c r="O65" s="5">
        <f>SUMPRODUCT(Adds!$C$239:$O$239,Curves!$BJ$18:$BV$18)+SUMPRODUCT(Adds!$C$240:$O$240,Curves!$BJ$41:$BV$41)+SUMPRODUCT(Adds!$C$241:$O$241,Curves!$BJ$64:$BV$64)</f>
        <v/>
      </c>
      <c r="P65" s="5">
        <f>SUMPRODUCT(Adds!$C$239:$P$239,Curves!$BI$18:$BV$18)+SUMPRODUCT(Adds!$C$240:$P$240,Curves!$BI$41:$BV$41)+SUMPRODUCT(Adds!$C$241:$P$241,Curves!$BI$64:$BV$64)</f>
        <v/>
      </c>
      <c r="Q65" s="5">
        <f>SUMPRODUCT(Adds!$C$239:$Q$239,Curves!$BH$18:$BV$18)+SUMPRODUCT(Adds!$C$240:$Q$240,Curves!$BH$41:$BV$41)+SUMPRODUCT(Adds!$C$241:$Q$241,Curves!$BH$64:$BV$64)</f>
        <v/>
      </c>
      <c r="R65" s="5">
        <f>SUMPRODUCT(Adds!$C$239:$R$239,Curves!$BG$18:$BV$18)+SUMPRODUCT(Adds!$C$240:$R$240,Curves!$BG$41:$BV$41)+SUMPRODUCT(Adds!$C$241:$R$241,Curves!$BG$64:$BV$64)</f>
        <v/>
      </c>
      <c r="S65" s="5">
        <f>SUMPRODUCT(Adds!$C$239:$S$239,Curves!$BF$18:$BV$18)+SUMPRODUCT(Adds!$C$240:$S$240,Curves!$BF$41:$BV$41)+SUMPRODUCT(Adds!$C$241:$S$241,Curves!$BF$64:$BV$64)</f>
        <v/>
      </c>
      <c r="T65" s="5">
        <f>SUMPRODUCT(Adds!$C$239:$T$239,Curves!$BE$18:$BV$18)+SUMPRODUCT(Adds!$C$240:$T$240,Curves!$BE$41:$BV$41)+SUMPRODUCT(Adds!$C$241:$T$241,Curves!$BE$64:$BV$64)</f>
        <v/>
      </c>
      <c r="U65" s="5">
        <f>SUMPRODUCT(Adds!$C$239:$U$239,Curves!$BD$18:$BV$18)+SUMPRODUCT(Adds!$C$240:$U$240,Curves!$BD$41:$BV$41)+SUMPRODUCT(Adds!$C$241:$U$241,Curves!$BD$64:$BV$64)</f>
        <v/>
      </c>
      <c r="V65" s="5">
        <f>SUMPRODUCT(Adds!$C$239:$V$239,Curves!$BC$18:$BV$18)+SUMPRODUCT(Adds!$C$240:$V$240,Curves!$BC$41:$BV$41)+SUMPRODUCT(Adds!$C$241:$V$241,Curves!$BC$64:$BV$64)</f>
        <v/>
      </c>
      <c r="W65" s="5">
        <f>SUMPRODUCT(Adds!$C$239:$W$239,Curves!$BB$18:$BV$18)+SUMPRODUCT(Adds!$C$240:$W$240,Curves!$BB$41:$BV$41)+SUMPRODUCT(Adds!$C$241:$W$241,Curves!$BB$64:$BV$64)</f>
        <v/>
      </c>
      <c r="X65" s="5">
        <f>SUMPRODUCT(Adds!$C$239:$X$239,Curves!$BA$18:$BV$18)+SUMPRODUCT(Adds!$C$240:$X$240,Curves!$BA$41:$BV$41)+SUMPRODUCT(Adds!$C$241:$X$241,Curves!$BA$64:$BV$64)</f>
        <v/>
      </c>
      <c r="Y65" s="5">
        <f>SUMPRODUCT(Adds!$C$239:$Y$239,Curves!$AZ$18:$BV$18)+SUMPRODUCT(Adds!$C$240:$Y$240,Curves!$AZ$41:$BV$41)+SUMPRODUCT(Adds!$C$241:$Y$241,Curves!$AZ$64:$BV$64)</f>
        <v/>
      </c>
      <c r="Z65" s="5">
        <f>SUMPRODUCT(Adds!$C$239:$Z$239,Curves!$AY$18:$BV$18)+SUMPRODUCT(Adds!$C$240:$Z$240,Curves!$AY$41:$BV$41)+SUMPRODUCT(Adds!$C$241:$Z$241,Curves!$AY$64:$BV$64)</f>
        <v/>
      </c>
      <c r="AA65" s="5">
        <f>SUMPRODUCT(Adds!$C$239:$AA$239,Curves!$AX$18:$BV$18)+SUMPRODUCT(Adds!$C$240:$AA$240,Curves!$AX$41:$BV$41)+SUMPRODUCT(Adds!$C$241:$AA$241,Curves!$AX$64:$BV$64)</f>
        <v/>
      </c>
      <c r="AB65" s="5">
        <f>SUMPRODUCT(Adds!$C$239:$AB$239,Curves!$AW$18:$BV$18)+SUMPRODUCT(Adds!$C$240:$AB$240,Curves!$AW$41:$BV$41)+SUMPRODUCT(Adds!$C$241:$AB$241,Curves!$AW$64:$BV$64)</f>
        <v/>
      </c>
      <c r="AC65" s="5">
        <f>SUMPRODUCT(Adds!$C$239:$AC$239,Curves!$AV$18:$BV$18)+SUMPRODUCT(Adds!$C$240:$AC$240,Curves!$AV$41:$BV$41)+SUMPRODUCT(Adds!$C$241:$AC$241,Curves!$AV$64:$BV$64)</f>
        <v/>
      </c>
      <c r="AD65" s="5">
        <f>SUMPRODUCT(Adds!$C$239:$AD$239,Curves!$AU$18:$BV$18)+SUMPRODUCT(Adds!$C$240:$AD$240,Curves!$AU$41:$BV$41)+SUMPRODUCT(Adds!$C$241:$AD$241,Curves!$AU$64:$BV$64)</f>
        <v/>
      </c>
      <c r="AE65" s="5">
        <f>SUMPRODUCT(Adds!$C$239:$AE$239,Curves!$AT$18:$BV$18)+SUMPRODUCT(Adds!$C$240:$AE$240,Curves!$AT$41:$BV$41)+SUMPRODUCT(Adds!$C$241:$AE$241,Curves!$AT$64:$BV$64)</f>
        <v/>
      </c>
      <c r="AF65" s="5">
        <f>SUMPRODUCT(Adds!$C$239:$AF$239,Curves!$AS$18:$BV$18)+SUMPRODUCT(Adds!$C$240:$AF$240,Curves!$AS$41:$BV$41)+SUMPRODUCT(Adds!$C$241:$AF$241,Curves!$AS$64:$BV$64)</f>
        <v/>
      </c>
      <c r="AG65" s="5">
        <f>SUMPRODUCT(Adds!$C$239:$AG$239,Curves!$AR$18:$BV$18)+SUMPRODUCT(Adds!$C$240:$AG$240,Curves!$AR$41:$BV$41)+SUMPRODUCT(Adds!$C$241:$AG$241,Curves!$AR$64:$BV$64)</f>
        <v/>
      </c>
      <c r="AH65" s="5">
        <f>SUMPRODUCT(Adds!$C$239:$AH$239,Curves!$AQ$18:$BV$18)+SUMPRODUCT(Adds!$C$240:$AH$240,Curves!$AQ$41:$BV$41)+SUMPRODUCT(Adds!$C$241:$AH$241,Curves!$AQ$64:$BV$64)</f>
        <v/>
      </c>
      <c r="AI65" s="5">
        <f>SUMPRODUCT(Adds!$C$239:$AI$239,Curves!$AP$18:$BV$18)+SUMPRODUCT(Adds!$C$240:$AI$240,Curves!$AP$41:$BV$41)+SUMPRODUCT(Adds!$C$241:$AI$241,Curves!$AP$64:$BV$64)</f>
        <v/>
      </c>
      <c r="AJ65" s="5">
        <f>SUMPRODUCT(Adds!$C$239:$AJ$239,Curves!$AO$18:$BV$18)+SUMPRODUCT(Adds!$C$240:$AJ$240,Curves!$AO$41:$BV$41)+SUMPRODUCT(Adds!$C$241:$AJ$241,Curves!$AO$64:$BV$64)</f>
        <v/>
      </c>
      <c r="AK65" s="5">
        <f>SUMPRODUCT(Adds!$C$239:$AK$239,Curves!$AN$18:$BV$18)+SUMPRODUCT(Adds!$C$240:$AK$240,Curves!$AN$41:$BV$41)+SUMPRODUCT(Adds!$C$241:$AK$241,Curves!$AN$64:$BV$64)</f>
        <v/>
      </c>
      <c r="AL65" s="5">
        <f>SUMPRODUCT(Adds!$C$239:$AL$239,Curves!$AM$18:$BV$18)+SUMPRODUCT(Adds!$C$240:$AL$240,Curves!$AM$41:$BV$41)+SUMPRODUCT(Adds!$C$241:$AL$241,Curves!$AM$64:$BV$64)</f>
        <v/>
      </c>
      <c r="AM65" s="5">
        <f>SUMPRODUCT(Adds!$C$239:$AM$239,Curves!$AL$18:$BV$18)+SUMPRODUCT(Adds!$C$240:$AM$240,Curves!$AL$41:$BV$41)+SUMPRODUCT(Adds!$C$241:$AM$241,Curves!$AL$64:$BV$64)</f>
        <v/>
      </c>
      <c r="AN65" s="5">
        <f>SUMPRODUCT(Adds!$C$239:$AN$239,Curves!$AK$18:$BV$18)+SUMPRODUCT(Adds!$C$240:$AN$240,Curves!$AK$41:$BV$41)+SUMPRODUCT(Adds!$C$241:$AN$241,Curves!$AK$64:$BV$64)</f>
        <v/>
      </c>
      <c r="AO65" s="5">
        <f>SUMPRODUCT(Adds!$C$239:$AO$239,Curves!$AJ$18:$BV$18)+SUMPRODUCT(Adds!$C$240:$AO$240,Curves!$AJ$41:$BV$41)+SUMPRODUCT(Adds!$C$241:$AO$241,Curves!$AJ$64:$BV$64)</f>
        <v/>
      </c>
      <c r="AP65" s="5">
        <f>SUMPRODUCT(Adds!$C$239:$AP$239,Curves!$AI$18:$BV$18)+SUMPRODUCT(Adds!$C$240:$AP$240,Curves!$AI$41:$BV$41)+SUMPRODUCT(Adds!$C$241:$AP$241,Curves!$AI$64:$BV$64)</f>
        <v/>
      </c>
      <c r="AQ65" s="5">
        <f>SUMPRODUCT(Adds!$C$239:$AQ$239,Curves!$AH$18:$BV$18)+SUMPRODUCT(Adds!$C$240:$AQ$240,Curves!$AH$41:$BV$41)+SUMPRODUCT(Adds!$C$241:$AQ$241,Curves!$AH$64:$BV$64)</f>
        <v/>
      </c>
      <c r="AR65" s="5">
        <f>SUMPRODUCT(Adds!$C$239:$AR$239,Curves!$AG$18:$BV$18)+SUMPRODUCT(Adds!$C$240:$AR$240,Curves!$AG$41:$BV$41)+SUMPRODUCT(Adds!$C$241:$AR$241,Curves!$AG$64:$BV$64)</f>
        <v/>
      </c>
      <c r="AS65" s="5">
        <f>SUMPRODUCT(Adds!$C$239:$AS$239,Curves!$AF$18:$BV$18)+SUMPRODUCT(Adds!$C$240:$AS$240,Curves!$AF$41:$BV$41)+SUMPRODUCT(Adds!$C$241:$AS$241,Curves!$AF$64:$BV$64)</f>
        <v/>
      </c>
      <c r="AT65" s="5">
        <f>SUMPRODUCT(Adds!$C$239:$AT$239,Curves!$AE$18:$BV$18)+SUMPRODUCT(Adds!$C$240:$AT$240,Curves!$AE$41:$BV$41)+SUMPRODUCT(Adds!$C$241:$AT$241,Curves!$AE$64:$BV$64)</f>
        <v/>
      </c>
      <c r="AU65" s="5">
        <f>SUMPRODUCT(Adds!$C$239:$AU$239,Curves!$AD$18:$BV$18)+SUMPRODUCT(Adds!$C$240:$AU$240,Curves!$AD$41:$BV$41)+SUMPRODUCT(Adds!$C$241:$AU$241,Curves!$AD$64:$BV$64)</f>
        <v/>
      </c>
      <c r="AV65" s="5">
        <f>SUMPRODUCT(Adds!$C$239:$AV$239,Curves!$AC$18:$BV$18)+SUMPRODUCT(Adds!$C$240:$AV$240,Curves!$AC$41:$BV$41)+SUMPRODUCT(Adds!$C$241:$AV$241,Curves!$AC$64:$BV$64)</f>
        <v/>
      </c>
      <c r="AW65" s="5">
        <f>SUMPRODUCT(Adds!$C$239:$AW$239,Curves!$AB$18:$BV$18)+SUMPRODUCT(Adds!$C$240:$AW$240,Curves!$AB$41:$BV$41)+SUMPRODUCT(Adds!$C$241:$AW$241,Curves!$AB$64:$BV$64)</f>
        <v/>
      </c>
      <c r="AX65" s="5">
        <f>SUMPRODUCT(Adds!$C$239:$AX$239,Curves!$AA$18:$BV$18)+SUMPRODUCT(Adds!$C$240:$AX$240,Curves!$AA$41:$BV$41)+SUMPRODUCT(Adds!$C$241:$AX$241,Curves!$AA$64:$BV$64)</f>
        <v/>
      </c>
      <c r="AY65" s="5">
        <f>SUMPRODUCT(Adds!$C$239:$AY$239,Curves!$Z$18:$BV$18)+SUMPRODUCT(Adds!$C$240:$AY$240,Curves!$Z$41:$BV$41)+SUMPRODUCT(Adds!$C$241:$AY$241,Curves!$Z$64:$BV$64)</f>
        <v/>
      </c>
      <c r="AZ65" s="5">
        <f>SUMPRODUCT(Adds!$C$239:$AZ$239,Curves!$Y$18:$BV$18)+SUMPRODUCT(Adds!$C$240:$AZ$240,Curves!$Y$41:$BV$41)+SUMPRODUCT(Adds!$C$241:$AZ$241,Curves!$Y$64:$BV$64)</f>
        <v/>
      </c>
      <c r="BA65" s="5">
        <f>SUMPRODUCT(Adds!$C$239:$BA$239,Curves!$X$18:$BV$18)+SUMPRODUCT(Adds!$C$240:$BA$240,Curves!$X$41:$BV$41)+SUMPRODUCT(Adds!$C$241:$BA$241,Curves!$X$64:$BV$64)</f>
        <v/>
      </c>
      <c r="BB65" s="5">
        <f>SUMPRODUCT(Adds!$C$239:$BB$239,Curves!$W$18:$BV$18)+SUMPRODUCT(Adds!$C$240:$BB$240,Curves!$W$41:$BV$41)+SUMPRODUCT(Adds!$C$241:$BB$241,Curves!$W$64:$BV$64)</f>
        <v/>
      </c>
      <c r="BC65" s="5">
        <f>SUMPRODUCT(Adds!$C$239:$BC$239,Curves!$V$18:$BV$18)+SUMPRODUCT(Adds!$C$240:$BC$240,Curves!$V$41:$BV$41)+SUMPRODUCT(Adds!$C$241:$BC$241,Curves!$V$64:$BV$64)</f>
        <v/>
      </c>
      <c r="BD65" s="5">
        <f>SUMPRODUCT(Adds!$C$239:$BD$239,Curves!$U$18:$BV$18)+SUMPRODUCT(Adds!$C$240:$BD$240,Curves!$U$41:$BV$41)+SUMPRODUCT(Adds!$C$241:$BD$241,Curves!$U$64:$BV$64)</f>
        <v/>
      </c>
      <c r="BE65" s="5">
        <f>SUMPRODUCT(Adds!$C$239:$BE$239,Curves!$T$18:$BV$18)+SUMPRODUCT(Adds!$C$240:$BE$240,Curves!$T$41:$BV$41)+SUMPRODUCT(Adds!$C$241:$BE$241,Curves!$T$64:$BV$64)</f>
        <v/>
      </c>
      <c r="BF65" s="5">
        <f>SUMPRODUCT(Adds!$C$239:$BF$239,Curves!$S$18:$BV$18)+SUMPRODUCT(Adds!$C$240:$BF$240,Curves!$S$41:$BV$41)+SUMPRODUCT(Adds!$C$241:$BF$241,Curves!$S$64:$BV$64)</f>
        <v/>
      </c>
      <c r="BG65" s="5">
        <f>SUMPRODUCT(Adds!$C$239:$BG$239,Curves!$R$18:$BV$18)+SUMPRODUCT(Adds!$C$240:$BG$240,Curves!$R$41:$BV$41)+SUMPRODUCT(Adds!$C$241:$BG$241,Curves!$R$64:$BV$64)</f>
        <v/>
      </c>
      <c r="BH65" s="5">
        <f>SUMPRODUCT(Adds!$C$239:$BH$239,Curves!$Q$18:$BV$18)+SUMPRODUCT(Adds!$C$240:$BH$240,Curves!$Q$41:$BV$41)+SUMPRODUCT(Adds!$C$241:$BH$241,Curves!$Q$64:$BV$64)</f>
        <v/>
      </c>
      <c r="BI65" s="5">
        <f>SUMPRODUCT(Adds!$C$239:$BI$239,Curves!$P$18:$BV$18)+SUMPRODUCT(Adds!$C$240:$BI$240,Curves!$P$41:$BV$41)+SUMPRODUCT(Adds!$C$241:$BI$241,Curves!$P$64:$BV$64)</f>
        <v/>
      </c>
      <c r="BJ65" s="5">
        <f>SUMPRODUCT(Adds!$C$239:$BJ$239,Curves!$O$18:$BV$18)+SUMPRODUCT(Adds!$C$240:$BJ$240,Curves!$O$41:$BV$41)+SUMPRODUCT(Adds!$C$241:$BJ$241,Curves!$O$64:$BV$64)</f>
        <v/>
      </c>
      <c r="BK65" s="5">
        <f>SUMPRODUCT(Adds!$C$239:$BK$239,Curves!$N$18:$BV$18)+SUMPRODUCT(Adds!$C$240:$BK$240,Curves!$N$41:$BV$41)+SUMPRODUCT(Adds!$C$241:$BK$241,Curves!$N$64:$BV$64)</f>
        <v/>
      </c>
      <c r="BL65" s="5">
        <f>SUMPRODUCT(Adds!$C$239:$BL$239,Curves!$M$18:$BV$18)+SUMPRODUCT(Adds!$C$240:$BL$240,Curves!$M$41:$BV$41)+SUMPRODUCT(Adds!$C$241:$BL$241,Curves!$M$64:$BV$64)</f>
        <v/>
      </c>
      <c r="BM65" s="5">
        <f>SUMPRODUCT(Adds!$C$239:$BM$239,Curves!$L$18:$BV$18)+SUMPRODUCT(Adds!$C$240:$BM$240,Curves!$L$41:$BV$41)+SUMPRODUCT(Adds!$C$241:$BM$241,Curves!$L$64:$BV$64)</f>
        <v/>
      </c>
      <c r="BN65" s="5">
        <f>SUMPRODUCT(Adds!$C$239:$BN$239,Curves!$K$18:$BV$18)+SUMPRODUCT(Adds!$C$240:$BN$240,Curves!$K$41:$BV$41)+SUMPRODUCT(Adds!$C$241:$BN$241,Curves!$K$64:$BV$64)</f>
        <v/>
      </c>
      <c r="BO65" s="5">
        <f>SUMPRODUCT(Adds!$C$239:$BO$239,Curves!$J$18:$BV$18)+SUMPRODUCT(Adds!$C$240:$BO$240,Curves!$J$41:$BV$41)+SUMPRODUCT(Adds!$C$241:$BO$241,Curves!$J$64:$BV$64)</f>
        <v/>
      </c>
      <c r="BP65" s="5">
        <f>SUMPRODUCT(Adds!$C$239:$BP$239,Curves!$I$18:$BV$18)+SUMPRODUCT(Adds!$C$240:$BP$240,Curves!$I$41:$BV$41)+SUMPRODUCT(Adds!$C$241:$BP$241,Curves!$I$64:$BV$64)</f>
        <v/>
      </c>
      <c r="BQ65" s="5">
        <f>SUMPRODUCT(Adds!$C$239:$BQ$239,Curves!$H$18:$BV$18)+SUMPRODUCT(Adds!$C$240:$BQ$240,Curves!$H$41:$BV$41)+SUMPRODUCT(Adds!$C$241:$BQ$241,Curves!$H$64:$BV$64)</f>
        <v/>
      </c>
      <c r="BR65" s="5">
        <f>SUMPRODUCT(Adds!$C$239:$BR$239,Curves!$G$18:$BV$18)+SUMPRODUCT(Adds!$C$240:$BR$240,Curves!$G$41:$BV$41)+SUMPRODUCT(Adds!$C$241:$BR$241,Curves!$G$64:$BV$64)</f>
        <v/>
      </c>
      <c r="BS65" s="5">
        <f>SUMPRODUCT(Adds!$C$239:$BS$239,Curves!$F$18:$BV$18)+SUMPRODUCT(Adds!$C$240:$BS$240,Curves!$F$41:$BV$41)+SUMPRODUCT(Adds!$C$241:$BS$241,Curves!$F$64:$BV$64)</f>
        <v/>
      </c>
      <c r="BT65" s="5">
        <f>SUMPRODUCT(Adds!$C$239:$BT$239,Curves!$E$18:$BV$18)+SUMPRODUCT(Adds!$C$240:$BT$240,Curves!$E$41:$BV$41)+SUMPRODUCT(Adds!$C$241:$BT$241,Curves!$E$64:$BV$64)</f>
        <v/>
      </c>
      <c r="BU65" s="5">
        <f>SUMPRODUCT(Adds!$C$239:$BU$239,Curves!$D$18:$BV$18)+SUMPRODUCT(Adds!$C$240:$BU$240,Curves!$D$41:$BV$41)+SUMPRODUCT(Adds!$C$241:$BU$241,Curves!$D$64:$BV$64)</f>
        <v/>
      </c>
      <c r="BV65" s="5">
        <f>SUMPRODUCT(Adds!$C$239:$BV$239,Curves!$C$18:$BV$18)+SUMPRODUCT(Adds!$C$240:$BV$240,Curves!$C$41:$BV$41)+SUMPRODUCT(Adds!$C$241:$BV$241,Curves!$C$64:$BV$64)</f>
        <v/>
      </c>
    </row>
    <row r="67">
      <c r="A67" t="inlineStr">
        <is>
          <t>active</t>
        </is>
      </c>
      <c r="B67" t="inlineStr">
        <is>
          <t>ROW|NITRO_M</t>
        </is>
      </c>
      <c r="C67" s="5">
        <f>Adds!$C$254*Curves!$BV$15+Adds!$C$255*Curves!$BV$38+Adds!$C$256*Curves!$BV$61</f>
        <v/>
      </c>
      <c r="D67" s="5">
        <f>SUMPRODUCT(Adds!$C$254:$D$254,Curves!$BU$15:$BV$15)+SUMPRODUCT(Adds!$C$255:$D$255,Curves!$BU$38:$BV$38)+SUMPRODUCT(Adds!$C$256:$D$256,Curves!$BU$61:$BV$61)</f>
        <v/>
      </c>
      <c r="E67" s="5">
        <f>SUMPRODUCT(Adds!$C$254:$E$254,Curves!$BT$15:$BV$15)+SUMPRODUCT(Adds!$C$255:$E$255,Curves!$BT$38:$BV$38)+SUMPRODUCT(Adds!$C$256:$E$256,Curves!$BT$61:$BV$61)</f>
        <v/>
      </c>
      <c r="F67" s="5">
        <f>SUMPRODUCT(Adds!$C$254:$F$254,Curves!$BS$15:$BV$15)+SUMPRODUCT(Adds!$C$255:$F$255,Curves!$BS$38:$BV$38)+SUMPRODUCT(Adds!$C$256:$F$256,Curves!$BS$61:$BV$61)</f>
        <v/>
      </c>
      <c r="G67" s="5">
        <f>SUMPRODUCT(Adds!$C$254:$G$254,Curves!$BR$15:$BV$15)+SUMPRODUCT(Adds!$C$255:$G$255,Curves!$BR$38:$BV$38)+SUMPRODUCT(Adds!$C$256:$G$256,Curves!$BR$61:$BV$61)</f>
        <v/>
      </c>
      <c r="H67" s="5">
        <f>SUMPRODUCT(Adds!$C$254:$H$254,Curves!$BQ$15:$BV$15)+SUMPRODUCT(Adds!$C$255:$H$255,Curves!$BQ$38:$BV$38)+SUMPRODUCT(Adds!$C$256:$H$256,Curves!$BQ$61:$BV$61)</f>
        <v/>
      </c>
      <c r="I67" s="5">
        <f>SUMPRODUCT(Adds!$C$254:$I$254,Curves!$BP$15:$BV$15)+SUMPRODUCT(Adds!$C$255:$I$255,Curves!$BP$38:$BV$38)+SUMPRODUCT(Adds!$C$256:$I$256,Curves!$BP$61:$BV$61)</f>
        <v/>
      </c>
      <c r="J67" s="5">
        <f>SUMPRODUCT(Adds!$C$254:$J$254,Curves!$BO$15:$BV$15)+SUMPRODUCT(Adds!$C$255:$J$255,Curves!$BO$38:$BV$38)+SUMPRODUCT(Adds!$C$256:$J$256,Curves!$BO$61:$BV$61)</f>
        <v/>
      </c>
      <c r="K67" s="5">
        <f>SUMPRODUCT(Adds!$C$254:$K$254,Curves!$BN$15:$BV$15)+SUMPRODUCT(Adds!$C$255:$K$255,Curves!$BN$38:$BV$38)+SUMPRODUCT(Adds!$C$256:$K$256,Curves!$BN$61:$BV$61)</f>
        <v/>
      </c>
      <c r="L67" s="5">
        <f>SUMPRODUCT(Adds!$C$254:$L$254,Curves!$BM$15:$BV$15)+SUMPRODUCT(Adds!$C$255:$L$255,Curves!$BM$38:$BV$38)+SUMPRODUCT(Adds!$C$256:$L$256,Curves!$BM$61:$BV$61)</f>
        <v/>
      </c>
      <c r="M67" s="5">
        <f>SUMPRODUCT(Adds!$C$254:$M$254,Curves!$BL$15:$BV$15)+SUMPRODUCT(Adds!$C$255:$M$255,Curves!$BL$38:$BV$38)+SUMPRODUCT(Adds!$C$256:$M$256,Curves!$BL$61:$BV$61)</f>
        <v/>
      </c>
      <c r="N67" s="5">
        <f>SUMPRODUCT(Adds!$C$254:$N$254,Curves!$BK$15:$BV$15)+SUMPRODUCT(Adds!$C$255:$N$255,Curves!$BK$38:$BV$38)+SUMPRODUCT(Adds!$C$256:$N$256,Curves!$BK$61:$BV$61)</f>
        <v/>
      </c>
      <c r="O67" s="5">
        <f>SUMPRODUCT(Adds!$C$254:$O$254,Curves!$BJ$15:$BV$15)+SUMPRODUCT(Adds!$C$255:$O$255,Curves!$BJ$38:$BV$38)+SUMPRODUCT(Adds!$C$256:$O$256,Curves!$BJ$61:$BV$61)</f>
        <v/>
      </c>
      <c r="P67" s="5">
        <f>SUMPRODUCT(Adds!$C$254:$P$254,Curves!$BI$15:$BV$15)+SUMPRODUCT(Adds!$C$255:$P$255,Curves!$BI$38:$BV$38)+SUMPRODUCT(Adds!$C$256:$P$256,Curves!$BI$61:$BV$61)</f>
        <v/>
      </c>
      <c r="Q67" s="5">
        <f>SUMPRODUCT(Adds!$C$254:$Q$254,Curves!$BH$15:$BV$15)+SUMPRODUCT(Adds!$C$255:$Q$255,Curves!$BH$38:$BV$38)+SUMPRODUCT(Adds!$C$256:$Q$256,Curves!$BH$61:$BV$61)</f>
        <v/>
      </c>
      <c r="R67" s="5">
        <f>SUMPRODUCT(Adds!$C$254:$R$254,Curves!$BG$15:$BV$15)+SUMPRODUCT(Adds!$C$255:$R$255,Curves!$BG$38:$BV$38)+SUMPRODUCT(Adds!$C$256:$R$256,Curves!$BG$61:$BV$61)</f>
        <v/>
      </c>
      <c r="S67" s="5">
        <f>SUMPRODUCT(Adds!$C$254:$S$254,Curves!$BF$15:$BV$15)+SUMPRODUCT(Adds!$C$255:$S$255,Curves!$BF$38:$BV$38)+SUMPRODUCT(Adds!$C$256:$S$256,Curves!$BF$61:$BV$61)</f>
        <v/>
      </c>
      <c r="T67" s="5">
        <f>SUMPRODUCT(Adds!$C$254:$T$254,Curves!$BE$15:$BV$15)+SUMPRODUCT(Adds!$C$255:$T$255,Curves!$BE$38:$BV$38)+SUMPRODUCT(Adds!$C$256:$T$256,Curves!$BE$61:$BV$61)</f>
        <v/>
      </c>
      <c r="U67" s="5">
        <f>SUMPRODUCT(Adds!$C$254:$U$254,Curves!$BD$15:$BV$15)+SUMPRODUCT(Adds!$C$255:$U$255,Curves!$BD$38:$BV$38)+SUMPRODUCT(Adds!$C$256:$U$256,Curves!$BD$61:$BV$61)</f>
        <v/>
      </c>
      <c r="V67" s="5">
        <f>SUMPRODUCT(Adds!$C$254:$V$254,Curves!$BC$15:$BV$15)+SUMPRODUCT(Adds!$C$255:$V$255,Curves!$BC$38:$BV$38)+SUMPRODUCT(Adds!$C$256:$V$256,Curves!$BC$61:$BV$61)</f>
        <v/>
      </c>
      <c r="W67" s="5">
        <f>SUMPRODUCT(Adds!$C$254:$W$254,Curves!$BB$15:$BV$15)+SUMPRODUCT(Adds!$C$255:$W$255,Curves!$BB$38:$BV$38)+SUMPRODUCT(Adds!$C$256:$W$256,Curves!$BB$61:$BV$61)</f>
        <v/>
      </c>
      <c r="X67" s="5">
        <f>SUMPRODUCT(Adds!$C$254:$X$254,Curves!$BA$15:$BV$15)+SUMPRODUCT(Adds!$C$255:$X$255,Curves!$BA$38:$BV$38)+SUMPRODUCT(Adds!$C$256:$X$256,Curves!$BA$61:$BV$61)</f>
        <v/>
      </c>
      <c r="Y67" s="5">
        <f>SUMPRODUCT(Adds!$C$254:$Y$254,Curves!$AZ$15:$BV$15)+SUMPRODUCT(Adds!$C$255:$Y$255,Curves!$AZ$38:$BV$38)+SUMPRODUCT(Adds!$C$256:$Y$256,Curves!$AZ$61:$BV$61)</f>
        <v/>
      </c>
      <c r="Z67" s="5">
        <f>SUMPRODUCT(Adds!$C$254:$Z$254,Curves!$AY$15:$BV$15)+SUMPRODUCT(Adds!$C$255:$Z$255,Curves!$AY$38:$BV$38)+SUMPRODUCT(Adds!$C$256:$Z$256,Curves!$AY$61:$BV$61)</f>
        <v/>
      </c>
      <c r="AA67" s="5">
        <f>SUMPRODUCT(Adds!$C$254:$AA$254,Curves!$AX$15:$BV$15)+SUMPRODUCT(Adds!$C$255:$AA$255,Curves!$AX$38:$BV$38)+SUMPRODUCT(Adds!$C$256:$AA$256,Curves!$AX$61:$BV$61)</f>
        <v/>
      </c>
      <c r="AB67" s="5">
        <f>SUMPRODUCT(Adds!$C$254:$AB$254,Curves!$AW$15:$BV$15)+SUMPRODUCT(Adds!$C$255:$AB$255,Curves!$AW$38:$BV$38)+SUMPRODUCT(Adds!$C$256:$AB$256,Curves!$AW$61:$BV$61)</f>
        <v/>
      </c>
      <c r="AC67" s="5">
        <f>SUMPRODUCT(Adds!$C$254:$AC$254,Curves!$AV$15:$BV$15)+SUMPRODUCT(Adds!$C$255:$AC$255,Curves!$AV$38:$BV$38)+SUMPRODUCT(Adds!$C$256:$AC$256,Curves!$AV$61:$BV$61)</f>
        <v/>
      </c>
      <c r="AD67" s="5">
        <f>SUMPRODUCT(Adds!$C$254:$AD$254,Curves!$AU$15:$BV$15)+SUMPRODUCT(Adds!$C$255:$AD$255,Curves!$AU$38:$BV$38)+SUMPRODUCT(Adds!$C$256:$AD$256,Curves!$AU$61:$BV$61)</f>
        <v/>
      </c>
      <c r="AE67" s="5">
        <f>SUMPRODUCT(Adds!$C$254:$AE$254,Curves!$AT$15:$BV$15)+SUMPRODUCT(Adds!$C$255:$AE$255,Curves!$AT$38:$BV$38)+SUMPRODUCT(Adds!$C$256:$AE$256,Curves!$AT$61:$BV$61)</f>
        <v/>
      </c>
      <c r="AF67" s="5">
        <f>SUMPRODUCT(Adds!$C$254:$AF$254,Curves!$AS$15:$BV$15)+SUMPRODUCT(Adds!$C$255:$AF$255,Curves!$AS$38:$BV$38)+SUMPRODUCT(Adds!$C$256:$AF$256,Curves!$AS$61:$BV$61)</f>
        <v/>
      </c>
      <c r="AG67" s="5">
        <f>SUMPRODUCT(Adds!$C$254:$AG$254,Curves!$AR$15:$BV$15)+SUMPRODUCT(Adds!$C$255:$AG$255,Curves!$AR$38:$BV$38)+SUMPRODUCT(Adds!$C$256:$AG$256,Curves!$AR$61:$BV$61)</f>
        <v/>
      </c>
      <c r="AH67" s="5">
        <f>SUMPRODUCT(Adds!$C$254:$AH$254,Curves!$AQ$15:$BV$15)+SUMPRODUCT(Adds!$C$255:$AH$255,Curves!$AQ$38:$BV$38)+SUMPRODUCT(Adds!$C$256:$AH$256,Curves!$AQ$61:$BV$61)</f>
        <v/>
      </c>
      <c r="AI67" s="5">
        <f>SUMPRODUCT(Adds!$C$254:$AI$254,Curves!$AP$15:$BV$15)+SUMPRODUCT(Adds!$C$255:$AI$255,Curves!$AP$38:$BV$38)+SUMPRODUCT(Adds!$C$256:$AI$256,Curves!$AP$61:$BV$61)</f>
        <v/>
      </c>
      <c r="AJ67" s="5">
        <f>SUMPRODUCT(Adds!$C$254:$AJ$254,Curves!$AO$15:$BV$15)+SUMPRODUCT(Adds!$C$255:$AJ$255,Curves!$AO$38:$BV$38)+SUMPRODUCT(Adds!$C$256:$AJ$256,Curves!$AO$61:$BV$61)</f>
        <v/>
      </c>
      <c r="AK67" s="5">
        <f>SUMPRODUCT(Adds!$C$254:$AK$254,Curves!$AN$15:$BV$15)+SUMPRODUCT(Adds!$C$255:$AK$255,Curves!$AN$38:$BV$38)+SUMPRODUCT(Adds!$C$256:$AK$256,Curves!$AN$61:$BV$61)</f>
        <v/>
      </c>
      <c r="AL67" s="5">
        <f>SUMPRODUCT(Adds!$C$254:$AL$254,Curves!$AM$15:$BV$15)+SUMPRODUCT(Adds!$C$255:$AL$255,Curves!$AM$38:$BV$38)+SUMPRODUCT(Adds!$C$256:$AL$256,Curves!$AM$61:$BV$61)</f>
        <v/>
      </c>
      <c r="AM67" s="5">
        <f>SUMPRODUCT(Adds!$C$254:$AM$254,Curves!$AL$15:$BV$15)+SUMPRODUCT(Adds!$C$255:$AM$255,Curves!$AL$38:$BV$38)+SUMPRODUCT(Adds!$C$256:$AM$256,Curves!$AL$61:$BV$61)</f>
        <v/>
      </c>
      <c r="AN67" s="5">
        <f>SUMPRODUCT(Adds!$C$254:$AN$254,Curves!$AK$15:$BV$15)+SUMPRODUCT(Adds!$C$255:$AN$255,Curves!$AK$38:$BV$38)+SUMPRODUCT(Adds!$C$256:$AN$256,Curves!$AK$61:$BV$61)</f>
        <v/>
      </c>
      <c r="AO67" s="5">
        <f>SUMPRODUCT(Adds!$C$254:$AO$254,Curves!$AJ$15:$BV$15)+SUMPRODUCT(Adds!$C$255:$AO$255,Curves!$AJ$38:$BV$38)+SUMPRODUCT(Adds!$C$256:$AO$256,Curves!$AJ$61:$BV$61)</f>
        <v/>
      </c>
      <c r="AP67" s="5">
        <f>SUMPRODUCT(Adds!$C$254:$AP$254,Curves!$AI$15:$BV$15)+SUMPRODUCT(Adds!$C$255:$AP$255,Curves!$AI$38:$BV$38)+SUMPRODUCT(Adds!$C$256:$AP$256,Curves!$AI$61:$BV$61)</f>
        <v/>
      </c>
      <c r="AQ67" s="5">
        <f>SUMPRODUCT(Adds!$C$254:$AQ$254,Curves!$AH$15:$BV$15)+SUMPRODUCT(Adds!$C$255:$AQ$255,Curves!$AH$38:$BV$38)+SUMPRODUCT(Adds!$C$256:$AQ$256,Curves!$AH$61:$BV$61)</f>
        <v/>
      </c>
      <c r="AR67" s="5">
        <f>SUMPRODUCT(Adds!$C$254:$AR$254,Curves!$AG$15:$BV$15)+SUMPRODUCT(Adds!$C$255:$AR$255,Curves!$AG$38:$BV$38)+SUMPRODUCT(Adds!$C$256:$AR$256,Curves!$AG$61:$BV$61)</f>
        <v/>
      </c>
      <c r="AS67" s="5">
        <f>SUMPRODUCT(Adds!$C$254:$AS$254,Curves!$AF$15:$BV$15)+SUMPRODUCT(Adds!$C$255:$AS$255,Curves!$AF$38:$BV$38)+SUMPRODUCT(Adds!$C$256:$AS$256,Curves!$AF$61:$BV$61)</f>
        <v/>
      </c>
      <c r="AT67" s="5">
        <f>SUMPRODUCT(Adds!$C$254:$AT$254,Curves!$AE$15:$BV$15)+SUMPRODUCT(Adds!$C$255:$AT$255,Curves!$AE$38:$BV$38)+SUMPRODUCT(Adds!$C$256:$AT$256,Curves!$AE$61:$BV$61)</f>
        <v/>
      </c>
      <c r="AU67" s="5">
        <f>SUMPRODUCT(Adds!$C$254:$AU$254,Curves!$AD$15:$BV$15)+SUMPRODUCT(Adds!$C$255:$AU$255,Curves!$AD$38:$BV$38)+SUMPRODUCT(Adds!$C$256:$AU$256,Curves!$AD$61:$BV$61)</f>
        <v/>
      </c>
      <c r="AV67" s="5">
        <f>SUMPRODUCT(Adds!$C$254:$AV$254,Curves!$AC$15:$BV$15)+SUMPRODUCT(Adds!$C$255:$AV$255,Curves!$AC$38:$BV$38)+SUMPRODUCT(Adds!$C$256:$AV$256,Curves!$AC$61:$BV$61)</f>
        <v/>
      </c>
      <c r="AW67" s="5">
        <f>SUMPRODUCT(Adds!$C$254:$AW$254,Curves!$AB$15:$BV$15)+SUMPRODUCT(Adds!$C$255:$AW$255,Curves!$AB$38:$BV$38)+SUMPRODUCT(Adds!$C$256:$AW$256,Curves!$AB$61:$BV$61)</f>
        <v/>
      </c>
      <c r="AX67" s="5">
        <f>SUMPRODUCT(Adds!$C$254:$AX$254,Curves!$AA$15:$BV$15)+SUMPRODUCT(Adds!$C$255:$AX$255,Curves!$AA$38:$BV$38)+SUMPRODUCT(Adds!$C$256:$AX$256,Curves!$AA$61:$BV$61)</f>
        <v/>
      </c>
      <c r="AY67" s="5">
        <f>SUMPRODUCT(Adds!$C$254:$AY$254,Curves!$Z$15:$BV$15)+SUMPRODUCT(Adds!$C$255:$AY$255,Curves!$Z$38:$BV$38)+SUMPRODUCT(Adds!$C$256:$AY$256,Curves!$Z$61:$BV$61)</f>
        <v/>
      </c>
      <c r="AZ67" s="5">
        <f>SUMPRODUCT(Adds!$C$254:$AZ$254,Curves!$Y$15:$BV$15)+SUMPRODUCT(Adds!$C$255:$AZ$255,Curves!$Y$38:$BV$38)+SUMPRODUCT(Adds!$C$256:$AZ$256,Curves!$Y$61:$BV$61)</f>
        <v/>
      </c>
      <c r="BA67" s="5">
        <f>SUMPRODUCT(Adds!$C$254:$BA$254,Curves!$X$15:$BV$15)+SUMPRODUCT(Adds!$C$255:$BA$255,Curves!$X$38:$BV$38)+SUMPRODUCT(Adds!$C$256:$BA$256,Curves!$X$61:$BV$61)</f>
        <v/>
      </c>
      <c r="BB67" s="5">
        <f>SUMPRODUCT(Adds!$C$254:$BB$254,Curves!$W$15:$BV$15)+SUMPRODUCT(Adds!$C$255:$BB$255,Curves!$W$38:$BV$38)+SUMPRODUCT(Adds!$C$256:$BB$256,Curves!$W$61:$BV$61)</f>
        <v/>
      </c>
      <c r="BC67" s="5">
        <f>SUMPRODUCT(Adds!$C$254:$BC$254,Curves!$V$15:$BV$15)+SUMPRODUCT(Adds!$C$255:$BC$255,Curves!$V$38:$BV$38)+SUMPRODUCT(Adds!$C$256:$BC$256,Curves!$V$61:$BV$61)</f>
        <v/>
      </c>
      <c r="BD67" s="5">
        <f>SUMPRODUCT(Adds!$C$254:$BD$254,Curves!$U$15:$BV$15)+SUMPRODUCT(Adds!$C$255:$BD$255,Curves!$U$38:$BV$38)+SUMPRODUCT(Adds!$C$256:$BD$256,Curves!$U$61:$BV$61)</f>
        <v/>
      </c>
      <c r="BE67" s="5">
        <f>SUMPRODUCT(Adds!$C$254:$BE$254,Curves!$T$15:$BV$15)+SUMPRODUCT(Adds!$C$255:$BE$255,Curves!$T$38:$BV$38)+SUMPRODUCT(Adds!$C$256:$BE$256,Curves!$T$61:$BV$61)</f>
        <v/>
      </c>
      <c r="BF67" s="5">
        <f>SUMPRODUCT(Adds!$C$254:$BF$254,Curves!$S$15:$BV$15)+SUMPRODUCT(Adds!$C$255:$BF$255,Curves!$S$38:$BV$38)+SUMPRODUCT(Adds!$C$256:$BF$256,Curves!$S$61:$BV$61)</f>
        <v/>
      </c>
      <c r="BG67" s="5">
        <f>SUMPRODUCT(Adds!$C$254:$BG$254,Curves!$R$15:$BV$15)+SUMPRODUCT(Adds!$C$255:$BG$255,Curves!$R$38:$BV$38)+SUMPRODUCT(Adds!$C$256:$BG$256,Curves!$R$61:$BV$61)</f>
        <v/>
      </c>
      <c r="BH67" s="5">
        <f>SUMPRODUCT(Adds!$C$254:$BH$254,Curves!$Q$15:$BV$15)+SUMPRODUCT(Adds!$C$255:$BH$255,Curves!$Q$38:$BV$38)+SUMPRODUCT(Adds!$C$256:$BH$256,Curves!$Q$61:$BV$61)</f>
        <v/>
      </c>
      <c r="BI67" s="5">
        <f>SUMPRODUCT(Adds!$C$254:$BI$254,Curves!$P$15:$BV$15)+SUMPRODUCT(Adds!$C$255:$BI$255,Curves!$P$38:$BV$38)+SUMPRODUCT(Adds!$C$256:$BI$256,Curves!$P$61:$BV$61)</f>
        <v/>
      </c>
      <c r="BJ67" s="5">
        <f>SUMPRODUCT(Adds!$C$254:$BJ$254,Curves!$O$15:$BV$15)+SUMPRODUCT(Adds!$C$255:$BJ$255,Curves!$O$38:$BV$38)+SUMPRODUCT(Adds!$C$256:$BJ$256,Curves!$O$61:$BV$61)</f>
        <v/>
      </c>
      <c r="BK67" s="5">
        <f>SUMPRODUCT(Adds!$C$254:$BK$254,Curves!$N$15:$BV$15)+SUMPRODUCT(Adds!$C$255:$BK$255,Curves!$N$38:$BV$38)+SUMPRODUCT(Adds!$C$256:$BK$256,Curves!$N$61:$BV$61)</f>
        <v/>
      </c>
      <c r="BL67" s="5">
        <f>SUMPRODUCT(Adds!$C$254:$BL$254,Curves!$M$15:$BV$15)+SUMPRODUCT(Adds!$C$255:$BL$255,Curves!$M$38:$BV$38)+SUMPRODUCT(Adds!$C$256:$BL$256,Curves!$M$61:$BV$61)</f>
        <v/>
      </c>
      <c r="BM67" s="5">
        <f>SUMPRODUCT(Adds!$C$254:$BM$254,Curves!$L$15:$BV$15)+SUMPRODUCT(Adds!$C$255:$BM$255,Curves!$L$38:$BV$38)+SUMPRODUCT(Adds!$C$256:$BM$256,Curves!$L$61:$BV$61)</f>
        <v/>
      </c>
      <c r="BN67" s="5">
        <f>SUMPRODUCT(Adds!$C$254:$BN$254,Curves!$K$15:$BV$15)+SUMPRODUCT(Adds!$C$255:$BN$255,Curves!$K$38:$BV$38)+SUMPRODUCT(Adds!$C$256:$BN$256,Curves!$K$61:$BV$61)</f>
        <v/>
      </c>
      <c r="BO67" s="5">
        <f>SUMPRODUCT(Adds!$C$254:$BO$254,Curves!$J$15:$BV$15)+SUMPRODUCT(Adds!$C$255:$BO$255,Curves!$J$38:$BV$38)+SUMPRODUCT(Adds!$C$256:$BO$256,Curves!$J$61:$BV$61)</f>
        <v/>
      </c>
      <c r="BP67" s="5">
        <f>SUMPRODUCT(Adds!$C$254:$BP$254,Curves!$I$15:$BV$15)+SUMPRODUCT(Adds!$C$255:$BP$255,Curves!$I$38:$BV$38)+SUMPRODUCT(Adds!$C$256:$BP$256,Curves!$I$61:$BV$61)</f>
        <v/>
      </c>
      <c r="BQ67" s="5">
        <f>SUMPRODUCT(Adds!$C$254:$BQ$254,Curves!$H$15:$BV$15)+SUMPRODUCT(Adds!$C$255:$BQ$255,Curves!$H$38:$BV$38)+SUMPRODUCT(Adds!$C$256:$BQ$256,Curves!$H$61:$BV$61)</f>
        <v/>
      </c>
      <c r="BR67" s="5">
        <f>SUMPRODUCT(Adds!$C$254:$BR$254,Curves!$G$15:$BV$15)+SUMPRODUCT(Adds!$C$255:$BR$255,Curves!$G$38:$BV$38)+SUMPRODUCT(Adds!$C$256:$BR$256,Curves!$G$61:$BV$61)</f>
        <v/>
      </c>
      <c r="BS67" s="5">
        <f>SUMPRODUCT(Adds!$C$254:$BS$254,Curves!$F$15:$BV$15)+SUMPRODUCT(Adds!$C$255:$BS$255,Curves!$F$38:$BV$38)+SUMPRODUCT(Adds!$C$256:$BS$256,Curves!$F$61:$BV$61)</f>
        <v/>
      </c>
      <c r="BT67" s="5">
        <f>SUMPRODUCT(Adds!$C$254:$BT$254,Curves!$E$15:$BV$15)+SUMPRODUCT(Adds!$C$255:$BT$255,Curves!$E$38:$BV$38)+SUMPRODUCT(Adds!$C$256:$BT$256,Curves!$E$61:$BV$61)</f>
        <v/>
      </c>
      <c r="BU67" s="5">
        <f>SUMPRODUCT(Adds!$C$254:$BU$254,Curves!$D$15:$BV$15)+SUMPRODUCT(Adds!$C$255:$BU$255,Curves!$D$38:$BV$38)+SUMPRODUCT(Adds!$C$256:$BU$256,Curves!$D$61:$BV$61)</f>
        <v/>
      </c>
      <c r="BV67" s="5">
        <f>SUMPRODUCT(Adds!$C$254:$BV$254,Curves!$C$15:$BV$15)+SUMPRODUCT(Adds!$C$255:$BV$255,Curves!$C$38:$BV$38)+SUMPRODUCT(Adds!$C$256:$BV$256,Curves!$C$61:$BV$61)</f>
        <v/>
      </c>
    </row>
    <row r="68">
      <c r="A68" t="inlineStr">
        <is>
          <t>active yr 1</t>
        </is>
      </c>
      <c r="B68" t="inlineStr">
        <is>
          <t>ROW|NITRO_M</t>
        </is>
      </c>
      <c r="C68" s="5">
        <f>Adds!$C$254*Curves!$BV$22+Adds!$C$255*Curves!$BV$45+Adds!$C$256*Curves!$BV$68</f>
        <v/>
      </c>
      <c r="D68" s="5">
        <f>SUMPRODUCT(Adds!$C$254:$D$254,Curves!$BU$22:$BV$22)+SUMPRODUCT(Adds!$C$255:$D$255,Curves!$BU$45:$BV$45)+SUMPRODUCT(Adds!$C$256:$D$256,Curves!$BU$68:$BV$68)</f>
        <v/>
      </c>
      <c r="E68" s="5">
        <f>SUMPRODUCT(Adds!$C$254:$E$254,Curves!$BT$22:$BV$22)+SUMPRODUCT(Adds!$C$255:$E$255,Curves!$BT$45:$BV$45)+SUMPRODUCT(Adds!$C$256:$E$256,Curves!$BT$68:$BV$68)</f>
        <v/>
      </c>
      <c r="F68" s="5">
        <f>SUMPRODUCT(Adds!$C$254:$F$254,Curves!$BS$22:$BV$22)+SUMPRODUCT(Adds!$C$255:$F$255,Curves!$BS$45:$BV$45)+SUMPRODUCT(Adds!$C$256:$F$256,Curves!$BS$68:$BV$68)</f>
        <v/>
      </c>
      <c r="G68" s="5">
        <f>SUMPRODUCT(Adds!$C$254:$G$254,Curves!$BR$22:$BV$22)+SUMPRODUCT(Adds!$C$255:$G$255,Curves!$BR$45:$BV$45)+SUMPRODUCT(Adds!$C$256:$G$256,Curves!$BR$68:$BV$68)</f>
        <v/>
      </c>
      <c r="H68" s="5">
        <f>SUMPRODUCT(Adds!$C$254:$H$254,Curves!$BQ$22:$BV$22)+SUMPRODUCT(Adds!$C$255:$H$255,Curves!$BQ$45:$BV$45)+SUMPRODUCT(Adds!$C$256:$H$256,Curves!$BQ$68:$BV$68)</f>
        <v/>
      </c>
      <c r="I68" s="5">
        <f>SUMPRODUCT(Adds!$C$254:$I$254,Curves!$BP$22:$BV$22)+SUMPRODUCT(Adds!$C$255:$I$255,Curves!$BP$45:$BV$45)+SUMPRODUCT(Adds!$C$256:$I$256,Curves!$BP$68:$BV$68)</f>
        <v/>
      </c>
      <c r="J68" s="5">
        <f>SUMPRODUCT(Adds!$C$254:$J$254,Curves!$BO$22:$BV$22)+SUMPRODUCT(Adds!$C$255:$J$255,Curves!$BO$45:$BV$45)+SUMPRODUCT(Adds!$C$256:$J$256,Curves!$BO$68:$BV$68)</f>
        <v/>
      </c>
      <c r="K68" s="5">
        <f>SUMPRODUCT(Adds!$C$254:$K$254,Curves!$BN$22:$BV$22)+SUMPRODUCT(Adds!$C$255:$K$255,Curves!$BN$45:$BV$45)+SUMPRODUCT(Adds!$C$256:$K$256,Curves!$BN$68:$BV$68)</f>
        <v/>
      </c>
      <c r="L68" s="5">
        <f>SUMPRODUCT(Adds!$C$254:$L$254,Curves!$BM$22:$BV$22)+SUMPRODUCT(Adds!$C$255:$L$255,Curves!$BM$45:$BV$45)+SUMPRODUCT(Adds!$C$256:$L$256,Curves!$BM$68:$BV$68)</f>
        <v/>
      </c>
      <c r="M68" s="5">
        <f>SUMPRODUCT(Adds!$C$254:$M$254,Curves!$BL$22:$BV$22)+SUMPRODUCT(Adds!$C$255:$M$255,Curves!$BL$45:$BV$45)+SUMPRODUCT(Adds!$C$256:$M$256,Curves!$BL$68:$BV$68)</f>
        <v/>
      </c>
      <c r="N68" s="5">
        <f>SUMPRODUCT(Adds!$C$254:$N$254,Curves!$BK$22:$BV$22)+SUMPRODUCT(Adds!$C$255:$N$255,Curves!$BK$45:$BV$45)+SUMPRODUCT(Adds!$C$256:$N$256,Curves!$BK$68:$BV$68)</f>
        <v/>
      </c>
      <c r="O68" s="5">
        <f>SUMPRODUCT(Adds!$C$254:$O$254,Curves!$BJ$22:$BV$22)+SUMPRODUCT(Adds!$C$255:$O$255,Curves!$BJ$45:$BV$45)+SUMPRODUCT(Adds!$C$256:$O$256,Curves!$BJ$68:$BV$68)</f>
        <v/>
      </c>
      <c r="P68" s="5">
        <f>SUMPRODUCT(Adds!$C$254:$P$254,Curves!$BI$22:$BV$22)+SUMPRODUCT(Adds!$C$255:$P$255,Curves!$BI$45:$BV$45)+SUMPRODUCT(Adds!$C$256:$P$256,Curves!$BI$68:$BV$68)</f>
        <v/>
      </c>
      <c r="Q68" s="5">
        <f>SUMPRODUCT(Adds!$C$254:$Q$254,Curves!$BH$22:$BV$22)+SUMPRODUCT(Adds!$C$255:$Q$255,Curves!$BH$45:$BV$45)+SUMPRODUCT(Adds!$C$256:$Q$256,Curves!$BH$68:$BV$68)</f>
        <v/>
      </c>
      <c r="R68" s="5">
        <f>SUMPRODUCT(Adds!$C$254:$R$254,Curves!$BG$22:$BV$22)+SUMPRODUCT(Adds!$C$255:$R$255,Curves!$BG$45:$BV$45)+SUMPRODUCT(Adds!$C$256:$R$256,Curves!$BG$68:$BV$68)</f>
        <v/>
      </c>
      <c r="S68" s="5">
        <f>SUMPRODUCT(Adds!$C$254:$S$254,Curves!$BF$22:$BV$22)+SUMPRODUCT(Adds!$C$255:$S$255,Curves!$BF$45:$BV$45)+SUMPRODUCT(Adds!$C$256:$S$256,Curves!$BF$68:$BV$68)</f>
        <v/>
      </c>
      <c r="T68" s="5">
        <f>SUMPRODUCT(Adds!$C$254:$T$254,Curves!$BE$22:$BV$22)+SUMPRODUCT(Adds!$C$255:$T$255,Curves!$BE$45:$BV$45)+SUMPRODUCT(Adds!$C$256:$T$256,Curves!$BE$68:$BV$68)</f>
        <v/>
      </c>
      <c r="U68" s="5">
        <f>SUMPRODUCT(Adds!$C$254:$U$254,Curves!$BD$22:$BV$22)+SUMPRODUCT(Adds!$C$255:$U$255,Curves!$BD$45:$BV$45)+SUMPRODUCT(Adds!$C$256:$U$256,Curves!$BD$68:$BV$68)</f>
        <v/>
      </c>
      <c r="V68" s="5">
        <f>SUMPRODUCT(Adds!$C$254:$V$254,Curves!$BC$22:$BV$22)+SUMPRODUCT(Adds!$C$255:$V$255,Curves!$BC$45:$BV$45)+SUMPRODUCT(Adds!$C$256:$V$256,Curves!$BC$68:$BV$68)</f>
        <v/>
      </c>
      <c r="W68" s="5">
        <f>SUMPRODUCT(Adds!$C$254:$W$254,Curves!$BB$22:$BV$22)+SUMPRODUCT(Adds!$C$255:$W$255,Curves!$BB$45:$BV$45)+SUMPRODUCT(Adds!$C$256:$W$256,Curves!$BB$68:$BV$68)</f>
        <v/>
      </c>
      <c r="X68" s="5">
        <f>SUMPRODUCT(Adds!$C$254:$X$254,Curves!$BA$22:$BV$22)+SUMPRODUCT(Adds!$C$255:$X$255,Curves!$BA$45:$BV$45)+SUMPRODUCT(Adds!$C$256:$X$256,Curves!$BA$68:$BV$68)</f>
        <v/>
      </c>
      <c r="Y68" s="5">
        <f>SUMPRODUCT(Adds!$C$254:$Y$254,Curves!$AZ$22:$BV$22)+SUMPRODUCT(Adds!$C$255:$Y$255,Curves!$AZ$45:$BV$45)+SUMPRODUCT(Adds!$C$256:$Y$256,Curves!$AZ$68:$BV$68)</f>
        <v/>
      </c>
      <c r="Z68" s="5">
        <f>SUMPRODUCT(Adds!$C$254:$Z$254,Curves!$AY$22:$BV$22)+SUMPRODUCT(Adds!$C$255:$Z$255,Curves!$AY$45:$BV$45)+SUMPRODUCT(Adds!$C$256:$Z$256,Curves!$AY$68:$BV$68)</f>
        <v/>
      </c>
      <c r="AA68" s="5">
        <f>SUMPRODUCT(Adds!$C$254:$AA$254,Curves!$AX$22:$BV$22)+SUMPRODUCT(Adds!$C$255:$AA$255,Curves!$AX$45:$BV$45)+SUMPRODUCT(Adds!$C$256:$AA$256,Curves!$AX$68:$BV$68)</f>
        <v/>
      </c>
      <c r="AB68" s="5">
        <f>SUMPRODUCT(Adds!$C$254:$AB$254,Curves!$AW$22:$BV$22)+SUMPRODUCT(Adds!$C$255:$AB$255,Curves!$AW$45:$BV$45)+SUMPRODUCT(Adds!$C$256:$AB$256,Curves!$AW$68:$BV$68)</f>
        <v/>
      </c>
      <c r="AC68" s="5">
        <f>SUMPRODUCT(Adds!$C$254:$AC$254,Curves!$AV$22:$BV$22)+SUMPRODUCT(Adds!$C$255:$AC$255,Curves!$AV$45:$BV$45)+SUMPRODUCT(Adds!$C$256:$AC$256,Curves!$AV$68:$BV$68)</f>
        <v/>
      </c>
      <c r="AD68" s="5">
        <f>SUMPRODUCT(Adds!$C$254:$AD$254,Curves!$AU$22:$BV$22)+SUMPRODUCT(Adds!$C$255:$AD$255,Curves!$AU$45:$BV$45)+SUMPRODUCT(Adds!$C$256:$AD$256,Curves!$AU$68:$BV$68)</f>
        <v/>
      </c>
      <c r="AE68" s="5">
        <f>SUMPRODUCT(Adds!$C$254:$AE$254,Curves!$AT$22:$BV$22)+SUMPRODUCT(Adds!$C$255:$AE$255,Curves!$AT$45:$BV$45)+SUMPRODUCT(Adds!$C$256:$AE$256,Curves!$AT$68:$BV$68)</f>
        <v/>
      </c>
      <c r="AF68" s="5">
        <f>SUMPRODUCT(Adds!$C$254:$AF$254,Curves!$AS$22:$BV$22)+SUMPRODUCT(Adds!$C$255:$AF$255,Curves!$AS$45:$BV$45)+SUMPRODUCT(Adds!$C$256:$AF$256,Curves!$AS$68:$BV$68)</f>
        <v/>
      </c>
      <c r="AG68" s="5">
        <f>SUMPRODUCT(Adds!$C$254:$AG$254,Curves!$AR$22:$BV$22)+SUMPRODUCT(Adds!$C$255:$AG$255,Curves!$AR$45:$BV$45)+SUMPRODUCT(Adds!$C$256:$AG$256,Curves!$AR$68:$BV$68)</f>
        <v/>
      </c>
      <c r="AH68" s="5">
        <f>SUMPRODUCT(Adds!$C$254:$AH$254,Curves!$AQ$22:$BV$22)+SUMPRODUCT(Adds!$C$255:$AH$255,Curves!$AQ$45:$BV$45)+SUMPRODUCT(Adds!$C$256:$AH$256,Curves!$AQ$68:$BV$68)</f>
        <v/>
      </c>
      <c r="AI68" s="5">
        <f>SUMPRODUCT(Adds!$C$254:$AI$254,Curves!$AP$22:$BV$22)+SUMPRODUCT(Adds!$C$255:$AI$255,Curves!$AP$45:$BV$45)+SUMPRODUCT(Adds!$C$256:$AI$256,Curves!$AP$68:$BV$68)</f>
        <v/>
      </c>
      <c r="AJ68" s="5">
        <f>SUMPRODUCT(Adds!$C$254:$AJ$254,Curves!$AO$22:$BV$22)+SUMPRODUCT(Adds!$C$255:$AJ$255,Curves!$AO$45:$BV$45)+SUMPRODUCT(Adds!$C$256:$AJ$256,Curves!$AO$68:$BV$68)</f>
        <v/>
      </c>
      <c r="AK68" s="5">
        <f>SUMPRODUCT(Adds!$C$254:$AK$254,Curves!$AN$22:$BV$22)+SUMPRODUCT(Adds!$C$255:$AK$255,Curves!$AN$45:$BV$45)+SUMPRODUCT(Adds!$C$256:$AK$256,Curves!$AN$68:$BV$68)</f>
        <v/>
      </c>
      <c r="AL68" s="5">
        <f>SUMPRODUCT(Adds!$C$254:$AL$254,Curves!$AM$22:$BV$22)+SUMPRODUCT(Adds!$C$255:$AL$255,Curves!$AM$45:$BV$45)+SUMPRODUCT(Adds!$C$256:$AL$256,Curves!$AM$68:$BV$68)</f>
        <v/>
      </c>
      <c r="AM68" s="5">
        <f>SUMPRODUCT(Adds!$C$254:$AM$254,Curves!$AL$22:$BV$22)+SUMPRODUCT(Adds!$C$255:$AM$255,Curves!$AL$45:$BV$45)+SUMPRODUCT(Adds!$C$256:$AM$256,Curves!$AL$68:$BV$68)</f>
        <v/>
      </c>
      <c r="AN68" s="5">
        <f>SUMPRODUCT(Adds!$C$254:$AN$254,Curves!$AK$22:$BV$22)+SUMPRODUCT(Adds!$C$255:$AN$255,Curves!$AK$45:$BV$45)+SUMPRODUCT(Adds!$C$256:$AN$256,Curves!$AK$68:$BV$68)</f>
        <v/>
      </c>
      <c r="AO68" s="5">
        <f>SUMPRODUCT(Adds!$C$254:$AO$254,Curves!$AJ$22:$BV$22)+SUMPRODUCT(Adds!$C$255:$AO$255,Curves!$AJ$45:$BV$45)+SUMPRODUCT(Adds!$C$256:$AO$256,Curves!$AJ$68:$BV$68)</f>
        <v/>
      </c>
      <c r="AP68" s="5">
        <f>SUMPRODUCT(Adds!$C$254:$AP$254,Curves!$AI$22:$BV$22)+SUMPRODUCT(Adds!$C$255:$AP$255,Curves!$AI$45:$BV$45)+SUMPRODUCT(Adds!$C$256:$AP$256,Curves!$AI$68:$BV$68)</f>
        <v/>
      </c>
      <c r="AQ68" s="5">
        <f>SUMPRODUCT(Adds!$C$254:$AQ$254,Curves!$AH$22:$BV$22)+SUMPRODUCT(Adds!$C$255:$AQ$255,Curves!$AH$45:$BV$45)+SUMPRODUCT(Adds!$C$256:$AQ$256,Curves!$AH$68:$BV$68)</f>
        <v/>
      </c>
      <c r="AR68" s="5">
        <f>SUMPRODUCT(Adds!$C$254:$AR$254,Curves!$AG$22:$BV$22)+SUMPRODUCT(Adds!$C$255:$AR$255,Curves!$AG$45:$BV$45)+SUMPRODUCT(Adds!$C$256:$AR$256,Curves!$AG$68:$BV$68)</f>
        <v/>
      </c>
      <c r="AS68" s="5">
        <f>SUMPRODUCT(Adds!$C$254:$AS$254,Curves!$AF$22:$BV$22)+SUMPRODUCT(Adds!$C$255:$AS$255,Curves!$AF$45:$BV$45)+SUMPRODUCT(Adds!$C$256:$AS$256,Curves!$AF$68:$BV$68)</f>
        <v/>
      </c>
      <c r="AT68" s="5">
        <f>SUMPRODUCT(Adds!$C$254:$AT$254,Curves!$AE$22:$BV$22)+SUMPRODUCT(Adds!$C$255:$AT$255,Curves!$AE$45:$BV$45)+SUMPRODUCT(Adds!$C$256:$AT$256,Curves!$AE$68:$BV$68)</f>
        <v/>
      </c>
      <c r="AU68" s="5">
        <f>SUMPRODUCT(Adds!$C$254:$AU$254,Curves!$AD$22:$BV$22)+SUMPRODUCT(Adds!$C$255:$AU$255,Curves!$AD$45:$BV$45)+SUMPRODUCT(Adds!$C$256:$AU$256,Curves!$AD$68:$BV$68)</f>
        <v/>
      </c>
      <c r="AV68" s="5">
        <f>SUMPRODUCT(Adds!$C$254:$AV$254,Curves!$AC$22:$BV$22)+SUMPRODUCT(Adds!$C$255:$AV$255,Curves!$AC$45:$BV$45)+SUMPRODUCT(Adds!$C$256:$AV$256,Curves!$AC$68:$BV$68)</f>
        <v/>
      </c>
      <c r="AW68" s="5">
        <f>SUMPRODUCT(Adds!$C$254:$AW$254,Curves!$AB$22:$BV$22)+SUMPRODUCT(Adds!$C$255:$AW$255,Curves!$AB$45:$BV$45)+SUMPRODUCT(Adds!$C$256:$AW$256,Curves!$AB$68:$BV$68)</f>
        <v/>
      </c>
      <c r="AX68" s="5">
        <f>SUMPRODUCT(Adds!$C$254:$AX$254,Curves!$AA$22:$BV$22)+SUMPRODUCT(Adds!$C$255:$AX$255,Curves!$AA$45:$BV$45)+SUMPRODUCT(Adds!$C$256:$AX$256,Curves!$AA$68:$BV$68)</f>
        <v/>
      </c>
      <c r="AY68" s="5">
        <f>SUMPRODUCT(Adds!$C$254:$AY$254,Curves!$Z$22:$BV$22)+SUMPRODUCT(Adds!$C$255:$AY$255,Curves!$Z$45:$BV$45)+SUMPRODUCT(Adds!$C$256:$AY$256,Curves!$Z$68:$BV$68)</f>
        <v/>
      </c>
      <c r="AZ68" s="5">
        <f>SUMPRODUCT(Adds!$C$254:$AZ$254,Curves!$Y$22:$BV$22)+SUMPRODUCT(Adds!$C$255:$AZ$255,Curves!$Y$45:$BV$45)+SUMPRODUCT(Adds!$C$256:$AZ$256,Curves!$Y$68:$BV$68)</f>
        <v/>
      </c>
      <c r="BA68" s="5">
        <f>SUMPRODUCT(Adds!$C$254:$BA$254,Curves!$X$22:$BV$22)+SUMPRODUCT(Adds!$C$255:$BA$255,Curves!$X$45:$BV$45)+SUMPRODUCT(Adds!$C$256:$BA$256,Curves!$X$68:$BV$68)</f>
        <v/>
      </c>
      <c r="BB68" s="5">
        <f>SUMPRODUCT(Adds!$C$254:$BB$254,Curves!$W$22:$BV$22)+SUMPRODUCT(Adds!$C$255:$BB$255,Curves!$W$45:$BV$45)+SUMPRODUCT(Adds!$C$256:$BB$256,Curves!$W$68:$BV$68)</f>
        <v/>
      </c>
      <c r="BC68" s="5">
        <f>SUMPRODUCT(Adds!$C$254:$BC$254,Curves!$V$22:$BV$22)+SUMPRODUCT(Adds!$C$255:$BC$255,Curves!$V$45:$BV$45)+SUMPRODUCT(Adds!$C$256:$BC$256,Curves!$V$68:$BV$68)</f>
        <v/>
      </c>
      <c r="BD68" s="5">
        <f>SUMPRODUCT(Adds!$C$254:$BD$254,Curves!$U$22:$BV$22)+SUMPRODUCT(Adds!$C$255:$BD$255,Curves!$U$45:$BV$45)+SUMPRODUCT(Adds!$C$256:$BD$256,Curves!$U$68:$BV$68)</f>
        <v/>
      </c>
      <c r="BE68" s="5">
        <f>SUMPRODUCT(Adds!$C$254:$BE$254,Curves!$T$22:$BV$22)+SUMPRODUCT(Adds!$C$255:$BE$255,Curves!$T$45:$BV$45)+SUMPRODUCT(Adds!$C$256:$BE$256,Curves!$T$68:$BV$68)</f>
        <v/>
      </c>
      <c r="BF68" s="5">
        <f>SUMPRODUCT(Adds!$C$254:$BF$254,Curves!$S$22:$BV$22)+SUMPRODUCT(Adds!$C$255:$BF$255,Curves!$S$45:$BV$45)+SUMPRODUCT(Adds!$C$256:$BF$256,Curves!$S$68:$BV$68)</f>
        <v/>
      </c>
      <c r="BG68" s="5">
        <f>SUMPRODUCT(Adds!$C$254:$BG$254,Curves!$R$22:$BV$22)+SUMPRODUCT(Adds!$C$255:$BG$255,Curves!$R$45:$BV$45)+SUMPRODUCT(Adds!$C$256:$BG$256,Curves!$R$68:$BV$68)</f>
        <v/>
      </c>
      <c r="BH68" s="5">
        <f>SUMPRODUCT(Adds!$C$254:$BH$254,Curves!$Q$22:$BV$22)+SUMPRODUCT(Adds!$C$255:$BH$255,Curves!$Q$45:$BV$45)+SUMPRODUCT(Adds!$C$256:$BH$256,Curves!$Q$68:$BV$68)</f>
        <v/>
      </c>
      <c r="BI68" s="5">
        <f>SUMPRODUCT(Adds!$C$254:$BI$254,Curves!$P$22:$BV$22)+SUMPRODUCT(Adds!$C$255:$BI$255,Curves!$P$45:$BV$45)+SUMPRODUCT(Adds!$C$256:$BI$256,Curves!$P$68:$BV$68)</f>
        <v/>
      </c>
      <c r="BJ68" s="5">
        <f>SUMPRODUCT(Adds!$C$254:$BJ$254,Curves!$O$22:$BV$22)+SUMPRODUCT(Adds!$C$255:$BJ$255,Curves!$O$45:$BV$45)+SUMPRODUCT(Adds!$C$256:$BJ$256,Curves!$O$68:$BV$68)</f>
        <v/>
      </c>
      <c r="BK68" s="5">
        <f>SUMPRODUCT(Adds!$C$254:$BK$254,Curves!$N$22:$BV$22)+SUMPRODUCT(Adds!$C$255:$BK$255,Curves!$N$45:$BV$45)+SUMPRODUCT(Adds!$C$256:$BK$256,Curves!$N$68:$BV$68)</f>
        <v/>
      </c>
      <c r="BL68" s="5">
        <f>SUMPRODUCT(Adds!$C$254:$BL$254,Curves!$M$22:$BV$22)+SUMPRODUCT(Adds!$C$255:$BL$255,Curves!$M$45:$BV$45)+SUMPRODUCT(Adds!$C$256:$BL$256,Curves!$M$68:$BV$68)</f>
        <v/>
      </c>
      <c r="BM68" s="5">
        <f>SUMPRODUCT(Adds!$C$254:$BM$254,Curves!$L$22:$BV$22)+SUMPRODUCT(Adds!$C$255:$BM$255,Curves!$L$45:$BV$45)+SUMPRODUCT(Adds!$C$256:$BM$256,Curves!$L$68:$BV$68)</f>
        <v/>
      </c>
      <c r="BN68" s="5">
        <f>SUMPRODUCT(Adds!$C$254:$BN$254,Curves!$K$22:$BV$22)+SUMPRODUCT(Adds!$C$255:$BN$255,Curves!$K$45:$BV$45)+SUMPRODUCT(Adds!$C$256:$BN$256,Curves!$K$68:$BV$68)</f>
        <v/>
      </c>
      <c r="BO68" s="5">
        <f>SUMPRODUCT(Adds!$C$254:$BO$254,Curves!$J$22:$BV$22)+SUMPRODUCT(Adds!$C$255:$BO$255,Curves!$J$45:$BV$45)+SUMPRODUCT(Adds!$C$256:$BO$256,Curves!$J$68:$BV$68)</f>
        <v/>
      </c>
      <c r="BP68" s="5">
        <f>SUMPRODUCT(Adds!$C$254:$BP$254,Curves!$I$22:$BV$22)+SUMPRODUCT(Adds!$C$255:$BP$255,Curves!$I$45:$BV$45)+SUMPRODUCT(Adds!$C$256:$BP$256,Curves!$I$68:$BV$68)</f>
        <v/>
      </c>
      <c r="BQ68" s="5">
        <f>SUMPRODUCT(Adds!$C$254:$BQ$254,Curves!$H$22:$BV$22)+SUMPRODUCT(Adds!$C$255:$BQ$255,Curves!$H$45:$BV$45)+SUMPRODUCT(Adds!$C$256:$BQ$256,Curves!$H$68:$BV$68)</f>
        <v/>
      </c>
      <c r="BR68" s="5">
        <f>SUMPRODUCT(Adds!$C$254:$BR$254,Curves!$G$22:$BV$22)+SUMPRODUCT(Adds!$C$255:$BR$255,Curves!$G$45:$BV$45)+SUMPRODUCT(Adds!$C$256:$BR$256,Curves!$G$68:$BV$68)</f>
        <v/>
      </c>
      <c r="BS68" s="5">
        <f>SUMPRODUCT(Adds!$C$254:$BS$254,Curves!$F$22:$BV$22)+SUMPRODUCT(Adds!$C$255:$BS$255,Curves!$F$45:$BV$45)+SUMPRODUCT(Adds!$C$256:$BS$256,Curves!$F$68:$BV$68)</f>
        <v/>
      </c>
      <c r="BT68" s="5">
        <f>SUMPRODUCT(Adds!$C$254:$BT$254,Curves!$E$22:$BV$22)+SUMPRODUCT(Adds!$C$255:$BT$255,Curves!$E$45:$BV$45)+SUMPRODUCT(Adds!$C$256:$BT$256,Curves!$E$68:$BV$68)</f>
        <v/>
      </c>
      <c r="BU68" s="5">
        <f>SUMPRODUCT(Adds!$C$254:$BU$254,Curves!$D$22:$BV$22)+SUMPRODUCT(Adds!$C$255:$BU$255,Curves!$D$45:$BV$45)+SUMPRODUCT(Adds!$C$256:$BU$256,Curves!$D$68:$BV$68)</f>
        <v/>
      </c>
      <c r="BV68" s="5">
        <f>SUMPRODUCT(Adds!$C$254:$BV$254,Curves!$C$22:$BV$22)+SUMPRODUCT(Adds!$C$255:$BV$255,Curves!$C$45:$BV$45)+SUMPRODUCT(Adds!$C$256:$BV$256,Curves!$C$68:$BV$68)</f>
        <v/>
      </c>
    </row>
    <row r="69">
      <c r="A69" t="inlineStr">
        <is>
          <t>churned</t>
        </is>
      </c>
      <c r="B69" t="inlineStr">
        <is>
          <t>ROW|NITRO_M</t>
        </is>
      </c>
      <c r="C69" s="5">
        <f>Adds!$C$254*Curves!$BV$17+Adds!$C$255*Curves!$BV$40+Adds!$C$256*Curves!$BV$63</f>
        <v/>
      </c>
      <c r="D69" s="5">
        <f>SUMPRODUCT(Adds!$C$254:$D$254,Curves!$BU$17:$BV$17)+SUMPRODUCT(Adds!$C$255:$D$255,Curves!$BU$40:$BV$40)+SUMPRODUCT(Adds!$C$256:$D$256,Curves!$BU$63:$BV$63)</f>
        <v/>
      </c>
      <c r="E69" s="5">
        <f>SUMPRODUCT(Adds!$C$254:$E$254,Curves!$BT$17:$BV$17)+SUMPRODUCT(Adds!$C$255:$E$255,Curves!$BT$40:$BV$40)+SUMPRODUCT(Adds!$C$256:$E$256,Curves!$BT$63:$BV$63)</f>
        <v/>
      </c>
      <c r="F69" s="5">
        <f>SUMPRODUCT(Adds!$C$254:$F$254,Curves!$BS$17:$BV$17)+SUMPRODUCT(Adds!$C$255:$F$255,Curves!$BS$40:$BV$40)+SUMPRODUCT(Adds!$C$256:$F$256,Curves!$BS$63:$BV$63)</f>
        <v/>
      </c>
      <c r="G69" s="5">
        <f>SUMPRODUCT(Adds!$C$254:$G$254,Curves!$BR$17:$BV$17)+SUMPRODUCT(Adds!$C$255:$G$255,Curves!$BR$40:$BV$40)+SUMPRODUCT(Adds!$C$256:$G$256,Curves!$BR$63:$BV$63)</f>
        <v/>
      </c>
      <c r="H69" s="5">
        <f>SUMPRODUCT(Adds!$C$254:$H$254,Curves!$BQ$17:$BV$17)+SUMPRODUCT(Adds!$C$255:$H$255,Curves!$BQ$40:$BV$40)+SUMPRODUCT(Adds!$C$256:$H$256,Curves!$BQ$63:$BV$63)</f>
        <v/>
      </c>
      <c r="I69" s="5">
        <f>SUMPRODUCT(Adds!$C$254:$I$254,Curves!$BP$17:$BV$17)+SUMPRODUCT(Adds!$C$255:$I$255,Curves!$BP$40:$BV$40)+SUMPRODUCT(Adds!$C$256:$I$256,Curves!$BP$63:$BV$63)</f>
        <v/>
      </c>
      <c r="J69" s="5">
        <f>SUMPRODUCT(Adds!$C$254:$J$254,Curves!$BO$17:$BV$17)+SUMPRODUCT(Adds!$C$255:$J$255,Curves!$BO$40:$BV$40)+SUMPRODUCT(Adds!$C$256:$J$256,Curves!$BO$63:$BV$63)</f>
        <v/>
      </c>
      <c r="K69" s="5">
        <f>SUMPRODUCT(Adds!$C$254:$K$254,Curves!$BN$17:$BV$17)+SUMPRODUCT(Adds!$C$255:$K$255,Curves!$BN$40:$BV$40)+SUMPRODUCT(Adds!$C$256:$K$256,Curves!$BN$63:$BV$63)</f>
        <v/>
      </c>
      <c r="L69" s="5">
        <f>SUMPRODUCT(Adds!$C$254:$L$254,Curves!$BM$17:$BV$17)+SUMPRODUCT(Adds!$C$255:$L$255,Curves!$BM$40:$BV$40)+SUMPRODUCT(Adds!$C$256:$L$256,Curves!$BM$63:$BV$63)</f>
        <v/>
      </c>
      <c r="M69" s="5">
        <f>SUMPRODUCT(Adds!$C$254:$M$254,Curves!$BL$17:$BV$17)+SUMPRODUCT(Adds!$C$255:$M$255,Curves!$BL$40:$BV$40)+SUMPRODUCT(Adds!$C$256:$M$256,Curves!$BL$63:$BV$63)</f>
        <v/>
      </c>
      <c r="N69" s="5">
        <f>SUMPRODUCT(Adds!$C$254:$N$254,Curves!$BK$17:$BV$17)+SUMPRODUCT(Adds!$C$255:$N$255,Curves!$BK$40:$BV$40)+SUMPRODUCT(Adds!$C$256:$N$256,Curves!$BK$63:$BV$63)</f>
        <v/>
      </c>
      <c r="O69" s="5">
        <f>SUMPRODUCT(Adds!$C$254:$O$254,Curves!$BJ$17:$BV$17)+SUMPRODUCT(Adds!$C$255:$O$255,Curves!$BJ$40:$BV$40)+SUMPRODUCT(Adds!$C$256:$O$256,Curves!$BJ$63:$BV$63)</f>
        <v/>
      </c>
      <c r="P69" s="5">
        <f>SUMPRODUCT(Adds!$C$254:$P$254,Curves!$BI$17:$BV$17)+SUMPRODUCT(Adds!$C$255:$P$255,Curves!$BI$40:$BV$40)+SUMPRODUCT(Adds!$C$256:$P$256,Curves!$BI$63:$BV$63)</f>
        <v/>
      </c>
      <c r="Q69" s="5">
        <f>SUMPRODUCT(Adds!$C$254:$Q$254,Curves!$BH$17:$BV$17)+SUMPRODUCT(Adds!$C$255:$Q$255,Curves!$BH$40:$BV$40)+SUMPRODUCT(Adds!$C$256:$Q$256,Curves!$BH$63:$BV$63)</f>
        <v/>
      </c>
      <c r="R69" s="5">
        <f>SUMPRODUCT(Adds!$C$254:$R$254,Curves!$BG$17:$BV$17)+SUMPRODUCT(Adds!$C$255:$R$255,Curves!$BG$40:$BV$40)+SUMPRODUCT(Adds!$C$256:$R$256,Curves!$BG$63:$BV$63)</f>
        <v/>
      </c>
      <c r="S69" s="5">
        <f>SUMPRODUCT(Adds!$C$254:$S$254,Curves!$BF$17:$BV$17)+SUMPRODUCT(Adds!$C$255:$S$255,Curves!$BF$40:$BV$40)+SUMPRODUCT(Adds!$C$256:$S$256,Curves!$BF$63:$BV$63)</f>
        <v/>
      </c>
      <c r="T69" s="5">
        <f>SUMPRODUCT(Adds!$C$254:$T$254,Curves!$BE$17:$BV$17)+SUMPRODUCT(Adds!$C$255:$T$255,Curves!$BE$40:$BV$40)+SUMPRODUCT(Adds!$C$256:$T$256,Curves!$BE$63:$BV$63)</f>
        <v/>
      </c>
      <c r="U69" s="5">
        <f>SUMPRODUCT(Adds!$C$254:$U$254,Curves!$BD$17:$BV$17)+SUMPRODUCT(Adds!$C$255:$U$255,Curves!$BD$40:$BV$40)+SUMPRODUCT(Adds!$C$256:$U$256,Curves!$BD$63:$BV$63)</f>
        <v/>
      </c>
      <c r="V69" s="5">
        <f>SUMPRODUCT(Adds!$C$254:$V$254,Curves!$BC$17:$BV$17)+SUMPRODUCT(Adds!$C$255:$V$255,Curves!$BC$40:$BV$40)+SUMPRODUCT(Adds!$C$256:$V$256,Curves!$BC$63:$BV$63)</f>
        <v/>
      </c>
      <c r="W69" s="5">
        <f>SUMPRODUCT(Adds!$C$254:$W$254,Curves!$BB$17:$BV$17)+SUMPRODUCT(Adds!$C$255:$W$255,Curves!$BB$40:$BV$40)+SUMPRODUCT(Adds!$C$256:$W$256,Curves!$BB$63:$BV$63)</f>
        <v/>
      </c>
      <c r="X69" s="5">
        <f>SUMPRODUCT(Adds!$C$254:$X$254,Curves!$BA$17:$BV$17)+SUMPRODUCT(Adds!$C$255:$X$255,Curves!$BA$40:$BV$40)+SUMPRODUCT(Adds!$C$256:$X$256,Curves!$BA$63:$BV$63)</f>
        <v/>
      </c>
      <c r="Y69" s="5">
        <f>SUMPRODUCT(Adds!$C$254:$Y$254,Curves!$AZ$17:$BV$17)+SUMPRODUCT(Adds!$C$255:$Y$255,Curves!$AZ$40:$BV$40)+SUMPRODUCT(Adds!$C$256:$Y$256,Curves!$AZ$63:$BV$63)</f>
        <v/>
      </c>
      <c r="Z69" s="5">
        <f>SUMPRODUCT(Adds!$C$254:$Z$254,Curves!$AY$17:$BV$17)+SUMPRODUCT(Adds!$C$255:$Z$255,Curves!$AY$40:$BV$40)+SUMPRODUCT(Adds!$C$256:$Z$256,Curves!$AY$63:$BV$63)</f>
        <v/>
      </c>
      <c r="AA69" s="5">
        <f>SUMPRODUCT(Adds!$C$254:$AA$254,Curves!$AX$17:$BV$17)+SUMPRODUCT(Adds!$C$255:$AA$255,Curves!$AX$40:$BV$40)+SUMPRODUCT(Adds!$C$256:$AA$256,Curves!$AX$63:$BV$63)</f>
        <v/>
      </c>
      <c r="AB69" s="5">
        <f>SUMPRODUCT(Adds!$C$254:$AB$254,Curves!$AW$17:$BV$17)+SUMPRODUCT(Adds!$C$255:$AB$255,Curves!$AW$40:$BV$40)+SUMPRODUCT(Adds!$C$256:$AB$256,Curves!$AW$63:$BV$63)</f>
        <v/>
      </c>
      <c r="AC69" s="5">
        <f>SUMPRODUCT(Adds!$C$254:$AC$254,Curves!$AV$17:$BV$17)+SUMPRODUCT(Adds!$C$255:$AC$255,Curves!$AV$40:$BV$40)+SUMPRODUCT(Adds!$C$256:$AC$256,Curves!$AV$63:$BV$63)</f>
        <v/>
      </c>
      <c r="AD69" s="5">
        <f>SUMPRODUCT(Adds!$C$254:$AD$254,Curves!$AU$17:$BV$17)+SUMPRODUCT(Adds!$C$255:$AD$255,Curves!$AU$40:$BV$40)+SUMPRODUCT(Adds!$C$256:$AD$256,Curves!$AU$63:$BV$63)</f>
        <v/>
      </c>
      <c r="AE69" s="5">
        <f>SUMPRODUCT(Adds!$C$254:$AE$254,Curves!$AT$17:$BV$17)+SUMPRODUCT(Adds!$C$255:$AE$255,Curves!$AT$40:$BV$40)+SUMPRODUCT(Adds!$C$256:$AE$256,Curves!$AT$63:$BV$63)</f>
        <v/>
      </c>
      <c r="AF69" s="5">
        <f>SUMPRODUCT(Adds!$C$254:$AF$254,Curves!$AS$17:$BV$17)+SUMPRODUCT(Adds!$C$255:$AF$255,Curves!$AS$40:$BV$40)+SUMPRODUCT(Adds!$C$256:$AF$256,Curves!$AS$63:$BV$63)</f>
        <v/>
      </c>
      <c r="AG69" s="5">
        <f>SUMPRODUCT(Adds!$C$254:$AG$254,Curves!$AR$17:$BV$17)+SUMPRODUCT(Adds!$C$255:$AG$255,Curves!$AR$40:$BV$40)+SUMPRODUCT(Adds!$C$256:$AG$256,Curves!$AR$63:$BV$63)</f>
        <v/>
      </c>
      <c r="AH69" s="5">
        <f>SUMPRODUCT(Adds!$C$254:$AH$254,Curves!$AQ$17:$BV$17)+SUMPRODUCT(Adds!$C$255:$AH$255,Curves!$AQ$40:$BV$40)+SUMPRODUCT(Adds!$C$256:$AH$256,Curves!$AQ$63:$BV$63)</f>
        <v/>
      </c>
      <c r="AI69" s="5">
        <f>SUMPRODUCT(Adds!$C$254:$AI$254,Curves!$AP$17:$BV$17)+SUMPRODUCT(Adds!$C$255:$AI$255,Curves!$AP$40:$BV$40)+SUMPRODUCT(Adds!$C$256:$AI$256,Curves!$AP$63:$BV$63)</f>
        <v/>
      </c>
      <c r="AJ69" s="5">
        <f>SUMPRODUCT(Adds!$C$254:$AJ$254,Curves!$AO$17:$BV$17)+SUMPRODUCT(Adds!$C$255:$AJ$255,Curves!$AO$40:$BV$40)+SUMPRODUCT(Adds!$C$256:$AJ$256,Curves!$AO$63:$BV$63)</f>
        <v/>
      </c>
      <c r="AK69" s="5">
        <f>SUMPRODUCT(Adds!$C$254:$AK$254,Curves!$AN$17:$BV$17)+SUMPRODUCT(Adds!$C$255:$AK$255,Curves!$AN$40:$BV$40)+SUMPRODUCT(Adds!$C$256:$AK$256,Curves!$AN$63:$BV$63)</f>
        <v/>
      </c>
      <c r="AL69" s="5">
        <f>SUMPRODUCT(Adds!$C$254:$AL$254,Curves!$AM$17:$BV$17)+SUMPRODUCT(Adds!$C$255:$AL$255,Curves!$AM$40:$BV$40)+SUMPRODUCT(Adds!$C$256:$AL$256,Curves!$AM$63:$BV$63)</f>
        <v/>
      </c>
      <c r="AM69" s="5">
        <f>SUMPRODUCT(Adds!$C$254:$AM$254,Curves!$AL$17:$BV$17)+SUMPRODUCT(Adds!$C$255:$AM$255,Curves!$AL$40:$BV$40)+SUMPRODUCT(Adds!$C$256:$AM$256,Curves!$AL$63:$BV$63)</f>
        <v/>
      </c>
      <c r="AN69" s="5">
        <f>SUMPRODUCT(Adds!$C$254:$AN$254,Curves!$AK$17:$BV$17)+SUMPRODUCT(Adds!$C$255:$AN$255,Curves!$AK$40:$BV$40)+SUMPRODUCT(Adds!$C$256:$AN$256,Curves!$AK$63:$BV$63)</f>
        <v/>
      </c>
      <c r="AO69" s="5">
        <f>SUMPRODUCT(Adds!$C$254:$AO$254,Curves!$AJ$17:$BV$17)+SUMPRODUCT(Adds!$C$255:$AO$255,Curves!$AJ$40:$BV$40)+SUMPRODUCT(Adds!$C$256:$AO$256,Curves!$AJ$63:$BV$63)</f>
        <v/>
      </c>
      <c r="AP69" s="5">
        <f>SUMPRODUCT(Adds!$C$254:$AP$254,Curves!$AI$17:$BV$17)+SUMPRODUCT(Adds!$C$255:$AP$255,Curves!$AI$40:$BV$40)+SUMPRODUCT(Adds!$C$256:$AP$256,Curves!$AI$63:$BV$63)</f>
        <v/>
      </c>
      <c r="AQ69" s="5">
        <f>SUMPRODUCT(Adds!$C$254:$AQ$254,Curves!$AH$17:$BV$17)+SUMPRODUCT(Adds!$C$255:$AQ$255,Curves!$AH$40:$BV$40)+SUMPRODUCT(Adds!$C$256:$AQ$256,Curves!$AH$63:$BV$63)</f>
        <v/>
      </c>
      <c r="AR69" s="5">
        <f>SUMPRODUCT(Adds!$C$254:$AR$254,Curves!$AG$17:$BV$17)+SUMPRODUCT(Adds!$C$255:$AR$255,Curves!$AG$40:$BV$40)+SUMPRODUCT(Adds!$C$256:$AR$256,Curves!$AG$63:$BV$63)</f>
        <v/>
      </c>
      <c r="AS69" s="5">
        <f>SUMPRODUCT(Adds!$C$254:$AS$254,Curves!$AF$17:$BV$17)+SUMPRODUCT(Adds!$C$255:$AS$255,Curves!$AF$40:$BV$40)+SUMPRODUCT(Adds!$C$256:$AS$256,Curves!$AF$63:$BV$63)</f>
        <v/>
      </c>
      <c r="AT69" s="5">
        <f>SUMPRODUCT(Adds!$C$254:$AT$254,Curves!$AE$17:$BV$17)+SUMPRODUCT(Adds!$C$255:$AT$255,Curves!$AE$40:$BV$40)+SUMPRODUCT(Adds!$C$256:$AT$256,Curves!$AE$63:$BV$63)</f>
        <v/>
      </c>
      <c r="AU69" s="5">
        <f>SUMPRODUCT(Adds!$C$254:$AU$254,Curves!$AD$17:$BV$17)+SUMPRODUCT(Adds!$C$255:$AU$255,Curves!$AD$40:$BV$40)+SUMPRODUCT(Adds!$C$256:$AU$256,Curves!$AD$63:$BV$63)</f>
        <v/>
      </c>
      <c r="AV69" s="5">
        <f>SUMPRODUCT(Adds!$C$254:$AV$254,Curves!$AC$17:$BV$17)+SUMPRODUCT(Adds!$C$255:$AV$255,Curves!$AC$40:$BV$40)+SUMPRODUCT(Adds!$C$256:$AV$256,Curves!$AC$63:$BV$63)</f>
        <v/>
      </c>
      <c r="AW69" s="5">
        <f>SUMPRODUCT(Adds!$C$254:$AW$254,Curves!$AB$17:$BV$17)+SUMPRODUCT(Adds!$C$255:$AW$255,Curves!$AB$40:$BV$40)+SUMPRODUCT(Adds!$C$256:$AW$256,Curves!$AB$63:$BV$63)</f>
        <v/>
      </c>
      <c r="AX69" s="5">
        <f>SUMPRODUCT(Adds!$C$254:$AX$254,Curves!$AA$17:$BV$17)+SUMPRODUCT(Adds!$C$255:$AX$255,Curves!$AA$40:$BV$40)+SUMPRODUCT(Adds!$C$256:$AX$256,Curves!$AA$63:$BV$63)</f>
        <v/>
      </c>
      <c r="AY69" s="5">
        <f>SUMPRODUCT(Adds!$C$254:$AY$254,Curves!$Z$17:$BV$17)+SUMPRODUCT(Adds!$C$255:$AY$255,Curves!$Z$40:$BV$40)+SUMPRODUCT(Adds!$C$256:$AY$256,Curves!$Z$63:$BV$63)</f>
        <v/>
      </c>
      <c r="AZ69" s="5">
        <f>SUMPRODUCT(Adds!$C$254:$AZ$254,Curves!$Y$17:$BV$17)+SUMPRODUCT(Adds!$C$255:$AZ$255,Curves!$Y$40:$BV$40)+SUMPRODUCT(Adds!$C$256:$AZ$256,Curves!$Y$63:$BV$63)</f>
        <v/>
      </c>
      <c r="BA69" s="5">
        <f>SUMPRODUCT(Adds!$C$254:$BA$254,Curves!$X$17:$BV$17)+SUMPRODUCT(Adds!$C$255:$BA$255,Curves!$X$40:$BV$40)+SUMPRODUCT(Adds!$C$256:$BA$256,Curves!$X$63:$BV$63)</f>
        <v/>
      </c>
      <c r="BB69" s="5">
        <f>SUMPRODUCT(Adds!$C$254:$BB$254,Curves!$W$17:$BV$17)+SUMPRODUCT(Adds!$C$255:$BB$255,Curves!$W$40:$BV$40)+SUMPRODUCT(Adds!$C$256:$BB$256,Curves!$W$63:$BV$63)</f>
        <v/>
      </c>
      <c r="BC69" s="5">
        <f>SUMPRODUCT(Adds!$C$254:$BC$254,Curves!$V$17:$BV$17)+SUMPRODUCT(Adds!$C$255:$BC$255,Curves!$V$40:$BV$40)+SUMPRODUCT(Adds!$C$256:$BC$256,Curves!$V$63:$BV$63)</f>
        <v/>
      </c>
      <c r="BD69" s="5">
        <f>SUMPRODUCT(Adds!$C$254:$BD$254,Curves!$U$17:$BV$17)+SUMPRODUCT(Adds!$C$255:$BD$255,Curves!$U$40:$BV$40)+SUMPRODUCT(Adds!$C$256:$BD$256,Curves!$U$63:$BV$63)</f>
        <v/>
      </c>
      <c r="BE69" s="5">
        <f>SUMPRODUCT(Adds!$C$254:$BE$254,Curves!$T$17:$BV$17)+SUMPRODUCT(Adds!$C$255:$BE$255,Curves!$T$40:$BV$40)+SUMPRODUCT(Adds!$C$256:$BE$256,Curves!$T$63:$BV$63)</f>
        <v/>
      </c>
      <c r="BF69" s="5">
        <f>SUMPRODUCT(Adds!$C$254:$BF$254,Curves!$S$17:$BV$17)+SUMPRODUCT(Adds!$C$255:$BF$255,Curves!$S$40:$BV$40)+SUMPRODUCT(Adds!$C$256:$BF$256,Curves!$S$63:$BV$63)</f>
        <v/>
      </c>
      <c r="BG69" s="5">
        <f>SUMPRODUCT(Adds!$C$254:$BG$254,Curves!$R$17:$BV$17)+SUMPRODUCT(Adds!$C$255:$BG$255,Curves!$R$40:$BV$40)+SUMPRODUCT(Adds!$C$256:$BG$256,Curves!$R$63:$BV$63)</f>
        <v/>
      </c>
      <c r="BH69" s="5">
        <f>SUMPRODUCT(Adds!$C$254:$BH$254,Curves!$Q$17:$BV$17)+SUMPRODUCT(Adds!$C$255:$BH$255,Curves!$Q$40:$BV$40)+SUMPRODUCT(Adds!$C$256:$BH$256,Curves!$Q$63:$BV$63)</f>
        <v/>
      </c>
      <c r="BI69" s="5">
        <f>SUMPRODUCT(Adds!$C$254:$BI$254,Curves!$P$17:$BV$17)+SUMPRODUCT(Adds!$C$255:$BI$255,Curves!$P$40:$BV$40)+SUMPRODUCT(Adds!$C$256:$BI$256,Curves!$P$63:$BV$63)</f>
        <v/>
      </c>
      <c r="BJ69" s="5">
        <f>SUMPRODUCT(Adds!$C$254:$BJ$254,Curves!$O$17:$BV$17)+SUMPRODUCT(Adds!$C$255:$BJ$255,Curves!$O$40:$BV$40)+SUMPRODUCT(Adds!$C$256:$BJ$256,Curves!$O$63:$BV$63)</f>
        <v/>
      </c>
      <c r="BK69" s="5">
        <f>SUMPRODUCT(Adds!$C$254:$BK$254,Curves!$N$17:$BV$17)+SUMPRODUCT(Adds!$C$255:$BK$255,Curves!$N$40:$BV$40)+SUMPRODUCT(Adds!$C$256:$BK$256,Curves!$N$63:$BV$63)</f>
        <v/>
      </c>
      <c r="BL69" s="5">
        <f>SUMPRODUCT(Adds!$C$254:$BL$254,Curves!$M$17:$BV$17)+SUMPRODUCT(Adds!$C$255:$BL$255,Curves!$M$40:$BV$40)+SUMPRODUCT(Adds!$C$256:$BL$256,Curves!$M$63:$BV$63)</f>
        <v/>
      </c>
      <c r="BM69" s="5">
        <f>SUMPRODUCT(Adds!$C$254:$BM$254,Curves!$L$17:$BV$17)+SUMPRODUCT(Adds!$C$255:$BM$255,Curves!$L$40:$BV$40)+SUMPRODUCT(Adds!$C$256:$BM$256,Curves!$L$63:$BV$63)</f>
        <v/>
      </c>
      <c r="BN69" s="5">
        <f>SUMPRODUCT(Adds!$C$254:$BN$254,Curves!$K$17:$BV$17)+SUMPRODUCT(Adds!$C$255:$BN$255,Curves!$K$40:$BV$40)+SUMPRODUCT(Adds!$C$256:$BN$256,Curves!$K$63:$BV$63)</f>
        <v/>
      </c>
      <c r="BO69" s="5">
        <f>SUMPRODUCT(Adds!$C$254:$BO$254,Curves!$J$17:$BV$17)+SUMPRODUCT(Adds!$C$255:$BO$255,Curves!$J$40:$BV$40)+SUMPRODUCT(Adds!$C$256:$BO$256,Curves!$J$63:$BV$63)</f>
        <v/>
      </c>
      <c r="BP69" s="5">
        <f>SUMPRODUCT(Adds!$C$254:$BP$254,Curves!$I$17:$BV$17)+SUMPRODUCT(Adds!$C$255:$BP$255,Curves!$I$40:$BV$40)+SUMPRODUCT(Adds!$C$256:$BP$256,Curves!$I$63:$BV$63)</f>
        <v/>
      </c>
      <c r="BQ69" s="5">
        <f>SUMPRODUCT(Adds!$C$254:$BQ$254,Curves!$H$17:$BV$17)+SUMPRODUCT(Adds!$C$255:$BQ$255,Curves!$H$40:$BV$40)+SUMPRODUCT(Adds!$C$256:$BQ$256,Curves!$H$63:$BV$63)</f>
        <v/>
      </c>
      <c r="BR69" s="5">
        <f>SUMPRODUCT(Adds!$C$254:$BR$254,Curves!$G$17:$BV$17)+SUMPRODUCT(Adds!$C$255:$BR$255,Curves!$G$40:$BV$40)+SUMPRODUCT(Adds!$C$256:$BR$256,Curves!$G$63:$BV$63)</f>
        <v/>
      </c>
      <c r="BS69" s="5">
        <f>SUMPRODUCT(Adds!$C$254:$BS$254,Curves!$F$17:$BV$17)+SUMPRODUCT(Adds!$C$255:$BS$255,Curves!$F$40:$BV$40)+SUMPRODUCT(Adds!$C$256:$BS$256,Curves!$F$63:$BV$63)</f>
        <v/>
      </c>
      <c r="BT69" s="5">
        <f>SUMPRODUCT(Adds!$C$254:$BT$254,Curves!$E$17:$BV$17)+SUMPRODUCT(Adds!$C$255:$BT$255,Curves!$E$40:$BV$40)+SUMPRODUCT(Adds!$C$256:$BT$256,Curves!$E$63:$BV$63)</f>
        <v/>
      </c>
      <c r="BU69" s="5">
        <f>SUMPRODUCT(Adds!$C$254:$BU$254,Curves!$D$17:$BV$17)+SUMPRODUCT(Adds!$C$255:$BU$255,Curves!$D$40:$BV$40)+SUMPRODUCT(Adds!$C$256:$BU$256,Curves!$D$63:$BV$63)</f>
        <v/>
      </c>
      <c r="BV69" s="5">
        <f>SUMPRODUCT(Adds!$C$254:$BV$254,Curves!$C$17:$BV$17)+SUMPRODUCT(Adds!$C$255:$BV$255,Curves!$C$40:$BV$40)+SUMPRODUCT(Adds!$C$256:$BV$256,Curves!$C$63:$BV$63)</f>
        <v/>
      </c>
    </row>
    <row r="71">
      <c r="A71" t="inlineStr">
        <is>
          <t>active</t>
        </is>
      </c>
      <c r="B71" t="inlineStr">
        <is>
          <t>ROW|NITRO_A</t>
        </is>
      </c>
      <c r="C71" s="5">
        <f>Adds!$C$269*Curves!$BV$16+Adds!$C$270*Curves!$BV$39+Adds!$C$271*Curves!$BV$62</f>
        <v/>
      </c>
      <c r="D71" s="5">
        <f>SUMPRODUCT(Adds!$C$269:$D$269,Curves!$BU$16:$BV$16)+SUMPRODUCT(Adds!$C$270:$D$270,Curves!$BU$39:$BV$39)+SUMPRODUCT(Adds!$C$271:$D$271,Curves!$BU$62:$BV$62)</f>
        <v/>
      </c>
      <c r="E71" s="5">
        <f>SUMPRODUCT(Adds!$C$269:$E$269,Curves!$BT$16:$BV$16)+SUMPRODUCT(Adds!$C$270:$E$270,Curves!$BT$39:$BV$39)+SUMPRODUCT(Adds!$C$271:$E$271,Curves!$BT$62:$BV$62)</f>
        <v/>
      </c>
      <c r="F71" s="5">
        <f>SUMPRODUCT(Adds!$C$269:$F$269,Curves!$BS$16:$BV$16)+SUMPRODUCT(Adds!$C$270:$F$270,Curves!$BS$39:$BV$39)+SUMPRODUCT(Adds!$C$271:$F$271,Curves!$BS$62:$BV$62)</f>
        <v/>
      </c>
      <c r="G71" s="5">
        <f>SUMPRODUCT(Adds!$C$269:$G$269,Curves!$BR$16:$BV$16)+SUMPRODUCT(Adds!$C$270:$G$270,Curves!$BR$39:$BV$39)+SUMPRODUCT(Adds!$C$271:$G$271,Curves!$BR$62:$BV$62)</f>
        <v/>
      </c>
      <c r="H71" s="5">
        <f>SUMPRODUCT(Adds!$C$269:$H$269,Curves!$BQ$16:$BV$16)+SUMPRODUCT(Adds!$C$270:$H$270,Curves!$BQ$39:$BV$39)+SUMPRODUCT(Adds!$C$271:$H$271,Curves!$BQ$62:$BV$62)</f>
        <v/>
      </c>
      <c r="I71" s="5">
        <f>SUMPRODUCT(Adds!$C$269:$I$269,Curves!$BP$16:$BV$16)+SUMPRODUCT(Adds!$C$270:$I$270,Curves!$BP$39:$BV$39)+SUMPRODUCT(Adds!$C$271:$I$271,Curves!$BP$62:$BV$62)</f>
        <v/>
      </c>
      <c r="J71" s="5">
        <f>SUMPRODUCT(Adds!$C$269:$J$269,Curves!$BO$16:$BV$16)+SUMPRODUCT(Adds!$C$270:$J$270,Curves!$BO$39:$BV$39)+SUMPRODUCT(Adds!$C$271:$J$271,Curves!$BO$62:$BV$62)</f>
        <v/>
      </c>
      <c r="K71" s="5">
        <f>SUMPRODUCT(Adds!$C$269:$K$269,Curves!$BN$16:$BV$16)+SUMPRODUCT(Adds!$C$270:$K$270,Curves!$BN$39:$BV$39)+SUMPRODUCT(Adds!$C$271:$K$271,Curves!$BN$62:$BV$62)</f>
        <v/>
      </c>
      <c r="L71" s="5">
        <f>SUMPRODUCT(Adds!$C$269:$L$269,Curves!$BM$16:$BV$16)+SUMPRODUCT(Adds!$C$270:$L$270,Curves!$BM$39:$BV$39)+SUMPRODUCT(Adds!$C$271:$L$271,Curves!$BM$62:$BV$62)</f>
        <v/>
      </c>
      <c r="M71" s="5">
        <f>SUMPRODUCT(Adds!$C$269:$M$269,Curves!$BL$16:$BV$16)+SUMPRODUCT(Adds!$C$270:$M$270,Curves!$BL$39:$BV$39)+SUMPRODUCT(Adds!$C$271:$M$271,Curves!$BL$62:$BV$62)</f>
        <v/>
      </c>
      <c r="N71" s="5">
        <f>SUMPRODUCT(Adds!$C$269:$N$269,Curves!$BK$16:$BV$16)+SUMPRODUCT(Adds!$C$270:$N$270,Curves!$BK$39:$BV$39)+SUMPRODUCT(Adds!$C$271:$N$271,Curves!$BK$62:$BV$62)</f>
        <v/>
      </c>
      <c r="O71" s="5">
        <f>SUMPRODUCT(Adds!$C$269:$O$269,Curves!$BJ$16:$BV$16)+SUMPRODUCT(Adds!$C$270:$O$270,Curves!$BJ$39:$BV$39)+SUMPRODUCT(Adds!$C$271:$O$271,Curves!$BJ$62:$BV$62)</f>
        <v/>
      </c>
      <c r="P71" s="5">
        <f>SUMPRODUCT(Adds!$C$269:$P$269,Curves!$BI$16:$BV$16)+SUMPRODUCT(Adds!$C$270:$P$270,Curves!$BI$39:$BV$39)+SUMPRODUCT(Adds!$C$271:$P$271,Curves!$BI$62:$BV$62)</f>
        <v/>
      </c>
      <c r="Q71" s="5">
        <f>SUMPRODUCT(Adds!$C$269:$Q$269,Curves!$BH$16:$BV$16)+SUMPRODUCT(Adds!$C$270:$Q$270,Curves!$BH$39:$BV$39)+SUMPRODUCT(Adds!$C$271:$Q$271,Curves!$BH$62:$BV$62)</f>
        <v/>
      </c>
      <c r="R71" s="5">
        <f>SUMPRODUCT(Adds!$C$269:$R$269,Curves!$BG$16:$BV$16)+SUMPRODUCT(Adds!$C$270:$R$270,Curves!$BG$39:$BV$39)+SUMPRODUCT(Adds!$C$271:$R$271,Curves!$BG$62:$BV$62)</f>
        <v/>
      </c>
      <c r="S71" s="5">
        <f>SUMPRODUCT(Adds!$C$269:$S$269,Curves!$BF$16:$BV$16)+SUMPRODUCT(Adds!$C$270:$S$270,Curves!$BF$39:$BV$39)+SUMPRODUCT(Adds!$C$271:$S$271,Curves!$BF$62:$BV$62)</f>
        <v/>
      </c>
      <c r="T71" s="5">
        <f>SUMPRODUCT(Adds!$C$269:$T$269,Curves!$BE$16:$BV$16)+SUMPRODUCT(Adds!$C$270:$T$270,Curves!$BE$39:$BV$39)+SUMPRODUCT(Adds!$C$271:$T$271,Curves!$BE$62:$BV$62)</f>
        <v/>
      </c>
      <c r="U71" s="5">
        <f>SUMPRODUCT(Adds!$C$269:$U$269,Curves!$BD$16:$BV$16)+SUMPRODUCT(Adds!$C$270:$U$270,Curves!$BD$39:$BV$39)+SUMPRODUCT(Adds!$C$271:$U$271,Curves!$BD$62:$BV$62)</f>
        <v/>
      </c>
      <c r="V71" s="5">
        <f>SUMPRODUCT(Adds!$C$269:$V$269,Curves!$BC$16:$BV$16)+SUMPRODUCT(Adds!$C$270:$V$270,Curves!$BC$39:$BV$39)+SUMPRODUCT(Adds!$C$271:$V$271,Curves!$BC$62:$BV$62)</f>
        <v/>
      </c>
      <c r="W71" s="5">
        <f>SUMPRODUCT(Adds!$C$269:$W$269,Curves!$BB$16:$BV$16)+SUMPRODUCT(Adds!$C$270:$W$270,Curves!$BB$39:$BV$39)+SUMPRODUCT(Adds!$C$271:$W$271,Curves!$BB$62:$BV$62)</f>
        <v/>
      </c>
      <c r="X71" s="5">
        <f>SUMPRODUCT(Adds!$C$269:$X$269,Curves!$BA$16:$BV$16)+SUMPRODUCT(Adds!$C$270:$X$270,Curves!$BA$39:$BV$39)+SUMPRODUCT(Adds!$C$271:$X$271,Curves!$BA$62:$BV$62)</f>
        <v/>
      </c>
      <c r="Y71" s="5">
        <f>SUMPRODUCT(Adds!$C$269:$Y$269,Curves!$AZ$16:$BV$16)+SUMPRODUCT(Adds!$C$270:$Y$270,Curves!$AZ$39:$BV$39)+SUMPRODUCT(Adds!$C$271:$Y$271,Curves!$AZ$62:$BV$62)</f>
        <v/>
      </c>
      <c r="Z71" s="5">
        <f>SUMPRODUCT(Adds!$C$269:$Z$269,Curves!$AY$16:$BV$16)+SUMPRODUCT(Adds!$C$270:$Z$270,Curves!$AY$39:$BV$39)+SUMPRODUCT(Adds!$C$271:$Z$271,Curves!$AY$62:$BV$62)</f>
        <v/>
      </c>
      <c r="AA71" s="5">
        <f>SUMPRODUCT(Adds!$C$269:$AA$269,Curves!$AX$16:$BV$16)+SUMPRODUCT(Adds!$C$270:$AA$270,Curves!$AX$39:$BV$39)+SUMPRODUCT(Adds!$C$271:$AA$271,Curves!$AX$62:$BV$62)</f>
        <v/>
      </c>
      <c r="AB71" s="5">
        <f>SUMPRODUCT(Adds!$C$269:$AB$269,Curves!$AW$16:$BV$16)+SUMPRODUCT(Adds!$C$270:$AB$270,Curves!$AW$39:$BV$39)+SUMPRODUCT(Adds!$C$271:$AB$271,Curves!$AW$62:$BV$62)</f>
        <v/>
      </c>
      <c r="AC71" s="5">
        <f>SUMPRODUCT(Adds!$C$269:$AC$269,Curves!$AV$16:$BV$16)+SUMPRODUCT(Adds!$C$270:$AC$270,Curves!$AV$39:$BV$39)+SUMPRODUCT(Adds!$C$271:$AC$271,Curves!$AV$62:$BV$62)</f>
        <v/>
      </c>
      <c r="AD71" s="5">
        <f>SUMPRODUCT(Adds!$C$269:$AD$269,Curves!$AU$16:$BV$16)+SUMPRODUCT(Adds!$C$270:$AD$270,Curves!$AU$39:$BV$39)+SUMPRODUCT(Adds!$C$271:$AD$271,Curves!$AU$62:$BV$62)</f>
        <v/>
      </c>
      <c r="AE71" s="5">
        <f>SUMPRODUCT(Adds!$C$269:$AE$269,Curves!$AT$16:$BV$16)+SUMPRODUCT(Adds!$C$270:$AE$270,Curves!$AT$39:$BV$39)+SUMPRODUCT(Adds!$C$271:$AE$271,Curves!$AT$62:$BV$62)</f>
        <v/>
      </c>
      <c r="AF71" s="5">
        <f>SUMPRODUCT(Adds!$C$269:$AF$269,Curves!$AS$16:$BV$16)+SUMPRODUCT(Adds!$C$270:$AF$270,Curves!$AS$39:$BV$39)+SUMPRODUCT(Adds!$C$271:$AF$271,Curves!$AS$62:$BV$62)</f>
        <v/>
      </c>
      <c r="AG71" s="5">
        <f>SUMPRODUCT(Adds!$C$269:$AG$269,Curves!$AR$16:$BV$16)+SUMPRODUCT(Adds!$C$270:$AG$270,Curves!$AR$39:$BV$39)+SUMPRODUCT(Adds!$C$271:$AG$271,Curves!$AR$62:$BV$62)</f>
        <v/>
      </c>
      <c r="AH71" s="5">
        <f>SUMPRODUCT(Adds!$C$269:$AH$269,Curves!$AQ$16:$BV$16)+SUMPRODUCT(Adds!$C$270:$AH$270,Curves!$AQ$39:$BV$39)+SUMPRODUCT(Adds!$C$271:$AH$271,Curves!$AQ$62:$BV$62)</f>
        <v/>
      </c>
      <c r="AI71" s="5">
        <f>SUMPRODUCT(Adds!$C$269:$AI$269,Curves!$AP$16:$BV$16)+SUMPRODUCT(Adds!$C$270:$AI$270,Curves!$AP$39:$BV$39)+SUMPRODUCT(Adds!$C$271:$AI$271,Curves!$AP$62:$BV$62)</f>
        <v/>
      </c>
      <c r="AJ71" s="5">
        <f>SUMPRODUCT(Adds!$C$269:$AJ$269,Curves!$AO$16:$BV$16)+SUMPRODUCT(Adds!$C$270:$AJ$270,Curves!$AO$39:$BV$39)+SUMPRODUCT(Adds!$C$271:$AJ$271,Curves!$AO$62:$BV$62)</f>
        <v/>
      </c>
      <c r="AK71" s="5">
        <f>SUMPRODUCT(Adds!$C$269:$AK$269,Curves!$AN$16:$BV$16)+SUMPRODUCT(Adds!$C$270:$AK$270,Curves!$AN$39:$BV$39)+SUMPRODUCT(Adds!$C$271:$AK$271,Curves!$AN$62:$BV$62)</f>
        <v/>
      </c>
      <c r="AL71" s="5">
        <f>SUMPRODUCT(Adds!$C$269:$AL$269,Curves!$AM$16:$BV$16)+SUMPRODUCT(Adds!$C$270:$AL$270,Curves!$AM$39:$BV$39)+SUMPRODUCT(Adds!$C$271:$AL$271,Curves!$AM$62:$BV$62)</f>
        <v/>
      </c>
      <c r="AM71" s="5">
        <f>SUMPRODUCT(Adds!$C$269:$AM$269,Curves!$AL$16:$BV$16)+SUMPRODUCT(Adds!$C$270:$AM$270,Curves!$AL$39:$BV$39)+SUMPRODUCT(Adds!$C$271:$AM$271,Curves!$AL$62:$BV$62)</f>
        <v/>
      </c>
      <c r="AN71" s="5">
        <f>SUMPRODUCT(Adds!$C$269:$AN$269,Curves!$AK$16:$BV$16)+SUMPRODUCT(Adds!$C$270:$AN$270,Curves!$AK$39:$BV$39)+SUMPRODUCT(Adds!$C$271:$AN$271,Curves!$AK$62:$BV$62)</f>
        <v/>
      </c>
      <c r="AO71" s="5">
        <f>SUMPRODUCT(Adds!$C$269:$AO$269,Curves!$AJ$16:$BV$16)+SUMPRODUCT(Adds!$C$270:$AO$270,Curves!$AJ$39:$BV$39)+SUMPRODUCT(Adds!$C$271:$AO$271,Curves!$AJ$62:$BV$62)</f>
        <v/>
      </c>
      <c r="AP71" s="5">
        <f>SUMPRODUCT(Adds!$C$269:$AP$269,Curves!$AI$16:$BV$16)+SUMPRODUCT(Adds!$C$270:$AP$270,Curves!$AI$39:$BV$39)+SUMPRODUCT(Adds!$C$271:$AP$271,Curves!$AI$62:$BV$62)</f>
        <v/>
      </c>
      <c r="AQ71" s="5">
        <f>SUMPRODUCT(Adds!$C$269:$AQ$269,Curves!$AH$16:$BV$16)+SUMPRODUCT(Adds!$C$270:$AQ$270,Curves!$AH$39:$BV$39)+SUMPRODUCT(Adds!$C$271:$AQ$271,Curves!$AH$62:$BV$62)</f>
        <v/>
      </c>
      <c r="AR71" s="5">
        <f>SUMPRODUCT(Adds!$C$269:$AR$269,Curves!$AG$16:$BV$16)+SUMPRODUCT(Adds!$C$270:$AR$270,Curves!$AG$39:$BV$39)+SUMPRODUCT(Adds!$C$271:$AR$271,Curves!$AG$62:$BV$62)</f>
        <v/>
      </c>
      <c r="AS71" s="5">
        <f>SUMPRODUCT(Adds!$C$269:$AS$269,Curves!$AF$16:$BV$16)+SUMPRODUCT(Adds!$C$270:$AS$270,Curves!$AF$39:$BV$39)+SUMPRODUCT(Adds!$C$271:$AS$271,Curves!$AF$62:$BV$62)</f>
        <v/>
      </c>
      <c r="AT71" s="5">
        <f>SUMPRODUCT(Adds!$C$269:$AT$269,Curves!$AE$16:$BV$16)+SUMPRODUCT(Adds!$C$270:$AT$270,Curves!$AE$39:$BV$39)+SUMPRODUCT(Adds!$C$271:$AT$271,Curves!$AE$62:$BV$62)</f>
        <v/>
      </c>
      <c r="AU71" s="5">
        <f>SUMPRODUCT(Adds!$C$269:$AU$269,Curves!$AD$16:$BV$16)+SUMPRODUCT(Adds!$C$270:$AU$270,Curves!$AD$39:$BV$39)+SUMPRODUCT(Adds!$C$271:$AU$271,Curves!$AD$62:$BV$62)</f>
        <v/>
      </c>
      <c r="AV71" s="5">
        <f>SUMPRODUCT(Adds!$C$269:$AV$269,Curves!$AC$16:$BV$16)+SUMPRODUCT(Adds!$C$270:$AV$270,Curves!$AC$39:$BV$39)+SUMPRODUCT(Adds!$C$271:$AV$271,Curves!$AC$62:$BV$62)</f>
        <v/>
      </c>
      <c r="AW71" s="5">
        <f>SUMPRODUCT(Adds!$C$269:$AW$269,Curves!$AB$16:$BV$16)+SUMPRODUCT(Adds!$C$270:$AW$270,Curves!$AB$39:$BV$39)+SUMPRODUCT(Adds!$C$271:$AW$271,Curves!$AB$62:$BV$62)</f>
        <v/>
      </c>
      <c r="AX71" s="5">
        <f>SUMPRODUCT(Adds!$C$269:$AX$269,Curves!$AA$16:$BV$16)+SUMPRODUCT(Adds!$C$270:$AX$270,Curves!$AA$39:$BV$39)+SUMPRODUCT(Adds!$C$271:$AX$271,Curves!$AA$62:$BV$62)</f>
        <v/>
      </c>
      <c r="AY71" s="5">
        <f>SUMPRODUCT(Adds!$C$269:$AY$269,Curves!$Z$16:$BV$16)+SUMPRODUCT(Adds!$C$270:$AY$270,Curves!$Z$39:$BV$39)+SUMPRODUCT(Adds!$C$271:$AY$271,Curves!$Z$62:$BV$62)</f>
        <v/>
      </c>
      <c r="AZ71" s="5">
        <f>SUMPRODUCT(Adds!$C$269:$AZ$269,Curves!$Y$16:$BV$16)+SUMPRODUCT(Adds!$C$270:$AZ$270,Curves!$Y$39:$BV$39)+SUMPRODUCT(Adds!$C$271:$AZ$271,Curves!$Y$62:$BV$62)</f>
        <v/>
      </c>
      <c r="BA71" s="5">
        <f>SUMPRODUCT(Adds!$C$269:$BA$269,Curves!$X$16:$BV$16)+SUMPRODUCT(Adds!$C$270:$BA$270,Curves!$X$39:$BV$39)+SUMPRODUCT(Adds!$C$271:$BA$271,Curves!$X$62:$BV$62)</f>
        <v/>
      </c>
      <c r="BB71" s="5">
        <f>SUMPRODUCT(Adds!$C$269:$BB$269,Curves!$W$16:$BV$16)+SUMPRODUCT(Adds!$C$270:$BB$270,Curves!$W$39:$BV$39)+SUMPRODUCT(Adds!$C$271:$BB$271,Curves!$W$62:$BV$62)</f>
        <v/>
      </c>
      <c r="BC71" s="5">
        <f>SUMPRODUCT(Adds!$C$269:$BC$269,Curves!$V$16:$BV$16)+SUMPRODUCT(Adds!$C$270:$BC$270,Curves!$V$39:$BV$39)+SUMPRODUCT(Adds!$C$271:$BC$271,Curves!$V$62:$BV$62)</f>
        <v/>
      </c>
      <c r="BD71" s="5">
        <f>SUMPRODUCT(Adds!$C$269:$BD$269,Curves!$U$16:$BV$16)+SUMPRODUCT(Adds!$C$270:$BD$270,Curves!$U$39:$BV$39)+SUMPRODUCT(Adds!$C$271:$BD$271,Curves!$U$62:$BV$62)</f>
        <v/>
      </c>
      <c r="BE71" s="5">
        <f>SUMPRODUCT(Adds!$C$269:$BE$269,Curves!$T$16:$BV$16)+SUMPRODUCT(Adds!$C$270:$BE$270,Curves!$T$39:$BV$39)+SUMPRODUCT(Adds!$C$271:$BE$271,Curves!$T$62:$BV$62)</f>
        <v/>
      </c>
      <c r="BF71" s="5">
        <f>SUMPRODUCT(Adds!$C$269:$BF$269,Curves!$S$16:$BV$16)+SUMPRODUCT(Adds!$C$270:$BF$270,Curves!$S$39:$BV$39)+SUMPRODUCT(Adds!$C$271:$BF$271,Curves!$S$62:$BV$62)</f>
        <v/>
      </c>
      <c r="BG71" s="5">
        <f>SUMPRODUCT(Adds!$C$269:$BG$269,Curves!$R$16:$BV$16)+SUMPRODUCT(Adds!$C$270:$BG$270,Curves!$R$39:$BV$39)+SUMPRODUCT(Adds!$C$271:$BG$271,Curves!$R$62:$BV$62)</f>
        <v/>
      </c>
      <c r="BH71" s="5">
        <f>SUMPRODUCT(Adds!$C$269:$BH$269,Curves!$Q$16:$BV$16)+SUMPRODUCT(Adds!$C$270:$BH$270,Curves!$Q$39:$BV$39)+SUMPRODUCT(Adds!$C$271:$BH$271,Curves!$Q$62:$BV$62)</f>
        <v/>
      </c>
      <c r="BI71" s="5">
        <f>SUMPRODUCT(Adds!$C$269:$BI$269,Curves!$P$16:$BV$16)+SUMPRODUCT(Adds!$C$270:$BI$270,Curves!$P$39:$BV$39)+SUMPRODUCT(Adds!$C$271:$BI$271,Curves!$P$62:$BV$62)</f>
        <v/>
      </c>
      <c r="BJ71" s="5">
        <f>SUMPRODUCT(Adds!$C$269:$BJ$269,Curves!$O$16:$BV$16)+SUMPRODUCT(Adds!$C$270:$BJ$270,Curves!$O$39:$BV$39)+SUMPRODUCT(Adds!$C$271:$BJ$271,Curves!$O$62:$BV$62)</f>
        <v/>
      </c>
      <c r="BK71" s="5">
        <f>SUMPRODUCT(Adds!$C$269:$BK$269,Curves!$N$16:$BV$16)+SUMPRODUCT(Adds!$C$270:$BK$270,Curves!$N$39:$BV$39)+SUMPRODUCT(Adds!$C$271:$BK$271,Curves!$N$62:$BV$62)</f>
        <v/>
      </c>
      <c r="BL71" s="5">
        <f>SUMPRODUCT(Adds!$C$269:$BL$269,Curves!$M$16:$BV$16)+SUMPRODUCT(Adds!$C$270:$BL$270,Curves!$M$39:$BV$39)+SUMPRODUCT(Adds!$C$271:$BL$271,Curves!$M$62:$BV$62)</f>
        <v/>
      </c>
      <c r="BM71" s="5">
        <f>SUMPRODUCT(Adds!$C$269:$BM$269,Curves!$L$16:$BV$16)+SUMPRODUCT(Adds!$C$270:$BM$270,Curves!$L$39:$BV$39)+SUMPRODUCT(Adds!$C$271:$BM$271,Curves!$L$62:$BV$62)</f>
        <v/>
      </c>
      <c r="BN71" s="5">
        <f>SUMPRODUCT(Adds!$C$269:$BN$269,Curves!$K$16:$BV$16)+SUMPRODUCT(Adds!$C$270:$BN$270,Curves!$K$39:$BV$39)+SUMPRODUCT(Adds!$C$271:$BN$271,Curves!$K$62:$BV$62)</f>
        <v/>
      </c>
      <c r="BO71" s="5">
        <f>SUMPRODUCT(Adds!$C$269:$BO$269,Curves!$J$16:$BV$16)+SUMPRODUCT(Adds!$C$270:$BO$270,Curves!$J$39:$BV$39)+SUMPRODUCT(Adds!$C$271:$BO$271,Curves!$J$62:$BV$62)</f>
        <v/>
      </c>
      <c r="BP71" s="5">
        <f>SUMPRODUCT(Adds!$C$269:$BP$269,Curves!$I$16:$BV$16)+SUMPRODUCT(Adds!$C$270:$BP$270,Curves!$I$39:$BV$39)+SUMPRODUCT(Adds!$C$271:$BP$271,Curves!$I$62:$BV$62)</f>
        <v/>
      </c>
      <c r="BQ71" s="5">
        <f>SUMPRODUCT(Adds!$C$269:$BQ$269,Curves!$H$16:$BV$16)+SUMPRODUCT(Adds!$C$270:$BQ$270,Curves!$H$39:$BV$39)+SUMPRODUCT(Adds!$C$271:$BQ$271,Curves!$H$62:$BV$62)</f>
        <v/>
      </c>
      <c r="BR71" s="5">
        <f>SUMPRODUCT(Adds!$C$269:$BR$269,Curves!$G$16:$BV$16)+SUMPRODUCT(Adds!$C$270:$BR$270,Curves!$G$39:$BV$39)+SUMPRODUCT(Adds!$C$271:$BR$271,Curves!$G$62:$BV$62)</f>
        <v/>
      </c>
      <c r="BS71" s="5">
        <f>SUMPRODUCT(Adds!$C$269:$BS$269,Curves!$F$16:$BV$16)+SUMPRODUCT(Adds!$C$270:$BS$270,Curves!$F$39:$BV$39)+SUMPRODUCT(Adds!$C$271:$BS$271,Curves!$F$62:$BV$62)</f>
        <v/>
      </c>
      <c r="BT71" s="5">
        <f>SUMPRODUCT(Adds!$C$269:$BT$269,Curves!$E$16:$BV$16)+SUMPRODUCT(Adds!$C$270:$BT$270,Curves!$E$39:$BV$39)+SUMPRODUCT(Adds!$C$271:$BT$271,Curves!$E$62:$BV$62)</f>
        <v/>
      </c>
      <c r="BU71" s="5">
        <f>SUMPRODUCT(Adds!$C$269:$BU$269,Curves!$D$16:$BV$16)+SUMPRODUCT(Adds!$C$270:$BU$270,Curves!$D$39:$BV$39)+SUMPRODUCT(Adds!$C$271:$BU$271,Curves!$D$62:$BV$62)</f>
        <v/>
      </c>
      <c r="BV71" s="5">
        <f>SUMPRODUCT(Adds!$C$269:$BV$269,Curves!$C$16:$BV$16)+SUMPRODUCT(Adds!$C$270:$BV$270,Curves!$C$39:$BV$39)+SUMPRODUCT(Adds!$C$271:$BV$271,Curves!$C$62:$BV$62)</f>
        <v/>
      </c>
    </row>
    <row r="72">
      <c r="A72" t="inlineStr">
        <is>
          <t>active yr 1</t>
        </is>
      </c>
      <c r="B72" t="inlineStr">
        <is>
          <t>ROW|NITRO_A</t>
        </is>
      </c>
      <c r="C72" s="5">
        <f>Adds!$C$269*Curves!$BV$23+Adds!$C$270*Curves!$BV$46+Adds!$C$271*Curves!$BV$69</f>
        <v/>
      </c>
      <c r="D72" s="5">
        <f>SUMPRODUCT(Adds!$C$269:$D$269,Curves!$BU$23:$BV$23)+SUMPRODUCT(Adds!$C$270:$D$270,Curves!$BU$46:$BV$46)+SUMPRODUCT(Adds!$C$271:$D$271,Curves!$BU$69:$BV$69)</f>
        <v/>
      </c>
      <c r="E72" s="5">
        <f>SUMPRODUCT(Adds!$C$269:$E$269,Curves!$BT$23:$BV$23)+SUMPRODUCT(Adds!$C$270:$E$270,Curves!$BT$46:$BV$46)+SUMPRODUCT(Adds!$C$271:$E$271,Curves!$BT$69:$BV$69)</f>
        <v/>
      </c>
      <c r="F72" s="5">
        <f>SUMPRODUCT(Adds!$C$269:$F$269,Curves!$BS$23:$BV$23)+SUMPRODUCT(Adds!$C$270:$F$270,Curves!$BS$46:$BV$46)+SUMPRODUCT(Adds!$C$271:$F$271,Curves!$BS$69:$BV$69)</f>
        <v/>
      </c>
      <c r="G72" s="5">
        <f>SUMPRODUCT(Adds!$C$269:$G$269,Curves!$BR$23:$BV$23)+SUMPRODUCT(Adds!$C$270:$G$270,Curves!$BR$46:$BV$46)+SUMPRODUCT(Adds!$C$271:$G$271,Curves!$BR$69:$BV$69)</f>
        <v/>
      </c>
      <c r="H72" s="5">
        <f>SUMPRODUCT(Adds!$C$269:$H$269,Curves!$BQ$23:$BV$23)+SUMPRODUCT(Adds!$C$270:$H$270,Curves!$BQ$46:$BV$46)+SUMPRODUCT(Adds!$C$271:$H$271,Curves!$BQ$69:$BV$69)</f>
        <v/>
      </c>
      <c r="I72" s="5">
        <f>SUMPRODUCT(Adds!$C$269:$I$269,Curves!$BP$23:$BV$23)+SUMPRODUCT(Adds!$C$270:$I$270,Curves!$BP$46:$BV$46)+SUMPRODUCT(Adds!$C$271:$I$271,Curves!$BP$69:$BV$69)</f>
        <v/>
      </c>
      <c r="J72" s="5">
        <f>SUMPRODUCT(Adds!$C$269:$J$269,Curves!$BO$23:$BV$23)+SUMPRODUCT(Adds!$C$270:$J$270,Curves!$BO$46:$BV$46)+SUMPRODUCT(Adds!$C$271:$J$271,Curves!$BO$69:$BV$69)</f>
        <v/>
      </c>
      <c r="K72" s="5">
        <f>SUMPRODUCT(Adds!$C$269:$K$269,Curves!$BN$23:$BV$23)+SUMPRODUCT(Adds!$C$270:$K$270,Curves!$BN$46:$BV$46)+SUMPRODUCT(Adds!$C$271:$K$271,Curves!$BN$69:$BV$69)</f>
        <v/>
      </c>
      <c r="L72" s="5">
        <f>SUMPRODUCT(Adds!$C$269:$L$269,Curves!$BM$23:$BV$23)+SUMPRODUCT(Adds!$C$270:$L$270,Curves!$BM$46:$BV$46)+SUMPRODUCT(Adds!$C$271:$L$271,Curves!$BM$69:$BV$69)</f>
        <v/>
      </c>
      <c r="M72" s="5">
        <f>SUMPRODUCT(Adds!$C$269:$M$269,Curves!$BL$23:$BV$23)+SUMPRODUCT(Adds!$C$270:$M$270,Curves!$BL$46:$BV$46)+SUMPRODUCT(Adds!$C$271:$M$271,Curves!$BL$69:$BV$69)</f>
        <v/>
      </c>
      <c r="N72" s="5">
        <f>SUMPRODUCT(Adds!$C$269:$N$269,Curves!$BK$23:$BV$23)+SUMPRODUCT(Adds!$C$270:$N$270,Curves!$BK$46:$BV$46)+SUMPRODUCT(Adds!$C$271:$N$271,Curves!$BK$69:$BV$69)</f>
        <v/>
      </c>
      <c r="O72" s="5">
        <f>SUMPRODUCT(Adds!$C$269:$O$269,Curves!$BJ$23:$BV$23)+SUMPRODUCT(Adds!$C$270:$O$270,Curves!$BJ$46:$BV$46)+SUMPRODUCT(Adds!$C$271:$O$271,Curves!$BJ$69:$BV$69)</f>
        <v/>
      </c>
      <c r="P72" s="5">
        <f>SUMPRODUCT(Adds!$C$269:$P$269,Curves!$BI$23:$BV$23)+SUMPRODUCT(Adds!$C$270:$P$270,Curves!$BI$46:$BV$46)+SUMPRODUCT(Adds!$C$271:$P$271,Curves!$BI$69:$BV$69)</f>
        <v/>
      </c>
      <c r="Q72" s="5">
        <f>SUMPRODUCT(Adds!$C$269:$Q$269,Curves!$BH$23:$BV$23)+SUMPRODUCT(Adds!$C$270:$Q$270,Curves!$BH$46:$BV$46)+SUMPRODUCT(Adds!$C$271:$Q$271,Curves!$BH$69:$BV$69)</f>
        <v/>
      </c>
      <c r="R72" s="5">
        <f>SUMPRODUCT(Adds!$C$269:$R$269,Curves!$BG$23:$BV$23)+SUMPRODUCT(Adds!$C$270:$R$270,Curves!$BG$46:$BV$46)+SUMPRODUCT(Adds!$C$271:$R$271,Curves!$BG$69:$BV$69)</f>
        <v/>
      </c>
      <c r="S72" s="5">
        <f>SUMPRODUCT(Adds!$C$269:$S$269,Curves!$BF$23:$BV$23)+SUMPRODUCT(Adds!$C$270:$S$270,Curves!$BF$46:$BV$46)+SUMPRODUCT(Adds!$C$271:$S$271,Curves!$BF$69:$BV$69)</f>
        <v/>
      </c>
      <c r="T72" s="5">
        <f>SUMPRODUCT(Adds!$C$269:$T$269,Curves!$BE$23:$BV$23)+SUMPRODUCT(Adds!$C$270:$T$270,Curves!$BE$46:$BV$46)+SUMPRODUCT(Adds!$C$271:$T$271,Curves!$BE$69:$BV$69)</f>
        <v/>
      </c>
      <c r="U72" s="5">
        <f>SUMPRODUCT(Adds!$C$269:$U$269,Curves!$BD$23:$BV$23)+SUMPRODUCT(Adds!$C$270:$U$270,Curves!$BD$46:$BV$46)+SUMPRODUCT(Adds!$C$271:$U$271,Curves!$BD$69:$BV$69)</f>
        <v/>
      </c>
      <c r="V72" s="5">
        <f>SUMPRODUCT(Adds!$C$269:$V$269,Curves!$BC$23:$BV$23)+SUMPRODUCT(Adds!$C$270:$V$270,Curves!$BC$46:$BV$46)+SUMPRODUCT(Adds!$C$271:$V$271,Curves!$BC$69:$BV$69)</f>
        <v/>
      </c>
      <c r="W72" s="5">
        <f>SUMPRODUCT(Adds!$C$269:$W$269,Curves!$BB$23:$BV$23)+SUMPRODUCT(Adds!$C$270:$W$270,Curves!$BB$46:$BV$46)+SUMPRODUCT(Adds!$C$271:$W$271,Curves!$BB$69:$BV$69)</f>
        <v/>
      </c>
      <c r="X72" s="5">
        <f>SUMPRODUCT(Adds!$C$269:$X$269,Curves!$BA$23:$BV$23)+SUMPRODUCT(Adds!$C$270:$X$270,Curves!$BA$46:$BV$46)+SUMPRODUCT(Adds!$C$271:$X$271,Curves!$BA$69:$BV$69)</f>
        <v/>
      </c>
      <c r="Y72" s="5">
        <f>SUMPRODUCT(Adds!$C$269:$Y$269,Curves!$AZ$23:$BV$23)+SUMPRODUCT(Adds!$C$270:$Y$270,Curves!$AZ$46:$BV$46)+SUMPRODUCT(Adds!$C$271:$Y$271,Curves!$AZ$69:$BV$69)</f>
        <v/>
      </c>
      <c r="Z72" s="5">
        <f>SUMPRODUCT(Adds!$C$269:$Z$269,Curves!$AY$23:$BV$23)+SUMPRODUCT(Adds!$C$270:$Z$270,Curves!$AY$46:$BV$46)+SUMPRODUCT(Adds!$C$271:$Z$271,Curves!$AY$69:$BV$69)</f>
        <v/>
      </c>
      <c r="AA72" s="5">
        <f>SUMPRODUCT(Adds!$C$269:$AA$269,Curves!$AX$23:$BV$23)+SUMPRODUCT(Adds!$C$270:$AA$270,Curves!$AX$46:$BV$46)+SUMPRODUCT(Adds!$C$271:$AA$271,Curves!$AX$69:$BV$69)</f>
        <v/>
      </c>
      <c r="AB72" s="5">
        <f>SUMPRODUCT(Adds!$C$269:$AB$269,Curves!$AW$23:$BV$23)+SUMPRODUCT(Adds!$C$270:$AB$270,Curves!$AW$46:$BV$46)+SUMPRODUCT(Adds!$C$271:$AB$271,Curves!$AW$69:$BV$69)</f>
        <v/>
      </c>
      <c r="AC72" s="5">
        <f>SUMPRODUCT(Adds!$C$269:$AC$269,Curves!$AV$23:$BV$23)+SUMPRODUCT(Adds!$C$270:$AC$270,Curves!$AV$46:$BV$46)+SUMPRODUCT(Adds!$C$271:$AC$271,Curves!$AV$69:$BV$69)</f>
        <v/>
      </c>
      <c r="AD72" s="5">
        <f>SUMPRODUCT(Adds!$C$269:$AD$269,Curves!$AU$23:$BV$23)+SUMPRODUCT(Adds!$C$270:$AD$270,Curves!$AU$46:$BV$46)+SUMPRODUCT(Adds!$C$271:$AD$271,Curves!$AU$69:$BV$69)</f>
        <v/>
      </c>
      <c r="AE72" s="5">
        <f>SUMPRODUCT(Adds!$C$269:$AE$269,Curves!$AT$23:$BV$23)+SUMPRODUCT(Adds!$C$270:$AE$270,Curves!$AT$46:$BV$46)+SUMPRODUCT(Adds!$C$271:$AE$271,Curves!$AT$69:$BV$69)</f>
        <v/>
      </c>
      <c r="AF72" s="5">
        <f>SUMPRODUCT(Adds!$C$269:$AF$269,Curves!$AS$23:$BV$23)+SUMPRODUCT(Adds!$C$270:$AF$270,Curves!$AS$46:$BV$46)+SUMPRODUCT(Adds!$C$271:$AF$271,Curves!$AS$69:$BV$69)</f>
        <v/>
      </c>
      <c r="AG72" s="5">
        <f>SUMPRODUCT(Adds!$C$269:$AG$269,Curves!$AR$23:$BV$23)+SUMPRODUCT(Adds!$C$270:$AG$270,Curves!$AR$46:$BV$46)+SUMPRODUCT(Adds!$C$271:$AG$271,Curves!$AR$69:$BV$69)</f>
        <v/>
      </c>
      <c r="AH72" s="5">
        <f>SUMPRODUCT(Adds!$C$269:$AH$269,Curves!$AQ$23:$BV$23)+SUMPRODUCT(Adds!$C$270:$AH$270,Curves!$AQ$46:$BV$46)+SUMPRODUCT(Adds!$C$271:$AH$271,Curves!$AQ$69:$BV$69)</f>
        <v/>
      </c>
      <c r="AI72" s="5">
        <f>SUMPRODUCT(Adds!$C$269:$AI$269,Curves!$AP$23:$BV$23)+SUMPRODUCT(Adds!$C$270:$AI$270,Curves!$AP$46:$BV$46)+SUMPRODUCT(Adds!$C$271:$AI$271,Curves!$AP$69:$BV$69)</f>
        <v/>
      </c>
      <c r="AJ72" s="5">
        <f>SUMPRODUCT(Adds!$C$269:$AJ$269,Curves!$AO$23:$BV$23)+SUMPRODUCT(Adds!$C$270:$AJ$270,Curves!$AO$46:$BV$46)+SUMPRODUCT(Adds!$C$271:$AJ$271,Curves!$AO$69:$BV$69)</f>
        <v/>
      </c>
      <c r="AK72" s="5">
        <f>SUMPRODUCT(Adds!$C$269:$AK$269,Curves!$AN$23:$BV$23)+SUMPRODUCT(Adds!$C$270:$AK$270,Curves!$AN$46:$BV$46)+SUMPRODUCT(Adds!$C$271:$AK$271,Curves!$AN$69:$BV$69)</f>
        <v/>
      </c>
      <c r="AL72" s="5">
        <f>SUMPRODUCT(Adds!$C$269:$AL$269,Curves!$AM$23:$BV$23)+SUMPRODUCT(Adds!$C$270:$AL$270,Curves!$AM$46:$BV$46)+SUMPRODUCT(Adds!$C$271:$AL$271,Curves!$AM$69:$BV$69)</f>
        <v/>
      </c>
      <c r="AM72" s="5">
        <f>SUMPRODUCT(Adds!$C$269:$AM$269,Curves!$AL$23:$BV$23)+SUMPRODUCT(Adds!$C$270:$AM$270,Curves!$AL$46:$BV$46)+SUMPRODUCT(Adds!$C$271:$AM$271,Curves!$AL$69:$BV$69)</f>
        <v/>
      </c>
      <c r="AN72" s="5">
        <f>SUMPRODUCT(Adds!$C$269:$AN$269,Curves!$AK$23:$BV$23)+SUMPRODUCT(Adds!$C$270:$AN$270,Curves!$AK$46:$BV$46)+SUMPRODUCT(Adds!$C$271:$AN$271,Curves!$AK$69:$BV$69)</f>
        <v/>
      </c>
      <c r="AO72" s="5">
        <f>SUMPRODUCT(Adds!$C$269:$AO$269,Curves!$AJ$23:$BV$23)+SUMPRODUCT(Adds!$C$270:$AO$270,Curves!$AJ$46:$BV$46)+SUMPRODUCT(Adds!$C$271:$AO$271,Curves!$AJ$69:$BV$69)</f>
        <v/>
      </c>
      <c r="AP72" s="5">
        <f>SUMPRODUCT(Adds!$C$269:$AP$269,Curves!$AI$23:$BV$23)+SUMPRODUCT(Adds!$C$270:$AP$270,Curves!$AI$46:$BV$46)+SUMPRODUCT(Adds!$C$271:$AP$271,Curves!$AI$69:$BV$69)</f>
        <v/>
      </c>
      <c r="AQ72" s="5">
        <f>SUMPRODUCT(Adds!$C$269:$AQ$269,Curves!$AH$23:$BV$23)+SUMPRODUCT(Adds!$C$270:$AQ$270,Curves!$AH$46:$BV$46)+SUMPRODUCT(Adds!$C$271:$AQ$271,Curves!$AH$69:$BV$69)</f>
        <v/>
      </c>
      <c r="AR72" s="5">
        <f>SUMPRODUCT(Adds!$C$269:$AR$269,Curves!$AG$23:$BV$23)+SUMPRODUCT(Adds!$C$270:$AR$270,Curves!$AG$46:$BV$46)+SUMPRODUCT(Adds!$C$271:$AR$271,Curves!$AG$69:$BV$69)</f>
        <v/>
      </c>
      <c r="AS72" s="5">
        <f>SUMPRODUCT(Adds!$C$269:$AS$269,Curves!$AF$23:$BV$23)+SUMPRODUCT(Adds!$C$270:$AS$270,Curves!$AF$46:$BV$46)+SUMPRODUCT(Adds!$C$271:$AS$271,Curves!$AF$69:$BV$69)</f>
        <v/>
      </c>
      <c r="AT72" s="5">
        <f>SUMPRODUCT(Adds!$C$269:$AT$269,Curves!$AE$23:$BV$23)+SUMPRODUCT(Adds!$C$270:$AT$270,Curves!$AE$46:$BV$46)+SUMPRODUCT(Adds!$C$271:$AT$271,Curves!$AE$69:$BV$69)</f>
        <v/>
      </c>
      <c r="AU72" s="5">
        <f>SUMPRODUCT(Adds!$C$269:$AU$269,Curves!$AD$23:$BV$23)+SUMPRODUCT(Adds!$C$270:$AU$270,Curves!$AD$46:$BV$46)+SUMPRODUCT(Adds!$C$271:$AU$271,Curves!$AD$69:$BV$69)</f>
        <v/>
      </c>
      <c r="AV72" s="5">
        <f>SUMPRODUCT(Adds!$C$269:$AV$269,Curves!$AC$23:$BV$23)+SUMPRODUCT(Adds!$C$270:$AV$270,Curves!$AC$46:$BV$46)+SUMPRODUCT(Adds!$C$271:$AV$271,Curves!$AC$69:$BV$69)</f>
        <v/>
      </c>
      <c r="AW72" s="5">
        <f>SUMPRODUCT(Adds!$C$269:$AW$269,Curves!$AB$23:$BV$23)+SUMPRODUCT(Adds!$C$270:$AW$270,Curves!$AB$46:$BV$46)+SUMPRODUCT(Adds!$C$271:$AW$271,Curves!$AB$69:$BV$69)</f>
        <v/>
      </c>
      <c r="AX72" s="5">
        <f>SUMPRODUCT(Adds!$C$269:$AX$269,Curves!$AA$23:$BV$23)+SUMPRODUCT(Adds!$C$270:$AX$270,Curves!$AA$46:$BV$46)+SUMPRODUCT(Adds!$C$271:$AX$271,Curves!$AA$69:$BV$69)</f>
        <v/>
      </c>
      <c r="AY72" s="5">
        <f>SUMPRODUCT(Adds!$C$269:$AY$269,Curves!$Z$23:$BV$23)+SUMPRODUCT(Adds!$C$270:$AY$270,Curves!$Z$46:$BV$46)+SUMPRODUCT(Adds!$C$271:$AY$271,Curves!$Z$69:$BV$69)</f>
        <v/>
      </c>
      <c r="AZ72" s="5">
        <f>SUMPRODUCT(Adds!$C$269:$AZ$269,Curves!$Y$23:$BV$23)+SUMPRODUCT(Adds!$C$270:$AZ$270,Curves!$Y$46:$BV$46)+SUMPRODUCT(Adds!$C$271:$AZ$271,Curves!$Y$69:$BV$69)</f>
        <v/>
      </c>
      <c r="BA72" s="5">
        <f>SUMPRODUCT(Adds!$C$269:$BA$269,Curves!$X$23:$BV$23)+SUMPRODUCT(Adds!$C$270:$BA$270,Curves!$X$46:$BV$46)+SUMPRODUCT(Adds!$C$271:$BA$271,Curves!$X$69:$BV$69)</f>
        <v/>
      </c>
      <c r="BB72" s="5">
        <f>SUMPRODUCT(Adds!$C$269:$BB$269,Curves!$W$23:$BV$23)+SUMPRODUCT(Adds!$C$270:$BB$270,Curves!$W$46:$BV$46)+SUMPRODUCT(Adds!$C$271:$BB$271,Curves!$W$69:$BV$69)</f>
        <v/>
      </c>
      <c r="BC72" s="5">
        <f>SUMPRODUCT(Adds!$C$269:$BC$269,Curves!$V$23:$BV$23)+SUMPRODUCT(Adds!$C$270:$BC$270,Curves!$V$46:$BV$46)+SUMPRODUCT(Adds!$C$271:$BC$271,Curves!$V$69:$BV$69)</f>
        <v/>
      </c>
      <c r="BD72" s="5">
        <f>SUMPRODUCT(Adds!$C$269:$BD$269,Curves!$U$23:$BV$23)+SUMPRODUCT(Adds!$C$270:$BD$270,Curves!$U$46:$BV$46)+SUMPRODUCT(Adds!$C$271:$BD$271,Curves!$U$69:$BV$69)</f>
        <v/>
      </c>
      <c r="BE72" s="5">
        <f>SUMPRODUCT(Adds!$C$269:$BE$269,Curves!$T$23:$BV$23)+SUMPRODUCT(Adds!$C$270:$BE$270,Curves!$T$46:$BV$46)+SUMPRODUCT(Adds!$C$271:$BE$271,Curves!$T$69:$BV$69)</f>
        <v/>
      </c>
      <c r="BF72" s="5">
        <f>SUMPRODUCT(Adds!$C$269:$BF$269,Curves!$S$23:$BV$23)+SUMPRODUCT(Adds!$C$270:$BF$270,Curves!$S$46:$BV$46)+SUMPRODUCT(Adds!$C$271:$BF$271,Curves!$S$69:$BV$69)</f>
        <v/>
      </c>
      <c r="BG72" s="5">
        <f>SUMPRODUCT(Adds!$C$269:$BG$269,Curves!$R$23:$BV$23)+SUMPRODUCT(Adds!$C$270:$BG$270,Curves!$R$46:$BV$46)+SUMPRODUCT(Adds!$C$271:$BG$271,Curves!$R$69:$BV$69)</f>
        <v/>
      </c>
      <c r="BH72" s="5">
        <f>SUMPRODUCT(Adds!$C$269:$BH$269,Curves!$Q$23:$BV$23)+SUMPRODUCT(Adds!$C$270:$BH$270,Curves!$Q$46:$BV$46)+SUMPRODUCT(Adds!$C$271:$BH$271,Curves!$Q$69:$BV$69)</f>
        <v/>
      </c>
      <c r="BI72" s="5">
        <f>SUMPRODUCT(Adds!$C$269:$BI$269,Curves!$P$23:$BV$23)+SUMPRODUCT(Adds!$C$270:$BI$270,Curves!$P$46:$BV$46)+SUMPRODUCT(Adds!$C$271:$BI$271,Curves!$P$69:$BV$69)</f>
        <v/>
      </c>
      <c r="BJ72" s="5">
        <f>SUMPRODUCT(Adds!$C$269:$BJ$269,Curves!$O$23:$BV$23)+SUMPRODUCT(Adds!$C$270:$BJ$270,Curves!$O$46:$BV$46)+SUMPRODUCT(Adds!$C$271:$BJ$271,Curves!$O$69:$BV$69)</f>
        <v/>
      </c>
      <c r="BK72" s="5">
        <f>SUMPRODUCT(Adds!$C$269:$BK$269,Curves!$N$23:$BV$23)+SUMPRODUCT(Adds!$C$270:$BK$270,Curves!$N$46:$BV$46)+SUMPRODUCT(Adds!$C$271:$BK$271,Curves!$N$69:$BV$69)</f>
        <v/>
      </c>
      <c r="BL72" s="5">
        <f>SUMPRODUCT(Adds!$C$269:$BL$269,Curves!$M$23:$BV$23)+SUMPRODUCT(Adds!$C$270:$BL$270,Curves!$M$46:$BV$46)+SUMPRODUCT(Adds!$C$271:$BL$271,Curves!$M$69:$BV$69)</f>
        <v/>
      </c>
      <c r="BM72" s="5">
        <f>SUMPRODUCT(Adds!$C$269:$BM$269,Curves!$L$23:$BV$23)+SUMPRODUCT(Adds!$C$270:$BM$270,Curves!$L$46:$BV$46)+SUMPRODUCT(Adds!$C$271:$BM$271,Curves!$L$69:$BV$69)</f>
        <v/>
      </c>
      <c r="BN72" s="5">
        <f>SUMPRODUCT(Adds!$C$269:$BN$269,Curves!$K$23:$BV$23)+SUMPRODUCT(Adds!$C$270:$BN$270,Curves!$K$46:$BV$46)+SUMPRODUCT(Adds!$C$271:$BN$271,Curves!$K$69:$BV$69)</f>
        <v/>
      </c>
      <c r="BO72" s="5">
        <f>SUMPRODUCT(Adds!$C$269:$BO$269,Curves!$J$23:$BV$23)+SUMPRODUCT(Adds!$C$270:$BO$270,Curves!$J$46:$BV$46)+SUMPRODUCT(Adds!$C$271:$BO$271,Curves!$J$69:$BV$69)</f>
        <v/>
      </c>
      <c r="BP72" s="5">
        <f>SUMPRODUCT(Adds!$C$269:$BP$269,Curves!$I$23:$BV$23)+SUMPRODUCT(Adds!$C$270:$BP$270,Curves!$I$46:$BV$46)+SUMPRODUCT(Adds!$C$271:$BP$271,Curves!$I$69:$BV$69)</f>
        <v/>
      </c>
      <c r="BQ72" s="5">
        <f>SUMPRODUCT(Adds!$C$269:$BQ$269,Curves!$H$23:$BV$23)+SUMPRODUCT(Adds!$C$270:$BQ$270,Curves!$H$46:$BV$46)+SUMPRODUCT(Adds!$C$271:$BQ$271,Curves!$H$69:$BV$69)</f>
        <v/>
      </c>
      <c r="BR72" s="5">
        <f>SUMPRODUCT(Adds!$C$269:$BR$269,Curves!$G$23:$BV$23)+SUMPRODUCT(Adds!$C$270:$BR$270,Curves!$G$46:$BV$46)+SUMPRODUCT(Adds!$C$271:$BR$271,Curves!$G$69:$BV$69)</f>
        <v/>
      </c>
      <c r="BS72" s="5">
        <f>SUMPRODUCT(Adds!$C$269:$BS$269,Curves!$F$23:$BV$23)+SUMPRODUCT(Adds!$C$270:$BS$270,Curves!$F$46:$BV$46)+SUMPRODUCT(Adds!$C$271:$BS$271,Curves!$F$69:$BV$69)</f>
        <v/>
      </c>
      <c r="BT72" s="5">
        <f>SUMPRODUCT(Adds!$C$269:$BT$269,Curves!$E$23:$BV$23)+SUMPRODUCT(Adds!$C$270:$BT$270,Curves!$E$46:$BV$46)+SUMPRODUCT(Adds!$C$271:$BT$271,Curves!$E$69:$BV$69)</f>
        <v/>
      </c>
      <c r="BU72" s="5">
        <f>SUMPRODUCT(Adds!$C$269:$BU$269,Curves!$D$23:$BV$23)+SUMPRODUCT(Adds!$C$270:$BU$270,Curves!$D$46:$BV$46)+SUMPRODUCT(Adds!$C$271:$BU$271,Curves!$D$69:$BV$69)</f>
        <v/>
      </c>
      <c r="BV72" s="5">
        <f>SUMPRODUCT(Adds!$C$269:$BV$269,Curves!$C$23:$BV$23)+SUMPRODUCT(Adds!$C$270:$BV$270,Curves!$C$46:$BV$46)+SUMPRODUCT(Adds!$C$271:$BV$271,Curves!$C$69:$BV$69)</f>
        <v/>
      </c>
    </row>
    <row r="73">
      <c r="A73" t="inlineStr">
        <is>
          <t>churned</t>
        </is>
      </c>
      <c r="B73" t="inlineStr">
        <is>
          <t>ROW|NITRO_A</t>
        </is>
      </c>
      <c r="C73" s="5">
        <f>Adds!$C$269*Curves!$BV$18+Adds!$C$270*Curves!$BV$41+Adds!$C$271*Curves!$BV$64</f>
        <v/>
      </c>
      <c r="D73" s="5">
        <f>SUMPRODUCT(Adds!$C$269:$D$269,Curves!$BU$18:$BV$18)+SUMPRODUCT(Adds!$C$270:$D$270,Curves!$BU$41:$BV$41)+SUMPRODUCT(Adds!$C$271:$D$271,Curves!$BU$64:$BV$64)</f>
        <v/>
      </c>
      <c r="E73" s="5">
        <f>SUMPRODUCT(Adds!$C$269:$E$269,Curves!$BT$18:$BV$18)+SUMPRODUCT(Adds!$C$270:$E$270,Curves!$BT$41:$BV$41)+SUMPRODUCT(Adds!$C$271:$E$271,Curves!$BT$64:$BV$64)</f>
        <v/>
      </c>
      <c r="F73" s="5">
        <f>SUMPRODUCT(Adds!$C$269:$F$269,Curves!$BS$18:$BV$18)+SUMPRODUCT(Adds!$C$270:$F$270,Curves!$BS$41:$BV$41)+SUMPRODUCT(Adds!$C$271:$F$271,Curves!$BS$64:$BV$64)</f>
        <v/>
      </c>
      <c r="G73" s="5">
        <f>SUMPRODUCT(Adds!$C$269:$G$269,Curves!$BR$18:$BV$18)+SUMPRODUCT(Adds!$C$270:$G$270,Curves!$BR$41:$BV$41)+SUMPRODUCT(Adds!$C$271:$G$271,Curves!$BR$64:$BV$64)</f>
        <v/>
      </c>
      <c r="H73" s="5">
        <f>SUMPRODUCT(Adds!$C$269:$H$269,Curves!$BQ$18:$BV$18)+SUMPRODUCT(Adds!$C$270:$H$270,Curves!$BQ$41:$BV$41)+SUMPRODUCT(Adds!$C$271:$H$271,Curves!$BQ$64:$BV$64)</f>
        <v/>
      </c>
      <c r="I73" s="5">
        <f>SUMPRODUCT(Adds!$C$269:$I$269,Curves!$BP$18:$BV$18)+SUMPRODUCT(Adds!$C$270:$I$270,Curves!$BP$41:$BV$41)+SUMPRODUCT(Adds!$C$271:$I$271,Curves!$BP$64:$BV$64)</f>
        <v/>
      </c>
      <c r="J73" s="5">
        <f>SUMPRODUCT(Adds!$C$269:$J$269,Curves!$BO$18:$BV$18)+SUMPRODUCT(Adds!$C$270:$J$270,Curves!$BO$41:$BV$41)+SUMPRODUCT(Adds!$C$271:$J$271,Curves!$BO$64:$BV$64)</f>
        <v/>
      </c>
      <c r="K73" s="5">
        <f>SUMPRODUCT(Adds!$C$269:$K$269,Curves!$BN$18:$BV$18)+SUMPRODUCT(Adds!$C$270:$K$270,Curves!$BN$41:$BV$41)+SUMPRODUCT(Adds!$C$271:$K$271,Curves!$BN$64:$BV$64)</f>
        <v/>
      </c>
      <c r="L73" s="5">
        <f>SUMPRODUCT(Adds!$C$269:$L$269,Curves!$BM$18:$BV$18)+SUMPRODUCT(Adds!$C$270:$L$270,Curves!$BM$41:$BV$41)+SUMPRODUCT(Adds!$C$271:$L$271,Curves!$BM$64:$BV$64)</f>
        <v/>
      </c>
      <c r="M73" s="5">
        <f>SUMPRODUCT(Adds!$C$269:$M$269,Curves!$BL$18:$BV$18)+SUMPRODUCT(Adds!$C$270:$M$270,Curves!$BL$41:$BV$41)+SUMPRODUCT(Adds!$C$271:$M$271,Curves!$BL$64:$BV$64)</f>
        <v/>
      </c>
      <c r="N73" s="5">
        <f>SUMPRODUCT(Adds!$C$269:$N$269,Curves!$BK$18:$BV$18)+SUMPRODUCT(Adds!$C$270:$N$270,Curves!$BK$41:$BV$41)+SUMPRODUCT(Adds!$C$271:$N$271,Curves!$BK$64:$BV$64)</f>
        <v/>
      </c>
      <c r="O73" s="5">
        <f>SUMPRODUCT(Adds!$C$269:$O$269,Curves!$BJ$18:$BV$18)+SUMPRODUCT(Adds!$C$270:$O$270,Curves!$BJ$41:$BV$41)+SUMPRODUCT(Adds!$C$271:$O$271,Curves!$BJ$64:$BV$64)</f>
        <v/>
      </c>
      <c r="P73" s="5">
        <f>SUMPRODUCT(Adds!$C$269:$P$269,Curves!$BI$18:$BV$18)+SUMPRODUCT(Adds!$C$270:$P$270,Curves!$BI$41:$BV$41)+SUMPRODUCT(Adds!$C$271:$P$271,Curves!$BI$64:$BV$64)</f>
        <v/>
      </c>
      <c r="Q73" s="5">
        <f>SUMPRODUCT(Adds!$C$269:$Q$269,Curves!$BH$18:$BV$18)+SUMPRODUCT(Adds!$C$270:$Q$270,Curves!$BH$41:$BV$41)+SUMPRODUCT(Adds!$C$271:$Q$271,Curves!$BH$64:$BV$64)</f>
        <v/>
      </c>
      <c r="R73" s="5">
        <f>SUMPRODUCT(Adds!$C$269:$R$269,Curves!$BG$18:$BV$18)+SUMPRODUCT(Adds!$C$270:$R$270,Curves!$BG$41:$BV$41)+SUMPRODUCT(Adds!$C$271:$R$271,Curves!$BG$64:$BV$64)</f>
        <v/>
      </c>
      <c r="S73" s="5">
        <f>SUMPRODUCT(Adds!$C$269:$S$269,Curves!$BF$18:$BV$18)+SUMPRODUCT(Adds!$C$270:$S$270,Curves!$BF$41:$BV$41)+SUMPRODUCT(Adds!$C$271:$S$271,Curves!$BF$64:$BV$64)</f>
        <v/>
      </c>
      <c r="T73" s="5">
        <f>SUMPRODUCT(Adds!$C$269:$T$269,Curves!$BE$18:$BV$18)+SUMPRODUCT(Adds!$C$270:$T$270,Curves!$BE$41:$BV$41)+SUMPRODUCT(Adds!$C$271:$T$271,Curves!$BE$64:$BV$64)</f>
        <v/>
      </c>
      <c r="U73" s="5">
        <f>SUMPRODUCT(Adds!$C$269:$U$269,Curves!$BD$18:$BV$18)+SUMPRODUCT(Adds!$C$270:$U$270,Curves!$BD$41:$BV$41)+SUMPRODUCT(Adds!$C$271:$U$271,Curves!$BD$64:$BV$64)</f>
        <v/>
      </c>
      <c r="V73" s="5">
        <f>SUMPRODUCT(Adds!$C$269:$V$269,Curves!$BC$18:$BV$18)+SUMPRODUCT(Adds!$C$270:$V$270,Curves!$BC$41:$BV$41)+SUMPRODUCT(Adds!$C$271:$V$271,Curves!$BC$64:$BV$64)</f>
        <v/>
      </c>
      <c r="W73" s="5">
        <f>SUMPRODUCT(Adds!$C$269:$W$269,Curves!$BB$18:$BV$18)+SUMPRODUCT(Adds!$C$270:$W$270,Curves!$BB$41:$BV$41)+SUMPRODUCT(Adds!$C$271:$W$271,Curves!$BB$64:$BV$64)</f>
        <v/>
      </c>
      <c r="X73" s="5">
        <f>SUMPRODUCT(Adds!$C$269:$X$269,Curves!$BA$18:$BV$18)+SUMPRODUCT(Adds!$C$270:$X$270,Curves!$BA$41:$BV$41)+SUMPRODUCT(Adds!$C$271:$X$271,Curves!$BA$64:$BV$64)</f>
        <v/>
      </c>
      <c r="Y73" s="5">
        <f>SUMPRODUCT(Adds!$C$269:$Y$269,Curves!$AZ$18:$BV$18)+SUMPRODUCT(Adds!$C$270:$Y$270,Curves!$AZ$41:$BV$41)+SUMPRODUCT(Adds!$C$271:$Y$271,Curves!$AZ$64:$BV$64)</f>
        <v/>
      </c>
      <c r="Z73" s="5">
        <f>SUMPRODUCT(Adds!$C$269:$Z$269,Curves!$AY$18:$BV$18)+SUMPRODUCT(Adds!$C$270:$Z$270,Curves!$AY$41:$BV$41)+SUMPRODUCT(Adds!$C$271:$Z$271,Curves!$AY$64:$BV$64)</f>
        <v/>
      </c>
      <c r="AA73" s="5">
        <f>SUMPRODUCT(Adds!$C$269:$AA$269,Curves!$AX$18:$BV$18)+SUMPRODUCT(Adds!$C$270:$AA$270,Curves!$AX$41:$BV$41)+SUMPRODUCT(Adds!$C$271:$AA$271,Curves!$AX$64:$BV$64)</f>
        <v/>
      </c>
      <c r="AB73" s="5">
        <f>SUMPRODUCT(Adds!$C$269:$AB$269,Curves!$AW$18:$BV$18)+SUMPRODUCT(Adds!$C$270:$AB$270,Curves!$AW$41:$BV$41)+SUMPRODUCT(Adds!$C$271:$AB$271,Curves!$AW$64:$BV$64)</f>
        <v/>
      </c>
      <c r="AC73" s="5">
        <f>SUMPRODUCT(Adds!$C$269:$AC$269,Curves!$AV$18:$BV$18)+SUMPRODUCT(Adds!$C$270:$AC$270,Curves!$AV$41:$BV$41)+SUMPRODUCT(Adds!$C$271:$AC$271,Curves!$AV$64:$BV$64)</f>
        <v/>
      </c>
      <c r="AD73" s="5">
        <f>SUMPRODUCT(Adds!$C$269:$AD$269,Curves!$AU$18:$BV$18)+SUMPRODUCT(Adds!$C$270:$AD$270,Curves!$AU$41:$BV$41)+SUMPRODUCT(Adds!$C$271:$AD$271,Curves!$AU$64:$BV$64)</f>
        <v/>
      </c>
      <c r="AE73" s="5">
        <f>SUMPRODUCT(Adds!$C$269:$AE$269,Curves!$AT$18:$BV$18)+SUMPRODUCT(Adds!$C$270:$AE$270,Curves!$AT$41:$BV$41)+SUMPRODUCT(Adds!$C$271:$AE$271,Curves!$AT$64:$BV$64)</f>
        <v/>
      </c>
      <c r="AF73" s="5">
        <f>SUMPRODUCT(Adds!$C$269:$AF$269,Curves!$AS$18:$BV$18)+SUMPRODUCT(Adds!$C$270:$AF$270,Curves!$AS$41:$BV$41)+SUMPRODUCT(Adds!$C$271:$AF$271,Curves!$AS$64:$BV$64)</f>
        <v/>
      </c>
      <c r="AG73" s="5">
        <f>SUMPRODUCT(Adds!$C$269:$AG$269,Curves!$AR$18:$BV$18)+SUMPRODUCT(Adds!$C$270:$AG$270,Curves!$AR$41:$BV$41)+SUMPRODUCT(Adds!$C$271:$AG$271,Curves!$AR$64:$BV$64)</f>
        <v/>
      </c>
      <c r="AH73" s="5">
        <f>SUMPRODUCT(Adds!$C$269:$AH$269,Curves!$AQ$18:$BV$18)+SUMPRODUCT(Adds!$C$270:$AH$270,Curves!$AQ$41:$BV$41)+SUMPRODUCT(Adds!$C$271:$AH$271,Curves!$AQ$64:$BV$64)</f>
        <v/>
      </c>
      <c r="AI73" s="5">
        <f>SUMPRODUCT(Adds!$C$269:$AI$269,Curves!$AP$18:$BV$18)+SUMPRODUCT(Adds!$C$270:$AI$270,Curves!$AP$41:$BV$41)+SUMPRODUCT(Adds!$C$271:$AI$271,Curves!$AP$64:$BV$64)</f>
        <v/>
      </c>
      <c r="AJ73" s="5">
        <f>SUMPRODUCT(Adds!$C$269:$AJ$269,Curves!$AO$18:$BV$18)+SUMPRODUCT(Adds!$C$270:$AJ$270,Curves!$AO$41:$BV$41)+SUMPRODUCT(Adds!$C$271:$AJ$271,Curves!$AO$64:$BV$64)</f>
        <v/>
      </c>
      <c r="AK73" s="5">
        <f>SUMPRODUCT(Adds!$C$269:$AK$269,Curves!$AN$18:$BV$18)+SUMPRODUCT(Adds!$C$270:$AK$270,Curves!$AN$41:$BV$41)+SUMPRODUCT(Adds!$C$271:$AK$271,Curves!$AN$64:$BV$64)</f>
        <v/>
      </c>
      <c r="AL73" s="5">
        <f>SUMPRODUCT(Adds!$C$269:$AL$269,Curves!$AM$18:$BV$18)+SUMPRODUCT(Adds!$C$270:$AL$270,Curves!$AM$41:$BV$41)+SUMPRODUCT(Adds!$C$271:$AL$271,Curves!$AM$64:$BV$64)</f>
        <v/>
      </c>
      <c r="AM73" s="5">
        <f>SUMPRODUCT(Adds!$C$269:$AM$269,Curves!$AL$18:$BV$18)+SUMPRODUCT(Adds!$C$270:$AM$270,Curves!$AL$41:$BV$41)+SUMPRODUCT(Adds!$C$271:$AM$271,Curves!$AL$64:$BV$64)</f>
        <v/>
      </c>
      <c r="AN73" s="5">
        <f>SUMPRODUCT(Adds!$C$269:$AN$269,Curves!$AK$18:$BV$18)+SUMPRODUCT(Adds!$C$270:$AN$270,Curves!$AK$41:$BV$41)+SUMPRODUCT(Adds!$C$271:$AN$271,Curves!$AK$64:$BV$64)</f>
        <v/>
      </c>
      <c r="AO73" s="5">
        <f>SUMPRODUCT(Adds!$C$269:$AO$269,Curves!$AJ$18:$BV$18)+SUMPRODUCT(Adds!$C$270:$AO$270,Curves!$AJ$41:$BV$41)+SUMPRODUCT(Adds!$C$271:$AO$271,Curves!$AJ$64:$BV$64)</f>
        <v/>
      </c>
      <c r="AP73" s="5">
        <f>SUMPRODUCT(Adds!$C$269:$AP$269,Curves!$AI$18:$BV$18)+SUMPRODUCT(Adds!$C$270:$AP$270,Curves!$AI$41:$BV$41)+SUMPRODUCT(Adds!$C$271:$AP$271,Curves!$AI$64:$BV$64)</f>
        <v/>
      </c>
      <c r="AQ73" s="5">
        <f>SUMPRODUCT(Adds!$C$269:$AQ$269,Curves!$AH$18:$BV$18)+SUMPRODUCT(Adds!$C$270:$AQ$270,Curves!$AH$41:$BV$41)+SUMPRODUCT(Adds!$C$271:$AQ$271,Curves!$AH$64:$BV$64)</f>
        <v/>
      </c>
      <c r="AR73" s="5">
        <f>SUMPRODUCT(Adds!$C$269:$AR$269,Curves!$AG$18:$BV$18)+SUMPRODUCT(Adds!$C$270:$AR$270,Curves!$AG$41:$BV$41)+SUMPRODUCT(Adds!$C$271:$AR$271,Curves!$AG$64:$BV$64)</f>
        <v/>
      </c>
      <c r="AS73" s="5">
        <f>SUMPRODUCT(Adds!$C$269:$AS$269,Curves!$AF$18:$BV$18)+SUMPRODUCT(Adds!$C$270:$AS$270,Curves!$AF$41:$BV$41)+SUMPRODUCT(Adds!$C$271:$AS$271,Curves!$AF$64:$BV$64)</f>
        <v/>
      </c>
      <c r="AT73" s="5">
        <f>SUMPRODUCT(Adds!$C$269:$AT$269,Curves!$AE$18:$BV$18)+SUMPRODUCT(Adds!$C$270:$AT$270,Curves!$AE$41:$BV$41)+SUMPRODUCT(Adds!$C$271:$AT$271,Curves!$AE$64:$BV$64)</f>
        <v/>
      </c>
      <c r="AU73" s="5">
        <f>SUMPRODUCT(Adds!$C$269:$AU$269,Curves!$AD$18:$BV$18)+SUMPRODUCT(Adds!$C$270:$AU$270,Curves!$AD$41:$BV$41)+SUMPRODUCT(Adds!$C$271:$AU$271,Curves!$AD$64:$BV$64)</f>
        <v/>
      </c>
      <c r="AV73" s="5">
        <f>SUMPRODUCT(Adds!$C$269:$AV$269,Curves!$AC$18:$BV$18)+SUMPRODUCT(Adds!$C$270:$AV$270,Curves!$AC$41:$BV$41)+SUMPRODUCT(Adds!$C$271:$AV$271,Curves!$AC$64:$BV$64)</f>
        <v/>
      </c>
      <c r="AW73" s="5">
        <f>SUMPRODUCT(Adds!$C$269:$AW$269,Curves!$AB$18:$BV$18)+SUMPRODUCT(Adds!$C$270:$AW$270,Curves!$AB$41:$BV$41)+SUMPRODUCT(Adds!$C$271:$AW$271,Curves!$AB$64:$BV$64)</f>
        <v/>
      </c>
      <c r="AX73" s="5">
        <f>SUMPRODUCT(Adds!$C$269:$AX$269,Curves!$AA$18:$BV$18)+SUMPRODUCT(Adds!$C$270:$AX$270,Curves!$AA$41:$BV$41)+SUMPRODUCT(Adds!$C$271:$AX$271,Curves!$AA$64:$BV$64)</f>
        <v/>
      </c>
      <c r="AY73" s="5">
        <f>SUMPRODUCT(Adds!$C$269:$AY$269,Curves!$Z$18:$BV$18)+SUMPRODUCT(Adds!$C$270:$AY$270,Curves!$Z$41:$BV$41)+SUMPRODUCT(Adds!$C$271:$AY$271,Curves!$Z$64:$BV$64)</f>
        <v/>
      </c>
      <c r="AZ73" s="5">
        <f>SUMPRODUCT(Adds!$C$269:$AZ$269,Curves!$Y$18:$BV$18)+SUMPRODUCT(Adds!$C$270:$AZ$270,Curves!$Y$41:$BV$41)+SUMPRODUCT(Adds!$C$271:$AZ$271,Curves!$Y$64:$BV$64)</f>
        <v/>
      </c>
      <c r="BA73" s="5">
        <f>SUMPRODUCT(Adds!$C$269:$BA$269,Curves!$X$18:$BV$18)+SUMPRODUCT(Adds!$C$270:$BA$270,Curves!$X$41:$BV$41)+SUMPRODUCT(Adds!$C$271:$BA$271,Curves!$X$64:$BV$64)</f>
        <v/>
      </c>
      <c r="BB73" s="5">
        <f>SUMPRODUCT(Adds!$C$269:$BB$269,Curves!$W$18:$BV$18)+SUMPRODUCT(Adds!$C$270:$BB$270,Curves!$W$41:$BV$41)+SUMPRODUCT(Adds!$C$271:$BB$271,Curves!$W$64:$BV$64)</f>
        <v/>
      </c>
      <c r="BC73" s="5">
        <f>SUMPRODUCT(Adds!$C$269:$BC$269,Curves!$V$18:$BV$18)+SUMPRODUCT(Adds!$C$270:$BC$270,Curves!$V$41:$BV$41)+SUMPRODUCT(Adds!$C$271:$BC$271,Curves!$V$64:$BV$64)</f>
        <v/>
      </c>
      <c r="BD73" s="5">
        <f>SUMPRODUCT(Adds!$C$269:$BD$269,Curves!$U$18:$BV$18)+SUMPRODUCT(Adds!$C$270:$BD$270,Curves!$U$41:$BV$41)+SUMPRODUCT(Adds!$C$271:$BD$271,Curves!$U$64:$BV$64)</f>
        <v/>
      </c>
      <c r="BE73" s="5">
        <f>SUMPRODUCT(Adds!$C$269:$BE$269,Curves!$T$18:$BV$18)+SUMPRODUCT(Adds!$C$270:$BE$270,Curves!$T$41:$BV$41)+SUMPRODUCT(Adds!$C$271:$BE$271,Curves!$T$64:$BV$64)</f>
        <v/>
      </c>
      <c r="BF73" s="5">
        <f>SUMPRODUCT(Adds!$C$269:$BF$269,Curves!$S$18:$BV$18)+SUMPRODUCT(Adds!$C$270:$BF$270,Curves!$S$41:$BV$41)+SUMPRODUCT(Adds!$C$271:$BF$271,Curves!$S$64:$BV$64)</f>
        <v/>
      </c>
      <c r="BG73" s="5">
        <f>SUMPRODUCT(Adds!$C$269:$BG$269,Curves!$R$18:$BV$18)+SUMPRODUCT(Adds!$C$270:$BG$270,Curves!$R$41:$BV$41)+SUMPRODUCT(Adds!$C$271:$BG$271,Curves!$R$64:$BV$64)</f>
        <v/>
      </c>
      <c r="BH73" s="5">
        <f>SUMPRODUCT(Adds!$C$269:$BH$269,Curves!$Q$18:$BV$18)+SUMPRODUCT(Adds!$C$270:$BH$270,Curves!$Q$41:$BV$41)+SUMPRODUCT(Adds!$C$271:$BH$271,Curves!$Q$64:$BV$64)</f>
        <v/>
      </c>
      <c r="BI73" s="5">
        <f>SUMPRODUCT(Adds!$C$269:$BI$269,Curves!$P$18:$BV$18)+SUMPRODUCT(Adds!$C$270:$BI$270,Curves!$P$41:$BV$41)+SUMPRODUCT(Adds!$C$271:$BI$271,Curves!$P$64:$BV$64)</f>
        <v/>
      </c>
      <c r="BJ73" s="5">
        <f>SUMPRODUCT(Adds!$C$269:$BJ$269,Curves!$O$18:$BV$18)+SUMPRODUCT(Adds!$C$270:$BJ$270,Curves!$O$41:$BV$41)+SUMPRODUCT(Adds!$C$271:$BJ$271,Curves!$O$64:$BV$64)</f>
        <v/>
      </c>
      <c r="BK73" s="5">
        <f>SUMPRODUCT(Adds!$C$269:$BK$269,Curves!$N$18:$BV$18)+SUMPRODUCT(Adds!$C$270:$BK$270,Curves!$N$41:$BV$41)+SUMPRODUCT(Adds!$C$271:$BK$271,Curves!$N$64:$BV$64)</f>
        <v/>
      </c>
      <c r="BL73" s="5">
        <f>SUMPRODUCT(Adds!$C$269:$BL$269,Curves!$M$18:$BV$18)+SUMPRODUCT(Adds!$C$270:$BL$270,Curves!$M$41:$BV$41)+SUMPRODUCT(Adds!$C$271:$BL$271,Curves!$M$64:$BV$64)</f>
        <v/>
      </c>
      <c r="BM73" s="5">
        <f>SUMPRODUCT(Adds!$C$269:$BM$269,Curves!$L$18:$BV$18)+SUMPRODUCT(Adds!$C$270:$BM$270,Curves!$L$41:$BV$41)+SUMPRODUCT(Adds!$C$271:$BM$271,Curves!$L$64:$BV$64)</f>
        <v/>
      </c>
      <c r="BN73" s="5">
        <f>SUMPRODUCT(Adds!$C$269:$BN$269,Curves!$K$18:$BV$18)+SUMPRODUCT(Adds!$C$270:$BN$270,Curves!$K$41:$BV$41)+SUMPRODUCT(Adds!$C$271:$BN$271,Curves!$K$64:$BV$64)</f>
        <v/>
      </c>
      <c r="BO73" s="5">
        <f>SUMPRODUCT(Adds!$C$269:$BO$269,Curves!$J$18:$BV$18)+SUMPRODUCT(Adds!$C$270:$BO$270,Curves!$J$41:$BV$41)+SUMPRODUCT(Adds!$C$271:$BO$271,Curves!$J$64:$BV$64)</f>
        <v/>
      </c>
      <c r="BP73" s="5">
        <f>SUMPRODUCT(Adds!$C$269:$BP$269,Curves!$I$18:$BV$18)+SUMPRODUCT(Adds!$C$270:$BP$270,Curves!$I$41:$BV$41)+SUMPRODUCT(Adds!$C$271:$BP$271,Curves!$I$64:$BV$64)</f>
        <v/>
      </c>
      <c r="BQ73" s="5">
        <f>SUMPRODUCT(Adds!$C$269:$BQ$269,Curves!$H$18:$BV$18)+SUMPRODUCT(Adds!$C$270:$BQ$270,Curves!$H$41:$BV$41)+SUMPRODUCT(Adds!$C$271:$BQ$271,Curves!$H$64:$BV$64)</f>
        <v/>
      </c>
      <c r="BR73" s="5">
        <f>SUMPRODUCT(Adds!$C$269:$BR$269,Curves!$G$18:$BV$18)+SUMPRODUCT(Adds!$C$270:$BR$270,Curves!$G$41:$BV$41)+SUMPRODUCT(Adds!$C$271:$BR$271,Curves!$G$64:$BV$64)</f>
        <v/>
      </c>
      <c r="BS73" s="5">
        <f>SUMPRODUCT(Adds!$C$269:$BS$269,Curves!$F$18:$BV$18)+SUMPRODUCT(Adds!$C$270:$BS$270,Curves!$F$41:$BV$41)+SUMPRODUCT(Adds!$C$271:$BS$271,Curves!$F$64:$BV$64)</f>
        <v/>
      </c>
      <c r="BT73" s="5">
        <f>SUMPRODUCT(Adds!$C$269:$BT$269,Curves!$E$18:$BV$18)+SUMPRODUCT(Adds!$C$270:$BT$270,Curves!$E$41:$BV$41)+SUMPRODUCT(Adds!$C$271:$BT$271,Curves!$E$64:$BV$64)</f>
        <v/>
      </c>
      <c r="BU73" s="5">
        <f>SUMPRODUCT(Adds!$C$269:$BU$269,Curves!$D$18:$BV$18)+SUMPRODUCT(Adds!$C$270:$BU$270,Curves!$D$41:$BV$41)+SUMPRODUCT(Adds!$C$271:$BU$271,Curves!$D$64:$BV$64)</f>
        <v/>
      </c>
      <c r="BV73" s="5">
        <f>SUMPRODUCT(Adds!$C$269:$BV$269,Curves!$C$18:$BV$18)+SUMPRODUCT(Adds!$C$270:$BV$270,Curves!$C$41:$BV$41)+SUMPRODUCT(Adds!$C$271:$BV$271,Curves!$C$64:$BV$64)</f>
        <v/>
      </c>
    </row>
    <row r="75">
      <c r="A75" t="inlineStr">
        <is>
          <t>active</t>
        </is>
      </c>
      <c r="B75" t="inlineStr">
        <is>
          <t>ROW|BASIC_M</t>
        </is>
      </c>
      <c r="C75" s="5">
        <f>Adds!$C$284*Curves!$BV$15+Adds!$C$285*Curves!$BV$38+Adds!$C$286*Curves!$BV$61</f>
        <v/>
      </c>
      <c r="D75" s="5">
        <f>SUMPRODUCT(Adds!$C$284:$D$284,Curves!$BU$15:$BV$15)+SUMPRODUCT(Adds!$C$285:$D$285,Curves!$BU$38:$BV$38)+SUMPRODUCT(Adds!$C$286:$D$286,Curves!$BU$61:$BV$61)</f>
        <v/>
      </c>
      <c r="E75" s="5">
        <f>SUMPRODUCT(Adds!$C$284:$E$284,Curves!$BT$15:$BV$15)+SUMPRODUCT(Adds!$C$285:$E$285,Curves!$BT$38:$BV$38)+SUMPRODUCT(Adds!$C$286:$E$286,Curves!$BT$61:$BV$61)</f>
        <v/>
      </c>
      <c r="F75" s="5">
        <f>SUMPRODUCT(Adds!$C$284:$F$284,Curves!$BS$15:$BV$15)+SUMPRODUCT(Adds!$C$285:$F$285,Curves!$BS$38:$BV$38)+SUMPRODUCT(Adds!$C$286:$F$286,Curves!$BS$61:$BV$61)</f>
        <v/>
      </c>
      <c r="G75" s="5">
        <f>SUMPRODUCT(Adds!$C$284:$G$284,Curves!$BR$15:$BV$15)+SUMPRODUCT(Adds!$C$285:$G$285,Curves!$BR$38:$BV$38)+SUMPRODUCT(Adds!$C$286:$G$286,Curves!$BR$61:$BV$61)</f>
        <v/>
      </c>
      <c r="H75" s="5">
        <f>SUMPRODUCT(Adds!$C$284:$H$284,Curves!$BQ$15:$BV$15)+SUMPRODUCT(Adds!$C$285:$H$285,Curves!$BQ$38:$BV$38)+SUMPRODUCT(Adds!$C$286:$H$286,Curves!$BQ$61:$BV$61)</f>
        <v/>
      </c>
      <c r="I75" s="5">
        <f>SUMPRODUCT(Adds!$C$284:$I$284,Curves!$BP$15:$BV$15)+SUMPRODUCT(Adds!$C$285:$I$285,Curves!$BP$38:$BV$38)+SUMPRODUCT(Adds!$C$286:$I$286,Curves!$BP$61:$BV$61)</f>
        <v/>
      </c>
      <c r="J75" s="5">
        <f>SUMPRODUCT(Adds!$C$284:$J$284,Curves!$BO$15:$BV$15)+SUMPRODUCT(Adds!$C$285:$J$285,Curves!$BO$38:$BV$38)+SUMPRODUCT(Adds!$C$286:$J$286,Curves!$BO$61:$BV$61)</f>
        <v/>
      </c>
      <c r="K75" s="5">
        <f>SUMPRODUCT(Adds!$C$284:$K$284,Curves!$BN$15:$BV$15)+SUMPRODUCT(Adds!$C$285:$K$285,Curves!$BN$38:$BV$38)+SUMPRODUCT(Adds!$C$286:$K$286,Curves!$BN$61:$BV$61)</f>
        <v/>
      </c>
      <c r="L75" s="5">
        <f>SUMPRODUCT(Adds!$C$284:$L$284,Curves!$BM$15:$BV$15)+SUMPRODUCT(Adds!$C$285:$L$285,Curves!$BM$38:$BV$38)+SUMPRODUCT(Adds!$C$286:$L$286,Curves!$BM$61:$BV$61)</f>
        <v/>
      </c>
      <c r="M75" s="5">
        <f>SUMPRODUCT(Adds!$C$284:$M$284,Curves!$BL$15:$BV$15)+SUMPRODUCT(Adds!$C$285:$M$285,Curves!$BL$38:$BV$38)+SUMPRODUCT(Adds!$C$286:$M$286,Curves!$BL$61:$BV$61)</f>
        <v/>
      </c>
      <c r="N75" s="5">
        <f>SUMPRODUCT(Adds!$C$284:$N$284,Curves!$BK$15:$BV$15)+SUMPRODUCT(Adds!$C$285:$N$285,Curves!$BK$38:$BV$38)+SUMPRODUCT(Adds!$C$286:$N$286,Curves!$BK$61:$BV$61)</f>
        <v/>
      </c>
      <c r="O75" s="5">
        <f>SUMPRODUCT(Adds!$C$284:$O$284,Curves!$BJ$15:$BV$15)+SUMPRODUCT(Adds!$C$285:$O$285,Curves!$BJ$38:$BV$38)+SUMPRODUCT(Adds!$C$286:$O$286,Curves!$BJ$61:$BV$61)</f>
        <v/>
      </c>
      <c r="P75" s="5">
        <f>SUMPRODUCT(Adds!$C$284:$P$284,Curves!$BI$15:$BV$15)+SUMPRODUCT(Adds!$C$285:$P$285,Curves!$BI$38:$BV$38)+SUMPRODUCT(Adds!$C$286:$P$286,Curves!$BI$61:$BV$61)</f>
        <v/>
      </c>
      <c r="Q75" s="5">
        <f>SUMPRODUCT(Adds!$C$284:$Q$284,Curves!$BH$15:$BV$15)+SUMPRODUCT(Adds!$C$285:$Q$285,Curves!$BH$38:$BV$38)+SUMPRODUCT(Adds!$C$286:$Q$286,Curves!$BH$61:$BV$61)</f>
        <v/>
      </c>
      <c r="R75" s="5">
        <f>SUMPRODUCT(Adds!$C$284:$R$284,Curves!$BG$15:$BV$15)+SUMPRODUCT(Adds!$C$285:$R$285,Curves!$BG$38:$BV$38)+SUMPRODUCT(Adds!$C$286:$R$286,Curves!$BG$61:$BV$61)</f>
        <v/>
      </c>
      <c r="S75" s="5">
        <f>SUMPRODUCT(Adds!$C$284:$S$284,Curves!$BF$15:$BV$15)+SUMPRODUCT(Adds!$C$285:$S$285,Curves!$BF$38:$BV$38)+SUMPRODUCT(Adds!$C$286:$S$286,Curves!$BF$61:$BV$61)</f>
        <v/>
      </c>
      <c r="T75" s="5">
        <f>SUMPRODUCT(Adds!$C$284:$T$284,Curves!$BE$15:$BV$15)+SUMPRODUCT(Adds!$C$285:$T$285,Curves!$BE$38:$BV$38)+SUMPRODUCT(Adds!$C$286:$T$286,Curves!$BE$61:$BV$61)</f>
        <v/>
      </c>
      <c r="U75" s="5">
        <f>SUMPRODUCT(Adds!$C$284:$U$284,Curves!$BD$15:$BV$15)+SUMPRODUCT(Adds!$C$285:$U$285,Curves!$BD$38:$BV$38)+SUMPRODUCT(Adds!$C$286:$U$286,Curves!$BD$61:$BV$61)</f>
        <v/>
      </c>
      <c r="V75" s="5">
        <f>SUMPRODUCT(Adds!$C$284:$V$284,Curves!$BC$15:$BV$15)+SUMPRODUCT(Adds!$C$285:$V$285,Curves!$BC$38:$BV$38)+SUMPRODUCT(Adds!$C$286:$V$286,Curves!$BC$61:$BV$61)</f>
        <v/>
      </c>
      <c r="W75" s="5">
        <f>SUMPRODUCT(Adds!$C$284:$W$284,Curves!$BB$15:$BV$15)+SUMPRODUCT(Adds!$C$285:$W$285,Curves!$BB$38:$BV$38)+SUMPRODUCT(Adds!$C$286:$W$286,Curves!$BB$61:$BV$61)</f>
        <v/>
      </c>
      <c r="X75" s="5">
        <f>SUMPRODUCT(Adds!$C$284:$X$284,Curves!$BA$15:$BV$15)+SUMPRODUCT(Adds!$C$285:$X$285,Curves!$BA$38:$BV$38)+SUMPRODUCT(Adds!$C$286:$X$286,Curves!$BA$61:$BV$61)</f>
        <v/>
      </c>
      <c r="Y75" s="5">
        <f>SUMPRODUCT(Adds!$C$284:$Y$284,Curves!$AZ$15:$BV$15)+SUMPRODUCT(Adds!$C$285:$Y$285,Curves!$AZ$38:$BV$38)+SUMPRODUCT(Adds!$C$286:$Y$286,Curves!$AZ$61:$BV$61)</f>
        <v/>
      </c>
      <c r="Z75" s="5">
        <f>SUMPRODUCT(Adds!$C$284:$Z$284,Curves!$AY$15:$BV$15)+SUMPRODUCT(Adds!$C$285:$Z$285,Curves!$AY$38:$BV$38)+SUMPRODUCT(Adds!$C$286:$Z$286,Curves!$AY$61:$BV$61)</f>
        <v/>
      </c>
      <c r="AA75" s="5">
        <f>SUMPRODUCT(Adds!$C$284:$AA$284,Curves!$AX$15:$BV$15)+SUMPRODUCT(Adds!$C$285:$AA$285,Curves!$AX$38:$BV$38)+SUMPRODUCT(Adds!$C$286:$AA$286,Curves!$AX$61:$BV$61)</f>
        <v/>
      </c>
      <c r="AB75" s="5">
        <f>SUMPRODUCT(Adds!$C$284:$AB$284,Curves!$AW$15:$BV$15)+SUMPRODUCT(Adds!$C$285:$AB$285,Curves!$AW$38:$BV$38)+SUMPRODUCT(Adds!$C$286:$AB$286,Curves!$AW$61:$BV$61)</f>
        <v/>
      </c>
      <c r="AC75" s="5">
        <f>SUMPRODUCT(Adds!$C$284:$AC$284,Curves!$AV$15:$BV$15)+SUMPRODUCT(Adds!$C$285:$AC$285,Curves!$AV$38:$BV$38)+SUMPRODUCT(Adds!$C$286:$AC$286,Curves!$AV$61:$BV$61)</f>
        <v/>
      </c>
      <c r="AD75" s="5">
        <f>SUMPRODUCT(Adds!$C$284:$AD$284,Curves!$AU$15:$BV$15)+SUMPRODUCT(Adds!$C$285:$AD$285,Curves!$AU$38:$BV$38)+SUMPRODUCT(Adds!$C$286:$AD$286,Curves!$AU$61:$BV$61)</f>
        <v/>
      </c>
      <c r="AE75" s="5">
        <f>SUMPRODUCT(Adds!$C$284:$AE$284,Curves!$AT$15:$BV$15)+SUMPRODUCT(Adds!$C$285:$AE$285,Curves!$AT$38:$BV$38)+SUMPRODUCT(Adds!$C$286:$AE$286,Curves!$AT$61:$BV$61)</f>
        <v/>
      </c>
      <c r="AF75" s="5">
        <f>SUMPRODUCT(Adds!$C$284:$AF$284,Curves!$AS$15:$BV$15)+SUMPRODUCT(Adds!$C$285:$AF$285,Curves!$AS$38:$BV$38)+SUMPRODUCT(Adds!$C$286:$AF$286,Curves!$AS$61:$BV$61)</f>
        <v/>
      </c>
      <c r="AG75" s="5">
        <f>SUMPRODUCT(Adds!$C$284:$AG$284,Curves!$AR$15:$BV$15)+SUMPRODUCT(Adds!$C$285:$AG$285,Curves!$AR$38:$BV$38)+SUMPRODUCT(Adds!$C$286:$AG$286,Curves!$AR$61:$BV$61)</f>
        <v/>
      </c>
      <c r="AH75" s="5">
        <f>SUMPRODUCT(Adds!$C$284:$AH$284,Curves!$AQ$15:$BV$15)+SUMPRODUCT(Adds!$C$285:$AH$285,Curves!$AQ$38:$BV$38)+SUMPRODUCT(Adds!$C$286:$AH$286,Curves!$AQ$61:$BV$61)</f>
        <v/>
      </c>
      <c r="AI75" s="5">
        <f>SUMPRODUCT(Adds!$C$284:$AI$284,Curves!$AP$15:$BV$15)+SUMPRODUCT(Adds!$C$285:$AI$285,Curves!$AP$38:$BV$38)+SUMPRODUCT(Adds!$C$286:$AI$286,Curves!$AP$61:$BV$61)</f>
        <v/>
      </c>
      <c r="AJ75" s="5">
        <f>SUMPRODUCT(Adds!$C$284:$AJ$284,Curves!$AO$15:$BV$15)+SUMPRODUCT(Adds!$C$285:$AJ$285,Curves!$AO$38:$BV$38)+SUMPRODUCT(Adds!$C$286:$AJ$286,Curves!$AO$61:$BV$61)</f>
        <v/>
      </c>
      <c r="AK75" s="5">
        <f>SUMPRODUCT(Adds!$C$284:$AK$284,Curves!$AN$15:$BV$15)+SUMPRODUCT(Adds!$C$285:$AK$285,Curves!$AN$38:$BV$38)+SUMPRODUCT(Adds!$C$286:$AK$286,Curves!$AN$61:$BV$61)</f>
        <v/>
      </c>
      <c r="AL75" s="5">
        <f>SUMPRODUCT(Adds!$C$284:$AL$284,Curves!$AM$15:$BV$15)+SUMPRODUCT(Adds!$C$285:$AL$285,Curves!$AM$38:$BV$38)+SUMPRODUCT(Adds!$C$286:$AL$286,Curves!$AM$61:$BV$61)</f>
        <v/>
      </c>
      <c r="AM75" s="5">
        <f>SUMPRODUCT(Adds!$C$284:$AM$284,Curves!$AL$15:$BV$15)+SUMPRODUCT(Adds!$C$285:$AM$285,Curves!$AL$38:$BV$38)+SUMPRODUCT(Adds!$C$286:$AM$286,Curves!$AL$61:$BV$61)</f>
        <v/>
      </c>
      <c r="AN75" s="5">
        <f>SUMPRODUCT(Adds!$C$284:$AN$284,Curves!$AK$15:$BV$15)+SUMPRODUCT(Adds!$C$285:$AN$285,Curves!$AK$38:$BV$38)+SUMPRODUCT(Adds!$C$286:$AN$286,Curves!$AK$61:$BV$61)</f>
        <v/>
      </c>
      <c r="AO75" s="5">
        <f>SUMPRODUCT(Adds!$C$284:$AO$284,Curves!$AJ$15:$BV$15)+SUMPRODUCT(Adds!$C$285:$AO$285,Curves!$AJ$38:$BV$38)+SUMPRODUCT(Adds!$C$286:$AO$286,Curves!$AJ$61:$BV$61)</f>
        <v/>
      </c>
      <c r="AP75" s="5">
        <f>SUMPRODUCT(Adds!$C$284:$AP$284,Curves!$AI$15:$BV$15)+SUMPRODUCT(Adds!$C$285:$AP$285,Curves!$AI$38:$BV$38)+SUMPRODUCT(Adds!$C$286:$AP$286,Curves!$AI$61:$BV$61)</f>
        <v/>
      </c>
      <c r="AQ75" s="5">
        <f>SUMPRODUCT(Adds!$C$284:$AQ$284,Curves!$AH$15:$BV$15)+SUMPRODUCT(Adds!$C$285:$AQ$285,Curves!$AH$38:$BV$38)+SUMPRODUCT(Adds!$C$286:$AQ$286,Curves!$AH$61:$BV$61)</f>
        <v/>
      </c>
      <c r="AR75" s="5">
        <f>SUMPRODUCT(Adds!$C$284:$AR$284,Curves!$AG$15:$BV$15)+SUMPRODUCT(Adds!$C$285:$AR$285,Curves!$AG$38:$BV$38)+SUMPRODUCT(Adds!$C$286:$AR$286,Curves!$AG$61:$BV$61)</f>
        <v/>
      </c>
      <c r="AS75" s="5">
        <f>SUMPRODUCT(Adds!$C$284:$AS$284,Curves!$AF$15:$BV$15)+SUMPRODUCT(Adds!$C$285:$AS$285,Curves!$AF$38:$BV$38)+SUMPRODUCT(Adds!$C$286:$AS$286,Curves!$AF$61:$BV$61)</f>
        <v/>
      </c>
      <c r="AT75" s="5">
        <f>SUMPRODUCT(Adds!$C$284:$AT$284,Curves!$AE$15:$BV$15)+SUMPRODUCT(Adds!$C$285:$AT$285,Curves!$AE$38:$BV$38)+SUMPRODUCT(Adds!$C$286:$AT$286,Curves!$AE$61:$BV$61)</f>
        <v/>
      </c>
      <c r="AU75" s="5">
        <f>SUMPRODUCT(Adds!$C$284:$AU$284,Curves!$AD$15:$BV$15)+SUMPRODUCT(Adds!$C$285:$AU$285,Curves!$AD$38:$BV$38)+SUMPRODUCT(Adds!$C$286:$AU$286,Curves!$AD$61:$BV$61)</f>
        <v/>
      </c>
      <c r="AV75" s="5">
        <f>SUMPRODUCT(Adds!$C$284:$AV$284,Curves!$AC$15:$BV$15)+SUMPRODUCT(Adds!$C$285:$AV$285,Curves!$AC$38:$BV$38)+SUMPRODUCT(Adds!$C$286:$AV$286,Curves!$AC$61:$BV$61)</f>
        <v/>
      </c>
      <c r="AW75" s="5">
        <f>SUMPRODUCT(Adds!$C$284:$AW$284,Curves!$AB$15:$BV$15)+SUMPRODUCT(Adds!$C$285:$AW$285,Curves!$AB$38:$BV$38)+SUMPRODUCT(Adds!$C$286:$AW$286,Curves!$AB$61:$BV$61)</f>
        <v/>
      </c>
      <c r="AX75" s="5">
        <f>SUMPRODUCT(Adds!$C$284:$AX$284,Curves!$AA$15:$BV$15)+SUMPRODUCT(Adds!$C$285:$AX$285,Curves!$AA$38:$BV$38)+SUMPRODUCT(Adds!$C$286:$AX$286,Curves!$AA$61:$BV$61)</f>
        <v/>
      </c>
      <c r="AY75" s="5">
        <f>SUMPRODUCT(Adds!$C$284:$AY$284,Curves!$Z$15:$BV$15)+SUMPRODUCT(Adds!$C$285:$AY$285,Curves!$Z$38:$BV$38)+SUMPRODUCT(Adds!$C$286:$AY$286,Curves!$Z$61:$BV$61)</f>
        <v/>
      </c>
      <c r="AZ75" s="5">
        <f>SUMPRODUCT(Adds!$C$284:$AZ$284,Curves!$Y$15:$BV$15)+SUMPRODUCT(Adds!$C$285:$AZ$285,Curves!$Y$38:$BV$38)+SUMPRODUCT(Adds!$C$286:$AZ$286,Curves!$Y$61:$BV$61)</f>
        <v/>
      </c>
      <c r="BA75" s="5">
        <f>SUMPRODUCT(Adds!$C$284:$BA$284,Curves!$X$15:$BV$15)+SUMPRODUCT(Adds!$C$285:$BA$285,Curves!$X$38:$BV$38)+SUMPRODUCT(Adds!$C$286:$BA$286,Curves!$X$61:$BV$61)</f>
        <v/>
      </c>
      <c r="BB75" s="5">
        <f>SUMPRODUCT(Adds!$C$284:$BB$284,Curves!$W$15:$BV$15)+SUMPRODUCT(Adds!$C$285:$BB$285,Curves!$W$38:$BV$38)+SUMPRODUCT(Adds!$C$286:$BB$286,Curves!$W$61:$BV$61)</f>
        <v/>
      </c>
      <c r="BC75" s="5">
        <f>SUMPRODUCT(Adds!$C$284:$BC$284,Curves!$V$15:$BV$15)+SUMPRODUCT(Adds!$C$285:$BC$285,Curves!$V$38:$BV$38)+SUMPRODUCT(Adds!$C$286:$BC$286,Curves!$V$61:$BV$61)</f>
        <v/>
      </c>
      <c r="BD75" s="5">
        <f>SUMPRODUCT(Adds!$C$284:$BD$284,Curves!$U$15:$BV$15)+SUMPRODUCT(Adds!$C$285:$BD$285,Curves!$U$38:$BV$38)+SUMPRODUCT(Adds!$C$286:$BD$286,Curves!$U$61:$BV$61)</f>
        <v/>
      </c>
      <c r="BE75" s="5">
        <f>SUMPRODUCT(Adds!$C$284:$BE$284,Curves!$T$15:$BV$15)+SUMPRODUCT(Adds!$C$285:$BE$285,Curves!$T$38:$BV$38)+SUMPRODUCT(Adds!$C$286:$BE$286,Curves!$T$61:$BV$61)</f>
        <v/>
      </c>
      <c r="BF75" s="5">
        <f>SUMPRODUCT(Adds!$C$284:$BF$284,Curves!$S$15:$BV$15)+SUMPRODUCT(Adds!$C$285:$BF$285,Curves!$S$38:$BV$38)+SUMPRODUCT(Adds!$C$286:$BF$286,Curves!$S$61:$BV$61)</f>
        <v/>
      </c>
      <c r="BG75" s="5">
        <f>SUMPRODUCT(Adds!$C$284:$BG$284,Curves!$R$15:$BV$15)+SUMPRODUCT(Adds!$C$285:$BG$285,Curves!$R$38:$BV$38)+SUMPRODUCT(Adds!$C$286:$BG$286,Curves!$R$61:$BV$61)</f>
        <v/>
      </c>
      <c r="BH75" s="5">
        <f>SUMPRODUCT(Adds!$C$284:$BH$284,Curves!$Q$15:$BV$15)+SUMPRODUCT(Adds!$C$285:$BH$285,Curves!$Q$38:$BV$38)+SUMPRODUCT(Adds!$C$286:$BH$286,Curves!$Q$61:$BV$61)</f>
        <v/>
      </c>
      <c r="BI75" s="5">
        <f>SUMPRODUCT(Adds!$C$284:$BI$284,Curves!$P$15:$BV$15)+SUMPRODUCT(Adds!$C$285:$BI$285,Curves!$P$38:$BV$38)+SUMPRODUCT(Adds!$C$286:$BI$286,Curves!$P$61:$BV$61)</f>
        <v/>
      </c>
      <c r="BJ75" s="5">
        <f>SUMPRODUCT(Adds!$C$284:$BJ$284,Curves!$O$15:$BV$15)+SUMPRODUCT(Adds!$C$285:$BJ$285,Curves!$O$38:$BV$38)+SUMPRODUCT(Adds!$C$286:$BJ$286,Curves!$O$61:$BV$61)</f>
        <v/>
      </c>
      <c r="BK75" s="5">
        <f>SUMPRODUCT(Adds!$C$284:$BK$284,Curves!$N$15:$BV$15)+SUMPRODUCT(Adds!$C$285:$BK$285,Curves!$N$38:$BV$38)+SUMPRODUCT(Adds!$C$286:$BK$286,Curves!$N$61:$BV$61)</f>
        <v/>
      </c>
      <c r="BL75" s="5">
        <f>SUMPRODUCT(Adds!$C$284:$BL$284,Curves!$M$15:$BV$15)+SUMPRODUCT(Adds!$C$285:$BL$285,Curves!$M$38:$BV$38)+SUMPRODUCT(Adds!$C$286:$BL$286,Curves!$M$61:$BV$61)</f>
        <v/>
      </c>
      <c r="BM75" s="5">
        <f>SUMPRODUCT(Adds!$C$284:$BM$284,Curves!$L$15:$BV$15)+SUMPRODUCT(Adds!$C$285:$BM$285,Curves!$L$38:$BV$38)+SUMPRODUCT(Adds!$C$286:$BM$286,Curves!$L$61:$BV$61)</f>
        <v/>
      </c>
      <c r="BN75" s="5">
        <f>SUMPRODUCT(Adds!$C$284:$BN$284,Curves!$K$15:$BV$15)+SUMPRODUCT(Adds!$C$285:$BN$285,Curves!$K$38:$BV$38)+SUMPRODUCT(Adds!$C$286:$BN$286,Curves!$K$61:$BV$61)</f>
        <v/>
      </c>
      <c r="BO75" s="5">
        <f>SUMPRODUCT(Adds!$C$284:$BO$284,Curves!$J$15:$BV$15)+SUMPRODUCT(Adds!$C$285:$BO$285,Curves!$J$38:$BV$38)+SUMPRODUCT(Adds!$C$286:$BO$286,Curves!$J$61:$BV$61)</f>
        <v/>
      </c>
      <c r="BP75" s="5">
        <f>SUMPRODUCT(Adds!$C$284:$BP$284,Curves!$I$15:$BV$15)+SUMPRODUCT(Adds!$C$285:$BP$285,Curves!$I$38:$BV$38)+SUMPRODUCT(Adds!$C$286:$BP$286,Curves!$I$61:$BV$61)</f>
        <v/>
      </c>
      <c r="BQ75" s="5">
        <f>SUMPRODUCT(Adds!$C$284:$BQ$284,Curves!$H$15:$BV$15)+SUMPRODUCT(Adds!$C$285:$BQ$285,Curves!$H$38:$BV$38)+SUMPRODUCT(Adds!$C$286:$BQ$286,Curves!$H$61:$BV$61)</f>
        <v/>
      </c>
      <c r="BR75" s="5">
        <f>SUMPRODUCT(Adds!$C$284:$BR$284,Curves!$G$15:$BV$15)+SUMPRODUCT(Adds!$C$285:$BR$285,Curves!$G$38:$BV$38)+SUMPRODUCT(Adds!$C$286:$BR$286,Curves!$G$61:$BV$61)</f>
        <v/>
      </c>
      <c r="BS75" s="5">
        <f>SUMPRODUCT(Adds!$C$284:$BS$284,Curves!$F$15:$BV$15)+SUMPRODUCT(Adds!$C$285:$BS$285,Curves!$F$38:$BV$38)+SUMPRODUCT(Adds!$C$286:$BS$286,Curves!$F$61:$BV$61)</f>
        <v/>
      </c>
      <c r="BT75" s="5">
        <f>SUMPRODUCT(Adds!$C$284:$BT$284,Curves!$E$15:$BV$15)+SUMPRODUCT(Adds!$C$285:$BT$285,Curves!$E$38:$BV$38)+SUMPRODUCT(Adds!$C$286:$BT$286,Curves!$E$61:$BV$61)</f>
        <v/>
      </c>
      <c r="BU75" s="5">
        <f>SUMPRODUCT(Adds!$C$284:$BU$284,Curves!$D$15:$BV$15)+SUMPRODUCT(Adds!$C$285:$BU$285,Curves!$D$38:$BV$38)+SUMPRODUCT(Adds!$C$286:$BU$286,Curves!$D$61:$BV$61)</f>
        <v/>
      </c>
      <c r="BV75" s="5">
        <f>SUMPRODUCT(Adds!$C$284:$BV$284,Curves!$C$15:$BV$15)+SUMPRODUCT(Adds!$C$285:$BV$285,Curves!$C$38:$BV$38)+SUMPRODUCT(Adds!$C$286:$BV$286,Curves!$C$61:$BV$61)</f>
        <v/>
      </c>
    </row>
    <row r="76">
      <c r="A76" t="inlineStr">
        <is>
          <t>active yr 1</t>
        </is>
      </c>
      <c r="B76" t="inlineStr">
        <is>
          <t>ROW|BASIC_M</t>
        </is>
      </c>
      <c r="C76" s="5">
        <f>Adds!$C$284*Curves!$BV$22+Adds!$C$285*Curves!$BV$45+Adds!$C$286*Curves!$BV$68</f>
        <v/>
      </c>
      <c r="D76" s="5">
        <f>SUMPRODUCT(Adds!$C$284:$D$284,Curves!$BU$22:$BV$22)+SUMPRODUCT(Adds!$C$285:$D$285,Curves!$BU$45:$BV$45)+SUMPRODUCT(Adds!$C$286:$D$286,Curves!$BU$68:$BV$68)</f>
        <v/>
      </c>
      <c r="E76" s="5">
        <f>SUMPRODUCT(Adds!$C$284:$E$284,Curves!$BT$22:$BV$22)+SUMPRODUCT(Adds!$C$285:$E$285,Curves!$BT$45:$BV$45)+SUMPRODUCT(Adds!$C$286:$E$286,Curves!$BT$68:$BV$68)</f>
        <v/>
      </c>
      <c r="F76" s="5">
        <f>SUMPRODUCT(Adds!$C$284:$F$284,Curves!$BS$22:$BV$22)+SUMPRODUCT(Adds!$C$285:$F$285,Curves!$BS$45:$BV$45)+SUMPRODUCT(Adds!$C$286:$F$286,Curves!$BS$68:$BV$68)</f>
        <v/>
      </c>
      <c r="G76" s="5">
        <f>SUMPRODUCT(Adds!$C$284:$G$284,Curves!$BR$22:$BV$22)+SUMPRODUCT(Adds!$C$285:$G$285,Curves!$BR$45:$BV$45)+SUMPRODUCT(Adds!$C$286:$G$286,Curves!$BR$68:$BV$68)</f>
        <v/>
      </c>
      <c r="H76" s="5">
        <f>SUMPRODUCT(Adds!$C$284:$H$284,Curves!$BQ$22:$BV$22)+SUMPRODUCT(Adds!$C$285:$H$285,Curves!$BQ$45:$BV$45)+SUMPRODUCT(Adds!$C$286:$H$286,Curves!$BQ$68:$BV$68)</f>
        <v/>
      </c>
      <c r="I76" s="5">
        <f>SUMPRODUCT(Adds!$C$284:$I$284,Curves!$BP$22:$BV$22)+SUMPRODUCT(Adds!$C$285:$I$285,Curves!$BP$45:$BV$45)+SUMPRODUCT(Adds!$C$286:$I$286,Curves!$BP$68:$BV$68)</f>
        <v/>
      </c>
      <c r="J76" s="5">
        <f>SUMPRODUCT(Adds!$C$284:$J$284,Curves!$BO$22:$BV$22)+SUMPRODUCT(Adds!$C$285:$J$285,Curves!$BO$45:$BV$45)+SUMPRODUCT(Adds!$C$286:$J$286,Curves!$BO$68:$BV$68)</f>
        <v/>
      </c>
      <c r="K76" s="5">
        <f>SUMPRODUCT(Adds!$C$284:$K$284,Curves!$BN$22:$BV$22)+SUMPRODUCT(Adds!$C$285:$K$285,Curves!$BN$45:$BV$45)+SUMPRODUCT(Adds!$C$286:$K$286,Curves!$BN$68:$BV$68)</f>
        <v/>
      </c>
      <c r="L76" s="5">
        <f>SUMPRODUCT(Adds!$C$284:$L$284,Curves!$BM$22:$BV$22)+SUMPRODUCT(Adds!$C$285:$L$285,Curves!$BM$45:$BV$45)+SUMPRODUCT(Adds!$C$286:$L$286,Curves!$BM$68:$BV$68)</f>
        <v/>
      </c>
      <c r="M76" s="5">
        <f>SUMPRODUCT(Adds!$C$284:$M$284,Curves!$BL$22:$BV$22)+SUMPRODUCT(Adds!$C$285:$M$285,Curves!$BL$45:$BV$45)+SUMPRODUCT(Adds!$C$286:$M$286,Curves!$BL$68:$BV$68)</f>
        <v/>
      </c>
      <c r="N76" s="5">
        <f>SUMPRODUCT(Adds!$C$284:$N$284,Curves!$BK$22:$BV$22)+SUMPRODUCT(Adds!$C$285:$N$285,Curves!$BK$45:$BV$45)+SUMPRODUCT(Adds!$C$286:$N$286,Curves!$BK$68:$BV$68)</f>
        <v/>
      </c>
      <c r="O76" s="5">
        <f>SUMPRODUCT(Adds!$C$284:$O$284,Curves!$BJ$22:$BV$22)+SUMPRODUCT(Adds!$C$285:$O$285,Curves!$BJ$45:$BV$45)+SUMPRODUCT(Adds!$C$286:$O$286,Curves!$BJ$68:$BV$68)</f>
        <v/>
      </c>
      <c r="P76" s="5">
        <f>SUMPRODUCT(Adds!$C$284:$P$284,Curves!$BI$22:$BV$22)+SUMPRODUCT(Adds!$C$285:$P$285,Curves!$BI$45:$BV$45)+SUMPRODUCT(Adds!$C$286:$P$286,Curves!$BI$68:$BV$68)</f>
        <v/>
      </c>
      <c r="Q76" s="5">
        <f>SUMPRODUCT(Adds!$C$284:$Q$284,Curves!$BH$22:$BV$22)+SUMPRODUCT(Adds!$C$285:$Q$285,Curves!$BH$45:$BV$45)+SUMPRODUCT(Adds!$C$286:$Q$286,Curves!$BH$68:$BV$68)</f>
        <v/>
      </c>
      <c r="R76" s="5">
        <f>SUMPRODUCT(Adds!$C$284:$R$284,Curves!$BG$22:$BV$22)+SUMPRODUCT(Adds!$C$285:$R$285,Curves!$BG$45:$BV$45)+SUMPRODUCT(Adds!$C$286:$R$286,Curves!$BG$68:$BV$68)</f>
        <v/>
      </c>
      <c r="S76" s="5">
        <f>SUMPRODUCT(Adds!$C$284:$S$284,Curves!$BF$22:$BV$22)+SUMPRODUCT(Adds!$C$285:$S$285,Curves!$BF$45:$BV$45)+SUMPRODUCT(Adds!$C$286:$S$286,Curves!$BF$68:$BV$68)</f>
        <v/>
      </c>
      <c r="T76" s="5">
        <f>SUMPRODUCT(Adds!$C$284:$T$284,Curves!$BE$22:$BV$22)+SUMPRODUCT(Adds!$C$285:$T$285,Curves!$BE$45:$BV$45)+SUMPRODUCT(Adds!$C$286:$T$286,Curves!$BE$68:$BV$68)</f>
        <v/>
      </c>
      <c r="U76" s="5">
        <f>SUMPRODUCT(Adds!$C$284:$U$284,Curves!$BD$22:$BV$22)+SUMPRODUCT(Adds!$C$285:$U$285,Curves!$BD$45:$BV$45)+SUMPRODUCT(Adds!$C$286:$U$286,Curves!$BD$68:$BV$68)</f>
        <v/>
      </c>
      <c r="V76" s="5">
        <f>SUMPRODUCT(Adds!$C$284:$V$284,Curves!$BC$22:$BV$22)+SUMPRODUCT(Adds!$C$285:$V$285,Curves!$BC$45:$BV$45)+SUMPRODUCT(Adds!$C$286:$V$286,Curves!$BC$68:$BV$68)</f>
        <v/>
      </c>
      <c r="W76" s="5">
        <f>SUMPRODUCT(Adds!$C$284:$W$284,Curves!$BB$22:$BV$22)+SUMPRODUCT(Adds!$C$285:$W$285,Curves!$BB$45:$BV$45)+SUMPRODUCT(Adds!$C$286:$W$286,Curves!$BB$68:$BV$68)</f>
        <v/>
      </c>
      <c r="X76" s="5">
        <f>SUMPRODUCT(Adds!$C$284:$X$284,Curves!$BA$22:$BV$22)+SUMPRODUCT(Adds!$C$285:$X$285,Curves!$BA$45:$BV$45)+SUMPRODUCT(Adds!$C$286:$X$286,Curves!$BA$68:$BV$68)</f>
        <v/>
      </c>
      <c r="Y76" s="5">
        <f>SUMPRODUCT(Adds!$C$284:$Y$284,Curves!$AZ$22:$BV$22)+SUMPRODUCT(Adds!$C$285:$Y$285,Curves!$AZ$45:$BV$45)+SUMPRODUCT(Adds!$C$286:$Y$286,Curves!$AZ$68:$BV$68)</f>
        <v/>
      </c>
      <c r="Z76" s="5">
        <f>SUMPRODUCT(Adds!$C$284:$Z$284,Curves!$AY$22:$BV$22)+SUMPRODUCT(Adds!$C$285:$Z$285,Curves!$AY$45:$BV$45)+SUMPRODUCT(Adds!$C$286:$Z$286,Curves!$AY$68:$BV$68)</f>
        <v/>
      </c>
      <c r="AA76" s="5">
        <f>SUMPRODUCT(Adds!$C$284:$AA$284,Curves!$AX$22:$BV$22)+SUMPRODUCT(Adds!$C$285:$AA$285,Curves!$AX$45:$BV$45)+SUMPRODUCT(Adds!$C$286:$AA$286,Curves!$AX$68:$BV$68)</f>
        <v/>
      </c>
      <c r="AB76" s="5">
        <f>SUMPRODUCT(Adds!$C$284:$AB$284,Curves!$AW$22:$BV$22)+SUMPRODUCT(Adds!$C$285:$AB$285,Curves!$AW$45:$BV$45)+SUMPRODUCT(Adds!$C$286:$AB$286,Curves!$AW$68:$BV$68)</f>
        <v/>
      </c>
      <c r="AC76" s="5">
        <f>SUMPRODUCT(Adds!$C$284:$AC$284,Curves!$AV$22:$BV$22)+SUMPRODUCT(Adds!$C$285:$AC$285,Curves!$AV$45:$BV$45)+SUMPRODUCT(Adds!$C$286:$AC$286,Curves!$AV$68:$BV$68)</f>
        <v/>
      </c>
      <c r="AD76" s="5">
        <f>SUMPRODUCT(Adds!$C$284:$AD$284,Curves!$AU$22:$BV$22)+SUMPRODUCT(Adds!$C$285:$AD$285,Curves!$AU$45:$BV$45)+SUMPRODUCT(Adds!$C$286:$AD$286,Curves!$AU$68:$BV$68)</f>
        <v/>
      </c>
      <c r="AE76" s="5">
        <f>SUMPRODUCT(Adds!$C$284:$AE$284,Curves!$AT$22:$BV$22)+SUMPRODUCT(Adds!$C$285:$AE$285,Curves!$AT$45:$BV$45)+SUMPRODUCT(Adds!$C$286:$AE$286,Curves!$AT$68:$BV$68)</f>
        <v/>
      </c>
      <c r="AF76" s="5">
        <f>SUMPRODUCT(Adds!$C$284:$AF$284,Curves!$AS$22:$BV$22)+SUMPRODUCT(Adds!$C$285:$AF$285,Curves!$AS$45:$BV$45)+SUMPRODUCT(Adds!$C$286:$AF$286,Curves!$AS$68:$BV$68)</f>
        <v/>
      </c>
      <c r="AG76" s="5">
        <f>SUMPRODUCT(Adds!$C$284:$AG$284,Curves!$AR$22:$BV$22)+SUMPRODUCT(Adds!$C$285:$AG$285,Curves!$AR$45:$BV$45)+SUMPRODUCT(Adds!$C$286:$AG$286,Curves!$AR$68:$BV$68)</f>
        <v/>
      </c>
      <c r="AH76" s="5">
        <f>SUMPRODUCT(Adds!$C$284:$AH$284,Curves!$AQ$22:$BV$22)+SUMPRODUCT(Adds!$C$285:$AH$285,Curves!$AQ$45:$BV$45)+SUMPRODUCT(Adds!$C$286:$AH$286,Curves!$AQ$68:$BV$68)</f>
        <v/>
      </c>
      <c r="AI76" s="5">
        <f>SUMPRODUCT(Adds!$C$284:$AI$284,Curves!$AP$22:$BV$22)+SUMPRODUCT(Adds!$C$285:$AI$285,Curves!$AP$45:$BV$45)+SUMPRODUCT(Adds!$C$286:$AI$286,Curves!$AP$68:$BV$68)</f>
        <v/>
      </c>
      <c r="AJ76" s="5">
        <f>SUMPRODUCT(Adds!$C$284:$AJ$284,Curves!$AO$22:$BV$22)+SUMPRODUCT(Adds!$C$285:$AJ$285,Curves!$AO$45:$BV$45)+SUMPRODUCT(Adds!$C$286:$AJ$286,Curves!$AO$68:$BV$68)</f>
        <v/>
      </c>
      <c r="AK76" s="5">
        <f>SUMPRODUCT(Adds!$C$284:$AK$284,Curves!$AN$22:$BV$22)+SUMPRODUCT(Adds!$C$285:$AK$285,Curves!$AN$45:$BV$45)+SUMPRODUCT(Adds!$C$286:$AK$286,Curves!$AN$68:$BV$68)</f>
        <v/>
      </c>
      <c r="AL76" s="5">
        <f>SUMPRODUCT(Adds!$C$284:$AL$284,Curves!$AM$22:$BV$22)+SUMPRODUCT(Adds!$C$285:$AL$285,Curves!$AM$45:$BV$45)+SUMPRODUCT(Adds!$C$286:$AL$286,Curves!$AM$68:$BV$68)</f>
        <v/>
      </c>
      <c r="AM76" s="5">
        <f>SUMPRODUCT(Adds!$C$284:$AM$284,Curves!$AL$22:$BV$22)+SUMPRODUCT(Adds!$C$285:$AM$285,Curves!$AL$45:$BV$45)+SUMPRODUCT(Adds!$C$286:$AM$286,Curves!$AL$68:$BV$68)</f>
        <v/>
      </c>
      <c r="AN76" s="5">
        <f>SUMPRODUCT(Adds!$C$284:$AN$284,Curves!$AK$22:$BV$22)+SUMPRODUCT(Adds!$C$285:$AN$285,Curves!$AK$45:$BV$45)+SUMPRODUCT(Adds!$C$286:$AN$286,Curves!$AK$68:$BV$68)</f>
        <v/>
      </c>
      <c r="AO76" s="5">
        <f>SUMPRODUCT(Adds!$C$284:$AO$284,Curves!$AJ$22:$BV$22)+SUMPRODUCT(Adds!$C$285:$AO$285,Curves!$AJ$45:$BV$45)+SUMPRODUCT(Adds!$C$286:$AO$286,Curves!$AJ$68:$BV$68)</f>
        <v/>
      </c>
      <c r="AP76" s="5">
        <f>SUMPRODUCT(Adds!$C$284:$AP$284,Curves!$AI$22:$BV$22)+SUMPRODUCT(Adds!$C$285:$AP$285,Curves!$AI$45:$BV$45)+SUMPRODUCT(Adds!$C$286:$AP$286,Curves!$AI$68:$BV$68)</f>
        <v/>
      </c>
      <c r="AQ76" s="5">
        <f>SUMPRODUCT(Adds!$C$284:$AQ$284,Curves!$AH$22:$BV$22)+SUMPRODUCT(Adds!$C$285:$AQ$285,Curves!$AH$45:$BV$45)+SUMPRODUCT(Adds!$C$286:$AQ$286,Curves!$AH$68:$BV$68)</f>
        <v/>
      </c>
      <c r="AR76" s="5">
        <f>SUMPRODUCT(Adds!$C$284:$AR$284,Curves!$AG$22:$BV$22)+SUMPRODUCT(Adds!$C$285:$AR$285,Curves!$AG$45:$BV$45)+SUMPRODUCT(Adds!$C$286:$AR$286,Curves!$AG$68:$BV$68)</f>
        <v/>
      </c>
      <c r="AS76" s="5">
        <f>SUMPRODUCT(Adds!$C$284:$AS$284,Curves!$AF$22:$BV$22)+SUMPRODUCT(Adds!$C$285:$AS$285,Curves!$AF$45:$BV$45)+SUMPRODUCT(Adds!$C$286:$AS$286,Curves!$AF$68:$BV$68)</f>
        <v/>
      </c>
      <c r="AT76" s="5">
        <f>SUMPRODUCT(Adds!$C$284:$AT$284,Curves!$AE$22:$BV$22)+SUMPRODUCT(Adds!$C$285:$AT$285,Curves!$AE$45:$BV$45)+SUMPRODUCT(Adds!$C$286:$AT$286,Curves!$AE$68:$BV$68)</f>
        <v/>
      </c>
      <c r="AU76" s="5">
        <f>SUMPRODUCT(Adds!$C$284:$AU$284,Curves!$AD$22:$BV$22)+SUMPRODUCT(Adds!$C$285:$AU$285,Curves!$AD$45:$BV$45)+SUMPRODUCT(Adds!$C$286:$AU$286,Curves!$AD$68:$BV$68)</f>
        <v/>
      </c>
      <c r="AV76" s="5">
        <f>SUMPRODUCT(Adds!$C$284:$AV$284,Curves!$AC$22:$BV$22)+SUMPRODUCT(Adds!$C$285:$AV$285,Curves!$AC$45:$BV$45)+SUMPRODUCT(Adds!$C$286:$AV$286,Curves!$AC$68:$BV$68)</f>
        <v/>
      </c>
      <c r="AW76" s="5">
        <f>SUMPRODUCT(Adds!$C$284:$AW$284,Curves!$AB$22:$BV$22)+SUMPRODUCT(Adds!$C$285:$AW$285,Curves!$AB$45:$BV$45)+SUMPRODUCT(Adds!$C$286:$AW$286,Curves!$AB$68:$BV$68)</f>
        <v/>
      </c>
      <c r="AX76" s="5">
        <f>SUMPRODUCT(Adds!$C$284:$AX$284,Curves!$AA$22:$BV$22)+SUMPRODUCT(Adds!$C$285:$AX$285,Curves!$AA$45:$BV$45)+SUMPRODUCT(Adds!$C$286:$AX$286,Curves!$AA$68:$BV$68)</f>
        <v/>
      </c>
      <c r="AY76" s="5">
        <f>SUMPRODUCT(Adds!$C$284:$AY$284,Curves!$Z$22:$BV$22)+SUMPRODUCT(Adds!$C$285:$AY$285,Curves!$Z$45:$BV$45)+SUMPRODUCT(Adds!$C$286:$AY$286,Curves!$Z$68:$BV$68)</f>
        <v/>
      </c>
      <c r="AZ76" s="5">
        <f>SUMPRODUCT(Adds!$C$284:$AZ$284,Curves!$Y$22:$BV$22)+SUMPRODUCT(Adds!$C$285:$AZ$285,Curves!$Y$45:$BV$45)+SUMPRODUCT(Adds!$C$286:$AZ$286,Curves!$Y$68:$BV$68)</f>
        <v/>
      </c>
      <c r="BA76" s="5">
        <f>SUMPRODUCT(Adds!$C$284:$BA$284,Curves!$X$22:$BV$22)+SUMPRODUCT(Adds!$C$285:$BA$285,Curves!$X$45:$BV$45)+SUMPRODUCT(Adds!$C$286:$BA$286,Curves!$X$68:$BV$68)</f>
        <v/>
      </c>
      <c r="BB76" s="5">
        <f>SUMPRODUCT(Adds!$C$284:$BB$284,Curves!$W$22:$BV$22)+SUMPRODUCT(Adds!$C$285:$BB$285,Curves!$W$45:$BV$45)+SUMPRODUCT(Adds!$C$286:$BB$286,Curves!$W$68:$BV$68)</f>
        <v/>
      </c>
      <c r="BC76" s="5">
        <f>SUMPRODUCT(Adds!$C$284:$BC$284,Curves!$V$22:$BV$22)+SUMPRODUCT(Adds!$C$285:$BC$285,Curves!$V$45:$BV$45)+SUMPRODUCT(Adds!$C$286:$BC$286,Curves!$V$68:$BV$68)</f>
        <v/>
      </c>
      <c r="BD76" s="5">
        <f>SUMPRODUCT(Adds!$C$284:$BD$284,Curves!$U$22:$BV$22)+SUMPRODUCT(Adds!$C$285:$BD$285,Curves!$U$45:$BV$45)+SUMPRODUCT(Adds!$C$286:$BD$286,Curves!$U$68:$BV$68)</f>
        <v/>
      </c>
      <c r="BE76" s="5">
        <f>SUMPRODUCT(Adds!$C$284:$BE$284,Curves!$T$22:$BV$22)+SUMPRODUCT(Adds!$C$285:$BE$285,Curves!$T$45:$BV$45)+SUMPRODUCT(Adds!$C$286:$BE$286,Curves!$T$68:$BV$68)</f>
        <v/>
      </c>
      <c r="BF76" s="5">
        <f>SUMPRODUCT(Adds!$C$284:$BF$284,Curves!$S$22:$BV$22)+SUMPRODUCT(Adds!$C$285:$BF$285,Curves!$S$45:$BV$45)+SUMPRODUCT(Adds!$C$286:$BF$286,Curves!$S$68:$BV$68)</f>
        <v/>
      </c>
      <c r="BG76" s="5">
        <f>SUMPRODUCT(Adds!$C$284:$BG$284,Curves!$R$22:$BV$22)+SUMPRODUCT(Adds!$C$285:$BG$285,Curves!$R$45:$BV$45)+SUMPRODUCT(Adds!$C$286:$BG$286,Curves!$R$68:$BV$68)</f>
        <v/>
      </c>
      <c r="BH76" s="5">
        <f>SUMPRODUCT(Adds!$C$284:$BH$284,Curves!$Q$22:$BV$22)+SUMPRODUCT(Adds!$C$285:$BH$285,Curves!$Q$45:$BV$45)+SUMPRODUCT(Adds!$C$286:$BH$286,Curves!$Q$68:$BV$68)</f>
        <v/>
      </c>
      <c r="BI76" s="5">
        <f>SUMPRODUCT(Adds!$C$284:$BI$284,Curves!$P$22:$BV$22)+SUMPRODUCT(Adds!$C$285:$BI$285,Curves!$P$45:$BV$45)+SUMPRODUCT(Adds!$C$286:$BI$286,Curves!$P$68:$BV$68)</f>
        <v/>
      </c>
      <c r="BJ76" s="5">
        <f>SUMPRODUCT(Adds!$C$284:$BJ$284,Curves!$O$22:$BV$22)+SUMPRODUCT(Adds!$C$285:$BJ$285,Curves!$O$45:$BV$45)+SUMPRODUCT(Adds!$C$286:$BJ$286,Curves!$O$68:$BV$68)</f>
        <v/>
      </c>
      <c r="BK76" s="5">
        <f>SUMPRODUCT(Adds!$C$284:$BK$284,Curves!$N$22:$BV$22)+SUMPRODUCT(Adds!$C$285:$BK$285,Curves!$N$45:$BV$45)+SUMPRODUCT(Adds!$C$286:$BK$286,Curves!$N$68:$BV$68)</f>
        <v/>
      </c>
      <c r="BL76" s="5">
        <f>SUMPRODUCT(Adds!$C$284:$BL$284,Curves!$M$22:$BV$22)+SUMPRODUCT(Adds!$C$285:$BL$285,Curves!$M$45:$BV$45)+SUMPRODUCT(Adds!$C$286:$BL$286,Curves!$M$68:$BV$68)</f>
        <v/>
      </c>
      <c r="BM76" s="5">
        <f>SUMPRODUCT(Adds!$C$284:$BM$284,Curves!$L$22:$BV$22)+SUMPRODUCT(Adds!$C$285:$BM$285,Curves!$L$45:$BV$45)+SUMPRODUCT(Adds!$C$286:$BM$286,Curves!$L$68:$BV$68)</f>
        <v/>
      </c>
      <c r="BN76" s="5">
        <f>SUMPRODUCT(Adds!$C$284:$BN$284,Curves!$K$22:$BV$22)+SUMPRODUCT(Adds!$C$285:$BN$285,Curves!$K$45:$BV$45)+SUMPRODUCT(Adds!$C$286:$BN$286,Curves!$K$68:$BV$68)</f>
        <v/>
      </c>
      <c r="BO76" s="5">
        <f>SUMPRODUCT(Adds!$C$284:$BO$284,Curves!$J$22:$BV$22)+SUMPRODUCT(Adds!$C$285:$BO$285,Curves!$J$45:$BV$45)+SUMPRODUCT(Adds!$C$286:$BO$286,Curves!$J$68:$BV$68)</f>
        <v/>
      </c>
      <c r="BP76" s="5">
        <f>SUMPRODUCT(Adds!$C$284:$BP$284,Curves!$I$22:$BV$22)+SUMPRODUCT(Adds!$C$285:$BP$285,Curves!$I$45:$BV$45)+SUMPRODUCT(Adds!$C$286:$BP$286,Curves!$I$68:$BV$68)</f>
        <v/>
      </c>
      <c r="BQ76" s="5">
        <f>SUMPRODUCT(Adds!$C$284:$BQ$284,Curves!$H$22:$BV$22)+SUMPRODUCT(Adds!$C$285:$BQ$285,Curves!$H$45:$BV$45)+SUMPRODUCT(Adds!$C$286:$BQ$286,Curves!$H$68:$BV$68)</f>
        <v/>
      </c>
      <c r="BR76" s="5">
        <f>SUMPRODUCT(Adds!$C$284:$BR$284,Curves!$G$22:$BV$22)+SUMPRODUCT(Adds!$C$285:$BR$285,Curves!$G$45:$BV$45)+SUMPRODUCT(Adds!$C$286:$BR$286,Curves!$G$68:$BV$68)</f>
        <v/>
      </c>
      <c r="BS76" s="5">
        <f>SUMPRODUCT(Adds!$C$284:$BS$284,Curves!$F$22:$BV$22)+SUMPRODUCT(Adds!$C$285:$BS$285,Curves!$F$45:$BV$45)+SUMPRODUCT(Adds!$C$286:$BS$286,Curves!$F$68:$BV$68)</f>
        <v/>
      </c>
      <c r="BT76" s="5">
        <f>SUMPRODUCT(Adds!$C$284:$BT$284,Curves!$E$22:$BV$22)+SUMPRODUCT(Adds!$C$285:$BT$285,Curves!$E$45:$BV$45)+SUMPRODUCT(Adds!$C$286:$BT$286,Curves!$E$68:$BV$68)</f>
        <v/>
      </c>
      <c r="BU76" s="5">
        <f>SUMPRODUCT(Adds!$C$284:$BU$284,Curves!$D$22:$BV$22)+SUMPRODUCT(Adds!$C$285:$BU$285,Curves!$D$45:$BV$45)+SUMPRODUCT(Adds!$C$286:$BU$286,Curves!$D$68:$BV$68)</f>
        <v/>
      </c>
      <c r="BV76" s="5">
        <f>SUMPRODUCT(Adds!$C$284:$BV$284,Curves!$C$22:$BV$22)+SUMPRODUCT(Adds!$C$285:$BV$285,Curves!$C$45:$BV$45)+SUMPRODUCT(Adds!$C$286:$BV$286,Curves!$C$68:$BV$68)</f>
        <v/>
      </c>
    </row>
    <row r="77">
      <c r="A77" t="inlineStr">
        <is>
          <t>churned</t>
        </is>
      </c>
      <c r="B77" t="inlineStr">
        <is>
          <t>ROW|BASIC_M</t>
        </is>
      </c>
      <c r="C77" s="5">
        <f>Adds!$C$284*Curves!$BV$17+Adds!$C$285*Curves!$BV$40+Adds!$C$286*Curves!$BV$63</f>
        <v/>
      </c>
      <c r="D77" s="5">
        <f>SUMPRODUCT(Adds!$C$284:$D$284,Curves!$BU$17:$BV$17)+SUMPRODUCT(Adds!$C$285:$D$285,Curves!$BU$40:$BV$40)+SUMPRODUCT(Adds!$C$286:$D$286,Curves!$BU$63:$BV$63)</f>
        <v/>
      </c>
      <c r="E77" s="5">
        <f>SUMPRODUCT(Adds!$C$284:$E$284,Curves!$BT$17:$BV$17)+SUMPRODUCT(Adds!$C$285:$E$285,Curves!$BT$40:$BV$40)+SUMPRODUCT(Adds!$C$286:$E$286,Curves!$BT$63:$BV$63)</f>
        <v/>
      </c>
      <c r="F77" s="5">
        <f>SUMPRODUCT(Adds!$C$284:$F$284,Curves!$BS$17:$BV$17)+SUMPRODUCT(Adds!$C$285:$F$285,Curves!$BS$40:$BV$40)+SUMPRODUCT(Adds!$C$286:$F$286,Curves!$BS$63:$BV$63)</f>
        <v/>
      </c>
      <c r="G77" s="5">
        <f>SUMPRODUCT(Adds!$C$284:$G$284,Curves!$BR$17:$BV$17)+SUMPRODUCT(Adds!$C$285:$G$285,Curves!$BR$40:$BV$40)+SUMPRODUCT(Adds!$C$286:$G$286,Curves!$BR$63:$BV$63)</f>
        <v/>
      </c>
      <c r="H77" s="5">
        <f>SUMPRODUCT(Adds!$C$284:$H$284,Curves!$BQ$17:$BV$17)+SUMPRODUCT(Adds!$C$285:$H$285,Curves!$BQ$40:$BV$40)+SUMPRODUCT(Adds!$C$286:$H$286,Curves!$BQ$63:$BV$63)</f>
        <v/>
      </c>
      <c r="I77" s="5">
        <f>SUMPRODUCT(Adds!$C$284:$I$284,Curves!$BP$17:$BV$17)+SUMPRODUCT(Adds!$C$285:$I$285,Curves!$BP$40:$BV$40)+SUMPRODUCT(Adds!$C$286:$I$286,Curves!$BP$63:$BV$63)</f>
        <v/>
      </c>
      <c r="J77" s="5">
        <f>SUMPRODUCT(Adds!$C$284:$J$284,Curves!$BO$17:$BV$17)+SUMPRODUCT(Adds!$C$285:$J$285,Curves!$BO$40:$BV$40)+SUMPRODUCT(Adds!$C$286:$J$286,Curves!$BO$63:$BV$63)</f>
        <v/>
      </c>
      <c r="K77" s="5">
        <f>SUMPRODUCT(Adds!$C$284:$K$284,Curves!$BN$17:$BV$17)+SUMPRODUCT(Adds!$C$285:$K$285,Curves!$BN$40:$BV$40)+SUMPRODUCT(Adds!$C$286:$K$286,Curves!$BN$63:$BV$63)</f>
        <v/>
      </c>
      <c r="L77" s="5">
        <f>SUMPRODUCT(Adds!$C$284:$L$284,Curves!$BM$17:$BV$17)+SUMPRODUCT(Adds!$C$285:$L$285,Curves!$BM$40:$BV$40)+SUMPRODUCT(Adds!$C$286:$L$286,Curves!$BM$63:$BV$63)</f>
        <v/>
      </c>
      <c r="M77" s="5">
        <f>SUMPRODUCT(Adds!$C$284:$M$284,Curves!$BL$17:$BV$17)+SUMPRODUCT(Adds!$C$285:$M$285,Curves!$BL$40:$BV$40)+SUMPRODUCT(Adds!$C$286:$M$286,Curves!$BL$63:$BV$63)</f>
        <v/>
      </c>
      <c r="N77" s="5">
        <f>SUMPRODUCT(Adds!$C$284:$N$284,Curves!$BK$17:$BV$17)+SUMPRODUCT(Adds!$C$285:$N$285,Curves!$BK$40:$BV$40)+SUMPRODUCT(Adds!$C$286:$N$286,Curves!$BK$63:$BV$63)</f>
        <v/>
      </c>
      <c r="O77" s="5">
        <f>SUMPRODUCT(Adds!$C$284:$O$284,Curves!$BJ$17:$BV$17)+SUMPRODUCT(Adds!$C$285:$O$285,Curves!$BJ$40:$BV$40)+SUMPRODUCT(Adds!$C$286:$O$286,Curves!$BJ$63:$BV$63)</f>
        <v/>
      </c>
      <c r="P77" s="5">
        <f>SUMPRODUCT(Adds!$C$284:$P$284,Curves!$BI$17:$BV$17)+SUMPRODUCT(Adds!$C$285:$P$285,Curves!$BI$40:$BV$40)+SUMPRODUCT(Adds!$C$286:$P$286,Curves!$BI$63:$BV$63)</f>
        <v/>
      </c>
      <c r="Q77" s="5">
        <f>SUMPRODUCT(Adds!$C$284:$Q$284,Curves!$BH$17:$BV$17)+SUMPRODUCT(Adds!$C$285:$Q$285,Curves!$BH$40:$BV$40)+SUMPRODUCT(Adds!$C$286:$Q$286,Curves!$BH$63:$BV$63)</f>
        <v/>
      </c>
      <c r="R77" s="5">
        <f>SUMPRODUCT(Adds!$C$284:$R$284,Curves!$BG$17:$BV$17)+SUMPRODUCT(Adds!$C$285:$R$285,Curves!$BG$40:$BV$40)+SUMPRODUCT(Adds!$C$286:$R$286,Curves!$BG$63:$BV$63)</f>
        <v/>
      </c>
      <c r="S77" s="5">
        <f>SUMPRODUCT(Adds!$C$284:$S$284,Curves!$BF$17:$BV$17)+SUMPRODUCT(Adds!$C$285:$S$285,Curves!$BF$40:$BV$40)+SUMPRODUCT(Adds!$C$286:$S$286,Curves!$BF$63:$BV$63)</f>
        <v/>
      </c>
      <c r="T77" s="5">
        <f>SUMPRODUCT(Adds!$C$284:$T$284,Curves!$BE$17:$BV$17)+SUMPRODUCT(Adds!$C$285:$T$285,Curves!$BE$40:$BV$40)+SUMPRODUCT(Adds!$C$286:$T$286,Curves!$BE$63:$BV$63)</f>
        <v/>
      </c>
      <c r="U77" s="5">
        <f>SUMPRODUCT(Adds!$C$284:$U$284,Curves!$BD$17:$BV$17)+SUMPRODUCT(Adds!$C$285:$U$285,Curves!$BD$40:$BV$40)+SUMPRODUCT(Adds!$C$286:$U$286,Curves!$BD$63:$BV$63)</f>
        <v/>
      </c>
      <c r="V77" s="5">
        <f>SUMPRODUCT(Adds!$C$284:$V$284,Curves!$BC$17:$BV$17)+SUMPRODUCT(Adds!$C$285:$V$285,Curves!$BC$40:$BV$40)+SUMPRODUCT(Adds!$C$286:$V$286,Curves!$BC$63:$BV$63)</f>
        <v/>
      </c>
      <c r="W77" s="5">
        <f>SUMPRODUCT(Adds!$C$284:$W$284,Curves!$BB$17:$BV$17)+SUMPRODUCT(Adds!$C$285:$W$285,Curves!$BB$40:$BV$40)+SUMPRODUCT(Adds!$C$286:$W$286,Curves!$BB$63:$BV$63)</f>
        <v/>
      </c>
      <c r="X77" s="5">
        <f>SUMPRODUCT(Adds!$C$284:$X$284,Curves!$BA$17:$BV$17)+SUMPRODUCT(Adds!$C$285:$X$285,Curves!$BA$40:$BV$40)+SUMPRODUCT(Adds!$C$286:$X$286,Curves!$BA$63:$BV$63)</f>
        <v/>
      </c>
      <c r="Y77" s="5">
        <f>SUMPRODUCT(Adds!$C$284:$Y$284,Curves!$AZ$17:$BV$17)+SUMPRODUCT(Adds!$C$285:$Y$285,Curves!$AZ$40:$BV$40)+SUMPRODUCT(Adds!$C$286:$Y$286,Curves!$AZ$63:$BV$63)</f>
        <v/>
      </c>
      <c r="Z77" s="5">
        <f>SUMPRODUCT(Adds!$C$284:$Z$284,Curves!$AY$17:$BV$17)+SUMPRODUCT(Adds!$C$285:$Z$285,Curves!$AY$40:$BV$40)+SUMPRODUCT(Adds!$C$286:$Z$286,Curves!$AY$63:$BV$63)</f>
        <v/>
      </c>
      <c r="AA77" s="5">
        <f>SUMPRODUCT(Adds!$C$284:$AA$284,Curves!$AX$17:$BV$17)+SUMPRODUCT(Adds!$C$285:$AA$285,Curves!$AX$40:$BV$40)+SUMPRODUCT(Adds!$C$286:$AA$286,Curves!$AX$63:$BV$63)</f>
        <v/>
      </c>
      <c r="AB77" s="5">
        <f>SUMPRODUCT(Adds!$C$284:$AB$284,Curves!$AW$17:$BV$17)+SUMPRODUCT(Adds!$C$285:$AB$285,Curves!$AW$40:$BV$40)+SUMPRODUCT(Adds!$C$286:$AB$286,Curves!$AW$63:$BV$63)</f>
        <v/>
      </c>
      <c r="AC77" s="5">
        <f>SUMPRODUCT(Adds!$C$284:$AC$284,Curves!$AV$17:$BV$17)+SUMPRODUCT(Adds!$C$285:$AC$285,Curves!$AV$40:$BV$40)+SUMPRODUCT(Adds!$C$286:$AC$286,Curves!$AV$63:$BV$63)</f>
        <v/>
      </c>
      <c r="AD77" s="5">
        <f>SUMPRODUCT(Adds!$C$284:$AD$284,Curves!$AU$17:$BV$17)+SUMPRODUCT(Adds!$C$285:$AD$285,Curves!$AU$40:$BV$40)+SUMPRODUCT(Adds!$C$286:$AD$286,Curves!$AU$63:$BV$63)</f>
        <v/>
      </c>
      <c r="AE77" s="5">
        <f>SUMPRODUCT(Adds!$C$284:$AE$284,Curves!$AT$17:$BV$17)+SUMPRODUCT(Adds!$C$285:$AE$285,Curves!$AT$40:$BV$40)+SUMPRODUCT(Adds!$C$286:$AE$286,Curves!$AT$63:$BV$63)</f>
        <v/>
      </c>
      <c r="AF77" s="5">
        <f>SUMPRODUCT(Adds!$C$284:$AF$284,Curves!$AS$17:$BV$17)+SUMPRODUCT(Adds!$C$285:$AF$285,Curves!$AS$40:$BV$40)+SUMPRODUCT(Adds!$C$286:$AF$286,Curves!$AS$63:$BV$63)</f>
        <v/>
      </c>
      <c r="AG77" s="5">
        <f>SUMPRODUCT(Adds!$C$284:$AG$284,Curves!$AR$17:$BV$17)+SUMPRODUCT(Adds!$C$285:$AG$285,Curves!$AR$40:$BV$40)+SUMPRODUCT(Adds!$C$286:$AG$286,Curves!$AR$63:$BV$63)</f>
        <v/>
      </c>
      <c r="AH77" s="5">
        <f>SUMPRODUCT(Adds!$C$284:$AH$284,Curves!$AQ$17:$BV$17)+SUMPRODUCT(Adds!$C$285:$AH$285,Curves!$AQ$40:$BV$40)+SUMPRODUCT(Adds!$C$286:$AH$286,Curves!$AQ$63:$BV$63)</f>
        <v/>
      </c>
      <c r="AI77" s="5">
        <f>SUMPRODUCT(Adds!$C$284:$AI$284,Curves!$AP$17:$BV$17)+SUMPRODUCT(Adds!$C$285:$AI$285,Curves!$AP$40:$BV$40)+SUMPRODUCT(Adds!$C$286:$AI$286,Curves!$AP$63:$BV$63)</f>
        <v/>
      </c>
      <c r="AJ77" s="5">
        <f>SUMPRODUCT(Adds!$C$284:$AJ$284,Curves!$AO$17:$BV$17)+SUMPRODUCT(Adds!$C$285:$AJ$285,Curves!$AO$40:$BV$40)+SUMPRODUCT(Adds!$C$286:$AJ$286,Curves!$AO$63:$BV$63)</f>
        <v/>
      </c>
      <c r="AK77" s="5">
        <f>SUMPRODUCT(Adds!$C$284:$AK$284,Curves!$AN$17:$BV$17)+SUMPRODUCT(Adds!$C$285:$AK$285,Curves!$AN$40:$BV$40)+SUMPRODUCT(Adds!$C$286:$AK$286,Curves!$AN$63:$BV$63)</f>
        <v/>
      </c>
      <c r="AL77" s="5">
        <f>SUMPRODUCT(Adds!$C$284:$AL$284,Curves!$AM$17:$BV$17)+SUMPRODUCT(Adds!$C$285:$AL$285,Curves!$AM$40:$BV$40)+SUMPRODUCT(Adds!$C$286:$AL$286,Curves!$AM$63:$BV$63)</f>
        <v/>
      </c>
      <c r="AM77" s="5">
        <f>SUMPRODUCT(Adds!$C$284:$AM$284,Curves!$AL$17:$BV$17)+SUMPRODUCT(Adds!$C$285:$AM$285,Curves!$AL$40:$BV$40)+SUMPRODUCT(Adds!$C$286:$AM$286,Curves!$AL$63:$BV$63)</f>
        <v/>
      </c>
      <c r="AN77" s="5">
        <f>SUMPRODUCT(Adds!$C$284:$AN$284,Curves!$AK$17:$BV$17)+SUMPRODUCT(Adds!$C$285:$AN$285,Curves!$AK$40:$BV$40)+SUMPRODUCT(Adds!$C$286:$AN$286,Curves!$AK$63:$BV$63)</f>
        <v/>
      </c>
      <c r="AO77" s="5">
        <f>SUMPRODUCT(Adds!$C$284:$AO$284,Curves!$AJ$17:$BV$17)+SUMPRODUCT(Adds!$C$285:$AO$285,Curves!$AJ$40:$BV$40)+SUMPRODUCT(Adds!$C$286:$AO$286,Curves!$AJ$63:$BV$63)</f>
        <v/>
      </c>
      <c r="AP77" s="5">
        <f>SUMPRODUCT(Adds!$C$284:$AP$284,Curves!$AI$17:$BV$17)+SUMPRODUCT(Adds!$C$285:$AP$285,Curves!$AI$40:$BV$40)+SUMPRODUCT(Adds!$C$286:$AP$286,Curves!$AI$63:$BV$63)</f>
        <v/>
      </c>
      <c r="AQ77" s="5">
        <f>SUMPRODUCT(Adds!$C$284:$AQ$284,Curves!$AH$17:$BV$17)+SUMPRODUCT(Adds!$C$285:$AQ$285,Curves!$AH$40:$BV$40)+SUMPRODUCT(Adds!$C$286:$AQ$286,Curves!$AH$63:$BV$63)</f>
        <v/>
      </c>
      <c r="AR77" s="5">
        <f>SUMPRODUCT(Adds!$C$284:$AR$284,Curves!$AG$17:$BV$17)+SUMPRODUCT(Adds!$C$285:$AR$285,Curves!$AG$40:$BV$40)+SUMPRODUCT(Adds!$C$286:$AR$286,Curves!$AG$63:$BV$63)</f>
        <v/>
      </c>
      <c r="AS77" s="5">
        <f>SUMPRODUCT(Adds!$C$284:$AS$284,Curves!$AF$17:$BV$17)+SUMPRODUCT(Adds!$C$285:$AS$285,Curves!$AF$40:$BV$40)+SUMPRODUCT(Adds!$C$286:$AS$286,Curves!$AF$63:$BV$63)</f>
        <v/>
      </c>
      <c r="AT77" s="5">
        <f>SUMPRODUCT(Adds!$C$284:$AT$284,Curves!$AE$17:$BV$17)+SUMPRODUCT(Adds!$C$285:$AT$285,Curves!$AE$40:$BV$40)+SUMPRODUCT(Adds!$C$286:$AT$286,Curves!$AE$63:$BV$63)</f>
        <v/>
      </c>
      <c r="AU77" s="5">
        <f>SUMPRODUCT(Adds!$C$284:$AU$284,Curves!$AD$17:$BV$17)+SUMPRODUCT(Adds!$C$285:$AU$285,Curves!$AD$40:$BV$40)+SUMPRODUCT(Adds!$C$286:$AU$286,Curves!$AD$63:$BV$63)</f>
        <v/>
      </c>
      <c r="AV77" s="5">
        <f>SUMPRODUCT(Adds!$C$284:$AV$284,Curves!$AC$17:$BV$17)+SUMPRODUCT(Adds!$C$285:$AV$285,Curves!$AC$40:$BV$40)+SUMPRODUCT(Adds!$C$286:$AV$286,Curves!$AC$63:$BV$63)</f>
        <v/>
      </c>
      <c r="AW77" s="5">
        <f>SUMPRODUCT(Adds!$C$284:$AW$284,Curves!$AB$17:$BV$17)+SUMPRODUCT(Adds!$C$285:$AW$285,Curves!$AB$40:$BV$40)+SUMPRODUCT(Adds!$C$286:$AW$286,Curves!$AB$63:$BV$63)</f>
        <v/>
      </c>
      <c r="AX77" s="5">
        <f>SUMPRODUCT(Adds!$C$284:$AX$284,Curves!$AA$17:$BV$17)+SUMPRODUCT(Adds!$C$285:$AX$285,Curves!$AA$40:$BV$40)+SUMPRODUCT(Adds!$C$286:$AX$286,Curves!$AA$63:$BV$63)</f>
        <v/>
      </c>
      <c r="AY77" s="5">
        <f>SUMPRODUCT(Adds!$C$284:$AY$284,Curves!$Z$17:$BV$17)+SUMPRODUCT(Adds!$C$285:$AY$285,Curves!$Z$40:$BV$40)+SUMPRODUCT(Adds!$C$286:$AY$286,Curves!$Z$63:$BV$63)</f>
        <v/>
      </c>
      <c r="AZ77" s="5">
        <f>SUMPRODUCT(Adds!$C$284:$AZ$284,Curves!$Y$17:$BV$17)+SUMPRODUCT(Adds!$C$285:$AZ$285,Curves!$Y$40:$BV$40)+SUMPRODUCT(Adds!$C$286:$AZ$286,Curves!$Y$63:$BV$63)</f>
        <v/>
      </c>
      <c r="BA77" s="5">
        <f>SUMPRODUCT(Adds!$C$284:$BA$284,Curves!$X$17:$BV$17)+SUMPRODUCT(Adds!$C$285:$BA$285,Curves!$X$40:$BV$40)+SUMPRODUCT(Adds!$C$286:$BA$286,Curves!$X$63:$BV$63)</f>
        <v/>
      </c>
      <c r="BB77" s="5">
        <f>SUMPRODUCT(Adds!$C$284:$BB$284,Curves!$W$17:$BV$17)+SUMPRODUCT(Adds!$C$285:$BB$285,Curves!$W$40:$BV$40)+SUMPRODUCT(Adds!$C$286:$BB$286,Curves!$W$63:$BV$63)</f>
        <v/>
      </c>
      <c r="BC77" s="5">
        <f>SUMPRODUCT(Adds!$C$284:$BC$284,Curves!$V$17:$BV$17)+SUMPRODUCT(Adds!$C$285:$BC$285,Curves!$V$40:$BV$40)+SUMPRODUCT(Adds!$C$286:$BC$286,Curves!$V$63:$BV$63)</f>
        <v/>
      </c>
      <c r="BD77" s="5">
        <f>SUMPRODUCT(Adds!$C$284:$BD$284,Curves!$U$17:$BV$17)+SUMPRODUCT(Adds!$C$285:$BD$285,Curves!$U$40:$BV$40)+SUMPRODUCT(Adds!$C$286:$BD$286,Curves!$U$63:$BV$63)</f>
        <v/>
      </c>
      <c r="BE77" s="5">
        <f>SUMPRODUCT(Adds!$C$284:$BE$284,Curves!$T$17:$BV$17)+SUMPRODUCT(Adds!$C$285:$BE$285,Curves!$T$40:$BV$40)+SUMPRODUCT(Adds!$C$286:$BE$286,Curves!$T$63:$BV$63)</f>
        <v/>
      </c>
      <c r="BF77" s="5">
        <f>SUMPRODUCT(Adds!$C$284:$BF$284,Curves!$S$17:$BV$17)+SUMPRODUCT(Adds!$C$285:$BF$285,Curves!$S$40:$BV$40)+SUMPRODUCT(Adds!$C$286:$BF$286,Curves!$S$63:$BV$63)</f>
        <v/>
      </c>
      <c r="BG77" s="5">
        <f>SUMPRODUCT(Adds!$C$284:$BG$284,Curves!$R$17:$BV$17)+SUMPRODUCT(Adds!$C$285:$BG$285,Curves!$R$40:$BV$40)+SUMPRODUCT(Adds!$C$286:$BG$286,Curves!$R$63:$BV$63)</f>
        <v/>
      </c>
      <c r="BH77" s="5">
        <f>SUMPRODUCT(Adds!$C$284:$BH$284,Curves!$Q$17:$BV$17)+SUMPRODUCT(Adds!$C$285:$BH$285,Curves!$Q$40:$BV$40)+SUMPRODUCT(Adds!$C$286:$BH$286,Curves!$Q$63:$BV$63)</f>
        <v/>
      </c>
      <c r="BI77" s="5">
        <f>SUMPRODUCT(Adds!$C$284:$BI$284,Curves!$P$17:$BV$17)+SUMPRODUCT(Adds!$C$285:$BI$285,Curves!$P$40:$BV$40)+SUMPRODUCT(Adds!$C$286:$BI$286,Curves!$P$63:$BV$63)</f>
        <v/>
      </c>
      <c r="BJ77" s="5">
        <f>SUMPRODUCT(Adds!$C$284:$BJ$284,Curves!$O$17:$BV$17)+SUMPRODUCT(Adds!$C$285:$BJ$285,Curves!$O$40:$BV$40)+SUMPRODUCT(Adds!$C$286:$BJ$286,Curves!$O$63:$BV$63)</f>
        <v/>
      </c>
      <c r="BK77" s="5">
        <f>SUMPRODUCT(Adds!$C$284:$BK$284,Curves!$N$17:$BV$17)+SUMPRODUCT(Adds!$C$285:$BK$285,Curves!$N$40:$BV$40)+SUMPRODUCT(Adds!$C$286:$BK$286,Curves!$N$63:$BV$63)</f>
        <v/>
      </c>
      <c r="BL77" s="5">
        <f>SUMPRODUCT(Adds!$C$284:$BL$284,Curves!$M$17:$BV$17)+SUMPRODUCT(Adds!$C$285:$BL$285,Curves!$M$40:$BV$40)+SUMPRODUCT(Adds!$C$286:$BL$286,Curves!$M$63:$BV$63)</f>
        <v/>
      </c>
      <c r="BM77" s="5">
        <f>SUMPRODUCT(Adds!$C$284:$BM$284,Curves!$L$17:$BV$17)+SUMPRODUCT(Adds!$C$285:$BM$285,Curves!$L$40:$BV$40)+SUMPRODUCT(Adds!$C$286:$BM$286,Curves!$L$63:$BV$63)</f>
        <v/>
      </c>
      <c r="BN77" s="5">
        <f>SUMPRODUCT(Adds!$C$284:$BN$284,Curves!$K$17:$BV$17)+SUMPRODUCT(Adds!$C$285:$BN$285,Curves!$K$40:$BV$40)+SUMPRODUCT(Adds!$C$286:$BN$286,Curves!$K$63:$BV$63)</f>
        <v/>
      </c>
      <c r="BO77" s="5">
        <f>SUMPRODUCT(Adds!$C$284:$BO$284,Curves!$J$17:$BV$17)+SUMPRODUCT(Adds!$C$285:$BO$285,Curves!$J$40:$BV$40)+SUMPRODUCT(Adds!$C$286:$BO$286,Curves!$J$63:$BV$63)</f>
        <v/>
      </c>
      <c r="BP77" s="5">
        <f>SUMPRODUCT(Adds!$C$284:$BP$284,Curves!$I$17:$BV$17)+SUMPRODUCT(Adds!$C$285:$BP$285,Curves!$I$40:$BV$40)+SUMPRODUCT(Adds!$C$286:$BP$286,Curves!$I$63:$BV$63)</f>
        <v/>
      </c>
      <c r="BQ77" s="5">
        <f>SUMPRODUCT(Adds!$C$284:$BQ$284,Curves!$H$17:$BV$17)+SUMPRODUCT(Adds!$C$285:$BQ$285,Curves!$H$40:$BV$40)+SUMPRODUCT(Adds!$C$286:$BQ$286,Curves!$H$63:$BV$63)</f>
        <v/>
      </c>
      <c r="BR77" s="5">
        <f>SUMPRODUCT(Adds!$C$284:$BR$284,Curves!$G$17:$BV$17)+SUMPRODUCT(Adds!$C$285:$BR$285,Curves!$G$40:$BV$40)+SUMPRODUCT(Adds!$C$286:$BR$286,Curves!$G$63:$BV$63)</f>
        <v/>
      </c>
      <c r="BS77" s="5">
        <f>SUMPRODUCT(Adds!$C$284:$BS$284,Curves!$F$17:$BV$17)+SUMPRODUCT(Adds!$C$285:$BS$285,Curves!$F$40:$BV$40)+SUMPRODUCT(Adds!$C$286:$BS$286,Curves!$F$63:$BV$63)</f>
        <v/>
      </c>
      <c r="BT77" s="5">
        <f>SUMPRODUCT(Adds!$C$284:$BT$284,Curves!$E$17:$BV$17)+SUMPRODUCT(Adds!$C$285:$BT$285,Curves!$E$40:$BV$40)+SUMPRODUCT(Adds!$C$286:$BT$286,Curves!$E$63:$BV$63)</f>
        <v/>
      </c>
      <c r="BU77" s="5">
        <f>SUMPRODUCT(Adds!$C$284:$BU$284,Curves!$D$17:$BV$17)+SUMPRODUCT(Adds!$C$285:$BU$285,Curves!$D$40:$BV$40)+SUMPRODUCT(Adds!$C$286:$BU$286,Curves!$D$63:$BV$63)</f>
        <v/>
      </c>
      <c r="BV77" s="5">
        <f>SUMPRODUCT(Adds!$C$284:$BV$284,Curves!$C$17:$BV$17)+SUMPRODUCT(Adds!$C$285:$BV$285,Curves!$C$40:$BV$40)+SUMPRODUCT(Adds!$C$286:$BV$286,Curves!$C$63:$BV$63)</f>
        <v/>
      </c>
    </row>
    <row r="79">
      <c r="A79" t="inlineStr">
        <is>
          <t>active</t>
        </is>
      </c>
      <c r="B79" t="inlineStr">
        <is>
          <t>ROW|BASIC_A</t>
        </is>
      </c>
      <c r="C79" s="5">
        <f>Adds!$C$299*Curves!$BV$16+Adds!$C$300*Curves!$BV$39+Adds!$C$301*Curves!$BV$62</f>
        <v/>
      </c>
      <c r="D79" s="5">
        <f>SUMPRODUCT(Adds!$C$299:$D$299,Curves!$BU$16:$BV$16)+SUMPRODUCT(Adds!$C$300:$D$300,Curves!$BU$39:$BV$39)+SUMPRODUCT(Adds!$C$301:$D$301,Curves!$BU$62:$BV$62)</f>
        <v/>
      </c>
      <c r="E79" s="5">
        <f>SUMPRODUCT(Adds!$C$299:$E$299,Curves!$BT$16:$BV$16)+SUMPRODUCT(Adds!$C$300:$E$300,Curves!$BT$39:$BV$39)+SUMPRODUCT(Adds!$C$301:$E$301,Curves!$BT$62:$BV$62)</f>
        <v/>
      </c>
      <c r="F79" s="5">
        <f>SUMPRODUCT(Adds!$C$299:$F$299,Curves!$BS$16:$BV$16)+SUMPRODUCT(Adds!$C$300:$F$300,Curves!$BS$39:$BV$39)+SUMPRODUCT(Adds!$C$301:$F$301,Curves!$BS$62:$BV$62)</f>
        <v/>
      </c>
      <c r="G79" s="5">
        <f>SUMPRODUCT(Adds!$C$299:$G$299,Curves!$BR$16:$BV$16)+SUMPRODUCT(Adds!$C$300:$G$300,Curves!$BR$39:$BV$39)+SUMPRODUCT(Adds!$C$301:$G$301,Curves!$BR$62:$BV$62)</f>
        <v/>
      </c>
      <c r="H79" s="5">
        <f>SUMPRODUCT(Adds!$C$299:$H$299,Curves!$BQ$16:$BV$16)+SUMPRODUCT(Adds!$C$300:$H$300,Curves!$BQ$39:$BV$39)+SUMPRODUCT(Adds!$C$301:$H$301,Curves!$BQ$62:$BV$62)</f>
        <v/>
      </c>
      <c r="I79" s="5">
        <f>SUMPRODUCT(Adds!$C$299:$I$299,Curves!$BP$16:$BV$16)+SUMPRODUCT(Adds!$C$300:$I$300,Curves!$BP$39:$BV$39)+SUMPRODUCT(Adds!$C$301:$I$301,Curves!$BP$62:$BV$62)</f>
        <v/>
      </c>
      <c r="J79" s="5">
        <f>SUMPRODUCT(Adds!$C$299:$J$299,Curves!$BO$16:$BV$16)+SUMPRODUCT(Adds!$C$300:$J$300,Curves!$BO$39:$BV$39)+SUMPRODUCT(Adds!$C$301:$J$301,Curves!$BO$62:$BV$62)</f>
        <v/>
      </c>
      <c r="K79" s="5">
        <f>SUMPRODUCT(Adds!$C$299:$K$299,Curves!$BN$16:$BV$16)+SUMPRODUCT(Adds!$C$300:$K$300,Curves!$BN$39:$BV$39)+SUMPRODUCT(Adds!$C$301:$K$301,Curves!$BN$62:$BV$62)</f>
        <v/>
      </c>
      <c r="L79" s="5">
        <f>SUMPRODUCT(Adds!$C$299:$L$299,Curves!$BM$16:$BV$16)+SUMPRODUCT(Adds!$C$300:$L$300,Curves!$BM$39:$BV$39)+SUMPRODUCT(Adds!$C$301:$L$301,Curves!$BM$62:$BV$62)</f>
        <v/>
      </c>
      <c r="M79" s="5">
        <f>SUMPRODUCT(Adds!$C$299:$M$299,Curves!$BL$16:$BV$16)+SUMPRODUCT(Adds!$C$300:$M$300,Curves!$BL$39:$BV$39)+SUMPRODUCT(Adds!$C$301:$M$301,Curves!$BL$62:$BV$62)</f>
        <v/>
      </c>
      <c r="N79" s="5">
        <f>SUMPRODUCT(Adds!$C$299:$N$299,Curves!$BK$16:$BV$16)+SUMPRODUCT(Adds!$C$300:$N$300,Curves!$BK$39:$BV$39)+SUMPRODUCT(Adds!$C$301:$N$301,Curves!$BK$62:$BV$62)</f>
        <v/>
      </c>
      <c r="O79" s="5">
        <f>SUMPRODUCT(Adds!$C$299:$O$299,Curves!$BJ$16:$BV$16)+SUMPRODUCT(Adds!$C$300:$O$300,Curves!$BJ$39:$BV$39)+SUMPRODUCT(Adds!$C$301:$O$301,Curves!$BJ$62:$BV$62)</f>
        <v/>
      </c>
      <c r="P79" s="5">
        <f>SUMPRODUCT(Adds!$C$299:$P$299,Curves!$BI$16:$BV$16)+SUMPRODUCT(Adds!$C$300:$P$300,Curves!$BI$39:$BV$39)+SUMPRODUCT(Adds!$C$301:$P$301,Curves!$BI$62:$BV$62)</f>
        <v/>
      </c>
      <c r="Q79" s="5">
        <f>SUMPRODUCT(Adds!$C$299:$Q$299,Curves!$BH$16:$BV$16)+SUMPRODUCT(Adds!$C$300:$Q$300,Curves!$BH$39:$BV$39)+SUMPRODUCT(Adds!$C$301:$Q$301,Curves!$BH$62:$BV$62)</f>
        <v/>
      </c>
      <c r="R79" s="5">
        <f>SUMPRODUCT(Adds!$C$299:$R$299,Curves!$BG$16:$BV$16)+SUMPRODUCT(Adds!$C$300:$R$300,Curves!$BG$39:$BV$39)+SUMPRODUCT(Adds!$C$301:$R$301,Curves!$BG$62:$BV$62)</f>
        <v/>
      </c>
      <c r="S79" s="5">
        <f>SUMPRODUCT(Adds!$C$299:$S$299,Curves!$BF$16:$BV$16)+SUMPRODUCT(Adds!$C$300:$S$300,Curves!$BF$39:$BV$39)+SUMPRODUCT(Adds!$C$301:$S$301,Curves!$BF$62:$BV$62)</f>
        <v/>
      </c>
      <c r="T79" s="5">
        <f>SUMPRODUCT(Adds!$C$299:$T$299,Curves!$BE$16:$BV$16)+SUMPRODUCT(Adds!$C$300:$T$300,Curves!$BE$39:$BV$39)+SUMPRODUCT(Adds!$C$301:$T$301,Curves!$BE$62:$BV$62)</f>
        <v/>
      </c>
      <c r="U79" s="5">
        <f>SUMPRODUCT(Adds!$C$299:$U$299,Curves!$BD$16:$BV$16)+SUMPRODUCT(Adds!$C$300:$U$300,Curves!$BD$39:$BV$39)+SUMPRODUCT(Adds!$C$301:$U$301,Curves!$BD$62:$BV$62)</f>
        <v/>
      </c>
      <c r="V79" s="5">
        <f>SUMPRODUCT(Adds!$C$299:$V$299,Curves!$BC$16:$BV$16)+SUMPRODUCT(Adds!$C$300:$V$300,Curves!$BC$39:$BV$39)+SUMPRODUCT(Adds!$C$301:$V$301,Curves!$BC$62:$BV$62)</f>
        <v/>
      </c>
      <c r="W79" s="5">
        <f>SUMPRODUCT(Adds!$C$299:$W$299,Curves!$BB$16:$BV$16)+SUMPRODUCT(Adds!$C$300:$W$300,Curves!$BB$39:$BV$39)+SUMPRODUCT(Adds!$C$301:$W$301,Curves!$BB$62:$BV$62)</f>
        <v/>
      </c>
      <c r="X79" s="5">
        <f>SUMPRODUCT(Adds!$C$299:$X$299,Curves!$BA$16:$BV$16)+SUMPRODUCT(Adds!$C$300:$X$300,Curves!$BA$39:$BV$39)+SUMPRODUCT(Adds!$C$301:$X$301,Curves!$BA$62:$BV$62)</f>
        <v/>
      </c>
      <c r="Y79" s="5">
        <f>SUMPRODUCT(Adds!$C$299:$Y$299,Curves!$AZ$16:$BV$16)+SUMPRODUCT(Adds!$C$300:$Y$300,Curves!$AZ$39:$BV$39)+SUMPRODUCT(Adds!$C$301:$Y$301,Curves!$AZ$62:$BV$62)</f>
        <v/>
      </c>
      <c r="Z79" s="5">
        <f>SUMPRODUCT(Adds!$C$299:$Z$299,Curves!$AY$16:$BV$16)+SUMPRODUCT(Adds!$C$300:$Z$300,Curves!$AY$39:$BV$39)+SUMPRODUCT(Adds!$C$301:$Z$301,Curves!$AY$62:$BV$62)</f>
        <v/>
      </c>
      <c r="AA79" s="5">
        <f>SUMPRODUCT(Adds!$C$299:$AA$299,Curves!$AX$16:$BV$16)+SUMPRODUCT(Adds!$C$300:$AA$300,Curves!$AX$39:$BV$39)+SUMPRODUCT(Adds!$C$301:$AA$301,Curves!$AX$62:$BV$62)</f>
        <v/>
      </c>
      <c r="AB79" s="5">
        <f>SUMPRODUCT(Adds!$C$299:$AB$299,Curves!$AW$16:$BV$16)+SUMPRODUCT(Adds!$C$300:$AB$300,Curves!$AW$39:$BV$39)+SUMPRODUCT(Adds!$C$301:$AB$301,Curves!$AW$62:$BV$62)</f>
        <v/>
      </c>
      <c r="AC79" s="5">
        <f>SUMPRODUCT(Adds!$C$299:$AC$299,Curves!$AV$16:$BV$16)+SUMPRODUCT(Adds!$C$300:$AC$300,Curves!$AV$39:$BV$39)+SUMPRODUCT(Adds!$C$301:$AC$301,Curves!$AV$62:$BV$62)</f>
        <v/>
      </c>
      <c r="AD79" s="5">
        <f>SUMPRODUCT(Adds!$C$299:$AD$299,Curves!$AU$16:$BV$16)+SUMPRODUCT(Adds!$C$300:$AD$300,Curves!$AU$39:$BV$39)+SUMPRODUCT(Adds!$C$301:$AD$301,Curves!$AU$62:$BV$62)</f>
        <v/>
      </c>
      <c r="AE79" s="5">
        <f>SUMPRODUCT(Adds!$C$299:$AE$299,Curves!$AT$16:$BV$16)+SUMPRODUCT(Adds!$C$300:$AE$300,Curves!$AT$39:$BV$39)+SUMPRODUCT(Adds!$C$301:$AE$301,Curves!$AT$62:$BV$62)</f>
        <v/>
      </c>
      <c r="AF79" s="5">
        <f>SUMPRODUCT(Adds!$C$299:$AF$299,Curves!$AS$16:$BV$16)+SUMPRODUCT(Adds!$C$300:$AF$300,Curves!$AS$39:$BV$39)+SUMPRODUCT(Adds!$C$301:$AF$301,Curves!$AS$62:$BV$62)</f>
        <v/>
      </c>
      <c r="AG79" s="5">
        <f>SUMPRODUCT(Adds!$C$299:$AG$299,Curves!$AR$16:$BV$16)+SUMPRODUCT(Adds!$C$300:$AG$300,Curves!$AR$39:$BV$39)+SUMPRODUCT(Adds!$C$301:$AG$301,Curves!$AR$62:$BV$62)</f>
        <v/>
      </c>
      <c r="AH79" s="5">
        <f>SUMPRODUCT(Adds!$C$299:$AH$299,Curves!$AQ$16:$BV$16)+SUMPRODUCT(Adds!$C$300:$AH$300,Curves!$AQ$39:$BV$39)+SUMPRODUCT(Adds!$C$301:$AH$301,Curves!$AQ$62:$BV$62)</f>
        <v/>
      </c>
      <c r="AI79" s="5">
        <f>SUMPRODUCT(Adds!$C$299:$AI$299,Curves!$AP$16:$BV$16)+SUMPRODUCT(Adds!$C$300:$AI$300,Curves!$AP$39:$BV$39)+SUMPRODUCT(Adds!$C$301:$AI$301,Curves!$AP$62:$BV$62)</f>
        <v/>
      </c>
      <c r="AJ79" s="5">
        <f>SUMPRODUCT(Adds!$C$299:$AJ$299,Curves!$AO$16:$BV$16)+SUMPRODUCT(Adds!$C$300:$AJ$300,Curves!$AO$39:$BV$39)+SUMPRODUCT(Adds!$C$301:$AJ$301,Curves!$AO$62:$BV$62)</f>
        <v/>
      </c>
      <c r="AK79" s="5">
        <f>SUMPRODUCT(Adds!$C$299:$AK$299,Curves!$AN$16:$BV$16)+SUMPRODUCT(Adds!$C$300:$AK$300,Curves!$AN$39:$BV$39)+SUMPRODUCT(Adds!$C$301:$AK$301,Curves!$AN$62:$BV$62)</f>
        <v/>
      </c>
      <c r="AL79" s="5">
        <f>SUMPRODUCT(Adds!$C$299:$AL$299,Curves!$AM$16:$BV$16)+SUMPRODUCT(Adds!$C$300:$AL$300,Curves!$AM$39:$BV$39)+SUMPRODUCT(Adds!$C$301:$AL$301,Curves!$AM$62:$BV$62)</f>
        <v/>
      </c>
      <c r="AM79" s="5">
        <f>SUMPRODUCT(Adds!$C$299:$AM$299,Curves!$AL$16:$BV$16)+SUMPRODUCT(Adds!$C$300:$AM$300,Curves!$AL$39:$BV$39)+SUMPRODUCT(Adds!$C$301:$AM$301,Curves!$AL$62:$BV$62)</f>
        <v/>
      </c>
      <c r="AN79" s="5">
        <f>SUMPRODUCT(Adds!$C$299:$AN$299,Curves!$AK$16:$BV$16)+SUMPRODUCT(Adds!$C$300:$AN$300,Curves!$AK$39:$BV$39)+SUMPRODUCT(Adds!$C$301:$AN$301,Curves!$AK$62:$BV$62)</f>
        <v/>
      </c>
      <c r="AO79" s="5">
        <f>SUMPRODUCT(Adds!$C$299:$AO$299,Curves!$AJ$16:$BV$16)+SUMPRODUCT(Adds!$C$300:$AO$300,Curves!$AJ$39:$BV$39)+SUMPRODUCT(Adds!$C$301:$AO$301,Curves!$AJ$62:$BV$62)</f>
        <v/>
      </c>
      <c r="AP79" s="5">
        <f>SUMPRODUCT(Adds!$C$299:$AP$299,Curves!$AI$16:$BV$16)+SUMPRODUCT(Adds!$C$300:$AP$300,Curves!$AI$39:$BV$39)+SUMPRODUCT(Adds!$C$301:$AP$301,Curves!$AI$62:$BV$62)</f>
        <v/>
      </c>
      <c r="AQ79" s="5">
        <f>SUMPRODUCT(Adds!$C$299:$AQ$299,Curves!$AH$16:$BV$16)+SUMPRODUCT(Adds!$C$300:$AQ$300,Curves!$AH$39:$BV$39)+SUMPRODUCT(Adds!$C$301:$AQ$301,Curves!$AH$62:$BV$62)</f>
        <v/>
      </c>
      <c r="AR79" s="5">
        <f>SUMPRODUCT(Adds!$C$299:$AR$299,Curves!$AG$16:$BV$16)+SUMPRODUCT(Adds!$C$300:$AR$300,Curves!$AG$39:$BV$39)+SUMPRODUCT(Adds!$C$301:$AR$301,Curves!$AG$62:$BV$62)</f>
        <v/>
      </c>
      <c r="AS79" s="5">
        <f>SUMPRODUCT(Adds!$C$299:$AS$299,Curves!$AF$16:$BV$16)+SUMPRODUCT(Adds!$C$300:$AS$300,Curves!$AF$39:$BV$39)+SUMPRODUCT(Adds!$C$301:$AS$301,Curves!$AF$62:$BV$62)</f>
        <v/>
      </c>
      <c r="AT79" s="5">
        <f>SUMPRODUCT(Adds!$C$299:$AT$299,Curves!$AE$16:$BV$16)+SUMPRODUCT(Adds!$C$300:$AT$300,Curves!$AE$39:$BV$39)+SUMPRODUCT(Adds!$C$301:$AT$301,Curves!$AE$62:$BV$62)</f>
        <v/>
      </c>
      <c r="AU79" s="5">
        <f>SUMPRODUCT(Adds!$C$299:$AU$299,Curves!$AD$16:$BV$16)+SUMPRODUCT(Adds!$C$300:$AU$300,Curves!$AD$39:$BV$39)+SUMPRODUCT(Adds!$C$301:$AU$301,Curves!$AD$62:$BV$62)</f>
        <v/>
      </c>
      <c r="AV79" s="5">
        <f>SUMPRODUCT(Adds!$C$299:$AV$299,Curves!$AC$16:$BV$16)+SUMPRODUCT(Adds!$C$300:$AV$300,Curves!$AC$39:$BV$39)+SUMPRODUCT(Adds!$C$301:$AV$301,Curves!$AC$62:$BV$62)</f>
        <v/>
      </c>
      <c r="AW79" s="5">
        <f>SUMPRODUCT(Adds!$C$299:$AW$299,Curves!$AB$16:$BV$16)+SUMPRODUCT(Adds!$C$300:$AW$300,Curves!$AB$39:$BV$39)+SUMPRODUCT(Adds!$C$301:$AW$301,Curves!$AB$62:$BV$62)</f>
        <v/>
      </c>
      <c r="AX79" s="5">
        <f>SUMPRODUCT(Adds!$C$299:$AX$299,Curves!$AA$16:$BV$16)+SUMPRODUCT(Adds!$C$300:$AX$300,Curves!$AA$39:$BV$39)+SUMPRODUCT(Adds!$C$301:$AX$301,Curves!$AA$62:$BV$62)</f>
        <v/>
      </c>
      <c r="AY79" s="5">
        <f>SUMPRODUCT(Adds!$C$299:$AY$299,Curves!$Z$16:$BV$16)+SUMPRODUCT(Adds!$C$300:$AY$300,Curves!$Z$39:$BV$39)+SUMPRODUCT(Adds!$C$301:$AY$301,Curves!$Z$62:$BV$62)</f>
        <v/>
      </c>
      <c r="AZ79" s="5">
        <f>SUMPRODUCT(Adds!$C$299:$AZ$299,Curves!$Y$16:$BV$16)+SUMPRODUCT(Adds!$C$300:$AZ$300,Curves!$Y$39:$BV$39)+SUMPRODUCT(Adds!$C$301:$AZ$301,Curves!$Y$62:$BV$62)</f>
        <v/>
      </c>
      <c r="BA79" s="5">
        <f>SUMPRODUCT(Adds!$C$299:$BA$299,Curves!$X$16:$BV$16)+SUMPRODUCT(Adds!$C$300:$BA$300,Curves!$X$39:$BV$39)+SUMPRODUCT(Adds!$C$301:$BA$301,Curves!$X$62:$BV$62)</f>
        <v/>
      </c>
      <c r="BB79" s="5">
        <f>SUMPRODUCT(Adds!$C$299:$BB$299,Curves!$W$16:$BV$16)+SUMPRODUCT(Adds!$C$300:$BB$300,Curves!$W$39:$BV$39)+SUMPRODUCT(Adds!$C$301:$BB$301,Curves!$W$62:$BV$62)</f>
        <v/>
      </c>
      <c r="BC79" s="5">
        <f>SUMPRODUCT(Adds!$C$299:$BC$299,Curves!$V$16:$BV$16)+SUMPRODUCT(Adds!$C$300:$BC$300,Curves!$V$39:$BV$39)+SUMPRODUCT(Adds!$C$301:$BC$301,Curves!$V$62:$BV$62)</f>
        <v/>
      </c>
      <c r="BD79" s="5">
        <f>SUMPRODUCT(Adds!$C$299:$BD$299,Curves!$U$16:$BV$16)+SUMPRODUCT(Adds!$C$300:$BD$300,Curves!$U$39:$BV$39)+SUMPRODUCT(Adds!$C$301:$BD$301,Curves!$U$62:$BV$62)</f>
        <v/>
      </c>
      <c r="BE79" s="5">
        <f>SUMPRODUCT(Adds!$C$299:$BE$299,Curves!$T$16:$BV$16)+SUMPRODUCT(Adds!$C$300:$BE$300,Curves!$T$39:$BV$39)+SUMPRODUCT(Adds!$C$301:$BE$301,Curves!$T$62:$BV$62)</f>
        <v/>
      </c>
      <c r="BF79" s="5">
        <f>SUMPRODUCT(Adds!$C$299:$BF$299,Curves!$S$16:$BV$16)+SUMPRODUCT(Adds!$C$300:$BF$300,Curves!$S$39:$BV$39)+SUMPRODUCT(Adds!$C$301:$BF$301,Curves!$S$62:$BV$62)</f>
        <v/>
      </c>
      <c r="BG79" s="5">
        <f>SUMPRODUCT(Adds!$C$299:$BG$299,Curves!$R$16:$BV$16)+SUMPRODUCT(Adds!$C$300:$BG$300,Curves!$R$39:$BV$39)+SUMPRODUCT(Adds!$C$301:$BG$301,Curves!$R$62:$BV$62)</f>
        <v/>
      </c>
      <c r="BH79" s="5">
        <f>SUMPRODUCT(Adds!$C$299:$BH$299,Curves!$Q$16:$BV$16)+SUMPRODUCT(Adds!$C$300:$BH$300,Curves!$Q$39:$BV$39)+SUMPRODUCT(Adds!$C$301:$BH$301,Curves!$Q$62:$BV$62)</f>
        <v/>
      </c>
      <c r="BI79" s="5">
        <f>SUMPRODUCT(Adds!$C$299:$BI$299,Curves!$P$16:$BV$16)+SUMPRODUCT(Adds!$C$300:$BI$300,Curves!$P$39:$BV$39)+SUMPRODUCT(Adds!$C$301:$BI$301,Curves!$P$62:$BV$62)</f>
        <v/>
      </c>
      <c r="BJ79" s="5">
        <f>SUMPRODUCT(Adds!$C$299:$BJ$299,Curves!$O$16:$BV$16)+SUMPRODUCT(Adds!$C$300:$BJ$300,Curves!$O$39:$BV$39)+SUMPRODUCT(Adds!$C$301:$BJ$301,Curves!$O$62:$BV$62)</f>
        <v/>
      </c>
      <c r="BK79" s="5">
        <f>SUMPRODUCT(Adds!$C$299:$BK$299,Curves!$N$16:$BV$16)+SUMPRODUCT(Adds!$C$300:$BK$300,Curves!$N$39:$BV$39)+SUMPRODUCT(Adds!$C$301:$BK$301,Curves!$N$62:$BV$62)</f>
        <v/>
      </c>
      <c r="BL79" s="5">
        <f>SUMPRODUCT(Adds!$C$299:$BL$299,Curves!$M$16:$BV$16)+SUMPRODUCT(Adds!$C$300:$BL$300,Curves!$M$39:$BV$39)+SUMPRODUCT(Adds!$C$301:$BL$301,Curves!$M$62:$BV$62)</f>
        <v/>
      </c>
      <c r="BM79" s="5">
        <f>SUMPRODUCT(Adds!$C$299:$BM$299,Curves!$L$16:$BV$16)+SUMPRODUCT(Adds!$C$300:$BM$300,Curves!$L$39:$BV$39)+SUMPRODUCT(Adds!$C$301:$BM$301,Curves!$L$62:$BV$62)</f>
        <v/>
      </c>
      <c r="BN79" s="5">
        <f>SUMPRODUCT(Adds!$C$299:$BN$299,Curves!$K$16:$BV$16)+SUMPRODUCT(Adds!$C$300:$BN$300,Curves!$K$39:$BV$39)+SUMPRODUCT(Adds!$C$301:$BN$301,Curves!$K$62:$BV$62)</f>
        <v/>
      </c>
      <c r="BO79" s="5">
        <f>SUMPRODUCT(Adds!$C$299:$BO$299,Curves!$J$16:$BV$16)+SUMPRODUCT(Adds!$C$300:$BO$300,Curves!$J$39:$BV$39)+SUMPRODUCT(Adds!$C$301:$BO$301,Curves!$J$62:$BV$62)</f>
        <v/>
      </c>
      <c r="BP79" s="5">
        <f>SUMPRODUCT(Adds!$C$299:$BP$299,Curves!$I$16:$BV$16)+SUMPRODUCT(Adds!$C$300:$BP$300,Curves!$I$39:$BV$39)+SUMPRODUCT(Adds!$C$301:$BP$301,Curves!$I$62:$BV$62)</f>
        <v/>
      </c>
      <c r="BQ79" s="5">
        <f>SUMPRODUCT(Adds!$C$299:$BQ$299,Curves!$H$16:$BV$16)+SUMPRODUCT(Adds!$C$300:$BQ$300,Curves!$H$39:$BV$39)+SUMPRODUCT(Adds!$C$301:$BQ$301,Curves!$H$62:$BV$62)</f>
        <v/>
      </c>
      <c r="BR79" s="5">
        <f>SUMPRODUCT(Adds!$C$299:$BR$299,Curves!$G$16:$BV$16)+SUMPRODUCT(Adds!$C$300:$BR$300,Curves!$G$39:$BV$39)+SUMPRODUCT(Adds!$C$301:$BR$301,Curves!$G$62:$BV$62)</f>
        <v/>
      </c>
      <c r="BS79" s="5">
        <f>SUMPRODUCT(Adds!$C$299:$BS$299,Curves!$F$16:$BV$16)+SUMPRODUCT(Adds!$C$300:$BS$300,Curves!$F$39:$BV$39)+SUMPRODUCT(Adds!$C$301:$BS$301,Curves!$F$62:$BV$62)</f>
        <v/>
      </c>
      <c r="BT79" s="5">
        <f>SUMPRODUCT(Adds!$C$299:$BT$299,Curves!$E$16:$BV$16)+SUMPRODUCT(Adds!$C$300:$BT$300,Curves!$E$39:$BV$39)+SUMPRODUCT(Adds!$C$301:$BT$301,Curves!$E$62:$BV$62)</f>
        <v/>
      </c>
      <c r="BU79" s="5">
        <f>SUMPRODUCT(Adds!$C$299:$BU$299,Curves!$D$16:$BV$16)+SUMPRODUCT(Adds!$C$300:$BU$300,Curves!$D$39:$BV$39)+SUMPRODUCT(Adds!$C$301:$BU$301,Curves!$D$62:$BV$62)</f>
        <v/>
      </c>
      <c r="BV79" s="5">
        <f>SUMPRODUCT(Adds!$C$299:$BV$299,Curves!$C$16:$BV$16)+SUMPRODUCT(Adds!$C$300:$BV$300,Curves!$C$39:$BV$39)+SUMPRODUCT(Adds!$C$301:$BV$301,Curves!$C$62:$BV$62)</f>
        <v/>
      </c>
    </row>
    <row r="80">
      <c r="A80" t="inlineStr">
        <is>
          <t>active yr 1</t>
        </is>
      </c>
      <c r="B80" t="inlineStr">
        <is>
          <t>ROW|BASIC_A</t>
        </is>
      </c>
      <c r="C80" s="5">
        <f>Adds!$C$299*Curves!$BV$23+Adds!$C$300*Curves!$BV$46+Adds!$C$301*Curves!$BV$69</f>
        <v/>
      </c>
      <c r="D80" s="5">
        <f>SUMPRODUCT(Adds!$C$299:$D$299,Curves!$BU$23:$BV$23)+SUMPRODUCT(Adds!$C$300:$D$300,Curves!$BU$46:$BV$46)+SUMPRODUCT(Adds!$C$301:$D$301,Curves!$BU$69:$BV$69)</f>
        <v/>
      </c>
      <c r="E80" s="5">
        <f>SUMPRODUCT(Adds!$C$299:$E$299,Curves!$BT$23:$BV$23)+SUMPRODUCT(Adds!$C$300:$E$300,Curves!$BT$46:$BV$46)+SUMPRODUCT(Adds!$C$301:$E$301,Curves!$BT$69:$BV$69)</f>
        <v/>
      </c>
      <c r="F80" s="5">
        <f>SUMPRODUCT(Adds!$C$299:$F$299,Curves!$BS$23:$BV$23)+SUMPRODUCT(Adds!$C$300:$F$300,Curves!$BS$46:$BV$46)+SUMPRODUCT(Adds!$C$301:$F$301,Curves!$BS$69:$BV$69)</f>
        <v/>
      </c>
      <c r="G80" s="5">
        <f>SUMPRODUCT(Adds!$C$299:$G$299,Curves!$BR$23:$BV$23)+SUMPRODUCT(Adds!$C$300:$G$300,Curves!$BR$46:$BV$46)+SUMPRODUCT(Adds!$C$301:$G$301,Curves!$BR$69:$BV$69)</f>
        <v/>
      </c>
      <c r="H80" s="5">
        <f>SUMPRODUCT(Adds!$C$299:$H$299,Curves!$BQ$23:$BV$23)+SUMPRODUCT(Adds!$C$300:$H$300,Curves!$BQ$46:$BV$46)+SUMPRODUCT(Adds!$C$301:$H$301,Curves!$BQ$69:$BV$69)</f>
        <v/>
      </c>
      <c r="I80" s="5">
        <f>SUMPRODUCT(Adds!$C$299:$I$299,Curves!$BP$23:$BV$23)+SUMPRODUCT(Adds!$C$300:$I$300,Curves!$BP$46:$BV$46)+SUMPRODUCT(Adds!$C$301:$I$301,Curves!$BP$69:$BV$69)</f>
        <v/>
      </c>
      <c r="J80" s="5">
        <f>SUMPRODUCT(Adds!$C$299:$J$299,Curves!$BO$23:$BV$23)+SUMPRODUCT(Adds!$C$300:$J$300,Curves!$BO$46:$BV$46)+SUMPRODUCT(Adds!$C$301:$J$301,Curves!$BO$69:$BV$69)</f>
        <v/>
      </c>
      <c r="K80" s="5">
        <f>SUMPRODUCT(Adds!$C$299:$K$299,Curves!$BN$23:$BV$23)+SUMPRODUCT(Adds!$C$300:$K$300,Curves!$BN$46:$BV$46)+SUMPRODUCT(Adds!$C$301:$K$301,Curves!$BN$69:$BV$69)</f>
        <v/>
      </c>
      <c r="L80" s="5">
        <f>SUMPRODUCT(Adds!$C$299:$L$299,Curves!$BM$23:$BV$23)+SUMPRODUCT(Adds!$C$300:$L$300,Curves!$BM$46:$BV$46)+SUMPRODUCT(Adds!$C$301:$L$301,Curves!$BM$69:$BV$69)</f>
        <v/>
      </c>
      <c r="M80" s="5">
        <f>SUMPRODUCT(Adds!$C$299:$M$299,Curves!$BL$23:$BV$23)+SUMPRODUCT(Adds!$C$300:$M$300,Curves!$BL$46:$BV$46)+SUMPRODUCT(Adds!$C$301:$M$301,Curves!$BL$69:$BV$69)</f>
        <v/>
      </c>
      <c r="N80" s="5">
        <f>SUMPRODUCT(Adds!$C$299:$N$299,Curves!$BK$23:$BV$23)+SUMPRODUCT(Adds!$C$300:$N$300,Curves!$BK$46:$BV$46)+SUMPRODUCT(Adds!$C$301:$N$301,Curves!$BK$69:$BV$69)</f>
        <v/>
      </c>
      <c r="O80" s="5">
        <f>SUMPRODUCT(Adds!$C$299:$O$299,Curves!$BJ$23:$BV$23)+SUMPRODUCT(Adds!$C$300:$O$300,Curves!$BJ$46:$BV$46)+SUMPRODUCT(Adds!$C$301:$O$301,Curves!$BJ$69:$BV$69)</f>
        <v/>
      </c>
      <c r="P80" s="5">
        <f>SUMPRODUCT(Adds!$C$299:$P$299,Curves!$BI$23:$BV$23)+SUMPRODUCT(Adds!$C$300:$P$300,Curves!$BI$46:$BV$46)+SUMPRODUCT(Adds!$C$301:$P$301,Curves!$BI$69:$BV$69)</f>
        <v/>
      </c>
      <c r="Q80" s="5">
        <f>SUMPRODUCT(Adds!$C$299:$Q$299,Curves!$BH$23:$BV$23)+SUMPRODUCT(Adds!$C$300:$Q$300,Curves!$BH$46:$BV$46)+SUMPRODUCT(Adds!$C$301:$Q$301,Curves!$BH$69:$BV$69)</f>
        <v/>
      </c>
      <c r="R80" s="5">
        <f>SUMPRODUCT(Adds!$C$299:$R$299,Curves!$BG$23:$BV$23)+SUMPRODUCT(Adds!$C$300:$R$300,Curves!$BG$46:$BV$46)+SUMPRODUCT(Adds!$C$301:$R$301,Curves!$BG$69:$BV$69)</f>
        <v/>
      </c>
      <c r="S80" s="5">
        <f>SUMPRODUCT(Adds!$C$299:$S$299,Curves!$BF$23:$BV$23)+SUMPRODUCT(Adds!$C$300:$S$300,Curves!$BF$46:$BV$46)+SUMPRODUCT(Adds!$C$301:$S$301,Curves!$BF$69:$BV$69)</f>
        <v/>
      </c>
      <c r="T80" s="5">
        <f>SUMPRODUCT(Adds!$C$299:$T$299,Curves!$BE$23:$BV$23)+SUMPRODUCT(Adds!$C$300:$T$300,Curves!$BE$46:$BV$46)+SUMPRODUCT(Adds!$C$301:$T$301,Curves!$BE$69:$BV$69)</f>
        <v/>
      </c>
      <c r="U80" s="5">
        <f>SUMPRODUCT(Adds!$C$299:$U$299,Curves!$BD$23:$BV$23)+SUMPRODUCT(Adds!$C$300:$U$300,Curves!$BD$46:$BV$46)+SUMPRODUCT(Adds!$C$301:$U$301,Curves!$BD$69:$BV$69)</f>
        <v/>
      </c>
      <c r="V80" s="5">
        <f>SUMPRODUCT(Adds!$C$299:$V$299,Curves!$BC$23:$BV$23)+SUMPRODUCT(Adds!$C$300:$V$300,Curves!$BC$46:$BV$46)+SUMPRODUCT(Adds!$C$301:$V$301,Curves!$BC$69:$BV$69)</f>
        <v/>
      </c>
      <c r="W80" s="5">
        <f>SUMPRODUCT(Adds!$C$299:$W$299,Curves!$BB$23:$BV$23)+SUMPRODUCT(Adds!$C$300:$W$300,Curves!$BB$46:$BV$46)+SUMPRODUCT(Adds!$C$301:$W$301,Curves!$BB$69:$BV$69)</f>
        <v/>
      </c>
      <c r="X80" s="5">
        <f>SUMPRODUCT(Adds!$C$299:$X$299,Curves!$BA$23:$BV$23)+SUMPRODUCT(Adds!$C$300:$X$300,Curves!$BA$46:$BV$46)+SUMPRODUCT(Adds!$C$301:$X$301,Curves!$BA$69:$BV$69)</f>
        <v/>
      </c>
      <c r="Y80" s="5">
        <f>SUMPRODUCT(Adds!$C$299:$Y$299,Curves!$AZ$23:$BV$23)+SUMPRODUCT(Adds!$C$300:$Y$300,Curves!$AZ$46:$BV$46)+SUMPRODUCT(Adds!$C$301:$Y$301,Curves!$AZ$69:$BV$69)</f>
        <v/>
      </c>
      <c r="Z80" s="5">
        <f>SUMPRODUCT(Adds!$C$299:$Z$299,Curves!$AY$23:$BV$23)+SUMPRODUCT(Adds!$C$300:$Z$300,Curves!$AY$46:$BV$46)+SUMPRODUCT(Adds!$C$301:$Z$301,Curves!$AY$69:$BV$69)</f>
        <v/>
      </c>
      <c r="AA80" s="5">
        <f>SUMPRODUCT(Adds!$C$299:$AA$299,Curves!$AX$23:$BV$23)+SUMPRODUCT(Adds!$C$300:$AA$300,Curves!$AX$46:$BV$46)+SUMPRODUCT(Adds!$C$301:$AA$301,Curves!$AX$69:$BV$69)</f>
        <v/>
      </c>
      <c r="AB80" s="5">
        <f>SUMPRODUCT(Adds!$C$299:$AB$299,Curves!$AW$23:$BV$23)+SUMPRODUCT(Adds!$C$300:$AB$300,Curves!$AW$46:$BV$46)+SUMPRODUCT(Adds!$C$301:$AB$301,Curves!$AW$69:$BV$69)</f>
        <v/>
      </c>
      <c r="AC80" s="5">
        <f>SUMPRODUCT(Adds!$C$299:$AC$299,Curves!$AV$23:$BV$23)+SUMPRODUCT(Adds!$C$300:$AC$300,Curves!$AV$46:$BV$46)+SUMPRODUCT(Adds!$C$301:$AC$301,Curves!$AV$69:$BV$69)</f>
        <v/>
      </c>
      <c r="AD80" s="5">
        <f>SUMPRODUCT(Adds!$C$299:$AD$299,Curves!$AU$23:$BV$23)+SUMPRODUCT(Adds!$C$300:$AD$300,Curves!$AU$46:$BV$46)+SUMPRODUCT(Adds!$C$301:$AD$301,Curves!$AU$69:$BV$69)</f>
        <v/>
      </c>
      <c r="AE80" s="5">
        <f>SUMPRODUCT(Adds!$C$299:$AE$299,Curves!$AT$23:$BV$23)+SUMPRODUCT(Adds!$C$300:$AE$300,Curves!$AT$46:$BV$46)+SUMPRODUCT(Adds!$C$301:$AE$301,Curves!$AT$69:$BV$69)</f>
        <v/>
      </c>
      <c r="AF80" s="5">
        <f>SUMPRODUCT(Adds!$C$299:$AF$299,Curves!$AS$23:$BV$23)+SUMPRODUCT(Adds!$C$300:$AF$300,Curves!$AS$46:$BV$46)+SUMPRODUCT(Adds!$C$301:$AF$301,Curves!$AS$69:$BV$69)</f>
        <v/>
      </c>
      <c r="AG80" s="5">
        <f>SUMPRODUCT(Adds!$C$299:$AG$299,Curves!$AR$23:$BV$23)+SUMPRODUCT(Adds!$C$300:$AG$300,Curves!$AR$46:$BV$46)+SUMPRODUCT(Adds!$C$301:$AG$301,Curves!$AR$69:$BV$69)</f>
        <v/>
      </c>
      <c r="AH80" s="5">
        <f>SUMPRODUCT(Adds!$C$299:$AH$299,Curves!$AQ$23:$BV$23)+SUMPRODUCT(Adds!$C$300:$AH$300,Curves!$AQ$46:$BV$46)+SUMPRODUCT(Adds!$C$301:$AH$301,Curves!$AQ$69:$BV$69)</f>
        <v/>
      </c>
      <c r="AI80" s="5">
        <f>SUMPRODUCT(Adds!$C$299:$AI$299,Curves!$AP$23:$BV$23)+SUMPRODUCT(Adds!$C$300:$AI$300,Curves!$AP$46:$BV$46)+SUMPRODUCT(Adds!$C$301:$AI$301,Curves!$AP$69:$BV$69)</f>
        <v/>
      </c>
      <c r="AJ80" s="5">
        <f>SUMPRODUCT(Adds!$C$299:$AJ$299,Curves!$AO$23:$BV$23)+SUMPRODUCT(Adds!$C$300:$AJ$300,Curves!$AO$46:$BV$46)+SUMPRODUCT(Adds!$C$301:$AJ$301,Curves!$AO$69:$BV$69)</f>
        <v/>
      </c>
      <c r="AK80" s="5">
        <f>SUMPRODUCT(Adds!$C$299:$AK$299,Curves!$AN$23:$BV$23)+SUMPRODUCT(Adds!$C$300:$AK$300,Curves!$AN$46:$BV$46)+SUMPRODUCT(Adds!$C$301:$AK$301,Curves!$AN$69:$BV$69)</f>
        <v/>
      </c>
      <c r="AL80" s="5">
        <f>SUMPRODUCT(Adds!$C$299:$AL$299,Curves!$AM$23:$BV$23)+SUMPRODUCT(Adds!$C$300:$AL$300,Curves!$AM$46:$BV$46)+SUMPRODUCT(Adds!$C$301:$AL$301,Curves!$AM$69:$BV$69)</f>
        <v/>
      </c>
      <c r="AM80" s="5">
        <f>SUMPRODUCT(Adds!$C$299:$AM$299,Curves!$AL$23:$BV$23)+SUMPRODUCT(Adds!$C$300:$AM$300,Curves!$AL$46:$BV$46)+SUMPRODUCT(Adds!$C$301:$AM$301,Curves!$AL$69:$BV$69)</f>
        <v/>
      </c>
      <c r="AN80" s="5">
        <f>SUMPRODUCT(Adds!$C$299:$AN$299,Curves!$AK$23:$BV$23)+SUMPRODUCT(Adds!$C$300:$AN$300,Curves!$AK$46:$BV$46)+SUMPRODUCT(Adds!$C$301:$AN$301,Curves!$AK$69:$BV$69)</f>
        <v/>
      </c>
      <c r="AO80" s="5">
        <f>SUMPRODUCT(Adds!$C$299:$AO$299,Curves!$AJ$23:$BV$23)+SUMPRODUCT(Adds!$C$300:$AO$300,Curves!$AJ$46:$BV$46)+SUMPRODUCT(Adds!$C$301:$AO$301,Curves!$AJ$69:$BV$69)</f>
        <v/>
      </c>
      <c r="AP80" s="5">
        <f>SUMPRODUCT(Adds!$C$299:$AP$299,Curves!$AI$23:$BV$23)+SUMPRODUCT(Adds!$C$300:$AP$300,Curves!$AI$46:$BV$46)+SUMPRODUCT(Adds!$C$301:$AP$301,Curves!$AI$69:$BV$69)</f>
        <v/>
      </c>
      <c r="AQ80" s="5">
        <f>SUMPRODUCT(Adds!$C$299:$AQ$299,Curves!$AH$23:$BV$23)+SUMPRODUCT(Adds!$C$300:$AQ$300,Curves!$AH$46:$BV$46)+SUMPRODUCT(Adds!$C$301:$AQ$301,Curves!$AH$69:$BV$69)</f>
        <v/>
      </c>
      <c r="AR80" s="5">
        <f>SUMPRODUCT(Adds!$C$299:$AR$299,Curves!$AG$23:$BV$23)+SUMPRODUCT(Adds!$C$300:$AR$300,Curves!$AG$46:$BV$46)+SUMPRODUCT(Adds!$C$301:$AR$301,Curves!$AG$69:$BV$69)</f>
        <v/>
      </c>
      <c r="AS80" s="5">
        <f>SUMPRODUCT(Adds!$C$299:$AS$299,Curves!$AF$23:$BV$23)+SUMPRODUCT(Adds!$C$300:$AS$300,Curves!$AF$46:$BV$46)+SUMPRODUCT(Adds!$C$301:$AS$301,Curves!$AF$69:$BV$69)</f>
        <v/>
      </c>
      <c r="AT80" s="5">
        <f>SUMPRODUCT(Adds!$C$299:$AT$299,Curves!$AE$23:$BV$23)+SUMPRODUCT(Adds!$C$300:$AT$300,Curves!$AE$46:$BV$46)+SUMPRODUCT(Adds!$C$301:$AT$301,Curves!$AE$69:$BV$69)</f>
        <v/>
      </c>
      <c r="AU80" s="5">
        <f>SUMPRODUCT(Adds!$C$299:$AU$299,Curves!$AD$23:$BV$23)+SUMPRODUCT(Adds!$C$300:$AU$300,Curves!$AD$46:$BV$46)+SUMPRODUCT(Adds!$C$301:$AU$301,Curves!$AD$69:$BV$69)</f>
        <v/>
      </c>
      <c r="AV80" s="5">
        <f>SUMPRODUCT(Adds!$C$299:$AV$299,Curves!$AC$23:$BV$23)+SUMPRODUCT(Adds!$C$300:$AV$300,Curves!$AC$46:$BV$46)+SUMPRODUCT(Adds!$C$301:$AV$301,Curves!$AC$69:$BV$69)</f>
        <v/>
      </c>
      <c r="AW80" s="5">
        <f>SUMPRODUCT(Adds!$C$299:$AW$299,Curves!$AB$23:$BV$23)+SUMPRODUCT(Adds!$C$300:$AW$300,Curves!$AB$46:$BV$46)+SUMPRODUCT(Adds!$C$301:$AW$301,Curves!$AB$69:$BV$69)</f>
        <v/>
      </c>
      <c r="AX80" s="5">
        <f>SUMPRODUCT(Adds!$C$299:$AX$299,Curves!$AA$23:$BV$23)+SUMPRODUCT(Adds!$C$300:$AX$300,Curves!$AA$46:$BV$46)+SUMPRODUCT(Adds!$C$301:$AX$301,Curves!$AA$69:$BV$69)</f>
        <v/>
      </c>
      <c r="AY80" s="5">
        <f>SUMPRODUCT(Adds!$C$299:$AY$299,Curves!$Z$23:$BV$23)+SUMPRODUCT(Adds!$C$300:$AY$300,Curves!$Z$46:$BV$46)+SUMPRODUCT(Adds!$C$301:$AY$301,Curves!$Z$69:$BV$69)</f>
        <v/>
      </c>
      <c r="AZ80" s="5">
        <f>SUMPRODUCT(Adds!$C$299:$AZ$299,Curves!$Y$23:$BV$23)+SUMPRODUCT(Adds!$C$300:$AZ$300,Curves!$Y$46:$BV$46)+SUMPRODUCT(Adds!$C$301:$AZ$301,Curves!$Y$69:$BV$69)</f>
        <v/>
      </c>
      <c r="BA80" s="5">
        <f>SUMPRODUCT(Adds!$C$299:$BA$299,Curves!$X$23:$BV$23)+SUMPRODUCT(Adds!$C$300:$BA$300,Curves!$X$46:$BV$46)+SUMPRODUCT(Adds!$C$301:$BA$301,Curves!$X$69:$BV$69)</f>
        <v/>
      </c>
      <c r="BB80" s="5">
        <f>SUMPRODUCT(Adds!$C$299:$BB$299,Curves!$W$23:$BV$23)+SUMPRODUCT(Adds!$C$300:$BB$300,Curves!$W$46:$BV$46)+SUMPRODUCT(Adds!$C$301:$BB$301,Curves!$W$69:$BV$69)</f>
        <v/>
      </c>
      <c r="BC80" s="5">
        <f>SUMPRODUCT(Adds!$C$299:$BC$299,Curves!$V$23:$BV$23)+SUMPRODUCT(Adds!$C$300:$BC$300,Curves!$V$46:$BV$46)+SUMPRODUCT(Adds!$C$301:$BC$301,Curves!$V$69:$BV$69)</f>
        <v/>
      </c>
      <c r="BD80" s="5">
        <f>SUMPRODUCT(Adds!$C$299:$BD$299,Curves!$U$23:$BV$23)+SUMPRODUCT(Adds!$C$300:$BD$300,Curves!$U$46:$BV$46)+SUMPRODUCT(Adds!$C$301:$BD$301,Curves!$U$69:$BV$69)</f>
        <v/>
      </c>
      <c r="BE80" s="5">
        <f>SUMPRODUCT(Adds!$C$299:$BE$299,Curves!$T$23:$BV$23)+SUMPRODUCT(Adds!$C$300:$BE$300,Curves!$T$46:$BV$46)+SUMPRODUCT(Adds!$C$301:$BE$301,Curves!$T$69:$BV$69)</f>
        <v/>
      </c>
      <c r="BF80" s="5">
        <f>SUMPRODUCT(Adds!$C$299:$BF$299,Curves!$S$23:$BV$23)+SUMPRODUCT(Adds!$C$300:$BF$300,Curves!$S$46:$BV$46)+SUMPRODUCT(Adds!$C$301:$BF$301,Curves!$S$69:$BV$69)</f>
        <v/>
      </c>
      <c r="BG80" s="5">
        <f>SUMPRODUCT(Adds!$C$299:$BG$299,Curves!$R$23:$BV$23)+SUMPRODUCT(Adds!$C$300:$BG$300,Curves!$R$46:$BV$46)+SUMPRODUCT(Adds!$C$301:$BG$301,Curves!$R$69:$BV$69)</f>
        <v/>
      </c>
      <c r="BH80" s="5">
        <f>SUMPRODUCT(Adds!$C$299:$BH$299,Curves!$Q$23:$BV$23)+SUMPRODUCT(Adds!$C$300:$BH$300,Curves!$Q$46:$BV$46)+SUMPRODUCT(Adds!$C$301:$BH$301,Curves!$Q$69:$BV$69)</f>
        <v/>
      </c>
      <c r="BI80" s="5">
        <f>SUMPRODUCT(Adds!$C$299:$BI$299,Curves!$P$23:$BV$23)+SUMPRODUCT(Adds!$C$300:$BI$300,Curves!$P$46:$BV$46)+SUMPRODUCT(Adds!$C$301:$BI$301,Curves!$P$69:$BV$69)</f>
        <v/>
      </c>
      <c r="BJ80" s="5">
        <f>SUMPRODUCT(Adds!$C$299:$BJ$299,Curves!$O$23:$BV$23)+SUMPRODUCT(Adds!$C$300:$BJ$300,Curves!$O$46:$BV$46)+SUMPRODUCT(Adds!$C$301:$BJ$301,Curves!$O$69:$BV$69)</f>
        <v/>
      </c>
      <c r="BK80" s="5">
        <f>SUMPRODUCT(Adds!$C$299:$BK$299,Curves!$N$23:$BV$23)+SUMPRODUCT(Adds!$C$300:$BK$300,Curves!$N$46:$BV$46)+SUMPRODUCT(Adds!$C$301:$BK$301,Curves!$N$69:$BV$69)</f>
        <v/>
      </c>
      <c r="BL80" s="5">
        <f>SUMPRODUCT(Adds!$C$299:$BL$299,Curves!$M$23:$BV$23)+SUMPRODUCT(Adds!$C$300:$BL$300,Curves!$M$46:$BV$46)+SUMPRODUCT(Adds!$C$301:$BL$301,Curves!$M$69:$BV$69)</f>
        <v/>
      </c>
      <c r="BM80" s="5">
        <f>SUMPRODUCT(Adds!$C$299:$BM$299,Curves!$L$23:$BV$23)+SUMPRODUCT(Adds!$C$300:$BM$300,Curves!$L$46:$BV$46)+SUMPRODUCT(Adds!$C$301:$BM$301,Curves!$L$69:$BV$69)</f>
        <v/>
      </c>
      <c r="BN80" s="5">
        <f>SUMPRODUCT(Adds!$C$299:$BN$299,Curves!$K$23:$BV$23)+SUMPRODUCT(Adds!$C$300:$BN$300,Curves!$K$46:$BV$46)+SUMPRODUCT(Adds!$C$301:$BN$301,Curves!$K$69:$BV$69)</f>
        <v/>
      </c>
      <c r="BO80" s="5">
        <f>SUMPRODUCT(Adds!$C$299:$BO$299,Curves!$J$23:$BV$23)+SUMPRODUCT(Adds!$C$300:$BO$300,Curves!$J$46:$BV$46)+SUMPRODUCT(Adds!$C$301:$BO$301,Curves!$J$69:$BV$69)</f>
        <v/>
      </c>
      <c r="BP80" s="5">
        <f>SUMPRODUCT(Adds!$C$299:$BP$299,Curves!$I$23:$BV$23)+SUMPRODUCT(Adds!$C$300:$BP$300,Curves!$I$46:$BV$46)+SUMPRODUCT(Adds!$C$301:$BP$301,Curves!$I$69:$BV$69)</f>
        <v/>
      </c>
      <c r="BQ80" s="5">
        <f>SUMPRODUCT(Adds!$C$299:$BQ$299,Curves!$H$23:$BV$23)+SUMPRODUCT(Adds!$C$300:$BQ$300,Curves!$H$46:$BV$46)+SUMPRODUCT(Adds!$C$301:$BQ$301,Curves!$H$69:$BV$69)</f>
        <v/>
      </c>
      <c r="BR80" s="5">
        <f>SUMPRODUCT(Adds!$C$299:$BR$299,Curves!$G$23:$BV$23)+SUMPRODUCT(Adds!$C$300:$BR$300,Curves!$G$46:$BV$46)+SUMPRODUCT(Adds!$C$301:$BR$301,Curves!$G$69:$BV$69)</f>
        <v/>
      </c>
      <c r="BS80" s="5">
        <f>SUMPRODUCT(Adds!$C$299:$BS$299,Curves!$F$23:$BV$23)+SUMPRODUCT(Adds!$C$300:$BS$300,Curves!$F$46:$BV$46)+SUMPRODUCT(Adds!$C$301:$BS$301,Curves!$F$69:$BV$69)</f>
        <v/>
      </c>
      <c r="BT80" s="5">
        <f>SUMPRODUCT(Adds!$C$299:$BT$299,Curves!$E$23:$BV$23)+SUMPRODUCT(Adds!$C$300:$BT$300,Curves!$E$46:$BV$46)+SUMPRODUCT(Adds!$C$301:$BT$301,Curves!$E$69:$BV$69)</f>
        <v/>
      </c>
      <c r="BU80" s="5">
        <f>SUMPRODUCT(Adds!$C$299:$BU$299,Curves!$D$23:$BV$23)+SUMPRODUCT(Adds!$C$300:$BU$300,Curves!$D$46:$BV$46)+SUMPRODUCT(Adds!$C$301:$BU$301,Curves!$D$69:$BV$69)</f>
        <v/>
      </c>
      <c r="BV80" s="5">
        <f>SUMPRODUCT(Adds!$C$299:$BV$299,Curves!$C$23:$BV$23)+SUMPRODUCT(Adds!$C$300:$BV$300,Curves!$C$46:$BV$46)+SUMPRODUCT(Adds!$C$301:$BV$301,Curves!$C$69:$BV$69)</f>
        <v/>
      </c>
    </row>
    <row r="81">
      <c r="A81" t="inlineStr">
        <is>
          <t>churned</t>
        </is>
      </c>
      <c r="B81" t="inlineStr">
        <is>
          <t>ROW|BASIC_A</t>
        </is>
      </c>
      <c r="C81" s="5">
        <f>Adds!$C$299*Curves!$BV$18+Adds!$C$300*Curves!$BV$41+Adds!$C$301*Curves!$BV$64</f>
        <v/>
      </c>
      <c r="D81" s="5">
        <f>SUMPRODUCT(Adds!$C$299:$D$299,Curves!$BU$18:$BV$18)+SUMPRODUCT(Adds!$C$300:$D$300,Curves!$BU$41:$BV$41)+SUMPRODUCT(Adds!$C$301:$D$301,Curves!$BU$64:$BV$64)</f>
        <v/>
      </c>
      <c r="E81" s="5">
        <f>SUMPRODUCT(Adds!$C$299:$E$299,Curves!$BT$18:$BV$18)+SUMPRODUCT(Adds!$C$300:$E$300,Curves!$BT$41:$BV$41)+SUMPRODUCT(Adds!$C$301:$E$301,Curves!$BT$64:$BV$64)</f>
        <v/>
      </c>
      <c r="F81" s="5">
        <f>SUMPRODUCT(Adds!$C$299:$F$299,Curves!$BS$18:$BV$18)+SUMPRODUCT(Adds!$C$300:$F$300,Curves!$BS$41:$BV$41)+SUMPRODUCT(Adds!$C$301:$F$301,Curves!$BS$64:$BV$64)</f>
        <v/>
      </c>
      <c r="G81" s="5">
        <f>SUMPRODUCT(Adds!$C$299:$G$299,Curves!$BR$18:$BV$18)+SUMPRODUCT(Adds!$C$300:$G$300,Curves!$BR$41:$BV$41)+SUMPRODUCT(Adds!$C$301:$G$301,Curves!$BR$64:$BV$64)</f>
        <v/>
      </c>
      <c r="H81" s="5">
        <f>SUMPRODUCT(Adds!$C$299:$H$299,Curves!$BQ$18:$BV$18)+SUMPRODUCT(Adds!$C$300:$H$300,Curves!$BQ$41:$BV$41)+SUMPRODUCT(Adds!$C$301:$H$301,Curves!$BQ$64:$BV$64)</f>
        <v/>
      </c>
      <c r="I81" s="5">
        <f>SUMPRODUCT(Adds!$C$299:$I$299,Curves!$BP$18:$BV$18)+SUMPRODUCT(Adds!$C$300:$I$300,Curves!$BP$41:$BV$41)+SUMPRODUCT(Adds!$C$301:$I$301,Curves!$BP$64:$BV$64)</f>
        <v/>
      </c>
      <c r="J81" s="5">
        <f>SUMPRODUCT(Adds!$C$299:$J$299,Curves!$BO$18:$BV$18)+SUMPRODUCT(Adds!$C$300:$J$300,Curves!$BO$41:$BV$41)+SUMPRODUCT(Adds!$C$301:$J$301,Curves!$BO$64:$BV$64)</f>
        <v/>
      </c>
      <c r="K81" s="5">
        <f>SUMPRODUCT(Adds!$C$299:$K$299,Curves!$BN$18:$BV$18)+SUMPRODUCT(Adds!$C$300:$K$300,Curves!$BN$41:$BV$41)+SUMPRODUCT(Adds!$C$301:$K$301,Curves!$BN$64:$BV$64)</f>
        <v/>
      </c>
      <c r="L81" s="5">
        <f>SUMPRODUCT(Adds!$C$299:$L$299,Curves!$BM$18:$BV$18)+SUMPRODUCT(Adds!$C$300:$L$300,Curves!$BM$41:$BV$41)+SUMPRODUCT(Adds!$C$301:$L$301,Curves!$BM$64:$BV$64)</f>
        <v/>
      </c>
      <c r="M81" s="5">
        <f>SUMPRODUCT(Adds!$C$299:$M$299,Curves!$BL$18:$BV$18)+SUMPRODUCT(Adds!$C$300:$M$300,Curves!$BL$41:$BV$41)+SUMPRODUCT(Adds!$C$301:$M$301,Curves!$BL$64:$BV$64)</f>
        <v/>
      </c>
      <c r="N81" s="5">
        <f>SUMPRODUCT(Adds!$C$299:$N$299,Curves!$BK$18:$BV$18)+SUMPRODUCT(Adds!$C$300:$N$300,Curves!$BK$41:$BV$41)+SUMPRODUCT(Adds!$C$301:$N$301,Curves!$BK$64:$BV$64)</f>
        <v/>
      </c>
      <c r="O81" s="5">
        <f>SUMPRODUCT(Adds!$C$299:$O$299,Curves!$BJ$18:$BV$18)+SUMPRODUCT(Adds!$C$300:$O$300,Curves!$BJ$41:$BV$41)+SUMPRODUCT(Adds!$C$301:$O$301,Curves!$BJ$64:$BV$64)</f>
        <v/>
      </c>
      <c r="P81" s="5">
        <f>SUMPRODUCT(Adds!$C$299:$P$299,Curves!$BI$18:$BV$18)+SUMPRODUCT(Adds!$C$300:$P$300,Curves!$BI$41:$BV$41)+SUMPRODUCT(Adds!$C$301:$P$301,Curves!$BI$64:$BV$64)</f>
        <v/>
      </c>
      <c r="Q81" s="5">
        <f>SUMPRODUCT(Adds!$C$299:$Q$299,Curves!$BH$18:$BV$18)+SUMPRODUCT(Adds!$C$300:$Q$300,Curves!$BH$41:$BV$41)+SUMPRODUCT(Adds!$C$301:$Q$301,Curves!$BH$64:$BV$64)</f>
        <v/>
      </c>
      <c r="R81" s="5">
        <f>SUMPRODUCT(Adds!$C$299:$R$299,Curves!$BG$18:$BV$18)+SUMPRODUCT(Adds!$C$300:$R$300,Curves!$BG$41:$BV$41)+SUMPRODUCT(Adds!$C$301:$R$301,Curves!$BG$64:$BV$64)</f>
        <v/>
      </c>
      <c r="S81" s="5">
        <f>SUMPRODUCT(Adds!$C$299:$S$299,Curves!$BF$18:$BV$18)+SUMPRODUCT(Adds!$C$300:$S$300,Curves!$BF$41:$BV$41)+SUMPRODUCT(Adds!$C$301:$S$301,Curves!$BF$64:$BV$64)</f>
        <v/>
      </c>
      <c r="T81" s="5">
        <f>SUMPRODUCT(Adds!$C$299:$T$299,Curves!$BE$18:$BV$18)+SUMPRODUCT(Adds!$C$300:$T$300,Curves!$BE$41:$BV$41)+SUMPRODUCT(Adds!$C$301:$T$301,Curves!$BE$64:$BV$64)</f>
        <v/>
      </c>
      <c r="U81" s="5">
        <f>SUMPRODUCT(Adds!$C$299:$U$299,Curves!$BD$18:$BV$18)+SUMPRODUCT(Adds!$C$300:$U$300,Curves!$BD$41:$BV$41)+SUMPRODUCT(Adds!$C$301:$U$301,Curves!$BD$64:$BV$64)</f>
        <v/>
      </c>
      <c r="V81" s="5">
        <f>SUMPRODUCT(Adds!$C$299:$V$299,Curves!$BC$18:$BV$18)+SUMPRODUCT(Adds!$C$300:$V$300,Curves!$BC$41:$BV$41)+SUMPRODUCT(Adds!$C$301:$V$301,Curves!$BC$64:$BV$64)</f>
        <v/>
      </c>
      <c r="W81" s="5">
        <f>SUMPRODUCT(Adds!$C$299:$W$299,Curves!$BB$18:$BV$18)+SUMPRODUCT(Adds!$C$300:$W$300,Curves!$BB$41:$BV$41)+SUMPRODUCT(Adds!$C$301:$W$301,Curves!$BB$64:$BV$64)</f>
        <v/>
      </c>
      <c r="X81" s="5">
        <f>SUMPRODUCT(Adds!$C$299:$X$299,Curves!$BA$18:$BV$18)+SUMPRODUCT(Adds!$C$300:$X$300,Curves!$BA$41:$BV$41)+SUMPRODUCT(Adds!$C$301:$X$301,Curves!$BA$64:$BV$64)</f>
        <v/>
      </c>
      <c r="Y81" s="5">
        <f>SUMPRODUCT(Adds!$C$299:$Y$299,Curves!$AZ$18:$BV$18)+SUMPRODUCT(Adds!$C$300:$Y$300,Curves!$AZ$41:$BV$41)+SUMPRODUCT(Adds!$C$301:$Y$301,Curves!$AZ$64:$BV$64)</f>
        <v/>
      </c>
      <c r="Z81" s="5">
        <f>SUMPRODUCT(Adds!$C$299:$Z$299,Curves!$AY$18:$BV$18)+SUMPRODUCT(Adds!$C$300:$Z$300,Curves!$AY$41:$BV$41)+SUMPRODUCT(Adds!$C$301:$Z$301,Curves!$AY$64:$BV$64)</f>
        <v/>
      </c>
      <c r="AA81" s="5">
        <f>SUMPRODUCT(Adds!$C$299:$AA$299,Curves!$AX$18:$BV$18)+SUMPRODUCT(Adds!$C$300:$AA$300,Curves!$AX$41:$BV$41)+SUMPRODUCT(Adds!$C$301:$AA$301,Curves!$AX$64:$BV$64)</f>
        <v/>
      </c>
      <c r="AB81" s="5">
        <f>SUMPRODUCT(Adds!$C$299:$AB$299,Curves!$AW$18:$BV$18)+SUMPRODUCT(Adds!$C$300:$AB$300,Curves!$AW$41:$BV$41)+SUMPRODUCT(Adds!$C$301:$AB$301,Curves!$AW$64:$BV$64)</f>
        <v/>
      </c>
      <c r="AC81" s="5">
        <f>SUMPRODUCT(Adds!$C$299:$AC$299,Curves!$AV$18:$BV$18)+SUMPRODUCT(Adds!$C$300:$AC$300,Curves!$AV$41:$BV$41)+SUMPRODUCT(Adds!$C$301:$AC$301,Curves!$AV$64:$BV$64)</f>
        <v/>
      </c>
      <c r="AD81" s="5">
        <f>SUMPRODUCT(Adds!$C$299:$AD$299,Curves!$AU$18:$BV$18)+SUMPRODUCT(Adds!$C$300:$AD$300,Curves!$AU$41:$BV$41)+SUMPRODUCT(Adds!$C$301:$AD$301,Curves!$AU$64:$BV$64)</f>
        <v/>
      </c>
      <c r="AE81" s="5">
        <f>SUMPRODUCT(Adds!$C$299:$AE$299,Curves!$AT$18:$BV$18)+SUMPRODUCT(Adds!$C$300:$AE$300,Curves!$AT$41:$BV$41)+SUMPRODUCT(Adds!$C$301:$AE$301,Curves!$AT$64:$BV$64)</f>
        <v/>
      </c>
      <c r="AF81" s="5">
        <f>SUMPRODUCT(Adds!$C$299:$AF$299,Curves!$AS$18:$BV$18)+SUMPRODUCT(Adds!$C$300:$AF$300,Curves!$AS$41:$BV$41)+SUMPRODUCT(Adds!$C$301:$AF$301,Curves!$AS$64:$BV$64)</f>
        <v/>
      </c>
      <c r="AG81" s="5">
        <f>SUMPRODUCT(Adds!$C$299:$AG$299,Curves!$AR$18:$BV$18)+SUMPRODUCT(Adds!$C$300:$AG$300,Curves!$AR$41:$BV$41)+SUMPRODUCT(Adds!$C$301:$AG$301,Curves!$AR$64:$BV$64)</f>
        <v/>
      </c>
      <c r="AH81" s="5">
        <f>SUMPRODUCT(Adds!$C$299:$AH$299,Curves!$AQ$18:$BV$18)+SUMPRODUCT(Adds!$C$300:$AH$300,Curves!$AQ$41:$BV$41)+SUMPRODUCT(Adds!$C$301:$AH$301,Curves!$AQ$64:$BV$64)</f>
        <v/>
      </c>
      <c r="AI81" s="5">
        <f>SUMPRODUCT(Adds!$C$299:$AI$299,Curves!$AP$18:$BV$18)+SUMPRODUCT(Adds!$C$300:$AI$300,Curves!$AP$41:$BV$41)+SUMPRODUCT(Adds!$C$301:$AI$301,Curves!$AP$64:$BV$64)</f>
        <v/>
      </c>
      <c r="AJ81" s="5">
        <f>SUMPRODUCT(Adds!$C$299:$AJ$299,Curves!$AO$18:$BV$18)+SUMPRODUCT(Adds!$C$300:$AJ$300,Curves!$AO$41:$BV$41)+SUMPRODUCT(Adds!$C$301:$AJ$301,Curves!$AO$64:$BV$64)</f>
        <v/>
      </c>
      <c r="AK81" s="5">
        <f>SUMPRODUCT(Adds!$C$299:$AK$299,Curves!$AN$18:$BV$18)+SUMPRODUCT(Adds!$C$300:$AK$300,Curves!$AN$41:$BV$41)+SUMPRODUCT(Adds!$C$301:$AK$301,Curves!$AN$64:$BV$64)</f>
        <v/>
      </c>
      <c r="AL81" s="5">
        <f>SUMPRODUCT(Adds!$C$299:$AL$299,Curves!$AM$18:$BV$18)+SUMPRODUCT(Adds!$C$300:$AL$300,Curves!$AM$41:$BV$41)+SUMPRODUCT(Adds!$C$301:$AL$301,Curves!$AM$64:$BV$64)</f>
        <v/>
      </c>
      <c r="AM81" s="5">
        <f>SUMPRODUCT(Adds!$C$299:$AM$299,Curves!$AL$18:$BV$18)+SUMPRODUCT(Adds!$C$300:$AM$300,Curves!$AL$41:$BV$41)+SUMPRODUCT(Adds!$C$301:$AM$301,Curves!$AL$64:$BV$64)</f>
        <v/>
      </c>
      <c r="AN81" s="5">
        <f>SUMPRODUCT(Adds!$C$299:$AN$299,Curves!$AK$18:$BV$18)+SUMPRODUCT(Adds!$C$300:$AN$300,Curves!$AK$41:$BV$41)+SUMPRODUCT(Adds!$C$301:$AN$301,Curves!$AK$64:$BV$64)</f>
        <v/>
      </c>
      <c r="AO81" s="5">
        <f>SUMPRODUCT(Adds!$C$299:$AO$299,Curves!$AJ$18:$BV$18)+SUMPRODUCT(Adds!$C$300:$AO$300,Curves!$AJ$41:$BV$41)+SUMPRODUCT(Adds!$C$301:$AO$301,Curves!$AJ$64:$BV$64)</f>
        <v/>
      </c>
      <c r="AP81" s="5">
        <f>SUMPRODUCT(Adds!$C$299:$AP$299,Curves!$AI$18:$BV$18)+SUMPRODUCT(Adds!$C$300:$AP$300,Curves!$AI$41:$BV$41)+SUMPRODUCT(Adds!$C$301:$AP$301,Curves!$AI$64:$BV$64)</f>
        <v/>
      </c>
      <c r="AQ81" s="5">
        <f>SUMPRODUCT(Adds!$C$299:$AQ$299,Curves!$AH$18:$BV$18)+SUMPRODUCT(Adds!$C$300:$AQ$300,Curves!$AH$41:$BV$41)+SUMPRODUCT(Adds!$C$301:$AQ$301,Curves!$AH$64:$BV$64)</f>
        <v/>
      </c>
      <c r="AR81" s="5">
        <f>SUMPRODUCT(Adds!$C$299:$AR$299,Curves!$AG$18:$BV$18)+SUMPRODUCT(Adds!$C$300:$AR$300,Curves!$AG$41:$BV$41)+SUMPRODUCT(Adds!$C$301:$AR$301,Curves!$AG$64:$BV$64)</f>
        <v/>
      </c>
      <c r="AS81" s="5">
        <f>SUMPRODUCT(Adds!$C$299:$AS$299,Curves!$AF$18:$BV$18)+SUMPRODUCT(Adds!$C$300:$AS$300,Curves!$AF$41:$BV$41)+SUMPRODUCT(Adds!$C$301:$AS$301,Curves!$AF$64:$BV$64)</f>
        <v/>
      </c>
      <c r="AT81" s="5">
        <f>SUMPRODUCT(Adds!$C$299:$AT$299,Curves!$AE$18:$BV$18)+SUMPRODUCT(Adds!$C$300:$AT$300,Curves!$AE$41:$BV$41)+SUMPRODUCT(Adds!$C$301:$AT$301,Curves!$AE$64:$BV$64)</f>
        <v/>
      </c>
      <c r="AU81" s="5">
        <f>SUMPRODUCT(Adds!$C$299:$AU$299,Curves!$AD$18:$BV$18)+SUMPRODUCT(Adds!$C$300:$AU$300,Curves!$AD$41:$BV$41)+SUMPRODUCT(Adds!$C$301:$AU$301,Curves!$AD$64:$BV$64)</f>
        <v/>
      </c>
      <c r="AV81" s="5">
        <f>SUMPRODUCT(Adds!$C$299:$AV$299,Curves!$AC$18:$BV$18)+SUMPRODUCT(Adds!$C$300:$AV$300,Curves!$AC$41:$BV$41)+SUMPRODUCT(Adds!$C$301:$AV$301,Curves!$AC$64:$BV$64)</f>
        <v/>
      </c>
      <c r="AW81" s="5">
        <f>SUMPRODUCT(Adds!$C$299:$AW$299,Curves!$AB$18:$BV$18)+SUMPRODUCT(Adds!$C$300:$AW$300,Curves!$AB$41:$BV$41)+SUMPRODUCT(Adds!$C$301:$AW$301,Curves!$AB$64:$BV$64)</f>
        <v/>
      </c>
      <c r="AX81" s="5">
        <f>SUMPRODUCT(Adds!$C$299:$AX$299,Curves!$AA$18:$BV$18)+SUMPRODUCT(Adds!$C$300:$AX$300,Curves!$AA$41:$BV$41)+SUMPRODUCT(Adds!$C$301:$AX$301,Curves!$AA$64:$BV$64)</f>
        <v/>
      </c>
      <c r="AY81" s="5">
        <f>SUMPRODUCT(Adds!$C$299:$AY$299,Curves!$Z$18:$BV$18)+SUMPRODUCT(Adds!$C$300:$AY$300,Curves!$Z$41:$BV$41)+SUMPRODUCT(Adds!$C$301:$AY$301,Curves!$Z$64:$BV$64)</f>
        <v/>
      </c>
      <c r="AZ81" s="5">
        <f>SUMPRODUCT(Adds!$C$299:$AZ$299,Curves!$Y$18:$BV$18)+SUMPRODUCT(Adds!$C$300:$AZ$300,Curves!$Y$41:$BV$41)+SUMPRODUCT(Adds!$C$301:$AZ$301,Curves!$Y$64:$BV$64)</f>
        <v/>
      </c>
      <c r="BA81" s="5">
        <f>SUMPRODUCT(Adds!$C$299:$BA$299,Curves!$X$18:$BV$18)+SUMPRODUCT(Adds!$C$300:$BA$300,Curves!$X$41:$BV$41)+SUMPRODUCT(Adds!$C$301:$BA$301,Curves!$X$64:$BV$64)</f>
        <v/>
      </c>
      <c r="BB81" s="5">
        <f>SUMPRODUCT(Adds!$C$299:$BB$299,Curves!$W$18:$BV$18)+SUMPRODUCT(Adds!$C$300:$BB$300,Curves!$W$41:$BV$41)+SUMPRODUCT(Adds!$C$301:$BB$301,Curves!$W$64:$BV$64)</f>
        <v/>
      </c>
      <c r="BC81" s="5">
        <f>SUMPRODUCT(Adds!$C$299:$BC$299,Curves!$V$18:$BV$18)+SUMPRODUCT(Adds!$C$300:$BC$300,Curves!$V$41:$BV$41)+SUMPRODUCT(Adds!$C$301:$BC$301,Curves!$V$64:$BV$64)</f>
        <v/>
      </c>
      <c r="BD81" s="5">
        <f>SUMPRODUCT(Adds!$C$299:$BD$299,Curves!$U$18:$BV$18)+SUMPRODUCT(Adds!$C$300:$BD$300,Curves!$U$41:$BV$41)+SUMPRODUCT(Adds!$C$301:$BD$301,Curves!$U$64:$BV$64)</f>
        <v/>
      </c>
      <c r="BE81" s="5">
        <f>SUMPRODUCT(Adds!$C$299:$BE$299,Curves!$T$18:$BV$18)+SUMPRODUCT(Adds!$C$300:$BE$300,Curves!$T$41:$BV$41)+SUMPRODUCT(Adds!$C$301:$BE$301,Curves!$T$64:$BV$64)</f>
        <v/>
      </c>
      <c r="BF81" s="5">
        <f>SUMPRODUCT(Adds!$C$299:$BF$299,Curves!$S$18:$BV$18)+SUMPRODUCT(Adds!$C$300:$BF$300,Curves!$S$41:$BV$41)+SUMPRODUCT(Adds!$C$301:$BF$301,Curves!$S$64:$BV$64)</f>
        <v/>
      </c>
      <c r="BG81" s="5">
        <f>SUMPRODUCT(Adds!$C$299:$BG$299,Curves!$R$18:$BV$18)+SUMPRODUCT(Adds!$C$300:$BG$300,Curves!$R$41:$BV$41)+SUMPRODUCT(Adds!$C$301:$BG$301,Curves!$R$64:$BV$64)</f>
        <v/>
      </c>
      <c r="BH81" s="5">
        <f>SUMPRODUCT(Adds!$C$299:$BH$299,Curves!$Q$18:$BV$18)+SUMPRODUCT(Adds!$C$300:$BH$300,Curves!$Q$41:$BV$41)+SUMPRODUCT(Adds!$C$301:$BH$301,Curves!$Q$64:$BV$64)</f>
        <v/>
      </c>
      <c r="BI81" s="5">
        <f>SUMPRODUCT(Adds!$C$299:$BI$299,Curves!$P$18:$BV$18)+SUMPRODUCT(Adds!$C$300:$BI$300,Curves!$P$41:$BV$41)+SUMPRODUCT(Adds!$C$301:$BI$301,Curves!$P$64:$BV$64)</f>
        <v/>
      </c>
      <c r="BJ81" s="5">
        <f>SUMPRODUCT(Adds!$C$299:$BJ$299,Curves!$O$18:$BV$18)+SUMPRODUCT(Adds!$C$300:$BJ$300,Curves!$O$41:$BV$41)+SUMPRODUCT(Adds!$C$301:$BJ$301,Curves!$O$64:$BV$64)</f>
        <v/>
      </c>
      <c r="BK81" s="5">
        <f>SUMPRODUCT(Adds!$C$299:$BK$299,Curves!$N$18:$BV$18)+SUMPRODUCT(Adds!$C$300:$BK$300,Curves!$N$41:$BV$41)+SUMPRODUCT(Adds!$C$301:$BK$301,Curves!$N$64:$BV$64)</f>
        <v/>
      </c>
      <c r="BL81" s="5">
        <f>SUMPRODUCT(Adds!$C$299:$BL$299,Curves!$M$18:$BV$18)+SUMPRODUCT(Adds!$C$300:$BL$300,Curves!$M$41:$BV$41)+SUMPRODUCT(Adds!$C$301:$BL$301,Curves!$M$64:$BV$64)</f>
        <v/>
      </c>
      <c r="BM81" s="5">
        <f>SUMPRODUCT(Adds!$C$299:$BM$299,Curves!$L$18:$BV$18)+SUMPRODUCT(Adds!$C$300:$BM$300,Curves!$L$41:$BV$41)+SUMPRODUCT(Adds!$C$301:$BM$301,Curves!$L$64:$BV$64)</f>
        <v/>
      </c>
      <c r="BN81" s="5">
        <f>SUMPRODUCT(Adds!$C$299:$BN$299,Curves!$K$18:$BV$18)+SUMPRODUCT(Adds!$C$300:$BN$300,Curves!$K$41:$BV$41)+SUMPRODUCT(Adds!$C$301:$BN$301,Curves!$K$64:$BV$64)</f>
        <v/>
      </c>
      <c r="BO81" s="5">
        <f>SUMPRODUCT(Adds!$C$299:$BO$299,Curves!$J$18:$BV$18)+SUMPRODUCT(Adds!$C$300:$BO$300,Curves!$J$41:$BV$41)+SUMPRODUCT(Adds!$C$301:$BO$301,Curves!$J$64:$BV$64)</f>
        <v/>
      </c>
      <c r="BP81" s="5">
        <f>SUMPRODUCT(Adds!$C$299:$BP$299,Curves!$I$18:$BV$18)+SUMPRODUCT(Adds!$C$300:$BP$300,Curves!$I$41:$BV$41)+SUMPRODUCT(Adds!$C$301:$BP$301,Curves!$I$64:$BV$64)</f>
        <v/>
      </c>
      <c r="BQ81" s="5">
        <f>SUMPRODUCT(Adds!$C$299:$BQ$299,Curves!$H$18:$BV$18)+SUMPRODUCT(Adds!$C$300:$BQ$300,Curves!$H$41:$BV$41)+SUMPRODUCT(Adds!$C$301:$BQ$301,Curves!$H$64:$BV$64)</f>
        <v/>
      </c>
      <c r="BR81" s="5">
        <f>SUMPRODUCT(Adds!$C$299:$BR$299,Curves!$G$18:$BV$18)+SUMPRODUCT(Adds!$C$300:$BR$300,Curves!$G$41:$BV$41)+SUMPRODUCT(Adds!$C$301:$BR$301,Curves!$G$64:$BV$64)</f>
        <v/>
      </c>
      <c r="BS81" s="5">
        <f>SUMPRODUCT(Adds!$C$299:$BS$299,Curves!$F$18:$BV$18)+SUMPRODUCT(Adds!$C$300:$BS$300,Curves!$F$41:$BV$41)+SUMPRODUCT(Adds!$C$301:$BS$301,Curves!$F$64:$BV$64)</f>
        <v/>
      </c>
      <c r="BT81" s="5">
        <f>SUMPRODUCT(Adds!$C$299:$BT$299,Curves!$E$18:$BV$18)+SUMPRODUCT(Adds!$C$300:$BT$300,Curves!$E$41:$BV$41)+SUMPRODUCT(Adds!$C$301:$BT$301,Curves!$E$64:$BV$64)</f>
        <v/>
      </c>
      <c r="BU81" s="5">
        <f>SUMPRODUCT(Adds!$C$299:$BU$299,Curves!$D$18:$BV$18)+SUMPRODUCT(Adds!$C$300:$BU$300,Curves!$D$41:$BV$41)+SUMPRODUCT(Adds!$C$301:$BU$301,Curves!$D$64:$BV$64)</f>
        <v/>
      </c>
      <c r="BV81" s="5">
        <f>SUMPRODUCT(Adds!$C$299:$BV$299,Curves!$C$18:$BV$18)+SUMPRODUCT(Adds!$C$300:$BV$300,Curves!$C$41:$BV$41)+SUMPRODUCT(Adds!$C$301:$BV$301,Curves!$C$64:$BV$64)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first-year share</t>
        </is>
      </c>
      <c r="B3" t="inlineStr">
        <is>
          <t>all</t>
        </is>
      </c>
      <c r="C3" s="8">
        <f>Params!$B$16*MAX(0,1-C$2/12)</f>
        <v/>
      </c>
      <c r="D3" s="8">
        <f>Params!$B$16*MAX(0,1-D$2/12)</f>
        <v/>
      </c>
      <c r="E3" s="8">
        <f>Params!$B$16*MAX(0,1-E$2/12)</f>
        <v/>
      </c>
      <c r="F3" s="8">
        <f>Params!$B$16*MAX(0,1-F$2/12)</f>
        <v/>
      </c>
      <c r="G3" s="8">
        <f>Params!$B$16*MAX(0,1-G$2/12)</f>
        <v/>
      </c>
      <c r="H3" s="8">
        <f>Params!$B$16*MAX(0,1-H$2/12)</f>
        <v/>
      </c>
      <c r="I3" s="8">
        <f>Params!$B$16*MAX(0,1-I$2/12)</f>
        <v/>
      </c>
      <c r="J3" s="8">
        <f>Params!$B$16*MAX(0,1-J$2/12)</f>
        <v/>
      </c>
      <c r="K3" s="8">
        <f>Params!$B$16*MAX(0,1-K$2/12)</f>
        <v/>
      </c>
      <c r="L3" s="8">
        <f>Params!$B$16*MAX(0,1-L$2/12)</f>
        <v/>
      </c>
      <c r="M3" s="8">
        <f>Params!$B$16*MAX(0,1-M$2/12)</f>
        <v/>
      </c>
      <c r="N3" s="8">
        <f>Params!$B$16*MAX(0,1-N$2/12)</f>
        <v/>
      </c>
      <c r="O3" s="8">
        <f>Params!$B$16*MAX(0,1-O$2/12)</f>
        <v/>
      </c>
      <c r="P3" s="8">
        <f>Params!$B$16*MAX(0,1-P$2/12)</f>
        <v/>
      </c>
      <c r="Q3" s="8">
        <f>Params!$B$16*MAX(0,1-Q$2/12)</f>
        <v/>
      </c>
      <c r="R3" s="8">
        <f>Params!$B$16*MAX(0,1-R$2/12)</f>
        <v/>
      </c>
      <c r="S3" s="8">
        <f>Params!$B$16*MAX(0,1-S$2/12)</f>
        <v/>
      </c>
      <c r="T3" s="8">
        <f>Params!$B$16*MAX(0,1-T$2/12)</f>
        <v/>
      </c>
      <c r="U3" s="8">
        <f>Params!$B$16*MAX(0,1-U$2/12)</f>
        <v/>
      </c>
      <c r="V3" s="8">
        <f>Params!$B$16*MAX(0,1-V$2/12)</f>
        <v/>
      </c>
      <c r="W3" s="8">
        <f>Params!$B$16*MAX(0,1-W$2/12)</f>
        <v/>
      </c>
      <c r="X3" s="8">
        <f>Params!$B$16*MAX(0,1-X$2/12)</f>
        <v/>
      </c>
      <c r="Y3" s="8">
        <f>Params!$B$16*MAX(0,1-Y$2/12)</f>
        <v/>
      </c>
      <c r="Z3" s="8">
        <f>Params!$B$16*MAX(0,1-Z$2/12)</f>
        <v/>
      </c>
      <c r="AA3" s="8">
        <f>Params!$B$16*MAX(0,1-AA$2/12)</f>
        <v/>
      </c>
      <c r="AB3" s="8">
        <f>Params!$B$16*MAX(0,1-AB$2/12)</f>
        <v/>
      </c>
      <c r="AC3" s="8">
        <f>Params!$B$16*MAX(0,1-AC$2/12)</f>
        <v/>
      </c>
      <c r="AD3" s="8">
        <f>Params!$B$16*MAX(0,1-AD$2/12)</f>
        <v/>
      </c>
      <c r="AE3" s="8">
        <f>Params!$B$16*MAX(0,1-AE$2/12)</f>
        <v/>
      </c>
      <c r="AF3" s="8">
        <f>Params!$B$16*MAX(0,1-AF$2/12)</f>
        <v/>
      </c>
      <c r="AG3" s="8">
        <f>Params!$B$16*MAX(0,1-AG$2/12)</f>
        <v/>
      </c>
      <c r="AH3" s="8">
        <f>Params!$B$16*MAX(0,1-AH$2/12)</f>
        <v/>
      </c>
      <c r="AI3" s="8">
        <f>Params!$B$16*MAX(0,1-AI$2/12)</f>
        <v/>
      </c>
      <c r="AJ3" s="8">
        <f>Params!$B$16*MAX(0,1-AJ$2/12)</f>
        <v/>
      </c>
      <c r="AK3" s="8">
        <f>Params!$B$16*MAX(0,1-AK$2/12)</f>
        <v/>
      </c>
      <c r="AL3" s="8">
        <f>Params!$B$16*MAX(0,1-AL$2/12)</f>
        <v/>
      </c>
      <c r="AM3" s="8">
        <f>Params!$B$16*MAX(0,1-AM$2/12)</f>
        <v/>
      </c>
      <c r="AN3" s="8">
        <f>Params!$B$16*MAX(0,1-AN$2/12)</f>
        <v/>
      </c>
      <c r="AO3" s="8">
        <f>Params!$B$16*MAX(0,1-AO$2/12)</f>
        <v/>
      </c>
      <c r="AP3" s="8">
        <f>Params!$B$16*MAX(0,1-AP$2/12)</f>
        <v/>
      </c>
      <c r="AQ3" s="8">
        <f>Params!$B$16*MAX(0,1-AQ$2/12)</f>
        <v/>
      </c>
      <c r="AR3" s="8">
        <f>Params!$B$16*MAX(0,1-AR$2/12)</f>
        <v/>
      </c>
      <c r="AS3" s="8">
        <f>Params!$B$16*MAX(0,1-AS$2/12)</f>
        <v/>
      </c>
      <c r="AT3" s="8">
        <f>Params!$B$16*MAX(0,1-AT$2/12)</f>
        <v/>
      </c>
      <c r="AU3" s="8">
        <f>Params!$B$16*MAX(0,1-AU$2/12)</f>
        <v/>
      </c>
      <c r="AV3" s="8">
        <f>Params!$B$16*MAX(0,1-AV$2/12)</f>
        <v/>
      </c>
      <c r="AW3" s="8">
        <f>Params!$B$16*MAX(0,1-AW$2/12)</f>
        <v/>
      </c>
      <c r="AX3" s="8">
        <f>Params!$B$16*MAX(0,1-AX$2/12)</f>
        <v/>
      </c>
      <c r="AY3" s="8">
        <f>Params!$B$16*MAX(0,1-AY$2/12)</f>
        <v/>
      </c>
      <c r="AZ3" s="8">
        <f>Params!$B$16*MAX(0,1-AZ$2/12)</f>
        <v/>
      </c>
      <c r="BA3" s="8">
        <f>Params!$B$16*MAX(0,1-BA$2/12)</f>
        <v/>
      </c>
      <c r="BB3" s="8">
        <f>Params!$B$16*MAX(0,1-BB$2/12)</f>
        <v/>
      </c>
      <c r="BC3" s="8">
        <f>Params!$B$16*MAX(0,1-BC$2/12)</f>
        <v/>
      </c>
      <c r="BD3" s="8">
        <f>Params!$B$16*MAX(0,1-BD$2/12)</f>
        <v/>
      </c>
      <c r="BE3" s="8">
        <f>Params!$B$16*MAX(0,1-BE$2/12)</f>
        <v/>
      </c>
      <c r="BF3" s="8">
        <f>Params!$B$16*MAX(0,1-BF$2/12)</f>
        <v/>
      </c>
      <c r="BG3" s="8">
        <f>Params!$B$16*MAX(0,1-BG$2/12)</f>
        <v/>
      </c>
      <c r="BH3" s="8">
        <f>Params!$B$16*MAX(0,1-BH$2/12)</f>
        <v/>
      </c>
      <c r="BI3" s="8">
        <f>Params!$B$16*MAX(0,1-BI$2/12)</f>
        <v/>
      </c>
      <c r="BJ3" s="8">
        <f>Params!$B$16*MAX(0,1-BJ$2/12)</f>
        <v/>
      </c>
      <c r="BK3" s="8">
        <f>Params!$B$16*MAX(0,1-BK$2/12)</f>
        <v/>
      </c>
      <c r="BL3" s="8">
        <f>Params!$B$16*MAX(0,1-BL$2/12)</f>
        <v/>
      </c>
      <c r="BM3" s="8">
        <f>Params!$B$16*MAX(0,1-BM$2/12)</f>
        <v/>
      </c>
      <c r="BN3" s="8">
        <f>Params!$B$16*MAX(0,1-BN$2/12)</f>
        <v/>
      </c>
      <c r="BO3" s="8">
        <f>Params!$B$16*MAX(0,1-BO$2/12)</f>
        <v/>
      </c>
      <c r="BP3" s="8">
        <f>Params!$B$16*MAX(0,1-BP$2/12)</f>
        <v/>
      </c>
      <c r="BQ3" s="8">
        <f>Params!$B$16*MAX(0,1-BQ$2/12)</f>
        <v/>
      </c>
      <c r="BR3" s="8">
        <f>Params!$B$16*MAX(0,1-BR$2/12)</f>
        <v/>
      </c>
      <c r="BS3" s="8">
        <f>Params!$B$16*MAX(0,1-BS$2/12)</f>
        <v/>
      </c>
      <c r="BT3" s="8">
        <f>Params!$B$16*MAX(0,1-BT$2/12)</f>
        <v/>
      </c>
      <c r="BU3" s="8">
        <f>Params!$B$16*MAX(0,1-BU$2/12)</f>
        <v/>
      </c>
      <c r="BV3" s="8">
        <f>Params!$B$16*MAX(0,1-BV$2/12)</f>
        <v/>
      </c>
    </row>
    <row r="5">
      <c r="A5" t="inlineStr">
        <is>
          <t>opening book (Jan 2025)</t>
        </is>
      </c>
      <c r="B5" t="inlineStr">
        <is>
          <t>US_CA|NITRO_M</t>
        </is>
      </c>
      <c r="C5" s="5">
        <f>Params!$B$14*Params!$B$72*Params!$B$96</f>
        <v/>
      </c>
    </row>
    <row r="6">
      <c r="A6" t="inlineStr">
        <is>
          <t>active</t>
        </is>
      </c>
      <c r="B6" t="inlineStr">
        <is>
          <t>US_CA|NITRO_M</t>
        </is>
      </c>
      <c r="C6" s="5">
        <f>$C$5*(1-Params!$B$15)^(C$2+1)</f>
        <v/>
      </c>
      <c r="D6" s="5">
        <f>$C$5*(1-Params!$B$15)^(D$2+1)</f>
        <v/>
      </c>
      <c r="E6" s="5">
        <f>$C$5*(1-Params!$B$15)^(E$2+1)</f>
        <v/>
      </c>
      <c r="F6" s="5">
        <f>$C$5*(1-Params!$B$15)^(F$2+1)</f>
        <v/>
      </c>
      <c r="G6" s="5">
        <f>$C$5*(1-Params!$B$15)^(G$2+1)</f>
        <v/>
      </c>
      <c r="H6" s="5">
        <f>$C$5*(1-Params!$B$15)^(H$2+1)</f>
        <v/>
      </c>
      <c r="I6" s="5">
        <f>$C$5*(1-Params!$B$15)^(I$2+1)</f>
        <v/>
      </c>
      <c r="J6" s="5">
        <f>$C$5*(1-Params!$B$15)^(J$2+1)</f>
        <v/>
      </c>
      <c r="K6" s="5">
        <f>$C$5*(1-Params!$B$15)^(K$2+1)</f>
        <v/>
      </c>
      <c r="L6" s="5">
        <f>$C$5*(1-Params!$B$15)^(L$2+1)</f>
        <v/>
      </c>
      <c r="M6" s="5">
        <f>$C$5*(1-Params!$B$15)^(M$2+1)</f>
        <v/>
      </c>
      <c r="N6" s="5">
        <f>$C$5*(1-Params!$B$15)^(N$2+1)</f>
        <v/>
      </c>
      <c r="O6" s="5">
        <f>$C$5*(1-Params!$B$15)^(O$2+1)</f>
        <v/>
      </c>
      <c r="P6" s="5">
        <f>$C$5*(1-Params!$B$15)^(P$2+1)</f>
        <v/>
      </c>
      <c r="Q6" s="5">
        <f>$C$5*(1-Params!$B$15)^(Q$2+1)</f>
        <v/>
      </c>
      <c r="R6" s="5">
        <f>$C$5*(1-Params!$B$15)^(R$2+1)</f>
        <v/>
      </c>
      <c r="S6" s="5">
        <f>$C$5*(1-Params!$B$15)^(S$2+1)</f>
        <v/>
      </c>
      <c r="T6" s="5">
        <f>$C$5*(1-Params!$B$15)^(T$2+1)</f>
        <v/>
      </c>
      <c r="U6" s="5">
        <f>$C$5*(1-Params!$B$15)^(U$2+1)</f>
        <v/>
      </c>
      <c r="V6" s="5">
        <f>$C$5*(1-Params!$B$15)^(V$2+1)</f>
        <v/>
      </c>
      <c r="W6" s="5">
        <f>$C$5*(1-Params!$B$15)^(W$2+1)</f>
        <v/>
      </c>
      <c r="X6" s="5">
        <f>$C$5*(1-Params!$B$15)^(X$2+1)</f>
        <v/>
      </c>
      <c r="Y6" s="5">
        <f>$C$5*(1-Params!$B$15)^(Y$2+1)</f>
        <v/>
      </c>
      <c r="Z6" s="5">
        <f>$C$5*(1-Params!$B$15)^(Z$2+1)</f>
        <v/>
      </c>
      <c r="AA6" s="5">
        <f>$C$5*(1-Params!$B$15)^(AA$2+1)</f>
        <v/>
      </c>
      <c r="AB6" s="5">
        <f>$C$5*(1-Params!$B$15)^(AB$2+1)</f>
        <v/>
      </c>
      <c r="AC6" s="5">
        <f>$C$5*(1-Params!$B$15)^(AC$2+1)</f>
        <v/>
      </c>
      <c r="AD6" s="5">
        <f>$C$5*(1-Params!$B$15)^(AD$2+1)</f>
        <v/>
      </c>
      <c r="AE6" s="5">
        <f>$C$5*(1-Params!$B$15)^(AE$2+1)</f>
        <v/>
      </c>
      <c r="AF6" s="5">
        <f>$C$5*(1-Params!$B$15)^(AF$2+1)</f>
        <v/>
      </c>
      <c r="AG6" s="5">
        <f>$C$5*(1-Params!$B$15)^(AG$2+1)</f>
        <v/>
      </c>
      <c r="AH6" s="5">
        <f>$C$5*(1-Params!$B$15)^(AH$2+1)</f>
        <v/>
      </c>
      <c r="AI6" s="5">
        <f>$C$5*(1-Params!$B$15)^(AI$2+1)</f>
        <v/>
      </c>
      <c r="AJ6" s="5">
        <f>$C$5*(1-Params!$B$15)^(AJ$2+1)</f>
        <v/>
      </c>
      <c r="AK6" s="5">
        <f>$C$5*(1-Params!$B$15)^(AK$2+1)</f>
        <v/>
      </c>
      <c r="AL6" s="5">
        <f>$C$5*(1-Params!$B$15)^(AL$2+1)</f>
        <v/>
      </c>
      <c r="AM6" s="5">
        <f>$C$5*(1-Params!$B$15)^(AM$2+1)</f>
        <v/>
      </c>
      <c r="AN6" s="5">
        <f>$C$5*(1-Params!$B$15)^(AN$2+1)</f>
        <v/>
      </c>
      <c r="AO6" s="5">
        <f>$C$5*(1-Params!$B$15)^(AO$2+1)</f>
        <v/>
      </c>
      <c r="AP6" s="5">
        <f>$C$5*(1-Params!$B$15)^(AP$2+1)</f>
        <v/>
      </c>
      <c r="AQ6" s="5">
        <f>$C$5*(1-Params!$B$15)^(AQ$2+1)</f>
        <v/>
      </c>
      <c r="AR6" s="5">
        <f>$C$5*(1-Params!$B$15)^(AR$2+1)</f>
        <v/>
      </c>
      <c r="AS6" s="5">
        <f>$C$5*(1-Params!$B$15)^(AS$2+1)</f>
        <v/>
      </c>
      <c r="AT6" s="5">
        <f>$C$5*(1-Params!$B$15)^(AT$2+1)</f>
        <v/>
      </c>
      <c r="AU6" s="5">
        <f>$C$5*(1-Params!$B$15)^(AU$2+1)</f>
        <v/>
      </c>
      <c r="AV6" s="5">
        <f>$C$5*(1-Params!$B$15)^(AV$2+1)</f>
        <v/>
      </c>
      <c r="AW6" s="5">
        <f>$C$5*(1-Params!$B$15)^(AW$2+1)</f>
        <v/>
      </c>
      <c r="AX6" s="5">
        <f>$C$5*(1-Params!$B$15)^(AX$2+1)</f>
        <v/>
      </c>
      <c r="AY6" s="5">
        <f>$C$5*(1-Params!$B$15)^(AY$2+1)</f>
        <v/>
      </c>
      <c r="AZ6" s="5">
        <f>$C$5*(1-Params!$B$15)^(AZ$2+1)</f>
        <v/>
      </c>
      <c r="BA6" s="5">
        <f>$C$5*(1-Params!$B$15)^(BA$2+1)</f>
        <v/>
      </c>
      <c r="BB6" s="5">
        <f>$C$5*(1-Params!$B$15)^(BB$2+1)</f>
        <v/>
      </c>
      <c r="BC6" s="5">
        <f>$C$5*(1-Params!$B$15)^(BC$2+1)</f>
        <v/>
      </c>
      <c r="BD6" s="5">
        <f>$C$5*(1-Params!$B$15)^(BD$2+1)</f>
        <v/>
      </c>
      <c r="BE6" s="5">
        <f>$C$5*(1-Params!$B$15)^(BE$2+1)</f>
        <v/>
      </c>
      <c r="BF6" s="5">
        <f>$C$5*(1-Params!$B$15)^(BF$2+1)</f>
        <v/>
      </c>
      <c r="BG6" s="5">
        <f>$C$5*(1-Params!$B$15)^(BG$2+1)</f>
        <v/>
      </c>
      <c r="BH6" s="5">
        <f>$C$5*(1-Params!$B$15)^(BH$2+1)</f>
        <v/>
      </c>
      <c r="BI6" s="5">
        <f>$C$5*(1-Params!$B$15)^(BI$2+1)</f>
        <v/>
      </c>
      <c r="BJ6" s="5">
        <f>$C$5*(1-Params!$B$15)^(BJ$2+1)</f>
        <v/>
      </c>
      <c r="BK6" s="5">
        <f>$C$5*(1-Params!$B$15)^(BK$2+1)</f>
        <v/>
      </c>
      <c r="BL6" s="5">
        <f>$C$5*(1-Params!$B$15)^(BL$2+1)</f>
        <v/>
      </c>
      <c r="BM6" s="5">
        <f>$C$5*(1-Params!$B$15)^(BM$2+1)</f>
        <v/>
      </c>
      <c r="BN6" s="5">
        <f>$C$5*(1-Params!$B$15)^(BN$2+1)</f>
        <v/>
      </c>
      <c r="BO6" s="5">
        <f>$C$5*(1-Params!$B$15)^(BO$2+1)</f>
        <v/>
      </c>
      <c r="BP6" s="5">
        <f>$C$5*(1-Params!$B$15)^(BP$2+1)</f>
        <v/>
      </c>
      <c r="BQ6" s="5">
        <f>$C$5*(1-Params!$B$15)^(BQ$2+1)</f>
        <v/>
      </c>
      <c r="BR6" s="5">
        <f>$C$5*(1-Params!$B$15)^(BR$2+1)</f>
        <v/>
      </c>
      <c r="BS6" s="5">
        <f>$C$5*(1-Params!$B$15)^(BS$2+1)</f>
        <v/>
      </c>
      <c r="BT6" s="5">
        <f>$C$5*(1-Params!$B$15)^(BT$2+1)</f>
        <v/>
      </c>
      <c r="BU6" s="5">
        <f>$C$5*(1-Params!$B$15)^(BU$2+1)</f>
        <v/>
      </c>
      <c r="BV6" s="5">
        <f>$C$5*(1-Params!$B$15)^(BV$2+1)</f>
        <v/>
      </c>
    </row>
    <row r="7">
      <c r="A7" t="inlineStr">
        <is>
          <t>churned</t>
        </is>
      </c>
      <c r="B7" t="inlineStr">
        <is>
          <t>US_CA|NITRO_M</t>
        </is>
      </c>
      <c r="C7" s="5">
        <f>$C$5-C6</f>
        <v/>
      </c>
      <c r="D7" s="5">
        <f>C6-D6</f>
        <v/>
      </c>
      <c r="E7" s="5">
        <f>D6-E6</f>
        <v/>
      </c>
      <c r="F7" s="5">
        <f>E6-F6</f>
        <v/>
      </c>
      <c r="G7" s="5">
        <f>F6-G6</f>
        <v/>
      </c>
      <c r="H7" s="5">
        <f>G6-H6</f>
        <v/>
      </c>
      <c r="I7" s="5">
        <f>H6-I6</f>
        <v/>
      </c>
      <c r="J7" s="5">
        <f>I6-J6</f>
        <v/>
      </c>
      <c r="K7" s="5">
        <f>J6-K6</f>
        <v/>
      </c>
      <c r="L7" s="5">
        <f>K6-L6</f>
        <v/>
      </c>
      <c r="M7" s="5">
        <f>L6-M6</f>
        <v/>
      </c>
      <c r="N7" s="5">
        <f>M6-N6</f>
        <v/>
      </c>
      <c r="O7" s="5">
        <f>N6-O6</f>
        <v/>
      </c>
      <c r="P7" s="5">
        <f>O6-P6</f>
        <v/>
      </c>
      <c r="Q7" s="5">
        <f>P6-Q6</f>
        <v/>
      </c>
      <c r="R7" s="5">
        <f>Q6-R6</f>
        <v/>
      </c>
      <c r="S7" s="5">
        <f>R6-S6</f>
        <v/>
      </c>
      <c r="T7" s="5">
        <f>S6-T6</f>
        <v/>
      </c>
      <c r="U7" s="5">
        <f>T6-U6</f>
        <v/>
      </c>
      <c r="V7" s="5">
        <f>U6-V6</f>
        <v/>
      </c>
      <c r="W7" s="5">
        <f>V6-W6</f>
        <v/>
      </c>
      <c r="X7" s="5">
        <f>W6-X6</f>
        <v/>
      </c>
      <c r="Y7" s="5">
        <f>X6-Y6</f>
        <v/>
      </c>
      <c r="Z7" s="5">
        <f>Y6-Z6</f>
        <v/>
      </c>
      <c r="AA7" s="5">
        <f>Z6-AA6</f>
        <v/>
      </c>
      <c r="AB7" s="5">
        <f>AA6-AB6</f>
        <v/>
      </c>
      <c r="AC7" s="5">
        <f>AB6-AC6</f>
        <v/>
      </c>
      <c r="AD7" s="5">
        <f>AC6-AD6</f>
        <v/>
      </c>
      <c r="AE7" s="5">
        <f>AD6-AE6</f>
        <v/>
      </c>
      <c r="AF7" s="5">
        <f>AE6-AF6</f>
        <v/>
      </c>
      <c r="AG7" s="5">
        <f>AF6-AG6</f>
        <v/>
      </c>
      <c r="AH7" s="5">
        <f>AG6-AH6</f>
        <v/>
      </c>
      <c r="AI7" s="5">
        <f>AH6-AI6</f>
        <v/>
      </c>
      <c r="AJ7" s="5">
        <f>AI6-AJ6</f>
        <v/>
      </c>
      <c r="AK7" s="5">
        <f>AJ6-AK6</f>
        <v/>
      </c>
      <c r="AL7" s="5">
        <f>AK6-AL6</f>
        <v/>
      </c>
      <c r="AM7" s="5">
        <f>AL6-AM6</f>
        <v/>
      </c>
      <c r="AN7" s="5">
        <f>AM6-AN6</f>
        <v/>
      </c>
      <c r="AO7" s="5">
        <f>AN6-AO6</f>
        <v/>
      </c>
      <c r="AP7" s="5">
        <f>AO6-AP6</f>
        <v/>
      </c>
      <c r="AQ7" s="5">
        <f>AP6-AQ6</f>
        <v/>
      </c>
      <c r="AR7" s="5">
        <f>AQ6-AR6</f>
        <v/>
      </c>
      <c r="AS7" s="5">
        <f>AR6-AS6</f>
        <v/>
      </c>
      <c r="AT7" s="5">
        <f>AS6-AT6</f>
        <v/>
      </c>
      <c r="AU7" s="5">
        <f>AT6-AU6</f>
        <v/>
      </c>
      <c r="AV7" s="5">
        <f>AU6-AV6</f>
        <v/>
      </c>
      <c r="AW7" s="5">
        <f>AV6-AW6</f>
        <v/>
      </c>
      <c r="AX7" s="5">
        <f>AW6-AX6</f>
        <v/>
      </c>
      <c r="AY7" s="5">
        <f>AX6-AY6</f>
        <v/>
      </c>
      <c r="AZ7" s="5">
        <f>AY6-AZ6</f>
        <v/>
      </c>
      <c r="BA7" s="5">
        <f>AZ6-BA6</f>
        <v/>
      </c>
      <c r="BB7" s="5">
        <f>BA6-BB6</f>
        <v/>
      </c>
      <c r="BC7" s="5">
        <f>BB6-BC6</f>
        <v/>
      </c>
      <c r="BD7" s="5">
        <f>BC6-BD6</f>
        <v/>
      </c>
      <c r="BE7" s="5">
        <f>BD6-BE6</f>
        <v/>
      </c>
      <c r="BF7" s="5">
        <f>BE6-BF6</f>
        <v/>
      </c>
      <c r="BG7" s="5">
        <f>BF6-BG6</f>
        <v/>
      </c>
      <c r="BH7" s="5">
        <f>BG6-BH6</f>
        <v/>
      </c>
      <c r="BI7" s="5">
        <f>BH6-BI6</f>
        <v/>
      </c>
      <c r="BJ7" s="5">
        <f>BI6-BJ6</f>
        <v/>
      </c>
      <c r="BK7" s="5">
        <f>BJ6-BK6</f>
        <v/>
      </c>
      <c r="BL7" s="5">
        <f>BK6-BL6</f>
        <v/>
      </c>
      <c r="BM7" s="5">
        <f>BL6-BM6</f>
        <v/>
      </c>
      <c r="BN7" s="5">
        <f>BM6-BN6</f>
        <v/>
      </c>
      <c r="BO7" s="5">
        <f>BN6-BO6</f>
        <v/>
      </c>
      <c r="BP7" s="5">
        <f>BO6-BP6</f>
        <v/>
      </c>
      <c r="BQ7" s="5">
        <f>BP6-BQ6</f>
        <v/>
      </c>
      <c r="BR7" s="5">
        <f>BQ6-BR6</f>
        <v/>
      </c>
      <c r="BS7" s="5">
        <f>BR6-BS6</f>
        <v/>
      </c>
      <c r="BT7" s="5">
        <f>BS6-BT6</f>
        <v/>
      </c>
      <c r="BU7" s="5">
        <f>BT6-BU6</f>
        <v/>
      </c>
      <c r="BV7" s="5">
        <f>BU6-BV6</f>
        <v/>
      </c>
    </row>
    <row r="9">
      <c r="A9" t="inlineStr">
        <is>
          <t>opening book (Jan 2025)</t>
        </is>
      </c>
      <c r="B9" t="inlineStr">
        <is>
          <t>US_CA|NITRO_A</t>
        </is>
      </c>
      <c r="C9" s="5">
        <f>Params!$B$14*Params!$B$72*Params!$B$97</f>
        <v/>
      </c>
    </row>
    <row r="10">
      <c r="A10" t="inlineStr">
        <is>
          <t>active</t>
        </is>
      </c>
      <c r="B10" t="inlineStr">
        <is>
          <t>US_CA|NITRO_A</t>
        </is>
      </c>
      <c r="C10" s="5">
        <f>$C$9*((MOD(C$2,12)+1)*Params!$B$42^(INT(C$2/12)+1)+(11-MOD(C$2,12))*Params!$B$42^INT(C$2/12))/12</f>
        <v/>
      </c>
      <c r="D10" s="5">
        <f>$C$9*((MOD(D$2,12)+1)*Params!$B$42^(INT(D$2/12)+1)+(11-MOD(D$2,12))*Params!$B$42^INT(D$2/12))/12</f>
        <v/>
      </c>
      <c r="E10" s="5">
        <f>$C$9*((MOD(E$2,12)+1)*Params!$B$42^(INT(E$2/12)+1)+(11-MOD(E$2,12))*Params!$B$42^INT(E$2/12))/12</f>
        <v/>
      </c>
      <c r="F10" s="5">
        <f>$C$9*((MOD(F$2,12)+1)*Params!$B$42^(INT(F$2/12)+1)+(11-MOD(F$2,12))*Params!$B$42^INT(F$2/12))/12</f>
        <v/>
      </c>
      <c r="G10" s="5">
        <f>$C$9*((MOD(G$2,12)+1)*Params!$B$42^(INT(G$2/12)+1)+(11-MOD(G$2,12))*Params!$B$42^INT(G$2/12))/12</f>
        <v/>
      </c>
      <c r="H10" s="5">
        <f>$C$9*((MOD(H$2,12)+1)*Params!$B$42^(INT(H$2/12)+1)+(11-MOD(H$2,12))*Params!$B$42^INT(H$2/12))/12</f>
        <v/>
      </c>
      <c r="I10" s="5">
        <f>$C$9*((MOD(I$2,12)+1)*Params!$B$42^(INT(I$2/12)+1)+(11-MOD(I$2,12))*Params!$B$42^INT(I$2/12))/12</f>
        <v/>
      </c>
      <c r="J10" s="5">
        <f>$C$9*((MOD(J$2,12)+1)*Params!$B$42^(INT(J$2/12)+1)+(11-MOD(J$2,12))*Params!$B$42^INT(J$2/12))/12</f>
        <v/>
      </c>
      <c r="K10" s="5">
        <f>$C$9*((MOD(K$2,12)+1)*Params!$B$42^(INT(K$2/12)+1)+(11-MOD(K$2,12))*Params!$B$42^INT(K$2/12))/12</f>
        <v/>
      </c>
      <c r="L10" s="5">
        <f>$C$9*((MOD(L$2,12)+1)*Params!$B$42^(INT(L$2/12)+1)+(11-MOD(L$2,12))*Params!$B$42^INT(L$2/12))/12</f>
        <v/>
      </c>
      <c r="M10" s="5">
        <f>$C$9*((MOD(M$2,12)+1)*Params!$B$42^(INT(M$2/12)+1)+(11-MOD(M$2,12))*Params!$B$42^INT(M$2/12))/12</f>
        <v/>
      </c>
      <c r="N10" s="5">
        <f>$C$9*((MOD(N$2,12)+1)*Params!$B$42^(INT(N$2/12)+1)+(11-MOD(N$2,12))*Params!$B$42^INT(N$2/12))/12</f>
        <v/>
      </c>
      <c r="O10" s="5">
        <f>$C$9*((MOD(O$2,12)+1)*Params!$B$42^(INT(O$2/12)+1)+(11-MOD(O$2,12))*Params!$B$42^INT(O$2/12))/12</f>
        <v/>
      </c>
      <c r="P10" s="5">
        <f>$C$9*((MOD(P$2,12)+1)*Params!$B$42^(INT(P$2/12)+1)+(11-MOD(P$2,12))*Params!$B$42^INT(P$2/12))/12</f>
        <v/>
      </c>
      <c r="Q10" s="5">
        <f>$C$9*((MOD(Q$2,12)+1)*Params!$B$42^(INT(Q$2/12)+1)+(11-MOD(Q$2,12))*Params!$B$42^INT(Q$2/12))/12</f>
        <v/>
      </c>
      <c r="R10" s="5">
        <f>$C$9*((MOD(R$2,12)+1)*Params!$B$42^(INT(R$2/12)+1)+(11-MOD(R$2,12))*Params!$B$42^INT(R$2/12))/12</f>
        <v/>
      </c>
      <c r="S10" s="5">
        <f>$C$9*((MOD(S$2,12)+1)*Params!$B$42^(INT(S$2/12)+1)+(11-MOD(S$2,12))*Params!$B$42^INT(S$2/12))/12</f>
        <v/>
      </c>
      <c r="T10" s="5">
        <f>$C$9*((MOD(T$2,12)+1)*Params!$B$42^(INT(T$2/12)+1)+(11-MOD(T$2,12))*Params!$B$42^INT(T$2/12))/12</f>
        <v/>
      </c>
      <c r="U10" s="5">
        <f>$C$9*((MOD(U$2,12)+1)*Params!$B$42^(INT(U$2/12)+1)+(11-MOD(U$2,12))*Params!$B$42^INT(U$2/12))/12</f>
        <v/>
      </c>
      <c r="V10" s="5">
        <f>$C$9*((MOD(V$2,12)+1)*Params!$B$42^(INT(V$2/12)+1)+(11-MOD(V$2,12))*Params!$B$42^INT(V$2/12))/12</f>
        <v/>
      </c>
      <c r="W10" s="5">
        <f>$C$9*((MOD(W$2,12)+1)*Params!$B$42^(INT(W$2/12)+1)+(11-MOD(W$2,12))*Params!$B$42^INT(W$2/12))/12</f>
        <v/>
      </c>
      <c r="X10" s="5">
        <f>$C$9*((MOD(X$2,12)+1)*Params!$B$42^(INT(X$2/12)+1)+(11-MOD(X$2,12))*Params!$B$42^INT(X$2/12))/12</f>
        <v/>
      </c>
      <c r="Y10" s="5">
        <f>$C$9*((MOD(Y$2,12)+1)*Params!$B$42^(INT(Y$2/12)+1)+(11-MOD(Y$2,12))*Params!$B$42^INT(Y$2/12))/12</f>
        <v/>
      </c>
      <c r="Z10" s="5">
        <f>$C$9*((MOD(Z$2,12)+1)*Params!$B$42^(INT(Z$2/12)+1)+(11-MOD(Z$2,12))*Params!$B$42^INT(Z$2/12))/12</f>
        <v/>
      </c>
      <c r="AA10" s="5">
        <f>$C$9*((MOD(AA$2,12)+1)*Params!$B$42^(INT(AA$2/12)+1)+(11-MOD(AA$2,12))*Params!$B$42^INT(AA$2/12))/12</f>
        <v/>
      </c>
      <c r="AB10" s="5">
        <f>$C$9*((MOD(AB$2,12)+1)*Params!$B$42^(INT(AB$2/12)+1)+(11-MOD(AB$2,12))*Params!$B$42^INT(AB$2/12))/12</f>
        <v/>
      </c>
      <c r="AC10" s="5">
        <f>$C$9*((MOD(AC$2,12)+1)*Params!$B$42^(INT(AC$2/12)+1)+(11-MOD(AC$2,12))*Params!$B$42^INT(AC$2/12))/12</f>
        <v/>
      </c>
      <c r="AD10" s="5">
        <f>$C$9*((MOD(AD$2,12)+1)*Params!$B$42^(INT(AD$2/12)+1)+(11-MOD(AD$2,12))*Params!$B$42^INT(AD$2/12))/12</f>
        <v/>
      </c>
      <c r="AE10" s="5">
        <f>$C$9*((MOD(AE$2,12)+1)*Params!$B$42^(INT(AE$2/12)+1)+(11-MOD(AE$2,12))*Params!$B$42^INT(AE$2/12))/12</f>
        <v/>
      </c>
      <c r="AF10" s="5">
        <f>$C$9*((MOD(AF$2,12)+1)*Params!$B$42^(INT(AF$2/12)+1)+(11-MOD(AF$2,12))*Params!$B$42^INT(AF$2/12))/12</f>
        <v/>
      </c>
      <c r="AG10" s="5">
        <f>$C$9*((MOD(AG$2,12)+1)*Params!$B$42^(INT(AG$2/12)+1)+(11-MOD(AG$2,12))*Params!$B$42^INT(AG$2/12))/12</f>
        <v/>
      </c>
      <c r="AH10" s="5">
        <f>$C$9*((MOD(AH$2,12)+1)*Params!$B$42^(INT(AH$2/12)+1)+(11-MOD(AH$2,12))*Params!$B$42^INT(AH$2/12))/12</f>
        <v/>
      </c>
      <c r="AI10" s="5">
        <f>$C$9*((MOD(AI$2,12)+1)*Params!$B$42^(INT(AI$2/12)+1)+(11-MOD(AI$2,12))*Params!$B$42^INT(AI$2/12))/12</f>
        <v/>
      </c>
      <c r="AJ10" s="5">
        <f>$C$9*((MOD(AJ$2,12)+1)*Params!$B$42^(INT(AJ$2/12)+1)+(11-MOD(AJ$2,12))*Params!$B$42^INT(AJ$2/12))/12</f>
        <v/>
      </c>
      <c r="AK10" s="5">
        <f>$C$9*((MOD(AK$2,12)+1)*Params!$B$42^(INT(AK$2/12)+1)+(11-MOD(AK$2,12))*Params!$B$42^INT(AK$2/12))/12</f>
        <v/>
      </c>
      <c r="AL10" s="5">
        <f>$C$9*((MOD(AL$2,12)+1)*Params!$B$42^(INT(AL$2/12)+1)+(11-MOD(AL$2,12))*Params!$B$42^INT(AL$2/12))/12</f>
        <v/>
      </c>
      <c r="AM10" s="5">
        <f>$C$9*((MOD(AM$2,12)+1)*Params!$B$42^(INT(AM$2/12)+1)+(11-MOD(AM$2,12))*Params!$B$42^INT(AM$2/12))/12</f>
        <v/>
      </c>
      <c r="AN10" s="5">
        <f>$C$9*((MOD(AN$2,12)+1)*Params!$B$42^(INT(AN$2/12)+1)+(11-MOD(AN$2,12))*Params!$B$42^INT(AN$2/12))/12</f>
        <v/>
      </c>
      <c r="AO10" s="5">
        <f>$C$9*((MOD(AO$2,12)+1)*Params!$B$42^(INT(AO$2/12)+1)+(11-MOD(AO$2,12))*Params!$B$42^INT(AO$2/12))/12</f>
        <v/>
      </c>
      <c r="AP10" s="5">
        <f>$C$9*((MOD(AP$2,12)+1)*Params!$B$42^(INT(AP$2/12)+1)+(11-MOD(AP$2,12))*Params!$B$42^INT(AP$2/12))/12</f>
        <v/>
      </c>
      <c r="AQ10" s="5">
        <f>$C$9*((MOD(AQ$2,12)+1)*Params!$B$42^(INT(AQ$2/12)+1)+(11-MOD(AQ$2,12))*Params!$B$42^INT(AQ$2/12))/12</f>
        <v/>
      </c>
      <c r="AR10" s="5">
        <f>$C$9*((MOD(AR$2,12)+1)*Params!$B$42^(INT(AR$2/12)+1)+(11-MOD(AR$2,12))*Params!$B$42^INT(AR$2/12))/12</f>
        <v/>
      </c>
      <c r="AS10" s="5">
        <f>$C$9*((MOD(AS$2,12)+1)*Params!$B$42^(INT(AS$2/12)+1)+(11-MOD(AS$2,12))*Params!$B$42^INT(AS$2/12))/12</f>
        <v/>
      </c>
      <c r="AT10" s="5">
        <f>$C$9*((MOD(AT$2,12)+1)*Params!$B$42^(INT(AT$2/12)+1)+(11-MOD(AT$2,12))*Params!$B$42^INT(AT$2/12))/12</f>
        <v/>
      </c>
      <c r="AU10" s="5">
        <f>$C$9*((MOD(AU$2,12)+1)*Params!$B$42^(INT(AU$2/12)+1)+(11-MOD(AU$2,12))*Params!$B$42^INT(AU$2/12))/12</f>
        <v/>
      </c>
      <c r="AV10" s="5">
        <f>$C$9*((MOD(AV$2,12)+1)*Params!$B$42^(INT(AV$2/12)+1)+(11-MOD(AV$2,12))*Params!$B$42^INT(AV$2/12))/12</f>
        <v/>
      </c>
      <c r="AW10" s="5">
        <f>$C$9*((MOD(AW$2,12)+1)*Params!$B$42^(INT(AW$2/12)+1)+(11-MOD(AW$2,12))*Params!$B$42^INT(AW$2/12))/12</f>
        <v/>
      </c>
      <c r="AX10" s="5">
        <f>$C$9*((MOD(AX$2,12)+1)*Params!$B$42^(INT(AX$2/12)+1)+(11-MOD(AX$2,12))*Params!$B$42^INT(AX$2/12))/12</f>
        <v/>
      </c>
      <c r="AY10" s="5">
        <f>$C$9*((MOD(AY$2,12)+1)*Params!$B$42^(INT(AY$2/12)+1)+(11-MOD(AY$2,12))*Params!$B$42^INT(AY$2/12))/12</f>
        <v/>
      </c>
      <c r="AZ10" s="5">
        <f>$C$9*((MOD(AZ$2,12)+1)*Params!$B$42^(INT(AZ$2/12)+1)+(11-MOD(AZ$2,12))*Params!$B$42^INT(AZ$2/12))/12</f>
        <v/>
      </c>
      <c r="BA10" s="5">
        <f>$C$9*((MOD(BA$2,12)+1)*Params!$B$42^(INT(BA$2/12)+1)+(11-MOD(BA$2,12))*Params!$B$42^INT(BA$2/12))/12</f>
        <v/>
      </c>
      <c r="BB10" s="5">
        <f>$C$9*((MOD(BB$2,12)+1)*Params!$B$42^(INT(BB$2/12)+1)+(11-MOD(BB$2,12))*Params!$B$42^INT(BB$2/12))/12</f>
        <v/>
      </c>
      <c r="BC10" s="5">
        <f>$C$9*((MOD(BC$2,12)+1)*Params!$B$42^(INT(BC$2/12)+1)+(11-MOD(BC$2,12))*Params!$B$42^INT(BC$2/12))/12</f>
        <v/>
      </c>
      <c r="BD10" s="5">
        <f>$C$9*((MOD(BD$2,12)+1)*Params!$B$42^(INT(BD$2/12)+1)+(11-MOD(BD$2,12))*Params!$B$42^INT(BD$2/12))/12</f>
        <v/>
      </c>
      <c r="BE10" s="5">
        <f>$C$9*((MOD(BE$2,12)+1)*Params!$B$42^(INT(BE$2/12)+1)+(11-MOD(BE$2,12))*Params!$B$42^INT(BE$2/12))/12</f>
        <v/>
      </c>
      <c r="BF10" s="5">
        <f>$C$9*((MOD(BF$2,12)+1)*Params!$B$42^(INT(BF$2/12)+1)+(11-MOD(BF$2,12))*Params!$B$42^INT(BF$2/12))/12</f>
        <v/>
      </c>
      <c r="BG10" s="5">
        <f>$C$9*((MOD(BG$2,12)+1)*Params!$B$42^(INT(BG$2/12)+1)+(11-MOD(BG$2,12))*Params!$B$42^INT(BG$2/12))/12</f>
        <v/>
      </c>
      <c r="BH10" s="5">
        <f>$C$9*((MOD(BH$2,12)+1)*Params!$B$42^(INT(BH$2/12)+1)+(11-MOD(BH$2,12))*Params!$B$42^INT(BH$2/12))/12</f>
        <v/>
      </c>
      <c r="BI10" s="5">
        <f>$C$9*((MOD(BI$2,12)+1)*Params!$B$42^(INT(BI$2/12)+1)+(11-MOD(BI$2,12))*Params!$B$42^INT(BI$2/12))/12</f>
        <v/>
      </c>
      <c r="BJ10" s="5">
        <f>$C$9*((MOD(BJ$2,12)+1)*Params!$B$42^(INT(BJ$2/12)+1)+(11-MOD(BJ$2,12))*Params!$B$42^INT(BJ$2/12))/12</f>
        <v/>
      </c>
      <c r="BK10" s="5">
        <f>$C$9*((MOD(BK$2,12)+1)*Params!$B$42^(INT(BK$2/12)+1)+(11-MOD(BK$2,12))*Params!$B$42^INT(BK$2/12))/12</f>
        <v/>
      </c>
      <c r="BL10" s="5">
        <f>$C$9*((MOD(BL$2,12)+1)*Params!$B$42^(INT(BL$2/12)+1)+(11-MOD(BL$2,12))*Params!$B$42^INT(BL$2/12))/12</f>
        <v/>
      </c>
      <c r="BM10" s="5">
        <f>$C$9*((MOD(BM$2,12)+1)*Params!$B$42^(INT(BM$2/12)+1)+(11-MOD(BM$2,12))*Params!$B$42^INT(BM$2/12))/12</f>
        <v/>
      </c>
      <c r="BN10" s="5">
        <f>$C$9*((MOD(BN$2,12)+1)*Params!$B$42^(INT(BN$2/12)+1)+(11-MOD(BN$2,12))*Params!$B$42^INT(BN$2/12))/12</f>
        <v/>
      </c>
      <c r="BO10" s="5">
        <f>$C$9*((MOD(BO$2,12)+1)*Params!$B$42^(INT(BO$2/12)+1)+(11-MOD(BO$2,12))*Params!$B$42^INT(BO$2/12))/12</f>
        <v/>
      </c>
      <c r="BP10" s="5">
        <f>$C$9*((MOD(BP$2,12)+1)*Params!$B$42^(INT(BP$2/12)+1)+(11-MOD(BP$2,12))*Params!$B$42^INT(BP$2/12))/12</f>
        <v/>
      </c>
      <c r="BQ10" s="5">
        <f>$C$9*((MOD(BQ$2,12)+1)*Params!$B$42^(INT(BQ$2/12)+1)+(11-MOD(BQ$2,12))*Params!$B$42^INT(BQ$2/12))/12</f>
        <v/>
      </c>
      <c r="BR10" s="5">
        <f>$C$9*((MOD(BR$2,12)+1)*Params!$B$42^(INT(BR$2/12)+1)+(11-MOD(BR$2,12))*Params!$B$42^INT(BR$2/12))/12</f>
        <v/>
      </c>
      <c r="BS10" s="5">
        <f>$C$9*((MOD(BS$2,12)+1)*Params!$B$42^(INT(BS$2/12)+1)+(11-MOD(BS$2,12))*Params!$B$42^INT(BS$2/12))/12</f>
        <v/>
      </c>
      <c r="BT10" s="5">
        <f>$C$9*((MOD(BT$2,12)+1)*Params!$B$42^(INT(BT$2/12)+1)+(11-MOD(BT$2,12))*Params!$B$42^INT(BT$2/12))/12</f>
        <v/>
      </c>
      <c r="BU10" s="5">
        <f>$C$9*((MOD(BU$2,12)+1)*Params!$B$42^(INT(BU$2/12)+1)+(11-MOD(BU$2,12))*Params!$B$42^INT(BU$2/12))/12</f>
        <v/>
      </c>
      <c r="BV10" s="5">
        <f>$C$9*((MOD(BV$2,12)+1)*Params!$B$42^(INT(BV$2/12)+1)+(11-MOD(BV$2,12))*Params!$B$42^INT(BV$2/12))/12</f>
        <v/>
      </c>
    </row>
    <row r="11">
      <c r="A11" t="inlineStr">
        <is>
          <t>churned</t>
        </is>
      </c>
      <c r="B11" t="inlineStr">
        <is>
          <t>US_CA|NITRO_A</t>
        </is>
      </c>
      <c r="C11" s="5">
        <f>$C$9-C10</f>
        <v/>
      </c>
      <c r="D11" s="5">
        <f>C10-D10</f>
        <v/>
      </c>
      <c r="E11" s="5">
        <f>D10-E10</f>
        <v/>
      </c>
      <c r="F11" s="5">
        <f>E10-F10</f>
        <v/>
      </c>
      <c r="G11" s="5">
        <f>F10-G10</f>
        <v/>
      </c>
      <c r="H11" s="5">
        <f>G10-H10</f>
        <v/>
      </c>
      <c r="I11" s="5">
        <f>H10-I10</f>
        <v/>
      </c>
      <c r="J11" s="5">
        <f>I10-J10</f>
        <v/>
      </c>
      <c r="K11" s="5">
        <f>J10-K10</f>
        <v/>
      </c>
      <c r="L11" s="5">
        <f>K10-L10</f>
        <v/>
      </c>
      <c r="M11" s="5">
        <f>L10-M10</f>
        <v/>
      </c>
      <c r="N11" s="5">
        <f>M10-N10</f>
        <v/>
      </c>
      <c r="O11" s="5">
        <f>N10-O10</f>
        <v/>
      </c>
      <c r="P11" s="5">
        <f>O10-P10</f>
        <v/>
      </c>
      <c r="Q11" s="5">
        <f>P10-Q10</f>
        <v/>
      </c>
      <c r="R11" s="5">
        <f>Q10-R10</f>
        <v/>
      </c>
      <c r="S11" s="5">
        <f>R10-S10</f>
        <v/>
      </c>
      <c r="T11" s="5">
        <f>S10-T10</f>
        <v/>
      </c>
      <c r="U11" s="5">
        <f>T10-U10</f>
        <v/>
      </c>
      <c r="V11" s="5">
        <f>U10-V10</f>
        <v/>
      </c>
      <c r="W11" s="5">
        <f>V10-W10</f>
        <v/>
      </c>
      <c r="X11" s="5">
        <f>W10-X10</f>
        <v/>
      </c>
      <c r="Y11" s="5">
        <f>X10-Y10</f>
        <v/>
      </c>
      <c r="Z11" s="5">
        <f>Y10-Z10</f>
        <v/>
      </c>
      <c r="AA11" s="5">
        <f>Z10-AA10</f>
        <v/>
      </c>
      <c r="AB11" s="5">
        <f>AA10-AB10</f>
        <v/>
      </c>
      <c r="AC11" s="5">
        <f>AB10-AC10</f>
        <v/>
      </c>
      <c r="AD11" s="5">
        <f>AC10-AD10</f>
        <v/>
      </c>
      <c r="AE11" s="5">
        <f>AD10-AE10</f>
        <v/>
      </c>
      <c r="AF11" s="5">
        <f>AE10-AF10</f>
        <v/>
      </c>
      <c r="AG11" s="5">
        <f>AF10-AG10</f>
        <v/>
      </c>
      <c r="AH11" s="5">
        <f>AG10-AH10</f>
        <v/>
      </c>
      <c r="AI11" s="5">
        <f>AH10-AI10</f>
        <v/>
      </c>
      <c r="AJ11" s="5">
        <f>AI10-AJ10</f>
        <v/>
      </c>
      <c r="AK11" s="5">
        <f>AJ10-AK10</f>
        <v/>
      </c>
      <c r="AL11" s="5">
        <f>AK10-AL10</f>
        <v/>
      </c>
      <c r="AM11" s="5">
        <f>AL10-AM10</f>
        <v/>
      </c>
      <c r="AN11" s="5">
        <f>AM10-AN10</f>
        <v/>
      </c>
      <c r="AO11" s="5">
        <f>AN10-AO10</f>
        <v/>
      </c>
      <c r="AP11" s="5">
        <f>AO10-AP10</f>
        <v/>
      </c>
      <c r="AQ11" s="5">
        <f>AP10-AQ10</f>
        <v/>
      </c>
      <c r="AR11" s="5">
        <f>AQ10-AR10</f>
        <v/>
      </c>
      <c r="AS11" s="5">
        <f>AR10-AS10</f>
        <v/>
      </c>
      <c r="AT11" s="5">
        <f>AS10-AT10</f>
        <v/>
      </c>
      <c r="AU11" s="5">
        <f>AT10-AU10</f>
        <v/>
      </c>
      <c r="AV11" s="5">
        <f>AU10-AV10</f>
        <v/>
      </c>
      <c r="AW11" s="5">
        <f>AV10-AW10</f>
        <v/>
      </c>
      <c r="AX11" s="5">
        <f>AW10-AX10</f>
        <v/>
      </c>
      <c r="AY11" s="5">
        <f>AX10-AY10</f>
        <v/>
      </c>
      <c r="AZ11" s="5">
        <f>AY10-AZ10</f>
        <v/>
      </c>
      <c r="BA11" s="5">
        <f>AZ10-BA10</f>
        <v/>
      </c>
      <c r="BB11" s="5">
        <f>BA10-BB10</f>
        <v/>
      </c>
      <c r="BC11" s="5">
        <f>BB10-BC10</f>
        <v/>
      </c>
      <c r="BD11" s="5">
        <f>BC10-BD10</f>
        <v/>
      </c>
      <c r="BE11" s="5">
        <f>BD10-BE10</f>
        <v/>
      </c>
      <c r="BF11" s="5">
        <f>BE10-BF10</f>
        <v/>
      </c>
      <c r="BG11" s="5">
        <f>BF10-BG10</f>
        <v/>
      </c>
      <c r="BH11" s="5">
        <f>BG10-BH10</f>
        <v/>
      </c>
      <c r="BI11" s="5">
        <f>BH10-BI10</f>
        <v/>
      </c>
      <c r="BJ11" s="5">
        <f>BI10-BJ10</f>
        <v/>
      </c>
      <c r="BK11" s="5">
        <f>BJ10-BK10</f>
        <v/>
      </c>
      <c r="BL11" s="5">
        <f>BK10-BL10</f>
        <v/>
      </c>
      <c r="BM11" s="5">
        <f>BL10-BM10</f>
        <v/>
      </c>
      <c r="BN11" s="5">
        <f>BM10-BN10</f>
        <v/>
      </c>
      <c r="BO11" s="5">
        <f>BN10-BO10</f>
        <v/>
      </c>
      <c r="BP11" s="5">
        <f>BO10-BP10</f>
        <v/>
      </c>
      <c r="BQ11" s="5">
        <f>BP10-BQ10</f>
        <v/>
      </c>
      <c r="BR11" s="5">
        <f>BQ10-BR10</f>
        <v/>
      </c>
      <c r="BS11" s="5">
        <f>BR10-BS10</f>
        <v/>
      </c>
      <c r="BT11" s="5">
        <f>BS10-BT10</f>
        <v/>
      </c>
      <c r="BU11" s="5">
        <f>BT10-BU10</f>
        <v/>
      </c>
      <c r="BV11" s="5">
        <f>BU10-BV10</f>
        <v/>
      </c>
    </row>
    <row r="13">
      <c r="A13" t="inlineStr">
        <is>
          <t>opening book (Jan 2025)</t>
        </is>
      </c>
      <c r="B13" t="inlineStr">
        <is>
          <t>US_CA|BASIC_M</t>
        </is>
      </c>
      <c r="C13" s="5">
        <f>Params!$B$14*Params!$B$72*Params!$B$98</f>
        <v/>
      </c>
    </row>
    <row r="14">
      <c r="A14" t="inlineStr">
        <is>
          <t>active</t>
        </is>
      </c>
      <c r="B14" t="inlineStr">
        <is>
          <t>US_CA|BASIC_M</t>
        </is>
      </c>
      <c r="C14" s="5">
        <f>$C$13*(1-Params!$B$15)^(C$2+1)</f>
        <v/>
      </c>
      <c r="D14" s="5">
        <f>$C$13*(1-Params!$B$15)^(D$2+1)</f>
        <v/>
      </c>
      <c r="E14" s="5">
        <f>$C$13*(1-Params!$B$15)^(E$2+1)</f>
        <v/>
      </c>
      <c r="F14" s="5">
        <f>$C$13*(1-Params!$B$15)^(F$2+1)</f>
        <v/>
      </c>
      <c r="G14" s="5">
        <f>$C$13*(1-Params!$B$15)^(G$2+1)</f>
        <v/>
      </c>
      <c r="H14" s="5">
        <f>$C$13*(1-Params!$B$15)^(H$2+1)</f>
        <v/>
      </c>
      <c r="I14" s="5">
        <f>$C$13*(1-Params!$B$15)^(I$2+1)</f>
        <v/>
      </c>
      <c r="J14" s="5">
        <f>$C$13*(1-Params!$B$15)^(J$2+1)</f>
        <v/>
      </c>
      <c r="K14" s="5">
        <f>$C$13*(1-Params!$B$15)^(K$2+1)</f>
        <v/>
      </c>
      <c r="L14" s="5">
        <f>$C$13*(1-Params!$B$15)^(L$2+1)</f>
        <v/>
      </c>
      <c r="M14" s="5">
        <f>$C$13*(1-Params!$B$15)^(M$2+1)</f>
        <v/>
      </c>
      <c r="N14" s="5">
        <f>$C$13*(1-Params!$B$15)^(N$2+1)</f>
        <v/>
      </c>
      <c r="O14" s="5">
        <f>$C$13*(1-Params!$B$15)^(O$2+1)</f>
        <v/>
      </c>
      <c r="P14" s="5">
        <f>$C$13*(1-Params!$B$15)^(P$2+1)</f>
        <v/>
      </c>
      <c r="Q14" s="5">
        <f>$C$13*(1-Params!$B$15)^(Q$2+1)</f>
        <v/>
      </c>
      <c r="R14" s="5">
        <f>$C$13*(1-Params!$B$15)^(R$2+1)</f>
        <v/>
      </c>
      <c r="S14" s="5">
        <f>$C$13*(1-Params!$B$15)^(S$2+1)</f>
        <v/>
      </c>
      <c r="T14" s="5">
        <f>$C$13*(1-Params!$B$15)^(T$2+1)</f>
        <v/>
      </c>
      <c r="U14" s="5">
        <f>$C$13*(1-Params!$B$15)^(U$2+1)</f>
        <v/>
      </c>
      <c r="V14" s="5">
        <f>$C$13*(1-Params!$B$15)^(V$2+1)</f>
        <v/>
      </c>
      <c r="W14" s="5">
        <f>$C$13*(1-Params!$B$15)^(W$2+1)</f>
        <v/>
      </c>
      <c r="X14" s="5">
        <f>$C$13*(1-Params!$B$15)^(X$2+1)</f>
        <v/>
      </c>
      <c r="Y14" s="5">
        <f>$C$13*(1-Params!$B$15)^(Y$2+1)</f>
        <v/>
      </c>
      <c r="Z14" s="5">
        <f>$C$13*(1-Params!$B$15)^(Z$2+1)</f>
        <v/>
      </c>
      <c r="AA14" s="5">
        <f>$C$13*(1-Params!$B$15)^(AA$2+1)</f>
        <v/>
      </c>
      <c r="AB14" s="5">
        <f>$C$13*(1-Params!$B$15)^(AB$2+1)</f>
        <v/>
      </c>
      <c r="AC14" s="5">
        <f>$C$13*(1-Params!$B$15)^(AC$2+1)</f>
        <v/>
      </c>
      <c r="AD14" s="5">
        <f>$C$13*(1-Params!$B$15)^(AD$2+1)</f>
        <v/>
      </c>
      <c r="AE14" s="5">
        <f>$C$13*(1-Params!$B$15)^(AE$2+1)</f>
        <v/>
      </c>
      <c r="AF14" s="5">
        <f>$C$13*(1-Params!$B$15)^(AF$2+1)</f>
        <v/>
      </c>
      <c r="AG14" s="5">
        <f>$C$13*(1-Params!$B$15)^(AG$2+1)</f>
        <v/>
      </c>
      <c r="AH14" s="5">
        <f>$C$13*(1-Params!$B$15)^(AH$2+1)</f>
        <v/>
      </c>
      <c r="AI14" s="5">
        <f>$C$13*(1-Params!$B$15)^(AI$2+1)</f>
        <v/>
      </c>
      <c r="AJ14" s="5">
        <f>$C$13*(1-Params!$B$15)^(AJ$2+1)</f>
        <v/>
      </c>
      <c r="AK14" s="5">
        <f>$C$13*(1-Params!$B$15)^(AK$2+1)</f>
        <v/>
      </c>
      <c r="AL14" s="5">
        <f>$C$13*(1-Params!$B$15)^(AL$2+1)</f>
        <v/>
      </c>
      <c r="AM14" s="5">
        <f>$C$13*(1-Params!$B$15)^(AM$2+1)</f>
        <v/>
      </c>
      <c r="AN14" s="5">
        <f>$C$13*(1-Params!$B$15)^(AN$2+1)</f>
        <v/>
      </c>
      <c r="AO14" s="5">
        <f>$C$13*(1-Params!$B$15)^(AO$2+1)</f>
        <v/>
      </c>
      <c r="AP14" s="5">
        <f>$C$13*(1-Params!$B$15)^(AP$2+1)</f>
        <v/>
      </c>
      <c r="AQ14" s="5">
        <f>$C$13*(1-Params!$B$15)^(AQ$2+1)</f>
        <v/>
      </c>
      <c r="AR14" s="5">
        <f>$C$13*(1-Params!$B$15)^(AR$2+1)</f>
        <v/>
      </c>
      <c r="AS14" s="5">
        <f>$C$13*(1-Params!$B$15)^(AS$2+1)</f>
        <v/>
      </c>
      <c r="AT14" s="5">
        <f>$C$13*(1-Params!$B$15)^(AT$2+1)</f>
        <v/>
      </c>
      <c r="AU14" s="5">
        <f>$C$13*(1-Params!$B$15)^(AU$2+1)</f>
        <v/>
      </c>
      <c r="AV14" s="5">
        <f>$C$13*(1-Params!$B$15)^(AV$2+1)</f>
        <v/>
      </c>
      <c r="AW14" s="5">
        <f>$C$13*(1-Params!$B$15)^(AW$2+1)</f>
        <v/>
      </c>
      <c r="AX14" s="5">
        <f>$C$13*(1-Params!$B$15)^(AX$2+1)</f>
        <v/>
      </c>
      <c r="AY14" s="5">
        <f>$C$13*(1-Params!$B$15)^(AY$2+1)</f>
        <v/>
      </c>
      <c r="AZ14" s="5">
        <f>$C$13*(1-Params!$B$15)^(AZ$2+1)</f>
        <v/>
      </c>
      <c r="BA14" s="5">
        <f>$C$13*(1-Params!$B$15)^(BA$2+1)</f>
        <v/>
      </c>
      <c r="BB14" s="5">
        <f>$C$13*(1-Params!$B$15)^(BB$2+1)</f>
        <v/>
      </c>
      <c r="BC14" s="5">
        <f>$C$13*(1-Params!$B$15)^(BC$2+1)</f>
        <v/>
      </c>
      <c r="BD14" s="5">
        <f>$C$13*(1-Params!$B$15)^(BD$2+1)</f>
        <v/>
      </c>
      <c r="BE14" s="5">
        <f>$C$13*(1-Params!$B$15)^(BE$2+1)</f>
        <v/>
      </c>
      <c r="BF14" s="5">
        <f>$C$13*(1-Params!$B$15)^(BF$2+1)</f>
        <v/>
      </c>
      <c r="BG14" s="5">
        <f>$C$13*(1-Params!$B$15)^(BG$2+1)</f>
        <v/>
      </c>
      <c r="BH14" s="5">
        <f>$C$13*(1-Params!$B$15)^(BH$2+1)</f>
        <v/>
      </c>
      <c r="BI14" s="5">
        <f>$C$13*(1-Params!$B$15)^(BI$2+1)</f>
        <v/>
      </c>
      <c r="BJ14" s="5">
        <f>$C$13*(1-Params!$B$15)^(BJ$2+1)</f>
        <v/>
      </c>
      <c r="BK14" s="5">
        <f>$C$13*(1-Params!$B$15)^(BK$2+1)</f>
        <v/>
      </c>
      <c r="BL14" s="5">
        <f>$C$13*(1-Params!$B$15)^(BL$2+1)</f>
        <v/>
      </c>
      <c r="BM14" s="5">
        <f>$C$13*(1-Params!$B$15)^(BM$2+1)</f>
        <v/>
      </c>
      <c r="BN14" s="5">
        <f>$C$13*(1-Params!$B$15)^(BN$2+1)</f>
        <v/>
      </c>
      <c r="BO14" s="5">
        <f>$C$13*(1-Params!$B$15)^(BO$2+1)</f>
        <v/>
      </c>
      <c r="BP14" s="5">
        <f>$C$13*(1-Params!$B$15)^(BP$2+1)</f>
        <v/>
      </c>
      <c r="BQ14" s="5">
        <f>$C$13*(1-Params!$B$15)^(BQ$2+1)</f>
        <v/>
      </c>
      <c r="BR14" s="5">
        <f>$C$13*(1-Params!$B$15)^(BR$2+1)</f>
        <v/>
      </c>
      <c r="BS14" s="5">
        <f>$C$13*(1-Params!$B$15)^(BS$2+1)</f>
        <v/>
      </c>
      <c r="BT14" s="5">
        <f>$C$13*(1-Params!$B$15)^(BT$2+1)</f>
        <v/>
      </c>
      <c r="BU14" s="5">
        <f>$C$13*(1-Params!$B$15)^(BU$2+1)</f>
        <v/>
      </c>
      <c r="BV14" s="5">
        <f>$C$13*(1-Params!$B$15)^(BV$2+1)</f>
        <v/>
      </c>
    </row>
    <row r="15">
      <c r="A15" t="inlineStr">
        <is>
          <t>churned</t>
        </is>
      </c>
      <c r="B15" t="inlineStr">
        <is>
          <t>US_CA|BASIC_M</t>
        </is>
      </c>
      <c r="C15" s="5">
        <f>$C$13-C14</f>
        <v/>
      </c>
      <c r="D15" s="5">
        <f>C14-D14</f>
        <v/>
      </c>
      <c r="E15" s="5">
        <f>D14-E14</f>
        <v/>
      </c>
      <c r="F15" s="5">
        <f>E14-F14</f>
        <v/>
      </c>
      <c r="G15" s="5">
        <f>F14-G14</f>
        <v/>
      </c>
      <c r="H15" s="5">
        <f>G14-H14</f>
        <v/>
      </c>
      <c r="I15" s="5">
        <f>H14-I14</f>
        <v/>
      </c>
      <c r="J15" s="5">
        <f>I14-J14</f>
        <v/>
      </c>
      <c r="K15" s="5">
        <f>J14-K14</f>
        <v/>
      </c>
      <c r="L15" s="5">
        <f>K14-L14</f>
        <v/>
      </c>
      <c r="M15" s="5">
        <f>L14-M14</f>
        <v/>
      </c>
      <c r="N15" s="5">
        <f>M14-N14</f>
        <v/>
      </c>
      <c r="O15" s="5">
        <f>N14-O14</f>
        <v/>
      </c>
      <c r="P15" s="5">
        <f>O14-P14</f>
        <v/>
      </c>
      <c r="Q15" s="5">
        <f>P14-Q14</f>
        <v/>
      </c>
      <c r="R15" s="5">
        <f>Q14-R14</f>
        <v/>
      </c>
      <c r="S15" s="5">
        <f>R14-S14</f>
        <v/>
      </c>
      <c r="T15" s="5">
        <f>S14-T14</f>
        <v/>
      </c>
      <c r="U15" s="5">
        <f>T14-U14</f>
        <v/>
      </c>
      <c r="V15" s="5">
        <f>U14-V14</f>
        <v/>
      </c>
      <c r="W15" s="5">
        <f>V14-W14</f>
        <v/>
      </c>
      <c r="X15" s="5">
        <f>W14-X14</f>
        <v/>
      </c>
      <c r="Y15" s="5">
        <f>X14-Y14</f>
        <v/>
      </c>
      <c r="Z15" s="5">
        <f>Y14-Z14</f>
        <v/>
      </c>
      <c r="AA15" s="5">
        <f>Z14-AA14</f>
        <v/>
      </c>
      <c r="AB15" s="5">
        <f>AA14-AB14</f>
        <v/>
      </c>
      <c r="AC15" s="5">
        <f>AB14-AC14</f>
        <v/>
      </c>
      <c r="AD15" s="5">
        <f>AC14-AD14</f>
        <v/>
      </c>
      <c r="AE15" s="5">
        <f>AD14-AE14</f>
        <v/>
      </c>
      <c r="AF15" s="5">
        <f>AE14-AF14</f>
        <v/>
      </c>
      <c r="AG15" s="5">
        <f>AF14-AG14</f>
        <v/>
      </c>
      <c r="AH15" s="5">
        <f>AG14-AH14</f>
        <v/>
      </c>
      <c r="AI15" s="5">
        <f>AH14-AI14</f>
        <v/>
      </c>
      <c r="AJ15" s="5">
        <f>AI14-AJ14</f>
        <v/>
      </c>
      <c r="AK15" s="5">
        <f>AJ14-AK14</f>
        <v/>
      </c>
      <c r="AL15" s="5">
        <f>AK14-AL14</f>
        <v/>
      </c>
      <c r="AM15" s="5">
        <f>AL14-AM14</f>
        <v/>
      </c>
      <c r="AN15" s="5">
        <f>AM14-AN14</f>
        <v/>
      </c>
      <c r="AO15" s="5">
        <f>AN14-AO14</f>
        <v/>
      </c>
      <c r="AP15" s="5">
        <f>AO14-AP14</f>
        <v/>
      </c>
      <c r="AQ15" s="5">
        <f>AP14-AQ14</f>
        <v/>
      </c>
      <c r="AR15" s="5">
        <f>AQ14-AR14</f>
        <v/>
      </c>
      <c r="AS15" s="5">
        <f>AR14-AS14</f>
        <v/>
      </c>
      <c r="AT15" s="5">
        <f>AS14-AT14</f>
        <v/>
      </c>
      <c r="AU15" s="5">
        <f>AT14-AU14</f>
        <v/>
      </c>
      <c r="AV15" s="5">
        <f>AU14-AV14</f>
        <v/>
      </c>
      <c r="AW15" s="5">
        <f>AV14-AW14</f>
        <v/>
      </c>
      <c r="AX15" s="5">
        <f>AW14-AX14</f>
        <v/>
      </c>
      <c r="AY15" s="5">
        <f>AX14-AY14</f>
        <v/>
      </c>
      <c r="AZ15" s="5">
        <f>AY14-AZ14</f>
        <v/>
      </c>
      <c r="BA15" s="5">
        <f>AZ14-BA14</f>
        <v/>
      </c>
      <c r="BB15" s="5">
        <f>BA14-BB14</f>
        <v/>
      </c>
      <c r="BC15" s="5">
        <f>BB14-BC14</f>
        <v/>
      </c>
      <c r="BD15" s="5">
        <f>BC14-BD14</f>
        <v/>
      </c>
      <c r="BE15" s="5">
        <f>BD14-BE14</f>
        <v/>
      </c>
      <c r="BF15" s="5">
        <f>BE14-BF14</f>
        <v/>
      </c>
      <c r="BG15" s="5">
        <f>BF14-BG14</f>
        <v/>
      </c>
      <c r="BH15" s="5">
        <f>BG14-BH14</f>
        <v/>
      </c>
      <c r="BI15" s="5">
        <f>BH14-BI14</f>
        <v/>
      </c>
      <c r="BJ15" s="5">
        <f>BI14-BJ14</f>
        <v/>
      </c>
      <c r="BK15" s="5">
        <f>BJ14-BK14</f>
        <v/>
      </c>
      <c r="BL15" s="5">
        <f>BK14-BL14</f>
        <v/>
      </c>
      <c r="BM15" s="5">
        <f>BL14-BM14</f>
        <v/>
      </c>
      <c r="BN15" s="5">
        <f>BM14-BN14</f>
        <v/>
      </c>
      <c r="BO15" s="5">
        <f>BN14-BO14</f>
        <v/>
      </c>
      <c r="BP15" s="5">
        <f>BO14-BP14</f>
        <v/>
      </c>
      <c r="BQ15" s="5">
        <f>BP14-BQ14</f>
        <v/>
      </c>
      <c r="BR15" s="5">
        <f>BQ14-BR14</f>
        <v/>
      </c>
      <c r="BS15" s="5">
        <f>BR14-BS14</f>
        <v/>
      </c>
      <c r="BT15" s="5">
        <f>BS14-BT14</f>
        <v/>
      </c>
      <c r="BU15" s="5">
        <f>BT14-BU14</f>
        <v/>
      </c>
      <c r="BV15" s="5">
        <f>BU14-BV14</f>
        <v/>
      </c>
    </row>
    <row r="17">
      <c r="A17" t="inlineStr">
        <is>
          <t>opening book (Jan 2025)</t>
        </is>
      </c>
      <c r="B17" t="inlineStr">
        <is>
          <t>US_CA|BASIC_A</t>
        </is>
      </c>
      <c r="C17" s="5">
        <f>Params!$B$14*Params!$B$72*Params!$B$99</f>
        <v/>
      </c>
    </row>
    <row r="18">
      <c r="A18" t="inlineStr">
        <is>
          <t>active</t>
        </is>
      </c>
      <c r="B18" t="inlineStr">
        <is>
          <t>US_CA|BASIC_A</t>
        </is>
      </c>
      <c r="C18" s="5">
        <f>$C$17*((MOD(C$2,12)+1)*Params!$B$42^(INT(C$2/12)+1)+(11-MOD(C$2,12))*Params!$B$42^INT(C$2/12))/12</f>
        <v/>
      </c>
      <c r="D18" s="5">
        <f>$C$17*((MOD(D$2,12)+1)*Params!$B$42^(INT(D$2/12)+1)+(11-MOD(D$2,12))*Params!$B$42^INT(D$2/12))/12</f>
        <v/>
      </c>
      <c r="E18" s="5">
        <f>$C$17*((MOD(E$2,12)+1)*Params!$B$42^(INT(E$2/12)+1)+(11-MOD(E$2,12))*Params!$B$42^INT(E$2/12))/12</f>
        <v/>
      </c>
      <c r="F18" s="5">
        <f>$C$17*((MOD(F$2,12)+1)*Params!$B$42^(INT(F$2/12)+1)+(11-MOD(F$2,12))*Params!$B$42^INT(F$2/12))/12</f>
        <v/>
      </c>
      <c r="G18" s="5">
        <f>$C$17*((MOD(G$2,12)+1)*Params!$B$42^(INT(G$2/12)+1)+(11-MOD(G$2,12))*Params!$B$42^INT(G$2/12))/12</f>
        <v/>
      </c>
      <c r="H18" s="5">
        <f>$C$17*((MOD(H$2,12)+1)*Params!$B$42^(INT(H$2/12)+1)+(11-MOD(H$2,12))*Params!$B$42^INT(H$2/12))/12</f>
        <v/>
      </c>
      <c r="I18" s="5">
        <f>$C$17*((MOD(I$2,12)+1)*Params!$B$42^(INT(I$2/12)+1)+(11-MOD(I$2,12))*Params!$B$42^INT(I$2/12))/12</f>
        <v/>
      </c>
      <c r="J18" s="5">
        <f>$C$17*((MOD(J$2,12)+1)*Params!$B$42^(INT(J$2/12)+1)+(11-MOD(J$2,12))*Params!$B$42^INT(J$2/12))/12</f>
        <v/>
      </c>
      <c r="K18" s="5">
        <f>$C$17*((MOD(K$2,12)+1)*Params!$B$42^(INT(K$2/12)+1)+(11-MOD(K$2,12))*Params!$B$42^INT(K$2/12))/12</f>
        <v/>
      </c>
      <c r="L18" s="5">
        <f>$C$17*((MOD(L$2,12)+1)*Params!$B$42^(INT(L$2/12)+1)+(11-MOD(L$2,12))*Params!$B$42^INT(L$2/12))/12</f>
        <v/>
      </c>
      <c r="M18" s="5">
        <f>$C$17*((MOD(M$2,12)+1)*Params!$B$42^(INT(M$2/12)+1)+(11-MOD(M$2,12))*Params!$B$42^INT(M$2/12))/12</f>
        <v/>
      </c>
      <c r="N18" s="5">
        <f>$C$17*((MOD(N$2,12)+1)*Params!$B$42^(INT(N$2/12)+1)+(11-MOD(N$2,12))*Params!$B$42^INT(N$2/12))/12</f>
        <v/>
      </c>
      <c r="O18" s="5">
        <f>$C$17*((MOD(O$2,12)+1)*Params!$B$42^(INT(O$2/12)+1)+(11-MOD(O$2,12))*Params!$B$42^INT(O$2/12))/12</f>
        <v/>
      </c>
      <c r="P18" s="5">
        <f>$C$17*((MOD(P$2,12)+1)*Params!$B$42^(INT(P$2/12)+1)+(11-MOD(P$2,12))*Params!$B$42^INT(P$2/12))/12</f>
        <v/>
      </c>
      <c r="Q18" s="5">
        <f>$C$17*((MOD(Q$2,12)+1)*Params!$B$42^(INT(Q$2/12)+1)+(11-MOD(Q$2,12))*Params!$B$42^INT(Q$2/12))/12</f>
        <v/>
      </c>
      <c r="R18" s="5">
        <f>$C$17*((MOD(R$2,12)+1)*Params!$B$42^(INT(R$2/12)+1)+(11-MOD(R$2,12))*Params!$B$42^INT(R$2/12))/12</f>
        <v/>
      </c>
      <c r="S18" s="5">
        <f>$C$17*((MOD(S$2,12)+1)*Params!$B$42^(INT(S$2/12)+1)+(11-MOD(S$2,12))*Params!$B$42^INT(S$2/12))/12</f>
        <v/>
      </c>
      <c r="T18" s="5">
        <f>$C$17*((MOD(T$2,12)+1)*Params!$B$42^(INT(T$2/12)+1)+(11-MOD(T$2,12))*Params!$B$42^INT(T$2/12))/12</f>
        <v/>
      </c>
      <c r="U18" s="5">
        <f>$C$17*((MOD(U$2,12)+1)*Params!$B$42^(INT(U$2/12)+1)+(11-MOD(U$2,12))*Params!$B$42^INT(U$2/12))/12</f>
        <v/>
      </c>
      <c r="V18" s="5">
        <f>$C$17*((MOD(V$2,12)+1)*Params!$B$42^(INT(V$2/12)+1)+(11-MOD(V$2,12))*Params!$B$42^INT(V$2/12))/12</f>
        <v/>
      </c>
      <c r="W18" s="5">
        <f>$C$17*((MOD(W$2,12)+1)*Params!$B$42^(INT(W$2/12)+1)+(11-MOD(W$2,12))*Params!$B$42^INT(W$2/12))/12</f>
        <v/>
      </c>
      <c r="X18" s="5">
        <f>$C$17*((MOD(X$2,12)+1)*Params!$B$42^(INT(X$2/12)+1)+(11-MOD(X$2,12))*Params!$B$42^INT(X$2/12))/12</f>
        <v/>
      </c>
      <c r="Y18" s="5">
        <f>$C$17*((MOD(Y$2,12)+1)*Params!$B$42^(INT(Y$2/12)+1)+(11-MOD(Y$2,12))*Params!$B$42^INT(Y$2/12))/12</f>
        <v/>
      </c>
      <c r="Z18" s="5">
        <f>$C$17*((MOD(Z$2,12)+1)*Params!$B$42^(INT(Z$2/12)+1)+(11-MOD(Z$2,12))*Params!$B$42^INT(Z$2/12))/12</f>
        <v/>
      </c>
      <c r="AA18" s="5">
        <f>$C$17*((MOD(AA$2,12)+1)*Params!$B$42^(INT(AA$2/12)+1)+(11-MOD(AA$2,12))*Params!$B$42^INT(AA$2/12))/12</f>
        <v/>
      </c>
      <c r="AB18" s="5">
        <f>$C$17*((MOD(AB$2,12)+1)*Params!$B$42^(INT(AB$2/12)+1)+(11-MOD(AB$2,12))*Params!$B$42^INT(AB$2/12))/12</f>
        <v/>
      </c>
      <c r="AC18" s="5">
        <f>$C$17*((MOD(AC$2,12)+1)*Params!$B$42^(INT(AC$2/12)+1)+(11-MOD(AC$2,12))*Params!$B$42^INT(AC$2/12))/12</f>
        <v/>
      </c>
      <c r="AD18" s="5">
        <f>$C$17*((MOD(AD$2,12)+1)*Params!$B$42^(INT(AD$2/12)+1)+(11-MOD(AD$2,12))*Params!$B$42^INT(AD$2/12))/12</f>
        <v/>
      </c>
      <c r="AE18" s="5">
        <f>$C$17*((MOD(AE$2,12)+1)*Params!$B$42^(INT(AE$2/12)+1)+(11-MOD(AE$2,12))*Params!$B$42^INT(AE$2/12))/12</f>
        <v/>
      </c>
      <c r="AF18" s="5">
        <f>$C$17*((MOD(AF$2,12)+1)*Params!$B$42^(INT(AF$2/12)+1)+(11-MOD(AF$2,12))*Params!$B$42^INT(AF$2/12))/12</f>
        <v/>
      </c>
      <c r="AG18" s="5">
        <f>$C$17*((MOD(AG$2,12)+1)*Params!$B$42^(INT(AG$2/12)+1)+(11-MOD(AG$2,12))*Params!$B$42^INT(AG$2/12))/12</f>
        <v/>
      </c>
      <c r="AH18" s="5">
        <f>$C$17*((MOD(AH$2,12)+1)*Params!$B$42^(INT(AH$2/12)+1)+(11-MOD(AH$2,12))*Params!$B$42^INT(AH$2/12))/12</f>
        <v/>
      </c>
      <c r="AI18" s="5">
        <f>$C$17*((MOD(AI$2,12)+1)*Params!$B$42^(INT(AI$2/12)+1)+(11-MOD(AI$2,12))*Params!$B$42^INT(AI$2/12))/12</f>
        <v/>
      </c>
      <c r="AJ18" s="5">
        <f>$C$17*((MOD(AJ$2,12)+1)*Params!$B$42^(INT(AJ$2/12)+1)+(11-MOD(AJ$2,12))*Params!$B$42^INT(AJ$2/12))/12</f>
        <v/>
      </c>
      <c r="AK18" s="5">
        <f>$C$17*((MOD(AK$2,12)+1)*Params!$B$42^(INT(AK$2/12)+1)+(11-MOD(AK$2,12))*Params!$B$42^INT(AK$2/12))/12</f>
        <v/>
      </c>
      <c r="AL18" s="5">
        <f>$C$17*((MOD(AL$2,12)+1)*Params!$B$42^(INT(AL$2/12)+1)+(11-MOD(AL$2,12))*Params!$B$42^INT(AL$2/12))/12</f>
        <v/>
      </c>
      <c r="AM18" s="5">
        <f>$C$17*((MOD(AM$2,12)+1)*Params!$B$42^(INT(AM$2/12)+1)+(11-MOD(AM$2,12))*Params!$B$42^INT(AM$2/12))/12</f>
        <v/>
      </c>
      <c r="AN18" s="5">
        <f>$C$17*((MOD(AN$2,12)+1)*Params!$B$42^(INT(AN$2/12)+1)+(11-MOD(AN$2,12))*Params!$B$42^INT(AN$2/12))/12</f>
        <v/>
      </c>
      <c r="AO18" s="5">
        <f>$C$17*((MOD(AO$2,12)+1)*Params!$B$42^(INT(AO$2/12)+1)+(11-MOD(AO$2,12))*Params!$B$42^INT(AO$2/12))/12</f>
        <v/>
      </c>
      <c r="AP18" s="5">
        <f>$C$17*((MOD(AP$2,12)+1)*Params!$B$42^(INT(AP$2/12)+1)+(11-MOD(AP$2,12))*Params!$B$42^INT(AP$2/12))/12</f>
        <v/>
      </c>
      <c r="AQ18" s="5">
        <f>$C$17*((MOD(AQ$2,12)+1)*Params!$B$42^(INT(AQ$2/12)+1)+(11-MOD(AQ$2,12))*Params!$B$42^INT(AQ$2/12))/12</f>
        <v/>
      </c>
      <c r="AR18" s="5">
        <f>$C$17*((MOD(AR$2,12)+1)*Params!$B$42^(INT(AR$2/12)+1)+(11-MOD(AR$2,12))*Params!$B$42^INT(AR$2/12))/12</f>
        <v/>
      </c>
      <c r="AS18" s="5">
        <f>$C$17*((MOD(AS$2,12)+1)*Params!$B$42^(INT(AS$2/12)+1)+(11-MOD(AS$2,12))*Params!$B$42^INT(AS$2/12))/12</f>
        <v/>
      </c>
      <c r="AT18" s="5">
        <f>$C$17*((MOD(AT$2,12)+1)*Params!$B$42^(INT(AT$2/12)+1)+(11-MOD(AT$2,12))*Params!$B$42^INT(AT$2/12))/12</f>
        <v/>
      </c>
      <c r="AU18" s="5">
        <f>$C$17*((MOD(AU$2,12)+1)*Params!$B$42^(INT(AU$2/12)+1)+(11-MOD(AU$2,12))*Params!$B$42^INT(AU$2/12))/12</f>
        <v/>
      </c>
      <c r="AV18" s="5">
        <f>$C$17*((MOD(AV$2,12)+1)*Params!$B$42^(INT(AV$2/12)+1)+(11-MOD(AV$2,12))*Params!$B$42^INT(AV$2/12))/12</f>
        <v/>
      </c>
      <c r="AW18" s="5">
        <f>$C$17*((MOD(AW$2,12)+1)*Params!$B$42^(INT(AW$2/12)+1)+(11-MOD(AW$2,12))*Params!$B$42^INT(AW$2/12))/12</f>
        <v/>
      </c>
      <c r="AX18" s="5">
        <f>$C$17*((MOD(AX$2,12)+1)*Params!$B$42^(INT(AX$2/12)+1)+(11-MOD(AX$2,12))*Params!$B$42^INT(AX$2/12))/12</f>
        <v/>
      </c>
      <c r="AY18" s="5">
        <f>$C$17*((MOD(AY$2,12)+1)*Params!$B$42^(INT(AY$2/12)+1)+(11-MOD(AY$2,12))*Params!$B$42^INT(AY$2/12))/12</f>
        <v/>
      </c>
      <c r="AZ18" s="5">
        <f>$C$17*((MOD(AZ$2,12)+1)*Params!$B$42^(INT(AZ$2/12)+1)+(11-MOD(AZ$2,12))*Params!$B$42^INT(AZ$2/12))/12</f>
        <v/>
      </c>
      <c r="BA18" s="5">
        <f>$C$17*((MOD(BA$2,12)+1)*Params!$B$42^(INT(BA$2/12)+1)+(11-MOD(BA$2,12))*Params!$B$42^INT(BA$2/12))/12</f>
        <v/>
      </c>
      <c r="BB18" s="5">
        <f>$C$17*((MOD(BB$2,12)+1)*Params!$B$42^(INT(BB$2/12)+1)+(11-MOD(BB$2,12))*Params!$B$42^INT(BB$2/12))/12</f>
        <v/>
      </c>
      <c r="BC18" s="5">
        <f>$C$17*((MOD(BC$2,12)+1)*Params!$B$42^(INT(BC$2/12)+1)+(11-MOD(BC$2,12))*Params!$B$42^INT(BC$2/12))/12</f>
        <v/>
      </c>
      <c r="BD18" s="5">
        <f>$C$17*((MOD(BD$2,12)+1)*Params!$B$42^(INT(BD$2/12)+1)+(11-MOD(BD$2,12))*Params!$B$42^INT(BD$2/12))/12</f>
        <v/>
      </c>
      <c r="BE18" s="5">
        <f>$C$17*((MOD(BE$2,12)+1)*Params!$B$42^(INT(BE$2/12)+1)+(11-MOD(BE$2,12))*Params!$B$42^INT(BE$2/12))/12</f>
        <v/>
      </c>
      <c r="BF18" s="5">
        <f>$C$17*((MOD(BF$2,12)+1)*Params!$B$42^(INT(BF$2/12)+1)+(11-MOD(BF$2,12))*Params!$B$42^INT(BF$2/12))/12</f>
        <v/>
      </c>
      <c r="BG18" s="5">
        <f>$C$17*((MOD(BG$2,12)+1)*Params!$B$42^(INT(BG$2/12)+1)+(11-MOD(BG$2,12))*Params!$B$42^INT(BG$2/12))/12</f>
        <v/>
      </c>
      <c r="BH18" s="5">
        <f>$C$17*((MOD(BH$2,12)+1)*Params!$B$42^(INT(BH$2/12)+1)+(11-MOD(BH$2,12))*Params!$B$42^INT(BH$2/12))/12</f>
        <v/>
      </c>
      <c r="BI18" s="5">
        <f>$C$17*((MOD(BI$2,12)+1)*Params!$B$42^(INT(BI$2/12)+1)+(11-MOD(BI$2,12))*Params!$B$42^INT(BI$2/12))/12</f>
        <v/>
      </c>
      <c r="BJ18" s="5">
        <f>$C$17*((MOD(BJ$2,12)+1)*Params!$B$42^(INT(BJ$2/12)+1)+(11-MOD(BJ$2,12))*Params!$B$42^INT(BJ$2/12))/12</f>
        <v/>
      </c>
      <c r="BK18" s="5">
        <f>$C$17*((MOD(BK$2,12)+1)*Params!$B$42^(INT(BK$2/12)+1)+(11-MOD(BK$2,12))*Params!$B$42^INT(BK$2/12))/12</f>
        <v/>
      </c>
      <c r="BL18" s="5">
        <f>$C$17*((MOD(BL$2,12)+1)*Params!$B$42^(INT(BL$2/12)+1)+(11-MOD(BL$2,12))*Params!$B$42^INT(BL$2/12))/12</f>
        <v/>
      </c>
      <c r="BM18" s="5">
        <f>$C$17*((MOD(BM$2,12)+1)*Params!$B$42^(INT(BM$2/12)+1)+(11-MOD(BM$2,12))*Params!$B$42^INT(BM$2/12))/12</f>
        <v/>
      </c>
      <c r="BN18" s="5">
        <f>$C$17*((MOD(BN$2,12)+1)*Params!$B$42^(INT(BN$2/12)+1)+(11-MOD(BN$2,12))*Params!$B$42^INT(BN$2/12))/12</f>
        <v/>
      </c>
      <c r="BO18" s="5">
        <f>$C$17*((MOD(BO$2,12)+1)*Params!$B$42^(INT(BO$2/12)+1)+(11-MOD(BO$2,12))*Params!$B$42^INT(BO$2/12))/12</f>
        <v/>
      </c>
      <c r="BP18" s="5">
        <f>$C$17*((MOD(BP$2,12)+1)*Params!$B$42^(INT(BP$2/12)+1)+(11-MOD(BP$2,12))*Params!$B$42^INT(BP$2/12))/12</f>
        <v/>
      </c>
      <c r="BQ18" s="5">
        <f>$C$17*((MOD(BQ$2,12)+1)*Params!$B$42^(INT(BQ$2/12)+1)+(11-MOD(BQ$2,12))*Params!$B$42^INT(BQ$2/12))/12</f>
        <v/>
      </c>
      <c r="BR18" s="5">
        <f>$C$17*((MOD(BR$2,12)+1)*Params!$B$42^(INT(BR$2/12)+1)+(11-MOD(BR$2,12))*Params!$B$42^INT(BR$2/12))/12</f>
        <v/>
      </c>
      <c r="BS18" s="5">
        <f>$C$17*((MOD(BS$2,12)+1)*Params!$B$42^(INT(BS$2/12)+1)+(11-MOD(BS$2,12))*Params!$B$42^INT(BS$2/12))/12</f>
        <v/>
      </c>
      <c r="BT18" s="5">
        <f>$C$17*((MOD(BT$2,12)+1)*Params!$B$42^(INT(BT$2/12)+1)+(11-MOD(BT$2,12))*Params!$B$42^INT(BT$2/12))/12</f>
        <v/>
      </c>
      <c r="BU18" s="5">
        <f>$C$17*((MOD(BU$2,12)+1)*Params!$B$42^(INT(BU$2/12)+1)+(11-MOD(BU$2,12))*Params!$B$42^INT(BU$2/12))/12</f>
        <v/>
      </c>
      <c r="BV18" s="5">
        <f>$C$17*((MOD(BV$2,12)+1)*Params!$B$42^(INT(BV$2/12)+1)+(11-MOD(BV$2,12))*Params!$B$42^INT(BV$2/12))/12</f>
        <v/>
      </c>
    </row>
    <row r="19">
      <c r="A19" t="inlineStr">
        <is>
          <t>churned</t>
        </is>
      </c>
      <c r="B19" t="inlineStr">
        <is>
          <t>US_CA|BASIC_A</t>
        </is>
      </c>
      <c r="C19" s="5">
        <f>$C$17-C18</f>
        <v/>
      </c>
      <c r="D19" s="5">
        <f>C18-D18</f>
        <v/>
      </c>
      <c r="E19" s="5">
        <f>D18-E18</f>
        <v/>
      </c>
      <c r="F19" s="5">
        <f>E18-F18</f>
        <v/>
      </c>
      <c r="G19" s="5">
        <f>F18-G18</f>
        <v/>
      </c>
      <c r="H19" s="5">
        <f>G18-H18</f>
        <v/>
      </c>
      <c r="I19" s="5">
        <f>H18-I18</f>
        <v/>
      </c>
      <c r="J19" s="5">
        <f>I18-J18</f>
        <v/>
      </c>
      <c r="K19" s="5">
        <f>J18-K18</f>
        <v/>
      </c>
      <c r="L19" s="5">
        <f>K18-L18</f>
        <v/>
      </c>
      <c r="M19" s="5">
        <f>L18-M18</f>
        <v/>
      </c>
      <c r="N19" s="5">
        <f>M18-N18</f>
        <v/>
      </c>
      <c r="O19" s="5">
        <f>N18-O18</f>
        <v/>
      </c>
      <c r="P19" s="5">
        <f>O18-P18</f>
        <v/>
      </c>
      <c r="Q19" s="5">
        <f>P18-Q18</f>
        <v/>
      </c>
      <c r="R19" s="5">
        <f>Q18-R18</f>
        <v/>
      </c>
      <c r="S19" s="5">
        <f>R18-S18</f>
        <v/>
      </c>
      <c r="T19" s="5">
        <f>S18-T18</f>
        <v/>
      </c>
      <c r="U19" s="5">
        <f>T18-U18</f>
        <v/>
      </c>
      <c r="V19" s="5">
        <f>U18-V18</f>
        <v/>
      </c>
      <c r="W19" s="5">
        <f>V18-W18</f>
        <v/>
      </c>
      <c r="X19" s="5">
        <f>W18-X18</f>
        <v/>
      </c>
      <c r="Y19" s="5">
        <f>X18-Y18</f>
        <v/>
      </c>
      <c r="Z19" s="5">
        <f>Y18-Z18</f>
        <v/>
      </c>
      <c r="AA19" s="5">
        <f>Z18-AA18</f>
        <v/>
      </c>
      <c r="AB19" s="5">
        <f>AA18-AB18</f>
        <v/>
      </c>
      <c r="AC19" s="5">
        <f>AB18-AC18</f>
        <v/>
      </c>
      <c r="AD19" s="5">
        <f>AC18-AD18</f>
        <v/>
      </c>
      <c r="AE19" s="5">
        <f>AD18-AE18</f>
        <v/>
      </c>
      <c r="AF19" s="5">
        <f>AE18-AF18</f>
        <v/>
      </c>
      <c r="AG19" s="5">
        <f>AF18-AG18</f>
        <v/>
      </c>
      <c r="AH19" s="5">
        <f>AG18-AH18</f>
        <v/>
      </c>
      <c r="AI19" s="5">
        <f>AH18-AI18</f>
        <v/>
      </c>
      <c r="AJ19" s="5">
        <f>AI18-AJ18</f>
        <v/>
      </c>
      <c r="AK19" s="5">
        <f>AJ18-AK18</f>
        <v/>
      </c>
      <c r="AL19" s="5">
        <f>AK18-AL18</f>
        <v/>
      </c>
      <c r="AM19" s="5">
        <f>AL18-AM18</f>
        <v/>
      </c>
      <c r="AN19" s="5">
        <f>AM18-AN18</f>
        <v/>
      </c>
      <c r="AO19" s="5">
        <f>AN18-AO18</f>
        <v/>
      </c>
      <c r="AP19" s="5">
        <f>AO18-AP18</f>
        <v/>
      </c>
      <c r="AQ19" s="5">
        <f>AP18-AQ18</f>
        <v/>
      </c>
      <c r="AR19" s="5">
        <f>AQ18-AR18</f>
        <v/>
      </c>
      <c r="AS19" s="5">
        <f>AR18-AS18</f>
        <v/>
      </c>
      <c r="AT19" s="5">
        <f>AS18-AT18</f>
        <v/>
      </c>
      <c r="AU19" s="5">
        <f>AT18-AU18</f>
        <v/>
      </c>
      <c r="AV19" s="5">
        <f>AU18-AV18</f>
        <v/>
      </c>
      <c r="AW19" s="5">
        <f>AV18-AW18</f>
        <v/>
      </c>
      <c r="AX19" s="5">
        <f>AW18-AX18</f>
        <v/>
      </c>
      <c r="AY19" s="5">
        <f>AX18-AY18</f>
        <v/>
      </c>
      <c r="AZ19" s="5">
        <f>AY18-AZ18</f>
        <v/>
      </c>
      <c r="BA19" s="5">
        <f>AZ18-BA18</f>
        <v/>
      </c>
      <c r="BB19" s="5">
        <f>BA18-BB18</f>
        <v/>
      </c>
      <c r="BC19" s="5">
        <f>BB18-BC18</f>
        <v/>
      </c>
      <c r="BD19" s="5">
        <f>BC18-BD18</f>
        <v/>
      </c>
      <c r="BE19" s="5">
        <f>BD18-BE18</f>
        <v/>
      </c>
      <c r="BF19" s="5">
        <f>BE18-BF18</f>
        <v/>
      </c>
      <c r="BG19" s="5">
        <f>BF18-BG18</f>
        <v/>
      </c>
      <c r="BH19" s="5">
        <f>BG18-BH18</f>
        <v/>
      </c>
      <c r="BI19" s="5">
        <f>BH18-BI18</f>
        <v/>
      </c>
      <c r="BJ19" s="5">
        <f>BI18-BJ18</f>
        <v/>
      </c>
      <c r="BK19" s="5">
        <f>BJ18-BK18</f>
        <v/>
      </c>
      <c r="BL19" s="5">
        <f>BK18-BL18</f>
        <v/>
      </c>
      <c r="BM19" s="5">
        <f>BL18-BM18</f>
        <v/>
      </c>
      <c r="BN19" s="5">
        <f>BM18-BN18</f>
        <v/>
      </c>
      <c r="BO19" s="5">
        <f>BN18-BO18</f>
        <v/>
      </c>
      <c r="BP19" s="5">
        <f>BO18-BP18</f>
        <v/>
      </c>
      <c r="BQ19" s="5">
        <f>BP18-BQ18</f>
        <v/>
      </c>
      <c r="BR19" s="5">
        <f>BQ18-BR18</f>
        <v/>
      </c>
      <c r="BS19" s="5">
        <f>BR18-BS18</f>
        <v/>
      </c>
      <c r="BT19" s="5">
        <f>BS18-BT18</f>
        <v/>
      </c>
      <c r="BU19" s="5">
        <f>BT18-BU18</f>
        <v/>
      </c>
      <c r="BV19" s="5">
        <f>BU18-BV18</f>
        <v/>
      </c>
    </row>
    <row r="21">
      <c r="A21" t="inlineStr">
        <is>
          <t>opening book (Jan 2025)</t>
        </is>
      </c>
      <c r="B21" t="inlineStr">
        <is>
          <t>EUROPE|NITRO_M</t>
        </is>
      </c>
      <c r="C21" s="5">
        <f>Params!$B$14*Params!$B$73*Params!$B$96</f>
        <v/>
      </c>
    </row>
    <row r="22">
      <c r="A22" t="inlineStr">
        <is>
          <t>active</t>
        </is>
      </c>
      <c r="B22" t="inlineStr">
        <is>
          <t>EUROPE|NITRO_M</t>
        </is>
      </c>
      <c r="C22" s="5">
        <f>$C$21*(1-Params!$B$15)^(C$2+1)</f>
        <v/>
      </c>
      <c r="D22" s="5">
        <f>$C$21*(1-Params!$B$15)^(D$2+1)</f>
        <v/>
      </c>
      <c r="E22" s="5">
        <f>$C$21*(1-Params!$B$15)^(E$2+1)</f>
        <v/>
      </c>
      <c r="F22" s="5">
        <f>$C$21*(1-Params!$B$15)^(F$2+1)</f>
        <v/>
      </c>
      <c r="G22" s="5">
        <f>$C$21*(1-Params!$B$15)^(G$2+1)</f>
        <v/>
      </c>
      <c r="H22" s="5">
        <f>$C$21*(1-Params!$B$15)^(H$2+1)</f>
        <v/>
      </c>
      <c r="I22" s="5">
        <f>$C$21*(1-Params!$B$15)^(I$2+1)</f>
        <v/>
      </c>
      <c r="J22" s="5">
        <f>$C$21*(1-Params!$B$15)^(J$2+1)</f>
        <v/>
      </c>
      <c r="K22" s="5">
        <f>$C$21*(1-Params!$B$15)^(K$2+1)</f>
        <v/>
      </c>
      <c r="L22" s="5">
        <f>$C$21*(1-Params!$B$15)^(L$2+1)</f>
        <v/>
      </c>
      <c r="M22" s="5">
        <f>$C$21*(1-Params!$B$15)^(M$2+1)</f>
        <v/>
      </c>
      <c r="N22" s="5">
        <f>$C$21*(1-Params!$B$15)^(N$2+1)</f>
        <v/>
      </c>
      <c r="O22" s="5">
        <f>$C$21*(1-Params!$B$15)^(O$2+1)</f>
        <v/>
      </c>
      <c r="P22" s="5">
        <f>$C$21*(1-Params!$B$15)^(P$2+1)</f>
        <v/>
      </c>
      <c r="Q22" s="5">
        <f>$C$21*(1-Params!$B$15)^(Q$2+1)</f>
        <v/>
      </c>
      <c r="R22" s="5">
        <f>$C$21*(1-Params!$B$15)^(R$2+1)</f>
        <v/>
      </c>
      <c r="S22" s="5">
        <f>$C$21*(1-Params!$B$15)^(S$2+1)</f>
        <v/>
      </c>
      <c r="T22" s="5">
        <f>$C$21*(1-Params!$B$15)^(T$2+1)</f>
        <v/>
      </c>
      <c r="U22" s="5">
        <f>$C$21*(1-Params!$B$15)^(U$2+1)</f>
        <v/>
      </c>
      <c r="V22" s="5">
        <f>$C$21*(1-Params!$B$15)^(V$2+1)</f>
        <v/>
      </c>
      <c r="W22" s="5">
        <f>$C$21*(1-Params!$B$15)^(W$2+1)</f>
        <v/>
      </c>
      <c r="X22" s="5">
        <f>$C$21*(1-Params!$B$15)^(X$2+1)</f>
        <v/>
      </c>
      <c r="Y22" s="5">
        <f>$C$21*(1-Params!$B$15)^(Y$2+1)</f>
        <v/>
      </c>
      <c r="Z22" s="5">
        <f>$C$21*(1-Params!$B$15)^(Z$2+1)</f>
        <v/>
      </c>
      <c r="AA22" s="5">
        <f>$C$21*(1-Params!$B$15)^(AA$2+1)</f>
        <v/>
      </c>
      <c r="AB22" s="5">
        <f>$C$21*(1-Params!$B$15)^(AB$2+1)</f>
        <v/>
      </c>
      <c r="AC22" s="5">
        <f>$C$21*(1-Params!$B$15)^(AC$2+1)</f>
        <v/>
      </c>
      <c r="AD22" s="5">
        <f>$C$21*(1-Params!$B$15)^(AD$2+1)</f>
        <v/>
      </c>
      <c r="AE22" s="5">
        <f>$C$21*(1-Params!$B$15)^(AE$2+1)</f>
        <v/>
      </c>
      <c r="AF22" s="5">
        <f>$C$21*(1-Params!$B$15)^(AF$2+1)</f>
        <v/>
      </c>
      <c r="AG22" s="5">
        <f>$C$21*(1-Params!$B$15)^(AG$2+1)</f>
        <v/>
      </c>
      <c r="AH22" s="5">
        <f>$C$21*(1-Params!$B$15)^(AH$2+1)</f>
        <v/>
      </c>
      <c r="AI22" s="5">
        <f>$C$21*(1-Params!$B$15)^(AI$2+1)</f>
        <v/>
      </c>
      <c r="AJ22" s="5">
        <f>$C$21*(1-Params!$B$15)^(AJ$2+1)</f>
        <v/>
      </c>
      <c r="AK22" s="5">
        <f>$C$21*(1-Params!$B$15)^(AK$2+1)</f>
        <v/>
      </c>
      <c r="AL22" s="5">
        <f>$C$21*(1-Params!$B$15)^(AL$2+1)</f>
        <v/>
      </c>
      <c r="AM22" s="5">
        <f>$C$21*(1-Params!$B$15)^(AM$2+1)</f>
        <v/>
      </c>
      <c r="AN22" s="5">
        <f>$C$21*(1-Params!$B$15)^(AN$2+1)</f>
        <v/>
      </c>
      <c r="AO22" s="5">
        <f>$C$21*(1-Params!$B$15)^(AO$2+1)</f>
        <v/>
      </c>
      <c r="AP22" s="5">
        <f>$C$21*(1-Params!$B$15)^(AP$2+1)</f>
        <v/>
      </c>
      <c r="AQ22" s="5">
        <f>$C$21*(1-Params!$B$15)^(AQ$2+1)</f>
        <v/>
      </c>
      <c r="AR22" s="5">
        <f>$C$21*(1-Params!$B$15)^(AR$2+1)</f>
        <v/>
      </c>
      <c r="AS22" s="5">
        <f>$C$21*(1-Params!$B$15)^(AS$2+1)</f>
        <v/>
      </c>
      <c r="AT22" s="5">
        <f>$C$21*(1-Params!$B$15)^(AT$2+1)</f>
        <v/>
      </c>
      <c r="AU22" s="5">
        <f>$C$21*(1-Params!$B$15)^(AU$2+1)</f>
        <v/>
      </c>
      <c r="AV22" s="5">
        <f>$C$21*(1-Params!$B$15)^(AV$2+1)</f>
        <v/>
      </c>
      <c r="AW22" s="5">
        <f>$C$21*(1-Params!$B$15)^(AW$2+1)</f>
        <v/>
      </c>
      <c r="AX22" s="5">
        <f>$C$21*(1-Params!$B$15)^(AX$2+1)</f>
        <v/>
      </c>
      <c r="AY22" s="5">
        <f>$C$21*(1-Params!$B$15)^(AY$2+1)</f>
        <v/>
      </c>
      <c r="AZ22" s="5">
        <f>$C$21*(1-Params!$B$15)^(AZ$2+1)</f>
        <v/>
      </c>
      <c r="BA22" s="5">
        <f>$C$21*(1-Params!$B$15)^(BA$2+1)</f>
        <v/>
      </c>
      <c r="BB22" s="5">
        <f>$C$21*(1-Params!$B$15)^(BB$2+1)</f>
        <v/>
      </c>
      <c r="BC22" s="5">
        <f>$C$21*(1-Params!$B$15)^(BC$2+1)</f>
        <v/>
      </c>
      <c r="BD22" s="5">
        <f>$C$21*(1-Params!$B$15)^(BD$2+1)</f>
        <v/>
      </c>
      <c r="BE22" s="5">
        <f>$C$21*(1-Params!$B$15)^(BE$2+1)</f>
        <v/>
      </c>
      <c r="BF22" s="5">
        <f>$C$21*(1-Params!$B$15)^(BF$2+1)</f>
        <v/>
      </c>
      <c r="BG22" s="5">
        <f>$C$21*(1-Params!$B$15)^(BG$2+1)</f>
        <v/>
      </c>
      <c r="BH22" s="5">
        <f>$C$21*(1-Params!$B$15)^(BH$2+1)</f>
        <v/>
      </c>
      <c r="BI22" s="5">
        <f>$C$21*(1-Params!$B$15)^(BI$2+1)</f>
        <v/>
      </c>
      <c r="BJ22" s="5">
        <f>$C$21*(1-Params!$B$15)^(BJ$2+1)</f>
        <v/>
      </c>
      <c r="BK22" s="5">
        <f>$C$21*(1-Params!$B$15)^(BK$2+1)</f>
        <v/>
      </c>
      <c r="BL22" s="5">
        <f>$C$21*(1-Params!$B$15)^(BL$2+1)</f>
        <v/>
      </c>
      <c r="BM22" s="5">
        <f>$C$21*(1-Params!$B$15)^(BM$2+1)</f>
        <v/>
      </c>
      <c r="BN22" s="5">
        <f>$C$21*(1-Params!$B$15)^(BN$2+1)</f>
        <v/>
      </c>
      <c r="BO22" s="5">
        <f>$C$21*(1-Params!$B$15)^(BO$2+1)</f>
        <v/>
      </c>
      <c r="BP22" s="5">
        <f>$C$21*(1-Params!$B$15)^(BP$2+1)</f>
        <v/>
      </c>
      <c r="BQ22" s="5">
        <f>$C$21*(1-Params!$B$15)^(BQ$2+1)</f>
        <v/>
      </c>
      <c r="BR22" s="5">
        <f>$C$21*(1-Params!$B$15)^(BR$2+1)</f>
        <v/>
      </c>
      <c r="BS22" s="5">
        <f>$C$21*(1-Params!$B$15)^(BS$2+1)</f>
        <v/>
      </c>
      <c r="BT22" s="5">
        <f>$C$21*(1-Params!$B$15)^(BT$2+1)</f>
        <v/>
      </c>
      <c r="BU22" s="5">
        <f>$C$21*(1-Params!$B$15)^(BU$2+1)</f>
        <v/>
      </c>
      <c r="BV22" s="5">
        <f>$C$21*(1-Params!$B$15)^(BV$2+1)</f>
        <v/>
      </c>
    </row>
    <row r="23">
      <c r="A23" t="inlineStr">
        <is>
          <t>churned</t>
        </is>
      </c>
      <c r="B23" t="inlineStr">
        <is>
          <t>EUROPE|NITRO_M</t>
        </is>
      </c>
      <c r="C23" s="5">
        <f>$C$21-C22</f>
        <v/>
      </c>
      <c r="D23" s="5">
        <f>C22-D22</f>
        <v/>
      </c>
      <c r="E23" s="5">
        <f>D22-E22</f>
        <v/>
      </c>
      <c r="F23" s="5">
        <f>E22-F22</f>
        <v/>
      </c>
      <c r="G23" s="5">
        <f>F22-G22</f>
        <v/>
      </c>
      <c r="H23" s="5">
        <f>G22-H22</f>
        <v/>
      </c>
      <c r="I23" s="5">
        <f>H22-I22</f>
        <v/>
      </c>
      <c r="J23" s="5">
        <f>I22-J22</f>
        <v/>
      </c>
      <c r="K23" s="5">
        <f>J22-K22</f>
        <v/>
      </c>
      <c r="L23" s="5">
        <f>K22-L22</f>
        <v/>
      </c>
      <c r="M23" s="5">
        <f>L22-M22</f>
        <v/>
      </c>
      <c r="N23" s="5">
        <f>M22-N22</f>
        <v/>
      </c>
      <c r="O23" s="5">
        <f>N22-O22</f>
        <v/>
      </c>
      <c r="P23" s="5">
        <f>O22-P22</f>
        <v/>
      </c>
      <c r="Q23" s="5">
        <f>P22-Q22</f>
        <v/>
      </c>
      <c r="R23" s="5">
        <f>Q22-R22</f>
        <v/>
      </c>
      <c r="S23" s="5">
        <f>R22-S22</f>
        <v/>
      </c>
      <c r="T23" s="5">
        <f>S22-T22</f>
        <v/>
      </c>
      <c r="U23" s="5">
        <f>T22-U22</f>
        <v/>
      </c>
      <c r="V23" s="5">
        <f>U22-V22</f>
        <v/>
      </c>
      <c r="W23" s="5">
        <f>V22-W22</f>
        <v/>
      </c>
      <c r="X23" s="5">
        <f>W22-X22</f>
        <v/>
      </c>
      <c r="Y23" s="5">
        <f>X22-Y22</f>
        <v/>
      </c>
      <c r="Z23" s="5">
        <f>Y22-Z22</f>
        <v/>
      </c>
      <c r="AA23" s="5">
        <f>Z22-AA22</f>
        <v/>
      </c>
      <c r="AB23" s="5">
        <f>AA22-AB22</f>
        <v/>
      </c>
      <c r="AC23" s="5">
        <f>AB22-AC22</f>
        <v/>
      </c>
      <c r="AD23" s="5">
        <f>AC22-AD22</f>
        <v/>
      </c>
      <c r="AE23" s="5">
        <f>AD22-AE22</f>
        <v/>
      </c>
      <c r="AF23" s="5">
        <f>AE22-AF22</f>
        <v/>
      </c>
      <c r="AG23" s="5">
        <f>AF22-AG22</f>
        <v/>
      </c>
      <c r="AH23" s="5">
        <f>AG22-AH22</f>
        <v/>
      </c>
      <c r="AI23" s="5">
        <f>AH22-AI22</f>
        <v/>
      </c>
      <c r="AJ23" s="5">
        <f>AI22-AJ22</f>
        <v/>
      </c>
      <c r="AK23" s="5">
        <f>AJ22-AK22</f>
        <v/>
      </c>
      <c r="AL23" s="5">
        <f>AK22-AL22</f>
        <v/>
      </c>
      <c r="AM23" s="5">
        <f>AL22-AM22</f>
        <v/>
      </c>
      <c r="AN23" s="5">
        <f>AM22-AN22</f>
        <v/>
      </c>
      <c r="AO23" s="5">
        <f>AN22-AO22</f>
        <v/>
      </c>
      <c r="AP23" s="5">
        <f>AO22-AP22</f>
        <v/>
      </c>
      <c r="AQ23" s="5">
        <f>AP22-AQ22</f>
        <v/>
      </c>
      <c r="AR23" s="5">
        <f>AQ22-AR22</f>
        <v/>
      </c>
      <c r="AS23" s="5">
        <f>AR22-AS22</f>
        <v/>
      </c>
      <c r="AT23" s="5">
        <f>AS22-AT22</f>
        <v/>
      </c>
      <c r="AU23" s="5">
        <f>AT22-AU22</f>
        <v/>
      </c>
      <c r="AV23" s="5">
        <f>AU22-AV22</f>
        <v/>
      </c>
      <c r="AW23" s="5">
        <f>AV22-AW22</f>
        <v/>
      </c>
      <c r="AX23" s="5">
        <f>AW22-AX22</f>
        <v/>
      </c>
      <c r="AY23" s="5">
        <f>AX22-AY22</f>
        <v/>
      </c>
      <c r="AZ23" s="5">
        <f>AY22-AZ22</f>
        <v/>
      </c>
      <c r="BA23" s="5">
        <f>AZ22-BA22</f>
        <v/>
      </c>
      <c r="BB23" s="5">
        <f>BA22-BB22</f>
        <v/>
      </c>
      <c r="BC23" s="5">
        <f>BB22-BC22</f>
        <v/>
      </c>
      <c r="BD23" s="5">
        <f>BC22-BD22</f>
        <v/>
      </c>
      <c r="BE23" s="5">
        <f>BD22-BE22</f>
        <v/>
      </c>
      <c r="BF23" s="5">
        <f>BE22-BF22</f>
        <v/>
      </c>
      <c r="BG23" s="5">
        <f>BF22-BG22</f>
        <v/>
      </c>
      <c r="BH23" s="5">
        <f>BG22-BH22</f>
        <v/>
      </c>
      <c r="BI23" s="5">
        <f>BH22-BI22</f>
        <v/>
      </c>
      <c r="BJ23" s="5">
        <f>BI22-BJ22</f>
        <v/>
      </c>
      <c r="BK23" s="5">
        <f>BJ22-BK22</f>
        <v/>
      </c>
      <c r="BL23" s="5">
        <f>BK22-BL22</f>
        <v/>
      </c>
      <c r="BM23" s="5">
        <f>BL22-BM22</f>
        <v/>
      </c>
      <c r="BN23" s="5">
        <f>BM22-BN22</f>
        <v/>
      </c>
      <c r="BO23" s="5">
        <f>BN22-BO22</f>
        <v/>
      </c>
      <c r="BP23" s="5">
        <f>BO22-BP22</f>
        <v/>
      </c>
      <c r="BQ23" s="5">
        <f>BP22-BQ22</f>
        <v/>
      </c>
      <c r="BR23" s="5">
        <f>BQ22-BR22</f>
        <v/>
      </c>
      <c r="BS23" s="5">
        <f>BR22-BS22</f>
        <v/>
      </c>
      <c r="BT23" s="5">
        <f>BS22-BT22</f>
        <v/>
      </c>
      <c r="BU23" s="5">
        <f>BT22-BU22</f>
        <v/>
      </c>
      <c r="BV23" s="5">
        <f>BU22-BV22</f>
        <v/>
      </c>
    </row>
    <row r="25">
      <c r="A25" t="inlineStr">
        <is>
          <t>opening book (Jan 2025)</t>
        </is>
      </c>
      <c r="B25" t="inlineStr">
        <is>
          <t>EUROPE|NITRO_A</t>
        </is>
      </c>
      <c r="C25" s="5">
        <f>Params!$B$14*Params!$B$73*Params!$B$97</f>
        <v/>
      </c>
    </row>
    <row r="26">
      <c r="A26" t="inlineStr">
        <is>
          <t>active</t>
        </is>
      </c>
      <c r="B26" t="inlineStr">
        <is>
          <t>EUROPE|NITRO_A</t>
        </is>
      </c>
      <c r="C26" s="5">
        <f>$C$25*((MOD(C$2,12)+1)*Params!$B$42^(INT(C$2/12)+1)+(11-MOD(C$2,12))*Params!$B$42^INT(C$2/12))/12</f>
        <v/>
      </c>
      <c r="D26" s="5">
        <f>$C$25*((MOD(D$2,12)+1)*Params!$B$42^(INT(D$2/12)+1)+(11-MOD(D$2,12))*Params!$B$42^INT(D$2/12))/12</f>
        <v/>
      </c>
      <c r="E26" s="5">
        <f>$C$25*((MOD(E$2,12)+1)*Params!$B$42^(INT(E$2/12)+1)+(11-MOD(E$2,12))*Params!$B$42^INT(E$2/12))/12</f>
        <v/>
      </c>
      <c r="F26" s="5">
        <f>$C$25*((MOD(F$2,12)+1)*Params!$B$42^(INT(F$2/12)+1)+(11-MOD(F$2,12))*Params!$B$42^INT(F$2/12))/12</f>
        <v/>
      </c>
      <c r="G26" s="5">
        <f>$C$25*((MOD(G$2,12)+1)*Params!$B$42^(INT(G$2/12)+1)+(11-MOD(G$2,12))*Params!$B$42^INT(G$2/12))/12</f>
        <v/>
      </c>
      <c r="H26" s="5">
        <f>$C$25*((MOD(H$2,12)+1)*Params!$B$42^(INT(H$2/12)+1)+(11-MOD(H$2,12))*Params!$B$42^INT(H$2/12))/12</f>
        <v/>
      </c>
      <c r="I26" s="5">
        <f>$C$25*((MOD(I$2,12)+1)*Params!$B$42^(INT(I$2/12)+1)+(11-MOD(I$2,12))*Params!$B$42^INT(I$2/12))/12</f>
        <v/>
      </c>
      <c r="J26" s="5">
        <f>$C$25*((MOD(J$2,12)+1)*Params!$B$42^(INT(J$2/12)+1)+(11-MOD(J$2,12))*Params!$B$42^INT(J$2/12))/12</f>
        <v/>
      </c>
      <c r="K26" s="5">
        <f>$C$25*((MOD(K$2,12)+1)*Params!$B$42^(INT(K$2/12)+1)+(11-MOD(K$2,12))*Params!$B$42^INT(K$2/12))/12</f>
        <v/>
      </c>
      <c r="L26" s="5">
        <f>$C$25*((MOD(L$2,12)+1)*Params!$B$42^(INT(L$2/12)+1)+(11-MOD(L$2,12))*Params!$B$42^INT(L$2/12))/12</f>
        <v/>
      </c>
      <c r="M26" s="5">
        <f>$C$25*((MOD(M$2,12)+1)*Params!$B$42^(INT(M$2/12)+1)+(11-MOD(M$2,12))*Params!$B$42^INT(M$2/12))/12</f>
        <v/>
      </c>
      <c r="N26" s="5">
        <f>$C$25*((MOD(N$2,12)+1)*Params!$B$42^(INT(N$2/12)+1)+(11-MOD(N$2,12))*Params!$B$42^INT(N$2/12))/12</f>
        <v/>
      </c>
      <c r="O26" s="5">
        <f>$C$25*((MOD(O$2,12)+1)*Params!$B$42^(INT(O$2/12)+1)+(11-MOD(O$2,12))*Params!$B$42^INT(O$2/12))/12</f>
        <v/>
      </c>
      <c r="P26" s="5">
        <f>$C$25*((MOD(P$2,12)+1)*Params!$B$42^(INT(P$2/12)+1)+(11-MOD(P$2,12))*Params!$B$42^INT(P$2/12))/12</f>
        <v/>
      </c>
      <c r="Q26" s="5">
        <f>$C$25*((MOD(Q$2,12)+1)*Params!$B$42^(INT(Q$2/12)+1)+(11-MOD(Q$2,12))*Params!$B$42^INT(Q$2/12))/12</f>
        <v/>
      </c>
      <c r="R26" s="5">
        <f>$C$25*((MOD(R$2,12)+1)*Params!$B$42^(INT(R$2/12)+1)+(11-MOD(R$2,12))*Params!$B$42^INT(R$2/12))/12</f>
        <v/>
      </c>
      <c r="S26" s="5">
        <f>$C$25*((MOD(S$2,12)+1)*Params!$B$42^(INT(S$2/12)+1)+(11-MOD(S$2,12))*Params!$B$42^INT(S$2/12))/12</f>
        <v/>
      </c>
      <c r="T26" s="5">
        <f>$C$25*((MOD(T$2,12)+1)*Params!$B$42^(INT(T$2/12)+1)+(11-MOD(T$2,12))*Params!$B$42^INT(T$2/12))/12</f>
        <v/>
      </c>
      <c r="U26" s="5">
        <f>$C$25*((MOD(U$2,12)+1)*Params!$B$42^(INT(U$2/12)+1)+(11-MOD(U$2,12))*Params!$B$42^INT(U$2/12))/12</f>
        <v/>
      </c>
      <c r="V26" s="5">
        <f>$C$25*((MOD(V$2,12)+1)*Params!$B$42^(INT(V$2/12)+1)+(11-MOD(V$2,12))*Params!$B$42^INT(V$2/12))/12</f>
        <v/>
      </c>
      <c r="W26" s="5">
        <f>$C$25*((MOD(W$2,12)+1)*Params!$B$42^(INT(W$2/12)+1)+(11-MOD(W$2,12))*Params!$B$42^INT(W$2/12))/12</f>
        <v/>
      </c>
      <c r="X26" s="5">
        <f>$C$25*((MOD(X$2,12)+1)*Params!$B$42^(INT(X$2/12)+1)+(11-MOD(X$2,12))*Params!$B$42^INT(X$2/12))/12</f>
        <v/>
      </c>
      <c r="Y26" s="5">
        <f>$C$25*((MOD(Y$2,12)+1)*Params!$B$42^(INT(Y$2/12)+1)+(11-MOD(Y$2,12))*Params!$B$42^INT(Y$2/12))/12</f>
        <v/>
      </c>
      <c r="Z26" s="5">
        <f>$C$25*((MOD(Z$2,12)+1)*Params!$B$42^(INT(Z$2/12)+1)+(11-MOD(Z$2,12))*Params!$B$42^INT(Z$2/12))/12</f>
        <v/>
      </c>
      <c r="AA26" s="5">
        <f>$C$25*((MOD(AA$2,12)+1)*Params!$B$42^(INT(AA$2/12)+1)+(11-MOD(AA$2,12))*Params!$B$42^INT(AA$2/12))/12</f>
        <v/>
      </c>
      <c r="AB26" s="5">
        <f>$C$25*((MOD(AB$2,12)+1)*Params!$B$42^(INT(AB$2/12)+1)+(11-MOD(AB$2,12))*Params!$B$42^INT(AB$2/12))/12</f>
        <v/>
      </c>
      <c r="AC26" s="5">
        <f>$C$25*((MOD(AC$2,12)+1)*Params!$B$42^(INT(AC$2/12)+1)+(11-MOD(AC$2,12))*Params!$B$42^INT(AC$2/12))/12</f>
        <v/>
      </c>
      <c r="AD26" s="5">
        <f>$C$25*((MOD(AD$2,12)+1)*Params!$B$42^(INT(AD$2/12)+1)+(11-MOD(AD$2,12))*Params!$B$42^INT(AD$2/12))/12</f>
        <v/>
      </c>
      <c r="AE26" s="5">
        <f>$C$25*((MOD(AE$2,12)+1)*Params!$B$42^(INT(AE$2/12)+1)+(11-MOD(AE$2,12))*Params!$B$42^INT(AE$2/12))/12</f>
        <v/>
      </c>
      <c r="AF26" s="5">
        <f>$C$25*((MOD(AF$2,12)+1)*Params!$B$42^(INT(AF$2/12)+1)+(11-MOD(AF$2,12))*Params!$B$42^INT(AF$2/12))/12</f>
        <v/>
      </c>
      <c r="AG26" s="5">
        <f>$C$25*((MOD(AG$2,12)+1)*Params!$B$42^(INT(AG$2/12)+1)+(11-MOD(AG$2,12))*Params!$B$42^INT(AG$2/12))/12</f>
        <v/>
      </c>
      <c r="AH26" s="5">
        <f>$C$25*((MOD(AH$2,12)+1)*Params!$B$42^(INT(AH$2/12)+1)+(11-MOD(AH$2,12))*Params!$B$42^INT(AH$2/12))/12</f>
        <v/>
      </c>
      <c r="AI26" s="5">
        <f>$C$25*((MOD(AI$2,12)+1)*Params!$B$42^(INT(AI$2/12)+1)+(11-MOD(AI$2,12))*Params!$B$42^INT(AI$2/12))/12</f>
        <v/>
      </c>
      <c r="AJ26" s="5">
        <f>$C$25*((MOD(AJ$2,12)+1)*Params!$B$42^(INT(AJ$2/12)+1)+(11-MOD(AJ$2,12))*Params!$B$42^INT(AJ$2/12))/12</f>
        <v/>
      </c>
      <c r="AK26" s="5">
        <f>$C$25*((MOD(AK$2,12)+1)*Params!$B$42^(INT(AK$2/12)+1)+(11-MOD(AK$2,12))*Params!$B$42^INT(AK$2/12))/12</f>
        <v/>
      </c>
      <c r="AL26" s="5">
        <f>$C$25*((MOD(AL$2,12)+1)*Params!$B$42^(INT(AL$2/12)+1)+(11-MOD(AL$2,12))*Params!$B$42^INT(AL$2/12))/12</f>
        <v/>
      </c>
      <c r="AM26" s="5">
        <f>$C$25*((MOD(AM$2,12)+1)*Params!$B$42^(INT(AM$2/12)+1)+(11-MOD(AM$2,12))*Params!$B$42^INT(AM$2/12))/12</f>
        <v/>
      </c>
      <c r="AN26" s="5">
        <f>$C$25*((MOD(AN$2,12)+1)*Params!$B$42^(INT(AN$2/12)+1)+(11-MOD(AN$2,12))*Params!$B$42^INT(AN$2/12))/12</f>
        <v/>
      </c>
      <c r="AO26" s="5">
        <f>$C$25*((MOD(AO$2,12)+1)*Params!$B$42^(INT(AO$2/12)+1)+(11-MOD(AO$2,12))*Params!$B$42^INT(AO$2/12))/12</f>
        <v/>
      </c>
      <c r="AP26" s="5">
        <f>$C$25*((MOD(AP$2,12)+1)*Params!$B$42^(INT(AP$2/12)+1)+(11-MOD(AP$2,12))*Params!$B$42^INT(AP$2/12))/12</f>
        <v/>
      </c>
      <c r="AQ26" s="5">
        <f>$C$25*((MOD(AQ$2,12)+1)*Params!$B$42^(INT(AQ$2/12)+1)+(11-MOD(AQ$2,12))*Params!$B$42^INT(AQ$2/12))/12</f>
        <v/>
      </c>
      <c r="AR26" s="5">
        <f>$C$25*((MOD(AR$2,12)+1)*Params!$B$42^(INT(AR$2/12)+1)+(11-MOD(AR$2,12))*Params!$B$42^INT(AR$2/12))/12</f>
        <v/>
      </c>
      <c r="AS26" s="5">
        <f>$C$25*((MOD(AS$2,12)+1)*Params!$B$42^(INT(AS$2/12)+1)+(11-MOD(AS$2,12))*Params!$B$42^INT(AS$2/12))/12</f>
        <v/>
      </c>
      <c r="AT26" s="5">
        <f>$C$25*((MOD(AT$2,12)+1)*Params!$B$42^(INT(AT$2/12)+1)+(11-MOD(AT$2,12))*Params!$B$42^INT(AT$2/12))/12</f>
        <v/>
      </c>
      <c r="AU26" s="5">
        <f>$C$25*((MOD(AU$2,12)+1)*Params!$B$42^(INT(AU$2/12)+1)+(11-MOD(AU$2,12))*Params!$B$42^INT(AU$2/12))/12</f>
        <v/>
      </c>
      <c r="AV26" s="5">
        <f>$C$25*((MOD(AV$2,12)+1)*Params!$B$42^(INT(AV$2/12)+1)+(11-MOD(AV$2,12))*Params!$B$42^INT(AV$2/12))/12</f>
        <v/>
      </c>
      <c r="AW26" s="5">
        <f>$C$25*((MOD(AW$2,12)+1)*Params!$B$42^(INT(AW$2/12)+1)+(11-MOD(AW$2,12))*Params!$B$42^INT(AW$2/12))/12</f>
        <v/>
      </c>
      <c r="AX26" s="5">
        <f>$C$25*((MOD(AX$2,12)+1)*Params!$B$42^(INT(AX$2/12)+1)+(11-MOD(AX$2,12))*Params!$B$42^INT(AX$2/12))/12</f>
        <v/>
      </c>
      <c r="AY26" s="5">
        <f>$C$25*((MOD(AY$2,12)+1)*Params!$B$42^(INT(AY$2/12)+1)+(11-MOD(AY$2,12))*Params!$B$42^INT(AY$2/12))/12</f>
        <v/>
      </c>
      <c r="AZ26" s="5">
        <f>$C$25*((MOD(AZ$2,12)+1)*Params!$B$42^(INT(AZ$2/12)+1)+(11-MOD(AZ$2,12))*Params!$B$42^INT(AZ$2/12))/12</f>
        <v/>
      </c>
      <c r="BA26" s="5">
        <f>$C$25*((MOD(BA$2,12)+1)*Params!$B$42^(INT(BA$2/12)+1)+(11-MOD(BA$2,12))*Params!$B$42^INT(BA$2/12))/12</f>
        <v/>
      </c>
      <c r="BB26" s="5">
        <f>$C$25*((MOD(BB$2,12)+1)*Params!$B$42^(INT(BB$2/12)+1)+(11-MOD(BB$2,12))*Params!$B$42^INT(BB$2/12))/12</f>
        <v/>
      </c>
      <c r="BC26" s="5">
        <f>$C$25*((MOD(BC$2,12)+1)*Params!$B$42^(INT(BC$2/12)+1)+(11-MOD(BC$2,12))*Params!$B$42^INT(BC$2/12))/12</f>
        <v/>
      </c>
      <c r="BD26" s="5">
        <f>$C$25*((MOD(BD$2,12)+1)*Params!$B$42^(INT(BD$2/12)+1)+(11-MOD(BD$2,12))*Params!$B$42^INT(BD$2/12))/12</f>
        <v/>
      </c>
      <c r="BE26" s="5">
        <f>$C$25*((MOD(BE$2,12)+1)*Params!$B$42^(INT(BE$2/12)+1)+(11-MOD(BE$2,12))*Params!$B$42^INT(BE$2/12))/12</f>
        <v/>
      </c>
      <c r="BF26" s="5">
        <f>$C$25*((MOD(BF$2,12)+1)*Params!$B$42^(INT(BF$2/12)+1)+(11-MOD(BF$2,12))*Params!$B$42^INT(BF$2/12))/12</f>
        <v/>
      </c>
      <c r="BG26" s="5">
        <f>$C$25*((MOD(BG$2,12)+1)*Params!$B$42^(INT(BG$2/12)+1)+(11-MOD(BG$2,12))*Params!$B$42^INT(BG$2/12))/12</f>
        <v/>
      </c>
      <c r="BH26" s="5">
        <f>$C$25*((MOD(BH$2,12)+1)*Params!$B$42^(INT(BH$2/12)+1)+(11-MOD(BH$2,12))*Params!$B$42^INT(BH$2/12))/12</f>
        <v/>
      </c>
      <c r="BI26" s="5">
        <f>$C$25*((MOD(BI$2,12)+1)*Params!$B$42^(INT(BI$2/12)+1)+(11-MOD(BI$2,12))*Params!$B$42^INT(BI$2/12))/12</f>
        <v/>
      </c>
      <c r="BJ26" s="5">
        <f>$C$25*((MOD(BJ$2,12)+1)*Params!$B$42^(INT(BJ$2/12)+1)+(11-MOD(BJ$2,12))*Params!$B$42^INT(BJ$2/12))/12</f>
        <v/>
      </c>
      <c r="BK26" s="5">
        <f>$C$25*((MOD(BK$2,12)+1)*Params!$B$42^(INT(BK$2/12)+1)+(11-MOD(BK$2,12))*Params!$B$42^INT(BK$2/12))/12</f>
        <v/>
      </c>
      <c r="BL26" s="5">
        <f>$C$25*((MOD(BL$2,12)+1)*Params!$B$42^(INT(BL$2/12)+1)+(11-MOD(BL$2,12))*Params!$B$42^INT(BL$2/12))/12</f>
        <v/>
      </c>
      <c r="BM26" s="5">
        <f>$C$25*((MOD(BM$2,12)+1)*Params!$B$42^(INT(BM$2/12)+1)+(11-MOD(BM$2,12))*Params!$B$42^INT(BM$2/12))/12</f>
        <v/>
      </c>
      <c r="BN26" s="5">
        <f>$C$25*((MOD(BN$2,12)+1)*Params!$B$42^(INT(BN$2/12)+1)+(11-MOD(BN$2,12))*Params!$B$42^INT(BN$2/12))/12</f>
        <v/>
      </c>
      <c r="BO26" s="5">
        <f>$C$25*((MOD(BO$2,12)+1)*Params!$B$42^(INT(BO$2/12)+1)+(11-MOD(BO$2,12))*Params!$B$42^INT(BO$2/12))/12</f>
        <v/>
      </c>
      <c r="BP26" s="5">
        <f>$C$25*((MOD(BP$2,12)+1)*Params!$B$42^(INT(BP$2/12)+1)+(11-MOD(BP$2,12))*Params!$B$42^INT(BP$2/12))/12</f>
        <v/>
      </c>
      <c r="BQ26" s="5">
        <f>$C$25*((MOD(BQ$2,12)+1)*Params!$B$42^(INT(BQ$2/12)+1)+(11-MOD(BQ$2,12))*Params!$B$42^INT(BQ$2/12))/12</f>
        <v/>
      </c>
      <c r="BR26" s="5">
        <f>$C$25*((MOD(BR$2,12)+1)*Params!$B$42^(INT(BR$2/12)+1)+(11-MOD(BR$2,12))*Params!$B$42^INT(BR$2/12))/12</f>
        <v/>
      </c>
      <c r="BS26" s="5">
        <f>$C$25*((MOD(BS$2,12)+1)*Params!$B$42^(INT(BS$2/12)+1)+(11-MOD(BS$2,12))*Params!$B$42^INT(BS$2/12))/12</f>
        <v/>
      </c>
      <c r="BT26" s="5">
        <f>$C$25*((MOD(BT$2,12)+1)*Params!$B$42^(INT(BT$2/12)+1)+(11-MOD(BT$2,12))*Params!$B$42^INT(BT$2/12))/12</f>
        <v/>
      </c>
      <c r="BU26" s="5">
        <f>$C$25*((MOD(BU$2,12)+1)*Params!$B$42^(INT(BU$2/12)+1)+(11-MOD(BU$2,12))*Params!$B$42^INT(BU$2/12))/12</f>
        <v/>
      </c>
      <c r="BV26" s="5">
        <f>$C$25*((MOD(BV$2,12)+1)*Params!$B$42^(INT(BV$2/12)+1)+(11-MOD(BV$2,12))*Params!$B$42^INT(BV$2/12))/12</f>
        <v/>
      </c>
    </row>
    <row r="27">
      <c r="A27" t="inlineStr">
        <is>
          <t>churned</t>
        </is>
      </c>
      <c r="B27" t="inlineStr">
        <is>
          <t>EUROPE|NITRO_A</t>
        </is>
      </c>
      <c r="C27" s="5">
        <f>$C$25-C26</f>
        <v/>
      </c>
      <c r="D27" s="5">
        <f>C26-D26</f>
        <v/>
      </c>
      <c r="E27" s="5">
        <f>D26-E26</f>
        <v/>
      </c>
      <c r="F27" s="5">
        <f>E26-F26</f>
        <v/>
      </c>
      <c r="G27" s="5">
        <f>F26-G26</f>
        <v/>
      </c>
      <c r="H27" s="5">
        <f>G26-H26</f>
        <v/>
      </c>
      <c r="I27" s="5">
        <f>H26-I26</f>
        <v/>
      </c>
      <c r="J27" s="5">
        <f>I26-J26</f>
        <v/>
      </c>
      <c r="K27" s="5">
        <f>J26-K26</f>
        <v/>
      </c>
      <c r="L27" s="5">
        <f>K26-L26</f>
        <v/>
      </c>
      <c r="M27" s="5">
        <f>L26-M26</f>
        <v/>
      </c>
      <c r="N27" s="5">
        <f>M26-N26</f>
        <v/>
      </c>
      <c r="O27" s="5">
        <f>N26-O26</f>
        <v/>
      </c>
      <c r="P27" s="5">
        <f>O26-P26</f>
        <v/>
      </c>
      <c r="Q27" s="5">
        <f>P26-Q26</f>
        <v/>
      </c>
      <c r="R27" s="5">
        <f>Q26-R26</f>
        <v/>
      </c>
      <c r="S27" s="5">
        <f>R26-S26</f>
        <v/>
      </c>
      <c r="T27" s="5">
        <f>S26-T26</f>
        <v/>
      </c>
      <c r="U27" s="5">
        <f>T26-U26</f>
        <v/>
      </c>
      <c r="V27" s="5">
        <f>U26-V26</f>
        <v/>
      </c>
      <c r="W27" s="5">
        <f>V26-W26</f>
        <v/>
      </c>
      <c r="X27" s="5">
        <f>W26-X26</f>
        <v/>
      </c>
      <c r="Y27" s="5">
        <f>X26-Y26</f>
        <v/>
      </c>
      <c r="Z27" s="5">
        <f>Y26-Z26</f>
        <v/>
      </c>
      <c r="AA27" s="5">
        <f>Z26-AA26</f>
        <v/>
      </c>
      <c r="AB27" s="5">
        <f>AA26-AB26</f>
        <v/>
      </c>
      <c r="AC27" s="5">
        <f>AB26-AC26</f>
        <v/>
      </c>
      <c r="AD27" s="5">
        <f>AC26-AD26</f>
        <v/>
      </c>
      <c r="AE27" s="5">
        <f>AD26-AE26</f>
        <v/>
      </c>
      <c r="AF27" s="5">
        <f>AE26-AF26</f>
        <v/>
      </c>
      <c r="AG27" s="5">
        <f>AF26-AG26</f>
        <v/>
      </c>
      <c r="AH27" s="5">
        <f>AG26-AH26</f>
        <v/>
      </c>
      <c r="AI27" s="5">
        <f>AH26-AI26</f>
        <v/>
      </c>
      <c r="AJ27" s="5">
        <f>AI26-AJ26</f>
        <v/>
      </c>
      <c r="AK27" s="5">
        <f>AJ26-AK26</f>
        <v/>
      </c>
      <c r="AL27" s="5">
        <f>AK26-AL26</f>
        <v/>
      </c>
      <c r="AM27" s="5">
        <f>AL26-AM26</f>
        <v/>
      </c>
      <c r="AN27" s="5">
        <f>AM26-AN26</f>
        <v/>
      </c>
      <c r="AO27" s="5">
        <f>AN26-AO26</f>
        <v/>
      </c>
      <c r="AP27" s="5">
        <f>AO26-AP26</f>
        <v/>
      </c>
      <c r="AQ27" s="5">
        <f>AP26-AQ26</f>
        <v/>
      </c>
      <c r="AR27" s="5">
        <f>AQ26-AR26</f>
        <v/>
      </c>
      <c r="AS27" s="5">
        <f>AR26-AS26</f>
        <v/>
      </c>
      <c r="AT27" s="5">
        <f>AS26-AT26</f>
        <v/>
      </c>
      <c r="AU27" s="5">
        <f>AT26-AU26</f>
        <v/>
      </c>
      <c r="AV27" s="5">
        <f>AU26-AV26</f>
        <v/>
      </c>
      <c r="AW27" s="5">
        <f>AV26-AW26</f>
        <v/>
      </c>
      <c r="AX27" s="5">
        <f>AW26-AX26</f>
        <v/>
      </c>
      <c r="AY27" s="5">
        <f>AX26-AY26</f>
        <v/>
      </c>
      <c r="AZ27" s="5">
        <f>AY26-AZ26</f>
        <v/>
      </c>
      <c r="BA27" s="5">
        <f>AZ26-BA26</f>
        <v/>
      </c>
      <c r="BB27" s="5">
        <f>BA26-BB26</f>
        <v/>
      </c>
      <c r="BC27" s="5">
        <f>BB26-BC26</f>
        <v/>
      </c>
      <c r="BD27" s="5">
        <f>BC26-BD26</f>
        <v/>
      </c>
      <c r="BE27" s="5">
        <f>BD26-BE26</f>
        <v/>
      </c>
      <c r="BF27" s="5">
        <f>BE26-BF26</f>
        <v/>
      </c>
      <c r="BG27" s="5">
        <f>BF26-BG26</f>
        <v/>
      </c>
      <c r="BH27" s="5">
        <f>BG26-BH26</f>
        <v/>
      </c>
      <c r="BI27" s="5">
        <f>BH26-BI26</f>
        <v/>
      </c>
      <c r="BJ27" s="5">
        <f>BI26-BJ26</f>
        <v/>
      </c>
      <c r="BK27" s="5">
        <f>BJ26-BK26</f>
        <v/>
      </c>
      <c r="BL27" s="5">
        <f>BK26-BL26</f>
        <v/>
      </c>
      <c r="BM27" s="5">
        <f>BL26-BM26</f>
        <v/>
      </c>
      <c r="BN27" s="5">
        <f>BM26-BN26</f>
        <v/>
      </c>
      <c r="BO27" s="5">
        <f>BN26-BO26</f>
        <v/>
      </c>
      <c r="BP27" s="5">
        <f>BO26-BP26</f>
        <v/>
      </c>
      <c r="BQ27" s="5">
        <f>BP26-BQ26</f>
        <v/>
      </c>
      <c r="BR27" s="5">
        <f>BQ26-BR26</f>
        <v/>
      </c>
      <c r="BS27" s="5">
        <f>BR26-BS26</f>
        <v/>
      </c>
      <c r="BT27" s="5">
        <f>BS26-BT26</f>
        <v/>
      </c>
      <c r="BU27" s="5">
        <f>BT26-BU26</f>
        <v/>
      </c>
      <c r="BV27" s="5">
        <f>BU26-BV26</f>
        <v/>
      </c>
    </row>
    <row r="29">
      <c r="A29" t="inlineStr">
        <is>
          <t>opening book (Jan 2025)</t>
        </is>
      </c>
      <c r="B29" t="inlineStr">
        <is>
          <t>EUROPE|BASIC_M</t>
        </is>
      </c>
      <c r="C29" s="5">
        <f>Params!$B$14*Params!$B$73*Params!$B$98</f>
        <v/>
      </c>
    </row>
    <row r="30">
      <c r="A30" t="inlineStr">
        <is>
          <t>active</t>
        </is>
      </c>
      <c r="B30" t="inlineStr">
        <is>
          <t>EUROPE|BASIC_M</t>
        </is>
      </c>
      <c r="C30" s="5">
        <f>$C$29*(1-Params!$B$15)^(C$2+1)</f>
        <v/>
      </c>
      <c r="D30" s="5">
        <f>$C$29*(1-Params!$B$15)^(D$2+1)</f>
        <v/>
      </c>
      <c r="E30" s="5">
        <f>$C$29*(1-Params!$B$15)^(E$2+1)</f>
        <v/>
      </c>
      <c r="F30" s="5">
        <f>$C$29*(1-Params!$B$15)^(F$2+1)</f>
        <v/>
      </c>
      <c r="G30" s="5">
        <f>$C$29*(1-Params!$B$15)^(G$2+1)</f>
        <v/>
      </c>
      <c r="H30" s="5">
        <f>$C$29*(1-Params!$B$15)^(H$2+1)</f>
        <v/>
      </c>
      <c r="I30" s="5">
        <f>$C$29*(1-Params!$B$15)^(I$2+1)</f>
        <v/>
      </c>
      <c r="J30" s="5">
        <f>$C$29*(1-Params!$B$15)^(J$2+1)</f>
        <v/>
      </c>
      <c r="K30" s="5">
        <f>$C$29*(1-Params!$B$15)^(K$2+1)</f>
        <v/>
      </c>
      <c r="L30" s="5">
        <f>$C$29*(1-Params!$B$15)^(L$2+1)</f>
        <v/>
      </c>
      <c r="M30" s="5">
        <f>$C$29*(1-Params!$B$15)^(M$2+1)</f>
        <v/>
      </c>
      <c r="N30" s="5">
        <f>$C$29*(1-Params!$B$15)^(N$2+1)</f>
        <v/>
      </c>
      <c r="O30" s="5">
        <f>$C$29*(1-Params!$B$15)^(O$2+1)</f>
        <v/>
      </c>
      <c r="P30" s="5">
        <f>$C$29*(1-Params!$B$15)^(P$2+1)</f>
        <v/>
      </c>
      <c r="Q30" s="5">
        <f>$C$29*(1-Params!$B$15)^(Q$2+1)</f>
        <v/>
      </c>
      <c r="R30" s="5">
        <f>$C$29*(1-Params!$B$15)^(R$2+1)</f>
        <v/>
      </c>
      <c r="S30" s="5">
        <f>$C$29*(1-Params!$B$15)^(S$2+1)</f>
        <v/>
      </c>
      <c r="T30" s="5">
        <f>$C$29*(1-Params!$B$15)^(T$2+1)</f>
        <v/>
      </c>
      <c r="U30" s="5">
        <f>$C$29*(1-Params!$B$15)^(U$2+1)</f>
        <v/>
      </c>
      <c r="V30" s="5">
        <f>$C$29*(1-Params!$B$15)^(V$2+1)</f>
        <v/>
      </c>
      <c r="W30" s="5">
        <f>$C$29*(1-Params!$B$15)^(W$2+1)</f>
        <v/>
      </c>
      <c r="X30" s="5">
        <f>$C$29*(1-Params!$B$15)^(X$2+1)</f>
        <v/>
      </c>
      <c r="Y30" s="5">
        <f>$C$29*(1-Params!$B$15)^(Y$2+1)</f>
        <v/>
      </c>
      <c r="Z30" s="5">
        <f>$C$29*(1-Params!$B$15)^(Z$2+1)</f>
        <v/>
      </c>
      <c r="AA30" s="5">
        <f>$C$29*(1-Params!$B$15)^(AA$2+1)</f>
        <v/>
      </c>
      <c r="AB30" s="5">
        <f>$C$29*(1-Params!$B$15)^(AB$2+1)</f>
        <v/>
      </c>
      <c r="AC30" s="5">
        <f>$C$29*(1-Params!$B$15)^(AC$2+1)</f>
        <v/>
      </c>
      <c r="AD30" s="5">
        <f>$C$29*(1-Params!$B$15)^(AD$2+1)</f>
        <v/>
      </c>
      <c r="AE30" s="5">
        <f>$C$29*(1-Params!$B$15)^(AE$2+1)</f>
        <v/>
      </c>
      <c r="AF30" s="5">
        <f>$C$29*(1-Params!$B$15)^(AF$2+1)</f>
        <v/>
      </c>
      <c r="AG30" s="5">
        <f>$C$29*(1-Params!$B$15)^(AG$2+1)</f>
        <v/>
      </c>
      <c r="AH30" s="5">
        <f>$C$29*(1-Params!$B$15)^(AH$2+1)</f>
        <v/>
      </c>
      <c r="AI30" s="5">
        <f>$C$29*(1-Params!$B$15)^(AI$2+1)</f>
        <v/>
      </c>
      <c r="AJ30" s="5">
        <f>$C$29*(1-Params!$B$15)^(AJ$2+1)</f>
        <v/>
      </c>
      <c r="AK30" s="5">
        <f>$C$29*(1-Params!$B$15)^(AK$2+1)</f>
        <v/>
      </c>
      <c r="AL30" s="5">
        <f>$C$29*(1-Params!$B$15)^(AL$2+1)</f>
        <v/>
      </c>
      <c r="AM30" s="5">
        <f>$C$29*(1-Params!$B$15)^(AM$2+1)</f>
        <v/>
      </c>
      <c r="AN30" s="5">
        <f>$C$29*(1-Params!$B$15)^(AN$2+1)</f>
        <v/>
      </c>
      <c r="AO30" s="5">
        <f>$C$29*(1-Params!$B$15)^(AO$2+1)</f>
        <v/>
      </c>
      <c r="AP30" s="5">
        <f>$C$29*(1-Params!$B$15)^(AP$2+1)</f>
        <v/>
      </c>
      <c r="AQ30" s="5">
        <f>$C$29*(1-Params!$B$15)^(AQ$2+1)</f>
        <v/>
      </c>
      <c r="AR30" s="5">
        <f>$C$29*(1-Params!$B$15)^(AR$2+1)</f>
        <v/>
      </c>
      <c r="AS30" s="5">
        <f>$C$29*(1-Params!$B$15)^(AS$2+1)</f>
        <v/>
      </c>
      <c r="AT30" s="5">
        <f>$C$29*(1-Params!$B$15)^(AT$2+1)</f>
        <v/>
      </c>
      <c r="AU30" s="5">
        <f>$C$29*(1-Params!$B$15)^(AU$2+1)</f>
        <v/>
      </c>
      <c r="AV30" s="5">
        <f>$C$29*(1-Params!$B$15)^(AV$2+1)</f>
        <v/>
      </c>
      <c r="AW30" s="5">
        <f>$C$29*(1-Params!$B$15)^(AW$2+1)</f>
        <v/>
      </c>
      <c r="AX30" s="5">
        <f>$C$29*(1-Params!$B$15)^(AX$2+1)</f>
        <v/>
      </c>
      <c r="AY30" s="5">
        <f>$C$29*(1-Params!$B$15)^(AY$2+1)</f>
        <v/>
      </c>
      <c r="AZ30" s="5">
        <f>$C$29*(1-Params!$B$15)^(AZ$2+1)</f>
        <v/>
      </c>
      <c r="BA30" s="5">
        <f>$C$29*(1-Params!$B$15)^(BA$2+1)</f>
        <v/>
      </c>
      <c r="BB30" s="5">
        <f>$C$29*(1-Params!$B$15)^(BB$2+1)</f>
        <v/>
      </c>
      <c r="BC30" s="5">
        <f>$C$29*(1-Params!$B$15)^(BC$2+1)</f>
        <v/>
      </c>
      <c r="BD30" s="5">
        <f>$C$29*(1-Params!$B$15)^(BD$2+1)</f>
        <v/>
      </c>
      <c r="BE30" s="5">
        <f>$C$29*(1-Params!$B$15)^(BE$2+1)</f>
        <v/>
      </c>
      <c r="BF30" s="5">
        <f>$C$29*(1-Params!$B$15)^(BF$2+1)</f>
        <v/>
      </c>
      <c r="BG30" s="5">
        <f>$C$29*(1-Params!$B$15)^(BG$2+1)</f>
        <v/>
      </c>
      <c r="BH30" s="5">
        <f>$C$29*(1-Params!$B$15)^(BH$2+1)</f>
        <v/>
      </c>
      <c r="BI30" s="5">
        <f>$C$29*(1-Params!$B$15)^(BI$2+1)</f>
        <v/>
      </c>
      <c r="BJ30" s="5">
        <f>$C$29*(1-Params!$B$15)^(BJ$2+1)</f>
        <v/>
      </c>
      <c r="BK30" s="5">
        <f>$C$29*(1-Params!$B$15)^(BK$2+1)</f>
        <v/>
      </c>
      <c r="BL30" s="5">
        <f>$C$29*(1-Params!$B$15)^(BL$2+1)</f>
        <v/>
      </c>
      <c r="BM30" s="5">
        <f>$C$29*(1-Params!$B$15)^(BM$2+1)</f>
        <v/>
      </c>
      <c r="BN30" s="5">
        <f>$C$29*(1-Params!$B$15)^(BN$2+1)</f>
        <v/>
      </c>
      <c r="BO30" s="5">
        <f>$C$29*(1-Params!$B$15)^(BO$2+1)</f>
        <v/>
      </c>
      <c r="BP30" s="5">
        <f>$C$29*(1-Params!$B$15)^(BP$2+1)</f>
        <v/>
      </c>
      <c r="BQ30" s="5">
        <f>$C$29*(1-Params!$B$15)^(BQ$2+1)</f>
        <v/>
      </c>
      <c r="BR30" s="5">
        <f>$C$29*(1-Params!$B$15)^(BR$2+1)</f>
        <v/>
      </c>
      <c r="BS30" s="5">
        <f>$C$29*(1-Params!$B$15)^(BS$2+1)</f>
        <v/>
      </c>
      <c r="BT30" s="5">
        <f>$C$29*(1-Params!$B$15)^(BT$2+1)</f>
        <v/>
      </c>
      <c r="BU30" s="5">
        <f>$C$29*(1-Params!$B$15)^(BU$2+1)</f>
        <v/>
      </c>
      <c r="BV30" s="5">
        <f>$C$29*(1-Params!$B$15)^(BV$2+1)</f>
        <v/>
      </c>
    </row>
    <row r="31">
      <c r="A31" t="inlineStr">
        <is>
          <t>churned</t>
        </is>
      </c>
      <c r="B31" t="inlineStr">
        <is>
          <t>EUROPE|BASIC_M</t>
        </is>
      </c>
      <c r="C31" s="5">
        <f>$C$29-C30</f>
        <v/>
      </c>
      <c r="D31" s="5">
        <f>C30-D30</f>
        <v/>
      </c>
      <c r="E31" s="5">
        <f>D30-E30</f>
        <v/>
      </c>
      <c r="F31" s="5">
        <f>E30-F30</f>
        <v/>
      </c>
      <c r="G31" s="5">
        <f>F30-G30</f>
        <v/>
      </c>
      <c r="H31" s="5">
        <f>G30-H30</f>
        <v/>
      </c>
      <c r="I31" s="5">
        <f>H30-I30</f>
        <v/>
      </c>
      <c r="J31" s="5">
        <f>I30-J30</f>
        <v/>
      </c>
      <c r="K31" s="5">
        <f>J30-K30</f>
        <v/>
      </c>
      <c r="L31" s="5">
        <f>K30-L30</f>
        <v/>
      </c>
      <c r="M31" s="5">
        <f>L30-M30</f>
        <v/>
      </c>
      <c r="N31" s="5">
        <f>M30-N30</f>
        <v/>
      </c>
      <c r="O31" s="5">
        <f>N30-O30</f>
        <v/>
      </c>
      <c r="P31" s="5">
        <f>O30-P30</f>
        <v/>
      </c>
      <c r="Q31" s="5">
        <f>P30-Q30</f>
        <v/>
      </c>
      <c r="R31" s="5">
        <f>Q30-R30</f>
        <v/>
      </c>
      <c r="S31" s="5">
        <f>R30-S30</f>
        <v/>
      </c>
      <c r="T31" s="5">
        <f>S30-T30</f>
        <v/>
      </c>
      <c r="U31" s="5">
        <f>T30-U30</f>
        <v/>
      </c>
      <c r="V31" s="5">
        <f>U30-V30</f>
        <v/>
      </c>
      <c r="W31" s="5">
        <f>V30-W30</f>
        <v/>
      </c>
      <c r="X31" s="5">
        <f>W30-X30</f>
        <v/>
      </c>
      <c r="Y31" s="5">
        <f>X30-Y30</f>
        <v/>
      </c>
      <c r="Z31" s="5">
        <f>Y30-Z30</f>
        <v/>
      </c>
      <c r="AA31" s="5">
        <f>Z30-AA30</f>
        <v/>
      </c>
      <c r="AB31" s="5">
        <f>AA30-AB30</f>
        <v/>
      </c>
      <c r="AC31" s="5">
        <f>AB30-AC30</f>
        <v/>
      </c>
      <c r="AD31" s="5">
        <f>AC30-AD30</f>
        <v/>
      </c>
      <c r="AE31" s="5">
        <f>AD30-AE30</f>
        <v/>
      </c>
      <c r="AF31" s="5">
        <f>AE30-AF30</f>
        <v/>
      </c>
      <c r="AG31" s="5">
        <f>AF30-AG30</f>
        <v/>
      </c>
      <c r="AH31" s="5">
        <f>AG30-AH30</f>
        <v/>
      </c>
      <c r="AI31" s="5">
        <f>AH30-AI30</f>
        <v/>
      </c>
      <c r="AJ31" s="5">
        <f>AI30-AJ30</f>
        <v/>
      </c>
      <c r="AK31" s="5">
        <f>AJ30-AK30</f>
        <v/>
      </c>
      <c r="AL31" s="5">
        <f>AK30-AL30</f>
        <v/>
      </c>
      <c r="AM31" s="5">
        <f>AL30-AM30</f>
        <v/>
      </c>
      <c r="AN31" s="5">
        <f>AM30-AN30</f>
        <v/>
      </c>
      <c r="AO31" s="5">
        <f>AN30-AO30</f>
        <v/>
      </c>
      <c r="AP31" s="5">
        <f>AO30-AP30</f>
        <v/>
      </c>
      <c r="AQ31" s="5">
        <f>AP30-AQ30</f>
        <v/>
      </c>
      <c r="AR31" s="5">
        <f>AQ30-AR30</f>
        <v/>
      </c>
      <c r="AS31" s="5">
        <f>AR30-AS30</f>
        <v/>
      </c>
      <c r="AT31" s="5">
        <f>AS30-AT30</f>
        <v/>
      </c>
      <c r="AU31" s="5">
        <f>AT30-AU30</f>
        <v/>
      </c>
      <c r="AV31" s="5">
        <f>AU30-AV30</f>
        <v/>
      </c>
      <c r="AW31" s="5">
        <f>AV30-AW30</f>
        <v/>
      </c>
      <c r="AX31" s="5">
        <f>AW30-AX30</f>
        <v/>
      </c>
      <c r="AY31" s="5">
        <f>AX30-AY30</f>
        <v/>
      </c>
      <c r="AZ31" s="5">
        <f>AY30-AZ30</f>
        <v/>
      </c>
      <c r="BA31" s="5">
        <f>AZ30-BA30</f>
        <v/>
      </c>
      <c r="BB31" s="5">
        <f>BA30-BB30</f>
        <v/>
      </c>
      <c r="BC31" s="5">
        <f>BB30-BC30</f>
        <v/>
      </c>
      <c r="BD31" s="5">
        <f>BC30-BD30</f>
        <v/>
      </c>
      <c r="BE31" s="5">
        <f>BD30-BE30</f>
        <v/>
      </c>
      <c r="BF31" s="5">
        <f>BE30-BF30</f>
        <v/>
      </c>
      <c r="BG31" s="5">
        <f>BF30-BG30</f>
        <v/>
      </c>
      <c r="BH31" s="5">
        <f>BG30-BH30</f>
        <v/>
      </c>
      <c r="BI31" s="5">
        <f>BH30-BI30</f>
        <v/>
      </c>
      <c r="BJ31" s="5">
        <f>BI30-BJ30</f>
        <v/>
      </c>
      <c r="BK31" s="5">
        <f>BJ30-BK30</f>
        <v/>
      </c>
      <c r="BL31" s="5">
        <f>BK30-BL30</f>
        <v/>
      </c>
      <c r="BM31" s="5">
        <f>BL30-BM30</f>
        <v/>
      </c>
      <c r="BN31" s="5">
        <f>BM30-BN30</f>
        <v/>
      </c>
      <c r="BO31" s="5">
        <f>BN30-BO30</f>
        <v/>
      </c>
      <c r="BP31" s="5">
        <f>BO30-BP30</f>
        <v/>
      </c>
      <c r="BQ31" s="5">
        <f>BP30-BQ30</f>
        <v/>
      </c>
      <c r="BR31" s="5">
        <f>BQ30-BR30</f>
        <v/>
      </c>
      <c r="BS31" s="5">
        <f>BR30-BS30</f>
        <v/>
      </c>
      <c r="BT31" s="5">
        <f>BS30-BT30</f>
        <v/>
      </c>
      <c r="BU31" s="5">
        <f>BT30-BU30</f>
        <v/>
      </c>
      <c r="BV31" s="5">
        <f>BU30-BV30</f>
        <v/>
      </c>
    </row>
    <row r="33">
      <c r="A33" t="inlineStr">
        <is>
          <t>opening book (Jan 2025)</t>
        </is>
      </c>
      <c r="B33" t="inlineStr">
        <is>
          <t>EUROPE|BASIC_A</t>
        </is>
      </c>
      <c r="C33" s="5">
        <f>Params!$B$14*Params!$B$73*Params!$B$99</f>
        <v/>
      </c>
    </row>
    <row r="34">
      <c r="A34" t="inlineStr">
        <is>
          <t>active</t>
        </is>
      </c>
      <c r="B34" t="inlineStr">
        <is>
          <t>EUROPE|BASIC_A</t>
        </is>
      </c>
      <c r="C34" s="5">
        <f>$C$33*((MOD(C$2,12)+1)*Params!$B$42^(INT(C$2/12)+1)+(11-MOD(C$2,12))*Params!$B$42^INT(C$2/12))/12</f>
        <v/>
      </c>
      <c r="D34" s="5">
        <f>$C$33*((MOD(D$2,12)+1)*Params!$B$42^(INT(D$2/12)+1)+(11-MOD(D$2,12))*Params!$B$42^INT(D$2/12))/12</f>
        <v/>
      </c>
      <c r="E34" s="5">
        <f>$C$33*((MOD(E$2,12)+1)*Params!$B$42^(INT(E$2/12)+1)+(11-MOD(E$2,12))*Params!$B$42^INT(E$2/12))/12</f>
        <v/>
      </c>
      <c r="F34" s="5">
        <f>$C$33*((MOD(F$2,12)+1)*Params!$B$42^(INT(F$2/12)+1)+(11-MOD(F$2,12))*Params!$B$42^INT(F$2/12))/12</f>
        <v/>
      </c>
      <c r="G34" s="5">
        <f>$C$33*((MOD(G$2,12)+1)*Params!$B$42^(INT(G$2/12)+1)+(11-MOD(G$2,12))*Params!$B$42^INT(G$2/12))/12</f>
        <v/>
      </c>
      <c r="H34" s="5">
        <f>$C$33*((MOD(H$2,12)+1)*Params!$B$42^(INT(H$2/12)+1)+(11-MOD(H$2,12))*Params!$B$42^INT(H$2/12))/12</f>
        <v/>
      </c>
      <c r="I34" s="5">
        <f>$C$33*((MOD(I$2,12)+1)*Params!$B$42^(INT(I$2/12)+1)+(11-MOD(I$2,12))*Params!$B$42^INT(I$2/12))/12</f>
        <v/>
      </c>
      <c r="J34" s="5">
        <f>$C$33*((MOD(J$2,12)+1)*Params!$B$42^(INT(J$2/12)+1)+(11-MOD(J$2,12))*Params!$B$42^INT(J$2/12))/12</f>
        <v/>
      </c>
      <c r="K34" s="5">
        <f>$C$33*((MOD(K$2,12)+1)*Params!$B$42^(INT(K$2/12)+1)+(11-MOD(K$2,12))*Params!$B$42^INT(K$2/12))/12</f>
        <v/>
      </c>
      <c r="L34" s="5">
        <f>$C$33*((MOD(L$2,12)+1)*Params!$B$42^(INT(L$2/12)+1)+(11-MOD(L$2,12))*Params!$B$42^INT(L$2/12))/12</f>
        <v/>
      </c>
      <c r="M34" s="5">
        <f>$C$33*((MOD(M$2,12)+1)*Params!$B$42^(INT(M$2/12)+1)+(11-MOD(M$2,12))*Params!$B$42^INT(M$2/12))/12</f>
        <v/>
      </c>
      <c r="N34" s="5">
        <f>$C$33*((MOD(N$2,12)+1)*Params!$B$42^(INT(N$2/12)+1)+(11-MOD(N$2,12))*Params!$B$42^INT(N$2/12))/12</f>
        <v/>
      </c>
      <c r="O34" s="5">
        <f>$C$33*((MOD(O$2,12)+1)*Params!$B$42^(INT(O$2/12)+1)+(11-MOD(O$2,12))*Params!$B$42^INT(O$2/12))/12</f>
        <v/>
      </c>
      <c r="P34" s="5">
        <f>$C$33*((MOD(P$2,12)+1)*Params!$B$42^(INT(P$2/12)+1)+(11-MOD(P$2,12))*Params!$B$42^INT(P$2/12))/12</f>
        <v/>
      </c>
      <c r="Q34" s="5">
        <f>$C$33*((MOD(Q$2,12)+1)*Params!$B$42^(INT(Q$2/12)+1)+(11-MOD(Q$2,12))*Params!$B$42^INT(Q$2/12))/12</f>
        <v/>
      </c>
      <c r="R34" s="5">
        <f>$C$33*((MOD(R$2,12)+1)*Params!$B$42^(INT(R$2/12)+1)+(11-MOD(R$2,12))*Params!$B$42^INT(R$2/12))/12</f>
        <v/>
      </c>
      <c r="S34" s="5">
        <f>$C$33*((MOD(S$2,12)+1)*Params!$B$42^(INT(S$2/12)+1)+(11-MOD(S$2,12))*Params!$B$42^INT(S$2/12))/12</f>
        <v/>
      </c>
      <c r="T34" s="5">
        <f>$C$33*((MOD(T$2,12)+1)*Params!$B$42^(INT(T$2/12)+1)+(11-MOD(T$2,12))*Params!$B$42^INT(T$2/12))/12</f>
        <v/>
      </c>
      <c r="U34" s="5">
        <f>$C$33*((MOD(U$2,12)+1)*Params!$B$42^(INT(U$2/12)+1)+(11-MOD(U$2,12))*Params!$B$42^INT(U$2/12))/12</f>
        <v/>
      </c>
      <c r="V34" s="5">
        <f>$C$33*((MOD(V$2,12)+1)*Params!$B$42^(INT(V$2/12)+1)+(11-MOD(V$2,12))*Params!$B$42^INT(V$2/12))/12</f>
        <v/>
      </c>
      <c r="W34" s="5">
        <f>$C$33*((MOD(W$2,12)+1)*Params!$B$42^(INT(W$2/12)+1)+(11-MOD(W$2,12))*Params!$B$42^INT(W$2/12))/12</f>
        <v/>
      </c>
      <c r="X34" s="5">
        <f>$C$33*((MOD(X$2,12)+1)*Params!$B$42^(INT(X$2/12)+1)+(11-MOD(X$2,12))*Params!$B$42^INT(X$2/12))/12</f>
        <v/>
      </c>
      <c r="Y34" s="5">
        <f>$C$33*((MOD(Y$2,12)+1)*Params!$B$42^(INT(Y$2/12)+1)+(11-MOD(Y$2,12))*Params!$B$42^INT(Y$2/12))/12</f>
        <v/>
      </c>
      <c r="Z34" s="5">
        <f>$C$33*((MOD(Z$2,12)+1)*Params!$B$42^(INT(Z$2/12)+1)+(11-MOD(Z$2,12))*Params!$B$42^INT(Z$2/12))/12</f>
        <v/>
      </c>
      <c r="AA34" s="5">
        <f>$C$33*((MOD(AA$2,12)+1)*Params!$B$42^(INT(AA$2/12)+1)+(11-MOD(AA$2,12))*Params!$B$42^INT(AA$2/12))/12</f>
        <v/>
      </c>
      <c r="AB34" s="5">
        <f>$C$33*((MOD(AB$2,12)+1)*Params!$B$42^(INT(AB$2/12)+1)+(11-MOD(AB$2,12))*Params!$B$42^INT(AB$2/12))/12</f>
        <v/>
      </c>
      <c r="AC34" s="5">
        <f>$C$33*((MOD(AC$2,12)+1)*Params!$B$42^(INT(AC$2/12)+1)+(11-MOD(AC$2,12))*Params!$B$42^INT(AC$2/12))/12</f>
        <v/>
      </c>
      <c r="AD34" s="5">
        <f>$C$33*((MOD(AD$2,12)+1)*Params!$B$42^(INT(AD$2/12)+1)+(11-MOD(AD$2,12))*Params!$B$42^INT(AD$2/12))/12</f>
        <v/>
      </c>
      <c r="AE34" s="5">
        <f>$C$33*((MOD(AE$2,12)+1)*Params!$B$42^(INT(AE$2/12)+1)+(11-MOD(AE$2,12))*Params!$B$42^INT(AE$2/12))/12</f>
        <v/>
      </c>
      <c r="AF34" s="5">
        <f>$C$33*((MOD(AF$2,12)+1)*Params!$B$42^(INT(AF$2/12)+1)+(11-MOD(AF$2,12))*Params!$B$42^INT(AF$2/12))/12</f>
        <v/>
      </c>
      <c r="AG34" s="5">
        <f>$C$33*((MOD(AG$2,12)+1)*Params!$B$42^(INT(AG$2/12)+1)+(11-MOD(AG$2,12))*Params!$B$42^INT(AG$2/12))/12</f>
        <v/>
      </c>
      <c r="AH34" s="5">
        <f>$C$33*((MOD(AH$2,12)+1)*Params!$B$42^(INT(AH$2/12)+1)+(11-MOD(AH$2,12))*Params!$B$42^INT(AH$2/12))/12</f>
        <v/>
      </c>
      <c r="AI34" s="5">
        <f>$C$33*((MOD(AI$2,12)+1)*Params!$B$42^(INT(AI$2/12)+1)+(11-MOD(AI$2,12))*Params!$B$42^INT(AI$2/12))/12</f>
        <v/>
      </c>
      <c r="AJ34" s="5">
        <f>$C$33*((MOD(AJ$2,12)+1)*Params!$B$42^(INT(AJ$2/12)+1)+(11-MOD(AJ$2,12))*Params!$B$42^INT(AJ$2/12))/12</f>
        <v/>
      </c>
      <c r="AK34" s="5">
        <f>$C$33*((MOD(AK$2,12)+1)*Params!$B$42^(INT(AK$2/12)+1)+(11-MOD(AK$2,12))*Params!$B$42^INT(AK$2/12))/12</f>
        <v/>
      </c>
      <c r="AL34" s="5">
        <f>$C$33*((MOD(AL$2,12)+1)*Params!$B$42^(INT(AL$2/12)+1)+(11-MOD(AL$2,12))*Params!$B$42^INT(AL$2/12))/12</f>
        <v/>
      </c>
      <c r="AM34" s="5">
        <f>$C$33*((MOD(AM$2,12)+1)*Params!$B$42^(INT(AM$2/12)+1)+(11-MOD(AM$2,12))*Params!$B$42^INT(AM$2/12))/12</f>
        <v/>
      </c>
      <c r="AN34" s="5">
        <f>$C$33*((MOD(AN$2,12)+1)*Params!$B$42^(INT(AN$2/12)+1)+(11-MOD(AN$2,12))*Params!$B$42^INT(AN$2/12))/12</f>
        <v/>
      </c>
      <c r="AO34" s="5">
        <f>$C$33*((MOD(AO$2,12)+1)*Params!$B$42^(INT(AO$2/12)+1)+(11-MOD(AO$2,12))*Params!$B$42^INT(AO$2/12))/12</f>
        <v/>
      </c>
      <c r="AP34" s="5">
        <f>$C$33*((MOD(AP$2,12)+1)*Params!$B$42^(INT(AP$2/12)+1)+(11-MOD(AP$2,12))*Params!$B$42^INT(AP$2/12))/12</f>
        <v/>
      </c>
      <c r="AQ34" s="5">
        <f>$C$33*((MOD(AQ$2,12)+1)*Params!$B$42^(INT(AQ$2/12)+1)+(11-MOD(AQ$2,12))*Params!$B$42^INT(AQ$2/12))/12</f>
        <v/>
      </c>
      <c r="AR34" s="5">
        <f>$C$33*((MOD(AR$2,12)+1)*Params!$B$42^(INT(AR$2/12)+1)+(11-MOD(AR$2,12))*Params!$B$42^INT(AR$2/12))/12</f>
        <v/>
      </c>
      <c r="AS34" s="5">
        <f>$C$33*((MOD(AS$2,12)+1)*Params!$B$42^(INT(AS$2/12)+1)+(11-MOD(AS$2,12))*Params!$B$42^INT(AS$2/12))/12</f>
        <v/>
      </c>
      <c r="AT34" s="5">
        <f>$C$33*((MOD(AT$2,12)+1)*Params!$B$42^(INT(AT$2/12)+1)+(11-MOD(AT$2,12))*Params!$B$42^INT(AT$2/12))/12</f>
        <v/>
      </c>
      <c r="AU34" s="5">
        <f>$C$33*((MOD(AU$2,12)+1)*Params!$B$42^(INT(AU$2/12)+1)+(11-MOD(AU$2,12))*Params!$B$42^INT(AU$2/12))/12</f>
        <v/>
      </c>
      <c r="AV34" s="5">
        <f>$C$33*((MOD(AV$2,12)+1)*Params!$B$42^(INT(AV$2/12)+1)+(11-MOD(AV$2,12))*Params!$B$42^INT(AV$2/12))/12</f>
        <v/>
      </c>
      <c r="AW34" s="5">
        <f>$C$33*((MOD(AW$2,12)+1)*Params!$B$42^(INT(AW$2/12)+1)+(11-MOD(AW$2,12))*Params!$B$42^INT(AW$2/12))/12</f>
        <v/>
      </c>
      <c r="AX34" s="5">
        <f>$C$33*((MOD(AX$2,12)+1)*Params!$B$42^(INT(AX$2/12)+1)+(11-MOD(AX$2,12))*Params!$B$42^INT(AX$2/12))/12</f>
        <v/>
      </c>
      <c r="AY34" s="5">
        <f>$C$33*((MOD(AY$2,12)+1)*Params!$B$42^(INT(AY$2/12)+1)+(11-MOD(AY$2,12))*Params!$B$42^INT(AY$2/12))/12</f>
        <v/>
      </c>
      <c r="AZ34" s="5">
        <f>$C$33*((MOD(AZ$2,12)+1)*Params!$B$42^(INT(AZ$2/12)+1)+(11-MOD(AZ$2,12))*Params!$B$42^INT(AZ$2/12))/12</f>
        <v/>
      </c>
      <c r="BA34" s="5">
        <f>$C$33*((MOD(BA$2,12)+1)*Params!$B$42^(INT(BA$2/12)+1)+(11-MOD(BA$2,12))*Params!$B$42^INT(BA$2/12))/12</f>
        <v/>
      </c>
      <c r="BB34" s="5">
        <f>$C$33*((MOD(BB$2,12)+1)*Params!$B$42^(INT(BB$2/12)+1)+(11-MOD(BB$2,12))*Params!$B$42^INT(BB$2/12))/12</f>
        <v/>
      </c>
      <c r="BC34" s="5">
        <f>$C$33*((MOD(BC$2,12)+1)*Params!$B$42^(INT(BC$2/12)+1)+(11-MOD(BC$2,12))*Params!$B$42^INT(BC$2/12))/12</f>
        <v/>
      </c>
      <c r="BD34" s="5">
        <f>$C$33*((MOD(BD$2,12)+1)*Params!$B$42^(INT(BD$2/12)+1)+(11-MOD(BD$2,12))*Params!$B$42^INT(BD$2/12))/12</f>
        <v/>
      </c>
      <c r="BE34" s="5">
        <f>$C$33*((MOD(BE$2,12)+1)*Params!$B$42^(INT(BE$2/12)+1)+(11-MOD(BE$2,12))*Params!$B$42^INT(BE$2/12))/12</f>
        <v/>
      </c>
      <c r="BF34" s="5">
        <f>$C$33*((MOD(BF$2,12)+1)*Params!$B$42^(INT(BF$2/12)+1)+(11-MOD(BF$2,12))*Params!$B$42^INT(BF$2/12))/12</f>
        <v/>
      </c>
      <c r="BG34" s="5">
        <f>$C$33*((MOD(BG$2,12)+1)*Params!$B$42^(INT(BG$2/12)+1)+(11-MOD(BG$2,12))*Params!$B$42^INT(BG$2/12))/12</f>
        <v/>
      </c>
      <c r="BH34" s="5">
        <f>$C$33*((MOD(BH$2,12)+1)*Params!$B$42^(INT(BH$2/12)+1)+(11-MOD(BH$2,12))*Params!$B$42^INT(BH$2/12))/12</f>
        <v/>
      </c>
      <c r="BI34" s="5">
        <f>$C$33*((MOD(BI$2,12)+1)*Params!$B$42^(INT(BI$2/12)+1)+(11-MOD(BI$2,12))*Params!$B$42^INT(BI$2/12))/12</f>
        <v/>
      </c>
      <c r="BJ34" s="5">
        <f>$C$33*((MOD(BJ$2,12)+1)*Params!$B$42^(INT(BJ$2/12)+1)+(11-MOD(BJ$2,12))*Params!$B$42^INT(BJ$2/12))/12</f>
        <v/>
      </c>
      <c r="BK34" s="5">
        <f>$C$33*((MOD(BK$2,12)+1)*Params!$B$42^(INT(BK$2/12)+1)+(11-MOD(BK$2,12))*Params!$B$42^INT(BK$2/12))/12</f>
        <v/>
      </c>
      <c r="BL34" s="5">
        <f>$C$33*((MOD(BL$2,12)+1)*Params!$B$42^(INT(BL$2/12)+1)+(11-MOD(BL$2,12))*Params!$B$42^INT(BL$2/12))/12</f>
        <v/>
      </c>
      <c r="BM34" s="5">
        <f>$C$33*((MOD(BM$2,12)+1)*Params!$B$42^(INT(BM$2/12)+1)+(11-MOD(BM$2,12))*Params!$B$42^INT(BM$2/12))/12</f>
        <v/>
      </c>
      <c r="BN34" s="5">
        <f>$C$33*((MOD(BN$2,12)+1)*Params!$B$42^(INT(BN$2/12)+1)+(11-MOD(BN$2,12))*Params!$B$42^INT(BN$2/12))/12</f>
        <v/>
      </c>
      <c r="BO34" s="5">
        <f>$C$33*((MOD(BO$2,12)+1)*Params!$B$42^(INT(BO$2/12)+1)+(11-MOD(BO$2,12))*Params!$B$42^INT(BO$2/12))/12</f>
        <v/>
      </c>
      <c r="BP34" s="5">
        <f>$C$33*((MOD(BP$2,12)+1)*Params!$B$42^(INT(BP$2/12)+1)+(11-MOD(BP$2,12))*Params!$B$42^INT(BP$2/12))/12</f>
        <v/>
      </c>
      <c r="BQ34" s="5">
        <f>$C$33*((MOD(BQ$2,12)+1)*Params!$B$42^(INT(BQ$2/12)+1)+(11-MOD(BQ$2,12))*Params!$B$42^INT(BQ$2/12))/12</f>
        <v/>
      </c>
      <c r="BR34" s="5">
        <f>$C$33*((MOD(BR$2,12)+1)*Params!$B$42^(INT(BR$2/12)+1)+(11-MOD(BR$2,12))*Params!$B$42^INT(BR$2/12))/12</f>
        <v/>
      </c>
      <c r="BS34" s="5">
        <f>$C$33*((MOD(BS$2,12)+1)*Params!$B$42^(INT(BS$2/12)+1)+(11-MOD(BS$2,12))*Params!$B$42^INT(BS$2/12))/12</f>
        <v/>
      </c>
      <c r="BT34" s="5">
        <f>$C$33*((MOD(BT$2,12)+1)*Params!$B$42^(INT(BT$2/12)+1)+(11-MOD(BT$2,12))*Params!$B$42^INT(BT$2/12))/12</f>
        <v/>
      </c>
      <c r="BU34" s="5">
        <f>$C$33*((MOD(BU$2,12)+1)*Params!$B$42^(INT(BU$2/12)+1)+(11-MOD(BU$2,12))*Params!$B$42^INT(BU$2/12))/12</f>
        <v/>
      </c>
      <c r="BV34" s="5">
        <f>$C$33*((MOD(BV$2,12)+1)*Params!$B$42^(INT(BV$2/12)+1)+(11-MOD(BV$2,12))*Params!$B$42^INT(BV$2/12))/12</f>
        <v/>
      </c>
    </row>
    <row r="35">
      <c r="A35" t="inlineStr">
        <is>
          <t>churned</t>
        </is>
      </c>
      <c r="B35" t="inlineStr">
        <is>
          <t>EUROPE|BASIC_A</t>
        </is>
      </c>
      <c r="C35" s="5">
        <f>$C$33-C34</f>
        <v/>
      </c>
      <c r="D35" s="5">
        <f>C34-D34</f>
        <v/>
      </c>
      <c r="E35" s="5">
        <f>D34-E34</f>
        <v/>
      </c>
      <c r="F35" s="5">
        <f>E34-F34</f>
        <v/>
      </c>
      <c r="G35" s="5">
        <f>F34-G34</f>
        <v/>
      </c>
      <c r="H35" s="5">
        <f>G34-H34</f>
        <v/>
      </c>
      <c r="I35" s="5">
        <f>H34-I34</f>
        <v/>
      </c>
      <c r="J35" s="5">
        <f>I34-J34</f>
        <v/>
      </c>
      <c r="K35" s="5">
        <f>J34-K34</f>
        <v/>
      </c>
      <c r="L35" s="5">
        <f>K34-L34</f>
        <v/>
      </c>
      <c r="M35" s="5">
        <f>L34-M34</f>
        <v/>
      </c>
      <c r="N35" s="5">
        <f>M34-N34</f>
        <v/>
      </c>
      <c r="O35" s="5">
        <f>N34-O34</f>
        <v/>
      </c>
      <c r="P35" s="5">
        <f>O34-P34</f>
        <v/>
      </c>
      <c r="Q35" s="5">
        <f>P34-Q34</f>
        <v/>
      </c>
      <c r="R35" s="5">
        <f>Q34-R34</f>
        <v/>
      </c>
      <c r="S35" s="5">
        <f>R34-S34</f>
        <v/>
      </c>
      <c r="T35" s="5">
        <f>S34-T34</f>
        <v/>
      </c>
      <c r="U35" s="5">
        <f>T34-U34</f>
        <v/>
      </c>
      <c r="V35" s="5">
        <f>U34-V34</f>
        <v/>
      </c>
      <c r="W35" s="5">
        <f>V34-W34</f>
        <v/>
      </c>
      <c r="X35" s="5">
        <f>W34-X34</f>
        <v/>
      </c>
      <c r="Y35" s="5">
        <f>X34-Y34</f>
        <v/>
      </c>
      <c r="Z35" s="5">
        <f>Y34-Z34</f>
        <v/>
      </c>
      <c r="AA35" s="5">
        <f>Z34-AA34</f>
        <v/>
      </c>
      <c r="AB35" s="5">
        <f>AA34-AB34</f>
        <v/>
      </c>
      <c r="AC35" s="5">
        <f>AB34-AC34</f>
        <v/>
      </c>
      <c r="AD35" s="5">
        <f>AC34-AD34</f>
        <v/>
      </c>
      <c r="AE35" s="5">
        <f>AD34-AE34</f>
        <v/>
      </c>
      <c r="AF35" s="5">
        <f>AE34-AF34</f>
        <v/>
      </c>
      <c r="AG35" s="5">
        <f>AF34-AG34</f>
        <v/>
      </c>
      <c r="AH35" s="5">
        <f>AG34-AH34</f>
        <v/>
      </c>
      <c r="AI35" s="5">
        <f>AH34-AI34</f>
        <v/>
      </c>
      <c r="AJ35" s="5">
        <f>AI34-AJ34</f>
        <v/>
      </c>
      <c r="AK35" s="5">
        <f>AJ34-AK34</f>
        <v/>
      </c>
      <c r="AL35" s="5">
        <f>AK34-AL34</f>
        <v/>
      </c>
      <c r="AM35" s="5">
        <f>AL34-AM34</f>
        <v/>
      </c>
      <c r="AN35" s="5">
        <f>AM34-AN34</f>
        <v/>
      </c>
      <c r="AO35" s="5">
        <f>AN34-AO34</f>
        <v/>
      </c>
      <c r="AP35" s="5">
        <f>AO34-AP34</f>
        <v/>
      </c>
      <c r="AQ35" s="5">
        <f>AP34-AQ34</f>
        <v/>
      </c>
      <c r="AR35" s="5">
        <f>AQ34-AR34</f>
        <v/>
      </c>
      <c r="AS35" s="5">
        <f>AR34-AS34</f>
        <v/>
      </c>
      <c r="AT35" s="5">
        <f>AS34-AT34</f>
        <v/>
      </c>
      <c r="AU35" s="5">
        <f>AT34-AU34</f>
        <v/>
      </c>
      <c r="AV35" s="5">
        <f>AU34-AV34</f>
        <v/>
      </c>
      <c r="AW35" s="5">
        <f>AV34-AW34</f>
        <v/>
      </c>
      <c r="AX35" s="5">
        <f>AW34-AX34</f>
        <v/>
      </c>
      <c r="AY35" s="5">
        <f>AX34-AY34</f>
        <v/>
      </c>
      <c r="AZ35" s="5">
        <f>AY34-AZ34</f>
        <v/>
      </c>
      <c r="BA35" s="5">
        <f>AZ34-BA34</f>
        <v/>
      </c>
      <c r="BB35" s="5">
        <f>BA34-BB34</f>
        <v/>
      </c>
      <c r="BC35" s="5">
        <f>BB34-BC34</f>
        <v/>
      </c>
      <c r="BD35" s="5">
        <f>BC34-BD34</f>
        <v/>
      </c>
      <c r="BE35" s="5">
        <f>BD34-BE34</f>
        <v/>
      </c>
      <c r="BF35" s="5">
        <f>BE34-BF34</f>
        <v/>
      </c>
      <c r="BG35" s="5">
        <f>BF34-BG34</f>
        <v/>
      </c>
      <c r="BH35" s="5">
        <f>BG34-BH34</f>
        <v/>
      </c>
      <c r="BI35" s="5">
        <f>BH34-BI34</f>
        <v/>
      </c>
      <c r="BJ35" s="5">
        <f>BI34-BJ34</f>
        <v/>
      </c>
      <c r="BK35" s="5">
        <f>BJ34-BK34</f>
        <v/>
      </c>
      <c r="BL35" s="5">
        <f>BK34-BL34</f>
        <v/>
      </c>
      <c r="BM35" s="5">
        <f>BL34-BM34</f>
        <v/>
      </c>
      <c r="BN35" s="5">
        <f>BM34-BN34</f>
        <v/>
      </c>
      <c r="BO35" s="5">
        <f>BN34-BO34</f>
        <v/>
      </c>
      <c r="BP35" s="5">
        <f>BO34-BP34</f>
        <v/>
      </c>
      <c r="BQ35" s="5">
        <f>BP34-BQ34</f>
        <v/>
      </c>
      <c r="BR35" s="5">
        <f>BQ34-BR34</f>
        <v/>
      </c>
      <c r="BS35" s="5">
        <f>BR34-BS34</f>
        <v/>
      </c>
      <c r="BT35" s="5">
        <f>BS34-BT34</f>
        <v/>
      </c>
      <c r="BU35" s="5">
        <f>BT34-BU34</f>
        <v/>
      </c>
      <c r="BV35" s="5">
        <f>BU34-BV34</f>
        <v/>
      </c>
    </row>
    <row r="37">
      <c r="A37" t="inlineStr">
        <is>
          <t>opening book (Jan 2025)</t>
        </is>
      </c>
      <c r="B37" t="inlineStr">
        <is>
          <t>LATAM|NITRO_M</t>
        </is>
      </c>
      <c r="C37" s="5">
        <f>Params!$B$14*Params!$B$74*Params!$B$96</f>
        <v/>
      </c>
    </row>
    <row r="38">
      <c r="A38" t="inlineStr">
        <is>
          <t>active</t>
        </is>
      </c>
      <c r="B38" t="inlineStr">
        <is>
          <t>LATAM|NITRO_M</t>
        </is>
      </c>
      <c r="C38" s="5">
        <f>$C$37*(1-Params!$B$15)^(C$2+1)</f>
        <v/>
      </c>
      <c r="D38" s="5">
        <f>$C$37*(1-Params!$B$15)^(D$2+1)</f>
        <v/>
      </c>
      <c r="E38" s="5">
        <f>$C$37*(1-Params!$B$15)^(E$2+1)</f>
        <v/>
      </c>
      <c r="F38" s="5">
        <f>$C$37*(1-Params!$B$15)^(F$2+1)</f>
        <v/>
      </c>
      <c r="G38" s="5">
        <f>$C$37*(1-Params!$B$15)^(G$2+1)</f>
        <v/>
      </c>
      <c r="H38" s="5">
        <f>$C$37*(1-Params!$B$15)^(H$2+1)</f>
        <v/>
      </c>
      <c r="I38" s="5">
        <f>$C$37*(1-Params!$B$15)^(I$2+1)</f>
        <v/>
      </c>
      <c r="J38" s="5">
        <f>$C$37*(1-Params!$B$15)^(J$2+1)</f>
        <v/>
      </c>
      <c r="K38" s="5">
        <f>$C$37*(1-Params!$B$15)^(K$2+1)</f>
        <v/>
      </c>
      <c r="L38" s="5">
        <f>$C$37*(1-Params!$B$15)^(L$2+1)</f>
        <v/>
      </c>
      <c r="M38" s="5">
        <f>$C$37*(1-Params!$B$15)^(M$2+1)</f>
        <v/>
      </c>
      <c r="N38" s="5">
        <f>$C$37*(1-Params!$B$15)^(N$2+1)</f>
        <v/>
      </c>
      <c r="O38" s="5">
        <f>$C$37*(1-Params!$B$15)^(O$2+1)</f>
        <v/>
      </c>
      <c r="P38" s="5">
        <f>$C$37*(1-Params!$B$15)^(P$2+1)</f>
        <v/>
      </c>
      <c r="Q38" s="5">
        <f>$C$37*(1-Params!$B$15)^(Q$2+1)</f>
        <v/>
      </c>
      <c r="R38" s="5">
        <f>$C$37*(1-Params!$B$15)^(R$2+1)</f>
        <v/>
      </c>
      <c r="S38" s="5">
        <f>$C$37*(1-Params!$B$15)^(S$2+1)</f>
        <v/>
      </c>
      <c r="T38" s="5">
        <f>$C$37*(1-Params!$B$15)^(T$2+1)</f>
        <v/>
      </c>
      <c r="U38" s="5">
        <f>$C$37*(1-Params!$B$15)^(U$2+1)</f>
        <v/>
      </c>
      <c r="V38" s="5">
        <f>$C$37*(1-Params!$B$15)^(V$2+1)</f>
        <v/>
      </c>
      <c r="W38" s="5">
        <f>$C$37*(1-Params!$B$15)^(W$2+1)</f>
        <v/>
      </c>
      <c r="X38" s="5">
        <f>$C$37*(1-Params!$B$15)^(X$2+1)</f>
        <v/>
      </c>
      <c r="Y38" s="5">
        <f>$C$37*(1-Params!$B$15)^(Y$2+1)</f>
        <v/>
      </c>
      <c r="Z38" s="5">
        <f>$C$37*(1-Params!$B$15)^(Z$2+1)</f>
        <v/>
      </c>
      <c r="AA38" s="5">
        <f>$C$37*(1-Params!$B$15)^(AA$2+1)</f>
        <v/>
      </c>
      <c r="AB38" s="5">
        <f>$C$37*(1-Params!$B$15)^(AB$2+1)</f>
        <v/>
      </c>
      <c r="AC38" s="5">
        <f>$C$37*(1-Params!$B$15)^(AC$2+1)</f>
        <v/>
      </c>
      <c r="AD38" s="5">
        <f>$C$37*(1-Params!$B$15)^(AD$2+1)</f>
        <v/>
      </c>
      <c r="AE38" s="5">
        <f>$C$37*(1-Params!$B$15)^(AE$2+1)</f>
        <v/>
      </c>
      <c r="AF38" s="5">
        <f>$C$37*(1-Params!$B$15)^(AF$2+1)</f>
        <v/>
      </c>
      <c r="AG38" s="5">
        <f>$C$37*(1-Params!$B$15)^(AG$2+1)</f>
        <v/>
      </c>
      <c r="AH38" s="5">
        <f>$C$37*(1-Params!$B$15)^(AH$2+1)</f>
        <v/>
      </c>
      <c r="AI38" s="5">
        <f>$C$37*(1-Params!$B$15)^(AI$2+1)</f>
        <v/>
      </c>
      <c r="AJ38" s="5">
        <f>$C$37*(1-Params!$B$15)^(AJ$2+1)</f>
        <v/>
      </c>
      <c r="AK38" s="5">
        <f>$C$37*(1-Params!$B$15)^(AK$2+1)</f>
        <v/>
      </c>
      <c r="AL38" s="5">
        <f>$C$37*(1-Params!$B$15)^(AL$2+1)</f>
        <v/>
      </c>
      <c r="AM38" s="5">
        <f>$C$37*(1-Params!$B$15)^(AM$2+1)</f>
        <v/>
      </c>
      <c r="AN38" s="5">
        <f>$C$37*(1-Params!$B$15)^(AN$2+1)</f>
        <v/>
      </c>
      <c r="AO38" s="5">
        <f>$C$37*(1-Params!$B$15)^(AO$2+1)</f>
        <v/>
      </c>
      <c r="AP38" s="5">
        <f>$C$37*(1-Params!$B$15)^(AP$2+1)</f>
        <v/>
      </c>
      <c r="AQ38" s="5">
        <f>$C$37*(1-Params!$B$15)^(AQ$2+1)</f>
        <v/>
      </c>
      <c r="AR38" s="5">
        <f>$C$37*(1-Params!$B$15)^(AR$2+1)</f>
        <v/>
      </c>
      <c r="AS38" s="5">
        <f>$C$37*(1-Params!$B$15)^(AS$2+1)</f>
        <v/>
      </c>
      <c r="AT38" s="5">
        <f>$C$37*(1-Params!$B$15)^(AT$2+1)</f>
        <v/>
      </c>
      <c r="AU38" s="5">
        <f>$C$37*(1-Params!$B$15)^(AU$2+1)</f>
        <v/>
      </c>
      <c r="AV38" s="5">
        <f>$C$37*(1-Params!$B$15)^(AV$2+1)</f>
        <v/>
      </c>
      <c r="AW38" s="5">
        <f>$C$37*(1-Params!$B$15)^(AW$2+1)</f>
        <v/>
      </c>
      <c r="AX38" s="5">
        <f>$C$37*(1-Params!$B$15)^(AX$2+1)</f>
        <v/>
      </c>
      <c r="AY38" s="5">
        <f>$C$37*(1-Params!$B$15)^(AY$2+1)</f>
        <v/>
      </c>
      <c r="AZ38" s="5">
        <f>$C$37*(1-Params!$B$15)^(AZ$2+1)</f>
        <v/>
      </c>
      <c r="BA38" s="5">
        <f>$C$37*(1-Params!$B$15)^(BA$2+1)</f>
        <v/>
      </c>
      <c r="BB38" s="5">
        <f>$C$37*(1-Params!$B$15)^(BB$2+1)</f>
        <v/>
      </c>
      <c r="BC38" s="5">
        <f>$C$37*(1-Params!$B$15)^(BC$2+1)</f>
        <v/>
      </c>
      <c r="BD38" s="5">
        <f>$C$37*(1-Params!$B$15)^(BD$2+1)</f>
        <v/>
      </c>
      <c r="BE38" s="5">
        <f>$C$37*(1-Params!$B$15)^(BE$2+1)</f>
        <v/>
      </c>
      <c r="BF38" s="5">
        <f>$C$37*(1-Params!$B$15)^(BF$2+1)</f>
        <v/>
      </c>
      <c r="BG38" s="5">
        <f>$C$37*(1-Params!$B$15)^(BG$2+1)</f>
        <v/>
      </c>
      <c r="BH38" s="5">
        <f>$C$37*(1-Params!$B$15)^(BH$2+1)</f>
        <v/>
      </c>
      <c r="BI38" s="5">
        <f>$C$37*(1-Params!$B$15)^(BI$2+1)</f>
        <v/>
      </c>
      <c r="BJ38" s="5">
        <f>$C$37*(1-Params!$B$15)^(BJ$2+1)</f>
        <v/>
      </c>
      <c r="BK38" s="5">
        <f>$C$37*(1-Params!$B$15)^(BK$2+1)</f>
        <v/>
      </c>
      <c r="BL38" s="5">
        <f>$C$37*(1-Params!$B$15)^(BL$2+1)</f>
        <v/>
      </c>
      <c r="BM38" s="5">
        <f>$C$37*(1-Params!$B$15)^(BM$2+1)</f>
        <v/>
      </c>
      <c r="BN38" s="5">
        <f>$C$37*(1-Params!$B$15)^(BN$2+1)</f>
        <v/>
      </c>
      <c r="BO38" s="5">
        <f>$C$37*(1-Params!$B$15)^(BO$2+1)</f>
        <v/>
      </c>
      <c r="BP38" s="5">
        <f>$C$37*(1-Params!$B$15)^(BP$2+1)</f>
        <v/>
      </c>
      <c r="BQ38" s="5">
        <f>$C$37*(1-Params!$B$15)^(BQ$2+1)</f>
        <v/>
      </c>
      <c r="BR38" s="5">
        <f>$C$37*(1-Params!$B$15)^(BR$2+1)</f>
        <v/>
      </c>
      <c r="BS38" s="5">
        <f>$C$37*(1-Params!$B$15)^(BS$2+1)</f>
        <v/>
      </c>
      <c r="BT38" s="5">
        <f>$C$37*(1-Params!$B$15)^(BT$2+1)</f>
        <v/>
      </c>
      <c r="BU38" s="5">
        <f>$C$37*(1-Params!$B$15)^(BU$2+1)</f>
        <v/>
      </c>
      <c r="BV38" s="5">
        <f>$C$37*(1-Params!$B$15)^(BV$2+1)</f>
        <v/>
      </c>
    </row>
    <row r="39">
      <c r="A39" t="inlineStr">
        <is>
          <t>churned</t>
        </is>
      </c>
      <c r="B39" t="inlineStr">
        <is>
          <t>LATAM|NITRO_M</t>
        </is>
      </c>
      <c r="C39" s="5">
        <f>$C$37-C38</f>
        <v/>
      </c>
      <c r="D39" s="5">
        <f>C38-D38</f>
        <v/>
      </c>
      <c r="E39" s="5">
        <f>D38-E38</f>
        <v/>
      </c>
      <c r="F39" s="5">
        <f>E38-F38</f>
        <v/>
      </c>
      <c r="G39" s="5">
        <f>F38-G38</f>
        <v/>
      </c>
      <c r="H39" s="5">
        <f>G38-H38</f>
        <v/>
      </c>
      <c r="I39" s="5">
        <f>H38-I38</f>
        <v/>
      </c>
      <c r="J39" s="5">
        <f>I38-J38</f>
        <v/>
      </c>
      <c r="K39" s="5">
        <f>J38-K38</f>
        <v/>
      </c>
      <c r="L39" s="5">
        <f>K38-L38</f>
        <v/>
      </c>
      <c r="M39" s="5">
        <f>L38-M38</f>
        <v/>
      </c>
      <c r="N39" s="5">
        <f>M38-N38</f>
        <v/>
      </c>
      <c r="O39" s="5">
        <f>N38-O38</f>
        <v/>
      </c>
      <c r="P39" s="5">
        <f>O38-P38</f>
        <v/>
      </c>
      <c r="Q39" s="5">
        <f>P38-Q38</f>
        <v/>
      </c>
      <c r="R39" s="5">
        <f>Q38-R38</f>
        <v/>
      </c>
      <c r="S39" s="5">
        <f>R38-S38</f>
        <v/>
      </c>
      <c r="T39" s="5">
        <f>S38-T38</f>
        <v/>
      </c>
      <c r="U39" s="5">
        <f>T38-U38</f>
        <v/>
      </c>
      <c r="V39" s="5">
        <f>U38-V38</f>
        <v/>
      </c>
      <c r="W39" s="5">
        <f>V38-W38</f>
        <v/>
      </c>
      <c r="X39" s="5">
        <f>W38-X38</f>
        <v/>
      </c>
      <c r="Y39" s="5">
        <f>X38-Y38</f>
        <v/>
      </c>
      <c r="Z39" s="5">
        <f>Y38-Z38</f>
        <v/>
      </c>
      <c r="AA39" s="5">
        <f>Z38-AA38</f>
        <v/>
      </c>
      <c r="AB39" s="5">
        <f>AA38-AB38</f>
        <v/>
      </c>
      <c r="AC39" s="5">
        <f>AB38-AC38</f>
        <v/>
      </c>
      <c r="AD39" s="5">
        <f>AC38-AD38</f>
        <v/>
      </c>
      <c r="AE39" s="5">
        <f>AD38-AE38</f>
        <v/>
      </c>
      <c r="AF39" s="5">
        <f>AE38-AF38</f>
        <v/>
      </c>
      <c r="AG39" s="5">
        <f>AF38-AG38</f>
        <v/>
      </c>
      <c r="AH39" s="5">
        <f>AG38-AH38</f>
        <v/>
      </c>
      <c r="AI39" s="5">
        <f>AH38-AI38</f>
        <v/>
      </c>
      <c r="AJ39" s="5">
        <f>AI38-AJ38</f>
        <v/>
      </c>
      <c r="AK39" s="5">
        <f>AJ38-AK38</f>
        <v/>
      </c>
      <c r="AL39" s="5">
        <f>AK38-AL38</f>
        <v/>
      </c>
      <c r="AM39" s="5">
        <f>AL38-AM38</f>
        <v/>
      </c>
      <c r="AN39" s="5">
        <f>AM38-AN38</f>
        <v/>
      </c>
      <c r="AO39" s="5">
        <f>AN38-AO38</f>
        <v/>
      </c>
      <c r="AP39" s="5">
        <f>AO38-AP38</f>
        <v/>
      </c>
      <c r="AQ39" s="5">
        <f>AP38-AQ38</f>
        <v/>
      </c>
      <c r="AR39" s="5">
        <f>AQ38-AR38</f>
        <v/>
      </c>
      <c r="AS39" s="5">
        <f>AR38-AS38</f>
        <v/>
      </c>
      <c r="AT39" s="5">
        <f>AS38-AT38</f>
        <v/>
      </c>
      <c r="AU39" s="5">
        <f>AT38-AU38</f>
        <v/>
      </c>
      <c r="AV39" s="5">
        <f>AU38-AV38</f>
        <v/>
      </c>
      <c r="AW39" s="5">
        <f>AV38-AW38</f>
        <v/>
      </c>
      <c r="AX39" s="5">
        <f>AW38-AX38</f>
        <v/>
      </c>
      <c r="AY39" s="5">
        <f>AX38-AY38</f>
        <v/>
      </c>
      <c r="AZ39" s="5">
        <f>AY38-AZ38</f>
        <v/>
      </c>
      <c r="BA39" s="5">
        <f>AZ38-BA38</f>
        <v/>
      </c>
      <c r="BB39" s="5">
        <f>BA38-BB38</f>
        <v/>
      </c>
      <c r="BC39" s="5">
        <f>BB38-BC38</f>
        <v/>
      </c>
      <c r="BD39" s="5">
        <f>BC38-BD38</f>
        <v/>
      </c>
      <c r="BE39" s="5">
        <f>BD38-BE38</f>
        <v/>
      </c>
      <c r="BF39" s="5">
        <f>BE38-BF38</f>
        <v/>
      </c>
      <c r="BG39" s="5">
        <f>BF38-BG38</f>
        <v/>
      </c>
      <c r="BH39" s="5">
        <f>BG38-BH38</f>
        <v/>
      </c>
      <c r="BI39" s="5">
        <f>BH38-BI38</f>
        <v/>
      </c>
      <c r="BJ39" s="5">
        <f>BI38-BJ38</f>
        <v/>
      </c>
      <c r="BK39" s="5">
        <f>BJ38-BK38</f>
        <v/>
      </c>
      <c r="BL39" s="5">
        <f>BK38-BL38</f>
        <v/>
      </c>
      <c r="BM39" s="5">
        <f>BL38-BM38</f>
        <v/>
      </c>
      <c r="BN39" s="5">
        <f>BM38-BN38</f>
        <v/>
      </c>
      <c r="BO39" s="5">
        <f>BN38-BO38</f>
        <v/>
      </c>
      <c r="BP39" s="5">
        <f>BO38-BP38</f>
        <v/>
      </c>
      <c r="BQ39" s="5">
        <f>BP38-BQ38</f>
        <v/>
      </c>
      <c r="BR39" s="5">
        <f>BQ38-BR38</f>
        <v/>
      </c>
      <c r="BS39" s="5">
        <f>BR38-BS38</f>
        <v/>
      </c>
      <c r="BT39" s="5">
        <f>BS38-BT38</f>
        <v/>
      </c>
      <c r="BU39" s="5">
        <f>BT38-BU38</f>
        <v/>
      </c>
      <c r="BV39" s="5">
        <f>BU38-BV38</f>
        <v/>
      </c>
    </row>
    <row r="41">
      <c r="A41" t="inlineStr">
        <is>
          <t>opening book (Jan 2025)</t>
        </is>
      </c>
      <c r="B41" t="inlineStr">
        <is>
          <t>LATAM|NITRO_A</t>
        </is>
      </c>
      <c r="C41" s="5">
        <f>Params!$B$14*Params!$B$74*Params!$B$97</f>
        <v/>
      </c>
    </row>
    <row r="42">
      <c r="A42" t="inlineStr">
        <is>
          <t>active</t>
        </is>
      </c>
      <c r="B42" t="inlineStr">
        <is>
          <t>LATAM|NITRO_A</t>
        </is>
      </c>
      <c r="C42" s="5">
        <f>$C$41*((MOD(C$2,12)+1)*Params!$B$42^(INT(C$2/12)+1)+(11-MOD(C$2,12))*Params!$B$42^INT(C$2/12))/12</f>
        <v/>
      </c>
      <c r="D42" s="5">
        <f>$C$41*((MOD(D$2,12)+1)*Params!$B$42^(INT(D$2/12)+1)+(11-MOD(D$2,12))*Params!$B$42^INT(D$2/12))/12</f>
        <v/>
      </c>
      <c r="E42" s="5">
        <f>$C$41*((MOD(E$2,12)+1)*Params!$B$42^(INT(E$2/12)+1)+(11-MOD(E$2,12))*Params!$B$42^INT(E$2/12))/12</f>
        <v/>
      </c>
      <c r="F42" s="5">
        <f>$C$41*((MOD(F$2,12)+1)*Params!$B$42^(INT(F$2/12)+1)+(11-MOD(F$2,12))*Params!$B$42^INT(F$2/12))/12</f>
        <v/>
      </c>
      <c r="G42" s="5">
        <f>$C$41*((MOD(G$2,12)+1)*Params!$B$42^(INT(G$2/12)+1)+(11-MOD(G$2,12))*Params!$B$42^INT(G$2/12))/12</f>
        <v/>
      </c>
      <c r="H42" s="5">
        <f>$C$41*((MOD(H$2,12)+1)*Params!$B$42^(INT(H$2/12)+1)+(11-MOD(H$2,12))*Params!$B$42^INT(H$2/12))/12</f>
        <v/>
      </c>
      <c r="I42" s="5">
        <f>$C$41*((MOD(I$2,12)+1)*Params!$B$42^(INT(I$2/12)+1)+(11-MOD(I$2,12))*Params!$B$42^INT(I$2/12))/12</f>
        <v/>
      </c>
      <c r="J42" s="5">
        <f>$C$41*((MOD(J$2,12)+1)*Params!$B$42^(INT(J$2/12)+1)+(11-MOD(J$2,12))*Params!$B$42^INT(J$2/12))/12</f>
        <v/>
      </c>
      <c r="K42" s="5">
        <f>$C$41*((MOD(K$2,12)+1)*Params!$B$42^(INT(K$2/12)+1)+(11-MOD(K$2,12))*Params!$B$42^INT(K$2/12))/12</f>
        <v/>
      </c>
      <c r="L42" s="5">
        <f>$C$41*((MOD(L$2,12)+1)*Params!$B$42^(INT(L$2/12)+1)+(11-MOD(L$2,12))*Params!$B$42^INT(L$2/12))/12</f>
        <v/>
      </c>
      <c r="M42" s="5">
        <f>$C$41*((MOD(M$2,12)+1)*Params!$B$42^(INT(M$2/12)+1)+(11-MOD(M$2,12))*Params!$B$42^INT(M$2/12))/12</f>
        <v/>
      </c>
      <c r="N42" s="5">
        <f>$C$41*((MOD(N$2,12)+1)*Params!$B$42^(INT(N$2/12)+1)+(11-MOD(N$2,12))*Params!$B$42^INT(N$2/12))/12</f>
        <v/>
      </c>
      <c r="O42" s="5">
        <f>$C$41*((MOD(O$2,12)+1)*Params!$B$42^(INT(O$2/12)+1)+(11-MOD(O$2,12))*Params!$B$42^INT(O$2/12))/12</f>
        <v/>
      </c>
      <c r="P42" s="5">
        <f>$C$41*((MOD(P$2,12)+1)*Params!$B$42^(INT(P$2/12)+1)+(11-MOD(P$2,12))*Params!$B$42^INT(P$2/12))/12</f>
        <v/>
      </c>
      <c r="Q42" s="5">
        <f>$C$41*((MOD(Q$2,12)+1)*Params!$B$42^(INT(Q$2/12)+1)+(11-MOD(Q$2,12))*Params!$B$42^INT(Q$2/12))/12</f>
        <v/>
      </c>
      <c r="R42" s="5">
        <f>$C$41*((MOD(R$2,12)+1)*Params!$B$42^(INT(R$2/12)+1)+(11-MOD(R$2,12))*Params!$B$42^INT(R$2/12))/12</f>
        <v/>
      </c>
      <c r="S42" s="5">
        <f>$C$41*((MOD(S$2,12)+1)*Params!$B$42^(INT(S$2/12)+1)+(11-MOD(S$2,12))*Params!$B$42^INT(S$2/12))/12</f>
        <v/>
      </c>
      <c r="T42" s="5">
        <f>$C$41*((MOD(T$2,12)+1)*Params!$B$42^(INT(T$2/12)+1)+(11-MOD(T$2,12))*Params!$B$42^INT(T$2/12))/12</f>
        <v/>
      </c>
      <c r="U42" s="5">
        <f>$C$41*((MOD(U$2,12)+1)*Params!$B$42^(INT(U$2/12)+1)+(11-MOD(U$2,12))*Params!$B$42^INT(U$2/12))/12</f>
        <v/>
      </c>
      <c r="V42" s="5">
        <f>$C$41*((MOD(V$2,12)+1)*Params!$B$42^(INT(V$2/12)+1)+(11-MOD(V$2,12))*Params!$B$42^INT(V$2/12))/12</f>
        <v/>
      </c>
      <c r="W42" s="5">
        <f>$C$41*((MOD(W$2,12)+1)*Params!$B$42^(INT(W$2/12)+1)+(11-MOD(W$2,12))*Params!$B$42^INT(W$2/12))/12</f>
        <v/>
      </c>
      <c r="X42" s="5">
        <f>$C$41*((MOD(X$2,12)+1)*Params!$B$42^(INT(X$2/12)+1)+(11-MOD(X$2,12))*Params!$B$42^INT(X$2/12))/12</f>
        <v/>
      </c>
      <c r="Y42" s="5">
        <f>$C$41*((MOD(Y$2,12)+1)*Params!$B$42^(INT(Y$2/12)+1)+(11-MOD(Y$2,12))*Params!$B$42^INT(Y$2/12))/12</f>
        <v/>
      </c>
      <c r="Z42" s="5">
        <f>$C$41*((MOD(Z$2,12)+1)*Params!$B$42^(INT(Z$2/12)+1)+(11-MOD(Z$2,12))*Params!$B$42^INT(Z$2/12))/12</f>
        <v/>
      </c>
      <c r="AA42" s="5">
        <f>$C$41*((MOD(AA$2,12)+1)*Params!$B$42^(INT(AA$2/12)+1)+(11-MOD(AA$2,12))*Params!$B$42^INT(AA$2/12))/12</f>
        <v/>
      </c>
      <c r="AB42" s="5">
        <f>$C$41*((MOD(AB$2,12)+1)*Params!$B$42^(INT(AB$2/12)+1)+(11-MOD(AB$2,12))*Params!$B$42^INT(AB$2/12))/12</f>
        <v/>
      </c>
      <c r="AC42" s="5">
        <f>$C$41*((MOD(AC$2,12)+1)*Params!$B$42^(INT(AC$2/12)+1)+(11-MOD(AC$2,12))*Params!$B$42^INT(AC$2/12))/12</f>
        <v/>
      </c>
      <c r="AD42" s="5">
        <f>$C$41*((MOD(AD$2,12)+1)*Params!$B$42^(INT(AD$2/12)+1)+(11-MOD(AD$2,12))*Params!$B$42^INT(AD$2/12))/12</f>
        <v/>
      </c>
      <c r="AE42" s="5">
        <f>$C$41*((MOD(AE$2,12)+1)*Params!$B$42^(INT(AE$2/12)+1)+(11-MOD(AE$2,12))*Params!$B$42^INT(AE$2/12))/12</f>
        <v/>
      </c>
      <c r="AF42" s="5">
        <f>$C$41*((MOD(AF$2,12)+1)*Params!$B$42^(INT(AF$2/12)+1)+(11-MOD(AF$2,12))*Params!$B$42^INT(AF$2/12))/12</f>
        <v/>
      </c>
      <c r="AG42" s="5">
        <f>$C$41*((MOD(AG$2,12)+1)*Params!$B$42^(INT(AG$2/12)+1)+(11-MOD(AG$2,12))*Params!$B$42^INT(AG$2/12))/12</f>
        <v/>
      </c>
      <c r="AH42" s="5">
        <f>$C$41*((MOD(AH$2,12)+1)*Params!$B$42^(INT(AH$2/12)+1)+(11-MOD(AH$2,12))*Params!$B$42^INT(AH$2/12))/12</f>
        <v/>
      </c>
      <c r="AI42" s="5">
        <f>$C$41*((MOD(AI$2,12)+1)*Params!$B$42^(INT(AI$2/12)+1)+(11-MOD(AI$2,12))*Params!$B$42^INT(AI$2/12))/12</f>
        <v/>
      </c>
      <c r="AJ42" s="5">
        <f>$C$41*((MOD(AJ$2,12)+1)*Params!$B$42^(INT(AJ$2/12)+1)+(11-MOD(AJ$2,12))*Params!$B$42^INT(AJ$2/12))/12</f>
        <v/>
      </c>
      <c r="AK42" s="5">
        <f>$C$41*((MOD(AK$2,12)+1)*Params!$B$42^(INT(AK$2/12)+1)+(11-MOD(AK$2,12))*Params!$B$42^INT(AK$2/12))/12</f>
        <v/>
      </c>
      <c r="AL42" s="5">
        <f>$C$41*((MOD(AL$2,12)+1)*Params!$B$42^(INT(AL$2/12)+1)+(11-MOD(AL$2,12))*Params!$B$42^INT(AL$2/12))/12</f>
        <v/>
      </c>
      <c r="AM42" s="5">
        <f>$C$41*((MOD(AM$2,12)+1)*Params!$B$42^(INT(AM$2/12)+1)+(11-MOD(AM$2,12))*Params!$B$42^INT(AM$2/12))/12</f>
        <v/>
      </c>
      <c r="AN42" s="5">
        <f>$C$41*((MOD(AN$2,12)+1)*Params!$B$42^(INT(AN$2/12)+1)+(11-MOD(AN$2,12))*Params!$B$42^INT(AN$2/12))/12</f>
        <v/>
      </c>
      <c r="AO42" s="5">
        <f>$C$41*((MOD(AO$2,12)+1)*Params!$B$42^(INT(AO$2/12)+1)+(11-MOD(AO$2,12))*Params!$B$42^INT(AO$2/12))/12</f>
        <v/>
      </c>
      <c r="AP42" s="5">
        <f>$C$41*((MOD(AP$2,12)+1)*Params!$B$42^(INT(AP$2/12)+1)+(11-MOD(AP$2,12))*Params!$B$42^INT(AP$2/12))/12</f>
        <v/>
      </c>
      <c r="AQ42" s="5">
        <f>$C$41*((MOD(AQ$2,12)+1)*Params!$B$42^(INT(AQ$2/12)+1)+(11-MOD(AQ$2,12))*Params!$B$42^INT(AQ$2/12))/12</f>
        <v/>
      </c>
      <c r="AR42" s="5">
        <f>$C$41*((MOD(AR$2,12)+1)*Params!$B$42^(INT(AR$2/12)+1)+(11-MOD(AR$2,12))*Params!$B$42^INT(AR$2/12))/12</f>
        <v/>
      </c>
      <c r="AS42" s="5">
        <f>$C$41*((MOD(AS$2,12)+1)*Params!$B$42^(INT(AS$2/12)+1)+(11-MOD(AS$2,12))*Params!$B$42^INT(AS$2/12))/12</f>
        <v/>
      </c>
      <c r="AT42" s="5">
        <f>$C$41*((MOD(AT$2,12)+1)*Params!$B$42^(INT(AT$2/12)+1)+(11-MOD(AT$2,12))*Params!$B$42^INT(AT$2/12))/12</f>
        <v/>
      </c>
      <c r="AU42" s="5">
        <f>$C$41*((MOD(AU$2,12)+1)*Params!$B$42^(INT(AU$2/12)+1)+(11-MOD(AU$2,12))*Params!$B$42^INT(AU$2/12))/12</f>
        <v/>
      </c>
      <c r="AV42" s="5">
        <f>$C$41*((MOD(AV$2,12)+1)*Params!$B$42^(INT(AV$2/12)+1)+(11-MOD(AV$2,12))*Params!$B$42^INT(AV$2/12))/12</f>
        <v/>
      </c>
      <c r="AW42" s="5">
        <f>$C$41*((MOD(AW$2,12)+1)*Params!$B$42^(INT(AW$2/12)+1)+(11-MOD(AW$2,12))*Params!$B$42^INT(AW$2/12))/12</f>
        <v/>
      </c>
      <c r="AX42" s="5">
        <f>$C$41*((MOD(AX$2,12)+1)*Params!$B$42^(INT(AX$2/12)+1)+(11-MOD(AX$2,12))*Params!$B$42^INT(AX$2/12))/12</f>
        <v/>
      </c>
      <c r="AY42" s="5">
        <f>$C$41*((MOD(AY$2,12)+1)*Params!$B$42^(INT(AY$2/12)+1)+(11-MOD(AY$2,12))*Params!$B$42^INT(AY$2/12))/12</f>
        <v/>
      </c>
      <c r="AZ42" s="5">
        <f>$C$41*((MOD(AZ$2,12)+1)*Params!$B$42^(INT(AZ$2/12)+1)+(11-MOD(AZ$2,12))*Params!$B$42^INT(AZ$2/12))/12</f>
        <v/>
      </c>
      <c r="BA42" s="5">
        <f>$C$41*((MOD(BA$2,12)+1)*Params!$B$42^(INT(BA$2/12)+1)+(11-MOD(BA$2,12))*Params!$B$42^INT(BA$2/12))/12</f>
        <v/>
      </c>
      <c r="BB42" s="5">
        <f>$C$41*((MOD(BB$2,12)+1)*Params!$B$42^(INT(BB$2/12)+1)+(11-MOD(BB$2,12))*Params!$B$42^INT(BB$2/12))/12</f>
        <v/>
      </c>
      <c r="BC42" s="5">
        <f>$C$41*((MOD(BC$2,12)+1)*Params!$B$42^(INT(BC$2/12)+1)+(11-MOD(BC$2,12))*Params!$B$42^INT(BC$2/12))/12</f>
        <v/>
      </c>
      <c r="BD42" s="5">
        <f>$C$41*((MOD(BD$2,12)+1)*Params!$B$42^(INT(BD$2/12)+1)+(11-MOD(BD$2,12))*Params!$B$42^INT(BD$2/12))/12</f>
        <v/>
      </c>
      <c r="BE42" s="5">
        <f>$C$41*((MOD(BE$2,12)+1)*Params!$B$42^(INT(BE$2/12)+1)+(11-MOD(BE$2,12))*Params!$B$42^INT(BE$2/12))/12</f>
        <v/>
      </c>
      <c r="BF42" s="5">
        <f>$C$41*((MOD(BF$2,12)+1)*Params!$B$42^(INT(BF$2/12)+1)+(11-MOD(BF$2,12))*Params!$B$42^INT(BF$2/12))/12</f>
        <v/>
      </c>
      <c r="BG42" s="5">
        <f>$C$41*((MOD(BG$2,12)+1)*Params!$B$42^(INT(BG$2/12)+1)+(11-MOD(BG$2,12))*Params!$B$42^INT(BG$2/12))/12</f>
        <v/>
      </c>
      <c r="BH42" s="5">
        <f>$C$41*((MOD(BH$2,12)+1)*Params!$B$42^(INT(BH$2/12)+1)+(11-MOD(BH$2,12))*Params!$B$42^INT(BH$2/12))/12</f>
        <v/>
      </c>
      <c r="BI42" s="5">
        <f>$C$41*((MOD(BI$2,12)+1)*Params!$B$42^(INT(BI$2/12)+1)+(11-MOD(BI$2,12))*Params!$B$42^INT(BI$2/12))/12</f>
        <v/>
      </c>
      <c r="BJ42" s="5">
        <f>$C$41*((MOD(BJ$2,12)+1)*Params!$B$42^(INT(BJ$2/12)+1)+(11-MOD(BJ$2,12))*Params!$B$42^INT(BJ$2/12))/12</f>
        <v/>
      </c>
      <c r="BK42" s="5">
        <f>$C$41*((MOD(BK$2,12)+1)*Params!$B$42^(INT(BK$2/12)+1)+(11-MOD(BK$2,12))*Params!$B$42^INT(BK$2/12))/12</f>
        <v/>
      </c>
      <c r="BL42" s="5">
        <f>$C$41*((MOD(BL$2,12)+1)*Params!$B$42^(INT(BL$2/12)+1)+(11-MOD(BL$2,12))*Params!$B$42^INT(BL$2/12))/12</f>
        <v/>
      </c>
      <c r="BM42" s="5">
        <f>$C$41*((MOD(BM$2,12)+1)*Params!$B$42^(INT(BM$2/12)+1)+(11-MOD(BM$2,12))*Params!$B$42^INT(BM$2/12))/12</f>
        <v/>
      </c>
      <c r="BN42" s="5">
        <f>$C$41*((MOD(BN$2,12)+1)*Params!$B$42^(INT(BN$2/12)+1)+(11-MOD(BN$2,12))*Params!$B$42^INT(BN$2/12))/12</f>
        <v/>
      </c>
      <c r="BO42" s="5">
        <f>$C$41*((MOD(BO$2,12)+1)*Params!$B$42^(INT(BO$2/12)+1)+(11-MOD(BO$2,12))*Params!$B$42^INT(BO$2/12))/12</f>
        <v/>
      </c>
      <c r="BP42" s="5">
        <f>$C$41*((MOD(BP$2,12)+1)*Params!$B$42^(INT(BP$2/12)+1)+(11-MOD(BP$2,12))*Params!$B$42^INT(BP$2/12))/12</f>
        <v/>
      </c>
      <c r="BQ42" s="5">
        <f>$C$41*((MOD(BQ$2,12)+1)*Params!$B$42^(INT(BQ$2/12)+1)+(11-MOD(BQ$2,12))*Params!$B$42^INT(BQ$2/12))/12</f>
        <v/>
      </c>
      <c r="BR42" s="5">
        <f>$C$41*((MOD(BR$2,12)+1)*Params!$B$42^(INT(BR$2/12)+1)+(11-MOD(BR$2,12))*Params!$B$42^INT(BR$2/12))/12</f>
        <v/>
      </c>
      <c r="BS42" s="5">
        <f>$C$41*((MOD(BS$2,12)+1)*Params!$B$42^(INT(BS$2/12)+1)+(11-MOD(BS$2,12))*Params!$B$42^INT(BS$2/12))/12</f>
        <v/>
      </c>
      <c r="BT42" s="5">
        <f>$C$41*((MOD(BT$2,12)+1)*Params!$B$42^(INT(BT$2/12)+1)+(11-MOD(BT$2,12))*Params!$B$42^INT(BT$2/12))/12</f>
        <v/>
      </c>
      <c r="BU42" s="5">
        <f>$C$41*((MOD(BU$2,12)+1)*Params!$B$42^(INT(BU$2/12)+1)+(11-MOD(BU$2,12))*Params!$B$42^INT(BU$2/12))/12</f>
        <v/>
      </c>
      <c r="BV42" s="5">
        <f>$C$41*((MOD(BV$2,12)+1)*Params!$B$42^(INT(BV$2/12)+1)+(11-MOD(BV$2,12))*Params!$B$42^INT(BV$2/12))/12</f>
        <v/>
      </c>
    </row>
    <row r="43">
      <c r="A43" t="inlineStr">
        <is>
          <t>churned</t>
        </is>
      </c>
      <c r="B43" t="inlineStr">
        <is>
          <t>LATAM|NITRO_A</t>
        </is>
      </c>
      <c r="C43" s="5">
        <f>$C$41-C42</f>
        <v/>
      </c>
      <c r="D43" s="5">
        <f>C42-D42</f>
        <v/>
      </c>
      <c r="E43" s="5">
        <f>D42-E42</f>
        <v/>
      </c>
      <c r="F43" s="5">
        <f>E42-F42</f>
        <v/>
      </c>
      <c r="G43" s="5">
        <f>F42-G42</f>
        <v/>
      </c>
      <c r="H43" s="5">
        <f>G42-H42</f>
        <v/>
      </c>
      <c r="I43" s="5">
        <f>H42-I42</f>
        <v/>
      </c>
      <c r="J43" s="5">
        <f>I42-J42</f>
        <v/>
      </c>
      <c r="K43" s="5">
        <f>J42-K42</f>
        <v/>
      </c>
      <c r="L43" s="5">
        <f>K42-L42</f>
        <v/>
      </c>
      <c r="M43" s="5">
        <f>L42-M42</f>
        <v/>
      </c>
      <c r="N43" s="5">
        <f>M42-N42</f>
        <v/>
      </c>
      <c r="O43" s="5">
        <f>N42-O42</f>
        <v/>
      </c>
      <c r="P43" s="5">
        <f>O42-P42</f>
        <v/>
      </c>
      <c r="Q43" s="5">
        <f>P42-Q42</f>
        <v/>
      </c>
      <c r="R43" s="5">
        <f>Q42-R42</f>
        <v/>
      </c>
      <c r="S43" s="5">
        <f>R42-S42</f>
        <v/>
      </c>
      <c r="T43" s="5">
        <f>S42-T42</f>
        <v/>
      </c>
      <c r="U43" s="5">
        <f>T42-U42</f>
        <v/>
      </c>
      <c r="V43" s="5">
        <f>U42-V42</f>
        <v/>
      </c>
      <c r="W43" s="5">
        <f>V42-W42</f>
        <v/>
      </c>
      <c r="X43" s="5">
        <f>W42-X42</f>
        <v/>
      </c>
      <c r="Y43" s="5">
        <f>X42-Y42</f>
        <v/>
      </c>
      <c r="Z43" s="5">
        <f>Y42-Z42</f>
        <v/>
      </c>
      <c r="AA43" s="5">
        <f>Z42-AA42</f>
        <v/>
      </c>
      <c r="AB43" s="5">
        <f>AA42-AB42</f>
        <v/>
      </c>
      <c r="AC43" s="5">
        <f>AB42-AC42</f>
        <v/>
      </c>
      <c r="AD43" s="5">
        <f>AC42-AD42</f>
        <v/>
      </c>
      <c r="AE43" s="5">
        <f>AD42-AE42</f>
        <v/>
      </c>
      <c r="AF43" s="5">
        <f>AE42-AF42</f>
        <v/>
      </c>
      <c r="AG43" s="5">
        <f>AF42-AG42</f>
        <v/>
      </c>
      <c r="AH43" s="5">
        <f>AG42-AH42</f>
        <v/>
      </c>
      <c r="AI43" s="5">
        <f>AH42-AI42</f>
        <v/>
      </c>
      <c r="AJ43" s="5">
        <f>AI42-AJ42</f>
        <v/>
      </c>
      <c r="AK43" s="5">
        <f>AJ42-AK42</f>
        <v/>
      </c>
      <c r="AL43" s="5">
        <f>AK42-AL42</f>
        <v/>
      </c>
      <c r="AM43" s="5">
        <f>AL42-AM42</f>
        <v/>
      </c>
      <c r="AN43" s="5">
        <f>AM42-AN42</f>
        <v/>
      </c>
      <c r="AO43" s="5">
        <f>AN42-AO42</f>
        <v/>
      </c>
      <c r="AP43" s="5">
        <f>AO42-AP42</f>
        <v/>
      </c>
      <c r="AQ43" s="5">
        <f>AP42-AQ42</f>
        <v/>
      </c>
      <c r="AR43" s="5">
        <f>AQ42-AR42</f>
        <v/>
      </c>
      <c r="AS43" s="5">
        <f>AR42-AS42</f>
        <v/>
      </c>
      <c r="AT43" s="5">
        <f>AS42-AT42</f>
        <v/>
      </c>
      <c r="AU43" s="5">
        <f>AT42-AU42</f>
        <v/>
      </c>
      <c r="AV43" s="5">
        <f>AU42-AV42</f>
        <v/>
      </c>
      <c r="AW43" s="5">
        <f>AV42-AW42</f>
        <v/>
      </c>
      <c r="AX43" s="5">
        <f>AW42-AX42</f>
        <v/>
      </c>
      <c r="AY43" s="5">
        <f>AX42-AY42</f>
        <v/>
      </c>
      <c r="AZ43" s="5">
        <f>AY42-AZ42</f>
        <v/>
      </c>
      <c r="BA43" s="5">
        <f>AZ42-BA42</f>
        <v/>
      </c>
      <c r="BB43" s="5">
        <f>BA42-BB42</f>
        <v/>
      </c>
      <c r="BC43" s="5">
        <f>BB42-BC42</f>
        <v/>
      </c>
      <c r="BD43" s="5">
        <f>BC42-BD42</f>
        <v/>
      </c>
      <c r="BE43" s="5">
        <f>BD42-BE42</f>
        <v/>
      </c>
      <c r="BF43" s="5">
        <f>BE42-BF42</f>
        <v/>
      </c>
      <c r="BG43" s="5">
        <f>BF42-BG42</f>
        <v/>
      </c>
      <c r="BH43" s="5">
        <f>BG42-BH42</f>
        <v/>
      </c>
      <c r="BI43" s="5">
        <f>BH42-BI42</f>
        <v/>
      </c>
      <c r="BJ43" s="5">
        <f>BI42-BJ42</f>
        <v/>
      </c>
      <c r="BK43" s="5">
        <f>BJ42-BK42</f>
        <v/>
      </c>
      <c r="BL43" s="5">
        <f>BK42-BL42</f>
        <v/>
      </c>
      <c r="BM43" s="5">
        <f>BL42-BM42</f>
        <v/>
      </c>
      <c r="BN43" s="5">
        <f>BM42-BN42</f>
        <v/>
      </c>
      <c r="BO43" s="5">
        <f>BN42-BO42</f>
        <v/>
      </c>
      <c r="BP43" s="5">
        <f>BO42-BP42</f>
        <v/>
      </c>
      <c r="BQ43" s="5">
        <f>BP42-BQ42</f>
        <v/>
      </c>
      <c r="BR43" s="5">
        <f>BQ42-BR42</f>
        <v/>
      </c>
      <c r="BS43" s="5">
        <f>BR42-BS42</f>
        <v/>
      </c>
      <c r="BT43" s="5">
        <f>BS42-BT42</f>
        <v/>
      </c>
      <c r="BU43" s="5">
        <f>BT42-BU42</f>
        <v/>
      </c>
      <c r="BV43" s="5">
        <f>BU42-BV42</f>
        <v/>
      </c>
    </row>
    <row r="45">
      <c r="A45" t="inlineStr">
        <is>
          <t>opening book (Jan 2025)</t>
        </is>
      </c>
      <c r="B45" t="inlineStr">
        <is>
          <t>LATAM|BASIC_M</t>
        </is>
      </c>
      <c r="C45" s="5">
        <f>Params!$B$14*Params!$B$74*Params!$B$98</f>
        <v/>
      </c>
    </row>
    <row r="46">
      <c r="A46" t="inlineStr">
        <is>
          <t>active</t>
        </is>
      </c>
      <c r="B46" t="inlineStr">
        <is>
          <t>LATAM|BASIC_M</t>
        </is>
      </c>
      <c r="C46" s="5">
        <f>$C$45*(1-Params!$B$15)^(C$2+1)</f>
        <v/>
      </c>
      <c r="D46" s="5">
        <f>$C$45*(1-Params!$B$15)^(D$2+1)</f>
        <v/>
      </c>
      <c r="E46" s="5">
        <f>$C$45*(1-Params!$B$15)^(E$2+1)</f>
        <v/>
      </c>
      <c r="F46" s="5">
        <f>$C$45*(1-Params!$B$15)^(F$2+1)</f>
        <v/>
      </c>
      <c r="G46" s="5">
        <f>$C$45*(1-Params!$B$15)^(G$2+1)</f>
        <v/>
      </c>
      <c r="H46" s="5">
        <f>$C$45*(1-Params!$B$15)^(H$2+1)</f>
        <v/>
      </c>
      <c r="I46" s="5">
        <f>$C$45*(1-Params!$B$15)^(I$2+1)</f>
        <v/>
      </c>
      <c r="J46" s="5">
        <f>$C$45*(1-Params!$B$15)^(J$2+1)</f>
        <v/>
      </c>
      <c r="K46" s="5">
        <f>$C$45*(1-Params!$B$15)^(K$2+1)</f>
        <v/>
      </c>
      <c r="L46" s="5">
        <f>$C$45*(1-Params!$B$15)^(L$2+1)</f>
        <v/>
      </c>
      <c r="M46" s="5">
        <f>$C$45*(1-Params!$B$15)^(M$2+1)</f>
        <v/>
      </c>
      <c r="N46" s="5">
        <f>$C$45*(1-Params!$B$15)^(N$2+1)</f>
        <v/>
      </c>
      <c r="O46" s="5">
        <f>$C$45*(1-Params!$B$15)^(O$2+1)</f>
        <v/>
      </c>
      <c r="P46" s="5">
        <f>$C$45*(1-Params!$B$15)^(P$2+1)</f>
        <v/>
      </c>
      <c r="Q46" s="5">
        <f>$C$45*(1-Params!$B$15)^(Q$2+1)</f>
        <v/>
      </c>
      <c r="R46" s="5">
        <f>$C$45*(1-Params!$B$15)^(R$2+1)</f>
        <v/>
      </c>
      <c r="S46" s="5">
        <f>$C$45*(1-Params!$B$15)^(S$2+1)</f>
        <v/>
      </c>
      <c r="T46" s="5">
        <f>$C$45*(1-Params!$B$15)^(T$2+1)</f>
        <v/>
      </c>
      <c r="U46" s="5">
        <f>$C$45*(1-Params!$B$15)^(U$2+1)</f>
        <v/>
      </c>
      <c r="V46" s="5">
        <f>$C$45*(1-Params!$B$15)^(V$2+1)</f>
        <v/>
      </c>
      <c r="W46" s="5">
        <f>$C$45*(1-Params!$B$15)^(W$2+1)</f>
        <v/>
      </c>
      <c r="X46" s="5">
        <f>$C$45*(1-Params!$B$15)^(X$2+1)</f>
        <v/>
      </c>
      <c r="Y46" s="5">
        <f>$C$45*(1-Params!$B$15)^(Y$2+1)</f>
        <v/>
      </c>
      <c r="Z46" s="5">
        <f>$C$45*(1-Params!$B$15)^(Z$2+1)</f>
        <v/>
      </c>
      <c r="AA46" s="5">
        <f>$C$45*(1-Params!$B$15)^(AA$2+1)</f>
        <v/>
      </c>
      <c r="AB46" s="5">
        <f>$C$45*(1-Params!$B$15)^(AB$2+1)</f>
        <v/>
      </c>
      <c r="AC46" s="5">
        <f>$C$45*(1-Params!$B$15)^(AC$2+1)</f>
        <v/>
      </c>
      <c r="AD46" s="5">
        <f>$C$45*(1-Params!$B$15)^(AD$2+1)</f>
        <v/>
      </c>
      <c r="AE46" s="5">
        <f>$C$45*(1-Params!$B$15)^(AE$2+1)</f>
        <v/>
      </c>
      <c r="AF46" s="5">
        <f>$C$45*(1-Params!$B$15)^(AF$2+1)</f>
        <v/>
      </c>
      <c r="AG46" s="5">
        <f>$C$45*(1-Params!$B$15)^(AG$2+1)</f>
        <v/>
      </c>
      <c r="AH46" s="5">
        <f>$C$45*(1-Params!$B$15)^(AH$2+1)</f>
        <v/>
      </c>
      <c r="AI46" s="5">
        <f>$C$45*(1-Params!$B$15)^(AI$2+1)</f>
        <v/>
      </c>
      <c r="AJ46" s="5">
        <f>$C$45*(1-Params!$B$15)^(AJ$2+1)</f>
        <v/>
      </c>
      <c r="AK46" s="5">
        <f>$C$45*(1-Params!$B$15)^(AK$2+1)</f>
        <v/>
      </c>
      <c r="AL46" s="5">
        <f>$C$45*(1-Params!$B$15)^(AL$2+1)</f>
        <v/>
      </c>
      <c r="AM46" s="5">
        <f>$C$45*(1-Params!$B$15)^(AM$2+1)</f>
        <v/>
      </c>
      <c r="AN46" s="5">
        <f>$C$45*(1-Params!$B$15)^(AN$2+1)</f>
        <v/>
      </c>
      <c r="AO46" s="5">
        <f>$C$45*(1-Params!$B$15)^(AO$2+1)</f>
        <v/>
      </c>
      <c r="AP46" s="5">
        <f>$C$45*(1-Params!$B$15)^(AP$2+1)</f>
        <v/>
      </c>
      <c r="AQ46" s="5">
        <f>$C$45*(1-Params!$B$15)^(AQ$2+1)</f>
        <v/>
      </c>
      <c r="AR46" s="5">
        <f>$C$45*(1-Params!$B$15)^(AR$2+1)</f>
        <v/>
      </c>
      <c r="AS46" s="5">
        <f>$C$45*(1-Params!$B$15)^(AS$2+1)</f>
        <v/>
      </c>
      <c r="AT46" s="5">
        <f>$C$45*(1-Params!$B$15)^(AT$2+1)</f>
        <v/>
      </c>
      <c r="AU46" s="5">
        <f>$C$45*(1-Params!$B$15)^(AU$2+1)</f>
        <v/>
      </c>
      <c r="AV46" s="5">
        <f>$C$45*(1-Params!$B$15)^(AV$2+1)</f>
        <v/>
      </c>
      <c r="AW46" s="5">
        <f>$C$45*(1-Params!$B$15)^(AW$2+1)</f>
        <v/>
      </c>
      <c r="AX46" s="5">
        <f>$C$45*(1-Params!$B$15)^(AX$2+1)</f>
        <v/>
      </c>
      <c r="AY46" s="5">
        <f>$C$45*(1-Params!$B$15)^(AY$2+1)</f>
        <v/>
      </c>
      <c r="AZ46" s="5">
        <f>$C$45*(1-Params!$B$15)^(AZ$2+1)</f>
        <v/>
      </c>
      <c r="BA46" s="5">
        <f>$C$45*(1-Params!$B$15)^(BA$2+1)</f>
        <v/>
      </c>
      <c r="BB46" s="5">
        <f>$C$45*(1-Params!$B$15)^(BB$2+1)</f>
        <v/>
      </c>
      <c r="BC46" s="5">
        <f>$C$45*(1-Params!$B$15)^(BC$2+1)</f>
        <v/>
      </c>
      <c r="BD46" s="5">
        <f>$C$45*(1-Params!$B$15)^(BD$2+1)</f>
        <v/>
      </c>
      <c r="BE46" s="5">
        <f>$C$45*(1-Params!$B$15)^(BE$2+1)</f>
        <v/>
      </c>
      <c r="BF46" s="5">
        <f>$C$45*(1-Params!$B$15)^(BF$2+1)</f>
        <v/>
      </c>
      <c r="BG46" s="5">
        <f>$C$45*(1-Params!$B$15)^(BG$2+1)</f>
        <v/>
      </c>
      <c r="BH46" s="5">
        <f>$C$45*(1-Params!$B$15)^(BH$2+1)</f>
        <v/>
      </c>
      <c r="BI46" s="5">
        <f>$C$45*(1-Params!$B$15)^(BI$2+1)</f>
        <v/>
      </c>
      <c r="BJ46" s="5">
        <f>$C$45*(1-Params!$B$15)^(BJ$2+1)</f>
        <v/>
      </c>
      <c r="BK46" s="5">
        <f>$C$45*(1-Params!$B$15)^(BK$2+1)</f>
        <v/>
      </c>
      <c r="BL46" s="5">
        <f>$C$45*(1-Params!$B$15)^(BL$2+1)</f>
        <v/>
      </c>
      <c r="BM46" s="5">
        <f>$C$45*(1-Params!$B$15)^(BM$2+1)</f>
        <v/>
      </c>
      <c r="BN46" s="5">
        <f>$C$45*(1-Params!$B$15)^(BN$2+1)</f>
        <v/>
      </c>
      <c r="BO46" s="5">
        <f>$C$45*(1-Params!$B$15)^(BO$2+1)</f>
        <v/>
      </c>
      <c r="BP46" s="5">
        <f>$C$45*(1-Params!$B$15)^(BP$2+1)</f>
        <v/>
      </c>
      <c r="BQ46" s="5">
        <f>$C$45*(1-Params!$B$15)^(BQ$2+1)</f>
        <v/>
      </c>
      <c r="BR46" s="5">
        <f>$C$45*(1-Params!$B$15)^(BR$2+1)</f>
        <v/>
      </c>
      <c r="BS46" s="5">
        <f>$C$45*(1-Params!$B$15)^(BS$2+1)</f>
        <v/>
      </c>
      <c r="BT46" s="5">
        <f>$C$45*(1-Params!$B$15)^(BT$2+1)</f>
        <v/>
      </c>
      <c r="BU46" s="5">
        <f>$C$45*(1-Params!$B$15)^(BU$2+1)</f>
        <v/>
      </c>
      <c r="BV46" s="5">
        <f>$C$45*(1-Params!$B$15)^(BV$2+1)</f>
        <v/>
      </c>
    </row>
    <row r="47">
      <c r="A47" t="inlineStr">
        <is>
          <t>churned</t>
        </is>
      </c>
      <c r="B47" t="inlineStr">
        <is>
          <t>LATAM|BASIC_M</t>
        </is>
      </c>
      <c r="C47" s="5">
        <f>$C$45-C46</f>
        <v/>
      </c>
      <c r="D47" s="5">
        <f>C46-D46</f>
        <v/>
      </c>
      <c r="E47" s="5">
        <f>D46-E46</f>
        <v/>
      </c>
      <c r="F47" s="5">
        <f>E46-F46</f>
        <v/>
      </c>
      <c r="G47" s="5">
        <f>F46-G46</f>
        <v/>
      </c>
      <c r="H47" s="5">
        <f>G46-H46</f>
        <v/>
      </c>
      <c r="I47" s="5">
        <f>H46-I46</f>
        <v/>
      </c>
      <c r="J47" s="5">
        <f>I46-J46</f>
        <v/>
      </c>
      <c r="K47" s="5">
        <f>J46-K46</f>
        <v/>
      </c>
      <c r="L47" s="5">
        <f>K46-L46</f>
        <v/>
      </c>
      <c r="M47" s="5">
        <f>L46-M46</f>
        <v/>
      </c>
      <c r="N47" s="5">
        <f>M46-N46</f>
        <v/>
      </c>
      <c r="O47" s="5">
        <f>N46-O46</f>
        <v/>
      </c>
      <c r="P47" s="5">
        <f>O46-P46</f>
        <v/>
      </c>
      <c r="Q47" s="5">
        <f>P46-Q46</f>
        <v/>
      </c>
      <c r="R47" s="5">
        <f>Q46-R46</f>
        <v/>
      </c>
      <c r="S47" s="5">
        <f>R46-S46</f>
        <v/>
      </c>
      <c r="T47" s="5">
        <f>S46-T46</f>
        <v/>
      </c>
      <c r="U47" s="5">
        <f>T46-U46</f>
        <v/>
      </c>
      <c r="V47" s="5">
        <f>U46-V46</f>
        <v/>
      </c>
      <c r="W47" s="5">
        <f>V46-W46</f>
        <v/>
      </c>
      <c r="X47" s="5">
        <f>W46-X46</f>
        <v/>
      </c>
      <c r="Y47" s="5">
        <f>X46-Y46</f>
        <v/>
      </c>
      <c r="Z47" s="5">
        <f>Y46-Z46</f>
        <v/>
      </c>
      <c r="AA47" s="5">
        <f>Z46-AA46</f>
        <v/>
      </c>
      <c r="AB47" s="5">
        <f>AA46-AB46</f>
        <v/>
      </c>
      <c r="AC47" s="5">
        <f>AB46-AC46</f>
        <v/>
      </c>
      <c r="AD47" s="5">
        <f>AC46-AD46</f>
        <v/>
      </c>
      <c r="AE47" s="5">
        <f>AD46-AE46</f>
        <v/>
      </c>
      <c r="AF47" s="5">
        <f>AE46-AF46</f>
        <v/>
      </c>
      <c r="AG47" s="5">
        <f>AF46-AG46</f>
        <v/>
      </c>
      <c r="AH47" s="5">
        <f>AG46-AH46</f>
        <v/>
      </c>
      <c r="AI47" s="5">
        <f>AH46-AI46</f>
        <v/>
      </c>
      <c r="AJ47" s="5">
        <f>AI46-AJ46</f>
        <v/>
      </c>
      <c r="AK47" s="5">
        <f>AJ46-AK46</f>
        <v/>
      </c>
      <c r="AL47" s="5">
        <f>AK46-AL46</f>
        <v/>
      </c>
      <c r="AM47" s="5">
        <f>AL46-AM46</f>
        <v/>
      </c>
      <c r="AN47" s="5">
        <f>AM46-AN46</f>
        <v/>
      </c>
      <c r="AO47" s="5">
        <f>AN46-AO46</f>
        <v/>
      </c>
      <c r="AP47" s="5">
        <f>AO46-AP46</f>
        <v/>
      </c>
      <c r="AQ47" s="5">
        <f>AP46-AQ46</f>
        <v/>
      </c>
      <c r="AR47" s="5">
        <f>AQ46-AR46</f>
        <v/>
      </c>
      <c r="AS47" s="5">
        <f>AR46-AS46</f>
        <v/>
      </c>
      <c r="AT47" s="5">
        <f>AS46-AT46</f>
        <v/>
      </c>
      <c r="AU47" s="5">
        <f>AT46-AU46</f>
        <v/>
      </c>
      <c r="AV47" s="5">
        <f>AU46-AV46</f>
        <v/>
      </c>
      <c r="AW47" s="5">
        <f>AV46-AW46</f>
        <v/>
      </c>
      <c r="AX47" s="5">
        <f>AW46-AX46</f>
        <v/>
      </c>
      <c r="AY47" s="5">
        <f>AX46-AY46</f>
        <v/>
      </c>
      <c r="AZ47" s="5">
        <f>AY46-AZ46</f>
        <v/>
      </c>
      <c r="BA47" s="5">
        <f>AZ46-BA46</f>
        <v/>
      </c>
      <c r="BB47" s="5">
        <f>BA46-BB46</f>
        <v/>
      </c>
      <c r="BC47" s="5">
        <f>BB46-BC46</f>
        <v/>
      </c>
      <c r="BD47" s="5">
        <f>BC46-BD46</f>
        <v/>
      </c>
      <c r="BE47" s="5">
        <f>BD46-BE46</f>
        <v/>
      </c>
      <c r="BF47" s="5">
        <f>BE46-BF46</f>
        <v/>
      </c>
      <c r="BG47" s="5">
        <f>BF46-BG46</f>
        <v/>
      </c>
      <c r="BH47" s="5">
        <f>BG46-BH46</f>
        <v/>
      </c>
      <c r="BI47" s="5">
        <f>BH46-BI46</f>
        <v/>
      </c>
      <c r="BJ47" s="5">
        <f>BI46-BJ46</f>
        <v/>
      </c>
      <c r="BK47" s="5">
        <f>BJ46-BK46</f>
        <v/>
      </c>
      <c r="BL47" s="5">
        <f>BK46-BL46</f>
        <v/>
      </c>
      <c r="BM47" s="5">
        <f>BL46-BM46</f>
        <v/>
      </c>
      <c r="BN47" s="5">
        <f>BM46-BN46</f>
        <v/>
      </c>
      <c r="BO47" s="5">
        <f>BN46-BO46</f>
        <v/>
      </c>
      <c r="BP47" s="5">
        <f>BO46-BP46</f>
        <v/>
      </c>
      <c r="BQ47" s="5">
        <f>BP46-BQ46</f>
        <v/>
      </c>
      <c r="BR47" s="5">
        <f>BQ46-BR46</f>
        <v/>
      </c>
      <c r="BS47" s="5">
        <f>BR46-BS46</f>
        <v/>
      </c>
      <c r="BT47" s="5">
        <f>BS46-BT46</f>
        <v/>
      </c>
      <c r="BU47" s="5">
        <f>BT46-BU46</f>
        <v/>
      </c>
      <c r="BV47" s="5">
        <f>BU46-BV46</f>
        <v/>
      </c>
    </row>
    <row r="49">
      <c r="A49" t="inlineStr">
        <is>
          <t>opening book (Jan 2025)</t>
        </is>
      </c>
      <c r="B49" t="inlineStr">
        <is>
          <t>LATAM|BASIC_A</t>
        </is>
      </c>
      <c r="C49" s="5">
        <f>Params!$B$14*Params!$B$74*Params!$B$99</f>
        <v/>
      </c>
    </row>
    <row r="50">
      <c r="A50" t="inlineStr">
        <is>
          <t>active</t>
        </is>
      </c>
      <c r="B50" t="inlineStr">
        <is>
          <t>LATAM|BASIC_A</t>
        </is>
      </c>
      <c r="C50" s="5">
        <f>$C$49*((MOD(C$2,12)+1)*Params!$B$42^(INT(C$2/12)+1)+(11-MOD(C$2,12))*Params!$B$42^INT(C$2/12))/12</f>
        <v/>
      </c>
      <c r="D50" s="5">
        <f>$C$49*((MOD(D$2,12)+1)*Params!$B$42^(INT(D$2/12)+1)+(11-MOD(D$2,12))*Params!$B$42^INT(D$2/12))/12</f>
        <v/>
      </c>
      <c r="E50" s="5">
        <f>$C$49*((MOD(E$2,12)+1)*Params!$B$42^(INT(E$2/12)+1)+(11-MOD(E$2,12))*Params!$B$42^INT(E$2/12))/12</f>
        <v/>
      </c>
      <c r="F50" s="5">
        <f>$C$49*((MOD(F$2,12)+1)*Params!$B$42^(INT(F$2/12)+1)+(11-MOD(F$2,12))*Params!$B$42^INT(F$2/12))/12</f>
        <v/>
      </c>
      <c r="G50" s="5">
        <f>$C$49*((MOD(G$2,12)+1)*Params!$B$42^(INT(G$2/12)+1)+(11-MOD(G$2,12))*Params!$B$42^INT(G$2/12))/12</f>
        <v/>
      </c>
      <c r="H50" s="5">
        <f>$C$49*((MOD(H$2,12)+1)*Params!$B$42^(INT(H$2/12)+1)+(11-MOD(H$2,12))*Params!$B$42^INT(H$2/12))/12</f>
        <v/>
      </c>
      <c r="I50" s="5">
        <f>$C$49*((MOD(I$2,12)+1)*Params!$B$42^(INT(I$2/12)+1)+(11-MOD(I$2,12))*Params!$B$42^INT(I$2/12))/12</f>
        <v/>
      </c>
      <c r="J50" s="5">
        <f>$C$49*((MOD(J$2,12)+1)*Params!$B$42^(INT(J$2/12)+1)+(11-MOD(J$2,12))*Params!$B$42^INT(J$2/12))/12</f>
        <v/>
      </c>
      <c r="K50" s="5">
        <f>$C$49*((MOD(K$2,12)+1)*Params!$B$42^(INT(K$2/12)+1)+(11-MOD(K$2,12))*Params!$B$42^INT(K$2/12))/12</f>
        <v/>
      </c>
      <c r="L50" s="5">
        <f>$C$49*((MOD(L$2,12)+1)*Params!$B$42^(INT(L$2/12)+1)+(11-MOD(L$2,12))*Params!$B$42^INT(L$2/12))/12</f>
        <v/>
      </c>
      <c r="M50" s="5">
        <f>$C$49*((MOD(M$2,12)+1)*Params!$B$42^(INT(M$2/12)+1)+(11-MOD(M$2,12))*Params!$B$42^INT(M$2/12))/12</f>
        <v/>
      </c>
      <c r="N50" s="5">
        <f>$C$49*((MOD(N$2,12)+1)*Params!$B$42^(INT(N$2/12)+1)+(11-MOD(N$2,12))*Params!$B$42^INT(N$2/12))/12</f>
        <v/>
      </c>
      <c r="O50" s="5">
        <f>$C$49*((MOD(O$2,12)+1)*Params!$B$42^(INT(O$2/12)+1)+(11-MOD(O$2,12))*Params!$B$42^INT(O$2/12))/12</f>
        <v/>
      </c>
      <c r="P50" s="5">
        <f>$C$49*((MOD(P$2,12)+1)*Params!$B$42^(INT(P$2/12)+1)+(11-MOD(P$2,12))*Params!$B$42^INT(P$2/12))/12</f>
        <v/>
      </c>
      <c r="Q50" s="5">
        <f>$C$49*((MOD(Q$2,12)+1)*Params!$B$42^(INT(Q$2/12)+1)+(11-MOD(Q$2,12))*Params!$B$42^INT(Q$2/12))/12</f>
        <v/>
      </c>
      <c r="R50" s="5">
        <f>$C$49*((MOD(R$2,12)+1)*Params!$B$42^(INT(R$2/12)+1)+(11-MOD(R$2,12))*Params!$B$42^INT(R$2/12))/12</f>
        <v/>
      </c>
      <c r="S50" s="5">
        <f>$C$49*((MOD(S$2,12)+1)*Params!$B$42^(INT(S$2/12)+1)+(11-MOD(S$2,12))*Params!$B$42^INT(S$2/12))/12</f>
        <v/>
      </c>
      <c r="T50" s="5">
        <f>$C$49*((MOD(T$2,12)+1)*Params!$B$42^(INT(T$2/12)+1)+(11-MOD(T$2,12))*Params!$B$42^INT(T$2/12))/12</f>
        <v/>
      </c>
      <c r="U50" s="5">
        <f>$C$49*((MOD(U$2,12)+1)*Params!$B$42^(INT(U$2/12)+1)+(11-MOD(U$2,12))*Params!$B$42^INT(U$2/12))/12</f>
        <v/>
      </c>
      <c r="V50" s="5">
        <f>$C$49*((MOD(V$2,12)+1)*Params!$B$42^(INT(V$2/12)+1)+(11-MOD(V$2,12))*Params!$B$42^INT(V$2/12))/12</f>
        <v/>
      </c>
      <c r="W50" s="5">
        <f>$C$49*((MOD(W$2,12)+1)*Params!$B$42^(INT(W$2/12)+1)+(11-MOD(W$2,12))*Params!$B$42^INT(W$2/12))/12</f>
        <v/>
      </c>
      <c r="X50" s="5">
        <f>$C$49*((MOD(X$2,12)+1)*Params!$B$42^(INT(X$2/12)+1)+(11-MOD(X$2,12))*Params!$B$42^INT(X$2/12))/12</f>
        <v/>
      </c>
      <c r="Y50" s="5">
        <f>$C$49*((MOD(Y$2,12)+1)*Params!$B$42^(INT(Y$2/12)+1)+(11-MOD(Y$2,12))*Params!$B$42^INT(Y$2/12))/12</f>
        <v/>
      </c>
      <c r="Z50" s="5">
        <f>$C$49*((MOD(Z$2,12)+1)*Params!$B$42^(INT(Z$2/12)+1)+(11-MOD(Z$2,12))*Params!$B$42^INT(Z$2/12))/12</f>
        <v/>
      </c>
      <c r="AA50" s="5">
        <f>$C$49*((MOD(AA$2,12)+1)*Params!$B$42^(INT(AA$2/12)+1)+(11-MOD(AA$2,12))*Params!$B$42^INT(AA$2/12))/12</f>
        <v/>
      </c>
      <c r="AB50" s="5">
        <f>$C$49*((MOD(AB$2,12)+1)*Params!$B$42^(INT(AB$2/12)+1)+(11-MOD(AB$2,12))*Params!$B$42^INT(AB$2/12))/12</f>
        <v/>
      </c>
      <c r="AC50" s="5">
        <f>$C$49*((MOD(AC$2,12)+1)*Params!$B$42^(INT(AC$2/12)+1)+(11-MOD(AC$2,12))*Params!$B$42^INT(AC$2/12))/12</f>
        <v/>
      </c>
      <c r="AD50" s="5">
        <f>$C$49*((MOD(AD$2,12)+1)*Params!$B$42^(INT(AD$2/12)+1)+(11-MOD(AD$2,12))*Params!$B$42^INT(AD$2/12))/12</f>
        <v/>
      </c>
      <c r="AE50" s="5">
        <f>$C$49*((MOD(AE$2,12)+1)*Params!$B$42^(INT(AE$2/12)+1)+(11-MOD(AE$2,12))*Params!$B$42^INT(AE$2/12))/12</f>
        <v/>
      </c>
      <c r="AF50" s="5">
        <f>$C$49*((MOD(AF$2,12)+1)*Params!$B$42^(INT(AF$2/12)+1)+(11-MOD(AF$2,12))*Params!$B$42^INT(AF$2/12))/12</f>
        <v/>
      </c>
      <c r="AG50" s="5">
        <f>$C$49*((MOD(AG$2,12)+1)*Params!$B$42^(INT(AG$2/12)+1)+(11-MOD(AG$2,12))*Params!$B$42^INT(AG$2/12))/12</f>
        <v/>
      </c>
      <c r="AH50" s="5">
        <f>$C$49*((MOD(AH$2,12)+1)*Params!$B$42^(INT(AH$2/12)+1)+(11-MOD(AH$2,12))*Params!$B$42^INT(AH$2/12))/12</f>
        <v/>
      </c>
      <c r="AI50" s="5">
        <f>$C$49*((MOD(AI$2,12)+1)*Params!$B$42^(INT(AI$2/12)+1)+(11-MOD(AI$2,12))*Params!$B$42^INT(AI$2/12))/12</f>
        <v/>
      </c>
      <c r="AJ50" s="5">
        <f>$C$49*((MOD(AJ$2,12)+1)*Params!$B$42^(INT(AJ$2/12)+1)+(11-MOD(AJ$2,12))*Params!$B$42^INT(AJ$2/12))/12</f>
        <v/>
      </c>
      <c r="AK50" s="5">
        <f>$C$49*((MOD(AK$2,12)+1)*Params!$B$42^(INT(AK$2/12)+1)+(11-MOD(AK$2,12))*Params!$B$42^INT(AK$2/12))/12</f>
        <v/>
      </c>
      <c r="AL50" s="5">
        <f>$C$49*((MOD(AL$2,12)+1)*Params!$B$42^(INT(AL$2/12)+1)+(11-MOD(AL$2,12))*Params!$B$42^INT(AL$2/12))/12</f>
        <v/>
      </c>
      <c r="AM50" s="5">
        <f>$C$49*((MOD(AM$2,12)+1)*Params!$B$42^(INT(AM$2/12)+1)+(11-MOD(AM$2,12))*Params!$B$42^INT(AM$2/12))/12</f>
        <v/>
      </c>
      <c r="AN50" s="5">
        <f>$C$49*((MOD(AN$2,12)+1)*Params!$B$42^(INT(AN$2/12)+1)+(11-MOD(AN$2,12))*Params!$B$42^INT(AN$2/12))/12</f>
        <v/>
      </c>
      <c r="AO50" s="5">
        <f>$C$49*((MOD(AO$2,12)+1)*Params!$B$42^(INT(AO$2/12)+1)+(11-MOD(AO$2,12))*Params!$B$42^INT(AO$2/12))/12</f>
        <v/>
      </c>
      <c r="AP50" s="5">
        <f>$C$49*((MOD(AP$2,12)+1)*Params!$B$42^(INT(AP$2/12)+1)+(11-MOD(AP$2,12))*Params!$B$42^INT(AP$2/12))/12</f>
        <v/>
      </c>
      <c r="AQ50" s="5">
        <f>$C$49*((MOD(AQ$2,12)+1)*Params!$B$42^(INT(AQ$2/12)+1)+(11-MOD(AQ$2,12))*Params!$B$42^INT(AQ$2/12))/12</f>
        <v/>
      </c>
      <c r="AR50" s="5">
        <f>$C$49*((MOD(AR$2,12)+1)*Params!$B$42^(INT(AR$2/12)+1)+(11-MOD(AR$2,12))*Params!$B$42^INT(AR$2/12))/12</f>
        <v/>
      </c>
      <c r="AS50" s="5">
        <f>$C$49*((MOD(AS$2,12)+1)*Params!$B$42^(INT(AS$2/12)+1)+(11-MOD(AS$2,12))*Params!$B$42^INT(AS$2/12))/12</f>
        <v/>
      </c>
      <c r="AT50" s="5">
        <f>$C$49*((MOD(AT$2,12)+1)*Params!$B$42^(INT(AT$2/12)+1)+(11-MOD(AT$2,12))*Params!$B$42^INT(AT$2/12))/12</f>
        <v/>
      </c>
      <c r="AU50" s="5">
        <f>$C$49*((MOD(AU$2,12)+1)*Params!$B$42^(INT(AU$2/12)+1)+(11-MOD(AU$2,12))*Params!$B$42^INT(AU$2/12))/12</f>
        <v/>
      </c>
      <c r="AV50" s="5">
        <f>$C$49*((MOD(AV$2,12)+1)*Params!$B$42^(INT(AV$2/12)+1)+(11-MOD(AV$2,12))*Params!$B$42^INT(AV$2/12))/12</f>
        <v/>
      </c>
      <c r="AW50" s="5">
        <f>$C$49*((MOD(AW$2,12)+1)*Params!$B$42^(INT(AW$2/12)+1)+(11-MOD(AW$2,12))*Params!$B$42^INT(AW$2/12))/12</f>
        <v/>
      </c>
      <c r="AX50" s="5">
        <f>$C$49*((MOD(AX$2,12)+1)*Params!$B$42^(INT(AX$2/12)+1)+(11-MOD(AX$2,12))*Params!$B$42^INT(AX$2/12))/12</f>
        <v/>
      </c>
      <c r="AY50" s="5">
        <f>$C$49*((MOD(AY$2,12)+1)*Params!$B$42^(INT(AY$2/12)+1)+(11-MOD(AY$2,12))*Params!$B$42^INT(AY$2/12))/12</f>
        <v/>
      </c>
      <c r="AZ50" s="5">
        <f>$C$49*((MOD(AZ$2,12)+1)*Params!$B$42^(INT(AZ$2/12)+1)+(11-MOD(AZ$2,12))*Params!$B$42^INT(AZ$2/12))/12</f>
        <v/>
      </c>
      <c r="BA50" s="5">
        <f>$C$49*((MOD(BA$2,12)+1)*Params!$B$42^(INT(BA$2/12)+1)+(11-MOD(BA$2,12))*Params!$B$42^INT(BA$2/12))/12</f>
        <v/>
      </c>
      <c r="BB50" s="5">
        <f>$C$49*((MOD(BB$2,12)+1)*Params!$B$42^(INT(BB$2/12)+1)+(11-MOD(BB$2,12))*Params!$B$42^INT(BB$2/12))/12</f>
        <v/>
      </c>
      <c r="BC50" s="5">
        <f>$C$49*((MOD(BC$2,12)+1)*Params!$B$42^(INT(BC$2/12)+1)+(11-MOD(BC$2,12))*Params!$B$42^INT(BC$2/12))/12</f>
        <v/>
      </c>
      <c r="BD50" s="5">
        <f>$C$49*((MOD(BD$2,12)+1)*Params!$B$42^(INT(BD$2/12)+1)+(11-MOD(BD$2,12))*Params!$B$42^INT(BD$2/12))/12</f>
        <v/>
      </c>
      <c r="BE50" s="5">
        <f>$C$49*((MOD(BE$2,12)+1)*Params!$B$42^(INT(BE$2/12)+1)+(11-MOD(BE$2,12))*Params!$B$42^INT(BE$2/12))/12</f>
        <v/>
      </c>
      <c r="BF50" s="5">
        <f>$C$49*((MOD(BF$2,12)+1)*Params!$B$42^(INT(BF$2/12)+1)+(11-MOD(BF$2,12))*Params!$B$42^INT(BF$2/12))/12</f>
        <v/>
      </c>
      <c r="BG50" s="5">
        <f>$C$49*((MOD(BG$2,12)+1)*Params!$B$42^(INT(BG$2/12)+1)+(11-MOD(BG$2,12))*Params!$B$42^INT(BG$2/12))/12</f>
        <v/>
      </c>
      <c r="BH50" s="5">
        <f>$C$49*((MOD(BH$2,12)+1)*Params!$B$42^(INT(BH$2/12)+1)+(11-MOD(BH$2,12))*Params!$B$42^INT(BH$2/12))/12</f>
        <v/>
      </c>
      <c r="BI50" s="5">
        <f>$C$49*((MOD(BI$2,12)+1)*Params!$B$42^(INT(BI$2/12)+1)+(11-MOD(BI$2,12))*Params!$B$42^INT(BI$2/12))/12</f>
        <v/>
      </c>
      <c r="BJ50" s="5">
        <f>$C$49*((MOD(BJ$2,12)+1)*Params!$B$42^(INT(BJ$2/12)+1)+(11-MOD(BJ$2,12))*Params!$B$42^INT(BJ$2/12))/12</f>
        <v/>
      </c>
      <c r="BK50" s="5">
        <f>$C$49*((MOD(BK$2,12)+1)*Params!$B$42^(INT(BK$2/12)+1)+(11-MOD(BK$2,12))*Params!$B$42^INT(BK$2/12))/12</f>
        <v/>
      </c>
      <c r="BL50" s="5">
        <f>$C$49*((MOD(BL$2,12)+1)*Params!$B$42^(INT(BL$2/12)+1)+(11-MOD(BL$2,12))*Params!$B$42^INT(BL$2/12))/12</f>
        <v/>
      </c>
      <c r="BM50" s="5">
        <f>$C$49*((MOD(BM$2,12)+1)*Params!$B$42^(INT(BM$2/12)+1)+(11-MOD(BM$2,12))*Params!$B$42^INT(BM$2/12))/12</f>
        <v/>
      </c>
      <c r="BN50" s="5">
        <f>$C$49*((MOD(BN$2,12)+1)*Params!$B$42^(INT(BN$2/12)+1)+(11-MOD(BN$2,12))*Params!$B$42^INT(BN$2/12))/12</f>
        <v/>
      </c>
      <c r="BO50" s="5">
        <f>$C$49*((MOD(BO$2,12)+1)*Params!$B$42^(INT(BO$2/12)+1)+(11-MOD(BO$2,12))*Params!$B$42^INT(BO$2/12))/12</f>
        <v/>
      </c>
      <c r="BP50" s="5">
        <f>$C$49*((MOD(BP$2,12)+1)*Params!$B$42^(INT(BP$2/12)+1)+(11-MOD(BP$2,12))*Params!$B$42^INT(BP$2/12))/12</f>
        <v/>
      </c>
      <c r="BQ50" s="5">
        <f>$C$49*((MOD(BQ$2,12)+1)*Params!$B$42^(INT(BQ$2/12)+1)+(11-MOD(BQ$2,12))*Params!$B$42^INT(BQ$2/12))/12</f>
        <v/>
      </c>
      <c r="BR50" s="5">
        <f>$C$49*((MOD(BR$2,12)+1)*Params!$B$42^(INT(BR$2/12)+1)+(11-MOD(BR$2,12))*Params!$B$42^INT(BR$2/12))/12</f>
        <v/>
      </c>
      <c r="BS50" s="5">
        <f>$C$49*((MOD(BS$2,12)+1)*Params!$B$42^(INT(BS$2/12)+1)+(11-MOD(BS$2,12))*Params!$B$42^INT(BS$2/12))/12</f>
        <v/>
      </c>
      <c r="BT50" s="5">
        <f>$C$49*((MOD(BT$2,12)+1)*Params!$B$42^(INT(BT$2/12)+1)+(11-MOD(BT$2,12))*Params!$B$42^INT(BT$2/12))/12</f>
        <v/>
      </c>
      <c r="BU50" s="5">
        <f>$C$49*((MOD(BU$2,12)+1)*Params!$B$42^(INT(BU$2/12)+1)+(11-MOD(BU$2,12))*Params!$B$42^INT(BU$2/12))/12</f>
        <v/>
      </c>
      <c r="BV50" s="5">
        <f>$C$49*((MOD(BV$2,12)+1)*Params!$B$42^(INT(BV$2/12)+1)+(11-MOD(BV$2,12))*Params!$B$42^INT(BV$2/12))/12</f>
        <v/>
      </c>
    </row>
    <row r="51">
      <c r="A51" t="inlineStr">
        <is>
          <t>churned</t>
        </is>
      </c>
      <c r="B51" t="inlineStr">
        <is>
          <t>LATAM|BASIC_A</t>
        </is>
      </c>
      <c r="C51" s="5">
        <f>$C$49-C50</f>
        <v/>
      </c>
      <c r="D51" s="5">
        <f>C50-D50</f>
        <v/>
      </c>
      <c r="E51" s="5">
        <f>D50-E50</f>
        <v/>
      </c>
      <c r="F51" s="5">
        <f>E50-F50</f>
        <v/>
      </c>
      <c r="G51" s="5">
        <f>F50-G50</f>
        <v/>
      </c>
      <c r="H51" s="5">
        <f>G50-H50</f>
        <v/>
      </c>
      <c r="I51" s="5">
        <f>H50-I50</f>
        <v/>
      </c>
      <c r="J51" s="5">
        <f>I50-J50</f>
        <v/>
      </c>
      <c r="K51" s="5">
        <f>J50-K50</f>
        <v/>
      </c>
      <c r="L51" s="5">
        <f>K50-L50</f>
        <v/>
      </c>
      <c r="M51" s="5">
        <f>L50-M50</f>
        <v/>
      </c>
      <c r="N51" s="5">
        <f>M50-N50</f>
        <v/>
      </c>
      <c r="O51" s="5">
        <f>N50-O50</f>
        <v/>
      </c>
      <c r="P51" s="5">
        <f>O50-P50</f>
        <v/>
      </c>
      <c r="Q51" s="5">
        <f>P50-Q50</f>
        <v/>
      </c>
      <c r="R51" s="5">
        <f>Q50-R50</f>
        <v/>
      </c>
      <c r="S51" s="5">
        <f>R50-S50</f>
        <v/>
      </c>
      <c r="T51" s="5">
        <f>S50-T50</f>
        <v/>
      </c>
      <c r="U51" s="5">
        <f>T50-U50</f>
        <v/>
      </c>
      <c r="V51" s="5">
        <f>U50-V50</f>
        <v/>
      </c>
      <c r="W51" s="5">
        <f>V50-W50</f>
        <v/>
      </c>
      <c r="X51" s="5">
        <f>W50-X50</f>
        <v/>
      </c>
      <c r="Y51" s="5">
        <f>X50-Y50</f>
        <v/>
      </c>
      <c r="Z51" s="5">
        <f>Y50-Z50</f>
        <v/>
      </c>
      <c r="AA51" s="5">
        <f>Z50-AA50</f>
        <v/>
      </c>
      <c r="AB51" s="5">
        <f>AA50-AB50</f>
        <v/>
      </c>
      <c r="AC51" s="5">
        <f>AB50-AC50</f>
        <v/>
      </c>
      <c r="AD51" s="5">
        <f>AC50-AD50</f>
        <v/>
      </c>
      <c r="AE51" s="5">
        <f>AD50-AE50</f>
        <v/>
      </c>
      <c r="AF51" s="5">
        <f>AE50-AF50</f>
        <v/>
      </c>
      <c r="AG51" s="5">
        <f>AF50-AG50</f>
        <v/>
      </c>
      <c r="AH51" s="5">
        <f>AG50-AH50</f>
        <v/>
      </c>
      <c r="AI51" s="5">
        <f>AH50-AI50</f>
        <v/>
      </c>
      <c r="AJ51" s="5">
        <f>AI50-AJ50</f>
        <v/>
      </c>
      <c r="AK51" s="5">
        <f>AJ50-AK50</f>
        <v/>
      </c>
      <c r="AL51" s="5">
        <f>AK50-AL50</f>
        <v/>
      </c>
      <c r="AM51" s="5">
        <f>AL50-AM50</f>
        <v/>
      </c>
      <c r="AN51" s="5">
        <f>AM50-AN50</f>
        <v/>
      </c>
      <c r="AO51" s="5">
        <f>AN50-AO50</f>
        <v/>
      </c>
      <c r="AP51" s="5">
        <f>AO50-AP50</f>
        <v/>
      </c>
      <c r="AQ51" s="5">
        <f>AP50-AQ50</f>
        <v/>
      </c>
      <c r="AR51" s="5">
        <f>AQ50-AR50</f>
        <v/>
      </c>
      <c r="AS51" s="5">
        <f>AR50-AS50</f>
        <v/>
      </c>
      <c r="AT51" s="5">
        <f>AS50-AT50</f>
        <v/>
      </c>
      <c r="AU51" s="5">
        <f>AT50-AU50</f>
        <v/>
      </c>
      <c r="AV51" s="5">
        <f>AU50-AV50</f>
        <v/>
      </c>
      <c r="AW51" s="5">
        <f>AV50-AW50</f>
        <v/>
      </c>
      <c r="AX51" s="5">
        <f>AW50-AX50</f>
        <v/>
      </c>
      <c r="AY51" s="5">
        <f>AX50-AY50</f>
        <v/>
      </c>
      <c r="AZ51" s="5">
        <f>AY50-AZ50</f>
        <v/>
      </c>
      <c r="BA51" s="5">
        <f>AZ50-BA50</f>
        <v/>
      </c>
      <c r="BB51" s="5">
        <f>BA50-BB50</f>
        <v/>
      </c>
      <c r="BC51" s="5">
        <f>BB50-BC50</f>
        <v/>
      </c>
      <c r="BD51" s="5">
        <f>BC50-BD50</f>
        <v/>
      </c>
      <c r="BE51" s="5">
        <f>BD50-BE50</f>
        <v/>
      </c>
      <c r="BF51" s="5">
        <f>BE50-BF50</f>
        <v/>
      </c>
      <c r="BG51" s="5">
        <f>BF50-BG50</f>
        <v/>
      </c>
      <c r="BH51" s="5">
        <f>BG50-BH50</f>
        <v/>
      </c>
      <c r="BI51" s="5">
        <f>BH50-BI50</f>
        <v/>
      </c>
      <c r="BJ51" s="5">
        <f>BI50-BJ50</f>
        <v/>
      </c>
      <c r="BK51" s="5">
        <f>BJ50-BK50</f>
        <v/>
      </c>
      <c r="BL51" s="5">
        <f>BK50-BL50</f>
        <v/>
      </c>
      <c r="BM51" s="5">
        <f>BL50-BM50</f>
        <v/>
      </c>
      <c r="BN51" s="5">
        <f>BM50-BN50</f>
        <v/>
      </c>
      <c r="BO51" s="5">
        <f>BN50-BO50</f>
        <v/>
      </c>
      <c r="BP51" s="5">
        <f>BO50-BP50</f>
        <v/>
      </c>
      <c r="BQ51" s="5">
        <f>BP50-BQ50</f>
        <v/>
      </c>
      <c r="BR51" s="5">
        <f>BQ50-BR50</f>
        <v/>
      </c>
      <c r="BS51" s="5">
        <f>BR50-BS50</f>
        <v/>
      </c>
      <c r="BT51" s="5">
        <f>BS50-BT50</f>
        <v/>
      </c>
      <c r="BU51" s="5">
        <f>BT50-BU50</f>
        <v/>
      </c>
      <c r="BV51" s="5">
        <f>BU50-BV50</f>
        <v/>
      </c>
    </row>
    <row r="53">
      <c r="A53" t="inlineStr">
        <is>
          <t>opening book (Jan 2025)</t>
        </is>
      </c>
      <c r="B53" t="inlineStr">
        <is>
          <t>APAC|NITRO_M</t>
        </is>
      </c>
      <c r="C53" s="5">
        <f>Params!$B$14*Params!$B$75*Params!$B$96</f>
        <v/>
      </c>
    </row>
    <row r="54">
      <c r="A54" t="inlineStr">
        <is>
          <t>active</t>
        </is>
      </c>
      <c r="B54" t="inlineStr">
        <is>
          <t>APAC|NITRO_M</t>
        </is>
      </c>
      <c r="C54" s="5">
        <f>$C$53*(1-Params!$B$15)^(C$2+1)</f>
        <v/>
      </c>
      <c r="D54" s="5">
        <f>$C$53*(1-Params!$B$15)^(D$2+1)</f>
        <v/>
      </c>
      <c r="E54" s="5">
        <f>$C$53*(1-Params!$B$15)^(E$2+1)</f>
        <v/>
      </c>
      <c r="F54" s="5">
        <f>$C$53*(1-Params!$B$15)^(F$2+1)</f>
        <v/>
      </c>
      <c r="G54" s="5">
        <f>$C$53*(1-Params!$B$15)^(G$2+1)</f>
        <v/>
      </c>
      <c r="H54" s="5">
        <f>$C$53*(1-Params!$B$15)^(H$2+1)</f>
        <v/>
      </c>
      <c r="I54" s="5">
        <f>$C$53*(1-Params!$B$15)^(I$2+1)</f>
        <v/>
      </c>
      <c r="J54" s="5">
        <f>$C$53*(1-Params!$B$15)^(J$2+1)</f>
        <v/>
      </c>
      <c r="K54" s="5">
        <f>$C$53*(1-Params!$B$15)^(K$2+1)</f>
        <v/>
      </c>
      <c r="L54" s="5">
        <f>$C$53*(1-Params!$B$15)^(L$2+1)</f>
        <v/>
      </c>
      <c r="M54" s="5">
        <f>$C$53*(1-Params!$B$15)^(M$2+1)</f>
        <v/>
      </c>
      <c r="N54" s="5">
        <f>$C$53*(1-Params!$B$15)^(N$2+1)</f>
        <v/>
      </c>
      <c r="O54" s="5">
        <f>$C$53*(1-Params!$B$15)^(O$2+1)</f>
        <v/>
      </c>
      <c r="P54" s="5">
        <f>$C$53*(1-Params!$B$15)^(P$2+1)</f>
        <v/>
      </c>
      <c r="Q54" s="5">
        <f>$C$53*(1-Params!$B$15)^(Q$2+1)</f>
        <v/>
      </c>
      <c r="R54" s="5">
        <f>$C$53*(1-Params!$B$15)^(R$2+1)</f>
        <v/>
      </c>
      <c r="S54" s="5">
        <f>$C$53*(1-Params!$B$15)^(S$2+1)</f>
        <v/>
      </c>
      <c r="T54" s="5">
        <f>$C$53*(1-Params!$B$15)^(T$2+1)</f>
        <v/>
      </c>
      <c r="U54" s="5">
        <f>$C$53*(1-Params!$B$15)^(U$2+1)</f>
        <v/>
      </c>
      <c r="V54" s="5">
        <f>$C$53*(1-Params!$B$15)^(V$2+1)</f>
        <v/>
      </c>
      <c r="W54" s="5">
        <f>$C$53*(1-Params!$B$15)^(W$2+1)</f>
        <v/>
      </c>
      <c r="X54" s="5">
        <f>$C$53*(1-Params!$B$15)^(X$2+1)</f>
        <v/>
      </c>
      <c r="Y54" s="5">
        <f>$C$53*(1-Params!$B$15)^(Y$2+1)</f>
        <v/>
      </c>
      <c r="Z54" s="5">
        <f>$C$53*(1-Params!$B$15)^(Z$2+1)</f>
        <v/>
      </c>
      <c r="AA54" s="5">
        <f>$C$53*(1-Params!$B$15)^(AA$2+1)</f>
        <v/>
      </c>
      <c r="AB54" s="5">
        <f>$C$53*(1-Params!$B$15)^(AB$2+1)</f>
        <v/>
      </c>
      <c r="AC54" s="5">
        <f>$C$53*(1-Params!$B$15)^(AC$2+1)</f>
        <v/>
      </c>
      <c r="AD54" s="5">
        <f>$C$53*(1-Params!$B$15)^(AD$2+1)</f>
        <v/>
      </c>
      <c r="AE54" s="5">
        <f>$C$53*(1-Params!$B$15)^(AE$2+1)</f>
        <v/>
      </c>
      <c r="AF54" s="5">
        <f>$C$53*(1-Params!$B$15)^(AF$2+1)</f>
        <v/>
      </c>
      <c r="AG54" s="5">
        <f>$C$53*(1-Params!$B$15)^(AG$2+1)</f>
        <v/>
      </c>
      <c r="AH54" s="5">
        <f>$C$53*(1-Params!$B$15)^(AH$2+1)</f>
        <v/>
      </c>
      <c r="AI54" s="5">
        <f>$C$53*(1-Params!$B$15)^(AI$2+1)</f>
        <v/>
      </c>
      <c r="AJ54" s="5">
        <f>$C$53*(1-Params!$B$15)^(AJ$2+1)</f>
        <v/>
      </c>
      <c r="AK54" s="5">
        <f>$C$53*(1-Params!$B$15)^(AK$2+1)</f>
        <v/>
      </c>
      <c r="AL54" s="5">
        <f>$C$53*(1-Params!$B$15)^(AL$2+1)</f>
        <v/>
      </c>
      <c r="AM54" s="5">
        <f>$C$53*(1-Params!$B$15)^(AM$2+1)</f>
        <v/>
      </c>
      <c r="AN54" s="5">
        <f>$C$53*(1-Params!$B$15)^(AN$2+1)</f>
        <v/>
      </c>
      <c r="AO54" s="5">
        <f>$C$53*(1-Params!$B$15)^(AO$2+1)</f>
        <v/>
      </c>
      <c r="AP54" s="5">
        <f>$C$53*(1-Params!$B$15)^(AP$2+1)</f>
        <v/>
      </c>
      <c r="AQ54" s="5">
        <f>$C$53*(1-Params!$B$15)^(AQ$2+1)</f>
        <v/>
      </c>
      <c r="AR54" s="5">
        <f>$C$53*(1-Params!$B$15)^(AR$2+1)</f>
        <v/>
      </c>
      <c r="AS54" s="5">
        <f>$C$53*(1-Params!$B$15)^(AS$2+1)</f>
        <v/>
      </c>
      <c r="AT54" s="5">
        <f>$C$53*(1-Params!$B$15)^(AT$2+1)</f>
        <v/>
      </c>
      <c r="AU54" s="5">
        <f>$C$53*(1-Params!$B$15)^(AU$2+1)</f>
        <v/>
      </c>
      <c r="AV54" s="5">
        <f>$C$53*(1-Params!$B$15)^(AV$2+1)</f>
        <v/>
      </c>
      <c r="AW54" s="5">
        <f>$C$53*(1-Params!$B$15)^(AW$2+1)</f>
        <v/>
      </c>
      <c r="AX54" s="5">
        <f>$C$53*(1-Params!$B$15)^(AX$2+1)</f>
        <v/>
      </c>
      <c r="AY54" s="5">
        <f>$C$53*(1-Params!$B$15)^(AY$2+1)</f>
        <v/>
      </c>
      <c r="AZ54" s="5">
        <f>$C$53*(1-Params!$B$15)^(AZ$2+1)</f>
        <v/>
      </c>
      <c r="BA54" s="5">
        <f>$C$53*(1-Params!$B$15)^(BA$2+1)</f>
        <v/>
      </c>
      <c r="BB54" s="5">
        <f>$C$53*(1-Params!$B$15)^(BB$2+1)</f>
        <v/>
      </c>
      <c r="BC54" s="5">
        <f>$C$53*(1-Params!$B$15)^(BC$2+1)</f>
        <v/>
      </c>
      <c r="BD54" s="5">
        <f>$C$53*(1-Params!$B$15)^(BD$2+1)</f>
        <v/>
      </c>
      <c r="BE54" s="5">
        <f>$C$53*(1-Params!$B$15)^(BE$2+1)</f>
        <v/>
      </c>
      <c r="BF54" s="5">
        <f>$C$53*(1-Params!$B$15)^(BF$2+1)</f>
        <v/>
      </c>
      <c r="BG54" s="5">
        <f>$C$53*(1-Params!$B$15)^(BG$2+1)</f>
        <v/>
      </c>
      <c r="BH54" s="5">
        <f>$C$53*(1-Params!$B$15)^(BH$2+1)</f>
        <v/>
      </c>
      <c r="BI54" s="5">
        <f>$C$53*(1-Params!$B$15)^(BI$2+1)</f>
        <v/>
      </c>
      <c r="BJ54" s="5">
        <f>$C$53*(1-Params!$B$15)^(BJ$2+1)</f>
        <v/>
      </c>
      <c r="BK54" s="5">
        <f>$C$53*(1-Params!$B$15)^(BK$2+1)</f>
        <v/>
      </c>
      <c r="BL54" s="5">
        <f>$C$53*(1-Params!$B$15)^(BL$2+1)</f>
        <v/>
      </c>
      <c r="BM54" s="5">
        <f>$C$53*(1-Params!$B$15)^(BM$2+1)</f>
        <v/>
      </c>
      <c r="BN54" s="5">
        <f>$C$53*(1-Params!$B$15)^(BN$2+1)</f>
        <v/>
      </c>
      <c r="BO54" s="5">
        <f>$C$53*(1-Params!$B$15)^(BO$2+1)</f>
        <v/>
      </c>
      <c r="BP54" s="5">
        <f>$C$53*(1-Params!$B$15)^(BP$2+1)</f>
        <v/>
      </c>
      <c r="BQ54" s="5">
        <f>$C$53*(1-Params!$B$15)^(BQ$2+1)</f>
        <v/>
      </c>
      <c r="BR54" s="5">
        <f>$C$53*(1-Params!$B$15)^(BR$2+1)</f>
        <v/>
      </c>
      <c r="BS54" s="5">
        <f>$C$53*(1-Params!$B$15)^(BS$2+1)</f>
        <v/>
      </c>
      <c r="BT54" s="5">
        <f>$C$53*(1-Params!$B$15)^(BT$2+1)</f>
        <v/>
      </c>
      <c r="BU54" s="5">
        <f>$C$53*(1-Params!$B$15)^(BU$2+1)</f>
        <v/>
      </c>
      <c r="BV54" s="5">
        <f>$C$53*(1-Params!$B$15)^(BV$2+1)</f>
        <v/>
      </c>
    </row>
    <row r="55">
      <c r="A55" t="inlineStr">
        <is>
          <t>churned</t>
        </is>
      </c>
      <c r="B55" t="inlineStr">
        <is>
          <t>APAC|NITRO_M</t>
        </is>
      </c>
      <c r="C55" s="5">
        <f>$C$53-C54</f>
        <v/>
      </c>
      <c r="D55" s="5">
        <f>C54-D54</f>
        <v/>
      </c>
      <c r="E55" s="5">
        <f>D54-E54</f>
        <v/>
      </c>
      <c r="F55" s="5">
        <f>E54-F54</f>
        <v/>
      </c>
      <c r="G55" s="5">
        <f>F54-G54</f>
        <v/>
      </c>
      <c r="H55" s="5">
        <f>G54-H54</f>
        <v/>
      </c>
      <c r="I55" s="5">
        <f>H54-I54</f>
        <v/>
      </c>
      <c r="J55" s="5">
        <f>I54-J54</f>
        <v/>
      </c>
      <c r="K55" s="5">
        <f>J54-K54</f>
        <v/>
      </c>
      <c r="L55" s="5">
        <f>K54-L54</f>
        <v/>
      </c>
      <c r="M55" s="5">
        <f>L54-M54</f>
        <v/>
      </c>
      <c r="N55" s="5">
        <f>M54-N54</f>
        <v/>
      </c>
      <c r="O55" s="5">
        <f>N54-O54</f>
        <v/>
      </c>
      <c r="P55" s="5">
        <f>O54-P54</f>
        <v/>
      </c>
      <c r="Q55" s="5">
        <f>P54-Q54</f>
        <v/>
      </c>
      <c r="R55" s="5">
        <f>Q54-R54</f>
        <v/>
      </c>
      <c r="S55" s="5">
        <f>R54-S54</f>
        <v/>
      </c>
      <c r="T55" s="5">
        <f>S54-T54</f>
        <v/>
      </c>
      <c r="U55" s="5">
        <f>T54-U54</f>
        <v/>
      </c>
      <c r="V55" s="5">
        <f>U54-V54</f>
        <v/>
      </c>
      <c r="W55" s="5">
        <f>V54-W54</f>
        <v/>
      </c>
      <c r="X55" s="5">
        <f>W54-X54</f>
        <v/>
      </c>
      <c r="Y55" s="5">
        <f>X54-Y54</f>
        <v/>
      </c>
      <c r="Z55" s="5">
        <f>Y54-Z54</f>
        <v/>
      </c>
      <c r="AA55" s="5">
        <f>Z54-AA54</f>
        <v/>
      </c>
      <c r="AB55" s="5">
        <f>AA54-AB54</f>
        <v/>
      </c>
      <c r="AC55" s="5">
        <f>AB54-AC54</f>
        <v/>
      </c>
      <c r="AD55" s="5">
        <f>AC54-AD54</f>
        <v/>
      </c>
      <c r="AE55" s="5">
        <f>AD54-AE54</f>
        <v/>
      </c>
      <c r="AF55" s="5">
        <f>AE54-AF54</f>
        <v/>
      </c>
      <c r="AG55" s="5">
        <f>AF54-AG54</f>
        <v/>
      </c>
      <c r="AH55" s="5">
        <f>AG54-AH54</f>
        <v/>
      </c>
      <c r="AI55" s="5">
        <f>AH54-AI54</f>
        <v/>
      </c>
      <c r="AJ55" s="5">
        <f>AI54-AJ54</f>
        <v/>
      </c>
      <c r="AK55" s="5">
        <f>AJ54-AK54</f>
        <v/>
      </c>
      <c r="AL55" s="5">
        <f>AK54-AL54</f>
        <v/>
      </c>
      <c r="AM55" s="5">
        <f>AL54-AM54</f>
        <v/>
      </c>
      <c r="AN55" s="5">
        <f>AM54-AN54</f>
        <v/>
      </c>
      <c r="AO55" s="5">
        <f>AN54-AO54</f>
        <v/>
      </c>
      <c r="AP55" s="5">
        <f>AO54-AP54</f>
        <v/>
      </c>
      <c r="AQ55" s="5">
        <f>AP54-AQ54</f>
        <v/>
      </c>
      <c r="AR55" s="5">
        <f>AQ54-AR54</f>
        <v/>
      </c>
      <c r="AS55" s="5">
        <f>AR54-AS54</f>
        <v/>
      </c>
      <c r="AT55" s="5">
        <f>AS54-AT54</f>
        <v/>
      </c>
      <c r="AU55" s="5">
        <f>AT54-AU54</f>
        <v/>
      </c>
      <c r="AV55" s="5">
        <f>AU54-AV54</f>
        <v/>
      </c>
      <c r="AW55" s="5">
        <f>AV54-AW54</f>
        <v/>
      </c>
      <c r="AX55" s="5">
        <f>AW54-AX54</f>
        <v/>
      </c>
      <c r="AY55" s="5">
        <f>AX54-AY54</f>
        <v/>
      </c>
      <c r="AZ55" s="5">
        <f>AY54-AZ54</f>
        <v/>
      </c>
      <c r="BA55" s="5">
        <f>AZ54-BA54</f>
        <v/>
      </c>
      <c r="BB55" s="5">
        <f>BA54-BB54</f>
        <v/>
      </c>
      <c r="BC55" s="5">
        <f>BB54-BC54</f>
        <v/>
      </c>
      <c r="BD55" s="5">
        <f>BC54-BD54</f>
        <v/>
      </c>
      <c r="BE55" s="5">
        <f>BD54-BE54</f>
        <v/>
      </c>
      <c r="BF55" s="5">
        <f>BE54-BF54</f>
        <v/>
      </c>
      <c r="BG55" s="5">
        <f>BF54-BG54</f>
        <v/>
      </c>
      <c r="BH55" s="5">
        <f>BG54-BH54</f>
        <v/>
      </c>
      <c r="BI55" s="5">
        <f>BH54-BI54</f>
        <v/>
      </c>
      <c r="BJ55" s="5">
        <f>BI54-BJ54</f>
        <v/>
      </c>
      <c r="BK55" s="5">
        <f>BJ54-BK54</f>
        <v/>
      </c>
      <c r="BL55" s="5">
        <f>BK54-BL54</f>
        <v/>
      </c>
      <c r="BM55" s="5">
        <f>BL54-BM54</f>
        <v/>
      </c>
      <c r="BN55" s="5">
        <f>BM54-BN54</f>
        <v/>
      </c>
      <c r="BO55" s="5">
        <f>BN54-BO54</f>
        <v/>
      </c>
      <c r="BP55" s="5">
        <f>BO54-BP54</f>
        <v/>
      </c>
      <c r="BQ55" s="5">
        <f>BP54-BQ54</f>
        <v/>
      </c>
      <c r="BR55" s="5">
        <f>BQ54-BR54</f>
        <v/>
      </c>
      <c r="BS55" s="5">
        <f>BR54-BS54</f>
        <v/>
      </c>
      <c r="BT55" s="5">
        <f>BS54-BT54</f>
        <v/>
      </c>
      <c r="BU55" s="5">
        <f>BT54-BU54</f>
        <v/>
      </c>
      <c r="BV55" s="5">
        <f>BU54-BV54</f>
        <v/>
      </c>
    </row>
    <row r="57">
      <c r="A57" t="inlineStr">
        <is>
          <t>opening book (Jan 2025)</t>
        </is>
      </c>
      <c r="B57" t="inlineStr">
        <is>
          <t>APAC|NITRO_A</t>
        </is>
      </c>
      <c r="C57" s="5">
        <f>Params!$B$14*Params!$B$75*Params!$B$97</f>
        <v/>
      </c>
    </row>
    <row r="58">
      <c r="A58" t="inlineStr">
        <is>
          <t>active</t>
        </is>
      </c>
      <c r="B58" t="inlineStr">
        <is>
          <t>APAC|NITRO_A</t>
        </is>
      </c>
      <c r="C58" s="5">
        <f>$C$57*((MOD(C$2,12)+1)*Params!$B$42^(INT(C$2/12)+1)+(11-MOD(C$2,12))*Params!$B$42^INT(C$2/12))/12</f>
        <v/>
      </c>
      <c r="D58" s="5">
        <f>$C$57*((MOD(D$2,12)+1)*Params!$B$42^(INT(D$2/12)+1)+(11-MOD(D$2,12))*Params!$B$42^INT(D$2/12))/12</f>
        <v/>
      </c>
      <c r="E58" s="5">
        <f>$C$57*((MOD(E$2,12)+1)*Params!$B$42^(INT(E$2/12)+1)+(11-MOD(E$2,12))*Params!$B$42^INT(E$2/12))/12</f>
        <v/>
      </c>
      <c r="F58" s="5">
        <f>$C$57*((MOD(F$2,12)+1)*Params!$B$42^(INT(F$2/12)+1)+(11-MOD(F$2,12))*Params!$B$42^INT(F$2/12))/12</f>
        <v/>
      </c>
      <c r="G58" s="5">
        <f>$C$57*((MOD(G$2,12)+1)*Params!$B$42^(INT(G$2/12)+1)+(11-MOD(G$2,12))*Params!$B$42^INT(G$2/12))/12</f>
        <v/>
      </c>
      <c r="H58" s="5">
        <f>$C$57*((MOD(H$2,12)+1)*Params!$B$42^(INT(H$2/12)+1)+(11-MOD(H$2,12))*Params!$B$42^INT(H$2/12))/12</f>
        <v/>
      </c>
      <c r="I58" s="5">
        <f>$C$57*((MOD(I$2,12)+1)*Params!$B$42^(INT(I$2/12)+1)+(11-MOD(I$2,12))*Params!$B$42^INT(I$2/12))/12</f>
        <v/>
      </c>
      <c r="J58" s="5">
        <f>$C$57*((MOD(J$2,12)+1)*Params!$B$42^(INT(J$2/12)+1)+(11-MOD(J$2,12))*Params!$B$42^INT(J$2/12))/12</f>
        <v/>
      </c>
      <c r="K58" s="5">
        <f>$C$57*((MOD(K$2,12)+1)*Params!$B$42^(INT(K$2/12)+1)+(11-MOD(K$2,12))*Params!$B$42^INT(K$2/12))/12</f>
        <v/>
      </c>
      <c r="L58" s="5">
        <f>$C$57*((MOD(L$2,12)+1)*Params!$B$42^(INT(L$2/12)+1)+(11-MOD(L$2,12))*Params!$B$42^INT(L$2/12))/12</f>
        <v/>
      </c>
      <c r="M58" s="5">
        <f>$C$57*((MOD(M$2,12)+1)*Params!$B$42^(INT(M$2/12)+1)+(11-MOD(M$2,12))*Params!$B$42^INT(M$2/12))/12</f>
        <v/>
      </c>
      <c r="N58" s="5">
        <f>$C$57*((MOD(N$2,12)+1)*Params!$B$42^(INT(N$2/12)+1)+(11-MOD(N$2,12))*Params!$B$42^INT(N$2/12))/12</f>
        <v/>
      </c>
      <c r="O58" s="5">
        <f>$C$57*((MOD(O$2,12)+1)*Params!$B$42^(INT(O$2/12)+1)+(11-MOD(O$2,12))*Params!$B$42^INT(O$2/12))/12</f>
        <v/>
      </c>
      <c r="P58" s="5">
        <f>$C$57*((MOD(P$2,12)+1)*Params!$B$42^(INT(P$2/12)+1)+(11-MOD(P$2,12))*Params!$B$42^INT(P$2/12))/12</f>
        <v/>
      </c>
      <c r="Q58" s="5">
        <f>$C$57*((MOD(Q$2,12)+1)*Params!$B$42^(INT(Q$2/12)+1)+(11-MOD(Q$2,12))*Params!$B$42^INT(Q$2/12))/12</f>
        <v/>
      </c>
      <c r="R58" s="5">
        <f>$C$57*((MOD(R$2,12)+1)*Params!$B$42^(INT(R$2/12)+1)+(11-MOD(R$2,12))*Params!$B$42^INT(R$2/12))/12</f>
        <v/>
      </c>
      <c r="S58" s="5">
        <f>$C$57*((MOD(S$2,12)+1)*Params!$B$42^(INT(S$2/12)+1)+(11-MOD(S$2,12))*Params!$B$42^INT(S$2/12))/12</f>
        <v/>
      </c>
      <c r="T58" s="5">
        <f>$C$57*((MOD(T$2,12)+1)*Params!$B$42^(INT(T$2/12)+1)+(11-MOD(T$2,12))*Params!$B$42^INT(T$2/12))/12</f>
        <v/>
      </c>
      <c r="U58" s="5">
        <f>$C$57*((MOD(U$2,12)+1)*Params!$B$42^(INT(U$2/12)+1)+(11-MOD(U$2,12))*Params!$B$42^INT(U$2/12))/12</f>
        <v/>
      </c>
      <c r="V58" s="5">
        <f>$C$57*((MOD(V$2,12)+1)*Params!$B$42^(INT(V$2/12)+1)+(11-MOD(V$2,12))*Params!$B$42^INT(V$2/12))/12</f>
        <v/>
      </c>
      <c r="W58" s="5">
        <f>$C$57*((MOD(W$2,12)+1)*Params!$B$42^(INT(W$2/12)+1)+(11-MOD(W$2,12))*Params!$B$42^INT(W$2/12))/12</f>
        <v/>
      </c>
      <c r="X58" s="5">
        <f>$C$57*((MOD(X$2,12)+1)*Params!$B$42^(INT(X$2/12)+1)+(11-MOD(X$2,12))*Params!$B$42^INT(X$2/12))/12</f>
        <v/>
      </c>
      <c r="Y58" s="5">
        <f>$C$57*((MOD(Y$2,12)+1)*Params!$B$42^(INT(Y$2/12)+1)+(11-MOD(Y$2,12))*Params!$B$42^INT(Y$2/12))/12</f>
        <v/>
      </c>
      <c r="Z58" s="5">
        <f>$C$57*((MOD(Z$2,12)+1)*Params!$B$42^(INT(Z$2/12)+1)+(11-MOD(Z$2,12))*Params!$B$42^INT(Z$2/12))/12</f>
        <v/>
      </c>
      <c r="AA58" s="5">
        <f>$C$57*((MOD(AA$2,12)+1)*Params!$B$42^(INT(AA$2/12)+1)+(11-MOD(AA$2,12))*Params!$B$42^INT(AA$2/12))/12</f>
        <v/>
      </c>
      <c r="AB58" s="5">
        <f>$C$57*((MOD(AB$2,12)+1)*Params!$B$42^(INT(AB$2/12)+1)+(11-MOD(AB$2,12))*Params!$B$42^INT(AB$2/12))/12</f>
        <v/>
      </c>
      <c r="AC58" s="5">
        <f>$C$57*((MOD(AC$2,12)+1)*Params!$B$42^(INT(AC$2/12)+1)+(11-MOD(AC$2,12))*Params!$B$42^INT(AC$2/12))/12</f>
        <v/>
      </c>
      <c r="AD58" s="5">
        <f>$C$57*((MOD(AD$2,12)+1)*Params!$B$42^(INT(AD$2/12)+1)+(11-MOD(AD$2,12))*Params!$B$42^INT(AD$2/12))/12</f>
        <v/>
      </c>
      <c r="AE58" s="5">
        <f>$C$57*((MOD(AE$2,12)+1)*Params!$B$42^(INT(AE$2/12)+1)+(11-MOD(AE$2,12))*Params!$B$42^INT(AE$2/12))/12</f>
        <v/>
      </c>
      <c r="AF58" s="5">
        <f>$C$57*((MOD(AF$2,12)+1)*Params!$B$42^(INT(AF$2/12)+1)+(11-MOD(AF$2,12))*Params!$B$42^INT(AF$2/12))/12</f>
        <v/>
      </c>
      <c r="AG58" s="5">
        <f>$C$57*((MOD(AG$2,12)+1)*Params!$B$42^(INT(AG$2/12)+1)+(11-MOD(AG$2,12))*Params!$B$42^INT(AG$2/12))/12</f>
        <v/>
      </c>
      <c r="AH58" s="5">
        <f>$C$57*((MOD(AH$2,12)+1)*Params!$B$42^(INT(AH$2/12)+1)+(11-MOD(AH$2,12))*Params!$B$42^INT(AH$2/12))/12</f>
        <v/>
      </c>
      <c r="AI58" s="5">
        <f>$C$57*((MOD(AI$2,12)+1)*Params!$B$42^(INT(AI$2/12)+1)+(11-MOD(AI$2,12))*Params!$B$42^INT(AI$2/12))/12</f>
        <v/>
      </c>
      <c r="AJ58" s="5">
        <f>$C$57*((MOD(AJ$2,12)+1)*Params!$B$42^(INT(AJ$2/12)+1)+(11-MOD(AJ$2,12))*Params!$B$42^INT(AJ$2/12))/12</f>
        <v/>
      </c>
      <c r="AK58" s="5">
        <f>$C$57*((MOD(AK$2,12)+1)*Params!$B$42^(INT(AK$2/12)+1)+(11-MOD(AK$2,12))*Params!$B$42^INT(AK$2/12))/12</f>
        <v/>
      </c>
      <c r="AL58" s="5">
        <f>$C$57*((MOD(AL$2,12)+1)*Params!$B$42^(INT(AL$2/12)+1)+(11-MOD(AL$2,12))*Params!$B$42^INT(AL$2/12))/12</f>
        <v/>
      </c>
      <c r="AM58" s="5">
        <f>$C$57*((MOD(AM$2,12)+1)*Params!$B$42^(INT(AM$2/12)+1)+(11-MOD(AM$2,12))*Params!$B$42^INT(AM$2/12))/12</f>
        <v/>
      </c>
      <c r="AN58" s="5">
        <f>$C$57*((MOD(AN$2,12)+1)*Params!$B$42^(INT(AN$2/12)+1)+(11-MOD(AN$2,12))*Params!$B$42^INT(AN$2/12))/12</f>
        <v/>
      </c>
      <c r="AO58" s="5">
        <f>$C$57*((MOD(AO$2,12)+1)*Params!$B$42^(INT(AO$2/12)+1)+(11-MOD(AO$2,12))*Params!$B$42^INT(AO$2/12))/12</f>
        <v/>
      </c>
      <c r="AP58" s="5">
        <f>$C$57*((MOD(AP$2,12)+1)*Params!$B$42^(INT(AP$2/12)+1)+(11-MOD(AP$2,12))*Params!$B$42^INT(AP$2/12))/12</f>
        <v/>
      </c>
      <c r="AQ58" s="5">
        <f>$C$57*((MOD(AQ$2,12)+1)*Params!$B$42^(INT(AQ$2/12)+1)+(11-MOD(AQ$2,12))*Params!$B$42^INT(AQ$2/12))/12</f>
        <v/>
      </c>
      <c r="AR58" s="5">
        <f>$C$57*((MOD(AR$2,12)+1)*Params!$B$42^(INT(AR$2/12)+1)+(11-MOD(AR$2,12))*Params!$B$42^INT(AR$2/12))/12</f>
        <v/>
      </c>
      <c r="AS58" s="5">
        <f>$C$57*((MOD(AS$2,12)+1)*Params!$B$42^(INT(AS$2/12)+1)+(11-MOD(AS$2,12))*Params!$B$42^INT(AS$2/12))/12</f>
        <v/>
      </c>
      <c r="AT58" s="5">
        <f>$C$57*((MOD(AT$2,12)+1)*Params!$B$42^(INT(AT$2/12)+1)+(11-MOD(AT$2,12))*Params!$B$42^INT(AT$2/12))/12</f>
        <v/>
      </c>
      <c r="AU58" s="5">
        <f>$C$57*((MOD(AU$2,12)+1)*Params!$B$42^(INT(AU$2/12)+1)+(11-MOD(AU$2,12))*Params!$B$42^INT(AU$2/12))/12</f>
        <v/>
      </c>
      <c r="AV58" s="5">
        <f>$C$57*((MOD(AV$2,12)+1)*Params!$B$42^(INT(AV$2/12)+1)+(11-MOD(AV$2,12))*Params!$B$42^INT(AV$2/12))/12</f>
        <v/>
      </c>
      <c r="AW58" s="5">
        <f>$C$57*((MOD(AW$2,12)+1)*Params!$B$42^(INT(AW$2/12)+1)+(11-MOD(AW$2,12))*Params!$B$42^INT(AW$2/12))/12</f>
        <v/>
      </c>
      <c r="AX58" s="5">
        <f>$C$57*((MOD(AX$2,12)+1)*Params!$B$42^(INT(AX$2/12)+1)+(11-MOD(AX$2,12))*Params!$B$42^INT(AX$2/12))/12</f>
        <v/>
      </c>
      <c r="AY58" s="5">
        <f>$C$57*((MOD(AY$2,12)+1)*Params!$B$42^(INT(AY$2/12)+1)+(11-MOD(AY$2,12))*Params!$B$42^INT(AY$2/12))/12</f>
        <v/>
      </c>
      <c r="AZ58" s="5">
        <f>$C$57*((MOD(AZ$2,12)+1)*Params!$B$42^(INT(AZ$2/12)+1)+(11-MOD(AZ$2,12))*Params!$B$42^INT(AZ$2/12))/12</f>
        <v/>
      </c>
      <c r="BA58" s="5">
        <f>$C$57*((MOD(BA$2,12)+1)*Params!$B$42^(INT(BA$2/12)+1)+(11-MOD(BA$2,12))*Params!$B$42^INT(BA$2/12))/12</f>
        <v/>
      </c>
      <c r="BB58" s="5">
        <f>$C$57*((MOD(BB$2,12)+1)*Params!$B$42^(INT(BB$2/12)+1)+(11-MOD(BB$2,12))*Params!$B$42^INT(BB$2/12))/12</f>
        <v/>
      </c>
      <c r="BC58" s="5">
        <f>$C$57*((MOD(BC$2,12)+1)*Params!$B$42^(INT(BC$2/12)+1)+(11-MOD(BC$2,12))*Params!$B$42^INT(BC$2/12))/12</f>
        <v/>
      </c>
      <c r="BD58" s="5">
        <f>$C$57*((MOD(BD$2,12)+1)*Params!$B$42^(INT(BD$2/12)+1)+(11-MOD(BD$2,12))*Params!$B$42^INT(BD$2/12))/12</f>
        <v/>
      </c>
      <c r="BE58" s="5">
        <f>$C$57*((MOD(BE$2,12)+1)*Params!$B$42^(INT(BE$2/12)+1)+(11-MOD(BE$2,12))*Params!$B$42^INT(BE$2/12))/12</f>
        <v/>
      </c>
      <c r="BF58" s="5">
        <f>$C$57*((MOD(BF$2,12)+1)*Params!$B$42^(INT(BF$2/12)+1)+(11-MOD(BF$2,12))*Params!$B$42^INT(BF$2/12))/12</f>
        <v/>
      </c>
      <c r="BG58" s="5">
        <f>$C$57*((MOD(BG$2,12)+1)*Params!$B$42^(INT(BG$2/12)+1)+(11-MOD(BG$2,12))*Params!$B$42^INT(BG$2/12))/12</f>
        <v/>
      </c>
      <c r="BH58" s="5">
        <f>$C$57*((MOD(BH$2,12)+1)*Params!$B$42^(INT(BH$2/12)+1)+(11-MOD(BH$2,12))*Params!$B$42^INT(BH$2/12))/12</f>
        <v/>
      </c>
      <c r="BI58" s="5">
        <f>$C$57*((MOD(BI$2,12)+1)*Params!$B$42^(INT(BI$2/12)+1)+(11-MOD(BI$2,12))*Params!$B$42^INT(BI$2/12))/12</f>
        <v/>
      </c>
      <c r="BJ58" s="5">
        <f>$C$57*((MOD(BJ$2,12)+1)*Params!$B$42^(INT(BJ$2/12)+1)+(11-MOD(BJ$2,12))*Params!$B$42^INT(BJ$2/12))/12</f>
        <v/>
      </c>
      <c r="BK58" s="5">
        <f>$C$57*((MOD(BK$2,12)+1)*Params!$B$42^(INT(BK$2/12)+1)+(11-MOD(BK$2,12))*Params!$B$42^INT(BK$2/12))/12</f>
        <v/>
      </c>
      <c r="BL58" s="5">
        <f>$C$57*((MOD(BL$2,12)+1)*Params!$B$42^(INT(BL$2/12)+1)+(11-MOD(BL$2,12))*Params!$B$42^INT(BL$2/12))/12</f>
        <v/>
      </c>
      <c r="BM58" s="5">
        <f>$C$57*((MOD(BM$2,12)+1)*Params!$B$42^(INT(BM$2/12)+1)+(11-MOD(BM$2,12))*Params!$B$42^INT(BM$2/12))/12</f>
        <v/>
      </c>
      <c r="BN58" s="5">
        <f>$C$57*((MOD(BN$2,12)+1)*Params!$B$42^(INT(BN$2/12)+1)+(11-MOD(BN$2,12))*Params!$B$42^INT(BN$2/12))/12</f>
        <v/>
      </c>
      <c r="BO58" s="5">
        <f>$C$57*((MOD(BO$2,12)+1)*Params!$B$42^(INT(BO$2/12)+1)+(11-MOD(BO$2,12))*Params!$B$42^INT(BO$2/12))/12</f>
        <v/>
      </c>
      <c r="BP58" s="5">
        <f>$C$57*((MOD(BP$2,12)+1)*Params!$B$42^(INT(BP$2/12)+1)+(11-MOD(BP$2,12))*Params!$B$42^INT(BP$2/12))/12</f>
        <v/>
      </c>
      <c r="BQ58" s="5">
        <f>$C$57*((MOD(BQ$2,12)+1)*Params!$B$42^(INT(BQ$2/12)+1)+(11-MOD(BQ$2,12))*Params!$B$42^INT(BQ$2/12))/12</f>
        <v/>
      </c>
      <c r="BR58" s="5">
        <f>$C$57*((MOD(BR$2,12)+1)*Params!$B$42^(INT(BR$2/12)+1)+(11-MOD(BR$2,12))*Params!$B$42^INT(BR$2/12))/12</f>
        <v/>
      </c>
      <c r="BS58" s="5">
        <f>$C$57*((MOD(BS$2,12)+1)*Params!$B$42^(INT(BS$2/12)+1)+(11-MOD(BS$2,12))*Params!$B$42^INT(BS$2/12))/12</f>
        <v/>
      </c>
      <c r="BT58" s="5">
        <f>$C$57*((MOD(BT$2,12)+1)*Params!$B$42^(INT(BT$2/12)+1)+(11-MOD(BT$2,12))*Params!$B$42^INT(BT$2/12))/12</f>
        <v/>
      </c>
      <c r="BU58" s="5">
        <f>$C$57*((MOD(BU$2,12)+1)*Params!$B$42^(INT(BU$2/12)+1)+(11-MOD(BU$2,12))*Params!$B$42^INT(BU$2/12))/12</f>
        <v/>
      </c>
      <c r="BV58" s="5">
        <f>$C$57*((MOD(BV$2,12)+1)*Params!$B$42^(INT(BV$2/12)+1)+(11-MOD(BV$2,12))*Params!$B$42^INT(BV$2/12))/12</f>
        <v/>
      </c>
    </row>
    <row r="59">
      <c r="A59" t="inlineStr">
        <is>
          <t>churned</t>
        </is>
      </c>
      <c r="B59" t="inlineStr">
        <is>
          <t>APAC|NITRO_A</t>
        </is>
      </c>
      <c r="C59" s="5">
        <f>$C$57-C58</f>
        <v/>
      </c>
      <c r="D59" s="5">
        <f>C58-D58</f>
        <v/>
      </c>
      <c r="E59" s="5">
        <f>D58-E58</f>
        <v/>
      </c>
      <c r="F59" s="5">
        <f>E58-F58</f>
        <v/>
      </c>
      <c r="G59" s="5">
        <f>F58-G58</f>
        <v/>
      </c>
      <c r="H59" s="5">
        <f>G58-H58</f>
        <v/>
      </c>
      <c r="I59" s="5">
        <f>H58-I58</f>
        <v/>
      </c>
      <c r="J59" s="5">
        <f>I58-J58</f>
        <v/>
      </c>
      <c r="K59" s="5">
        <f>J58-K58</f>
        <v/>
      </c>
      <c r="L59" s="5">
        <f>K58-L58</f>
        <v/>
      </c>
      <c r="M59" s="5">
        <f>L58-M58</f>
        <v/>
      </c>
      <c r="N59" s="5">
        <f>M58-N58</f>
        <v/>
      </c>
      <c r="O59" s="5">
        <f>N58-O58</f>
        <v/>
      </c>
      <c r="P59" s="5">
        <f>O58-P58</f>
        <v/>
      </c>
      <c r="Q59" s="5">
        <f>P58-Q58</f>
        <v/>
      </c>
      <c r="R59" s="5">
        <f>Q58-R58</f>
        <v/>
      </c>
      <c r="S59" s="5">
        <f>R58-S58</f>
        <v/>
      </c>
      <c r="T59" s="5">
        <f>S58-T58</f>
        <v/>
      </c>
      <c r="U59" s="5">
        <f>T58-U58</f>
        <v/>
      </c>
      <c r="V59" s="5">
        <f>U58-V58</f>
        <v/>
      </c>
      <c r="W59" s="5">
        <f>V58-W58</f>
        <v/>
      </c>
      <c r="X59" s="5">
        <f>W58-X58</f>
        <v/>
      </c>
      <c r="Y59" s="5">
        <f>X58-Y58</f>
        <v/>
      </c>
      <c r="Z59" s="5">
        <f>Y58-Z58</f>
        <v/>
      </c>
      <c r="AA59" s="5">
        <f>Z58-AA58</f>
        <v/>
      </c>
      <c r="AB59" s="5">
        <f>AA58-AB58</f>
        <v/>
      </c>
      <c r="AC59" s="5">
        <f>AB58-AC58</f>
        <v/>
      </c>
      <c r="AD59" s="5">
        <f>AC58-AD58</f>
        <v/>
      </c>
      <c r="AE59" s="5">
        <f>AD58-AE58</f>
        <v/>
      </c>
      <c r="AF59" s="5">
        <f>AE58-AF58</f>
        <v/>
      </c>
      <c r="AG59" s="5">
        <f>AF58-AG58</f>
        <v/>
      </c>
      <c r="AH59" s="5">
        <f>AG58-AH58</f>
        <v/>
      </c>
      <c r="AI59" s="5">
        <f>AH58-AI58</f>
        <v/>
      </c>
      <c r="AJ59" s="5">
        <f>AI58-AJ58</f>
        <v/>
      </c>
      <c r="AK59" s="5">
        <f>AJ58-AK58</f>
        <v/>
      </c>
      <c r="AL59" s="5">
        <f>AK58-AL58</f>
        <v/>
      </c>
      <c r="AM59" s="5">
        <f>AL58-AM58</f>
        <v/>
      </c>
      <c r="AN59" s="5">
        <f>AM58-AN58</f>
        <v/>
      </c>
      <c r="AO59" s="5">
        <f>AN58-AO58</f>
        <v/>
      </c>
      <c r="AP59" s="5">
        <f>AO58-AP58</f>
        <v/>
      </c>
      <c r="AQ59" s="5">
        <f>AP58-AQ58</f>
        <v/>
      </c>
      <c r="AR59" s="5">
        <f>AQ58-AR58</f>
        <v/>
      </c>
      <c r="AS59" s="5">
        <f>AR58-AS58</f>
        <v/>
      </c>
      <c r="AT59" s="5">
        <f>AS58-AT58</f>
        <v/>
      </c>
      <c r="AU59" s="5">
        <f>AT58-AU58</f>
        <v/>
      </c>
      <c r="AV59" s="5">
        <f>AU58-AV58</f>
        <v/>
      </c>
      <c r="AW59" s="5">
        <f>AV58-AW58</f>
        <v/>
      </c>
      <c r="AX59" s="5">
        <f>AW58-AX58</f>
        <v/>
      </c>
      <c r="AY59" s="5">
        <f>AX58-AY58</f>
        <v/>
      </c>
      <c r="AZ59" s="5">
        <f>AY58-AZ58</f>
        <v/>
      </c>
      <c r="BA59" s="5">
        <f>AZ58-BA58</f>
        <v/>
      </c>
      <c r="BB59" s="5">
        <f>BA58-BB58</f>
        <v/>
      </c>
      <c r="BC59" s="5">
        <f>BB58-BC58</f>
        <v/>
      </c>
      <c r="BD59" s="5">
        <f>BC58-BD58</f>
        <v/>
      </c>
      <c r="BE59" s="5">
        <f>BD58-BE58</f>
        <v/>
      </c>
      <c r="BF59" s="5">
        <f>BE58-BF58</f>
        <v/>
      </c>
      <c r="BG59" s="5">
        <f>BF58-BG58</f>
        <v/>
      </c>
      <c r="BH59" s="5">
        <f>BG58-BH58</f>
        <v/>
      </c>
      <c r="BI59" s="5">
        <f>BH58-BI58</f>
        <v/>
      </c>
      <c r="BJ59" s="5">
        <f>BI58-BJ58</f>
        <v/>
      </c>
      <c r="BK59" s="5">
        <f>BJ58-BK58</f>
        <v/>
      </c>
      <c r="BL59" s="5">
        <f>BK58-BL58</f>
        <v/>
      </c>
      <c r="BM59" s="5">
        <f>BL58-BM58</f>
        <v/>
      </c>
      <c r="BN59" s="5">
        <f>BM58-BN58</f>
        <v/>
      </c>
      <c r="BO59" s="5">
        <f>BN58-BO58</f>
        <v/>
      </c>
      <c r="BP59" s="5">
        <f>BO58-BP58</f>
        <v/>
      </c>
      <c r="BQ59" s="5">
        <f>BP58-BQ58</f>
        <v/>
      </c>
      <c r="BR59" s="5">
        <f>BQ58-BR58</f>
        <v/>
      </c>
      <c r="BS59" s="5">
        <f>BR58-BS58</f>
        <v/>
      </c>
      <c r="BT59" s="5">
        <f>BS58-BT58</f>
        <v/>
      </c>
      <c r="BU59" s="5">
        <f>BT58-BU58</f>
        <v/>
      </c>
      <c r="BV59" s="5">
        <f>BU58-BV58</f>
        <v/>
      </c>
    </row>
    <row r="61">
      <c r="A61" t="inlineStr">
        <is>
          <t>opening book (Jan 2025)</t>
        </is>
      </c>
      <c r="B61" t="inlineStr">
        <is>
          <t>APAC|BASIC_M</t>
        </is>
      </c>
      <c r="C61" s="5">
        <f>Params!$B$14*Params!$B$75*Params!$B$98</f>
        <v/>
      </c>
    </row>
    <row r="62">
      <c r="A62" t="inlineStr">
        <is>
          <t>active</t>
        </is>
      </c>
      <c r="B62" t="inlineStr">
        <is>
          <t>APAC|BASIC_M</t>
        </is>
      </c>
      <c r="C62" s="5">
        <f>$C$61*(1-Params!$B$15)^(C$2+1)</f>
        <v/>
      </c>
      <c r="D62" s="5">
        <f>$C$61*(1-Params!$B$15)^(D$2+1)</f>
        <v/>
      </c>
      <c r="E62" s="5">
        <f>$C$61*(1-Params!$B$15)^(E$2+1)</f>
        <v/>
      </c>
      <c r="F62" s="5">
        <f>$C$61*(1-Params!$B$15)^(F$2+1)</f>
        <v/>
      </c>
      <c r="G62" s="5">
        <f>$C$61*(1-Params!$B$15)^(G$2+1)</f>
        <v/>
      </c>
      <c r="H62" s="5">
        <f>$C$61*(1-Params!$B$15)^(H$2+1)</f>
        <v/>
      </c>
      <c r="I62" s="5">
        <f>$C$61*(1-Params!$B$15)^(I$2+1)</f>
        <v/>
      </c>
      <c r="J62" s="5">
        <f>$C$61*(1-Params!$B$15)^(J$2+1)</f>
        <v/>
      </c>
      <c r="K62" s="5">
        <f>$C$61*(1-Params!$B$15)^(K$2+1)</f>
        <v/>
      </c>
      <c r="L62" s="5">
        <f>$C$61*(1-Params!$B$15)^(L$2+1)</f>
        <v/>
      </c>
      <c r="M62" s="5">
        <f>$C$61*(1-Params!$B$15)^(M$2+1)</f>
        <v/>
      </c>
      <c r="N62" s="5">
        <f>$C$61*(1-Params!$B$15)^(N$2+1)</f>
        <v/>
      </c>
      <c r="O62" s="5">
        <f>$C$61*(1-Params!$B$15)^(O$2+1)</f>
        <v/>
      </c>
      <c r="P62" s="5">
        <f>$C$61*(1-Params!$B$15)^(P$2+1)</f>
        <v/>
      </c>
      <c r="Q62" s="5">
        <f>$C$61*(1-Params!$B$15)^(Q$2+1)</f>
        <v/>
      </c>
      <c r="R62" s="5">
        <f>$C$61*(1-Params!$B$15)^(R$2+1)</f>
        <v/>
      </c>
      <c r="S62" s="5">
        <f>$C$61*(1-Params!$B$15)^(S$2+1)</f>
        <v/>
      </c>
      <c r="T62" s="5">
        <f>$C$61*(1-Params!$B$15)^(T$2+1)</f>
        <v/>
      </c>
      <c r="U62" s="5">
        <f>$C$61*(1-Params!$B$15)^(U$2+1)</f>
        <v/>
      </c>
      <c r="V62" s="5">
        <f>$C$61*(1-Params!$B$15)^(V$2+1)</f>
        <v/>
      </c>
      <c r="W62" s="5">
        <f>$C$61*(1-Params!$B$15)^(W$2+1)</f>
        <v/>
      </c>
      <c r="X62" s="5">
        <f>$C$61*(1-Params!$B$15)^(X$2+1)</f>
        <v/>
      </c>
      <c r="Y62" s="5">
        <f>$C$61*(1-Params!$B$15)^(Y$2+1)</f>
        <v/>
      </c>
      <c r="Z62" s="5">
        <f>$C$61*(1-Params!$B$15)^(Z$2+1)</f>
        <v/>
      </c>
      <c r="AA62" s="5">
        <f>$C$61*(1-Params!$B$15)^(AA$2+1)</f>
        <v/>
      </c>
      <c r="AB62" s="5">
        <f>$C$61*(1-Params!$B$15)^(AB$2+1)</f>
        <v/>
      </c>
      <c r="AC62" s="5">
        <f>$C$61*(1-Params!$B$15)^(AC$2+1)</f>
        <v/>
      </c>
      <c r="AD62" s="5">
        <f>$C$61*(1-Params!$B$15)^(AD$2+1)</f>
        <v/>
      </c>
      <c r="AE62" s="5">
        <f>$C$61*(1-Params!$B$15)^(AE$2+1)</f>
        <v/>
      </c>
      <c r="AF62" s="5">
        <f>$C$61*(1-Params!$B$15)^(AF$2+1)</f>
        <v/>
      </c>
      <c r="AG62" s="5">
        <f>$C$61*(1-Params!$B$15)^(AG$2+1)</f>
        <v/>
      </c>
      <c r="AH62" s="5">
        <f>$C$61*(1-Params!$B$15)^(AH$2+1)</f>
        <v/>
      </c>
      <c r="AI62" s="5">
        <f>$C$61*(1-Params!$B$15)^(AI$2+1)</f>
        <v/>
      </c>
      <c r="AJ62" s="5">
        <f>$C$61*(1-Params!$B$15)^(AJ$2+1)</f>
        <v/>
      </c>
      <c r="AK62" s="5">
        <f>$C$61*(1-Params!$B$15)^(AK$2+1)</f>
        <v/>
      </c>
      <c r="AL62" s="5">
        <f>$C$61*(1-Params!$B$15)^(AL$2+1)</f>
        <v/>
      </c>
      <c r="AM62" s="5">
        <f>$C$61*(1-Params!$B$15)^(AM$2+1)</f>
        <v/>
      </c>
      <c r="AN62" s="5">
        <f>$C$61*(1-Params!$B$15)^(AN$2+1)</f>
        <v/>
      </c>
      <c r="AO62" s="5">
        <f>$C$61*(1-Params!$B$15)^(AO$2+1)</f>
        <v/>
      </c>
      <c r="AP62" s="5">
        <f>$C$61*(1-Params!$B$15)^(AP$2+1)</f>
        <v/>
      </c>
      <c r="AQ62" s="5">
        <f>$C$61*(1-Params!$B$15)^(AQ$2+1)</f>
        <v/>
      </c>
      <c r="AR62" s="5">
        <f>$C$61*(1-Params!$B$15)^(AR$2+1)</f>
        <v/>
      </c>
      <c r="AS62" s="5">
        <f>$C$61*(1-Params!$B$15)^(AS$2+1)</f>
        <v/>
      </c>
      <c r="AT62" s="5">
        <f>$C$61*(1-Params!$B$15)^(AT$2+1)</f>
        <v/>
      </c>
      <c r="AU62" s="5">
        <f>$C$61*(1-Params!$B$15)^(AU$2+1)</f>
        <v/>
      </c>
      <c r="AV62" s="5">
        <f>$C$61*(1-Params!$B$15)^(AV$2+1)</f>
        <v/>
      </c>
      <c r="AW62" s="5">
        <f>$C$61*(1-Params!$B$15)^(AW$2+1)</f>
        <v/>
      </c>
      <c r="AX62" s="5">
        <f>$C$61*(1-Params!$B$15)^(AX$2+1)</f>
        <v/>
      </c>
      <c r="AY62" s="5">
        <f>$C$61*(1-Params!$B$15)^(AY$2+1)</f>
        <v/>
      </c>
      <c r="AZ62" s="5">
        <f>$C$61*(1-Params!$B$15)^(AZ$2+1)</f>
        <v/>
      </c>
      <c r="BA62" s="5">
        <f>$C$61*(1-Params!$B$15)^(BA$2+1)</f>
        <v/>
      </c>
      <c r="BB62" s="5">
        <f>$C$61*(1-Params!$B$15)^(BB$2+1)</f>
        <v/>
      </c>
      <c r="BC62" s="5">
        <f>$C$61*(1-Params!$B$15)^(BC$2+1)</f>
        <v/>
      </c>
      <c r="BD62" s="5">
        <f>$C$61*(1-Params!$B$15)^(BD$2+1)</f>
        <v/>
      </c>
      <c r="BE62" s="5">
        <f>$C$61*(1-Params!$B$15)^(BE$2+1)</f>
        <v/>
      </c>
      <c r="BF62" s="5">
        <f>$C$61*(1-Params!$B$15)^(BF$2+1)</f>
        <v/>
      </c>
      <c r="BG62" s="5">
        <f>$C$61*(1-Params!$B$15)^(BG$2+1)</f>
        <v/>
      </c>
      <c r="BH62" s="5">
        <f>$C$61*(1-Params!$B$15)^(BH$2+1)</f>
        <v/>
      </c>
      <c r="BI62" s="5">
        <f>$C$61*(1-Params!$B$15)^(BI$2+1)</f>
        <v/>
      </c>
      <c r="BJ62" s="5">
        <f>$C$61*(1-Params!$B$15)^(BJ$2+1)</f>
        <v/>
      </c>
      <c r="BK62" s="5">
        <f>$C$61*(1-Params!$B$15)^(BK$2+1)</f>
        <v/>
      </c>
      <c r="BL62" s="5">
        <f>$C$61*(1-Params!$B$15)^(BL$2+1)</f>
        <v/>
      </c>
      <c r="BM62" s="5">
        <f>$C$61*(1-Params!$B$15)^(BM$2+1)</f>
        <v/>
      </c>
      <c r="BN62" s="5">
        <f>$C$61*(1-Params!$B$15)^(BN$2+1)</f>
        <v/>
      </c>
      <c r="BO62" s="5">
        <f>$C$61*(1-Params!$B$15)^(BO$2+1)</f>
        <v/>
      </c>
      <c r="BP62" s="5">
        <f>$C$61*(1-Params!$B$15)^(BP$2+1)</f>
        <v/>
      </c>
      <c r="BQ62" s="5">
        <f>$C$61*(1-Params!$B$15)^(BQ$2+1)</f>
        <v/>
      </c>
      <c r="BR62" s="5">
        <f>$C$61*(1-Params!$B$15)^(BR$2+1)</f>
        <v/>
      </c>
      <c r="BS62" s="5">
        <f>$C$61*(1-Params!$B$15)^(BS$2+1)</f>
        <v/>
      </c>
      <c r="BT62" s="5">
        <f>$C$61*(1-Params!$B$15)^(BT$2+1)</f>
        <v/>
      </c>
      <c r="BU62" s="5">
        <f>$C$61*(1-Params!$B$15)^(BU$2+1)</f>
        <v/>
      </c>
      <c r="BV62" s="5">
        <f>$C$61*(1-Params!$B$15)^(BV$2+1)</f>
        <v/>
      </c>
    </row>
    <row r="63">
      <c r="A63" t="inlineStr">
        <is>
          <t>churned</t>
        </is>
      </c>
      <c r="B63" t="inlineStr">
        <is>
          <t>APAC|BASIC_M</t>
        </is>
      </c>
      <c r="C63" s="5">
        <f>$C$61-C62</f>
        <v/>
      </c>
      <c r="D63" s="5">
        <f>C62-D62</f>
        <v/>
      </c>
      <c r="E63" s="5">
        <f>D62-E62</f>
        <v/>
      </c>
      <c r="F63" s="5">
        <f>E62-F62</f>
        <v/>
      </c>
      <c r="G63" s="5">
        <f>F62-G62</f>
        <v/>
      </c>
      <c r="H63" s="5">
        <f>G62-H62</f>
        <v/>
      </c>
      <c r="I63" s="5">
        <f>H62-I62</f>
        <v/>
      </c>
      <c r="J63" s="5">
        <f>I62-J62</f>
        <v/>
      </c>
      <c r="K63" s="5">
        <f>J62-K62</f>
        <v/>
      </c>
      <c r="L63" s="5">
        <f>K62-L62</f>
        <v/>
      </c>
      <c r="M63" s="5">
        <f>L62-M62</f>
        <v/>
      </c>
      <c r="N63" s="5">
        <f>M62-N62</f>
        <v/>
      </c>
      <c r="O63" s="5">
        <f>N62-O62</f>
        <v/>
      </c>
      <c r="P63" s="5">
        <f>O62-P62</f>
        <v/>
      </c>
      <c r="Q63" s="5">
        <f>P62-Q62</f>
        <v/>
      </c>
      <c r="R63" s="5">
        <f>Q62-R62</f>
        <v/>
      </c>
      <c r="S63" s="5">
        <f>R62-S62</f>
        <v/>
      </c>
      <c r="T63" s="5">
        <f>S62-T62</f>
        <v/>
      </c>
      <c r="U63" s="5">
        <f>T62-U62</f>
        <v/>
      </c>
      <c r="V63" s="5">
        <f>U62-V62</f>
        <v/>
      </c>
      <c r="W63" s="5">
        <f>V62-W62</f>
        <v/>
      </c>
      <c r="X63" s="5">
        <f>W62-X62</f>
        <v/>
      </c>
      <c r="Y63" s="5">
        <f>X62-Y62</f>
        <v/>
      </c>
      <c r="Z63" s="5">
        <f>Y62-Z62</f>
        <v/>
      </c>
      <c r="AA63" s="5">
        <f>Z62-AA62</f>
        <v/>
      </c>
      <c r="AB63" s="5">
        <f>AA62-AB62</f>
        <v/>
      </c>
      <c r="AC63" s="5">
        <f>AB62-AC62</f>
        <v/>
      </c>
      <c r="AD63" s="5">
        <f>AC62-AD62</f>
        <v/>
      </c>
      <c r="AE63" s="5">
        <f>AD62-AE62</f>
        <v/>
      </c>
      <c r="AF63" s="5">
        <f>AE62-AF62</f>
        <v/>
      </c>
      <c r="AG63" s="5">
        <f>AF62-AG62</f>
        <v/>
      </c>
      <c r="AH63" s="5">
        <f>AG62-AH62</f>
        <v/>
      </c>
      <c r="AI63" s="5">
        <f>AH62-AI62</f>
        <v/>
      </c>
      <c r="AJ63" s="5">
        <f>AI62-AJ62</f>
        <v/>
      </c>
      <c r="AK63" s="5">
        <f>AJ62-AK62</f>
        <v/>
      </c>
      <c r="AL63" s="5">
        <f>AK62-AL62</f>
        <v/>
      </c>
      <c r="AM63" s="5">
        <f>AL62-AM62</f>
        <v/>
      </c>
      <c r="AN63" s="5">
        <f>AM62-AN62</f>
        <v/>
      </c>
      <c r="AO63" s="5">
        <f>AN62-AO62</f>
        <v/>
      </c>
      <c r="AP63" s="5">
        <f>AO62-AP62</f>
        <v/>
      </c>
      <c r="AQ63" s="5">
        <f>AP62-AQ62</f>
        <v/>
      </c>
      <c r="AR63" s="5">
        <f>AQ62-AR62</f>
        <v/>
      </c>
      <c r="AS63" s="5">
        <f>AR62-AS62</f>
        <v/>
      </c>
      <c r="AT63" s="5">
        <f>AS62-AT62</f>
        <v/>
      </c>
      <c r="AU63" s="5">
        <f>AT62-AU62</f>
        <v/>
      </c>
      <c r="AV63" s="5">
        <f>AU62-AV62</f>
        <v/>
      </c>
      <c r="AW63" s="5">
        <f>AV62-AW62</f>
        <v/>
      </c>
      <c r="AX63" s="5">
        <f>AW62-AX62</f>
        <v/>
      </c>
      <c r="AY63" s="5">
        <f>AX62-AY62</f>
        <v/>
      </c>
      <c r="AZ63" s="5">
        <f>AY62-AZ62</f>
        <v/>
      </c>
      <c r="BA63" s="5">
        <f>AZ62-BA62</f>
        <v/>
      </c>
      <c r="BB63" s="5">
        <f>BA62-BB62</f>
        <v/>
      </c>
      <c r="BC63" s="5">
        <f>BB62-BC62</f>
        <v/>
      </c>
      <c r="BD63" s="5">
        <f>BC62-BD62</f>
        <v/>
      </c>
      <c r="BE63" s="5">
        <f>BD62-BE62</f>
        <v/>
      </c>
      <c r="BF63" s="5">
        <f>BE62-BF62</f>
        <v/>
      </c>
      <c r="BG63" s="5">
        <f>BF62-BG62</f>
        <v/>
      </c>
      <c r="BH63" s="5">
        <f>BG62-BH62</f>
        <v/>
      </c>
      <c r="BI63" s="5">
        <f>BH62-BI62</f>
        <v/>
      </c>
      <c r="BJ63" s="5">
        <f>BI62-BJ62</f>
        <v/>
      </c>
      <c r="BK63" s="5">
        <f>BJ62-BK62</f>
        <v/>
      </c>
      <c r="BL63" s="5">
        <f>BK62-BL62</f>
        <v/>
      </c>
      <c r="BM63" s="5">
        <f>BL62-BM62</f>
        <v/>
      </c>
      <c r="BN63" s="5">
        <f>BM62-BN62</f>
        <v/>
      </c>
      <c r="BO63" s="5">
        <f>BN62-BO62</f>
        <v/>
      </c>
      <c r="BP63" s="5">
        <f>BO62-BP62</f>
        <v/>
      </c>
      <c r="BQ63" s="5">
        <f>BP62-BQ62</f>
        <v/>
      </c>
      <c r="BR63" s="5">
        <f>BQ62-BR62</f>
        <v/>
      </c>
      <c r="BS63" s="5">
        <f>BR62-BS62</f>
        <v/>
      </c>
      <c r="BT63" s="5">
        <f>BS62-BT62</f>
        <v/>
      </c>
      <c r="BU63" s="5">
        <f>BT62-BU62</f>
        <v/>
      </c>
      <c r="BV63" s="5">
        <f>BU62-BV62</f>
        <v/>
      </c>
    </row>
    <row r="65">
      <c r="A65" t="inlineStr">
        <is>
          <t>opening book (Jan 2025)</t>
        </is>
      </c>
      <c r="B65" t="inlineStr">
        <is>
          <t>APAC|BASIC_A</t>
        </is>
      </c>
      <c r="C65" s="5">
        <f>Params!$B$14*Params!$B$75*Params!$B$99</f>
        <v/>
      </c>
    </row>
    <row r="66">
      <c r="A66" t="inlineStr">
        <is>
          <t>active</t>
        </is>
      </c>
      <c r="B66" t="inlineStr">
        <is>
          <t>APAC|BASIC_A</t>
        </is>
      </c>
      <c r="C66" s="5">
        <f>$C$65*((MOD(C$2,12)+1)*Params!$B$42^(INT(C$2/12)+1)+(11-MOD(C$2,12))*Params!$B$42^INT(C$2/12))/12</f>
        <v/>
      </c>
      <c r="D66" s="5">
        <f>$C$65*((MOD(D$2,12)+1)*Params!$B$42^(INT(D$2/12)+1)+(11-MOD(D$2,12))*Params!$B$42^INT(D$2/12))/12</f>
        <v/>
      </c>
      <c r="E66" s="5">
        <f>$C$65*((MOD(E$2,12)+1)*Params!$B$42^(INT(E$2/12)+1)+(11-MOD(E$2,12))*Params!$B$42^INT(E$2/12))/12</f>
        <v/>
      </c>
      <c r="F66" s="5">
        <f>$C$65*((MOD(F$2,12)+1)*Params!$B$42^(INT(F$2/12)+1)+(11-MOD(F$2,12))*Params!$B$42^INT(F$2/12))/12</f>
        <v/>
      </c>
      <c r="G66" s="5">
        <f>$C$65*((MOD(G$2,12)+1)*Params!$B$42^(INT(G$2/12)+1)+(11-MOD(G$2,12))*Params!$B$42^INT(G$2/12))/12</f>
        <v/>
      </c>
      <c r="H66" s="5">
        <f>$C$65*((MOD(H$2,12)+1)*Params!$B$42^(INT(H$2/12)+1)+(11-MOD(H$2,12))*Params!$B$42^INT(H$2/12))/12</f>
        <v/>
      </c>
      <c r="I66" s="5">
        <f>$C$65*((MOD(I$2,12)+1)*Params!$B$42^(INT(I$2/12)+1)+(11-MOD(I$2,12))*Params!$B$42^INT(I$2/12))/12</f>
        <v/>
      </c>
      <c r="J66" s="5">
        <f>$C$65*((MOD(J$2,12)+1)*Params!$B$42^(INT(J$2/12)+1)+(11-MOD(J$2,12))*Params!$B$42^INT(J$2/12))/12</f>
        <v/>
      </c>
      <c r="K66" s="5">
        <f>$C$65*((MOD(K$2,12)+1)*Params!$B$42^(INT(K$2/12)+1)+(11-MOD(K$2,12))*Params!$B$42^INT(K$2/12))/12</f>
        <v/>
      </c>
      <c r="L66" s="5">
        <f>$C$65*((MOD(L$2,12)+1)*Params!$B$42^(INT(L$2/12)+1)+(11-MOD(L$2,12))*Params!$B$42^INT(L$2/12))/12</f>
        <v/>
      </c>
      <c r="M66" s="5">
        <f>$C$65*((MOD(M$2,12)+1)*Params!$B$42^(INT(M$2/12)+1)+(11-MOD(M$2,12))*Params!$B$42^INT(M$2/12))/12</f>
        <v/>
      </c>
      <c r="N66" s="5">
        <f>$C$65*((MOD(N$2,12)+1)*Params!$B$42^(INT(N$2/12)+1)+(11-MOD(N$2,12))*Params!$B$42^INT(N$2/12))/12</f>
        <v/>
      </c>
      <c r="O66" s="5">
        <f>$C$65*((MOD(O$2,12)+1)*Params!$B$42^(INT(O$2/12)+1)+(11-MOD(O$2,12))*Params!$B$42^INT(O$2/12))/12</f>
        <v/>
      </c>
      <c r="P66" s="5">
        <f>$C$65*((MOD(P$2,12)+1)*Params!$B$42^(INT(P$2/12)+1)+(11-MOD(P$2,12))*Params!$B$42^INT(P$2/12))/12</f>
        <v/>
      </c>
      <c r="Q66" s="5">
        <f>$C$65*((MOD(Q$2,12)+1)*Params!$B$42^(INT(Q$2/12)+1)+(11-MOD(Q$2,12))*Params!$B$42^INT(Q$2/12))/12</f>
        <v/>
      </c>
      <c r="R66" s="5">
        <f>$C$65*((MOD(R$2,12)+1)*Params!$B$42^(INT(R$2/12)+1)+(11-MOD(R$2,12))*Params!$B$42^INT(R$2/12))/12</f>
        <v/>
      </c>
      <c r="S66" s="5">
        <f>$C$65*((MOD(S$2,12)+1)*Params!$B$42^(INT(S$2/12)+1)+(11-MOD(S$2,12))*Params!$B$42^INT(S$2/12))/12</f>
        <v/>
      </c>
      <c r="T66" s="5">
        <f>$C$65*((MOD(T$2,12)+1)*Params!$B$42^(INT(T$2/12)+1)+(11-MOD(T$2,12))*Params!$B$42^INT(T$2/12))/12</f>
        <v/>
      </c>
      <c r="U66" s="5">
        <f>$C$65*((MOD(U$2,12)+1)*Params!$B$42^(INT(U$2/12)+1)+(11-MOD(U$2,12))*Params!$B$42^INT(U$2/12))/12</f>
        <v/>
      </c>
      <c r="V66" s="5">
        <f>$C$65*((MOD(V$2,12)+1)*Params!$B$42^(INT(V$2/12)+1)+(11-MOD(V$2,12))*Params!$B$42^INT(V$2/12))/12</f>
        <v/>
      </c>
      <c r="W66" s="5">
        <f>$C$65*((MOD(W$2,12)+1)*Params!$B$42^(INT(W$2/12)+1)+(11-MOD(W$2,12))*Params!$B$42^INT(W$2/12))/12</f>
        <v/>
      </c>
      <c r="X66" s="5">
        <f>$C$65*((MOD(X$2,12)+1)*Params!$B$42^(INT(X$2/12)+1)+(11-MOD(X$2,12))*Params!$B$42^INT(X$2/12))/12</f>
        <v/>
      </c>
      <c r="Y66" s="5">
        <f>$C$65*((MOD(Y$2,12)+1)*Params!$B$42^(INT(Y$2/12)+1)+(11-MOD(Y$2,12))*Params!$B$42^INT(Y$2/12))/12</f>
        <v/>
      </c>
      <c r="Z66" s="5">
        <f>$C$65*((MOD(Z$2,12)+1)*Params!$B$42^(INT(Z$2/12)+1)+(11-MOD(Z$2,12))*Params!$B$42^INT(Z$2/12))/12</f>
        <v/>
      </c>
      <c r="AA66" s="5">
        <f>$C$65*((MOD(AA$2,12)+1)*Params!$B$42^(INT(AA$2/12)+1)+(11-MOD(AA$2,12))*Params!$B$42^INT(AA$2/12))/12</f>
        <v/>
      </c>
      <c r="AB66" s="5">
        <f>$C$65*((MOD(AB$2,12)+1)*Params!$B$42^(INT(AB$2/12)+1)+(11-MOD(AB$2,12))*Params!$B$42^INT(AB$2/12))/12</f>
        <v/>
      </c>
      <c r="AC66" s="5">
        <f>$C$65*((MOD(AC$2,12)+1)*Params!$B$42^(INT(AC$2/12)+1)+(11-MOD(AC$2,12))*Params!$B$42^INT(AC$2/12))/12</f>
        <v/>
      </c>
      <c r="AD66" s="5">
        <f>$C$65*((MOD(AD$2,12)+1)*Params!$B$42^(INT(AD$2/12)+1)+(11-MOD(AD$2,12))*Params!$B$42^INT(AD$2/12))/12</f>
        <v/>
      </c>
      <c r="AE66" s="5">
        <f>$C$65*((MOD(AE$2,12)+1)*Params!$B$42^(INT(AE$2/12)+1)+(11-MOD(AE$2,12))*Params!$B$42^INT(AE$2/12))/12</f>
        <v/>
      </c>
      <c r="AF66" s="5">
        <f>$C$65*((MOD(AF$2,12)+1)*Params!$B$42^(INT(AF$2/12)+1)+(11-MOD(AF$2,12))*Params!$B$42^INT(AF$2/12))/12</f>
        <v/>
      </c>
      <c r="AG66" s="5">
        <f>$C$65*((MOD(AG$2,12)+1)*Params!$B$42^(INT(AG$2/12)+1)+(11-MOD(AG$2,12))*Params!$B$42^INT(AG$2/12))/12</f>
        <v/>
      </c>
      <c r="AH66" s="5">
        <f>$C$65*((MOD(AH$2,12)+1)*Params!$B$42^(INT(AH$2/12)+1)+(11-MOD(AH$2,12))*Params!$B$42^INT(AH$2/12))/12</f>
        <v/>
      </c>
      <c r="AI66" s="5">
        <f>$C$65*((MOD(AI$2,12)+1)*Params!$B$42^(INT(AI$2/12)+1)+(11-MOD(AI$2,12))*Params!$B$42^INT(AI$2/12))/12</f>
        <v/>
      </c>
      <c r="AJ66" s="5">
        <f>$C$65*((MOD(AJ$2,12)+1)*Params!$B$42^(INT(AJ$2/12)+1)+(11-MOD(AJ$2,12))*Params!$B$42^INT(AJ$2/12))/12</f>
        <v/>
      </c>
      <c r="AK66" s="5">
        <f>$C$65*((MOD(AK$2,12)+1)*Params!$B$42^(INT(AK$2/12)+1)+(11-MOD(AK$2,12))*Params!$B$42^INT(AK$2/12))/12</f>
        <v/>
      </c>
      <c r="AL66" s="5">
        <f>$C$65*((MOD(AL$2,12)+1)*Params!$B$42^(INT(AL$2/12)+1)+(11-MOD(AL$2,12))*Params!$B$42^INT(AL$2/12))/12</f>
        <v/>
      </c>
      <c r="AM66" s="5">
        <f>$C$65*((MOD(AM$2,12)+1)*Params!$B$42^(INT(AM$2/12)+1)+(11-MOD(AM$2,12))*Params!$B$42^INT(AM$2/12))/12</f>
        <v/>
      </c>
      <c r="AN66" s="5">
        <f>$C$65*((MOD(AN$2,12)+1)*Params!$B$42^(INT(AN$2/12)+1)+(11-MOD(AN$2,12))*Params!$B$42^INT(AN$2/12))/12</f>
        <v/>
      </c>
      <c r="AO66" s="5">
        <f>$C$65*((MOD(AO$2,12)+1)*Params!$B$42^(INT(AO$2/12)+1)+(11-MOD(AO$2,12))*Params!$B$42^INT(AO$2/12))/12</f>
        <v/>
      </c>
      <c r="AP66" s="5">
        <f>$C$65*((MOD(AP$2,12)+1)*Params!$B$42^(INT(AP$2/12)+1)+(11-MOD(AP$2,12))*Params!$B$42^INT(AP$2/12))/12</f>
        <v/>
      </c>
      <c r="AQ66" s="5">
        <f>$C$65*((MOD(AQ$2,12)+1)*Params!$B$42^(INT(AQ$2/12)+1)+(11-MOD(AQ$2,12))*Params!$B$42^INT(AQ$2/12))/12</f>
        <v/>
      </c>
      <c r="AR66" s="5">
        <f>$C$65*((MOD(AR$2,12)+1)*Params!$B$42^(INT(AR$2/12)+1)+(11-MOD(AR$2,12))*Params!$B$42^INT(AR$2/12))/12</f>
        <v/>
      </c>
      <c r="AS66" s="5">
        <f>$C$65*((MOD(AS$2,12)+1)*Params!$B$42^(INT(AS$2/12)+1)+(11-MOD(AS$2,12))*Params!$B$42^INT(AS$2/12))/12</f>
        <v/>
      </c>
      <c r="AT66" s="5">
        <f>$C$65*((MOD(AT$2,12)+1)*Params!$B$42^(INT(AT$2/12)+1)+(11-MOD(AT$2,12))*Params!$B$42^INT(AT$2/12))/12</f>
        <v/>
      </c>
      <c r="AU66" s="5">
        <f>$C$65*((MOD(AU$2,12)+1)*Params!$B$42^(INT(AU$2/12)+1)+(11-MOD(AU$2,12))*Params!$B$42^INT(AU$2/12))/12</f>
        <v/>
      </c>
      <c r="AV66" s="5">
        <f>$C$65*((MOD(AV$2,12)+1)*Params!$B$42^(INT(AV$2/12)+1)+(11-MOD(AV$2,12))*Params!$B$42^INT(AV$2/12))/12</f>
        <v/>
      </c>
      <c r="AW66" s="5">
        <f>$C$65*((MOD(AW$2,12)+1)*Params!$B$42^(INT(AW$2/12)+1)+(11-MOD(AW$2,12))*Params!$B$42^INT(AW$2/12))/12</f>
        <v/>
      </c>
      <c r="AX66" s="5">
        <f>$C$65*((MOD(AX$2,12)+1)*Params!$B$42^(INT(AX$2/12)+1)+(11-MOD(AX$2,12))*Params!$B$42^INT(AX$2/12))/12</f>
        <v/>
      </c>
      <c r="AY66" s="5">
        <f>$C$65*((MOD(AY$2,12)+1)*Params!$B$42^(INT(AY$2/12)+1)+(11-MOD(AY$2,12))*Params!$B$42^INT(AY$2/12))/12</f>
        <v/>
      </c>
      <c r="AZ66" s="5">
        <f>$C$65*((MOD(AZ$2,12)+1)*Params!$B$42^(INT(AZ$2/12)+1)+(11-MOD(AZ$2,12))*Params!$B$42^INT(AZ$2/12))/12</f>
        <v/>
      </c>
      <c r="BA66" s="5">
        <f>$C$65*((MOD(BA$2,12)+1)*Params!$B$42^(INT(BA$2/12)+1)+(11-MOD(BA$2,12))*Params!$B$42^INT(BA$2/12))/12</f>
        <v/>
      </c>
      <c r="BB66" s="5">
        <f>$C$65*((MOD(BB$2,12)+1)*Params!$B$42^(INT(BB$2/12)+1)+(11-MOD(BB$2,12))*Params!$B$42^INT(BB$2/12))/12</f>
        <v/>
      </c>
      <c r="BC66" s="5">
        <f>$C$65*((MOD(BC$2,12)+1)*Params!$B$42^(INT(BC$2/12)+1)+(11-MOD(BC$2,12))*Params!$B$42^INT(BC$2/12))/12</f>
        <v/>
      </c>
      <c r="BD66" s="5">
        <f>$C$65*((MOD(BD$2,12)+1)*Params!$B$42^(INT(BD$2/12)+1)+(11-MOD(BD$2,12))*Params!$B$42^INT(BD$2/12))/12</f>
        <v/>
      </c>
      <c r="BE66" s="5">
        <f>$C$65*((MOD(BE$2,12)+1)*Params!$B$42^(INT(BE$2/12)+1)+(11-MOD(BE$2,12))*Params!$B$42^INT(BE$2/12))/12</f>
        <v/>
      </c>
      <c r="BF66" s="5">
        <f>$C$65*((MOD(BF$2,12)+1)*Params!$B$42^(INT(BF$2/12)+1)+(11-MOD(BF$2,12))*Params!$B$42^INT(BF$2/12))/12</f>
        <v/>
      </c>
      <c r="BG66" s="5">
        <f>$C$65*((MOD(BG$2,12)+1)*Params!$B$42^(INT(BG$2/12)+1)+(11-MOD(BG$2,12))*Params!$B$42^INT(BG$2/12))/12</f>
        <v/>
      </c>
      <c r="BH66" s="5">
        <f>$C$65*((MOD(BH$2,12)+1)*Params!$B$42^(INT(BH$2/12)+1)+(11-MOD(BH$2,12))*Params!$B$42^INT(BH$2/12))/12</f>
        <v/>
      </c>
      <c r="BI66" s="5">
        <f>$C$65*((MOD(BI$2,12)+1)*Params!$B$42^(INT(BI$2/12)+1)+(11-MOD(BI$2,12))*Params!$B$42^INT(BI$2/12))/12</f>
        <v/>
      </c>
      <c r="BJ66" s="5">
        <f>$C$65*((MOD(BJ$2,12)+1)*Params!$B$42^(INT(BJ$2/12)+1)+(11-MOD(BJ$2,12))*Params!$B$42^INT(BJ$2/12))/12</f>
        <v/>
      </c>
      <c r="BK66" s="5">
        <f>$C$65*((MOD(BK$2,12)+1)*Params!$B$42^(INT(BK$2/12)+1)+(11-MOD(BK$2,12))*Params!$B$42^INT(BK$2/12))/12</f>
        <v/>
      </c>
      <c r="BL66" s="5">
        <f>$C$65*((MOD(BL$2,12)+1)*Params!$B$42^(INT(BL$2/12)+1)+(11-MOD(BL$2,12))*Params!$B$42^INT(BL$2/12))/12</f>
        <v/>
      </c>
      <c r="BM66" s="5">
        <f>$C$65*((MOD(BM$2,12)+1)*Params!$B$42^(INT(BM$2/12)+1)+(11-MOD(BM$2,12))*Params!$B$42^INT(BM$2/12))/12</f>
        <v/>
      </c>
      <c r="BN66" s="5">
        <f>$C$65*((MOD(BN$2,12)+1)*Params!$B$42^(INT(BN$2/12)+1)+(11-MOD(BN$2,12))*Params!$B$42^INT(BN$2/12))/12</f>
        <v/>
      </c>
      <c r="BO66" s="5">
        <f>$C$65*((MOD(BO$2,12)+1)*Params!$B$42^(INT(BO$2/12)+1)+(11-MOD(BO$2,12))*Params!$B$42^INT(BO$2/12))/12</f>
        <v/>
      </c>
      <c r="BP66" s="5">
        <f>$C$65*((MOD(BP$2,12)+1)*Params!$B$42^(INT(BP$2/12)+1)+(11-MOD(BP$2,12))*Params!$B$42^INT(BP$2/12))/12</f>
        <v/>
      </c>
      <c r="BQ66" s="5">
        <f>$C$65*((MOD(BQ$2,12)+1)*Params!$B$42^(INT(BQ$2/12)+1)+(11-MOD(BQ$2,12))*Params!$B$42^INT(BQ$2/12))/12</f>
        <v/>
      </c>
      <c r="BR66" s="5">
        <f>$C$65*((MOD(BR$2,12)+1)*Params!$B$42^(INT(BR$2/12)+1)+(11-MOD(BR$2,12))*Params!$B$42^INT(BR$2/12))/12</f>
        <v/>
      </c>
      <c r="BS66" s="5">
        <f>$C$65*((MOD(BS$2,12)+1)*Params!$B$42^(INT(BS$2/12)+1)+(11-MOD(BS$2,12))*Params!$B$42^INT(BS$2/12))/12</f>
        <v/>
      </c>
      <c r="BT66" s="5">
        <f>$C$65*((MOD(BT$2,12)+1)*Params!$B$42^(INT(BT$2/12)+1)+(11-MOD(BT$2,12))*Params!$B$42^INT(BT$2/12))/12</f>
        <v/>
      </c>
      <c r="BU66" s="5">
        <f>$C$65*((MOD(BU$2,12)+1)*Params!$B$42^(INT(BU$2/12)+1)+(11-MOD(BU$2,12))*Params!$B$42^INT(BU$2/12))/12</f>
        <v/>
      </c>
      <c r="BV66" s="5">
        <f>$C$65*((MOD(BV$2,12)+1)*Params!$B$42^(INT(BV$2/12)+1)+(11-MOD(BV$2,12))*Params!$B$42^INT(BV$2/12))/12</f>
        <v/>
      </c>
    </row>
    <row r="67">
      <c r="A67" t="inlineStr">
        <is>
          <t>churned</t>
        </is>
      </c>
      <c r="B67" t="inlineStr">
        <is>
          <t>APAC|BASIC_A</t>
        </is>
      </c>
      <c r="C67" s="5">
        <f>$C$65-C66</f>
        <v/>
      </c>
      <c r="D67" s="5">
        <f>C66-D66</f>
        <v/>
      </c>
      <c r="E67" s="5">
        <f>D66-E66</f>
        <v/>
      </c>
      <c r="F67" s="5">
        <f>E66-F66</f>
        <v/>
      </c>
      <c r="G67" s="5">
        <f>F66-G66</f>
        <v/>
      </c>
      <c r="H67" s="5">
        <f>G66-H66</f>
        <v/>
      </c>
      <c r="I67" s="5">
        <f>H66-I66</f>
        <v/>
      </c>
      <c r="J67" s="5">
        <f>I66-J66</f>
        <v/>
      </c>
      <c r="K67" s="5">
        <f>J66-K66</f>
        <v/>
      </c>
      <c r="L67" s="5">
        <f>K66-L66</f>
        <v/>
      </c>
      <c r="M67" s="5">
        <f>L66-M66</f>
        <v/>
      </c>
      <c r="N67" s="5">
        <f>M66-N66</f>
        <v/>
      </c>
      <c r="O67" s="5">
        <f>N66-O66</f>
        <v/>
      </c>
      <c r="P67" s="5">
        <f>O66-P66</f>
        <v/>
      </c>
      <c r="Q67" s="5">
        <f>P66-Q66</f>
        <v/>
      </c>
      <c r="R67" s="5">
        <f>Q66-R66</f>
        <v/>
      </c>
      <c r="S67" s="5">
        <f>R66-S66</f>
        <v/>
      </c>
      <c r="T67" s="5">
        <f>S66-T66</f>
        <v/>
      </c>
      <c r="U67" s="5">
        <f>T66-U66</f>
        <v/>
      </c>
      <c r="V67" s="5">
        <f>U66-V66</f>
        <v/>
      </c>
      <c r="W67" s="5">
        <f>V66-W66</f>
        <v/>
      </c>
      <c r="X67" s="5">
        <f>W66-X66</f>
        <v/>
      </c>
      <c r="Y67" s="5">
        <f>X66-Y66</f>
        <v/>
      </c>
      <c r="Z67" s="5">
        <f>Y66-Z66</f>
        <v/>
      </c>
      <c r="AA67" s="5">
        <f>Z66-AA66</f>
        <v/>
      </c>
      <c r="AB67" s="5">
        <f>AA66-AB66</f>
        <v/>
      </c>
      <c r="AC67" s="5">
        <f>AB66-AC66</f>
        <v/>
      </c>
      <c r="AD67" s="5">
        <f>AC66-AD66</f>
        <v/>
      </c>
      <c r="AE67" s="5">
        <f>AD66-AE66</f>
        <v/>
      </c>
      <c r="AF67" s="5">
        <f>AE66-AF66</f>
        <v/>
      </c>
      <c r="AG67" s="5">
        <f>AF66-AG66</f>
        <v/>
      </c>
      <c r="AH67" s="5">
        <f>AG66-AH66</f>
        <v/>
      </c>
      <c r="AI67" s="5">
        <f>AH66-AI66</f>
        <v/>
      </c>
      <c r="AJ67" s="5">
        <f>AI66-AJ66</f>
        <v/>
      </c>
      <c r="AK67" s="5">
        <f>AJ66-AK66</f>
        <v/>
      </c>
      <c r="AL67" s="5">
        <f>AK66-AL66</f>
        <v/>
      </c>
      <c r="AM67" s="5">
        <f>AL66-AM66</f>
        <v/>
      </c>
      <c r="AN67" s="5">
        <f>AM66-AN66</f>
        <v/>
      </c>
      <c r="AO67" s="5">
        <f>AN66-AO66</f>
        <v/>
      </c>
      <c r="AP67" s="5">
        <f>AO66-AP66</f>
        <v/>
      </c>
      <c r="AQ67" s="5">
        <f>AP66-AQ66</f>
        <v/>
      </c>
      <c r="AR67" s="5">
        <f>AQ66-AR66</f>
        <v/>
      </c>
      <c r="AS67" s="5">
        <f>AR66-AS66</f>
        <v/>
      </c>
      <c r="AT67" s="5">
        <f>AS66-AT66</f>
        <v/>
      </c>
      <c r="AU67" s="5">
        <f>AT66-AU66</f>
        <v/>
      </c>
      <c r="AV67" s="5">
        <f>AU66-AV66</f>
        <v/>
      </c>
      <c r="AW67" s="5">
        <f>AV66-AW66</f>
        <v/>
      </c>
      <c r="AX67" s="5">
        <f>AW66-AX66</f>
        <v/>
      </c>
      <c r="AY67" s="5">
        <f>AX66-AY66</f>
        <v/>
      </c>
      <c r="AZ67" s="5">
        <f>AY66-AZ66</f>
        <v/>
      </c>
      <c r="BA67" s="5">
        <f>AZ66-BA66</f>
        <v/>
      </c>
      <c r="BB67" s="5">
        <f>BA66-BB66</f>
        <v/>
      </c>
      <c r="BC67" s="5">
        <f>BB66-BC66</f>
        <v/>
      </c>
      <c r="BD67" s="5">
        <f>BC66-BD66</f>
        <v/>
      </c>
      <c r="BE67" s="5">
        <f>BD66-BE66</f>
        <v/>
      </c>
      <c r="BF67" s="5">
        <f>BE66-BF66</f>
        <v/>
      </c>
      <c r="BG67" s="5">
        <f>BF66-BG66</f>
        <v/>
      </c>
      <c r="BH67" s="5">
        <f>BG66-BH66</f>
        <v/>
      </c>
      <c r="BI67" s="5">
        <f>BH66-BI66</f>
        <v/>
      </c>
      <c r="BJ67" s="5">
        <f>BI66-BJ66</f>
        <v/>
      </c>
      <c r="BK67" s="5">
        <f>BJ66-BK66</f>
        <v/>
      </c>
      <c r="BL67" s="5">
        <f>BK66-BL66</f>
        <v/>
      </c>
      <c r="BM67" s="5">
        <f>BL66-BM66</f>
        <v/>
      </c>
      <c r="BN67" s="5">
        <f>BM66-BN66</f>
        <v/>
      </c>
      <c r="BO67" s="5">
        <f>BN66-BO66</f>
        <v/>
      </c>
      <c r="BP67" s="5">
        <f>BO66-BP66</f>
        <v/>
      </c>
      <c r="BQ67" s="5">
        <f>BP66-BQ66</f>
        <v/>
      </c>
      <c r="BR67" s="5">
        <f>BQ66-BR66</f>
        <v/>
      </c>
      <c r="BS67" s="5">
        <f>BR66-BS66</f>
        <v/>
      </c>
      <c r="BT67" s="5">
        <f>BS66-BT66</f>
        <v/>
      </c>
      <c r="BU67" s="5">
        <f>BT66-BU66</f>
        <v/>
      </c>
      <c r="BV67" s="5">
        <f>BU66-BV66</f>
        <v/>
      </c>
    </row>
    <row r="69">
      <c r="A69" t="inlineStr">
        <is>
          <t>opening book (Jan 2025)</t>
        </is>
      </c>
      <c r="B69" t="inlineStr">
        <is>
          <t>ROW|NITRO_M</t>
        </is>
      </c>
      <c r="C69" s="5">
        <f>Params!$B$14*Params!$B$76*Params!$B$96</f>
        <v/>
      </c>
    </row>
    <row r="70">
      <c r="A70" t="inlineStr">
        <is>
          <t>active</t>
        </is>
      </c>
      <c r="B70" t="inlineStr">
        <is>
          <t>ROW|NITRO_M</t>
        </is>
      </c>
      <c r="C70" s="5">
        <f>$C$69*(1-Params!$B$15)^(C$2+1)</f>
        <v/>
      </c>
      <c r="D70" s="5">
        <f>$C$69*(1-Params!$B$15)^(D$2+1)</f>
        <v/>
      </c>
      <c r="E70" s="5">
        <f>$C$69*(1-Params!$B$15)^(E$2+1)</f>
        <v/>
      </c>
      <c r="F70" s="5">
        <f>$C$69*(1-Params!$B$15)^(F$2+1)</f>
        <v/>
      </c>
      <c r="G70" s="5">
        <f>$C$69*(1-Params!$B$15)^(G$2+1)</f>
        <v/>
      </c>
      <c r="H70" s="5">
        <f>$C$69*(1-Params!$B$15)^(H$2+1)</f>
        <v/>
      </c>
      <c r="I70" s="5">
        <f>$C$69*(1-Params!$B$15)^(I$2+1)</f>
        <v/>
      </c>
      <c r="J70" s="5">
        <f>$C$69*(1-Params!$B$15)^(J$2+1)</f>
        <v/>
      </c>
      <c r="K70" s="5">
        <f>$C$69*(1-Params!$B$15)^(K$2+1)</f>
        <v/>
      </c>
      <c r="L70" s="5">
        <f>$C$69*(1-Params!$B$15)^(L$2+1)</f>
        <v/>
      </c>
      <c r="M70" s="5">
        <f>$C$69*(1-Params!$B$15)^(M$2+1)</f>
        <v/>
      </c>
      <c r="N70" s="5">
        <f>$C$69*(1-Params!$B$15)^(N$2+1)</f>
        <v/>
      </c>
      <c r="O70" s="5">
        <f>$C$69*(1-Params!$B$15)^(O$2+1)</f>
        <v/>
      </c>
      <c r="P70" s="5">
        <f>$C$69*(1-Params!$B$15)^(P$2+1)</f>
        <v/>
      </c>
      <c r="Q70" s="5">
        <f>$C$69*(1-Params!$B$15)^(Q$2+1)</f>
        <v/>
      </c>
      <c r="R70" s="5">
        <f>$C$69*(1-Params!$B$15)^(R$2+1)</f>
        <v/>
      </c>
      <c r="S70" s="5">
        <f>$C$69*(1-Params!$B$15)^(S$2+1)</f>
        <v/>
      </c>
      <c r="T70" s="5">
        <f>$C$69*(1-Params!$B$15)^(T$2+1)</f>
        <v/>
      </c>
      <c r="U70" s="5">
        <f>$C$69*(1-Params!$B$15)^(U$2+1)</f>
        <v/>
      </c>
      <c r="V70" s="5">
        <f>$C$69*(1-Params!$B$15)^(V$2+1)</f>
        <v/>
      </c>
      <c r="W70" s="5">
        <f>$C$69*(1-Params!$B$15)^(W$2+1)</f>
        <v/>
      </c>
      <c r="X70" s="5">
        <f>$C$69*(1-Params!$B$15)^(X$2+1)</f>
        <v/>
      </c>
      <c r="Y70" s="5">
        <f>$C$69*(1-Params!$B$15)^(Y$2+1)</f>
        <v/>
      </c>
      <c r="Z70" s="5">
        <f>$C$69*(1-Params!$B$15)^(Z$2+1)</f>
        <v/>
      </c>
      <c r="AA70" s="5">
        <f>$C$69*(1-Params!$B$15)^(AA$2+1)</f>
        <v/>
      </c>
      <c r="AB70" s="5">
        <f>$C$69*(1-Params!$B$15)^(AB$2+1)</f>
        <v/>
      </c>
      <c r="AC70" s="5">
        <f>$C$69*(1-Params!$B$15)^(AC$2+1)</f>
        <v/>
      </c>
      <c r="AD70" s="5">
        <f>$C$69*(1-Params!$B$15)^(AD$2+1)</f>
        <v/>
      </c>
      <c r="AE70" s="5">
        <f>$C$69*(1-Params!$B$15)^(AE$2+1)</f>
        <v/>
      </c>
      <c r="AF70" s="5">
        <f>$C$69*(1-Params!$B$15)^(AF$2+1)</f>
        <v/>
      </c>
      <c r="AG70" s="5">
        <f>$C$69*(1-Params!$B$15)^(AG$2+1)</f>
        <v/>
      </c>
      <c r="AH70" s="5">
        <f>$C$69*(1-Params!$B$15)^(AH$2+1)</f>
        <v/>
      </c>
      <c r="AI70" s="5">
        <f>$C$69*(1-Params!$B$15)^(AI$2+1)</f>
        <v/>
      </c>
      <c r="AJ70" s="5">
        <f>$C$69*(1-Params!$B$15)^(AJ$2+1)</f>
        <v/>
      </c>
      <c r="AK70" s="5">
        <f>$C$69*(1-Params!$B$15)^(AK$2+1)</f>
        <v/>
      </c>
      <c r="AL70" s="5">
        <f>$C$69*(1-Params!$B$15)^(AL$2+1)</f>
        <v/>
      </c>
      <c r="AM70" s="5">
        <f>$C$69*(1-Params!$B$15)^(AM$2+1)</f>
        <v/>
      </c>
      <c r="AN70" s="5">
        <f>$C$69*(1-Params!$B$15)^(AN$2+1)</f>
        <v/>
      </c>
      <c r="AO70" s="5">
        <f>$C$69*(1-Params!$B$15)^(AO$2+1)</f>
        <v/>
      </c>
      <c r="AP70" s="5">
        <f>$C$69*(1-Params!$B$15)^(AP$2+1)</f>
        <v/>
      </c>
      <c r="AQ70" s="5">
        <f>$C$69*(1-Params!$B$15)^(AQ$2+1)</f>
        <v/>
      </c>
      <c r="AR70" s="5">
        <f>$C$69*(1-Params!$B$15)^(AR$2+1)</f>
        <v/>
      </c>
      <c r="AS70" s="5">
        <f>$C$69*(1-Params!$B$15)^(AS$2+1)</f>
        <v/>
      </c>
      <c r="AT70" s="5">
        <f>$C$69*(1-Params!$B$15)^(AT$2+1)</f>
        <v/>
      </c>
      <c r="AU70" s="5">
        <f>$C$69*(1-Params!$B$15)^(AU$2+1)</f>
        <v/>
      </c>
      <c r="AV70" s="5">
        <f>$C$69*(1-Params!$B$15)^(AV$2+1)</f>
        <v/>
      </c>
      <c r="AW70" s="5">
        <f>$C$69*(1-Params!$B$15)^(AW$2+1)</f>
        <v/>
      </c>
      <c r="AX70" s="5">
        <f>$C$69*(1-Params!$B$15)^(AX$2+1)</f>
        <v/>
      </c>
      <c r="AY70" s="5">
        <f>$C$69*(1-Params!$B$15)^(AY$2+1)</f>
        <v/>
      </c>
      <c r="AZ70" s="5">
        <f>$C$69*(1-Params!$B$15)^(AZ$2+1)</f>
        <v/>
      </c>
      <c r="BA70" s="5">
        <f>$C$69*(1-Params!$B$15)^(BA$2+1)</f>
        <v/>
      </c>
      <c r="BB70" s="5">
        <f>$C$69*(1-Params!$B$15)^(BB$2+1)</f>
        <v/>
      </c>
      <c r="BC70" s="5">
        <f>$C$69*(1-Params!$B$15)^(BC$2+1)</f>
        <v/>
      </c>
      <c r="BD70" s="5">
        <f>$C$69*(1-Params!$B$15)^(BD$2+1)</f>
        <v/>
      </c>
      <c r="BE70" s="5">
        <f>$C$69*(1-Params!$B$15)^(BE$2+1)</f>
        <v/>
      </c>
      <c r="BF70" s="5">
        <f>$C$69*(1-Params!$B$15)^(BF$2+1)</f>
        <v/>
      </c>
      <c r="BG70" s="5">
        <f>$C$69*(1-Params!$B$15)^(BG$2+1)</f>
        <v/>
      </c>
      <c r="BH70" s="5">
        <f>$C$69*(1-Params!$B$15)^(BH$2+1)</f>
        <v/>
      </c>
      <c r="BI70" s="5">
        <f>$C$69*(1-Params!$B$15)^(BI$2+1)</f>
        <v/>
      </c>
      <c r="BJ70" s="5">
        <f>$C$69*(1-Params!$B$15)^(BJ$2+1)</f>
        <v/>
      </c>
      <c r="BK70" s="5">
        <f>$C$69*(1-Params!$B$15)^(BK$2+1)</f>
        <v/>
      </c>
      <c r="BL70" s="5">
        <f>$C$69*(1-Params!$B$15)^(BL$2+1)</f>
        <v/>
      </c>
      <c r="BM70" s="5">
        <f>$C$69*(1-Params!$B$15)^(BM$2+1)</f>
        <v/>
      </c>
      <c r="BN70" s="5">
        <f>$C$69*(1-Params!$B$15)^(BN$2+1)</f>
        <v/>
      </c>
      <c r="BO70" s="5">
        <f>$C$69*(1-Params!$B$15)^(BO$2+1)</f>
        <v/>
      </c>
      <c r="BP70" s="5">
        <f>$C$69*(1-Params!$B$15)^(BP$2+1)</f>
        <v/>
      </c>
      <c r="BQ70" s="5">
        <f>$C$69*(1-Params!$B$15)^(BQ$2+1)</f>
        <v/>
      </c>
      <c r="BR70" s="5">
        <f>$C$69*(1-Params!$B$15)^(BR$2+1)</f>
        <v/>
      </c>
      <c r="BS70" s="5">
        <f>$C$69*(1-Params!$B$15)^(BS$2+1)</f>
        <v/>
      </c>
      <c r="BT70" s="5">
        <f>$C$69*(1-Params!$B$15)^(BT$2+1)</f>
        <v/>
      </c>
      <c r="BU70" s="5">
        <f>$C$69*(1-Params!$B$15)^(BU$2+1)</f>
        <v/>
      </c>
      <c r="BV70" s="5">
        <f>$C$69*(1-Params!$B$15)^(BV$2+1)</f>
        <v/>
      </c>
    </row>
    <row r="71">
      <c r="A71" t="inlineStr">
        <is>
          <t>churned</t>
        </is>
      </c>
      <c r="B71" t="inlineStr">
        <is>
          <t>ROW|NITRO_M</t>
        </is>
      </c>
      <c r="C71" s="5">
        <f>$C$69-C70</f>
        <v/>
      </c>
      <c r="D71" s="5">
        <f>C70-D70</f>
        <v/>
      </c>
      <c r="E71" s="5">
        <f>D70-E70</f>
        <v/>
      </c>
      <c r="F71" s="5">
        <f>E70-F70</f>
        <v/>
      </c>
      <c r="G71" s="5">
        <f>F70-G70</f>
        <v/>
      </c>
      <c r="H71" s="5">
        <f>G70-H70</f>
        <v/>
      </c>
      <c r="I71" s="5">
        <f>H70-I70</f>
        <v/>
      </c>
      <c r="J71" s="5">
        <f>I70-J70</f>
        <v/>
      </c>
      <c r="K71" s="5">
        <f>J70-K70</f>
        <v/>
      </c>
      <c r="L71" s="5">
        <f>K70-L70</f>
        <v/>
      </c>
      <c r="M71" s="5">
        <f>L70-M70</f>
        <v/>
      </c>
      <c r="N71" s="5">
        <f>M70-N70</f>
        <v/>
      </c>
      <c r="O71" s="5">
        <f>N70-O70</f>
        <v/>
      </c>
      <c r="P71" s="5">
        <f>O70-P70</f>
        <v/>
      </c>
      <c r="Q71" s="5">
        <f>P70-Q70</f>
        <v/>
      </c>
      <c r="R71" s="5">
        <f>Q70-R70</f>
        <v/>
      </c>
      <c r="S71" s="5">
        <f>R70-S70</f>
        <v/>
      </c>
      <c r="T71" s="5">
        <f>S70-T70</f>
        <v/>
      </c>
      <c r="U71" s="5">
        <f>T70-U70</f>
        <v/>
      </c>
      <c r="V71" s="5">
        <f>U70-V70</f>
        <v/>
      </c>
      <c r="W71" s="5">
        <f>V70-W70</f>
        <v/>
      </c>
      <c r="X71" s="5">
        <f>W70-X70</f>
        <v/>
      </c>
      <c r="Y71" s="5">
        <f>X70-Y70</f>
        <v/>
      </c>
      <c r="Z71" s="5">
        <f>Y70-Z70</f>
        <v/>
      </c>
      <c r="AA71" s="5">
        <f>Z70-AA70</f>
        <v/>
      </c>
      <c r="AB71" s="5">
        <f>AA70-AB70</f>
        <v/>
      </c>
      <c r="AC71" s="5">
        <f>AB70-AC70</f>
        <v/>
      </c>
      <c r="AD71" s="5">
        <f>AC70-AD70</f>
        <v/>
      </c>
      <c r="AE71" s="5">
        <f>AD70-AE70</f>
        <v/>
      </c>
      <c r="AF71" s="5">
        <f>AE70-AF70</f>
        <v/>
      </c>
      <c r="AG71" s="5">
        <f>AF70-AG70</f>
        <v/>
      </c>
      <c r="AH71" s="5">
        <f>AG70-AH70</f>
        <v/>
      </c>
      <c r="AI71" s="5">
        <f>AH70-AI70</f>
        <v/>
      </c>
      <c r="AJ71" s="5">
        <f>AI70-AJ70</f>
        <v/>
      </c>
      <c r="AK71" s="5">
        <f>AJ70-AK70</f>
        <v/>
      </c>
      <c r="AL71" s="5">
        <f>AK70-AL70</f>
        <v/>
      </c>
      <c r="AM71" s="5">
        <f>AL70-AM70</f>
        <v/>
      </c>
      <c r="AN71" s="5">
        <f>AM70-AN70</f>
        <v/>
      </c>
      <c r="AO71" s="5">
        <f>AN70-AO70</f>
        <v/>
      </c>
      <c r="AP71" s="5">
        <f>AO70-AP70</f>
        <v/>
      </c>
      <c r="AQ71" s="5">
        <f>AP70-AQ70</f>
        <v/>
      </c>
      <c r="AR71" s="5">
        <f>AQ70-AR70</f>
        <v/>
      </c>
      <c r="AS71" s="5">
        <f>AR70-AS70</f>
        <v/>
      </c>
      <c r="AT71" s="5">
        <f>AS70-AT70</f>
        <v/>
      </c>
      <c r="AU71" s="5">
        <f>AT70-AU70</f>
        <v/>
      </c>
      <c r="AV71" s="5">
        <f>AU70-AV70</f>
        <v/>
      </c>
      <c r="AW71" s="5">
        <f>AV70-AW70</f>
        <v/>
      </c>
      <c r="AX71" s="5">
        <f>AW70-AX70</f>
        <v/>
      </c>
      <c r="AY71" s="5">
        <f>AX70-AY70</f>
        <v/>
      </c>
      <c r="AZ71" s="5">
        <f>AY70-AZ70</f>
        <v/>
      </c>
      <c r="BA71" s="5">
        <f>AZ70-BA70</f>
        <v/>
      </c>
      <c r="BB71" s="5">
        <f>BA70-BB70</f>
        <v/>
      </c>
      <c r="BC71" s="5">
        <f>BB70-BC70</f>
        <v/>
      </c>
      <c r="BD71" s="5">
        <f>BC70-BD70</f>
        <v/>
      </c>
      <c r="BE71" s="5">
        <f>BD70-BE70</f>
        <v/>
      </c>
      <c r="BF71" s="5">
        <f>BE70-BF70</f>
        <v/>
      </c>
      <c r="BG71" s="5">
        <f>BF70-BG70</f>
        <v/>
      </c>
      <c r="BH71" s="5">
        <f>BG70-BH70</f>
        <v/>
      </c>
      <c r="BI71" s="5">
        <f>BH70-BI70</f>
        <v/>
      </c>
      <c r="BJ71" s="5">
        <f>BI70-BJ70</f>
        <v/>
      </c>
      <c r="BK71" s="5">
        <f>BJ70-BK70</f>
        <v/>
      </c>
      <c r="BL71" s="5">
        <f>BK70-BL70</f>
        <v/>
      </c>
      <c r="BM71" s="5">
        <f>BL70-BM70</f>
        <v/>
      </c>
      <c r="BN71" s="5">
        <f>BM70-BN70</f>
        <v/>
      </c>
      <c r="BO71" s="5">
        <f>BN70-BO70</f>
        <v/>
      </c>
      <c r="BP71" s="5">
        <f>BO70-BP70</f>
        <v/>
      </c>
      <c r="BQ71" s="5">
        <f>BP70-BQ70</f>
        <v/>
      </c>
      <c r="BR71" s="5">
        <f>BQ70-BR70</f>
        <v/>
      </c>
      <c r="BS71" s="5">
        <f>BR70-BS70</f>
        <v/>
      </c>
      <c r="BT71" s="5">
        <f>BS70-BT70</f>
        <v/>
      </c>
      <c r="BU71" s="5">
        <f>BT70-BU70</f>
        <v/>
      </c>
      <c r="BV71" s="5">
        <f>BU70-BV70</f>
        <v/>
      </c>
    </row>
    <row r="73">
      <c r="A73" t="inlineStr">
        <is>
          <t>opening book (Jan 2025)</t>
        </is>
      </c>
      <c r="B73" t="inlineStr">
        <is>
          <t>ROW|NITRO_A</t>
        </is>
      </c>
      <c r="C73" s="5">
        <f>Params!$B$14*Params!$B$76*Params!$B$97</f>
        <v/>
      </c>
    </row>
    <row r="74">
      <c r="A74" t="inlineStr">
        <is>
          <t>active</t>
        </is>
      </c>
      <c r="B74" t="inlineStr">
        <is>
          <t>ROW|NITRO_A</t>
        </is>
      </c>
      <c r="C74" s="5">
        <f>$C$73*((MOD(C$2,12)+1)*Params!$B$42^(INT(C$2/12)+1)+(11-MOD(C$2,12))*Params!$B$42^INT(C$2/12))/12</f>
        <v/>
      </c>
      <c r="D74" s="5">
        <f>$C$73*((MOD(D$2,12)+1)*Params!$B$42^(INT(D$2/12)+1)+(11-MOD(D$2,12))*Params!$B$42^INT(D$2/12))/12</f>
        <v/>
      </c>
      <c r="E74" s="5">
        <f>$C$73*((MOD(E$2,12)+1)*Params!$B$42^(INT(E$2/12)+1)+(11-MOD(E$2,12))*Params!$B$42^INT(E$2/12))/12</f>
        <v/>
      </c>
      <c r="F74" s="5">
        <f>$C$73*((MOD(F$2,12)+1)*Params!$B$42^(INT(F$2/12)+1)+(11-MOD(F$2,12))*Params!$B$42^INT(F$2/12))/12</f>
        <v/>
      </c>
      <c r="G74" s="5">
        <f>$C$73*((MOD(G$2,12)+1)*Params!$B$42^(INT(G$2/12)+1)+(11-MOD(G$2,12))*Params!$B$42^INT(G$2/12))/12</f>
        <v/>
      </c>
      <c r="H74" s="5">
        <f>$C$73*((MOD(H$2,12)+1)*Params!$B$42^(INT(H$2/12)+1)+(11-MOD(H$2,12))*Params!$B$42^INT(H$2/12))/12</f>
        <v/>
      </c>
      <c r="I74" s="5">
        <f>$C$73*((MOD(I$2,12)+1)*Params!$B$42^(INT(I$2/12)+1)+(11-MOD(I$2,12))*Params!$B$42^INT(I$2/12))/12</f>
        <v/>
      </c>
      <c r="J74" s="5">
        <f>$C$73*((MOD(J$2,12)+1)*Params!$B$42^(INT(J$2/12)+1)+(11-MOD(J$2,12))*Params!$B$42^INT(J$2/12))/12</f>
        <v/>
      </c>
      <c r="K74" s="5">
        <f>$C$73*((MOD(K$2,12)+1)*Params!$B$42^(INT(K$2/12)+1)+(11-MOD(K$2,12))*Params!$B$42^INT(K$2/12))/12</f>
        <v/>
      </c>
      <c r="L74" s="5">
        <f>$C$73*((MOD(L$2,12)+1)*Params!$B$42^(INT(L$2/12)+1)+(11-MOD(L$2,12))*Params!$B$42^INT(L$2/12))/12</f>
        <v/>
      </c>
      <c r="M74" s="5">
        <f>$C$73*((MOD(M$2,12)+1)*Params!$B$42^(INT(M$2/12)+1)+(11-MOD(M$2,12))*Params!$B$42^INT(M$2/12))/12</f>
        <v/>
      </c>
      <c r="N74" s="5">
        <f>$C$73*((MOD(N$2,12)+1)*Params!$B$42^(INT(N$2/12)+1)+(11-MOD(N$2,12))*Params!$B$42^INT(N$2/12))/12</f>
        <v/>
      </c>
      <c r="O74" s="5">
        <f>$C$73*((MOD(O$2,12)+1)*Params!$B$42^(INT(O$2/12)+1)+(11-MOD(O$2,12))*Params!$B$42^INT(O$2/12))/12</f>
        <v/>
      </c>
      <c r="P74" s="5">
        <f>$C$73*((MOD(P$2,12)+1)*Params!$B$42^(INT(P$2/12)+1)+(11-MOD(P$2,12))*Params!$B$42^INT(P$2/12))/12</f>
        <v/>
      </c>
      <c r="Q74" s="5">
        <f>$C$73*((MOD(Q$2,12)+1)*Params!$B$42^(INT(Q$2/12)+1)+(11-MOD(Q$2,12))*Params!$B$42^INT(Q$2/12))/12</f>
        <v/>
      </c>
      <c r="R74" s="5">
        <f>$C$73*((MOD(R$2,12)+1)*Params!$B$42^(INT(R$2/12)+1)+(11-MOD(R$2,12))*Params!$B$42^INT(R$2/12))/12</f>
        <v/>
      </c>
      <c r="S74" s="5">
        <f>$C$73*((MOD(S$2,12)+1)*Params!$B$42^(INT(S$2/12)+1)+(11-MOD(S$2,12))*Params!$B$42^INT(S$2/12))/12</f>
        <v/>
      </c>
      <c r="T74" s="5">
        <f>$C$73*((MOD(T$2,12)+1)*Params!$B$42^(INT(T$2/12)+1)+(11-MOD(T$2,12))*Params!$B$42^INT(T$2/12))/12</f>
        <v/>
      </c>
      <c r="U74" s="5">
        <f>$C$73*((MOD(U$2,12)+1)*Params!$B$42^(INT(U$2/12)+1)+(11-MOD(U$2,12))*Params!$B$42^INT(U$2/12))/12</f>
        <v/>
      </c>
      <c r="V74" s="5">
        <f>$C$73*((MOD(V$2,12)+1)*Params!$B$42^(INT(V$2/12)+1)+(11-MOD(V$2,12))*Params!$B$42^INT(V$2/12))/12</f>
        <v/>
      </c>
      <c r="W74" s="5">
        <f>$C$73*((MOD(W$2,12)+1)*Params!$B$42^(INT(W$2/12)+1)+(11-MOD(W$2,12))*Params!$B$42^INT(W$2/12))/12</f>
        <v/>
      </c>
      <c r="X74" s="5">
        <f>$C$73*((MOD(X$2,12)+1)*Params!$B$42^(INT(X$2/12)+1)+(11-MOD(X$2,12))*Params!$B$42^INT(X$2/12))/12</f>
        <v/>
      </c>
      <c r="Y74" s="5">
        <f>$C$73*((MOD(Y$2,12)+1)*Params!$B$42^(INT(Y$2/12)+1)+(11-MOD(Y$2,12))*Params!$B$42^INT(Y$2/12))/12</f>
        <v/>
      </c>
      <c r="Z74" s="5">
        <f>$C$73*((MOD(Z$2,12)+1)*Params!$B$42^(INT(Z$2/12)+1)+(11-MOD(Z$2,12))*Params!$B$42^INT(Z$2/12))/12</f>
        <v/>
      </c>
      <c r="AA74" s="5">
        <f>$C$73*((MOD(AA$2,12)+1)*Params!$B$42^(INT(AA$2/12)+1)+(11-MOD(AA$2,12))*Params!$B$42^INT(AA$2/12))/12</f>
        <v/>
      </c>
      <c r="AB74" s="5">
        <f>$C$73*((MOD(AB$2,12)+1)*Params!$B$42^(INT(AB$2/12)+1)+(11-MOD(AB$2,12))*Params!$B$42^INT(AB$2/12))/12</f>
        <v/>
      </c>
      <c r="AC74" s="5">
        <f>$C$73*((MOD(AC$2,12)+1)*Params!$B$42^(INT(AC$2/12)+1)+(11-MOD(AC$2,12))*Params!$B$42^INT(AC$2/12))/12</f>
        <v/>
      </c>
      <c r="AD74" s="5">
        <f>$C$73*((MOD(AD$2,12)+1)*Params!$B$42^(INT(AD$2/12)+1)+(11-MOD(AD$2,12))*Params!$B$42^INT(AD$2/12))/12</f>
        <v/>
      </c>
      <c r="AE74" s="5">
        <f>$C$73*((MOD(AE$2,12)+1)*Params!$B$42^(INT(AE$2/12)+1)+(11-MOD(AE$2,12))*Params!$B$42^INT(AE$2/12))/12</f>
        <v/>
      </c>
      <c r="AF74" s="5">
        <f>$C$73*((MOD(AF$2,12)+1)*Params!$B$42^(INT(AF$2/12)+1)+(11-MOD(AF$2,12))*Params!$B$42^INT(AF$2/12))/12</f>
        <v/>
      </c>
      <c r="AG74" s="5">
        <f>$C$73*((MOD(AG$2,12)+1)*Params!$B$42^(INT(AG$2/12)+1)+(11-MOD(AG$2,12))*Params!$B$42^INT(AG$2/12))/12</f>
        <v/>
      </c>
      <c r="AH74" s="5">
        <f>$C$73*((MOD(AH$2,12)+1)*Params!$B$42^(INT(AH$2/12)+1)+(11-MOD(AH$2,12))*Params!$B$42^INT(AH$2/12))/12</f>
        <v/>
      </c>
      <c r="AI74" s="5">
        <f>$C$73*((MOD(AI$2,12)+1)*Params!$B$42^(INT(AI$2/12)+1)+(11-MOD(AI$2,12))*Params!$B$42^INT(AI$2/12))/12</f>
        <v/>
      </c>
      <c r="AJ74" s="5">
        <f>$C$73*((MOD(AJ$2,12)+1)*Params!$B$42^(INT(AJ$2/12)+1)+(11-MOD(AJ$2,12))*Params!$B$42^INT(AJ$2/12))/12</f>
        <v/>
      </c>
      <c r="AK74" s="5">
        <f>$C$73*((MOD(AK$2,12)+1)*Params!$B$42^(INT(AK$2/12)+1)+(11-MOD(AK$2,12))*Params!$B$42^INT(AK$2/12))/12</f>
        <v/>
      </c>
      <c r="AL74" s="5">
        <f>$C$73*((MOD(AL$2,12)+1)*Params!$B$42^(INT(AL$2/12)+1)+(11-MOD(AL$2,12))*Params!$B$42^INT(AL$2/12))/12</f>
        <v/>
      </c>
      <c r="AM74" s="5">
        <f>$C$73*((MOD(AM$2,12)+1)*Params!$B$42^(INT(AM$2/12)+1)+(11-MOD(AM$2,12))*Params!$B$42^INT(AM$2/12))/12</f>
        <v/>
      </c>
      <c r="AN74" s="5">
        <f>$C$73*((MOD(AN$2,12)+1)*Params!$B$42^(INT(AN$2/12)+1)+(11-MOD(AN$2,12))*Params!$B$42^INT(AN$2/12))/12</f>
        <v/>
      </c>
      <c r="AO74" s="5">
        <f>$C$73*((MOD(AO$2,12)+1)*Params!$B$42^(INT(AO$2/12)+1)+(11-MOD(AO$2,12))*Params!$B$42^INT(AO$2/12))/12</f>
        <v/>
      </c>
      <c r="AP74" s="5">
        <f>$C$73*((MOD(AP$2,12)+1)*Params!$B$42^(INT(AP$2/12)+1)+(11-MOD(AP$2,12))*Params!$B$42^INT(AP$2/12))/12</f>
        <v/>
      </c>
      <c r="AQ74" s="5">
        <f>$C$73*((MOD(AQ$2,12)+1)*Params!$B$42^(INT(AQ$2/12)+1)+(11-MOD(AQ$2,12))*Params!$B$42^INT(AQ$2/12))/12</f>
        <v/>
      </c>
      <c r="AR74" s="5">
        <f>$C$73*((MOD(AR$2,12)+1)*Params!$B$42^(INT(AR$2/12)+1)+(11-MOD(AR$2,12))*Params!$B$42^INT(AR$2/12))/12</f>
        <v/>
      </c>
      <c r="AS74" s="5">
        <f>$C$73*((MOD(AS$2,12)+1)*Params!$B$42^(INT(AS$2/12)+1)+(11-MOD(AS$2,12))*Params!$B$42^INT(AS$2/12))/12</f>
        <v/>
      </c>
      <c r="AT74" s="5">
        <f>$C$73*((MOD(AT$2,12)+1)*Params!$B$42^(INT(AT$2/12)+1)+(11-MOD(AT$2,12))*Params!$B$42^INT(AT$2/12))/12</f>
        <v/>
      </c>
      <c r="AU74" s="5">
        <f>$C$73*((MOD(AU$2,12)+1)*Params!$B$42^(INT(AU$2/12)+1)+(11-MOD(AU$2,12))*Params!$B$42^INT(AU$2/12))/12</f>
        <v/>
      </c>
      <c r="AV74" s="5">
        <f>$C$73*((MOD(AV$2,12)+1)*Params!$B$42^(INT(AV$2/12)+1)+(11-MOD(AV$2,12))*Params!$B$42^INT(AV$2/12))/12</f>
        <v/>
      </c>
      <c r="AW74" s="5">
        <f>$C$73*((MOD(AW$2,12)+1)*Params!$B$42^(INT(AW$2/12)+1)+(11-MOD(AW$2,12))*Params!$B$42^INT(AW$2/12))/12</f>
        <v/>
      </c>
      <c r="AX74" s="5">
        <f>$C$73*((MOD(AX$2,12)+1)*Params!$B$42^(INT(AX$2/12)+1)+(11-MOD(AX$2,12))*Params!$B$42^INT(AX$2/12))/12</f>
        <v/>
      </c>
      <c r="AY74" s="5">
        <f>$C$73*((MOD(AY$2,12)+1)*Params!$B$42^(INT(AY$2/12)+1)+(11-MOD(AY$2,12))*Params!$B$42^INT(AY$2/12))/12</f>
        <v/>
      </c>
      <c r="AZ74" s="5">
        <f>$C$73*((MOD(AZ$2,12)+1)*Params!$B$42^(INT(AZ$2/12)+1)+(11-MOD(AZ$2,12))*Params!$B$42^INT(AZ$2/12))/12</f>
        <v/>
      </c>
      <c r="BA74" s="5">
        <f>$C$73*((MOD(BA$2,12)+1)*Params!$B$42^(INT(BA$2/12)+1)+(11-MOD(BA$2,12))*Params!$B$42^INT(BA$2/12))/12</f>
        <v/>
      </c>
      <c r="BB74" s="5">
        <f>$C$73*((MOD(BB$2,12)+1)*Params!$B$42^(INT(BB$2/12)+1)+(11-MOD(BB$2,12))*Params!$B$42^INT(BB$2/12))/12</f>
        <v/>
      </c>
      <c r="BC74" s="5">
        <f>$C$73*((MOD(BC$2,12)+1)*Params!$B$42^(INT(BC$2/12)+1)+(11-MOD(BC$2,12))*Params!$B$42^INT(BC$2/12))/12</f>
        <v/>
      </c>
      <c r="BD74" s="5">
        <f>$C$73*((MOD(BD$2,12)+1)*Params!$B$42^(INT(BD$2/12)+1)+(11-MOD(BD$2,12))*Params!$B$42^INT(BD$2/12))/12</f>
        <v/>
      </c>
      <c r="BE74" s="5">
        <f>$C$73*((MOD(BE$2,12)+1)*Params!$B$42^(INT(BE$2/12)+1)+(11-MOD(BE$2,12))*Params!$B$42^INT(BE$2/12))/12</f>
        <v/>
      </c>
      <c r="BF74" s="5">
        <f>$C$73*((MOD(BF$2,12)+1)*Params!$B$42^(INT(BF$2/12)+1)+(11-MOD(BF$2,12))*Params!$B$42^INT(BF$2/12))/12</f>
        <v/>
      </c>
      <c r="BG74" s="5">
        <f>$C$73*((MOD(BG$2,12)+1)*Params!$B$42^(INT(BG$2/12)+1)+(11-MOD(BG$2,12))*Params!$B$42^INT(BG$2/12))/12</f>
        <v/>
      </c>
      <c r="BH74" s="5">
        <f>$C$73*((MOD(BH$2,12)+1)*Params!$B$42^(INT(BH$2/12)+1)+(11-MOD(BH$2,12))*Params!$B$42^INT(BH$2/12))/12</f>
        <v/>
      </c>
      <c r="BI74" s="5">
        <f>$C$73*((MOD(BI$2,12)+1)*Params!$B$42^(INT(BI$2/12)+1)+(11-MOD(BI$2,12))*Params!$B$42^INT(BI$2/12))/12</f>
        <v/>
      </c>
      <c r="BJ74" s="5">
        <f>$C$73*((MOD(BJ$2,12)+1)*Params!$B$42^(INT(BJ$2/12)+1)+(11-MOD(BJ$2,12))*Params!$B$42^INT(BJ$2/12))/12</f>
        <v/>
      </c>
      <c r="BK74" s="5">
        <f>$C$73*((MOD(BK$2,12)+1)*Params!$B$42^(INT(BK$2/12)+1)+(11-MOD(BK$2,12))*Params!$B$42^INT(BK$2/12))/12</f>
        <v/>
      </c>
      <c r="BL74" s="5">
        <f>$C$73*((MOD(BL$2,12)+1)*Params!$B$42^(INT(BL$2/12)+1)+(11-MOD(BL$2,12))*Params!$B$42^INT(BL$2/12))/12</f>
        <v/>
      </c>
      <c r="BM74" s="5">
        <f>$C$73*((MOD(BM$2,12)+1)*Params!$B$42^(INT(BM$2/12)+1)+(11-MOD(BM$2,12))*Params!$B$42^INT(BM$2/12))/12</f>
        <v/>
      </c>
      <c r="BN74" s="5">
        <f>$C$73*((MOD(BN$2,12)+1)*Params!$B$42^(INT(BN$2/12)+1)+(11-MOD(BN$2,12))*Params!$B$42^INT(BN$2/12))/12</f>
        <v/>
      </c>
      <c r="BO74" s="5">
        <f>$C$73*((MOD(BO$2,12)+1)*Params!$B$42^(INT(BO$2/12)+1)+(11-MOD(BO$2,12))*Params!$B$42^INT(BO$2/12))/12</f>
        <v/>
      </c>
      <c r="BP74" s="5">
        <f>$C$73*((MOD(BP$2,12)+1)*Params!$B$42^(INT(BP$2/12)+1)+(11-MOD(BP$2,12))*Params!$B$42^INT(BP$2/12))/12</f>
        <v/>
      </c>
      <c r="BQ74" s="5">
        <f>$C$73*((MOD(BQ$2,12)+1)*Params!$B$42^(INT(BQ$2/12)+1)+(11-MOD(BQ$2,12))*Params!$B$42^INT(BQ$2/12))/12</f>
        <v/>
      </c>
      <c r="BR74" s="5">
        <f>$C$73*((MOD(BR$2,12)+1)*Params!$B$42^(INT(BR$2/12)+1)+(11-MOD(BR$2,12))*Params!$B$42^INT(BR$2/12))/12</f>
        <v/>
      </c>
      <c r="BS74" s="5">
        <f>$C$73*((MOD(BS$2,12)+1)*Params!$B$42^(INT(BS$2/12)+1)+(11-MOD(BS$2,12))*Params!$B$42^INT(BS$2/12))/12</f>
        <v/>
      </c>
      <c r="BT74" s="5">
        <f>$C$73*((MOD(BT$2,12)+1)*Params!$B$42^(INT(BT$2/12)+1)+(11-MOD(BT$2,12))*Params!$B$42^INT(BT$2/12))/12</f>
        <v/>
      </c>
      <c r="BU74" s="5">
        <f>$C$73*((MOD(BU$2,12)+1)*Params!$B$42^(INT(BU$2/12)+1)+(11-MOD(BU$2,12))*Params!$B$42^INT(BU$2/12))/12</f>
        <v/>
      </c>
      <c r="BV74" s="5">
        <f>$C$73*((MOD(BV$2,12)+1)*Params!$B$42^(INT(BV$2/12)+1)+(11-MOD(BV$2,12))*Params!$B$42^INT(BV$2/12))/12</f>
        <v/>
      </c>
    </row>
    <row r="75">
      <c r="A75" t="inlineStr">
        <is>
          <t>churned</t>
        </is>
      </c>
      <c r="B75" t="inlineStr">
        <is>
          <t>ROW|NITRO_A</t>
        </is>
      </c>
      <c r="C75" s="5">
        <f>$C$73-C74</f>
        <v/>
      </c>
      <c r="D75" s="5">
        <f>C74-D74</f>
        <v/>
      </c>
      <c r="E75" s="5">
        <f>D74-E74</f>
        <v/>
      </c>
      <c r="F75" s="5">
        <f>E74-F74</f>
        <v/>
      </c>
      <c r="G75" s="5">
        <f>F74-G74</f>
        <v/>
      </c>
      <c r="H75" s="5">
        <f>G74-H74</f>
        <v/>
      </c>
      <c r="I75" s="5">
        <f>H74-I74</f>
        <v/>
      </c>
      <c r="J75" s="5">
        <f>I74-J74</f>
        <v/>
      </c>
      <c r="K75" s="5">
        <f>J74-K74</f>
        <v/>
      </c>
      <c r="L75" s="5">
        <f>K74-L74</f>
        <v/>
      </c>
      <c r="M75" s="5">
        <f>L74-M74</f>
        <v/>
      </c>
      <c r="N75" s="5">
        <f>M74-N74</f>
        <v/>
      </c>
      <c r="O75" s="5">
        <f>N74-O74</f>
        <v/>
      </c>
      <c r="P75" s="5">
        <f>O74-P74</f>
        <v/>
      </c>
      <c r="Q75" s="5">
        <f>P74-Q74</f>
        <v/>
      </c>
      <c r="R75" s="5">
        <f>Q74-R74</f>
        <v/>
      </c>
      <c r="S75" s="5">
        <f>R74-S74</f>
        <v/>
      </c>
      <c r="T75" s="5">
        <f>S74-T74</f>
        <v/>
      </c>
      <c r="U75" s="5">
        <f>T74-U74</f>
        <v/>
      </c>
      <c r="V75" s="5">
        <f>U74-V74</f>
        <v/>
      </c>
      <c r="W75" s="5">
        <f>V74-W74</f>
        <v/>
      </c>
      <c r="X75" s="5">
        <f>W74-X74</f>
        <v/>
      </c>
      <c r="Y75" s="5">
        <f>X74-Y74</f>
        <v/>
      </c>
      <c r="Z75" s="5">
        <f>Y74-Z74</f>
        <v/>
      </c>
      <c r="AA75" s="5">
        <f>Z74-AA74</f>
        <v/>
      </c>
      <c r="AB75" s="5">
        <f>AA74-AB74</f>
        <v/>
      </c>
      <c r="AC75" s="5">
        <f>AB74-AC74</f>
        <v/>
      </c>
      <c r="AD75" s="5">
        <f>AC74-AD74</f>
        <v/>
      </c>
      <c r="AE75" s="5">
        <f>AD74-AE74</f>
        <v/>
      </c>
      <c r="AF75" s="5">
        <f>AE74-AF74</f>
        <v/>
      </c>
      <c r="AG75" s="5">
        <f>AF74-AG74</f>
        <v/>
      </c>
      <c r="AH75" s="5">
        <f>AG74-AH74</f>
        <v/>
      </c>
      <c r="AI75" s="5">
        <f>AH74-AI74</f>
        <v/>
      </c>
      <c r="AJ75" s="5">
        <f>AI74-AJ74</f>
        <v/>
      </c>
      <c r="AK75" s="5">
        <f>AJ74-AK74</f>
        <v/>
      </c>
      <c r="AL75" s="5">
        <f>AK74-AL74</f>
        <v/>
      </c>
      <c r="AM75" s="5">
        <f>AL74-AM74</f>
        <v/>
      </c>
      <c r="AN75" s="5">
        <f>AM74-AN74</f>
        <v/>
      </c>
      <c r="AO75" s="5">
        <f>AN74-AO74</f>
        <v/>
      </c>
      <c r="AP75" s="5">
        <f>AO74-AP74</f>
        <v/>
      </c>
      <c r="AQ75" s="5">
        <f>AP74-AQ74</f>
        <v/>
      </c>
      <c r="AR75" s="5">
        <f>AQ74-AR74</f>
        <v/>
      </c>
      <c r="AS75" s="5">
        <f>AR74-AS74</f>
        <v/>
      </c>
      <c r="AT75" s="5">
        <f>AS74-AT74</f>
        <v/>
      </c>
      <c r="AU75" s="5">
        <f>AT74-AU74</f>
        <v/>
      </c>
      <c r="AV75" s="5">
        <f>AU74-AV74</f>
        <v/>
      </c>
      <c r="AW75" s="5">
        <f>AV74-AW74</f>
        <v/>
      </c>
      <c r="AX75" s="5">
        <f>AW74-AX74</f>
        <v/>
      </c>
      <c r="AY75" s="5">
        <f>AX74-AY74</f>
        <v/>
      </c>
      <c r="AZ75" s="5">
        <f>AY74-AZ74</f>
        <v/>
      </c>
      <c r="BA75" s="5">
        <f>AZ74-BA74</f>
        <v/>
      </c>
      <c r="BB75" s="5">
        <f>BA74-BB74</f>
        <v/>
      </c>
      <c r="BC75" s="5">
        <f>BB74-BC74</f>
        <v/>
      </c>
      <c r="BD75" s="5">
        <f>BC74-BD74</f>
        <v/>
      </c>
      <c r="BE75" s="5">
        <f>BD74-BE74</f>
        <v/>
      </c>
      <c r="BF75" s="5">
        <f>BE74-BF74</f>
        <v/>
      </c>
      <c r="BG75" s="5">
        <f>BF74-BG74</f>
        <v/>
      </c>
      <c r="BH75" s="5">
        <f>BG74-BH74</f>
        <v/>
      </c>
      <c r="BI75" s="5">
        <f>BH74-BI74</f>
        <v/>
      </c>
      <c r="BJ75" s="5">
        <f>BI74-BJ74</f>
        <v/>
      </c>
      <c r="BK75" s="5">
        <f>BJ74-BK74</f>
        <v/>
      </c>
      <c r="BL75" s="5">
        <f>BK74-BL74</f>
        <v/>
      </c>
      <c r="BM75" s="5">
        <f>BL74-BM74</f>
        <v/>
      </c>
      <c r="BN75" s="5">
        <f>BM74-BN74</f>
        <v/>
      </c>
      <c r="BO75" s="5">
        <f>BN74-BO74</f>
        <v/>
      </c>
      <c r="BP75" s="5">
        <f>BO74-BP74</f>
        <v/>
      </c>
      <c r="BQ75" s="5">
        <f>BP74-BQ74</f>
        <v/>
      </c>
      <c r="BR75" s="5">
        <f>BQ74-BR74</f>
        <v/>
      </c>
      <c r="BS75" s="5">
        <f>BR74-BS74</f>
        <v/>
      </c>
      <c r="BT75" s="5">
        <f>BS74-BT74</f>
        <v/>
      </c>
      <c r="BU75" s="5">
        <f>BT74-BU74</f>
        <v/>
      </c>
      <c r="BV75" s="5">
        <f>BU74-BV74</f>
        <v/>
      </c>
    </row>
    <row r="77">
      <c r="A77" t="inlineStr">
        <is>
          <t>opening book (Jan 2025)</t>
        </is>
      </c>
      <c r="B77" t="inlineStr">
        <is>
          <t>ROW|BASIC_M</t>
        </is>
      </c>
      <c r="C77" s="5">
        <f>Params!$B$14*Params!$B$76*Params!$B$98</f>
        <v/>
      </c>
    </row>
    <row r="78">
      <c r="A78" t="inlineStr">
        <is>
          <t>active</t>
        </is>
      </c>
      <c r="B78" t="inlineStr">
        <is>
          <t>ROW|BASIC_M</t>
        </is>
      </c>
      <c r="C78" s="5">
        <f>$C$77*(1-Params!$B$15)^(C$2+1)</f>
        <v/>
      </c>
      <c r="D78" s="5">
        <f>$C$77*(1-Params!$B$15)^(D$2+1)</f>
        <v/>
      </c>
      <c r="E78" s="5">
        <f>$C$77*(1-Params!$B$15)^(E$2+1)</f>
        <v/>
      </c>
      <c r="F78" s="5">
        <f>$C$77*(1-Params!$B$15)^(F$2+1)</f>
        <v/>
      </c>
      <c r="G78" s="5">
        <f>$C$77*(1-Params!$B$15)^(G$2+1)</f>
        <v/>
      </c>
      <c r="H78" s="5">
        <f>$C$77*(1-Params!$B$15)^(H$2+1)</f>
        <v/>
      </c>
      <c r="I78" s="5">
        <f>$C$77*(1-Params!$B$15)^(I$2+1)</f>
        <v/>
      </c>
      <c r="J78" s="5">
        <f>$C$77*(1-Params!$B$15)^(J$2+1)</f>
        <v/>
      </c>
      <c r="K78" s="5">
        <f>$C$77*(1-Params!$B$15)^(K$2+1)</f>
        <v/>
      </c>
      <c r="L78" s="5">
        <f>$C$77*(1-Params!$B$15)^(L$2+1)</f>
        <v/>
      </c>
      <c r="M78" s="5">
        <f>$C$77*(1-Params!$B$15)^(M$2+1)</f>
        <v/>
      </c>
      <c r="N78" s="5">
        <f>$C$77*(1-Params!$B$15)^(N$2+1)</f>
        <v/>
      </c>
      <c r="O78" s="5">
        <f>$C$77*(1-Params!$B$15)^(O$2+1)</f>
        <v/>
      </c>
      <c r="P78" s="5">
        <f>$C$77*(1-Params!$B$15)^(P$2+1)</f>
        <v/>
      </c>
      <c r="Q78" s="5">
        <f>$C$77*(1-Params!$B$15)^(Q$2+1)</f>
        <v/>
      </c>
      <c r="R78" s="5">
        <f>$C$77*(1-Params!$B$15)^(R$2+1)</f>
        <v/>
      </c>
      <c r="S78" s="5">
        <f>$C$77*(1-Params!$B$15)^(S$2+1)</f>
        <v/>
      </c>
      <c r="T78" s="5">
        <f>$C$77*(1-Params!$B$15)^(T$2+1)</f>
        <v/>
      </c>
      <c r="U78" s="5">
        <f>$C$77*(1-Params!$B$15)^(U$2+1)</f>
        <v/>
      </c>
      <c r="V78" s="5">
        <f>$C$77*(1-Params!$B$15)^(V$2+1)</f>
        <v/>
      </c>
      <c r="W78" s="5">
        <f>$C$77*(1-Params!$B$15)^(W$2+1)</f>
        <v/>
      </c>
      <c r="X78" s="5">
        <f>$C$77*(1-Params!$B$15)^(X$2+1)</f>
        <v/>
      </c>
      <c r="Y78" s="5">
        <f>$C$77*(1-Params!$B$15)^(Y$2+1)</f>
        <v/>
      </c>
      <c r="Z78" s="5">
        <f>$C$77*(1-Params!$B$15)^(Z$2+1)</f>
        <v/>
      </c>
      <c r="AA78" s="5">
        <f>$C$77*(1-Params!$B$15)^(AA$2+1)</f>
        <v/>
      </c>
      <c r="AB78" s="5">
        <f>$C$77*(1-Params!$B$15)^(AB$2+1)</f>
        <v/>
      </c>
      <c r="AC78" s="5">
        <f>$C$77*(1-Params!$B$15)^(AC$2+1)</f>
        <v/>
      </c>
      <c r="AD78" s="5">
        <f>$C$77*(1-Params!$B$15)^(AD$2+1)</f>
        <v/>
      </c>
      <c r="AE78" s="5">
        <f>$C$77*(1-Params!$B$15)^(AE$2+1)</f>
        <v/>
      </c>
      <c r="AF78" s="5">
        <f>$C$77*(1-Params!$B$15)^(AF$2+1)</f>
        <v/>
      </c>
      <c r="AG78" s="5">
        <f>$C$77*(1-Params!$B$15)^(AG$2+1)</f>
        <v/>
      </c>
      <c r="AH78" s="5">
        <f>$C$77*(1-Params!$B$15)^(AH$2+1)</f>
        <v/>
      </c>
      <c r="AI78" s="5">
        <f>$C$77*(1-Params!$B$15)^(AI$2+1)</f>
        <v/>
      </c>
      <c r="AJ78" s="5">
        <f>$C$77*(1-Params!$B$15)^(AJ$2+1)</f>
        <v/>
      </c>
      <c r="AK78" s="5">
        <f>$C$77*(1-Params!$B$15)^(AK$2+1)</f>
        <v/>
      </c>
      <c r="AL78" s="5">
        <f>$C$77*(1-Params!$B$15)^(AL$2+1)</f>
        <v/>
      </c>
      <c r="AM78" s="5">
        <f>$C$77*(1-Params!$B$15)^(AM$2+1)</f>
        <v/>
      </c>
      <c r="AN78" s="5">
        <f>$C$77*(1-Params!$B$15)^(AN$2+1)</f>
        <v/>
      </c>
      <c r="AO78" s="5">
        <f>$C$77*(1-Params!$B$15)^(AO$2+1)</f>
        <v/>
      </c>
      <c r="AP78" s="5">
        <f>$C$77*(1-Params!$B$15)^(AP$2+1)</f>
        <v/>
      </c>
      <c r="AQ78" s="5">
        <f>$C$77*(1-Params!$B$15)^(AQ$2+1)</f>
        <v/>
      </c>
      <c r="AR78" s="5">
        <f>$C$77*(1-Params!$B$15)^(AR$2+1)</f>
        <v/>
      </c>
      <c r="AS78" s="5">
        <f>$C$77*(1-Params!$B$15)^(AS$2+1)</f>
        <v/>
      </c>
      <c r="AT78" s="5">
        <f>$C$77*(1-Params!$B$15)^(AT$2+1)</f>
        <v/>
      </c>
      <c r="AU78" s="5">
        <f>$C$77*(1-Params!$B$15)^(AU$2+1)</f>
        <v/>
      </c>
      <c r="AV78" s="5">
        <f>$C$77*(1-Params!$B$15)^(AV$2+1)</f>
        <v/>
      </c>
      <c r="AW78" s="5">
        <f>$C$77*(1-Params!$B$15)^(AW$2+1)</f>
        <v/>
      </c>
      <c r="AX78" s="5">
        <f>$C$77*(1-Params!$B$15)^(AX$2+1)</f>
        <v/>
      </c>
      <c r="AY78" s="5">
        <f>$C$77*(1-Params!$B$15)^(AY$2+1)</f>
        <v/>
      </c>
      <c r="AZ78" s="5">
        <f>$C$77*(1-Params!$B$15)^(AZ$2+1)</f>
        <v/>
      </c>
      <c r="BA78" s="5">
        <f>$C$77*(1-Params!$B$15)^(BA$2+1)</f>
        <v/>
      </c>
      <c r="BB78" s="5">
        <f>$C$77*(1-Params!$B$15)^(BB$2+1)</f>
        <v/>
      </c>
      <c r="BC78" s="5">
        <f>$C$77*(1-Params!$B$15)^(BC$2+1)</f>
        <v/>
      </c>
      <c r="BD78" s="5">
        <f>$C$77*(1-Params!$B$15)^(BD$2+1)</f>
        <v/>
      </c>
      <c r="BE78" s="5">
        <f>$C$77*(1-Params!$B$15)^(BE$2+1)</f>
        <v/>
      </c>
      <c r="BF78" s="5">
        <f>$C$77*(1-Params!$B$15)^(BF$2+1)</f>
        <v/>
      </c>
      <c r="BG78" s="5">
        <f>$C$77*(1-Params!$B$15)^(BG$2+1)</f>
        <v/>
      </c>
      <c r="BH78" s="5">
        <f>$C$77*(1-Params!$B$15)^(BH$2+1)</f>
        <v/>
      </c>
      <c r="BI78" s="5">
        <f>$C$77*(1-Params!$B$15)^(BI$2+1)</f>
        <v/>
      </c>
      <c r="BJ78" s="5">
        <f>$C$77*(1-Params!$B$15)^(BJ$2+1)</f>
        <v/>
      </c>
      <c r="BK78" s="5">
        <f>$C$77*(1-Params!$B$15)^(BK$2+1)</f>
        <v/>
      </c>
      <c r="BL78" s="5">
        <f>$C$77*(1-Params!$B$15)^(BL$2+1)</f>
        <v/>
      </c>
      <c r="BM78" s="5">
        <f>$C$77*(1-Params!$B$15)^(BM$2+1)</f>
        <v/>
      </c>
      <c r="BN78" s="5">
        <f>$C$77*(1-Params!$B$15)^(BN$2+1)</f>
        <v/>
      </c>
      <c r="BO78" s="5">
        <f>$C$77*(1-Params!$B$15)^(BO$2+1)</f>
        <v/>
      </c>
      <c r="BP78" s="5">
        <f>$C$77*(1-Params!$B$15)^(BP$2+1)</f>
        <v/>
      </c>
      <c r="BQ78" s="5">
        <f>$C$77*(1-Params!$B$15)^(BQ$2+1)</f>
        <v/>
      </c>
      <c r="BR78" s="5">
        <f>$C$77*(1-Params!$B$15)^(BR$2+1)</f>
        <v/>
      </c>
      <c r="BS78" s="5">
        <f>$C$77*(1-Params!$B$15)^(BS$2+1)</f>
        <v/>
      </c>
      <c r="BT78" s="5">
        <f>$C$77*(1-Params!$B$15)^(BT$2+1)</f>
        <v/>
      </c>
      <c r="BU78" s="5">
        <f>$C$77*(1-Params!$B$15)^(BU$2+1)</f>
        <v/>
      </c>
      <c r="BV78" s="5">
        <f>$C$77*(1-Params!$B$15)^(BV$2+1)</f>
        <v/>
      </c>
    </row>
    <row r="79">
      <c r="A79" t="inlineStr">
        <is>
          <t>churned</t>
        </is>
      </c>
      <c r="B79" t="inlineStr">
        <is>
          <t>ROW|BASIC_M</t>
        </is>
      </c>
      <c r="C79" s="5">
        <f>$C$77-C78</f>
        <v/>
      </c>
      <c r="D79" s="5">
        <f>C78-D78</f>
        <v/>
      </c>
      <c r="E79" s="5">
        <f>D78-E78</f>
        <v/>
      </c>
      <c r="F79" s="5">
        <f>E78-F78</f>
        <v/>
      </c>
      <c r="G79" s="5">
        <f>F78-G78</f>
        <v/>
      </c>
      <c r="H79" s="5">
        <f>G78-H78</f>
        <v/>
      </c>
      <c r="I79" s="5">
        <f>H78-I78</f>
        <v/>
      </c>
      <c r="J79" s="5">
        <f>I78-J78</f>
        <v/>
      </c>
      <c r="K79" s="5">
        <f>J78-K78</f>
        <v/>
      </c>
      <c r="L79" s="5">
        <f>K78-L78</f>
        <v/>
      </c>
      <c r="M79" s="5">
        <f>L78-M78</f>
        <v/>
      </c>
      <c r="N79" s="5">
        <f>M78-N78</f>
        <v/>
      </c>
      <c r="O79" s="5">
        <f>N78-O78</f>
        <v/>
      </c>
      <c r="P79" s="5">
        <f>O78-P78</f>
        <v/>
      </c>
      <c r="Q79" s="5">
        <f>P78-Q78</f>
        <v/>
      </c>
      <c r="R79" s="5">
        <f>Q78-R78</f>
        <v/>
      </c>
      <c r="S79" s="5">
        <f>R78-S78</f>
        <v/>
      </c>
      <c r="T79" s="5">
        <f>S78-T78</f>
        <v/>
      </c>
      <c r="U79" s="5">
        <f>T78-U78</f>
        <v/>
      </c>
      <c r="V79" s="5">
        <f>U78-V78</f>
        <v/>
      </c>
      <c r="W79" s="5">
        <f>V78-W78</f>
        <v/>
      </c>
      <c r="X79" s="5">
        <f>W78-X78</f>
        <v/>
      </c>
      <c r="Y79" s="5">
        <f>X78-Y78</f>
        <v/>
      </c>
      <c r="Z79" s="5">
        <f>Y78-Z78</f>
        <v/>
      </c>
      <c r="AA79" s="5">
        <f>Z78-AA78</f>
        <v/>
      </c>
      <c r="AB79" s="5">
        <f>AA78-AB78</f>
        <v/>
      </c>
      <c r="AC79" s="5">
        <f>AB78-AC78</f>
        <v/>
      </c>
      <c r="AD79" s="5">
        <f>AC78-AD78</f>
        <v/>
      </c>
      <c r="AE79" s="5">
        <f>AD78-AE78</f>
        <v/>
      </c>
      <c r="AF79" s="5">
        <f>AE78-AF78</f>
        <v/>
      </c>
      <c r="AG79" s="5">
        <f>AF78-AG78</f>
        <v/>
      </c>
      <c r="AH79" s="5">
        <f>AG78-AH78</f>
        <v/>
      </c>
      <c r="AI79" s="5">
        <f>AH78-AI78</f>
        <v/>
      </c>
      <c r="AJ79" s="5">
        <f>AI78-AJ78</f>
        <v/>
      </c>
      <c r="AK79" s="5">
        <f>AJ78-AK78</f>
        <v/>
      </c>
      <c r="AL79" s="5">
        <f>AK78-AL78</f>
        <v/>
      </c>
      <c r="AM79" s="5">
        <f>AL78-AM78</f>
        <v/>
      </c>
      <c r="AN79" s="5">
        <f>AM78-AN78</f>
        <v/>
      </c>
      <c r="AO79" s="5">
        <f>AN78-AO78</f>
        <v/>
      </c>
      <c r="AP79" s="5">
        <f>AO78-AP78</f>
        <v/>
      </c>
      <c r="AQ79" s="5">
        <f>AP78-AQ78</f>
        <v/>
      </c>
      <c r="AR79" s="5">
        <f>AQ78-AR78</f>
        <v/>
      </c>
      <c r="AS79" s="5">
        <f>AR78-AS78</f>
        <v/>
      </c>
      <c r="AT79" s="5">
        <f>AS78-AT78</f>
        <v/>
      </c>
      <c r="AU79" s="5">
        <f>AT78-AU78</f>
        <v/>
      </c>
      <c r="AV79" s="5">
        <f>AU78-AV78</f>
        <v/>
      </c>
      <c r="AW79" s="5">
        <f>AV78-AW78</f>
        <v/>
      </c>
      <c r="AX79" s="5">
        <f>AW78-AX78</f>
        <v/>
      </c>
      <c r="AY79" s="5">
        <f>AX78-AY78</f>
        <v/>
      </c>
      <c r="AZ79" s="5">
        <f>AY78-AZ78</f>
        <v/>
      </c>
      <c r="BA79" s="5">
        <f>AZ78-BA78</f>
        <v/>
      </c>
      <c r="BB79" s="5">
        <f>BA78-BB78</f>
        <v/>
      </c>
      <c r="BC79" s="5">
        <f>BB78-BC78</f>
        <v/>
      </c>
      <c r="BD79" s="5">
        <f>BC78-BD78</f>
        <v/>
      </c>
      <c r="BE79" s="5">
        <f>BD78-BE78</f>
        <v/>
      </c>
      <c r="BF79" s="5">
        <f>BE78-BF78</f>
        <v/>
      </c>
      <c r="BG79" s="5">
        <f>BF78-BG78</f>
        <v/>
      </c>
      <c r="BH79" s="5">
        <f>BG78-BH78</f>
        <v/>
      </c>
      <c r="BI79" s="5">
        <f>BH78-BI78</f>
        <v/>
      </c>
      <c r="BJ79" s="5">
        <f>BI78-BJ78</f>
        <v/>
      </c>
      <c r="BK79" s="5">
        <f>BJ78-BK78</f>
        <v/>
      </c>
      <c r="BL79" s="5">
        <f>BK78-BL78</f>
        <v/>
      </c>
      <c r="BM79" s="5">
        <f>BL78-BM78</f>
        <v/>
      </c>
      <c r="BN79" s="5">
        <f>BM78-BN78</f>
        <v/>
      </c>
      <c r="BO79" s="5">
        <f>BN78-BO78</f>
        <v/>
      </c>
      <c r="BP79" s="5">
        <f>BO78-BP78</f>
        <v/>
      </c>
      <c r="BQ79" s="5">
        <f>BP78-BQ78</f>
        <v/>
      </c>
      <c r="BR79" s="5">
        <f>BQ78-BR78</f>
        <v/>
      </c>
      <c r="BS79" s="5">
        <f>BR78-BS78</f>
        <v/>
      </c>
      <c r="BT79" s="5">
        <f>BS78-BT78</f>
        <v/>
      </c>
      <c r="BU79" s="5">
        <f>BT78-BU78</f>
        <v/>
      </c>
      <c r="BV79" s="5">
        <f>BU78-BV78</f>
        <v/>
      </c>
    </row>
    <row r="81">
      <c r="A81" t="inlineStr">
        <is>
          <t>opening book (Jan 2025)</t>
        </is>
      </c>
      <c r="B81" t="inlineStr">
        <is>
          <t>ROW|BASIC_A</t>
        </is>
      </c>
      <c r="C81" s="5">
        <f>Params!$B$14*Params!$B$76*Params!$B$99</f>
        <v/>
      </c>
    </row>
    <row r="82">
      <c r="A82" t="inlineStr">
        <is>
          <t>active</t>
        </is>
      </c>
      <c r="B82" t="inlineStr">
        <is>
          <t>ROW|BASIC_A</t>
        </is>
      </c>
      <c r="C82" s="5">
        <f>$C$81*((MOD(C$2,12)+1)*Params!$B$42^(INT(C$2/12)+1)+(11-MOD(C$2,12))*Params!$B$42^INT(C$2/12))/12</f>
        <v/>
      </c>
      <c r="D82" s="5">
        <f>$C$81*((MOD(D$2,12)+1)*Params!$B$42^(INT(D$2/12)+1)+(11-MOD(D$2,12))*Params!$B$42^INT(D$2/12))/12</f>
        <v/>
      </c>
      <c r="E82" s="5">
        <f>$C$81*((MOD(E$2,12)+1)*Params!$B$42^(INT(E$2/12)+1)+(11-MOD(E$2,12))*Params!$B$42^INT(E$2/12))/12</f>
        <v/>
      </c>
      <c r="F82" s="5">
        <f>$C$81*((MOD(F$2,12)+1)*Params!$B$42^(INT(F$2/12)+1)+(11-MOD(F$2,12))*Params!$B$42^INT(F$2/12))/12</f>
        <v/>
      </c>
      <c r="G82" s="5">
        <f>$C$81*((MOD(G$2,12)+1)*Params!$B$42^(INT(G$2/12)+1)+(11-MOD(G$2,12))*Params!$B$42^INT(G$2/12))/12</f>
        <v/>
      </c>
      <c r="H82" s="5">
        <f>$C$81*((MOD(H$2,12)+1)*Params!$B$42^(INT(H$2/12)+1)+(11-MOD(H$2,12))*Params!$B$42^INT(H$2/12))/12</f>
        <v/>
      </c>
      <c r="I82" s="5">
        <f>$C$81*((MOD(I$2,12)+1)*Params!$B$42^(INT(I$2/12)+1)+(11-MOD(I$2,12))*Params!$B$42^INT(I$2/12))/12</f>
        <v/>
      </c>
      <c r="J82" s="5">
        <f>$C$81*((MOD(J$2,12)+1)*Params!$B$42^(INT(J$2/12)+1)+(11-MOD(J$2,12))*Params!$B$42^INT(J$2/12))/12</f>
        <v/>
      </c>
      <c r="K82" s="5">
        <f>$C$81*((MOD(K$2,12)+1)*Params!$B$42^(INT(K$2/12)+1)+(11-MOD(K$2,12))*Params!$B$42^INT(K$2/12))/12</f>
        <v/>
      </c>
      <c r="L82" s="5">
        <f>$C$81*((MOD(L$2,12)+1)*Params!$B$42^(INT(L$2/12)+1)+(11-MOD(L$2,12))*Params!$B$42^INT(L$2/12))/12</f>
        <v/>
      </c>
      <c r="M82" s="5">
        <f>$C$81*((MOD(M$2,12)+1)*Params!$B$42^(INT(M$2/12)+1)+(11-MOD(M$2,12))*Params!$B$42^INT(M$2/12))/12</f>
        <v/>
      </c>
      <c r="N82" s="5">
        <f>$C$81*((MOD(N$2,12)+1)*Params!$B$42^(INT(N$2/12)+1)+(11-MOD(N$2,12))*Params!$B$42^INT(N$2/12))/12</f>
        <v/>
      </c>
      <c r="O82" s="5">
        <f>$C$81*((MOD(O$2,12)+1)*Params!$B$42^(INT(O$2/12)+1)+(11-MOD(O$2,12))*Params!$B$42^INT(O$2/12))/12</f>
        <v/>
      </c>
      <c r="P82" s="5">
        <f>$C$81*((MOD(P$2,12)+1)*Params!$B$42^(INT(P$2/12)+1)+(11-MOD(P$2,12))*Params!$B$42^INT(P$2/12))/12</f>
        <v/>
      </c>
      <c r="Q82" s="5">
        <f>$C$81*((MOD(Q$2,12)+1)*Params!$B$42^(INT(Q$2/12)+1)+(11-MOD(Q$2,12))*Params!$B$42^INT(Q$2/12))/12</f>
        <v/>
      </c>
      <c r="R82" s="5">
        <f>$C$81*((MOD(R$2,12)+1)*Params!$B$42^(INT(R$2/12)+1)+(11-MOD(R$2,12))*Params!$B$42^INT(R$2/12))/12</f>
        <v/>
      </c>
      <c r="S82" s="5">
        <f>$C$81*((MOD(S$2,12)+1)*Params!$B$42^(INT(S$2/12)+1)+(11-MOD(S$2,12))*Params!$B$42^INT(S$2/12))/12</f>
        <v/>
      </c>
      <c r="T82" s="5">
        <f>$C$81*((MOD(T$2,12)+1)*Params!$B$42^(INT(T$2/12)+1)+(11-MOD(T$2,12))*Params!$B$42^INT(T$2/12))/12</f>
        <v/>
      </c>
      <c r="U82" s="5">
        <f>$C$81*((MOD(U$2,12)+1)*Params!$B$42^(INT(U$2/12)+1)+(11-MOD(U$2,12))*Params!$B$42^INT(U$2/12))/12</f>
        <v/>
      </c>
      <c r="V82" s="5">
        <f>$C$81*((MOD(V$2,12)+1)*Params!$B$42^(INT(V$2/12)+1)+(11-MOD(V$2,12))*Params!$B$42^INT(V$2/12))/12</f>
        <v/>
      </c>
      <c r="W82" s="5">
        <f>$C$81*((MOD(W$2,12)+1)*Params!$B$42^(INT(W$2/12)+1)+(11-MOD(W$2,12))*Params!$B$42^INT(W$2/12))/12</f>
        <v/>
      </c>
      <c r="X82" s="5">
        <f>$C$81*((MOD(X$2,12)+1)*Params!$B$42^(INT(X$2/12)+1)+(11-MOD(X$2,12))*Params!$B$42^INT(X$2/12))/12</f>
        <v/>
      </c>
      <c r="Y82" s="5">
        <f>$C$81*((MOD(Y$2,12)+1)*Params!$B$42^(INT(Y$2/12)+1)+(11-MOD(Y$2,12))*Params!$B$42^INT(Y$2/12))/12</f>
        <v/>
      </c>
      <c r="Z82" s="5">
        <f>$C$81*((MOD(Z$2,12)+1)*Params!$B$42^(INT(Z$2/12)+1)+(11-MOD(Z$2,12))*Params!$B$42^INT(Z$2/12))/12</f>
        <v/>
      </c>
      <c r="AA82" s="5">
        <f>$C$81*((MOD(AA$2,12)+1)*Params!$B$42^(INT(AA$2/12)+1)+(11-MOD(AA$2,12))*Params!$B$42^INT(AA$2/12))/12</f>
        <v/>
      </c>
      <c r="AB82" s="5">
        <f>$C$81*((MOD(AB$2,12)+1)*Params!$B$42^(INT(AB$2/12)+1)+(11-MOD(AB$2,12))*Params!$B$42^INT(AB$2/12))/12</f>
        <v/>
      </c>
      <c r="AC82" s="5">
        <f>$C$81*((MOD(AC$2,12)+1)*Params!$B$42^(INT(AC$2/12)+1)+(11-MOD(AC$2,12))*Params!$B$42^INT(AC$2/12))/12</f>
        <v/>
      </c>
      <c r="AD82" s="5">
        <f>$C$81*((MOD(AD$2,12)+1)*Params!$B$42^(INT(AD$2/12)+1)+(11-MOD(AD$2,12))*Params!$B$42^INT(AD$2/12))/12</f>
        <v/>
      </c>
      <c r="AE82" s="5">
        <f>$C$81*((MOD(AE$2,12)+1)*Params!$B$42^(INT(AE$2/12)+1)+(11-MOD(AE$2,12))*Params!$B$42^INT(AE$2/12))/12</f>
        <v/>
      </c>
      <c r="AF82" s="5">
        <f>$C$81*((MOD(AF$2,12)+1)*Params!$B$42^(INT(AF$2/12)+1)+(11-MOD(AF$2,12))*Params!$B$42^INT(AF$2/12))/12</f>
        <v/>
      </c>
      <c r="AG82" s="5">
        <f>$C$81*((MOD(AG$2,12)+1)*Params!$B$42^(INT(AG$2/12)+1)+(11-MOD(AG$2,12))*Params!$B$42^INT(AG$2/12))/12</f>
        <v/>
      </c>
      <c r="AH82" s="5">
        <f>$C$81*((MOD(AH$2,12)+1)*Params!$B$42^(INT(AH$2/12)+1)+(11-MOD(AH$2,12))*Params!$B$42^INT(AH$2/12))/12</f>
        <v/>
      </c>
      <c r="AI82" s="5">
        <f>$C$81*((MOD(AI$2,12)+1)*Params!$B$42^(INT(AI$2/12)+1)+(11-MOD(AI$2,12))*Params!$B$42^INT(AI$2/12))/12</f>
        <v/>
      </c>
      <c r="AJ82" s="5">
        <f>$C$81*((MOD(AJ$2,12)+1)*Params!$B$42^(INT(AJ$2/12)+1)+(11-MOD(AJ$2,12))*Params!$B$42^INT(AJ$2/12))/12</f>
        <v/>
      </c>
      <c r="AK82" s="5">
        <f>$C$81*((MOD(AK$2,12)+1)*Params!$B$42^(INT(AK$2/12)+1)+(11-MOD(AK$2,12))*Params!$B$42^INT(AK$2/12))/12</f>
        <v/>
      </c>
      <c r="AL82" s="5">
        <f>$C$81*((MOD(AL$2,12)+1)*Params!$B$42^(INT(AL$2/12)+1)+(11-MOD(AL$2,12))*Params!$B$42^INT(AL$2/12))/12</f>
        <v/>
      </c>
      <c r="AM82" s="5">
        <f>$C$81*((MOD(AM$2,12)+1)*Params!$B$42^(INT(AM$2/12)+1)+(11-MOD(AM$2,12))*Params!$B$42^INT(AM$2/12))/12</f>
        <v/>
      </c>
      <c r="AN82" s="5">
        <f>$C$81*((MOD(AN$2,12)+1)*Params!$B$42^(INT(AN$2/12)+1)+(11-MOD(AN$2,12))*Params!$B$42^INT(AN$2/12))/12</f>
        <v/>
      </c>
      <c r="AO82" s="5">
        <f>$C$81*((MOD(AO$2,12)+1)*Params!$B$42^(INT(AO$2/12)+1)+(11-MOD(AO$2,12))*Params!$B$42^INT(AO$2/12))/12</f>
        <v/>
      </c>
      <c r="AP82" s="5">
        <f>$C$81*((MOD(AP$2,12)+1)*Params!$B$42^(INT(AP$2/12)+1)+(11-MOD(AP$2,12))*Params!$B$42^INT(AP$2/12))/12</f>
        <v/>
      </c>
      <c r="AQ82" s="5">
        <f>$C$81*((MOD(AQ$2,12)+1)*Params!$B$42^(INT(AQ$2/12)+1)+(11-MOD(AQ$2,12))*Params!$B$42^INT(AQ$2/12))/12</f>
        <v/>
      </c>
      <c r="AR82" s="5">
        <f>$C$81*((MOD(AR$2,12)+1)*Params!$B$42^(INT(AR$2/12)+1)+(11-MOD(AR$2,12))*Params!$B$42^INT(AR$2/12))/12</f>
        <v/>
      </c>
      <c r="AS82" s="5">
        <f>$C$81*((MOD(AS$2,12)+1)*Params!$B$42^(INT(AS$2/12)+1)+(11-MOD(AS$2,12))*Params!$B$42^INT(AS$2/12))/12</f>
        <v/>
      </c>
      <c r="AT82" s="5">
        <f>$C$81*((MOD(AT$2,12)+1)*Params!$B$42^(INT(AT$2/12)+1)+(11-MOD(AT$2,12))*Params!$B$42^INT(AT$2/12))/12</f>
        <v/>
      </c>
      <c r="AU82" s="5">
        <f>$C$81*((MOD(AU$2,12)+1)*Params!$B$42^(INT(AU$2/12)+1)+(11-MOD(AU$2,12))*Params!$B$42^INT(AU$2/12))/12</f>
        <v/>
      </c>
      <c r="AV82" s="5">
        <f>$C$81*((MOD(AV$2,12)+1)*Params!$B$42^(INT(AV$2/12)+1)+(11-MOD(AV$2,12))*Params!$B$42^INT(AV$2/12))/12</f>
        <v/>
      </c>
      <c r="AW82" s="5">
        <f>$C$81*((MOD(AW$2,12)+1)*Params!$B$42^(INT(AW$2/12)+1)+(11-MOD(AW$2,12))*Params!$B$42^INT(AW$2/12))/12</f>
        <v/>
      </c>
      <c r="AX82" s="5">
        <f>$C$81*((MOD(AX$2,12)+1)*Params!$B$42^(INT(AX$2/12)+1)+(11-MOD(AX$2,12))*Params!$B$42^INT(AX$2/12))/12</f>
        <v/>
      </c>
      <c r="AY82" s="5">
        <f>$C$81*((MOD(AY$2,12)+1)*Params!$B$42^(INT(AY$2/12)+1)+(11-MOD(AY$2,12))*Params!$B$42^INT(AY$2/12))/12</f>
        <v/>
      </c>
      <c r="AZ82" s="5">
        <f>$C$81*((MOD(AZ$2,12)+1)*Params!$B$42^(INT(AZ$2/12)+1)+(11-MOD(AZ$2,12))*Params!$B$42^INT(AZ$2/12))/12</f>
        <v/>
      </c>
      <c r="BA82" s="5">
        <f>$C$81*((MOD(BA$2,12)+1)*Params!$B$42^(INT(BA$2/12)+1)+(11-MOD(BA$2,12))*Params!$B$42^INT(BA$2/12))/12</f>
        <v/>
      </c>
      <c r="BB82" s="5">
        <f>$C$81*((MOD(BB$2,12)+1)*Params!$B$42^(INT(BB$2/12)+1)+(11-MOD(BB$2,12))*Params!$B$42^INT(BB$2/12))/12</f>
        <v/>
      </c>
      <c r="BC82" s="5">
        <f>$C$81*((MOD(BC$2,12)+1)*Params!$B$42^(INT(BC$2/12)+1)+(11-MOD(BC$2,12))*Params!$B$42^INT(BC$2/12))/12</f>
        <v/>
      </c>
      <c r="BD82" s="5">
        <f>$C$81*((MOD(BD$2,12)+1)*Params!$B$42^(INT(BD$2/12)+1)+(11-MOD(BD$2,12))*Params!$B$42^INT(BD$2/12))/12</f>
        <v/>
      </c>
      <c r="BE82" s="5">
        <f>$C$81*((MOD(BE$2,12)+1)*Params!$B$42^(INT(BE$2/12)+1)+(11-MOD(BE$2,12))*Params!$B$42^INT(BE$2/12))/12</f>
        <v/>
      </c>
      <c r="BF82" s="5">
        <f>$C$81*((MOD(BF$2,12)+1)*Params!$B$42^(INT(BF$2/12)+1)+(11-MOD(BF$2,12))*Params!$B$42^INT(BF$2/12))/12</f>
        <v/>
      </c>
      <c r="BG82" s="5">
        <f>$C$81*((MOD(BG$2,12)+1)*Params!$B$42^(INT(BG$2/12)+1)+(11-MOD(BG$2,12))*Params!$B$42^INT(BG$2/12))/12</f>
        <v/>
      </c>
      <c r="BH82" s="5">
        <f>$C$81*((MOD(BH$2,12)+1)*Params!$B$42^(INT(BH$2/12)+1)+(11-MOD(BH$2,12))*Params!$B$42^INT(BH$2/12))/12</f>
        <v/>
      </c>
      <c r="BI82" s="5">
        <f>$C$81*((MOD(BI$2,12)+1)*Params!$B$42^(INT(BI$2/12)+1)+(11-MOD(BI$2,12))*Params!$B$42^INT(BI$2/12))/12</f>
        <v/>
      </c>
      <c r="BJ82" s="5">
        <f>$C$81*((MOD(BJ$2,12)+1)*Params!$B$42^(INT(BJ$2/12)+1)+(11-MOD(BJ$2,12))*Params!$B$42^INT(BJ$2/12))/12</f>
        <v/>
      </c>
      <c r="BK82" s="5">
        <f>$C$81*((MOD(BK$2,12)+1)*Params!$B$42^(INT(BK$2/12)+1)+(11-MOD(BK$2,12))*Params!$B$42^INT(BK$2/12))/12</f>
        <v/>
      </c>
      <c r="BL82" s="5">
        <f>$C$81*((MOD(BL$2,12)+1)*Params!$B$42^(INT(BL$2/12)+1)+(11-MOD(BL$2,12))*Params!$B$42^INT(BL$2/12))/12</f>
        <v/>
      </c>
      <c r="BM82" s="5">
        <f>$C$81*((MOD(BM$2,12)+1)*Params!$B$42^(INT(BM$2/12)+1)+(11-MOD(BM$2,12))*Params!$B$42^INT(BM$2/12))/12</f>
        <v/>
      </c>
      <c r="BN82" s="5">
        <f>$C$81*((MOD(BN$2,12)+1)*Params!$B$42^(INT(BN$2/12)+1)+(11-MOD(BN$2,12))*Params!$B$42^INT(BN$2/12))/12</f>
        <v/>
      </c>
      <c r="BO82" s="5">
        <f>$C$81*((MOD(BO$2,12)+1)*Params!$B$42^(INT(BO$2/12)+1)+(11-MOD(BO$2,12))*Params!$B$42^INT(BO$2/12))/12</f>
        <v/>
      </c>
      <c r="BP82" s="5">
        <f>$C$81*((MOD(BP$2,12)+1)*Params!$B$42^(INT(BP$2/12)+1)+(11-MOD(BP$2,12))*Params!$B$42^INT(BP$2/12))/12</f>
        <v/>
      </c>
      <c r="BQ82" s="5">
        <f>$C$81*((MOD(BQ$2,12)+1)*Params!$B$42^(INT(BQ$2/12)+1)+(11-MOD(BQ$2,12))*Params!$B$42^INT(BQ$2/12))/12</f>
        <v/>
      </c>
      <c r="BR82" s="5">
        <f>$C$81*((MOD(BR$2,12)+1)*Params!$B$42^(INT(BR$2/12)+1)+(11-MOD(BR$2,12))*Params!$B$42^INT(BR$2/12))/12</f>
        <v/>
      </c>
      <c r="BS82" s="5">
        <f>$C$81*((MOD(BS$2,12)+1)*Params!$B$42^(INT(BS$2/12)+1)+(11-MOD(BS$2,12))*Params!$B$42^INT(BS$2/12))/12</f>
        <v/>
      </c>
      <c r="BT82" s="5">
        <f>$C$81*((MOD(BT$2,12)+1)*Params!$B$42^(INT(BT$2/12)+1)+(11-MOD(BT$2,12))*Params!$B$42^INT(BT$2/12))/12</f>
        <v/>
      </c>
      <c r="BU82" s="5">
        <f>$C$81*((MOD(BU$2,12)+1)*Params!$B$42^(INT(BU$2/12)+1)+(11-MOD(BU$2,12))*Params!$B$42^INT(BU$2/12))/12</f>
        <v/>
      </c>
      <c r="BV82" s="5">
        <f>$C$81*((MOD(BV$2,12)+1)*Params!$B$42^(INT(BV$2/12)+1)+(11-MOD(BV$2,12))*Params!$B$42^INT(BV$2/12))/12</f>
        <v/>
      </c>
    </row>
    <row r="83">
      <c r="A83" t="inlineStr">
        <is>
          <t>churned</t>
        </is>
      </c>
      <c r="B83" t="inlineStr">
        <is>
          <t>ROW|BASIC_A</t>
        </is>
      </c>
      <c r="C83" s="5">
        <f>$C$81-C82</f>
        <v/>
      </c>
      <c r="D83" s="5">
        <f>C82-D82</f>
        <v/>
      </c>
      <c r="E83" s="5">
        <f>D82-E82</f>
        <v/>
      </c>
      <c r="F83" s="5">
        <f>E82-F82</f>
        <v/>
      </c>
      <c r="G83" s="5">
        <f>F82-G82</f>
        <v/>
      </c>
      <c r="H83" s="5">
        <f>G82-H82</f>
        <v/>
      </c>
      <c r="I83" s="5">
        <f>H82-I82</f>
        <v/>
      </c>
      <c r="J83" s="5">
        <f>I82-J82</f>
        <v/>
      </c>
      <c r="K83" s="5">
        <f>J82-K82</f>
        <v/>
      </c>
      <c r="L83" s="5">
        <f>K82-L82</f>
        <v/>
      </c>
      <c r="M83" s="5">
        <f>L82-M82</f>
        <v/>
      </c>
      <c r="N83" s="5">
        <f>M82-N82</f>
        <v/>
      </c>
      <c r="O83" s="5">
        <f>N82-O82</f>
        <v/>
      </c>
      <c r="P83" s="5">
        <f>O82-P82</f>
        <v/>
      </c>
      <c r="Q83" s="5">
        <f>P82-Q82</f>
        <v/>
      </c>
      <c r="R83" s="5">
        <f>Q82-R82</f>
        <v/>
      </c>
      <c r="S83" s="5">
        <f>R82-S82</f>
        <v/>
      </c>
      <c r="T83" s="5">
        <f>S82-T82</f>
        <v/>
      </c>
      <c r="U83" s="5">
        <f>T82-U82</f>
        <v/>
      </c>
      <c r="V83" s="5">
        <f>U82-V82</f>
        <v/>
      </c>
      <c r="W83" s="5">
        <f>V82-W82</f>
        <v/>
      </c>
      <c r="X83" s="5">
        <f>W82-X82</f>
        <v/>
      </c>
      <c r="Y83" s="5">
        <f>X82-Y82</f>
        <v/>
      </c>
      <c r="Z83" s="5">
        <f>Y82-Z82</f>
        <v/>
      </c>
      <c r="AA83" s="5">
        <f>Z82-AA82</f>
        <v/>
      </c>
      <c r="AB83" s="5">
        <f>AA82-AB82</f>
        <v/>
      </c>
      <c r="AC83" s="5">
        <f>AB82-AC82</f>
        <v/>
      </c>
      <c r="AD83" s="5">
        <f>AC82-AD82</f>
        <v/>
      </c>
      <c r="AE83" s="5">
        <f>AD82-AE82</f>
        <v/>
      </c>
      <c r="AF83" s="5">
        <f>AE82-AF82</f>
        <v/>
      </c>
      <c r="AG83" s="5">
        <f>AF82-AG82</f>
        <v/>
      </c>
      <c r="AH83" s="5">
        <f>AG82-AH82</f>
        <v/>
      </c>
      <c r="AI83" s="5">
        <f>AH82-AI82</f>
        <v/>
      </c>
      <c r="AJ83" s="5">
        <f>AI82-AJ82</f>
        <v/>
      </c>
      <c r="AK83" s="5">
        <f>AJ82-AK82</f>
        <v/>
      </c>
      <c r="AL83" s="5">
        <f>AK82-AL82</f>
        <v/>
      </c>
      <c r="AM83" s="5">
        <f>AL82-AM82</f>
        <v/>
      </c>
      <c r="AN83" s="5">
        <f>AM82-AN82</f>
        <v/>
      </c>
      <c r="AO83" s="5">
        <f>AN82-AO82</f>
        <v/>
      </c>
      <c r="AP83" s="5">
        <f>AO82-AP82</f>
        <v/>
      </c>
      <c r="AQ83" s="5">
        <f>AP82-AQ82</f>
        <v/>
      </c>
      <c r="AR83" s="5">
        <f>AQ82-AR82</f>
        <v/>
      </c>
      <c r="AS83" s="5">
        <f>AR82-AS82</f>
        <v/>
      </c>
      <c r="AT83" s="5">
        <f>AS82-AT82</f>
        <v/>
      </c>
      <c r="AU83" s="5">
        <f>AT82-AU82</f>
        <v/>
      </c>
      <c r="AV83" s="5">
        <f>AU82-AV82</f>
        <v/>
      </c>
      <c r="AW83" s="5">
        <f>AV82-AW82</f>
        <v/>
      </c>
      <c r="AX83" s="5">
        <f>AW82-AX82</f>
        <v/>
      </c>
      <c r="AY83" s="5">
        <f>AX82-AY82</f>
        <v/>
      </c>
      <c r="AZ83" s="5">
        <f>AY82-AZ82</f>
        <v/>
      </c>
      <c r="BA83" s="5">
        <f>AZ82-BA82</f>
        <v/>
      </c>
      <c r="BB83" s="5">
        <f>BA82-BB82</f>
        <v/>
      </c>
      <c r="BC83" s="5">
        <f>BB82-BC82</f>
        <v/>
      </c>
      <c r="BD83" s="5">
        <f>BC82-BD82</f>
        <v/>
      </c>
      <c r="BE83" s="5">
        <f>BD82-BE82</f>
        <v/>
      </c>
      <c r="BF83" s="5">
        <f>BE82-BF82</f>
        <v/>
      </c>
      <c r="BG83" s="5">
        <f>BF82-BG82</f>
        <v/>
      </c>
      <c r="BH83" s="5">
        <f>BG82-BH82</f>
        <v/>
      </c>
      <c r="BI83" s="5">
        <f>BH82-BI82</f>
        <v/>
      </c>
      <c r="BJ83" s="5">
        <f>BI82-BJ82</f>
        <v/>
      </c>
      <c r="BK83" s="5">
        <f>BJ82-BK82</f>
        <v/>
      </c>
      <c r="BL83" s="5">
        <f>BK82-BL82</f>
        <v/>
      </c>
      <c r="BM83" s="5">
        <f>BL82-BM82</f>
        <v/>
      </c>
      <c r="BN83" s="5">
        <f>BM82-BN82</f>
        <v/>
      </c>
      <c r="BO83" s="5">
        <f>BN82-BO82</f>
        <v/>
      </c>
      <c r="BP83" s="5">
        <f>BO82-BP82</f>
        <v/>
      </c>
      <c r="BQ83" s="5">
        <f>BP82-BQ82</f>
        <v/>
      </c>
      <c r="BR83" s="5">
        <f>BQ82-BR82</f>
        <v/>
      </c>
      <c r="BS83" s="5">
        <f>BR82-BS82</f>
        <v/>
      </c>
      <c r="BT83" s="5">
        <f>BS82-BT82</f>
        <v/>
      </c>
      <c r="BU83" s="5">
        <f>BT82-BU82</f>
        <v/>
      </c>
      <c r="BV83" s="5">
        <f>BU82-BV82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V2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churn pool inflow</t>
        </is>
      </c>
      <c r="B3" t="inlineStr">
        <is>
          <t>US_CA|NITRO_M</t>
        </is>
      </c>
      <c r="C3" s="5">
        <f>Paid!C5+Legacy!C7</f>
        <v/>
      </c>
      <c r="D3" s="5">
        <f>Paid!D5+Legacy!D7</f>
        <v/>
      </c>
      <c r="E3" s="5">
        <f>Paid!E5+Legacy!E7</f>
        <v/>
      </c>
      <c r="F3" s="5">
        <f>Paid!F5+Legacy!F7</f>
        <v/>
      </c>
      <c r="G3" s="5">
        <f>Paid!G5+Legacy!G7</f>
        <v/>
      </c>
      <c r="H3" s="5">
        <f>Paid!H5+Legacy!H7</f>
        <v/>
      </c>
      <c r="I3" s="5">
        <f>Paid!I5+Legacy!I7</f>
        <v/>
      </c>
      <c r="J3" s="5">
        <f>Paid!J5+Legacy!J7</f>
        <v/>
      </c>
      <c r="K3" s="5">
        <f>Paid!K5+Legacy!K7</f>
        <v/>
      </c>
      <c r="L3" s="5">
        <f>Paid!L5+Legacy!L7</f>
        <v/>
      </c>
      <c r="M3" s="5">
        <f>Paid!M5+Legacy!M7</f>
        <v/>
      </c>
      <c r="N3" s="5">
        <f>Paid!N5+Legacy!N7</f>
        <v/>
      </c>
      <c r="O3" s="5">
        <f>Paid!O5+Legacy!O7</f>
        <v/>
      </c>
      <c r="P3" s="5">
        <f>Paid!P5+Legacy!P7</f>
        <v/>
      </c>
      <c r="Q3" s="5">
        <f>Paid!Q5+Legacy!Q7</f>
        <v/>
      </c>
      <c r="R3" s="5">
        <f>Paid!R5+Legacy!R7</f>
        <v/>
      </c>
      <c r="S3" s="5">
        <f>Paid!S5+Legacy!S7</f>
        <v/>
      </c>
      <c r="T3" s="5">
        <f>Paid!T5+Legacy!T7</f>
        <v/>
      </c>
      <c r="U3" s="5">
        <f>Paid!U5+Legacy!U7</f>
        <v/>
      </c>
      <c r="V3" s="5">
        <f>Paid!V5+Legacy!V7</f>
        <v/>
      </c>
      <c r="W3" s="5">
        <f>Paid!W5+Legacy!W7</f>
        <v/>
      </c>
      <c r="X3" s="5">
        <f>Paid!X5+Legacy!X7</f>
        <v/>
      </c>
      <c r="Y3" s="5">
        <f>Paid!Y5+Legacy!Y7</f>
        <v/>
      </c>
      <c r="Z3" s="5">
        <f>Paid!Z5+Legacy!Z7</f>
        <v/>
      </c>
      <c r="AA3" s="5">
        <f>Paid!AA5+Legacy!AA7</f>
        <v/>
      </c>
      <c r="AB3" s="5">
        <f>Paid!AB5+Legacy!AB7</f>
        <v/>
      </c>
      <c r="AC3" s="5">
        <f>Paid!AC5+Legacy!AC7</f>
        <v/>
      </c>
      <c r="AD3" s="5">
        <f>Paid!AD5+Legacy!AD7</f>
        <v/>
      </c>
      <c r="AE3" s="5">
        <f>Paid!AE5+Legacy!AE7</f>
        <v/>
      </c>
      <c r="AF3" s="5">
        <f>Paid!AF5+Legacy!AF7</f>
        <v/>
      </c>
      <c r="AG3" s="5">
        <f>Paid!AG5+Legacy!AG7</f>
        <v/>
      </c>
      <c r="AH3" s="5">
        <f>Paid!AH5+Legacy!AH7</f>
        <v/>
      </c>
      <c r="AI3" s="5">
        <f>Paid!AI5+Legacy!AI7</f>
        <v/>
      </c>
      <c r="AJ3" s="5">
        <f>Paid!AJ5+Legacy!AJ7</f>
        <v/>
      </c>
      <c r="AK3" s="5">
        <f>Paid!AK5+Legacy!AK7</f>
        <v/>
      </c>
      <c r="AL3" s="5">
        <f>Paid!AL5+Legacy!AL7</f>
        <v/>
      </c>
      <c r="AM3" s="5">
        <f>Paid!AM5+Legacy!AM7</f>
        <v/>
      </c>
      <c r="AN3" s="5">
        <f>Paid!AN5+Legacy!AN7</f>
        <v/>
      </c>
      <c r="AO3" s="5">
        <f>Paid!AO5+Legacy!AO7</f>
        <v/>
      </c>
      <c r="AP3" s="5">
        <f>Paid!AP5+Legacy!AP7</f>
        <v/>
      </c>
      <c r="AQ3" s="5">
        <f>Paid!AQ5+Legacy!AQ7</f>
        <v/>
      </c>
      <c r="AR3" s="5">
        <f>Paid!AR5+Legacy!AR7</f>
        <v/>
      </c>
      <c r="AS3" s="5">
        <f>Paid!AS5+Legacy!AS7</f>
        <v/>
      </c>
      <c r="AT3" s="5">
        <f>Paid!AT5+Legacy!AT7</f>
        <v/>
      </c>
      <c r="AU3" s="5">
        <f>Paid!AU5+Legacy!AU7</f>
        <v/>
      </c>
      <c r="AV3" s="5">
        <f>Paid!AV5+Legacy!AV7</f>
        <v/>
      </c>
      <c r="AW3" s="5">
        <f>Paid!AW5+Legacy!AW7</f>
        <v/>
      </c>
      <c r="AX3" s="5">
        <f>Paid!AX5+Legacy!AX7</f>
        <v/>
      </c>
      <c r="AY3" s="5">
        <f>Paid!AY5+Legacy!AY7</f>
        <v/>
      </c>
      <c r="AZ3" s="5">
        <f>Paid!AZ5+Legacy!AZ7</f>
        <v/>
      </c>
      <c r="BA3" s="5">
        <f>Paid!BA5+Legacy!BA7</f>
        <v/>
      </c>
      <c r="BB3" s="5">
        <f>Paid!BB5+Legacy!BB7</f>
        <v/>
      </c>
      <c r="BC3" s="5">
        <f>Paid!BC5+Legacy!BC7</f>
        <v/>
      </c>
      <c r="BD3" s="5">
        <f>Paid!BD5+Legacy!BD7</f>
        <v/>
      </c>
      <c r="BE3" s="5">
        <f>Paid!BE5+Legacy!BE7</f>
        <v/>
      </c>
      <c r="BF3" s="5">
        <f>Paid!BF5+Legacy!BF7</f>
        <v/>
      </c>
      <c r="BG3" s="5">
        <f>Paid!BG5+Legacy!BG7</f>
        <v/>
      </c>
      <c r="BH3" s="5">
        <f>Paid!BH5+Legacy!BH7</f>
        <v/>
      </c>
      <c r="BI3" s="5">
        <f>Paid!BI5+Legacy!BI7</f>
        <v/>
      </c>
      <c r="BJ3" s="5">
        <f>Paid!BJ5+Legacy!BJ7</f>
        <v/>
      </c>
      <c r="BK3" s="5">
        <f>Paid!BK5+Legacy!BK7</f>
        <v/>
      </c>
      <c r="BL3" s="5">
        <f>Paid!BL5+Legacy!BL7</f>
        <v/>
      </c>
      <c r="BM3" s="5">
        <f>Paid!BM5+Legacy!BM7</f>
        <v/>
      </c>
      <c r="BN3" s="5">
        <f>Paid!BN5+Legacy!BN7</f>
        <v/>
      </c>
      <c r="BO3" s="5">
        <f>Paid!BO5+Legacy!BO7</f>
        <v/>
      </c>
      <c r="BP3" s="5">
        <f>Paid!BP5+Legacy!BP7</f>
        <v/>
      </c>
      <c r="BQ3" s="5">
        <f>Paid!BQ5+Legacy!BQ7</f>
        <v/>
      </c>
      <c r="BR3" s="5">
        <f>Paid!BR5+Legacy!BR7</f>
        <v/>
      </c>
      <c r="BS3" s="5">
        <f>Paid!BS5+Legacy!BS7</f>
        <v/>
      </c>
      <c r="BT3" s="5">
        <f>Paid!BT5+Legacy!BT7</f>
        <v/>
      </c>
      <c r="BU3" s="5">
        <f>Paid!BU5+Legacy!BU7</f>
        <v/>
      </c>
      <c r="BV3" s="5">
        <f>Paid!BV5+Legacy!BV7</f>
        <v/>
      </c>
    </row>
    <row r="4">
      <c r="A4" t="inlineStr">
        <is>
          <t>inflow @0</t>
        </is>
      </c>
      <c r="B4" t="inlineStr">
        <is>
          <t>US_CA|NITRO_M</t>
        </is>
      </c>
      <c r="C4" s="5">
        <f>C3*Eras!C$3</f>
        <v/>
      </c>
      <c r="D4" s="5">
        <f>D3*Eras!D$3</f>
        <v/>
      </c>
      <c r="E4" s="5">
        <f>E3*Eras!E$3</f>
        <v/>
      </c>
      <c r="F4" s="5">
        <f>F3*Eras!F$3</f>
        <v/>
      </c>
      <c r="G4" s="5">
        <f>G3*Eras!G$3</f>
        <v/>
      </c>
      <c r="H4" s="5">
        <f>H3*Eras!H$3</f>
        <v/>
      </c>
      <c r="I4" s="5">
        <f>I3*Eras!I$3</f>
        <v/>
      </c>
      <c r="J4" s="5">
        <f>J3*Eras!J$3</f>
        <v/>
      </c>
      <c r="K4" s="5">
        <f>K3*Eras!K$3</f>
        <v/>
      </c>
      <c r="L4" s="5">
        <f>L3*Eras!L$3</f>
        <v/>
      </c>
      <c r="M4" s="5">
        <f>M3*Eras!M$3</f>
        <v/>
      </c>
      <c r="N4" s="5">
        <f>N3*Eras!N$3</f>
        <v/>
      </c>
      <c r="O4" s="5">
        <f>O3*Eras!O$3</f>
        <v/>
      </c>
      <c r="P4" s="5">
        <f>P3*Eras!P$3</f>
        <v/>
      </c>
      <c r="Q4" s="5">
        <f>Q3*Eras!Q$3</f>
        <v/>
      </c>
      <c r="R4" s="5">
        <f>R3*Eras!R$3</f>
        <v/>
      </c>
      <c r="S4" s="5">
        <f>S3*Eras!S$3</f>
        <v/>
      </c>
      <c r="T4" s="5">
        <f>T3*Eras!T$3</f>
        <v/>
      </c>
      <c r="U4" s="5">
        <f>U3*Eras!U$3</f>
        <v/>
      </c>
      <c r="V4" s="5">
        <f>V3*Eras!V$3</f>
        <v/>
      </c>
      <c r="W4" s="5">
        <f>W3*Eras!W$3</f>
        <v/>
      </c>
      <c r="X4" s="5">
        <f>X3*Eras!X$3</f>
        <v/>
      </c>
      <c r="Y4" s="5">
        <f>Y3*Eras!Y$3</f>
        <v/>
      </c>
      <c r="Z4" s="5">
        <f>Z3*Eras!Z$3</f>
        <v/>
      </c>
      <c r="AA4" s="5">
        <f>AA3*Eras!AA$3</f>
        <v/>
      </c>
      <c r="AB4" s="5">
        <f>AB3*Eras!AB$3</f>
        <v/>
      </c>
      <c r="AC4" s="5">
        <f>AC3*Eras!AC$3</f>
        <v/>
      </c>
      <c r="AD4" s="5">
        <f>AD3*Eras!AD$3</f>
        <v/>
      </c>
      <c r="AE4" s="5">
        <f>AE3*Eras!AE$3</f>
        <v/>
      </c>
      <c r="AF4" s="5">
        <f>AF3*Eras!AF$3</f>
        <v/>
      </c>
      <c r="AG4" s="5">
        <f>AG3*Eras!AG$3</f>
        <v/>
      </c>
      <c r="AH4" s="5">
        <f>AH3*Eras!AH$3</f>
        <v/>
      </c>
      <c r="AI4" s="5">
        <f>AI3*Eras!AI$3</f>
        <v/>
      </c>
      <c r="AJ4" s="5">
        <f>AJ3*Eras!AJ$3</f>
        <v/>
      </c>
      <c r="AK4" s="5">
        <f>AK3*Eras!AK$3</f>
        <v/>
      </c>
      <c r="AL4" s="5">
        <f>AL3*Eras!AL$3</f>
        <v/>
      </c>
      <c r="AM4" s="5">
        <f>AM3*Eras!AM$3</f>
        <v/>
      </c>
      <c r="AN4" s="5">
        <f>AN3*Eras!AN$3</f>
        <v/>
      </c>
      <c r="AO4" s="5">
        <f>AO3*Eras!AO$3</f>
        <v/>
      </c>
      <c r="AP4" s="5">
        <f>AP3*Eras!AP$3</f>
        <v/>
      </c>
      <c r="AQ4" s="5">
        <f>AQ3*Eras!AQ$3</f>
        <v/>
      </c>
      <c r="AR4" s="5">
        <f>AR3*Eras!AR$3</f>
        <v/>
      </c>
      <c r="AS4" s="5">
        <f>AS3*Eras!AS$3</f>
        <v/>
      </c>
      <c r="AT4" s="5">
        <f>AT3*Eras!AT$3</f>
        <v/>
      </c>
      <c r="AU4" s="5">
        <f>AU3*Eras!AU$3</f>
        <v/>
      </c>
      <c r="AV4" s="5">
        <f>AV3*Eras!AV$3</f>
        <v/>
      </c>
      <c r="AW4" s="5">
        <f>AW3*Eras!AW$3</f>
        <v/>
      </c>
      <c r="AX4" s="5">
        <f>AX3*Eras!AX$3</f>
        <v/>
      </c>
      <c r="AY4" s="5">
        <f>AY3*Eras!AY$3</f>
        <v/>
      </c>
      <c r="AZ4" s="5">
        <f>AZ3*Eras!AZ$3</f>
        <v/>
      </c>
      <c r="BA4" s="5">
        <f>BA3*Eras!BA$3</f>
        <v/>
      </c>
      <c r="BB4" s="5">
        <f>BB3*Eras!BB$3</f>
        <v/>
      </c>
      <c r="BC4" s="5">
        <f>BC3*Eras!BC$3</f>
        <v/>
      </c>
      <c r="BD4" s="5">
        <f>BD3*Eras!BD$3</f>
        <v/>
      </c>
      <c r="BE4" s="5">
        <f>BE3*Eras!BE$3</f>
        <v/>
      </c>
      <c r="BF4" s="5">
        <f>BF3*Eras!BF$3</f>
        <v/>
      </c>
      <c r="BG4" s="5">
        <f>BG3*Eras!BG$3</f>
        <v/>
      </c>
      <c r="BH4" s="5">
        <f>BH3*Eras!BH$3</f>
        <v/>
      </c>
      <c r="BI4" s="5">
        <f>BI3*Eras!BI$3</f>
        <v/>
      </c>
      <c r="BJ4" s="5">
        <f>BJ3*Eras!BJ$3</f>
        <v/>
      </c>
      <c r="BK4" s="5">
        <f>BK3*Eras!BK$3</f>
        <v/>
      </c>
      <c r="BL4" s="5">
        <f>BL3*Eras!BL$3</f>
        <v/>
      </c>
      <c r="BM4" s="5">
        <f>BM3*Eras!BM$3</f>
        <v/>
      </c>
      <c r="BN4" s="5">
        <f>BN3*Eras!BN$3</f>
        <v/>
      </c>
      <c r="BO4" s="5">
        <f>BO3*Eras!BO$3</f>
        <v/>
      </c>
      <c r="BP4" s="5">
        <f>BP3*Eras!BP$3</f>
        <v/>
      </c>
      <c r="BQ4" s="5">
        <f>BQ3*Eras!BQ$3</f>
        <v/>
      </c>
      <c r="BR4" s="5">
        <f>BR3*Eras!BR$3</f>
        <v/>
      </c>
      <c r="BS4" s="5">
        <f>BS3*Eras!BS$3</f>
        <v/>
      </c>
      <c r="BT4" s="5">
        <f>BT3*Eras!BT$3</f>
        <v/>
      </c>
      <c r="BU4" s="5">
        <f>BU3*Eras!BU$3</f>
        <v/>
      </c>
      <c r="BV4" s="5">
        <f>BV3*Eras!BV$3</f>
        <v/>
      </c>
    </row>
    <row r="5">
      <c r="A5" t="inlineStr">
        <is>
          <t>inflow @1</t>
        </is>
      </c>
      <c r="B5" t="inlineStr">
        <is>
          <t>US_CA|NITRO_M</t>
        </is>
      </c>
      <c r="C5" s="5">
        <f>C3*Eras!C$4</f>
        <v/>
      </c>
      <c r="D5" s="5">
        <f>D3*Eras!D$4</f>
        <v/>
      </c>
      <c r="E5" s="5">
        <f>E3*Eras!E$4</f>
        <v/>
      </c>
      <c r="F5" s="5">
        <f>F3*Eras!F$4</f>
        <v/>
      </c>
      <c r="G5" s="5">
        <f>G3*Eras!G$4</f>
        <v/>
      </c>
      <c r="H5" s="5">
        <f>H3*Eras!H$4</f>
        <v/>
      </c>
      <c r="I5" s="5">
        <f>I3*Eras!I$4</f>
        <v/>
      </c>
      <c r="J5" s="5">
        <f>J3*Eras!J$4</f>
        <v/>
      </c>
      <c r="K5" s="5">
        <f>K3*Eras!K$4</f>
        <v/>
      </c>
      <c r="L5" s="5">
        <f>L3*Eras!L$4</f>
        <v/>
      </c>
      <c r="M5" s="5">
        <f>M3*Eras!M$4</f>
        <v/>
      </c>
      <c r="N5" s="5">
        <f>N3*Eras!N$4</f>
        <v/>
      </c>
      <c r="O5" s="5">
        <f>O3*Eras!O$4</f>
        <v/>
      </c>
      <c r="P5" s="5">
        <f>P3*Eras!P$4</f>
        <v/>
      </c>
      <c r="Q5" s="5">
        <f>Q3*Eras!Q$4</f>
        <v/>
      </c>
      <c r="R5" s="5">
        <f>R3*Eras!R$4</f>
        <v/>
      </c>
      <c r="S5" s="5">
        <f>S3*Eras!S$4</f>
        <v/>
      </c>
      <c r="T5" s="5">
        <f>T3*Eras!T$4</f>
        <v/>
      </c>
      <c r="U5" s="5">
        <f>U3*Eras!U$4</f>
        <v/>
      </c>
      <c r="V5" s="5">
        <f>V3*Eras!V$4</f>
        <v/>
      </c>
      <c r="W5" s="5">
        <f>W3*Eras!W$4</f>
        <v/>
      </c>
      <c r="X5" s="5">
        <f>X3*Eras!X$4</f>
        <v/>
      </c>
      <c r="Y5" s="5">
        <f>Y3*Eras!Y$4</f>
        <v/>
      </c>
      <c r="Z5" s="5">
        <f>Z3*Eras!Z$4</f>
        <v/>
      </c>
      <c r="AA5" s="5">
        <f>AA3*Eras!AA$4</f>
        <v/>
      </c>
      <c r="AB5" s="5">
        <f>AB3*Eras!AB$4</f>
        <v/>
      </c>
      <c r="AC5" s="5">
        <f>AC3*Eras!AC$4</f>
        <v/>
      </c>
      <c r="AD5" s="5">
        <f>AD3*Eras!AD$4</f>
        <v/>
      </c>
      <c r="AE5" s="5">
        <f>AE3*Eras!AE$4</f>
        <v/>
      </c>
      <c r="AF5" s="5">
        <f>AF3*Eras!AF$4</f>
        <v/>
      </c>
      <c r="AG5" s="5">
        <f>AG3*Eras!AG$4</f>
        <v/>
      </c>
      <c r="AH5" s="5">
        <f>AH3*Eras!AH$4</f>
        <v/>
      </c>
      <c r="AI5" s="5">
        <f>AI3*Eras!AI$4</f>
        <v/>
      </c>
      <c r="AJ5" s="5">
        <f>AJ3*Eras!AJ$4</f>
        <v/>
      </c>
      <c r="AK5" s="5">
        <f>AK3*Eras!AK$4</f>
        <v/>
      </c>
      <c r="AL5" s="5">
        <f>AL3*Eras!AL$4</f>
        <v/>
      </c>
      <c r="AM5" s="5">
        <f>AM3*Eras!AM$4</f>
        <v/>
      </c>
      <c r="AN5" s="5">
        <f>AN3*Eras!AN$4</f>
        <v/>
      </c>
      <c r="AO5" s="5">
        <f>AO3*Eras!AO$4</f>
        <v/>
      </c>
      <c r="AP5" s="5">
        <f>AP3*Eras!AP$4</f>
        <v/>
      </c>
      <c r="AQ5" s="5">
        <f>AQ3*Eras!AQ$4</f>
        <v/>
      </c>
      <c r="AR5" s="5">
        <f>AR3*Eras!AR$4</f>
        <v/>
      </c>
      <c r="AS5" s="5">
        <f>AS3*Eras!AS$4</f>
        <v/>
      </c>
      <c r="AT5" s="5">
        <f>AT3*Eras!AT$4</f>
        <v/>
      </c>
      <c r="AU5" s="5">
        <f>AU3*Eras!AU$4</f>
        <v/>
      </c>
      <c r="AV5" s="5">
        <f>AV3*Eras!AV$4</f>
        <v/>
      </c>
      <c r="AW5" s="5">
        <f>AW3*Eras!AW$4</f>
        <v/>
      </c>
      <c r="AX5" s="5">
        <f>AX3*Eras!AX$4</f>
        <v/>
      </c>
      <c r="AY5" s="5">
        <f>AY3*Eras!AY$4</f>
        <v/>
      </c>
      <c r="AZ5" s="5">
        <f>AZ3*Eras!AZ$4</f>
        <v/>
      </c>
      <c r="BA5" s="5">
        <f>BA3*Eras!BA$4</f>
        <v/>
      </c>
      <c r="BB5" s="5">
        <f>BB3*Eras!BB$4</f>
        <v/>
      </c>
      <c r="BC5" s="5">
        <f>BC3*Eras!BC$4</f>
        <v/>
      </c>
      <c r="BD5" s="5">
        <f>BD3*Eras!BD$4</f>
        <v/>
      </c>
      <c r="BE5" s="5">
        <f>BE3*Eras!BE$4</f>
        <v/>
      </c>
      <c r="BF5" s="5">
        <f>BF3*Eras!BF$4</f>
        <v/>
      </c>
      <c r="BG5" s="5">
        <f>BG3*Eras!BG$4</f>
        <v/>
      </c>
      <c r="BH5" s="5">
        <f>BH3*Eras!BH$4</f>
        <v/>
      </c>
      <c r="BI5" s="5">
        <f>BI3*Eras!BI$4</f>
        <v/>
      </c>
      <c r="BJ5" s="5">
        <f>BJ3*Eras!BJ$4</f>
        <v/>
      </c>
      <c r="BK5" s="5">
        <f>BK3*Eras!BK$4</f>
        <v/>
      </c>
      <c r="BL5" s="5">
        <f>BL3*Eras!BL$4</f>
        <v/>
      </c>
      <c r="BM5" s="5">
        <f>BM3*Eras!BM$4</f>
        <v/>
      </c>
      <c r="BN5" s="5">
        <f>BN3*Eras!BN$4</f>
        <v/>
      </c>
      <c r="BO5" s="5">
        <f>BO3*Eras!BO$4</f>
        <v/>
      </c>
      <c r="BP5" s="5">
        <f>BP3*Eras!BP$4</f>
        <v/>
      </c>
      <c r="BQ5" s="5">
        <f>BQ3*Eras!BQ$4</f>
        <v/>
      </c>
      <c r="BR5" s="5">
        <f>BR3*Eras!BR$4</f>
        <v/>
      </c>
      <c r="BS5" s="5">
        <f>BS3*Eras!BS$4</f>
        <v/>
      </c>
      <c r="BT5" s="5">
        <f>BT3*Eras!BT$4</f>
        <v/>
      </c>
      <c r="BU5" s="5">
        <f>BU3*Eras!BU$4</f>
        <v/>
      </c>
      <c r="BV5" s="5">
        <f>BV3*Eras!BV$4</f>
        <v/>
      </c>
    </row>
    <row r="6">
      <c r="A6" t="inlineStr">
        <is>
          <t>inflow @2</t>
        </is>
      </c>
      <c r="B6" t="inlineStr">
        <is>
          <t>US_CA|NITRO_M</t>
        </is>
      </c>
      <c r="C6" s="5">
        <f>C3*Eras!C$5</f>
        <v/>
      </c>
      <c r="D6" s="5">
        <f>D3*Eras!D$5</f>
        <v/>
      </c>
      <c r="E6" s="5">
        <f>E3*Eras!E$5</f>
        <v/>
      </c>
      <c r="F6" s="5">
        <f>F3*Eras!F$5</f>
        <v/>
      </c>
      <c r="G6" s="5">
        <f>G3*Eras!G$5</f>
        <v/>
      </c>
      <c r="H6" s="5">
        <f>H3*Eras!H$5</f>
        <v/>
      </c>
      <c r="I6" s="5">
        <f>I3*Eras!I$5</f>
        <v/>
      </c>
      <c r="J6" s="5">
        <f>J3*Eras!J$5</f>
        <v/>
      </c>
      <c r="K6" s="5">
        <f>K3*Eras!K$5</f>
        <v/>
      </c>
      <c r="L6" s="5">
        <f>L3*Eras!L$5</f>
        <v/>
      </c>
      <c r="M6" s="5">
        <f>M3*Eras!M$5</f>
        <v/>
      </c>
      <c r="N6" s="5">
        <f>N3*Eras!N$5</f>
        <v/>
      </c>
      <c r="O6" s="5">
        <f>O3*Eras!O$5</f>
        <v/>
      </c>
      <c r="P6" s="5">
        <f>P3*Eras!P$5</f>
        <v/>
      </c>
      <c r="Q6" s="5">
        <f>Q3*Eras!Q$5</f>
        <v/>
      </c>
      <c r="R6" s="5">
        <f>R3*Eras!R$5</f>
        <v/>
      </c>
      <c r="S6" s="5">
        <f>S3*Eras!S$5</f>
        <v/>
      </c>
      <c r="T6" s="5">
        <f>T3*Eras!T$5</f>
        <v/>
      </c>
      <c r="U6" s="5">
        <f>U3*Eras!U$5</f>
        <v/>
      </c>
      <c r="V6" s="5">
        <f>V3*Eras!V$5</f>
        <v/>
      </c>
      <c r="W6" s="5">
        <f>W3*Eras!W$5</f>
        <v/>
      </c>
      <c r="X6" s="5">
        <f>X3*Eras!X$5</f>
        <v/>
      </c>
      <c r="Y6" s="5">
        <f>Y3*Eras!Y$5</f>
        <v/>
      </c>
      <c r="Z6" s="5">
        <f>Z3*Eras!Z$5</f>
        <v/>
      </c>
      <c r="AA6" s="5">
        <f>AA3*Eras!AA$5</f>
        <v/>
      </c>
      <c r="AB6" s="5">
        <f>AB3*Eras!AB$5</f>
        <v/>
      </c>
      <c r="AC6" s="5">
        <f>AC3*Eras!AC$5</f>
        <v/>
      </c>
      <c r="AD6" s="5">
        <f>AD3*Eras!AD$5</f>
        <v/>
      </c>
      <c r="AE6" s="5">
        <f>AE3*Eras!AE$5</f>
        <v/>
      </c>
      <c r="AF6" s="5">
        <f>AF3*Eras!AF$5</f>
        <v/>
      </c>
      <c r="AG6" s="5">
        <f>AG3*Eras!AG$5</f>
        <v/>
      </c>
      <c r="AH6" s="5">
        <f>AH3*Eras!AH$5</f>
        <v/>
      </c>
      <c r="AI6" s="5">
        <f>AI3*Eras!AI$5</f>
        <v/>
      </c>
      <c r="AJ6" s="5">
        <f>AJ3*Eras!AJ$5</f>
        <v/>
      </c>
      <c r="AK6" s="5">
        <f>AK3*Eras!AK$5</f>
        <v/>
      </c>
      <c r="AL6" s="5">
        <f>AL3*Eras!AL$5</f>
        <v/>
      </c>
      <c r="AM6" s="5">
        <f>AM3*Eras!AM$5</f>
        <v/>
      </c>
      <c r="AN6" s="5">
        <f>AN3*Eras!AN$5</f>
        <v/>
      </c>
      <c r="AO6" s="5">
        <f>AO3*Eras!AO$5</f>
        <v/>
      </c>
      <c r="AP6" s="5">
        <f>AP3*Eras!AP$5</f>
        <v/>
      </c>
      <c r="AQ6" s="5">
        <f>AQ3*Eras!AQ$5</f>
        <v/>
      </c>
      <c r="AR6" s="5">
        <f>AR3*Eras!AR$5</f>
        <v/>
      </c>
      <c r="AS6" s="5">
        <f>AS3*Eras!AS$5</f>
        <v/>
      </c>
      <c r="AT6" s="5">
        <f>AT3*Eras!AT$5</f>
        <v/>
      </c>
      <c r="AU6" s="5">
        <f>AU3*Eras!AU$5</f>
        <v/>
      </c>
      <c r="AV6" s="5">
        <f>AV3*Eras!AV$5</f>
        <v/>
      </c>
      <c r="AW6" s="5">
        <f>AW3*Eras!AW$5</f>
        <v/>
      </c>
      <c r="AX6" s="5">
        <f>AX3*Eras!AX$5</f>
        <v/>
      </c>
      <c r="AY6" s="5">
        <f>AY3*Eras!AY$5</f>
        <v/>
      </c>
      <c r="AZ6" s="5">
        <f>AZ3*Eras!AZ$5</f>
        <v/>
      </c>
      <c r="BA6" s="5">
        <f>BA3*Eras!BA$5</f>
        <v/>
      </c>
      <c r="BB6" s="5">
        <f>BB3*Eras!BB$5</f>
        <v/>
      </c>
      <c r="BC6" s="5">
        <f>BC3*Eras!BC$5</f>
        <v/>
      </c>
      <c r="BD6" s="5">
        <f>BD3*Eras!BD$5</f>
        <v/>
      </c>
      <c r="BE6" s="5">
        <f>BE3*Eras!BE$5</f>
        <v/>
      </c>
      <c r="BF6" s="5">
        <f>BF3*Eras!BF$5</f>
        <v/>
      </c>
      <c r="BG6" s="5">
        <f>BG3*Eras!BG$5</f>
        <v/>
      </c>
      <c r="BH6" s="5">
        <f>BH3*Eras!BH$5</f>
        <v/>
      </c>
      <c r="BI6" s="5">
        <f>BI3*Eras!BI$5</f>
        <v/>
      </c>
      <c r="BJ6" s="5">
        <f>BJ3*Eras!BJ$5</f>
        <v/>
      </c>
      <c r="BK6" s="5">
        <f>BK3*Eras!BK$5</f>
        <v/>
      </c>
      <c r="BL6" s="5">
        <f>BL3*Eras!BL$5</f>
        <v/>
      </c>
      <c r="BM6" s="5">
        <f>BM3*Eras!BM$5</f>
        <v/>
      </c>
      <c r="BN6" s="5">
        <f>BN3*Eras!BN$5</f>
        <v/>
      </c>
      <c r="BO6" s="5">
        <f>BO3*Eras!BO$5</f>
        <v/>
      </c>
      <c r="BP6" s="5">
        <f>BP3*Eras!BP$5</f>
        <v/>
      </c>
      <c r="BQ6" s="5">
        <f>BQ3*Eras!BQ$5</f>
        <v/>
      </c>
      <c r="BR6" s="5">
        <f>BR3*Eras!BR$5</f>
        <v/>
      </c>
      <c r="BS6" s="5">
        <f>BS3*Eras!BS$5</f>
        <v/>
      </c>
      <c r="BT6" s="5">
        <f>BT3*Eras!BT$5</f>
        <v/>
      </c>
      <c r="BU6" s="5">
        <f>BU3*Eras!BU$5</f>
        <v/>
      </c>
      <c r="BV6" s="5">
        <f>BV3*Eras!BV$5</f>
        <v/>
      </c>
    </row>
    <row r="7">
      <c r="A7" t="inlineStr">
        <is>
          <t>reactivations out</t>
        </is>
      </c>
      <c r="B7" t="inlineStr">
        <is>
          <t>US_CA|NITRO_M</t>
        </is>
      </c>
      <c r="C7" s="5">
        <f>React!$C$4*Curves!$BV$21+React!$C$5*Curves!$BV$44+React!$C$6*Curves!$BV$67</f>
        <v/>
      </c>
      <c r="D7" s="5">
        <f>SUMPRODUCT(React!$C$4:$D$4,Curves!$BU$21:$BV$21)+SUMPRODUCT(React!$C$5:$D$5,Curves!$BU$44:$BV$44)+SUMPRODUCT(React!$C$6:$D$6,Curves!$BU$67:$BV$67)</f>
        <v/>
      </c>
      <c r="E7" s="5">
        <f>SUMPRODUCT(React!$C$4:$E$4,Curves!$BT$21:$BV$21)+SUMPRODUCT(React!$C$5:$E$5,Curves!$BT$44:$BV$44)+SUMPRODUCT(React!$C$6:$E$6,Curves!$BT$67:$BV$67)</f>
        <v/>
      </c>
      <c r="F7" s="5">
        <f>SUMPRODUCT(React!$C$4:$F$4,Curves!$BS$21:$BV$21)+SUMPRODUCT(React!$C$5:$F$5,Curves!$BS$44:$BV$44)+SUMPRODUCT(React!$C$6:$F$6,Curves!$BS$67:$BV$67)</f>
        <v/>
      </c>
      <c r="G7" s="5">
        <f>SUMPRODUCT(React!$C$4:$G$4,Curves!$BR$21:$BV$21)+SUMPRODUCT(React!$C$5:$G$5,Curves!$BR$44:$BV$44)+SUMPRODUCT(React!$C$6:$G$6,Curves!$BR$67:$BV$67)</f>
        <v/>
      </c>
      <c r="H7" s="5">
        <f>SUMPRODUCT(React!$C$4:$H$4,Curves!$BQ$21:$BV$21)+SUMPRODUCT(React!$C$5:$H$5,Curves!$BQ$44:$BV$44)+SUMPRODUCT(React!$C$6:$H$6,Curves!$BQ$67:$BV$67)</f>
        <v/>
      </c>
      <c r="I7" s="5">
        <f>SUMPRODUCT(React!$C$4:$I$4,Curves!$BP$21:$BV$21)+SUMPRODUCT(React!$C$5:$I$5,Curves!$BP$44:$BV$44)+SUMPRODUCT(React!$C$6:$I$6,Curves!$BP$67:$BV$67)</f>
        <v/>
      </c>
      <c r="J7" s="5">
        <f>SUMPRODUCT(React!$C$4:$J$4,Curves!$BO$21:$BV$21)+SUMPRODUCT(React!$C$5:$J$5,Curves!$BO$44:$BV$44)+SUMPRODUCT(React!$C$6:$J$6,Curves!$BO$67:$BV$67)</f>
        <v/>
      </c>
      <c r="K7" s="5">
        <f>SUMPRODUCT(React!$C$4:$K$4,Curves!$BN$21:$BV$21)+SUMPRODUCT(React!$C$5:$K$5,Curves!$BN$44:$BV$44)+SUMPRODUCT(React!$C$6:$K$6,Curves!$BN$67:$BV$67)</f>
        <v/>
      </c>
      <c r="L7" s="5">
        <f>SUMPRODUCT(React!$C$4:$L$4,Curves!$BM$21:$BV$21)+SUMPRODUCT(React!$C$5:$L$5,Curves!$BM$44:$BV$44)+SUMPRODUCT(React!$C$6:$L$6,Curves!$BM$67:$BV$67)</f>
        <v/>
      </c>
      <c r="M7" s="5">
        <f>SUMPRODUCT(React!$C$4:$M$4,Curves!$BL$21:$BV$21)+SUMPRODUCT(React!$C$5:$M$5,Curves!$BL$44:$BV$44)+SUMPRODUCT(React!$C$6:$M$6,Curves!$BL$67:$BV$67)</f>
        <v/>
      </c>
      <c r="N7" s="5">
        <f>SUMPRODUCT(React!$C$4:$N$4,Curves!$BK$21:$BV$21)+SUMPRODUCT(React!$C$5:$N$5,Curves!$BK$44:$BV$44)+SUMPRODUCT(React!$C$6:$N$6,Curves!$BK$67:$BV$67)</f>
        <v/>
      </c>
      <c r="O7" s="5">
        <f>SUMPRODUCT(React!$C$4:$O$4,Curves!$BJ$21:$BV$21)+SUMPRODUCT(React!$C$5:$O$5,Curves!$BJ$44:$BV$44)+SUMPRODUCT(React!$C$6:$O$6,Curves!$BJ$67:$BV$67)</f>
        <v/>
      </c>
      <c r="P7" s="5">
        <f>SUMPRODUCT(React!$C$4:$P$4,Curves!$BI$21:$BV$21)+SUMPRODUCT(React!$C$5:$P$5,Curves!$BI$44:$BV$44)+SUMPRODUCT(React!$C$6:$P$6,Curves!$BI$67:$BV$67)</f>
        <v/>
      </c>
      <c r="Q7" s="5">
        <f>SUMPRODUCT(React!$C$4:$Q$4,Curves!$BH$21:$BV$21)+SUMPRODUCT(React!$C$5:$Q$5,Curves!$BH$44:$BV$44)+SUMPRODUCT(React!$C$6:$Q$6,Curves!$BH$67:$BV$67)</f>
        <v/>
      </c>
      <c r="R7" s="5">
        <f>SUMPRODUCT(React!$C$4:$R$4,Curves!$BG$21:$BV$21)+SUMPRODUCT(React!$C$5:$R$5,Curves!$BG$44:$BV$44)+SUMPRODUCT(React!$C$6:$R$6,Curves!$BG$67:$BV$67)</f>
        <v/>
      </c>
      <c r="S7" s="5">
        <f>SUMPRODUCT(React!$C$4:$S$4,Curves!$BF$21:$BV$21)+SUMPRODUCT(React!$C$5:$S$5,Curves!$BF$44:$BV$44)+SUMPRODUCT(React!$C$6:$S$6,Curves!$BF$67:$BV$67)</f>
        <v/>
      </c>
      <c r="T7" s="5">
        <f>SUMPRODUCT(React!$C$4:$T$4,Curves!$BE$21:$BV$21)+SUMPRODUCT(React!$C$5:$T$5,Curves!$BE$44:$BV$44)+SUMPRODUCT(React!$C$6:$T$6,Curves!$BE$67:$BV$67)</f>
        <v/>
      </c>
      <c r="U7" s="5">
        <f>SUMPRODUCT(React!$C$4:$U$4,Curves!$BD$21:$BV$21)+SUMPRODUCT(React!$C$5:$U$5,Curves!$BD$44:$BV$44)+SUMPRODUCT(React!$C$6:$U$6,Curves!$BD$67:$BV$67)</f>
        <v/>
      </c>
      <c r="V7" s="5">
        <f>SUMPRODUCT(React!$C$4:$V$4,Curves!$BC$21:$BV$21)+SUMPRODUCT(React!$C$5:$V$5,Curves!$BC$44:$BV$44)+SUMPRODUCT(React!$C$6:$V$6,Curves!$BC$67:$BV$67)</f>
        <v/>
      </c>
      <c r="W7" s="5">
        <f>SUMPRODUCT(React!$C$4:$W$4,Curves!$BB$21:$BV$21)+SUMPRODUCT(React!$C$5:$W$5,Curves!$BB$44:$BV$44)+SUMPRODUCT(React!$C$6:$W$6,Curves!$BB$67:$BV$67)</f>
        <v/>
      </c>
      <c r="X7" s="5">
        <f>SUMPRODUCT(React!$C$4:$X$4,Curves!$BA$21:$BV$21)+SUMPRODUCT(React!$C$5:$X$5,Curves!$BA$44:$BV$44)+SUMPRODUCT(React!$C$6:$X$6,Curves!$BA$67:$BV$67)</f>
        <v/>
      </c>
      <c r="Y7" s="5">
        <f>SUMPRODUCT(React!$C$4:$Y$4,Curves!$AZ$21:$BV$21)+SUMPRODUCT(React!$C$5:$Y$5,Curves!$AZ$44:$BV$44)+SUMPRODUCT(React!$C$6:$Y$6,Curves!$AZ$67:$BV$67)</f>
        <v/>
      </c>
      <c r="Z7" s="5">
        <f>SUMPRODUCT(React!$C$4:$Z$4,Curves!$AY$21:$BV$21)+SUMPRODUCT(React!$C$5:$Z$5,Curves!$AY$44:$BV$44)+SUMPRODUCT(React!$C$6:$Z$6,Curves!$AY$67:$BV$67)</f>
        <v/>
      </c>
      <c r="AA7" s="5">
        <f>SUMPRODUCT(React!$C$4:$AA$4,Curves!$AX$21:$BV$21)+SUMPRODUCT(React!$C$5:$AA$5,Curves!$AX$44:$BV$44)+SUMPRODUCT(React!$C$6:$AA$6,Curves!$AX$67:$BV$67)</f>
        <v/>
      </c>
      <c r="AB7" s="5">
        <f>SUMPRODUCT(React!$C$4:$AB$4,Curves!$AW$21:$BV$21)+SUMPRODUCT(React!$C$5:$AB$5,Curves!$AW$44:$BV$44)+SUMPRODUCT(React!$C$6:$AB$6,Curves!$AW$67:$BV$67)</f>
        <v/>
      </c>
      <c r="AC7" s="5">
        <f>SUMPRODUCT(React!$C$4:$AC$4,Curves!$AV$21:$BV$21)+SUMPRODUCT(React!$C$5:$AC$5,Curves!$AV$44:$BV$44)+SUMPRODUCT(React!$C$6:$AC$6,Curves!$AV$67:$BV$67)</f>
        <v/>
      </c>
      <c r="AD7" s="5">
        <f>SUMPRODUCT(React!$C$4:$AD$4,Curves!$AU$21:$BV$21)+SUMPRODUCT(React!$C$5:$AD$5,Curves!$AU$44:$BV$44)+SUMPRODUCT(React!$C$6:$AD$6,Curves!$AU$67:$BV$67)</f>
        <v/>
      </c>
      <c r="AE7" s="5">
        <f>SUMPRODUCT(React!$C$4:$AE$4,Curves!$AT$21:$BV$21)+SUMPRODUCT(React!$C$5:$AE$5,Curves!$AT$44:$BV$44)+SUMPRODUCT(React!$C$6:$AE$6,Curves!$AT$67:$BV$67)</f>
        <v/>
      </c>
      <c r="AF7" s="5">
        <f>SUMPRODUCT(React!$C$4:$AF$4,Curves!$AS$21:$BV$21)+SUMPRODUCT(React!$C$5:$AF$5,Curves!$AS$44:$BV$44)+SUMPRODUCT(React!$C$6:$AF$6,Curves!$AS$67:$BV$67)</f>
        <v/>
      </c>
      <c r="AG7" s="5">
        <f>SUMPRODUCT(React!$C$4:$AG$4,Curves!$AR$21:$BV$21)+SUMPRODUCT(React!$C$5:$AG$5,Curves!$AR$44:$BV$44)+SUMPRODUCT(React!$C$6:$AG$6,Curves!$AR$67:$BV$67)</f>
        <v/>
      </c>
      <c r="AH7" s="5">
        <f>SUMPRODUCT(React!$C$4:$AH$4,Curves!$AQ$21:$BV$21)+SUMPRODUCT(React!$C$5:$AH$5,Curves!$AQ$44:$BV$44)+SUMPRODUCT(React!$C$6:$AH$6,Curves!$AQ$67:$BV$67)</f>
        <v/>
      </c>
      <c r="AI7" s="5">
        <f>SUMPRODUCT(React!$C$4:$AI$4,Curves!$AP$21:$BV$21)+SUMPRODUCT(React!$C$5:$AI$5,Curves!$AP$44:$BV$44)+SUMPRODUCT(React!$C$6:$AI$6,Curves!$AP$67:$BV$67)</f>
        <v/>
      </c>
      <c r="AJ7" s="5">
        <f>SUMPRODUCT(React!$C$4:$AJ$4,Curves!$AO$21:$BV$21)+SUMPRODUCT(React!$C$5:$AJ$5,Curves!$AO$44:$BV$44)+SUMPRODUCT(React!$C$6:$AJ$6,Curves!$AO$67:$BV$67)</f>
        <v/>
      </c>
      <c r="AK7" s="5">
        <f>SUMPRODUCT(React!$C$4:$AK$4,Curves!$AN$21:$BV$21)+SUMPRODUCT(React!$C$5:$AK$5,Curves!$AN$44:$BV$44)+SUMPRODUCT(React!$C$6:$AK$6,Curves!$AN$67:$BV$67)</f>
        <v/>
      </c>
      <c r="AL7" s="5">
        <f>SUMPRODUCT(React!$C$4:$AL$4,Curves!$AM$21:$BV$21)+SUMPRODUCT(React!$C$5:$AL$5,Curves!$AM$44:$BV$44)+SUMPRODUCT(React!$C$6:$AL$6,Curves!$AM$67:$BV$67)</f>
        <v/>
      </c>
      <c r="AM7" s="5">
        <f>SUMPRODUCT(React!$C$4:$AM$4,Curves!$AL$21:$BV$21)+SUMPRODUCT(React!$C$5:$AM$5,Curves!$AL$44:$BV$44)+SUMPRODUCT(React!$C$6:$AM$6,Curves!$AL$67:$BV$67)</f>
        <v/>
      </c>
      <c r="AN7" s="5">
        <f>SUMPRODUCT(React!$C$4:$AN$4,Curves!$AK$21:$BV$21)+SUMPRODUCT(React!$C$5:$AN$5,Curves!$AK$44:$BV$44)+SUMPRODUCT(React!$C$6:$AN$6,Curves!$AK$67:$BV$67)</f>
        <v/>
      </c>
      <c r="AO7" s="5">
        <f>SUMPRODUCT(React!$C$4:$AO$4,Curves!$AJ$21:$BV$21)+SUMPRODUCT(React!$C$5:$AO$5,Curves!$AJ$44:$BV$44)+SUMPRODUCT(React!$C$6:$AO$6,Curves!$AJ$67:$BV$67)</f>
        <v/>
      </c>
      <c r="AP7" s="5">
        <f>SUMPRODUCT(React!$C$4:$AP$4,Curves!$AI$21:$BV$21)+SUMPRODUCT(React!$C$5:$AP$5,Curves!$AI$44:$BV$44)+SUMPRODUCT(React!$C$6:$AP$6,Curves!$AI$67:$BV$67)</f>
        <v/>
      </c>
      <c r="AQ7" s="5">
        <f>SUMPRODUCT(React!$C$4:$AQ$4,Curves!$AH$21:$BV$21)+SUMPRODUCT(React!$C$5:$AQ$5,Curves!$AH$44:$BV$44)+SUMPRODUCT(React!$C$6:$AQ$6,Curves!$AH$67:$BV$67)</f>
        <v/>
      </c>
      <c r="AR7" s="5">
        <f>SUMPRODUCT(React!$C$4:$AR$4,Curves!$AG$21:$BV$21)+SUMPRODUCT(React!$C$5:$AR$5,Curves!$AG$44:$BV$44)+SUMPRODUCT(React!$C$6:$AR$6,Curves!$AG$67:$BV$67)</f>
        <v/>
      </c>
      <c r="AS7" s="5">
        <f>SUMPRODUCT(React!$C$4:$AS$4,Curves!$AF$21:$BV$21)+SUMPRODUCT(React!$C$5:$AS$5,Curves!$AF$44:$BV$44)+SUMPRODUCT(React!$C$6:$AS$6,Curves!$AF$67:$BV$67)</f>
        <v/>
      </c>
      <c r="AT7" s="5">
        <f>SUMPRODUCT(React!$C$4:$AT$4,Curves!$AE$21:$BV$21)+SUMPRODUCT(React!$C$5:$AT$5,Curves!$AE$44:$BV$44)+SUMPRODUCT(React!$C$6:$AT$6,Curves!$AE$67:$BV$67)</f>
        <v/>
      </c>
      <c r="AU7" s="5">
        <f>SUMPRODUCT(React!$C$4:$AU$4,Curves!$AD$21:$BV$21)+SUMPRODUCT(React!$C$5:$AU$5,Curves!$AD$44:$BV$44)+SUMPRODUCT(React!$C$6:$AU$6,Curves!$AD$67:$BV$67)</f>
        <v/>
      </c>
      <c r="AV7" s="5">
        <f>SUMPRODUCT(React!$C$4:$AV$4,Curves!$AC$21:$BV$21)+SUMPRODUCT(React!$C$5:$AV$5,Curves!$AC$44:$BV$44)+SUMPRODUCT(React!$C$6:$AV$6,Curves!$AC$67:$BV$67)</f>
        <v/>
      </c>
      <c r="AW7" s="5">
        <f>SUMPRODUCT(React!$C$4:$AW$4,Curves!$AB$21:$BV$21)+SUMPRODUCT(React!$C$5:$AW$5,Curves!$AB$44:$BV$44)+SUMPRODUCT(React!$C$6:$AW$6,Curves!$AB$67:$BV$67)</f>
        <v/>
      </c>
      <c r="AX7" s="5">
        <f>SUMPRODUCT(React!$C$4:$AX$4,Curves!$AA$21:$BV$21)+SUMPRODUCT(React!$C$5:$AX$5,Curves!$AA$44:$BV$44)+SUMPRODUCT(React!$C$6:$AX$6,Curves!$AA$67:$BV$67)</f>
        <v/>
      </c>
      <c r="AY7" s="5">
        <f>SUMPRODUCT(React!$C$4:$AY$4,Curves!$Z$21:$BV$21)+SUMPRODUCT(React!$C$5:$AY$5,Curves!$Z$44:$BV$44)+SUMPRODUCT(React!$C$6:$AY$6,Curves!$Z$67:$BV$67)</f>
        <v/>
      </c>
      <c r="AZ7" s="5">
        <f>SUMPRODUCT(React!$C$4:$AZ$4,Curves!$Y$21:$BV$21)+SUMPRODUCT(React!$C$5:$AZ$5,Curves!$Y$44:$BV$44)+SUMPRODUCT(React!$C$6:$AZ$6,Curves!$Y$67:$BV$67)</f>
        <v/>
      </c>
      <c r="BA7" s="5">
        <f>SUMPRODUCT(React!$C$4:$BA$4,Curves!$X$21:$BV$21)+SUMPRODUCT(React!$C$5:$BA$5,Curves!$X$44:$BV$44)+SUMPRODUCT(React!$C$6:$BA$6,Curves!$X$67:$BV$67)</f>
        <v/>
      </c>
      <c r="BB7" s="5">
        <f>SUMPRODUCT(React!$C$4:$BB$4,Curves!$W$21:$BV$21)+SUMPRODUCT(React!$C$5:$BB$5,Curves!$W$44:$BV$44)+SUMPRODUCT(React!$C$6:$BB$6,Curves!$W$67:$BV$67)</f>
        <v/>
      </c>
      <c r="BC7" s="5">
        <f>SUMPRODUCT(React!$C$4:$BC$4,Curves!$V$21:$BV$21)+SUMPRODUCT(React!$C$5:$BC$5,Curves!$V$44:$BV$44)+SUMPRODUCT(React!$C$6:$BC$6,Curves!$V$67:$BV$67)</f>
        <v/>
      </c>
      <c r="BD7" s="5">
        <f>SUMPRODUCT(React!$C$4:$BD$4,Curves!$U$21:$BV$21)+SUMPRODUCT(React!$C$5:$BD$5,Curves!$U$44:$BV$44)+SUMPRODUCT(React!$C$6:$BD$6,Curves!$U$67:$BV$67)</f>
        <v/>
      </c>
      <c r="BE7" s="5">
        <f>SUMPRODUCT(React!$C$4:$BE$4,Curves!$T$21:$BV$21)+SUMPRODUCT(React!$C$5:$BE$5,Curves!$T$44:$BV$44)+SUMPRODUCT(React!$C$6:$BE$6,Curves!$T$67:$BV$67)</f>
        <v/>
      </c>
      <c r="BF7" s="5">
        <f>SUMPRODUCT(React!$C$4:$BF$4,Curves!$S$21:$BV$21)+SUMPRODUCT(React!$C$5:$BF$5,Curves!$S$44:$BV$44)+SUMPRODUCT(React!$C$6:$BF$6,Curves!$S$67:$BV$67)</f>
        <v/>
      </c>
      <c r="BG7" s="5">
        <f>SUMPRODUCT(React!$C$4:$BG$4,Curves!$R$21:$BV$21)+SUMPRODUCT(React!$C$5:$BG$5,Curves!$R$44:$BV$44)+SUMPRODUCT(React!$C$6:$BG$6,Curves!$R$67:$BV$67)</f>
        <v/>
      </c>
      <c r="BH7" s="5">
        <f>SUMPRODUCT(React!$C$4:$BH$4,Curves!$Q$21:$BV$21)+SUMPRODUCT(React!$C$5:$BH$5,Curves!$Q$44:$BV$44)+SUMPRODUCT(React!$C$6:$BH$6,Curves!$Q$67:$BV$67)</f>
        <v/>
      </c>
      <c r="BI7" s="5">
        <f>SUMPRODUCT(React!$C$4:$BI$4,Curves!$P$21:$BV$21)+SUMPRODUCT(React!$C$5:$BI$5,Curves!$P$44:$BV$44)+SUMPRODUCT(React!$C$6:$BI$6,Curves!$P$67:$BV$67)</f>
        <v/>
      </c>
      <c r="BJ7" s="5">
        <f>SUMPRODUCT(React!$C$4:$BJ$4,Curves!$O$21:$BV$21)+SUMPRODUCT(React!$C$5:$BJ$5,Curves!$O$44:$BV$44)+SUMPRODUCT(React!$C$6:$BJ$6,Curves!$O$67:$BV$67)</f>
        <v/>
      </c>
      <c r="BK7" s="5">
        <f>SUMPRODUCT(React!$C$4:$BK$4,Curves!$N$21:$BV$21)+SUMPRODUCT(React!$C$5:$BK$5,Curves!$N$44:$BV$44)+SUMPRODUCT(React!$C$6:$BK$6,Curves!$N$67:$BV$67)</f>
        <v/>
      </c>
      <c r="BL7" s="5">
        <f>SUMPRODUCT(React!$C$4:$BL$4,Curves!$M$21:$BV$21)+SUMPRODUCT(React!$C$5:$BL$5,Curves!$M$44:$BV$44)+SUMPRODUCT(React!$C$6:$BL$6,Curves!$M$67:$BV$67)</f>
        <v/>
      </c>
      <c r="BM7" s="5">
        <f>SUMPRODUCT(React!$C$4:$BM$4,Curves!$L$21:$BV$21)+SUMPRODUCT(React!$C$5:$BM$5,Curves!$L$44:$BV$44)+SUMPRODUCT(React!$C$6:$BM$6,Curves!$L$67:$BV$67)</f>
        <v/>
      </c>
      <c r="BN7" s="5">
        <f>SUMPRODUCT(React!$C$4:$BN$4,Curves!$K$21:$BV$21)+SUMPRODUCT(React!$C$5:$BN$5,Curves!$K$44:$BV$44)+SUMPRODUCT(React!$C$6:$BN$6,Curves!$K$67:$BV$67)</f>
        <v/>
      </c>
      <c r="BO7" s="5">
        <f>SUMPRODUCT(React!$C$4:$BO$4,Curves!$J$21:$BV$21)+SUMPRODUCT(React!$C$5:$BO$5,Curves!$J$44:$BV$44)+SUMPRODUCT(React!$C$6:$BO$6,Curves!$J$67:$BV$67)</f>
        <v/>
      </c>
      <c r="BP7" s="5">
        <f>SUMPRODUCT(React!$C$4:$BP$4,Curves!$I$21:$BV$21)+SUMPRODUCT(React!$C$5:$BP$5,Curves!$I$44:$BV$44)+SUMPRODUCT(React!$C$6:$BP$6,Curves!$I$67:$BV$67)</f>
        <v/>
      </c>
      <c r="BQ7" s="5">
        <f>SUMPRODUCT(React!$C$4:$BQ$4,Curves!$H$21:$BV$21)+SUMPRODUCT(React!$C$5:$BQ$5,Curves!$H$44:$BV$44)+SUMPRODUCT(React!$C$6:$BQ$6,Curves!$H$67:$BV$67)</f>
        <v/>
      </c>
      <c r="BR7" s="5">
        <f>SUMPRODUCT(React!$C$4:$BR$4,Curves!$G$21:$BV$21)+SUMPRODUCT(React!$C$5:$BR$5,Curves!$G$44:$BV$44)+SUMPRODUCT(React!$C$6:$BR$6,Curves!$G$67:$BV$67)</f>
        <v/>
      </c>
      <c r="BS7" s="5">
        <f>SUMPRODUCT(React!$C$4:$BS$4,Curves!$F$21:$BV$21)+SUMPRODUCT(React!$C$5:$BS$5,Curves!$F$44:$BV$44)+SUMPRODUCT(React!$C$6:$BS$6,Curves!$F$67:$BV$67)</f>
        <v/>
      </c>
      <c r="BT7" s="5">
        <f>SUMPRODUCT(React!$C$4:$BT$4,Curves!$E$21:$BV$21)+SUMPRODUCT(React!$C$5:$BT$5,Curves!$E$44:$BV$44)+SUMPRODUCT(React!$C$6:$BT$6,Curves!$E$67:$BV$67)</f>
        <v/>
      </c>
      <c r="BU7" s="5">
        <f>SUMPRODUCT(React!$C$4:$BU$4,Curves!$D$21:$BV$21)+SUMPRODUCT(React!$C$5:$BU$5,Curves!$D$44:$BV$44)+SUMPRODUCT(React!$C$6:$BU$6,Curves!$D$67:$BV$67)</f>
        <v/>
      </c>
      <c r="BV7" s="5">
        <f>SUMPRODUCT(React!$C$4:$BV$4,Curves!$C$21:$BV$21)+SUMPRODUCT(React!$C$5:$BV$5,Curves!$C$44:$BV$44)+SUMPRODUCT(React!$C$6:$BV$6,Curves!$C$67:$BV$67)</f>
        <v/>
      </c>
    </row>
    <row r="8">
      <c r="A8" t="inlineStr">
        <is>
          <t>reactivated in</t>
        </is>
      </c>
      <c r="B8" t="inlineStr">
        <is>
          <t>US_CA|NITRO_M</t>
        </is>
      </c>
      <c r="C8" s="5">
        <f>C7+C20</f>
        <v/>
      </c>
      <c r="D8" s="5">
        <f>D7+D20</f>
        <v/>
      </c>
      <c r="E8" s="5">
        <f>E7+E20</f>
        <v/>
      </c>
      <c r="F8" s="5">
        <f>F7+F20</f>
        <v/>
      </c>
      <c r="G8" s="5">
        <f>G7+G20</f>
        <v/>
      </c>
      <c r="H8" s="5">
        <f>H7+H20</f>
        <v/>
      </c>
      <c r="I8" s="5">
        <f>I7+I20</f>
        <v/>
      </c>
      <c r="J8" s="5">
        <f>J7+J20</f>
        <v/>
      </c>
      <c r="K8" s="5">
        <f>K7+K20</f>
        <v/>
      </c>
      <c r="L8" s="5">
        <f>L7+L20</f>
        <v/>
      </c>
      <c r="M8" s="5">
        <f>M7+M20</f>
        <v/>
      </c>
      <c r="N8" s="5">
        <f>N7+N20</f>
        <v/>
      </c>
      <c r="O8" s="5">
        <f>O7+O20</f>
        <v/>
      </c>
      <c r="P8" s="5">
        <f>P7+P20</f>
        <v/>
      </c>
      <c r="Q8" s="5">
        <f>Q7+Q20</f>
        <v/>
      </c>
      <c r="R8" s="5">
        <f>R7+R20</f>
        <v/>
      </c>
      <c r="S8" s="5">
        <f>S7+S20</f>
        <v/>
      </c>
      <c r="T8" s="5">
        <f>T7+T20</f>
        <v/>
      </c>
      <c r="U8" s="5">
        <f>U7+U20</f>
        <v/>
      </c>
      <c r="V8" s="5">
        <f>V7+V20</f>
        <v/>
      </c>
      <c r="W8" s="5">
        <f>W7+W20</f>
        <v/>
      </c>
      <c r="X8" s="5">
        <f>X7+X20</f>
        <v/>
      </c>
      <c r="Y8" s="5">
        <f>Y7+Y20</f>
        <v/>
      </c>
      <c r="Z8" s="5">
        <f>Z7+Z20</f>
        <v/>
      </c>
      <c r="AA8" s="5">
        <f>AA7+AA20</f>
        <v/>
      </c>
      <c r="AB8" s="5">
        <f>AB7+AB20</f>
        <v/>
      </c>
      <c r="AC8" s="5">
        <f>AC7+AC20</f>
        <v/>
      </c>
      <c r="AD8" s="5">
        <f>AD7+AD20</f>
        <v/>
      </c>
      <c r="AE8" s="5">
        <f>AE7+AE20</f>
        <v/>
      </c>
      <c r="AF8" s="5">
        <f>AF7+AF20</f>
        <v/>
      </c>
      <c r="AG8" s="5">
        <f>AG7+AG20</f>
        <v/>
      </c>
      <c r="AH8" s="5">
        <f>AH7+AH20</f>
        <v/>
      </c>
      <c r="AI8" s="5">
        <f>AI7+AI20</f>
        <v/>
      </c>
      <c r="AJ8" s="5">
        <f>AJ7+AJ20</f>
        <v/>
      </c>
      <c r="AK8" s="5">
        <f>AK7+AK20</f>
        <v/>
      </c>
      <c r="AL8" s="5">
        <f>AL7+AL20</f>
        <v/>
      </c>
      <c r="AM8" s="5">
        <f>AM7+AM20</f>
        <v/>
      </c>
      <c r="AN8" s="5">
        <f>AN7+AN20</f>
        <v/>
      </c>
      <c r="AO8" s="5">
        <f>AO7+AO20</f>
        <v/>
      </c>
      <c r="AP8" s="5">
        <f>AP7+AP20</f>
        <v/>
      </c>
      <c r="AQ8" s="5">
        <f>AQ7+AQ20</f>
        <v/>
      </c>
      <c r="AR8" s="5">
        <f>AR7+AR20</f>
        <v/>
      </c>
      <c r="AS8" s="5">
        <f>AS7+AS20</f>
        <v/>
      </c>
      <c r="AT8" s="5">
        <f>AT7+AT20</f>
        <v/>
      </c>
      <c r="AU8" s="5">
        <f>AU7+AU20</f>
        <v/>
      </c>
      <c r="AV8" s="5">
        <f>AV7+AV20</f>
        <v/>
      </c>
      <c r="AW8" s="5">
        <f>AW7+AW20</f>
        <v/>
      </c>
      <c r="AX8" s="5">
        <f>AX7+AX20</f>
        <v/>
      </c>
      <c r="AY8" s="5">
        <f>AY7+AY20</f>
        <v/>
      </c>
      <c r="AZ8" s="5">
        <f>AZ7+AZ20</f>
        <v/>
      </c>
      <c r="BA8" s="5">
        <f>BA7+BA20</f>
        <v/>
      </c>
      <c r="BB8" s="5">
        <f>BB7+BB20</f>
        <v/>
      </c>
      <c r="BC8" s="5">
        <f>BC7+BC20</f>
        <v/>
      </c>
      <c r="BD8" s="5">
        <f>BD7+BD20</f>
        <v/>
      </c>
      <c r="BE8" s="5">
        <f>BE7+BE20</f>
        <v/>
      </c>
      <c r="BF8" s="5">
        <f>BF7+BF20</f>
        <v/>
      </c>
      <c r="BG8" s="5">
        <f>BG7+BG20</f>
        <v/>
      </c>
      <c r="BH8" s="5">
        <f>BH7+BH20</f>
        <v/>
      </c>
      <c r="BI8" s="5">
        <f>BI7+BI20</f>
        <v/>
      </c>
      <c r="BJ8" s="5">
        <f>BJ7+BJ20</f>
        <v/>
      </c>
      <c r="BK8" s="5">
        <f>BK7+BK20</f>
        <v/>
      </c>
      <c r="BL8" s="5">
        <f>BL7+BL20</f>
        <v/>
      </c>
      <c r="BM8" s="5">
        <f>BM7+BM20</f>
        <v/>
      </c>
      <c r="BN8" s="5">
        <f>BN7+BN20</f>
        <v/>
      </c>
      <c r="BO8" s="5">
        <f>BO7+BO20</f>
        <v/>
      </c>
      <c r="BP8" s="5">
        <f>BP7+BP20</f>
        <v/>
      </c>
      <c r="BQ8" s="5">
        <f>BQ7+BQ20</f>
        <v/>
      </c>
      <c r="BR8" s="5">
        <f>BR7+BR20</f>
        <v/>
      </c>
      <c r="BS8" s="5">
        <f>BS7+BS20</f>
        <v/>
      </c>
      <c r="BT8" s="5">
        <f>BT7+BT20</f>
        <v/>
      </c>
      <c r="BU8" s="5">
        <f>BU7+BU20</f>
        <v/>
      </c>
      <c r="BV8" s="5">
        <f>BV7+BV20</f>
        <v/>
      </c>
    </row>
    <row r="9">
      <c r="A9" t="inlineStr">
        <is>
          <t>reactivated in @0</t>
        </is>
      </c>
      <c r="B9" t="inlineStr">
        <is>
          <t>US_CA|NITRO_M</t>
        </is>
      </c>
      <c r="C9" s="5">
        <f>C8*Eras!C$3</f>
        <v/>
      </c>
      <c r="D9" s="5">
        <f>D8*Eras!D$3</f>
        <v/>
      </c>
      <c r="E9" s="5">
        <f>E8*Eras!E$3</f>
        <v/>
      </c>
      <c r="F9" s="5">
        <f>F8*Eras!F$3</f>
        <v/>
      </c>
      <c r="G9" s="5">
        <f>G8*Eras!G$3</f>
        <v/>
      </c>
      <c r="H9" s="5">
        <f>H8*Eras!H$3</f>
        <v/>
      </c>
      <c r="I9" s="5">
        <f>I8*Eras!I$3</f>
        <v/>
      </c>
      <c r="J9" s="5">
        <f>J8*Eras!J$3</f>
        <v/>
      </c>
      <c r="K9" s="5">
        <f>K8*Eras!K$3</f>
        <v/>
      </c>
      <c r="L9" s="5">
        <f>L8*Eras!L$3</f>
        <v/>
      </c>
      <c r="M9" s="5">
        <f>M8*Eras!M$3</f>
        <v/>
      </c>
      <c r="N9" s="5">
        <f>N8*Eras!N$3</f>
        <v/>
      </c>
      <c r="O9" s="5">
        <f>O8*Eras!O$3</f>
        <v/>
      </c>
      <c r="P9" s="5">
        <f>P8*Eras!P$3</f>
        <v/>
      </c>
      <c r="Q9" s="5">
        <f>Q8*Eras!Q$3</f>
        <v/>
      </c>
      <c r="R9" s="5">
        <f>R8*Eras!R$3</f>
        <v/>
      </c>
      <c r="S9" s="5">
        <f>S8*Eras!S$3</f>
        <v/>
      </c>
      <c r="T9" s="5">
        <f>T8*Eras!T$3</f>
        <v/>
      </c>
      <c r="U9" s="5">
        <f>U8*Eras!U$3</f>
        <v/>
      </c>
      <c r="V9" s="5">
        <f>V8*Eras!V$3</f>
        <v/>
      </c>
      <c r="W9" s="5">
        <f>W8*Eras!W$3</f>
        <v/>
      </c>
      <c r="X9" s="5">
        <f>X8*Eras!X$3</f>
        <v/>
      </c>
      <c r="Y9" s="5">
        <f>Y8*Eras!Y$3</f>
        <v/>
      </c>
      <c r="Z9" s="5">
        <f>Z8*Eras!Z$3</f>
        <v/>
      </c>
      <c r="AA9" s="5">
        <f>AA8*Eras!AA$3</f>
        <v/>
      </c>
      <c r="AB9" s="5">
        <f>AB8*Eras!AB$3</f>
        <v/>
      </c>
      <c r="AC9" s="5">
        <f>AC8*Eras!AC$3</f>
        <v/>
      </c>
      <c r="AD9" s="5">
        <f>AD8*Eras!AD$3</f>
        <v/>
      </c>
      <c r="AE9" s="5">
        <f>AE8*Eras!AE$3</f>
        <v/>
      </c>
      <c r="AF9" s="5">
        <f>AF8*Eras!AF$3</f>
        <v/>
      </c>
      <c r="AG9" s="5">
        <f>AG8*Eras!AG$3</f>
        <v/>
      </c>
      <c r="AH9" s="5">
        <f>AH8*Eras!AH$3</f>
        <v/>
      </c>
      <c r="AI9" s="5">
        <f>AI8*Eras!AI$3</f>
        <v/>
      </c>
      <c r="AJ9" s="5">
        <f>AJ8*Eras!AJ$3</f>
        <v/>
      </c>
      <c r="AK9" s="5">
        <f>AK8*Eras!AK$3</f>
        <v/>
      </c>
      <c r="AL9" s="5">
        <f>AL8*Eras!AL$3</f>
        <v/>
      </c>
      <c r="AM9" s="5">
        <f>AM8*Eras!AM$3</f>
        <v/>
      </c>
      <c r="AN9" s="5">
        <f>AN8*Eras!AN$3</f>
        <v/>
      </c>
      <c r="AO9" s="5">
        <f>AO8*Eras!AO$3</f>
        <v/>
      </c>
      <c r="AP9" s="5">
        <f>AP8*Eras!AP$3</f>
        <v/>
      </c>
      <c r="AQ9" s="5">
        <f>AQ8*Eras!AQ$3</f>
        <v/>
      </c>
      <c r="AR9" s="5">
        <f>AR8*Eras!AR$3</f>
        <v/>
      </c>
      <c r="AS9" s="5">
        <f>AS8*Eras!AS$3</f>
        <v/>
      </c>
      <c r="AT9" s="5">
        <f>AT8*Eras!AT$3</f>
        <v/>
      </c>
      <c r="AU9" s="5">
        <f>AU8*Eras!AU$3</f>
        <v/>
      </c>
      <c r="AV9" s="5">
        <f>AV8*Eras!AV$3</f>
        <v/>
      </c>
      <c r="AW9" s="5">
        <f>AW8*Eras!AW$3</f>
        <v/>
      </c>
      <c r="AX9" s="5">
        <f>AX8*Eras!AX$3</f>
        <v/>
      </c>
      <c r="AY9" s="5">
        <f>AY8*Eras!AY$3</f>
        <v/>
      </c>
      <c r="AZ9" s="5">
        <f>AZ8*Eras!AZ$3</f>
        <v/>
      </c>
      <c r="BA9" s="5">
        <f>BA8*Eras!BA$3</f>
        <v/>
      </c>
      <c r="BB9" s="5">
        <f>BB8*Eras!BB$3</f>
        <v/>
      </c>
      <c r="BC9" s="5">
        <f>BC8*Eras!BC$3</f>
        <v/>
      </c>
      <c r="BD9" s="5">
        <f>BD8*Eras!BD$3</f>
        <v/>
      </c>
      <c r="BE9" s="5">
        <f>BE8*Eras!BE$3</f>
        <v/>
      </c>
      <c r="BF9" s="5">
        <f>BF8*Eras!BF$3</f>
        <v/>
      </c>
      <c r="BG9" s="5">
        <f>BG8*Eras!BG$3</f>
        <v/>
      </c>
      <c r="BH9" s="5">
        <f>BH8*Eras!BH$3</f>
        <v/>
      </c>
      <c r="BI9" s="5">
        <f>BI8*Eras!BI$3</f>
        <v/>
      </c>
      <c r="BJ9" s="5">
        <f>BJ8*Eras!BJ$3</f>
        <v/>
      </c>
      <c r="BK9" s="5">
        <f>BK8*Eras!BK$3</f>
        <v/>
      </c>
      <c r="BL9" s="5">
        <f>BL8*Eras!BL$3</f>
        <v/>
      </c>
      <c r="BM9" s="5">
        <f>BM8*Eras!BM$3</f>
        <v/>
      </c>
      <c r="BN9" s="5">
        <f>BN8*Eras!BN$3</f>
        <v/>
      </c>
      <c r="BO9" s="5">
        <f>BO8*Eras!BO$3</f>
        <v/>
      </c>
      <c r="BP9" s="5">
        <f>BP8*Eras!BP$3</f>
        <v/>
      </c>
      <c r="BQ9" s="5">
        <f>BQ8*Eras!BQ$3</f>
        <v/>
      </c>
      <c r="BR9" s="5">
        <f>BR8*Eras!BR$3</f>
        <v/>
      </c>
      <c r="BS9" s="5">
        <f>BS8*Eras!BS$3</f>
        <v/>
      </c>
      <c r="BT9" s="5">
        <f>BT8*Eras!BT$3</f>
        <v/>
      </c>
      <c r="BU9" s="5">
        <f>BU8*Eras!BU$3</f>
        <v/>
      </c>
      <c r="BV9" s="5">
        <f>BV8*Eras!BV$3</f>
        <v/>
      </c>
    </row>
    <row r="10">
      <c r="A10" t="inlineStr">
        <is>
          <t>reactivated in @1</t>
        </is>
      </c>
      <c r="B10" t="inlineStr">
        <is>
          <t>US_CA|NITRO_M</t>
        </is>
      </c>
      <c r="C10" s="5">
        <f>C8*Eras!C$4</f>
        <v/>
      </c>
      <c r="D10" s="5">
        <f>D8*Eras!D$4</f>
        <v/>
      </c>
      <c r="E10" s="5">
        <f>E8*Eras!E$4</f>
        <v/>
      </c>
      <c r="F10" s="5">
        <f>F8*Eras!F$4</f>
        <v/>
      </c>
      <c r="G10" s="5">
        <f>G8*Eras!G$4</f>
        <v/>
      </c>
      <c r="H10" s="5">
        <f>H8*Eras!H$4</f>
        <v/>
      </c>
      <c r="I10" s="5">
        <f>I8*Eras!I$4</f>
        <v/>
      </c>
      <c r="J10" s="5">
        <f>J8*Eras!J$4</f>
        <v/>
      </c>
      <c r="K10" s="5">
        <f>K8*Eras!K$4</f>
        <v/>
      </c>
      <c r="L10" s="5">
        <f>L8*Eras!L$4</f>
        <v/>
      </c>
      <c r="M10" s="5">
        <f>M8*Eras!M$4</f>
        <v/>
      </c>
      <c r="N10" s="5">
        <f>N8*Eras!N$4</f>
        <v/>
      </c>
      <c r="O10" s="5">
        <f>O8*Eras!O$4</f>
        <v/>
      </c>
      <c r="P10" s="5">
        <f>P8*Eras!P$4</f>
        <v/>
      </c>
      <c r="Q10" s="5">
        <f>Q8*Eras!Q$4</f>
        <v/>
      </c>
      <c r="R10" s="5">
        <f>R8*Eras!R$4</f>
        <v/>
      </c>
      <c r="S10" s="5">
        <f>S8*Eras!S$4</f>
        <v/>
      </c>
      <c r="T10" s="5">
        <f>T8*Eras!T$4</f>
        <v/>
      </c>
      <c r="U10" s="5">
        <f>U8*Eras!U$4</f>
        <v/>
      </c>
      <c r="V10" s="5">
        <f>V8*Eras!V$4</f>
        <v/>
      </c>
      <c r="W10" s="5">
        <f>W8*Eras!W$4</f>
        <v/>
      </c>
      <c r="X10" s="5">
        <f>X8*Eras!X$4</f>
        <v/>
      </c>
      <c r="Y10" s="5">
        <f>Y8*Eras!Y$4</f>
        <v/>
      </c>
      <c r="Z10" s="5">
        <f>Z8*Eras!Z$4</f>
        <v/>
      </c>
      <c r="AA10" s="5">
        <f>AA8*Eras!AA$4</f>
        <v/>
      </c>
      <c r="AB10" s="5">
        <f>AB8*Eras!AB$4</f>
        <v/>
      </c>
      <c r="AC10" s="5">
        <f>AC8*Eras!AC$4</f>
        <v/>
      </c>
      <c r="AD10" s="5">
        <f>AD8*Eras!AD$4</f>
        <v/>
      </c>
      <c r="AE10" s="5">
        <f>AE8*Eras!AE$4</f>
        <v/>
      </c>
      <c r="AF10" s="5">
        <f>AF8*Eras!AF$4</f>
        <v/>
      </c>
      <c r="AG10" s="5">
        <f>AG8*Eras!AG$4</f>
        <v/>
      </c>
      <c r="AH10" s="5">
        <f>AH8*Eras!AH$4</f>
        <v/>
      </c>
      <c r="AI10" s="5">
        <f>AI8*Eras!AI$4</f>
        <v/>
      </c>
      <c r="AJ10" s="5">
        <f>AJ8*Eras!AJ$4</f>
        <v/>
      </c>
      <c r="AK10" s="5">
        <f>AK8*Eras!AK$4</f>
        <v/>
      </c>
      <c r="AL10" s="5">
        <f>AL8*Eras!AL$4</f>
        <v/>
      </c>
      <c r="AM10" s="5">
        <f>AM8*Eras!AM$4</f>
        <v/>
      </c>
      <c r="AN10" s="5">
        <f>AN8*Eras!AN$4</f>
        <v/>
      </c>
      <c r="AO10" s="5">
        <f>AO8*Eras!AO$4</f>
        <v/>
      </c>
      <c r="AP10" s="5">
        <f>AP8*Eras!AP$4</f>
        <v/>
      </c>
      <c r="AQ10" s="5">
        <f>AQ8*Eras!AQ$4</f>
        <v/>
      </c>
      <c r="AR10" s="5">
        <f>AR8*Eras!AR$4</f>
        <v/>
      </c>
      <c r="AS10" s="5">
        <f>AS8*Eras!AS$4</f>
        <v/>
      </c>
      <c r="AT10" s="5">
        <f>AT8*Eras!AT$4</f>
        <v/>
      </c>
      <c r="AU10" s="5">
        <f>AU8*Eras!AU$4</f>
        <v/>
      </c>
      <c r="AV10" s="5">
        <f>AV8*Eras!AV$4</f>
        <v/>
      </c>
      <c r="AW10" s="5">
        <f>AW8*Eras!AW$4</f>
        <v/>
      </c>
      <c r="AX10" s="5">
        <f>AX8*Eras!AX$4</f>
        <v/>
      </c>
      <c r="AY10" s="5">
        <f>AY8*Eras!AY$4</f>
        <v/>
      </c>
      <c r="AZ10" s="5">
        <f>AZ8*Eras!AZ$4</f>
        <v/>
      </c>
      <c r="BA10" s="5">
        <f>BA8*Eras!BA$4</f>
        <v/>
      </c>
      <c r="BB10" s="5">
        <f>BB8*Eras!BB$4</f>
        <v/>
      </c>
      <c r="BC10" s="5">
        <f>BC8*Eras!BC$4</f>
        <v/>
      </c>
      <c r="BD10" s="5">
        <f>BD8*Eras!BD$4</f>
        <v/>
      </c>
      <c r="BE10" s="5">
        <f>BE8*Eras!BE$4</f>
        <v/>
      </c>
      <c r="BF10" s="5">
        <f>BF8*Eras!BF$4</f>
        <v/>
      </c>
      <c r="BG10" s="5">
        <f>BG8*Eras!BG$4</f>
        <v/>
      </c>
      <c r="BH10" s="5">
        <f>BH8*Eras!BH$4</f>
        <v/>
      </c>
      <c r="BI10" s="5">
        <f>BI8*Eras!BI$4</f>
        <v/>
      </c>
      <c r="BJ10" s="5">
        <f>BJ8*Eras!BJ$4</f>
        <v/>
      </c>
      <c r="BK10" s="5">
        <f>BK8*Eras!BK$4</f>
        <v/>
      </c>
      <c r="BL10" s="5">
        <f>BL8*Eras!BL$4</f>
        <v/>
      </c>
      <c r="BM10" s="5">
        <f>BM8*Eras!BM$4</f>
        <v/>
      </c>
      <c r="BN10" s="5">
        <f>BN8*Eras!BN$4</f>
        <v/>
      </c>
      <c r="BO10" s="5">
        <f>BO8*Eras!BO$4</f>
        <v/>
      </c>
      <c r="BP10" s="5">
        <f>BP8*Eras!BP$4</f>
        <v/>
      </c>
      <c r="BQ10" s="5">
        <f>BQ8*Eras!BQ$4</f>
        <v/>
      </c>
      <c r="BR10" s="5">
        <f>BR8*Eras!BR$4</f>
        <v/>
      </c>
      <c r="BS10" s="5">
        <f>BS8*Eras!BS$4</f>
        <v/>
      </c>
      <c r="BT10" s="5">
        <f>BT8*Eras!BT$4</f>
        <v/>
      </c>
      <c r="BU10" s="5">
        <f>BU8*Eras!BU$4</f>
        <v/>
      </c>
      <c r="BV10" s="5">
        <f>BV8*Eras!BV$4</f>
        <v/>
      </c>
    </row>
    <row r="11">
      <c r="A11" t="inlineStr">
        <is>
          <t>reactivated in @2</t>
        </is>
      </c>
      <c r="B11" t="inlineStr">
        <is>
          <t>US_CA|NITRO_M</t>
        </is>
      </c>
      <c r="C11" s="5">
        <f>C8*Eras!C$5</f>
        <v/>
      </c>
      <c r="D11" s="5">
        <f>D8*Eras!D$5</f>
        <v/>
      </c>
      <c r="E11" s="5">
        <f>E8*Eras!E$5</f>
        <v/>
      </c>
      <c r="F11" s="5">
        <f>F8*Eras!F$5</f>
        <v/>
      </c>
      <c r="G11" s="5">
        <f>G8*Eras!G$5</f>
        <v/>
      </c>
      <c r="H11" s="5">
        <f>H8*Eras!H$5</f>
        <v/>
      </c>
      <c r="I11" s="5">
        <f>I8*Eras!I$5</f>
        <v/>
      </c>
      <c r="J11" s="5">
        <f>J8*Eras!J$5</f>
        <v/>
      </c>
      <c r="K11" s="5">
        <f>K8*Eras!K$5</f>
        <v/>
      </c>
      <c r="L11" s="5">
        <f>L8*Eras!L$5</f>
        <v/>
      </c>
      <c r="M11" s="5">
        <f>M8*Eras!M$5</f>
        <v/>
      </c>
      <c r="N11" s="5">
        <f>N8*Eras!N$5</f>
        <v/>
      </c>
      <c r="O11" s="5">
        <f>O8*Eras!O$5</f>
        <v/>
      </c>
      <c r="P11" s="5">
        <f>P8*Eras!P$5</f>
        <v/>
      </c>
      <c r="Q11" s="5">
        <f>Q8*Eras!Q$5</f>
        <v/>
      </c>
      <c r="R11" s="5">
        <f>R8*Eras!R$5</f>
        <v/>
      </c>
      <c r="S11" s="5">
        <f>S8*Eras!S$5</f>
        <v/>
      </c>
      <c r="T11" s="5">
        <f>T8*Eras!T$5</f>
        <v/>
      </c>
      <c r="U11" s="5">
        <f>U8*Eras!U$5</f>
        <v/>
      </c>
      <c r="V11" s="5">
        <f>V8*Eras!V$5</f>
        <v/>
      </c>
      <c r="W11" s="5">
        <f>W8*Eras!W$5</f>
        <v/>
      </c>
      <c r="X11" s="5">
        <f>X8*Eras!X$5</f>
        <v/>
      </c>
      <c r="Y11" s="5">
        <f>Y8*Eras!Y$5</f>
        <v/>
      </c>
      <c r="Z11" s="5">
        <f>Z8*Eras!Z$5</f>
        <v/>
      </c>
      <c r="AA11" s="5">
        <f>AA8*Eras!AA$5</f>
        <v/>
      </c>
      <c r="AB11" s="5">
        <f>AB8*Eras!AB$5</f>
        <v/>
      </c>
      <c r="AC11" s="5">
        <f>AC8*Eras!AC$5</f>
        <v/>
      </c>
      <c r="AD11" s="5">
        <f>AD8*Eras!AD$5</f>
        <v/>
      </c>
      <c r="AE11" s="5">
        <f>AE8*Eras!AE$5</f>
        <v/>
      </c>
      <c r="AF11" s="5">
        <f>AF8*Eras!AF$5</f>
        <v/>
      </c>
      <c r="AG11" s="5">
        <f>AG8*Eras!AG$5</f>
        <v/>
      </c>
      <c r="AH11" s="5">
        <f>AH8*Eras!AH$5</f>
        <v/>
      </c>
      <c r="AI11" s="5">
        <f>AI8*Eras!AI$5</f>
        <v/>
      </c>
      <c r="AJ11" s="5">
        <f>AJ8*Eras!AJ$5</f>
        <v/>
      </c>
      <c r="AK11" s="5">
        <f>AK8*Eras!AK$5</f>
        <v/>
      </c>
      <c r="AL11" s="5">
        <f>AL8*Eras!AL$5</f>
        <v/>
      </c>
      <c r="AM11" s="5">
        <f>AM8*Eras!AM$5</f>
        <v/>
      </c>
      <c r="AN11" s="5">
        <f>AN8*Eras!AN$5</f>
        <v/>
      </c>
      <c r="AO11" s="5">
        <f>AO8*Eras!AO$5</f>
        <v/>
      </c>
      <c r="AP11" s="5">
        <f>AP8*Eras!AP$5</f>
        <v/>
      </c>
      <c r="AQ11" s="5">
        <f>AQ8*Eras!AQ$5</f>
        <v/>
      </c>
      <c r="AR11" s="5">
        <f>AR8*Eras!AR$5</f>
        <v/>
      </c>
      <c r="AS11" s="5">
        <f>AS8*Eras!AS$5</f>
        <v/>
      </c>
      <c r="AT11" s="5">
        <f>AT8*Eras!AT$5</f>
        <v/>
      </c>
      <c r="AU11" s="5">
        <f>AU8*Eras!AU$5</f>
        <v/>
      </c>
      <c r="AV11" s="5">
        <f>AV8*Eras!AV$5</f>
        <v/>
      </c>
      <c r="AW11" s="5">
        <f>AW8*Eras!AW$5</f>
        <v/>
      </c>
      <c r="AX11" s="5">
        <f>AX8*Eras!AX$5</f>
        <v/>
      </c>
      <c r="AY11" s="5">
        <f>AY8*Eras!AY$5</f>
        <v/>
      </c>
      <c r="AZ11" s="5">
        <f>AZ8*Eras!AZ$5</f>
        <v/>
      </c>
      <c r="BA11" s="5">
        <f>BA8*Eras!BA$5</f>
        <v/>
      </c>
      <c r="BB11" s="5">
        <f>BB8*Eras!BB$5</f>
        <v/>
      </c>
      <c r="BC11" s="5">
        <f>BC8*Eras!BC$5</f>
        <v/>
      </c>
      <c r="BD11" s="5">
        <f>BD8*Eras!BD$5</f>
        <v/>
      </c>
      <c r="BE11" s="5">
        <f>BE8*Eras!BE$5</f>
        <v/>
      </c>
      <c r="BF11" s="5">
        <f>BF8*Eras!BF$5</f>
        <v/>
      </c>
      <c r="BG11" s="5">
        <f>BG8*Eras!BG$5</f>
        <v/>
      </c>
      <c r="BH11" s="5">
        <f>BH8*Eras!BH$5</f>
        <v/>
      </c>
      <c r="BI11" s="5">
        <f>BI8*Eras!BI$5</f>
        <v/>
      </c>
      <c r="BJ11" s="5">
        <f>BJ8*Eras!BJ$5</f>
        <v/>
      </c>
      <c r="BK11" s="5">
        <f>BK8*Eras!BK$5</f>
        <v/>
      </c>
      <c r="BL11" s="5">
        <f>BL8*Eras!BL$5</f>
        <v/>
      </c>
      <c r="BM11" s="5">
        <f>BM8*Eras!BM$5</f>
        <v/>
      </c>
      <c r="BN11" s="5">
        <f>BN8*Eras!BN$5</f>
        <v/>
      </c>
      <c r="BO11" s="5">
        <f>BO8*Eras!BO$5</f>
        <v/>
      </c>
      <c r="BP11" s="5">
        <f>BP8*Eras!BP$5</f>
        <v/>
      </c>
      <c r="BQ11" s="5">
        <f>BQ8*Eras!BQ$5</f>
        <v/>
      </c>
      <c r="BR11" s="5">
        <f>BR8*Eras!BR$5</f>
        <v/>
      </c>
      <c r="BS11" s="5">
        <f>BS8*Eras!BS$5</f>
        <v/>
      </c>
      <c r="BT11" s="5">
        <f>BT8*Eras!BT$5</f>
        <v/>
      </c>
      <c r="BU11" s="5">
        <f>BU8*Eras!BU$5</f>
        <v/>
      </c>
      <c r="BV11" s="5">
        <f>BV8*Eras!BV$5</f>
        <v/>
      </c>
    </row>
    <row r="12">
      <c r="A12" t="inlineStr">
        <is>
          <t>active</t>
        </is>
      </c>
      <c r="B12" t="inlineStr">
        <is>
          <t>US_CA|NITRO_M</t>
        </is>
      </c>
      <c r="C12" s="5">
        <f>React!$C$9*Curves!$BV$19+React!$C$10*Curves!$BV$42+React!$C$11*Curves!$BV$65</f>
        <v/>
      </c>
      <c r="D12" s="5">
        <f>SUMPRODUCT(React!$C$9:$D$9,Curves!$BU$19:$BV$19)+SUMPRODUCT(React!$C$10:$D$10,Curves!$BU$42:$BV$42)+SUMPRODUCT(React!$C$11:$D$11,Curves!$BU$65:$BV$65)</f>
        <v/>
      </c>
      <c r="E12" s="5">
        <f>SUMPRODUCT(React!$C$9:$E$9,Curves!$BT$19:$BV$19)+SUMPRODUCT(React!$C$10:$E$10,Curves!$BT$42:$BV$42)+SUMPRODUCT(React!$C$11:$E$11,Curves!$BT$65:$BV$65)</f>
        <v/>
      </c>
      <c r="F12" s="5">
        <f>SUMPRODUCT(React!$C$9:$F$9,Curves!$BS$19:$BV$19)+SUMPRODUCT(React!$C$10:$F$10,Curves!$BS$42:$BV$42)+SUMPRODUCT(React!$C$11:$F$11,Curves!$BS$65:$BV$65)</f>
        <v/>
      </c>
      <c r="G12" s="5">
        <f>SUMPRODUCT(React!$C$9:$G$9,Curves!$BR$19:$BV$19)+SUMPRODUCT(React!$C$10:$G$10,Curves!$BR$42:$BV$42)+SUMPRODUCT(React!$C$11:$G$11,Curves!$BR$65:$BV$65)</f>
        <v/>
      </c>
      <c r="H12" s="5">
        <f>SUMPRODUCT(React!$C$9:$H$9,Curves!$BQ$19:$BV$19)+SUMPRODUCT(React!$C$10:$H$10,Curves!$BQ$42:$BV$42)+SUMPRODUCT(React!$C$11:$H$11,Curves!$BQ$65:$BV$65)</f>
        <v/>
      </c>
      <c r="I12" s="5">
        <f>SUMPRODUCT(React!$C$9:$I$9,Curves!$BP$19:$BV$19)+SUMPRODUCT(React!$C$10:$I$10,Curves!$BP$42:$BV$42)+SUMPRODUCT(React!$C$11:$I$11,Curves!$BP$65:$BV$65)</f>
        <v/>
      </c>
      <c r="J12" s="5">
        <f>SUMPRODUCT(React!$C$9:$J$9,Curves!$BO$19:$BV$19)+SUMPRODUCT(React!$C$10:$J$10,Curves!$BO$42:$BV$42)+SUMPRODUCT(React!$C$11:$J$11,Curves!$BO$65:$BV$65)</f>
        <v/>
      </c>
      <c r="K12" s="5">
        <f>SUMPRODUCT(React!$C$9:$K$9,Curves!$BN$19:$BV$19)+SUMPRODUCT(React!$C$10:$K$10,Curves!$BN$42:$BV$42)+SUMPRODUCT(React!$C$11:$K$11,Curves!$BN$65:$BV$65)</f>
        <v/>
      </c>
      <c r="L12" s="5">
        <f>SUMPRODUCT(React!$C$9:$L$9,Curves!$BM$19:$BV$19)+SUMPRODUCT(React!$C$10:$L$10,Curves!$BM$42:$BV$42)+SUMPRODUCT(React!$C$11:$L$11,Curves!$BM$65:$BV$65)</f>
        <v/>
      </c>
      <c r="M12" s="5">
        <f>SUMPRODUCT(React!$C$9:$M$9,Curves!$BL$19:$BV$19)+SUMPRODUCT(React!$C$10:$M$10,Curves!$BL$42:$BV$42)+SUMPRODUCT(React!$C$11:$M$11,Curves!$BL$65:$BV$65)</f>
        <v/>
      </c>
      <c r="N12" s="5">
        <f>SUMPRODUCT(React!$C$9:$N$9,Curves!$BK$19:$BV$19)+SUMPRODUCT(React!$C$10:$N$10,Curves!$BK$42:$BV$42)+SUMPRODUCT(React!$C$11:$N$11,Curves!$BK$65:$BV$65)</f>
        <v/>
      </c>
      <c r="O12" s="5">
        <f>SUMPRODUCT(React!$C$9:$O$9,Curves!$BJ$19:$BV$19)+SUMPRODUCT(React!$C$10:$O$10,Curves!$BJ$42:$BV$42)+SUMPRODUCT(React!$C$11:$O$11,Curves!$BJ$65:$BV$65)</f>
        <v/>
      </c>
      <c r="P12" s="5">
        <f>SUMPRODUCT(React!$C$9:$P$9,Curves!$BI$19:$BV$19)+SUMPRODUCT(React!$C$10:$P$10,Curves!$BI$42:$BV$42)+SUMPRODUCT(React!$C$11:$P$11,Curves!$BI$65:$BV$65)</f>
        <v/>
      </c>
      <c r="Q12" s="5">
        <f>SUMPRODUCT(React!$C$9:$Q$9,Curves!$BH$19:$BV$19)+SUMPRODUCT(React!$C$10:$Q$10,Curves!$BH$42:$BV$42)+SUMPRODUCT(React!$C$11:$Q$11,Curves!$BH$65:$BV$65)</f>
        <v/>
      </c>
      <c r="R12" s="5">
        <f>SUMPRODUCT(React!$C$9:$R$9,Curves!$BG$19:$BV$19)+SUMPRODUCT(React!$C$10:$R$10,Curves!$BG$42:$BV$42)+SUMPRODUCT(React!$C$11:$R$11,Curves!$BG$65:$BV$65)</f>
        <v/>
      </c>
      <c r="S12" s="5">
        <f>SUMPRODUCT(React!$C$9:$S$9,Curves!$BF$19:$BV$19)+SUMPRODUCT(React!$C$10:$S$10,Curves!$BF$42:$BV$42)+SUMPRODUCT(React!$C$11:$S$11,Curves!$BF$65:$BV$65)</f>
        <v/>
      </c>
      <c r="T12" s="5">
        <f>SUMPRODUCT(React!$C$9:$T$9,Curves!$BE$19:$BV$19)+SUMPRODUCT(React!$C$10:$T$10,Curves!$BE$42:$BV$42)+SUMPRODUCT(React!$C$11:$T$11,Curves!$BE$65:$BV$65)</f>
        <v/>
      </c>
      <c r="U12" s="5">
        <f>SUMPRODUCT(React!$C$9:$U$9,Curves!$BD$19:$BV$19)+SUMPRODUCT(React!$C$10:$U$10,Curves!$BD$42:$BV$42)+SUMPRODUCT(React!$C$11:$U$11,Curves!$BD$65:$BV$65)</f>
        <v/>
      </c>
      <c r="V12" s="5">
        <f>SUMPRODUCT(React!$C$9:$V$9,Curves!$BC$19:$BV$19)+SUMPRODUCT(React!$C$10:$V$10,Curves!$BC$42:$BV$42)+SUMPRODUCT(React!$C$11:$V$11,Curves!$BC$65:$BV$65)</f>
        <v/>
      </c>
      <c r="W12" s="5">
        <f>SUMPRODUCT(React!$C$9:$W$9,Curves!$BB$19:$BV$19)+SUMPRODUCT(React!$C$10:$W$10,Curves!$BB$42:$BV$42)+SUMPRODUCT(React!$C$11:$W$11,Curves!$BB$65:$BV$65)</f>
        <v/>
      </c>
      <c r="X12" s="5">
        <f>SUMPRODUCT(React!$C$9:$X$9,Curves!$BA$19:$BV$19)+SUMPRODUCT(React!$C$10:$X$10,Curves!$BA$42:$BV$42)+SUMPRODUCT(React!$C$11:$X$11,Curves!$BA$65:$BV$65)</f>
        <v/>
      </c>
      <c r="Y12" s="5">
        <f>SUMPRODUCT(React!$C$9:$Y$9,Curves!$AZ$19:$BV$19)+SUMPRODUCT(React!$C$10:$Y$10,Curves!$AZ$42:$BV$42)+SUMPRODUCT(React!$C$11:$Y$11,Curves!$AZ$65:$BV$65)</f>
        <v/>
      </c>
      <c r="Z12" s="5">
        <f>SUMPRODUCT(React!$C$9:$Z$9,Curves!$AY$19:$BV$19)+SUMPRODUCT(React!$C$10:$Z$10,Curves!$AY$42:$BV$42)+SUMPRODUCT(React!$C$11:$Z$11,Curves!$AY$65:$BV$65)</f>
        <v/>
      </c>
      <c r="AA12" s="5">
        <f>SUMPRODUCT(React!$C$9:$AA$9,Curves!$AX$19:$BV$19)+SUMPRODUCT(React!$C$10:$AA$10,Curves!$AX$42:$BV$42)+SUMPRODUCT(React!$C$11:$AA$11,Curves!$AX$65:$BV$65)</f>
        <v/>
      </c>
      <c r="AB12" s="5">
        <f>SUMPRODUCT(React!$C$9:$AB$9,Curves!$AW$19:$BV$19)+SUMPRODUCT(React!$C$10:$AB$10,Curves!$AW$42:$BV$42)+SUMPRODUCT(React!$C$11:$AB$11,Curves!$AW$65:$BV$65)</f>
        <v/>
      </c>
      <c r="AC12" s="5">
        <f>SUMPRODUCT(React!$C$9:$AC$9,Curves!$AV$19:$BV$19)+SUMPRODUCT(React!$C$10:$AC$10,Curves!$AV$42:$BV$42)+SUMPRODUCT(React!$C$11:$AC$11,Curves!$AV$65:$BV$65)</f>
        <v/>
      </c>
      <c r="AD12" s="5">
        <f>SUMPRODUCT(React!$C$9:$AD$9,Curves!$AU$19:$BV$19)+SUMPRODUCT(React!$C$10:$AD$10,Curves!$AU$42:$BV$42)+SUMPRODUCT(React!$C$11:$AD$11,Curves!$AU$65:$BV$65)</f>
        <v/>
      </c>
      <c r="AE12" s="5">
        <f>SUMPRODUCT(React!$C$9:$AE$9,Curves!$AT$19:$BV$19)+SUMPRODUCT(React!$C$10:$AE$10,Curves!$AT$42:$BV$42)+SUMPRODUCT(React!$C$11:$AE$11,Curves!$AT$65:$BV$65)</f>
        <v/>
      </c>
      <c r="AF12" s="5">
        <f>SUMPRODUCT(React!$C$9:$AF$9,Curves!$AS$19:$BV$19)+SUMPRODUCT(React!$C$10:$AF$10,Curves!$AS$42:$BV$42)+SUMPRODUCT(React!$C$11:$AF$11,Curves!$AS$65:$BV$65)</f>
        <v/>
      </c>
      <c r="AG12" s="5">
        <f>SUMPRODUCT(React!$C$9:$AG$9,Curves!$AR$19:$BV$19)+SUMPRODUCT(React!$C$10:$AG$10,Curves!$AR$42:$BV$42)+SUMPRODUCT(React!$C$11:$AG$11,Curves!$AR$65:$BV$65)</f>
        <v/>
      </c>
      <c r="AH12" s="5">
        <f>SUMPRODUCT(React!$C$9:$AH$9,Curves!$AQ$19:$BV$19)+SUMPRODUCT(React!$C$10:$AH$10,Curves!$AQ$42:$BV$42)+SUMPRODUCT(React!$C$11:$AH$11,Curves!$AQ$65:$BV$65)</f>
        <v/>
      </c>
      <c r="AI12" s="5">
        <f>SUMPRODUCT(React!$C$9:$AI$9,Curves!$AP$19:$BV$19)+SUMPRODUCT(React!$C$10:$AI$10,Curves!$AP$42:$BV$42)+SUMPRODUCT(React!$C$11:$AI$11,Curves!$AP$65:$BV$65)</f>
        <v/>
      </c>
      <c r="AJ12" s="5">
        <f>SUMPRODUCT(React!$C$9:$AJ$9,Curves!$AO$19:$BV$19)+SUMPRODUCT(React!$C$10:$AJ$10,Curves!$AO$42:$BV$42)+SUMPRODUCT(React!$C$11:$AJ$11,Curves!$AO$65:$BV$65)</f>
        <v/>
      </c>
      <c r="AK12" s="5">
        <f>SUMPRODUCT(React!$C$9:$AK$9,Curves!$AN$19:$BV$19)+SUMPRODUCT(React!$C$10:$AK$10,Curves!$AN$42:$BV$42)+SUMPRODUCT(React!$C$11:$AK$11,Curves!$AN$65:$BV$65)</f>
        <v/>
      </c>
      <c r="AL12" s="5">
        <f>SUMPRODUCT(React!$C$9:$AL$9,Curves!$AM$19:$BV$19)+SUMPRODUCT(React!$C$10:$AL$10,Curves!$AM$42:$BV$42)+SUMPRODUCT(React!$C$11:$AL$11,Curves!$AM$65:$BV$65)</f>
        <v/>
      </c>
      <c r="AM12" s="5">
        <f>SUMPRODUCT(React!$C$9:$AM$9,Curves!$AL$19:$BV$19)+SUMPRODUCT(React!$C$10:$AM$10,Curves!$AL$42:$BV$42)+SUMPRODUCT(React!$C$11:$AM$11,Curves!$AL$65:$BV$65)</f>
        <v/>
      </c>
      <c r="AN12" s="5">
        <f>SUMPRODUCT(React!$C$9:$AN$9,Curves!$AK$19:$BV$19)+SUMPRODUCT(React!$C$10:$AN$10,Curves!$AK$42:$BV$42)+SUMPRODUCT(React!$C$11:$AN$11,Curves!$AK$65:$BV$65)</f>
        <v/>
      </c>
      <c r="AO12" s="5">
        <f>SUMPRODUCT(React!$C$9:$AO$9,Curves!$AJ$19:$BV$19)+SUMPRODUCT(React!$C$10:$AO$10,Curves!$AJ$42:$BV$42)+SUMPRODUCT(React!$C$11:$AO$11,Curves!$AJ$65:$BV$65)</f>
        <v/>
      </c>
      <c r="AP12" s="5">
        <f>SUMPRODUCT(React!$C$9:$AP$9,Curves!$AI$19:$BV$19)+SUMPRODUCT(React!$C$10:$AP$10,Curves!$AI$42:$BV$42)+SUMPRODUCT(React!$C$11:$AP$11,Curves!$AI$65:$BV$65)</f>
        <v/>
      </c>
      <c r="AQ12" s="5">
        <f>SUMPRODUCT(React!$C$9:$AQ$9,Curves!$AH$19:$BV$19)+SUMPRODUCT(React!$C$10:$AQ$10,Curves!$AH$42:$BV$42)+SUMPRODUCT(React!$C$11:$AQ$11,Curves!$AH$65:$BV$65)</f>
        <v/>
      </c>
      <c r="AR12" s="5">
        <f>SUMPRODUCT(React!$C$9:$AR$9,Curves!$AG$19:$BV$19)+SUMPRODUCT(React!$C$10:$AR$10,Curves!$AG$42:$BV$42)+SUMPRODUCT(React!$C$11:$AR$11,Curves!$AG$65:$BV$65)</f>
        <v/>
      </c>
      <c r="AS12" s="5">
        <f>SUMPRODUCT(React!$C$9:$AS$9,Curves!$AF$19:$BV$19)+SUMPRODUCT(React!$C$10:$AS$10,Curves!$AF$42:$BV$42)+SUMPRODUCT(React!$C$11:$AS$11,Curves!$AF$65:$BV$65)</f>
        <v/>
      </c>
      <c r="AT12" s="5">
        <f>SUMPRODUCT(React!$C$9:$AT$9,Curves!$AE$19:$BV$19)+SUMPRODUCT(React!$C$10:$AT$10,Curves!$AE$42:$BV$42)+SUMPRODUCT(React!$C$11:$AT$11,Curves!$AE$65:$BV$65)</f>
        <v/>
      </c>
      <c r="AU12" s="5">
        <f>SUMPRODUCT(React!$C$9:$AU$9,Curves!$AD$19:$BV$19)+SUMPRODUCT(React!$C$10:$AU$10,Curves!$AD$42:$BV$42)+SUMPRODUCT(React!$C$11:$AU$11,Curves!$AD$65:$BV$65)</f>
        <v/>
      </c>
      <c r="AV12" s="5">
        <f>SUMPRODUCT(React!$C$9:$AV$9,Curves!$AC$19:$BV$19)+SUMPRODUCT(React!$C$10:$AV$10,Curves!$AC$42:$BV$42)+SUMPRODUCT(React!$C$11:$AV$11,Curves!$AC$65:$BV$65)</f>
        <v/>
      </c>
      <c r="AW12" s="5">
        <f>SUMPRODUCT(React!$C$9:$AW$9,Curves!$AB$19:$BV$19)+SUMPRODUCT(React!$C$10:$AW$10,Curves!$AB$42:$BV$42)+SUMPRODUCT(React!$C$11:$AW$11,Curves!$AB$65:$BV$65)</f>
        <v/>
      </c>
      <c r="AX12" s="5">
        <f>SUMPRODUCT(React!$C$9:$AX$9,Curves!$AA$19:$BV$19)+SUMPRODUCT(React!$C$10:$AX$10,Curves!$AA$42:$BV$42)+SUMPRODUCT(React!$C$11:$AX$11,Curves!$AA$65:$BV$65)</f>
        <v/>
      </c>
      <c r="AY12" s="5">
        <f>SUMPRODUCT(React!$C$9:$AY$9,Curves!$Z$19:$BV$19)+SUMPRODUCT(React!$C$10:$AY$10,Curves!$Z$42:$BV$42)+SUMPRODUCT(React!$C$11:$AY$11,Curves!$Z$65:$BV$65)</f>
        <v/>
      </c>
      <c r="AZ12" s="5">
        <f>SUMPRODUCT(React!$C$9:$AZ$9,Curves!$Y$19:$BV$19)+SUMPRODUCT(React!$C$10:$AZ$10,Curves!$Y$42:$BV$42)+SUMPRODUCT(React!$C$11:$AZ$11,Curves!$Y$65:$BV$65)</f>
        <v/>
      </c>
      <c r="BA12" s="5">
        <f>SUMPRODUCT(React!$C$9:$BA$9,Curves!$X$19:$BV$19)+SUMPRODUCT(React!$C$10:$BA$10,Curves!$X$42:$BV$42)+SUMPRODUCT(React!$C$11:$BA$11,Curves!$X$65:$BV$65)</f>
        <v/>
      </c>
      <c r="BB12" s="5">
        <f>SUMPRODUCT(React!$C$9:$BB$9,Curves!$W$19:$BV$19)+SUMPRODUCT(React!$C$10:$BB$10,Curves!$W$42:$BV$42)+SUMPRODUCT(React!$C$11:$BB$11,Curves!$W$65:$BV$65)</f>
        <v/>
      </c>
      <c r="BC12" s="5">
        <f>SUMPRODUCT(React!$C$9:$BC$9,Curves!$V$19:$BV$19)+SUMPRODUCT(React!$C$10:$BC$10,Curves!$V$42:$BV$42)+SUMPRODUCT(React!$C$11:$BC$11,Curves!$V$65:$BV$65)</f>
        <v/>
      </c>
      <c r="BD12" s="5">
        <f>SUMPRODUCT(React!$C$9:$BD$9,Curves!$U$19:$BV$19)+SUMPRODUCT(React!$C$10:$BD$10,Curves!$U$42:$BV$42)+SUMPRODUCT(React!$C$11:$BD$11,Curves!$U$65:$BV$65)</f>
        <v/>
      </c>
      <c r="BE12" s="5">
        <f>SUMPRODUCT(React!$C$9:$BE$9,Curves!$T$19:$BV$19)+SUMPRODUCT(React!$C$10:$BE$10,Curves!$T$42:$BV$42)+SUMPRODUCT(React!$C$11:$BE$11,Curves!$T$65:$BV$65)</f>
        <v/>
      </c>
      <c r="BF12" s="5">
        <f>SUMPRODUCT(React!$C$9:$BF$9,Curves!$S$19:$BV$19)+SUMPRODUCT(React!$C$10:$BF$10,Curves!$S$42:$BV$42)+SUMPRODUCT(React!$C$11:$BF$11,Curves!$S$65:$BV$65)</f>
        <v/>
      </c>
      <c r="BG12" s="5">
        <f>SUMPRODUCT(React!$C$9:$BG$9,Curves!$R$19:$BV$19)+SUMPRODUCT(React!$C$10:$BG$10,Curves!$R$42:$BV$42)+SUMPRODUCT(React!$C$11:$BG$11,Curves!$R$65:$BV$65)</f>
        <v/>
      </c>
      <c r="BH12" s="5">
        <f>SUMPRODUCT(React!$C$9:$BH$9,Curves!$Q$19:$BV$19)+SUMPRODUCT(React!$C$10:$BH$10,Curves!$Q$42:$BV$42)+SUMPRODUCT(React!$C$11:$BH$11,Curves!$Q$65:$BV$65)</f>
        <v/>
      </c>
      <c r="BI12" s="5">
        <f>SUMPRODUCT(React!$C$9:$BI$9,Curves!$P$19:$BV$19)+SUMPRODUCT(React!$C$10:$BI$10,Curves!$P$42:$BV$42)+SUMPRODUCT(React!$C$11:$BI$11,Curves!$P$65:$BV$65)</f>
        <v/>
      </c>
      <c r="BJ12" s="5">
        <f>SUMPRODUCT(React!$C$9:$BJ$9,Curves!$O$19:$BV$19)+SUMPRODUCT(React!$C$10:$BJ$10,Curves!$O$42:$BV$42)+SUMPRODUCT(React!$C$11:$BJ$11,Curves!$O$65:$BV$65)</f>
        <v/>
      </c>
      <c r="BK12" s="5">
        <f>SUMPRODUCT(React!$C$9:$BK$9,Curves!$N$19:$BV$19)+SUMPRODUCT(React!$C$10:$BK$10,Curves!$N$42:$BV$42)+SUMPRODUCT(React!$C$11:$BK$11,Curves!$N$65:$BV$65)</f>
        <v/>
      </c>
      <c r="BL12" s="5">
        <f>SUMPRODUCT(React!$C$9:$BL$9,Curves!$M$19:$BV$19)+SUMPRODUCT(React!$C$10:$BL$10,Curves!$M$42:$BV$42)+SUMPRODUCT(React!$C$11:$BL$11,Curves!$M$65:$BV$65)</f>
        <v/>
      </c>
      <c r="BM12" s="5">
        <f>SUMPRODUCT(React!$C$9:$BM$9,Curves!$L$19:$BV$19)+SUMPRODUCT(React!$C$10:$BM$10,Curves!$L$42:$BV$42)+SUMPRODUCT(React!$C$11:$BM$11,Curves!$L$65:$BV$65)</f>
        <v/>
      </c>
      <c r="BN12" s="5">
        <f>SUMPRODUCT(React!$C$9:$BN$9,Curves!$K$19:$BV$19)+SUMPRODUCT(React!$C$10:$BN$10,Curves!$K$42:$BV$42)+SUMPRODUCT(React!$C$11:$BN$11,Curves!$K$65:$BV$65)</f>
        <v/>
      </c>
      <c r="BO12" s="5">
        <f>SUMPRODUCT(React!$C$9:$BO$9,Curves!$J$19:$BV$19)+SUMPRODUCT(React!$C$10:$BO$10,Curves!$J$42:$BV$42)+SUMPRODUCT(React!$C$11:$BO$11,Curves!$J$65:$BV$65)</f>
        <v/>
      </c>
      <c r="BP12" s="5">
        <f>SUMPRODUCT(React!$C$9:$BP$9,Curves!$I$19:$BV$19)+SUMPRODUCT(React!$C$10:$BP$10,Curves!$I$42:$BV$42)+SUMPRODUCT(React!$C$11:$BP$11,Curves!$I$65:$BV$65)</f>
        <v/>
      </c>
      <c r="BQ12" s="5">
        <f>SUMPRODUCT(React!$C$9:$BQ$9,Curves!$H$19:$BV$19)+SUMPRODUCT(React!$C$10:$BQ$10,Curves!$H$42:$BV$42)+SUMPRODUCT(React!$C$11:$BQ$11,Curves!$H$65:$BV$65)</f>
        <v/>
      </c>
      <c r="BR12" s="5">
        <f>SUMPRODUCT(React!$C$9:$BR$9,Curves!$G$19:$BV$19)+SUMPRODUCT(React!$C$10:$BR$10,Curves!$G$42:$BV$42)+SUMPRODUCT(React!$C$11:$BR$11,Curves!$G$65:$BV$65)</f>
        <v/>
      </c>
      <c r="BS12" s="5">
        <f>SUMPRODUCT(React!$C$9:$BS$9,Curves!$F$19:$BV$19)+SUMPRODUCT(React!$C$10:$BS$10,Curves!$F$42:$BV$42)+SUMPRODUCT(React!$C$11:$BS$11,Curves!$F$65:$BV$65)</f>
        <v/>
      </c>
      <c r="BT12" s="5">
        <f>SUMPRODUCT(React!$C$9:$BT$9,Curves!$E$19:$BV$19)+SUMPRODUCT(React!$C$10:$BT$10,Curves!$E$42:$BV$42)+SUMPRODUCT(React!$C$11:$BT$11,Curves!$E$65:$BV$65)</f>
        <v/>
      </c>
      <c r="BU12" s="5">
        <f>SUMPRODUCT(React!$C$9:$BU$9,Curves!$D$19:$BV$19)+SUMPRODUCT(React!$C$10:$BU$10,Curves!$D$42:$BV$42)+SUMPRODUCT(React!$C$11:$BU$11,Curves!$D$65:$BV$65)</f>
        <v/>
      </c>
      <c r="BV12" s="5">
        <f>SUMPRODUCT(React!$C$9:$BV$9,Curves!$C$19:$BV$19)+SUMPRODUCT(React!$C$10:$BV$10,Curves!$C$42:$BV$42)+SUMPRODUCT(React!$C$11:$BV$11,Curves!$C$65:$BV$65)</f>
        <v/>
      </c>
    </row>
    <row r="13">
      <c r="A13" t="inlineStr">
        <is>
          <t>active yr 1</t>
        </is>
      </c>
      <c r="B13" t="inlineStr">
        <is>
          <t>US_CA|NITRO_M</t>
        </is>
      </c>
      <c r="C13" s="5">
        <f>React!$C$9*Curves!$BV$24+React!$C$10*Curves!$BV$47+React!$C$11*Curves!$BV$70</f>
        <v/>
      </c>
      <c r="D13" s="5">
        <f>SUMPRODUCT(React!$C$9:$D$9,Curves!$BU$24:$BV$24)+SUMPRODUCT(React!$C$10:$D$10,Curves!$BU$47:$BV$47)+SUMPRODUCT(React!$C$11:$D$11,Curves!$BU$70:$BV$70)</f>
        <v/>
      </c>
      <c r="E13" s="5">
        <f>SUMPRODUCT(React!$C$9:$E$9,Curves!$BT$24:$BV$24)+SUMPRODUCT(React!$C$10:$E$10,Curves!$BT$47:$BV$47)+SUMPRODUCT(React!$C$11:$E$11,Curves!$BT$70:$BV$70)</f>
        <v/>
      </c>
      <c r="F13" s="5">
        <f>SUMPRODUCT(React!$C$9:$F$9,Curves!$BS$24:$BV$24)+SUMPRODUCT(React!$C$10:$F$10,Curves!$BS$47:$BV$47)+SUMPRODUCT(React!$C$11:$F$11,Curves!$BS$70:$BV$70)</f>
        <v/>
      </c>
      <c r="G13" s="5">
        <f>SUMPRODUCT(React!$C$9:$G$9,Curves!$BR$24:$BV$24)+SUMPRODUCT(React!$C$10:$G$10,Curves!$BR$47:$BV$47)+SUMPRODUCT(React!$C$11:$G$11,Curves!$BR$70:$BV$70)</f>
        <v/>
      </c>
      <c r="H13" s="5">
        <f>SUMPRODUCT(React!$C$9:$H$9,Curves!$BQ$24:$BV$24)+SUMPRODUCT(React!$C$10:$H$10,Curves!$BQ$47:$BV$47)+SUMPRODUCT(React!$C$11:$H$11,Curves!$BQ$70:$BV$70)</f>
        <v/>
      </c>
      <c r="I13" s="5">
        <f>SUMPRODUCT(React!$C$9:$I$9,Curves!$BP$24:$BV$24)+SUMPRODUCT(React!$C$10:$I$10,Curves!$BP$47:$BV$47)+SUMPRODUCT(React!$C$11:$I$11,Curves!$BP$70:$BV$70)</f>
        <v/>
      </c>
      <c r="J13" s="5">
        <f>SUMPRODUCT(React!$C$9:$J$9,Curves!$BO$24:$BV$24)+SUMPRODUCT(React!$C$10:$J$10,Curves!$BO$47:$BV$47)+SUMPRODUCT(React!$C$11:$J$11,Curves!$BO$70:$BV$70)</f>
        <v/>
      </c>
      <c r="K13" s="5">
        <f>SUMPRODUCT(React!$C$9:$K$9,Curves!$BN$24:$BV$24)+SUMPRODUCT(React!$C$10:$K$10,Curves!$BN$47:$BV$47)+SUMPRODUCT(React!$C$11:$K$11,Curves!$BN$70:$BV$70)</f>
        <v/>
      </c>
      <c r="L13" s="5">
        <f>SUMPRODUCT(React!$C$9:$L$9,Curves!$BM$24:$BV$24)+SUMPRODUCT(React!$C$10:$L$10,Curves!$BM$47:$BV$47)+SUMPRODUCT(React!$C$11:$L$11,Curves!$BM$70:$BV$70)</f>
        <v/>
      </c>
      <c r="M13" s="5">
        <f>SUMPRODUCT(React!$C$9:$M$9,Curves!$BL$24:$BV$24)+SUMPRODUCT(React!$C$10:$M$10,Curves!$BL$47:$BV$47)+SUMPRODUCT(React!$C$11:$M$11,Curves!$BL$70:$BV$70)</f>
        <v/>
      </c>
      <c r="N13" s="5">
        <f>SUMPRODUCT(React!$C$9:$N$9,Curves!$BK$24:$BV$24)+SUMPRODUCT(React!$C$10:$N$10,Curves!$BK$47:$BV$47)+SUMPRODUCT(React!$C$11:$N$11,Curves!$BK$70:$BV$70)</f>
        <v/>
      </c>
      <c r="O13" s="5">
        <f>SUMPRODUCT(React!$C$9:$O$9,Curves!$BJ$24:$BV$24)+SUMPRODUCT(React!$C$10:$O$10,Curves!$BJ$47:$BV$47)+SUMPRODUCT(React!$C$11:$O$11,Curves!$BJ$70:$BV$70)</f>
        <v/>
      </c>
      <c r="P13" s="5">
        <f>SUMPRODUCT(React!$C$9:$P$9,Curves!$BI$24:$BV$24)+SUMPRODUCT(React!$C$10:$P$10,Curves!$BI$47:$BV$47)+SUMPRODUCT(React!$C$11:$P$11,Curves!$BI$70:$BV$70)</f>
        <v/>
      </c>
      <c r="Q13" s="5">
        <f>SUMPRODUCT(React!$C$9:$Q$9,Curves!$BH$24:$BV$24)+SUMPRODUCT(React!$C$10:$Q$10,Curves!$BH$47:$BV$47)+SUMPRODUCT(React!$C$11:$Q$11,Curves!$BH$70:$BV$70)</f>
        <v/>
      </c>
      <c r="R13" s="5">
        <f>SUMPRODUCT(React!$C$9:$R$9,Curves!$BG$24:$BV$24)+SUMPRODUCT(React!$C$10:$R$10,Curves!$BG$47:$BV$47)+SUMPRODUCT(React!$C$11:$R$11,Curves!$BG$70:$BV$70)</f>
        <v/>
      </c>
      <c r="S13" s="5">
        <f>SUMPRODUCT(React!$C$9:$S$9,Curves!$BF$24:$BV$24)+SUMPRODUCT(React!$C$10:$S$10,Curves!$BF$47:$BV$47)+SUMPRODUCT(React!$C$11:$S$11,Curves!$BF$70:$BV$70)</f>
        <v/>
      </c>
      <c r="T13" s="5">
        <f>SUMPRODUCT(React!$C$9:$T$9,Curves!$BE$24:$BV$24)+SUMPRODUCT(React!$C$10:$T$10,Curves!$BE$47:$BV$47)+SUMPRODUCT(React!$C$11:$T$11,Curves!$BE$70:$BV$70)</f>
        <v/>
      </c>
      <c r="U13" s="5">
        <f>SUMPRODUCT(React!$C$9:$U$9,Curves!$BD$24:$BV$24)+SUMPRODUCT(React!$C$10:$U$10,Curves!$BD$47:$BV$47)+SUMPRODUCT(React!$C$11:$U$11,Curves!$BD$70:$BV$70)</f>
        <v/>
      </c>
      <c r="V13" s="5">
        <f>SUMPRODUCT(React!$C$9:$V$9,Curves!$BC$24:$BV$24)+SUMPRODUCT(React!$C$10:$V$10,Curves!$BC$47:$BV$47)+SUMPRODUCT(React!$C$11:$V$11,Curves!$BC$70:$BV$70)</f>
        <v/>
      </c>
      <c r="W13" s="5">
        <f>SUMPRODUCT(React!$C$9:$W$9,Curves!$BB$24:$BV$24)+SUMPRODUCT(React!$C$10:$W$10,Curves!$BB$47:$BV$47)+SUMPRODUCT(React!$C$11:$W$11,Curves!$BB$70:$BV$70)</f>
        <v/>
      </c>
      <c r="X13" s="5">
        <f>SUMPRODUCT(React!$C$9:$X$9,Curves!$BA$24:$BV$24)+SUMPRODUCT(React!$C$10:$X$10,Curves!$BA$47:$BV$47)+SUMPRODUCT(React!$C$11:$X$11,Curves!$BA$70:$BV$70)</f>
        <v/>
      </c>
      <c r="Y13" s="5">
        <f>SUMPRODUCT(React!$C$9:$Y$9,Curves!$AZ$24:$BV$24)+SUMPRODUCT(React!$C$10:$Y$10,Curves!$AZ$47:$BV$47)+SUMPRODUCT(React!$C$11:$Y$11,Curves!$AZ$70:$BV$70)</f>
        <v/>
      </c>
      <c r="Z13" s="5">
        <f>SUMPRODUCT(React!$C$9:$Z$9,Curves!$AY$24:$BV$24)+SUMPRODUCT(React!$C$10:$Z$10,Curves!$AY$47:$BV$47)+SUMPRODUCT(React!$C$11:$Z$11,Curves!$AY$70:$BV$70)</f>
        <v/>
      </c>
      <c r="AA13" s="5">
        <f>SUMPRODUCT(React!$C$9:$AA$9,Curves!$AX$24:$BV$24)+SUMPRODUCT(React!$C$10:$AA$10,Curves!$AX$47:$BV$47)+SUMPRODUCT(React!$C$11:$AA$11,Curves!$AX$70:$BV$70)</f>
        <v/>
      </c>
      <c r="AB13" s="5">
        <f>SUMPRODUCT(React!$C$9:$AB$9,Curves!$AW$24:$BV$24)+SUMPRODUCT(React!$C$10:$AB$10,Curves!$AW$47:$BV$47)+SUMPRODUCT(React!$C$11:$AB$11,Curves!$AW$70:$BV$70)</f>
        <v/>
      </c>
      <c r="AC13" s="5">
        <f>SUMPRODUCT(React!$C$9:$AC$9,Curves!$AV$24:$BV$24)+SUMPRODUCT(React!$C$10:$AC$10,Curves!$AV$47:$BV$47)+SUMPRODUCT(React!$C$11:$AC$11,Curves!$AV$70:$BV$70)</f>
        <v/>
      </c>
      <c r="AD13" s="5">
        <f>SUMPRODUCT(React!$C$9:$AD$9,Curves!$AU$24:$BV$24)+SUMPRODUCT(React!$C$10:$AD$10,Curves!$AU$47:$BV$47)+SUMPRODUCT(React!$C$11:$AD$11,Curves!$AU$70:$BV$70)</f>
        <v/>
      </c>
      <c r="AE13" s="5">
        <f>SUMPRODUCT(React!$C$9:$AE$9,Curves!$AT$24:$BV$24)+SUMPRODUCT(React!$C$10:$AE$10,Curves!$AT$47:$BV$47)+SUMPRODUCT(React!$C$11:$AE$11,Curves!$AT$70:$BV$70)</f>
        <v/>
      </c>
      <c r="AF13" s="5">
        <f>SUMPRODUCT(React!$C$9:$AF$9,Curves!$AS$24:$BV$24)+SUMPRODUCT(React!$C$10:$AF$10,Curves!$AS$47:$BV$47)+SUMPRODUCT(React!$C$11:$AF$11,Curves!$AS$70:$BV$70)</f>
        <v/>
      </c>
      <c r="AG13" s="5">
        <f>SUMPRODUCT(React!$C$9:$AG$9,Curves!$AR$24:$BV$24)+SUMPRODUCT(React!$C$10:$AG$10,Curves!$AR$47:$BV$47)+SUMPRODUCT(React!$C$11:$AG$11,Curves!$AR$70:$BV$70)</f>
        <v/>
      </c>
      <c r="AH13" s="5">
        <f>SUMPRODUCT(React!$C$9:$AH$9,Curves!$AQ$24:$BV$24)+SUMPRODUCT(React!$C$10:$AH$10,Curves!$AQ$47:$BV$47)+SUMPRODUCT(React!$C$11:$AH$11,Curves!$AQ$70:$BV$70)</f>
        <v/>
      </c>
      <c r="AI13" s="5">
        <f>SUMPRODUCT(React!$C$9:$AI$9,Curves!$AP$24:$BV$24)+SUMPRODUCT(React!$C$10:$AI$10,Curves!$AP$47:$BV$47)+SUMPRODUCT(React!$C$11:$AI$11,Curves!$AP$70:$BV$70)</f>
        <v/>
      </c>
      <c r="AJ13" s="5">
        <f>SUMPRODUCT(React!$C$9:$AJ$9,Curves!$AO$24:$BV$24)+SUMPRODUCT(React!$C$10:$AJ$10,Curves!$AO$47:$BV$47)+SUMPRODUCT(React!$C$11:$AJ$11,Curves!$AO$70:$BV$70)</f>
        <v/>
      </c>
      <c r="AK13" s="5">
        <f>SUMPRODUCT(React!$C$9:$AK$9,Curves!$AN$24:$BV$24)+SUMPRODUCT(React!$C$10:$AK$10,Curves!$AN$47:$BV$47)+SUMPRODUCT(React!$C$11:$AK$11,Curves!$AN$70:$BV$70)</f>
        <v/>
      </c>
      <c r="AL13" s="5">
        <f>SUMPRODUCT(React!$C$9:$AL$9,Curves!$AM$24:$BV$24)+SUMPRODUCT(React!$C$10:$AL$10,Curves!$AM$47:$BV$47)+SUMPRODUCT(React!$C$11:$AL$11,Curves!$AM$70:$BV$70)</f>
        <v/>
      </c>
      <c r="AM13" s="5">
        <f>SUMPRODUCT(React!$C$9:$AM$9,Curves!$AL$24:$BV$24)+SUMPRODUCT(React!$C$10:$AM$10,Curves!$AL$47:$BV$47)+SUMPRODUCT(React!$C$11:$AM$11,Curves!$AL$70:$BV$70)</f>
        <v/>
      </c>
      <c r="AN13" s="5">
        <f>SUMPRODUCT(React!$C$9:$AN$9,Curves!$AK$24:$BV$24)+SUMPRODUCT(React!$C$10:$AN$10,Curves!$AK$47:$BV$47)+SUMPRODUCT(React!$C$11:$AN$11,Curves!$AK$70:$BV$70)</f>
        <v/>
      </c>
      <c r="AO13" s="5">
        <f>SUMPRODUCT(React!$C$9:$AO$9,Curves!$AJ$24:$BV$24)+SUMPRODUCT(React!$C$10:$AO$10,Curves!$AJ$47:$BV$47)+SUMPRODUCT(React!$C$11:$AO$11,Curves!$AJ$70:$BV$70)</f>
        <v/>
      </c>
      <c r="AP13" s="5">
        <f>SUMPRODUCT(React!$C$9:$AP$9,Curves!$AI$24:$BV$24)+SUMPRODUCT(React!$C$10:$AP$10,Curves!$AI$47:$BV$47)+SUMPRODUCT(React!$C$11:$AP$11,Curves!$AI$70:$BV$70)</f>
        <v/>
      </c>
      <c r="AQ13" s="5">
        <f>SUMPRODUCT(React!$C$9:$AQ$9,Curves!$AH$24:$BV$24)+SUMPRODUCT(React!$C$10:$AQ$10,Curves!$AH$47:$BV$47)+SUMPRODUCT(React!$C$11:$AQ$11,Curves!$AH$70:$BV$70)</f>
        <v/>
      </c>
      <c r="AR13" s="5">
        <f>SUMPRODUCT(React!$C$9:$AR$9,Curves!$AG$24:$BV$24)+SUMPRODUCT(React!$C$10:$AR$10,Curves!$AG$47:$BV$47)+SUMPRODUCT(React!$C$11:$AR$11,Curves!$AG$70:$BV$70)</f>
        <v/>
      </c>
      <c r="AS13" s="5">
        <f>SUMPRODUCT(React!$C$9:$AS$9,Curves!$AF$24:$BV$24)+SUMPRODUCT(React!$C$10:$AS$10,Curves!$AF$47:$BV$47)+SUMPRODUCT(React!$C$11:$AS$11,Curves!$AF$70:$BV$70)</f>
        <v/>
      </c>
      <c r="AT13" s="5">
        <f>SUMPRODUCT(React!$C$9:$AT$9,Curves!$AE$24:$BV$24)+SUMPRODUCT(React!$C$10:$AT$10,Curves!$AE$47:$BV$47)+SUMPRODUCT(React!$C$11:$AT$11,Curves!$AE$70:$BV$70)</f>
        <v/>
      </c>
      <c r="AU13" s="5">
        <f>SUMPRODUCT(React!$C$9:$AU$9,Curves!$AD$24:$BV$24)+SUMPRODUCT(React!$C$10:$AU$10,Curves!$AD$47:$BV$47)+SUMPRODUCT(React!$C$11:$AU$11,Curves!$AD$70:$BV$70)</f>
        <v/>
      </c>
      <c r="AV13" s="5">
        <f>SUMPRODUCT(React!$C$9:$AV$9,Curves!$AC$24:$BV$24)+SUMPRODUCT(React!$C$10:$AV$10,Curves!$AC$47:$BV$47)+SUMPRODUCT(React!$C$11:$AV$11,Curves!$AC$70:$BV$70)</f>
        <v/>
      </c>
      <c r="AW13" s="5">
        <f>SUMPRODUCT(React!$C$9:$AW$9,Curves!$AB$24:$BV$24)+SUMPRODUCT(React!$C$10:$AW$10,Curves!$AB$47:$BV$47)+SUMPRODUCT(React!$C$11:$AW$11,Curves!$AB$70:$BV$70)</f>
        <v/>
      </c>
      <c r="AX13" s="5">
        <f>SUMPRODUCT(React!$C$9:$AX$9,Curves!$AA$24:$BV$24)+SUMPRODUCT(React!$C$10:$AX$10,Curves!$AA$47:$BV$47)+SUMPRODUCT(React!$C$11:$AX$11,Curves!$AA$70:$BV$70)</f>
        <v/>
      </c>
      <c r="AY13" s="5">
        <f>SUMPRODUCT(React!$C$9:$AY$9,Curves!$Z$24:$BV$24)+SUMPRODUCT(React!$C$10:$AY$10,Curves!$Z$47:$BV$47)+SUMPRODUCT(React!$C$11:$AY$11,Curves!$Z$70:$BV$70)</f>
        <v/>
      </c>
      <c r="AZ13" s="5">
        <f>SUMPRODUCT(React!$C$9:$AZ$9,Curves!$Y$24:$BV$24)+SUMPRODUCT(React!$C$10:$AZ$10,Curves!$Y$47:$BV$47)+SUMPRODUCT(React!$C$11:$AZ$11,Curves!$Y$70:$BV$70)</f>
        <v/>
      </c>
      <c r="BA13" s="5">
        <f>SUMPRODUCT(React!$C$9:$BA$9,Curves!$X$24:$BV$24)+SUMPRODUCT(React!$C$10:$BA$10,Curves!$X$47:$BV$47)+SUMPRODUCT(React!$C$11:$BA$11,Curves!$X$70:$BV$70)</f>
        <v/>
      </c>
      <c r="BB13" s="5">
        <f>SUMPRODUCT(React!$C$9:$BB$9,Curves!$W$24:$BV$24)+SUMPRODUCT(React!$C$10:$BB$10,Curves!$W$47:$BV$47)+SUMPRODUCT(React!$C$11:$BB$11,Curves!$W$70:$BV$70)</f>
        <v/>
      </c>
      <c r="BC13" s="5">
        <f>SUMPRODUCT(React!$C$9:$BC$9,Curves!$V$24:$BV$24)+SUMPRODUCT(React!$C$10:$BC$10,Curves!$V$47:$BV$47)+SUMPRODUCT(React!$C$11:$BC$11,Curves!$V$70:$BV$70)</f>
        <v/>
      </c>
      <c r="BD13" s="5">
        <f>SUMPRODUCT(React!$C$9:$BD$9,Curves!$U$24:$BV$24)+SUMPRODUCT(React!$C$10:$BD$10,Curves!$U$47:$BV$47)+SUMPRODUCT(React!$C$11:$BD$11,Curves!$U$70:$BV$70)</f>
        <v/>
      </c>
      <c r="BE13" s="5">
        <f>SUMPRODUCT(React!$C$9:$BE$9,Curves!$T$24:$BV$24)+SUMPRODUCT(React!$C$10:$BE$10,Curves!$T$47:$BV$47)+SUMPRODUCT(React!$C$11:$BE$11,Curves!$T$70:$BV$70)</f>
        <v/>
      </c>
      <c r="BF13" s="5">
        <f>SUMPRODUCT(React!$C$9:$BF$9,Curves!$S$24:$BV$24)+SUMPRODUCT(React!$C$10:$BF$10,Curves!$S$47:$BV$47)+SUMPRODUCT(React!$C$11:$BF$11,Curves!$S$70:$BV$70)</f>
        <v/>
      </c>
      <c r="BG13" s="5">
        <f>SUMPRODUCT(React!$C$9:$BG$9,Curves!$R$24:$BV$24)+SUMPRODUCT(React!$C$10:$BG$10,Curves!$R$47:$BV$47)+SUMPRODUCT(React!$C$11:$BG$11,Curves!$R$70:$BV$70)</f>
        <v/>
      </c>
      <c r="BH13" s="5">
        <f>SUMPRODUCT(React!$C$9:$BH$9,Curves!$Q$24:$BV$24)+SUMPRODUCT(React!$C$10:$BH$10,Curves!$Q$47:$BV$47)+SUMPRODUCT(React!$C$11:$BH$11,Curves!$Q$70:$BV$70)</f>
        <v/>
      </c>
      <c r="BI13" s="5">
        <f>SUMPRODUCT(React!$C$9:$BI$9,Curves!$P$24:$BV$24)+SUMPRODUCT(React!$C$10:$BI$10,Curves!$P$47:$BV$47)+SUMPRODUCT(React!$C$11:$BI$11,Curves!$P$70:$BV$70)</f>
        <v/>
      </c>
      <c r="BJ13" s="5">
        <f>SUMPRODUCT(React!$C$9:$BJ$9,Curves!$O$24:$BV$24)+SUMPRODUCT(React!$C$10:$BJ$10,Curves!$O$47:$BV$47)+SUMPRODUCT(React!$C$11:$BJ$11,Curves!$O$70:$BV$70)</f>
        <v/>
      </c>
      <c r="BK13" s="5">
        <f>SUMPRODUCT(React!$C$9:$BK$9,Curves!$N$24:$BV$24)+SUMPRODUCT(React!$C$10:$BK$10,Curves!$N$47:$BV$47)+SUMPRODUCT(React!$C$11:$BK$11,Curves!$N$70:$BV$70)</f>
        <v/>
      </c>
      <c r="BL13" s="5">
        <f>SUMPRODUCT(React!$C$9:$BL$9,Curves!$M$24:$BV$24)+SUMPRODUCT(React!$C$10:$BL$10,Curves!$M$47:$BV$47)+SUMPRODUCT(React!$C$11:$BL$11,Curves!$M$70:$BV$70)</f>
        <v/>
      </c>
      <c r="BM13" s="5">
        <f>SUMPRODUCT(React!$C$9:$BM$9,Curves!$L$24:$BV$24)+SUMPRODUCT(React!$C$10:$BM$10,Curves!$L$47:$BV$47)+SUMPRODUCT(React!$C$11:$BM$11,Curves!$L$70:$BV$70)</f>
        <v/>
      </c>
      <c r="BN13" s="5">
        <f>SUMPRODUCT(React!$C$9:$BN$9,Curves!$K$24:$BV$24)+SUMPRODUCT(React!$C$10:$BN$10,Curves!$K$47:$BV$47)+SUMPRODUCT(React!$C$11:$BN$11,Curves!$K$70:$BV$70)</f>
        <v/>
      </c>
      <c r="BO13" s="5">
        <f>SUMPRODUCT(React!$C$9:$BO$9,Curves!$J$24:$BV$24)+SUMPRODUCT(React!$C$10:$BO$10,Curves!$J$47:$BV$47)+SUMPRODUCT(React!$C$11:$BO$11,Curves!$J$70:$BV$70)</f>
        <v/>
      </c>
      <c r="BP13" s="5">
        <f>SUMPRODUCT(React!$C$9:$BP$9,Curves!$I$24:$BV$24)+SUMPRODUCT(React!$C$10:$BP$10,Curves!$I$47:$BV$47)+SUMPRODUCT(React!$C$11:$BP$11,Curves!$I$70:$BV$70)</f>
        <v/>
      </c>
      <c r="BQ13" s="5">
        <f>SUMPRODUCT(React!$C$9:$BQ$9,Curves!$H$24:$BV$24)+SUMPRODUCT(React!$C$10:$BQ$10,Curves!$H$47:$BV$47)+SUMPRODUCT(React!$C$11:$BQ$11,Curves!$H$70:$BV$70)</f>
        <v/>
      </c>
      <c r="BR13" s="5">
        <f>SUMPRODUCT(React!$C$9:$BR$9,Curves!$G$24:$BV$24)+SUMPRODUCT(React!$C$10:$BR$10,Curves!$G$47:$BV$47)+SUMPRODUCT(React!$C$11:$BR$11,Curves!$G$70:$BV$70)</f>
        <v/>
      </c>
      <c r="BS13" s="5">
        <f>SUMPRODUCT(React!$C$9:$BS$9,Curves!$F$24:$BV$24)+SUMPRODUCT(React!$C$10:$BS$10,Curves!$F$47:$BV$47)+SUMPRODUCT(React!$C$11:$BS$11,Curves!$F$70:$BV$70)</f>
        <v/>
      </c>
      <c r="BT13" s="5">
        <f>SUMPRODUCT(React!$C$9:$BT$9,Curves!$E$24:$BV$24)+SUMPRODUCT(React!$C$10:$BT$10,Curves!$E$47:$BV$47)+SUMPRODUCT(React!$C$11:$BT$11,Curves!$E$70:$BV$70)</f>
        <v/>
      </c>
      <c r="BU13" s="5">
        <f>SUMPRODUCT(React!$C$9:$BU$9,Curves!$D$24:$BV$24)+SUMPRODUCT(React!$C$10:$BU$10,Curves!$D$47:$BV$47)+SUMPRODUCT(React!$C$11:$BU$11,Curves!$D$70:$BV$70)</f>
        <v/>
      </c>
      <c r="BV13" s="5">
        <f>SUMPRODUCT(React!$C$9:$BV$9,Curves!$C$24:$BV$24)+SUMPRODUCT(React!$C$10:$BV$10,Curves!$C$47:$BV$47)+SUMPRODUCT(React!$C$11:$BV$11,Curves!$C$70:$BV$70)</f>
        <v/>
      </c>
    </row>
    <row r="14">
      <c r="A14" t="inlineStr">
        <is>
          <t>churned</t>
        </is>
      </c>
      <c r="B14" t="inlineStr">
        <is>
          <t>US_CA|NITRO_M</t>
        </is>
      </c>
      <c r="C14" s="5">
        <f>React!$C$9*Curves!$BV$20+React!$C$10*Curves!$BV$43+React!$C$11*Curves!$BV$66</f>
        <v/>
      </c>
      <c r="D14" s="5">
        <f>SUMPRODUCT(React!$C$9:$D$9,Curves!$BU$20:$BV$20)+SUMPRODUCT(React!$C$10:$D$10,Curves!$BU$43:$BV$43)+SUMPRODUCT(React!$C$11:$D$11,Curves!$BU$66:$BV$66)</f>
        <v/>
      </c>
      <c r="E14" s="5">
        <f>SUMPRODUCT(React!$C$9:$E$9,Curves!$BT$20:$BV$20)+SUMPRODUCT(React!$C$10:$E$10,Curves!$BT$43:$BV$43)+SUMPRODUCT(React!$C$11:$E$11,Curves!$BT$66:$BV$66)</f>
        <v/>
      </c>
      <c r="F14" s="5">
        <f>SUMPRODUCT(React!$C$9:$F$9,Curves!$BS$20:$BV$20)+SUMPRODUCT(React!$C$10:$F$10,Curves!$BS$43:$BV$43)+SUMPRODUCT(React!$C$11:$F$11,Curves!$BS$66:$BV$66)</f>
        <v/>
      </c>
      <c r="G14" s="5">
        <f>SUMPRODUCT(React!$C$9:$G$9,Curves!$BR$20:$BV$20)+SUMPRODUCT(React!$C$10:$G$10,Curves!$BR$43:$BV$43)+SUMPRODUCT(React!$C$11:$G$11,Curves!$BR$66:$BV$66)</f>
        <v/>
      </c>
      <c r="H14" s="5">
        <f>SUMPRODUCT(React!$C$9:$H$9,Curves!$BQ$20:$BV$20)+SUMPRODUCT(React!$C$10:$H$10,Curves!$BQ$43:$BV$43)+SUMPRODUCT(React!$C$11:$H$11,Curves!$BQ$66:$BV$66)</f>
        <v/>
      </c>
      <c r="I14" s="5">
        <f>SUMPRODUCT(React!$C$9:$I$9,Curves!$BP$20:$BV$20)+SUMPRODUCT(React!$C$10:$I$10,Curves!$BP$43:$BV$43)+SUMPRODUCT(React!$C$11:$I$11,Curves!$BP$66:$BV$66)</f>
        <v/>
      </c>
      <c r="J14" s="5">
        <f>SUMPRODUCT(React!$C$9:$J$9,Curves!$BO$20:$BV$20)+SUMPRODUCT(React!$C$10:$J$10,Curves!$BO$43:$BV$43)+SUMPRODUCT(React!$C$11:$J$11,Curves!$BO$66:$BV$66)</f>
        <v/>
      </c>
      <c r="K14" s="5">
        <f>SUMPRODUCT(React!$C$9:$K$9,Curves!$BN$20:$BV$20)+SUMPRODUCT(React!$C$10:$K$10,Curves!$BN$43:$BV$43)+SUMPRODUCT(React!$C$11:$K$11,Curves!$BN$66:$BV$66)</f>
        <v/>
      </c>
      <c r="L14" s="5">
        <f>SUMPRODUCT(React!$C$9:$L$9,Curves!$BM$20:$BV$20)+SUMPRODUCT(React!$C$10:$L$10,Curves!$BM$43:$BV$43)+SUMPRODUCT(React!$C$11:$L$11,Curves!$BM$66:$BV$66)</f>
        <v/>
      </c>
      <c r="M14" s="5">
        <f>SUMPRODUCT(React!$C$9:$M$9,Curves!$BL$20:$BV$20)+SUMPRODUCT(React!$C$10:$M$10,Curves!$BL$43:$BV$43)+SUMPRODUCT(React!$C$11:$M$11,Curves!$BL$66:$BV$66)</f>
        <v/>
      </c>
      <c r="N14" s="5">
        <f>SUMPRODUCT(React!$C$9:$N$9,Curves!$BK$20:$BV$20)+SUMPRODUCT(React!$C$10:$N$10,Curves!$BK$43:$BV$43)+SUMPRODUCT(React!$C$11:$N$11,Curves!$BK$66:$BV$66)</f>
        <v/>
      </c>
      <c r="O14" s="5">
        <f>SUMPRODUCT(React!$C$9:$O$9,Curves!$BJ$20:$BV$20)+SUMPRODUCT(React!$C$10:$O$10,Curves!$BJ$43:$BV$43)+SUMPRODUCT(React!$C$11:$O$11,Curves!$BJ$66:$BV$66)</f>
        <v/>
      </c>
      <c r="P14" s="5">
        <f>SUMPRODUCT(React!$C$9:$P$9,Curves!$BI$20:$BV$20)+SUMPRODUCT(React!$C$10:$P$10,Curves!$BI$43:$BV$43)+SUMPRODUCT(React!$C$11:$P$11,Curves!$BI$66:$BV$66)</f>
        <v/>
      </c>
      <c r="Q14" s="5">
        <f>SUMPRODUCT(React!$C$9:$Q$9,Curves!$BH$20:$BV$20)+SUMPRODUCT(React!$C$10:$Q$10,Curves!$BH$43:$BV$43)+SUMPRODUCT(React!$C$11:$Q$11,Curves!$BH$66:$BV$66)</f>
        <v/>
      </c>
      <c r="R14" s="5">
        <f>SUMPRODUCT(React!$C$9:$R$9,Curves!$BG$20:$BV$20)+SUMPRODUCT(React!$C$10:$R$10,Curves!$BG$43:$BV$43)+SUMPRODUCT(React!$C$11:$R$11,Curves!$BG$66:$BV$66)</f>
        <v/>
      </c>
      <c r="S14" s="5">
        <f>SUMPRODUCT(React!$C$9:$S$9,Curves!$BF$20:$BV$20)+SUMPRODUCT(React!$C$10:$S$10,Curves!$BF$43:$BV$43)+SUMPRODUCT(React!$C$11:$S$11,Curves!$BF$66:$BV$66)</f>
        <v/>
      </c>
      <c r="T14" s="5">
        <f>SUMPRODUCT(React!$C$9:$T$9,Curves!$BE$20:$BV$20)+SUMPRODUCT(React!$C$10:$T$10,Curves!$BE$43:$BV$43)+SUMPRODUCT(React!$C$11:$T$11,Curves!$BE$66:$BV$66)</f>
        <v/>
      </c>
      <c r="U14" s="5">
        <f>SUMPRODUCT(React!$C$9:$U$9,Curves!$BD$20:$BV$20)+SUMPRODUCT(React!$C$10:$U$10,Curves!$BD$43:$BV$43)+SUMPRODUCT(React!$C$11:$U$11,Curves!$BD$66:$BV$66)</f>
        <v/>
      </c>
      <c r="V14" s="5">
        <f>SUMPRODUCT(React!$C$9:$V$9,Curves!$BC$20:$BV$20)+SUMPRODUCT(React!$C$10:$V$10,Curves!$BC$43:$BV$43)+SUMPRODUCT(React!$C$11:$V$11,Curves!$BC$66:$BV$66)</f>
        <v/>
      </c>
      <c r="W14" s="5">
        <f>SUMPRODUCT(React!$C$9:$W$9,Curves!$BB$20:$BV$20)+SUMPRODUCT(React!$C$10:$W$10,Curves!$BB$43:$BV$43)+SUMPRODUCT(React!$C$11:$W$11,Curves!$BB$66:$BV$66)</f>
        <v/>
      </c>
      <c r="X14" s="5">
        <f>SUMPRODUCT(React!$C$9:$X$9,Curves!$BA$20:$BV$20)+SUMPRODUCT(React!$C$10:$X$10,Curves!$BA$43:$BV$43)+SUMPRODUCT(React!$C$11:$X$11,Curves!$BA$66:$BV$66)</f>
        <v/>
      </c>
      <c r="Y14" s="5">
        <f>SUMPRODUCT(React!$C$9:$Y$9,Curves!$AZ$20:$BV$20)+SUMPRODUCT(React!$C$10:$Y$10,Curves!$AZ$43:$BV$43)+SUMPRODUCT(React!$C$11:$Y$11,Curves!$AZ$66:$BV$66)</f>
        <v/>
      </c>
      <c r="Z14" s="5">
        <f>SUMPRODUCT(React!$C$9:$Z$9,Curves!$AY$20:$BV$20)+SUMPRODUCT(React!$C$10:$Z$10,Curves!$AY$43:$BV$43)+SUMPRODUCT(React!$C$11:$Z$11,Curves!$AY$66:$BV$66)</f>
        <v/>
      </c>
      <c r="AA14" s="5">
        <f>SUMPRODUCT(React!$C$9:$AA$9,Curves!$AX$20:$BV$20)+SUMPRODUCT(React!$C$10:$AA$10,Curves!$AX$43:$BV$43)+SUMPRODUCT(React!$C$11:$AA$11,Curves!$AX$66:$BV$66)</f>
        <v/>
      </c>
      <c r="AB14" s="5">
        <f>SUMPRODUCT(React!$C$9:$AB$9,Curves!$AW$20:$BV$20)+SUMPRODUCT(React!$C$10:$AB$10,Curves!$AW$43:$BV$43)+SUMPRODUCT(React!$C$11:$AB$11,Curves!$AW$66:$BV$66)</f>
        <v/>
      </c>
      <c r="AC14" s="5">
        <f>SUMPRODUCT(React!$C$9:$AC$9,Curves!$AV$20:$BV$20)+SUMPRODUCT(React!$C$10:$AC$10,Curves!$AV$43:$BV$43)+SUMPRODUCT(React!$C$11:$AC$11,Curves!$AV$66:$BV$66)</f>
        <v/>
      </c>
      <c r="AD14" s="5">
        <f>SUMPRODUCT(React!$C$9:$AD$9,Curves!$AU$20:$BV$20)+SUMPRODUCT(React!$C$10:$AD$10,Curves!$AU$43:$BV$43)+SUMPRODUCT(React!$C$11:$AD$11,Curves!$AU$66:$BV$66)</f>
        <v/>
      </c>
      <c r="AE14" s="5">
        <f>SUMPRODUCT(React!$C$9:$AE$9,Curves!$AT$20:$BV$20)+SUMPRODUCT(React!$C$10:$AE$10,Curves!$AT$43:$BV$43)+SUMPRODUCT(React!$C$11:$AE$11,Curves!$AT$66:$BV$66)</f>
        <v/>
      </c>
      <c r="AF14" s="5">
        <f>SUMPRODUCT(React!$C$9:$AF$9,Curves!$AS$20:$BV$20)+SUMPRODUCT(React!$C$10:$AF$10,Curves!$AS$43:$BV$43)+SUMPRODUCT(React!$C$11:$AF$11,Curves!$AS$66:$BV$66)</f>
        <v/>
      </c>
      <c r="AG14" s="5">
        <f>SUMPRODUCT(React!$C$9:$AG$9,Curves!$AR$20:$BV$20)+SUMPRODUCT(React!$C$10:$AG$10,Curves!$AR$43:$BV$43)+SUMPRODUCT(React!$C$11:$AG$11,Curves!$AR$66:$BV$66)</f>
        <v/>
      </c>
      <c r="AH14" s="5">
        <f>SUMPRODUCT(React!$C$9:$AH$9,Curves!$AQ$20:$BV$20)+SUMPRODUCT(React!$C$10:$AH$10,Curves!$AQ$43:$BV$43)+SUMPRODUCT(React!$C$11:$AH$11,Curves!$AQ$66:$BV$66)</f>
        <v/>
      </c>
      <c r="AI14" s="5">
        <f>SUMPRODUCT(React!$C$9:$AI$9,Curves!$AP$20:$BV$20)+SUMPRODUCT(React!$C$10:$AI$10,Curves!$AP$43:$BV$43)+SUMPRODUCT(React!$C$11:$AI$11,Curves!$AP$66:$BV$66)</f>
        <v/>
      </c>
      <c r="AJ14" s="5">
        <f>SUMPRODUCT(React!$C$9:$AJ$9,Curves!$AO$20:$BV$20)+SUMPRODUCT(React!$C$10:$AJ$10,Curves!$AO$43:$BV$43)+SUMPRODUCT(React!$C$11:$AJ$11,Curves!$AO$66:$BV$66)</f>
        <v/>
      </c>
      <c r="AK14" s="5">
        <f>SUMPRODUCT(React!$C$9:$AK$9,Curves!$AN$20:$BV$20)+SUMPRODUCT(React!$C$10:$AK$10,Curves!$AN$43:$BV$43)+SUMPRODUCT(React!$C$11:$AK$11,Curves!$AN$66:$BV$66)</f>
        <v/>
      </c>
      <c r="AL14" s="5">
        <f>SUMPRODUCT(React!$C$9:$AL$9,Curves!$AM$20:$BV$20)+SUMPRODUCT(React!$C$10:$AL$10,Curves!$AM$43:$BV$43)+SUMPRODUCT(React!$C$11:$AL$11,Curves!$AM$66:$BV$66)</f>
        <v/>
      </c>
      <c r="AM14" s="5">
        <f>SUMPRODUCT(React!$C$9:$AM$9,Curves!$AL$20:$BV$20)+SUMPRODUCT(React!$C$10:$AM$10,Curves!$AL$43:$BV$43)+SUMPRODUCT(React!$C$11:$AM$11,Curves!$AL$66:$BV$66)</f>
        <v/>
      </c>
      <c r="AN14" s="5">
        <f>SUMPRODUCT(React!$C$9:$AN$9,Curves!$AK$20:$BV$20)+SUMPRODUCT(React!$C$10:$AN$10,Curves!$AK$43:$BV$43)+SUMPRODUCT(React!$C$11:$AN$11,Curves!$AK$66:$BV$66)</f>
        <v/>
      </c>
      <c r="AO14" s="5">
        <f>SUMPRODUCT(React!$C$9:$AO$9,Curves!$AJ$20:$BV$20)+SUMPRODUCT(React!$C$10:$AO$10,Curves!$AJ$43:$BV$43)+SUMPRODUCT(React!$C$11:$AO$11,Curves!$AJ$66:$BV$66)</f>
        <v/>
      </c>
      <c r="AP14" s="5">
        <f>SUMPRODUCT(React!$C$9:$AP$9,Curves!$AI$20:$BV$20)+SUMPRODUCT(React!$C$10:$AP$10,Curves!$AI$43:$BV$43)+SUMPRODUCT(React!$C$11:$AP$11,Curves!$AI$66:$BV$66)</f>
        <v/>
      </c>
      <c r="AQ14" s="5">
        <f>SUMPRODUCT(React!$C$9:$AQ$9,Curves!$AH$20:$BV$20)+SUMPRODUCT(React!$C$10:$AQ$10,Curves!$AH$43:$BV$43)+SUMPRODUCT(React!$C$11:$AQ$11,Curves!$AH$66:$BV$66)</f>
        <v/>
      </c>
      <c r="AR14" s="5">
        <f>SUMPRODUCT(React!$C$9:$AR$9,Curves!$AG$20:$BV$20)+SUMPRODUCT(React!$C$10:$AR$10,Curves!$AG$43:$BV$43)+SUMPRODUCT(React!$C$11:$AR$11,Curves!$AG$66:$BV$66)</f>
        <v/>
      </c>
      <c r="AS14" s="5">
        <f>SUMPRODUCT(React!$C$9:$AS$9,Curves!$AF$20:$BV$20)+SUMPRODUCT(React!$C$10:$AS$10,Curves!$AF$43:$BV$43)+SUMPRODUCT(React!$C$11:$AS$11,Curves!$AF$66:$BV$66)</f>
        <v/>
      </c>
      <c r="AT14" s="5">
        <f>SUMPRODUCT(React!$C$9:$AT$9,Curves!$AE$20:$BV$20)+SUMPRODUCT(React!$C$10:$AT$10,Curves!$AE$43:$BV$43)+SUMPRODUCT(React!$C$11:$AT$11,Curves!$AE$66:$BV$66)</f>
        <v/>
      </c>
      <c r="AU14" s="5">
        <f>SUMPRODUCT(React!$C$9:$AU$9,Curves!$AD$20:$BV$20)+SUMPRODUCT(React!$C$10:$AU$10,Curves!$AD$43:$BV$43)+SUMPRODUCT(React!$C$11:$AU$11,Curves!$AD$66:$BV$66)</f>
        <v/>
      </c>
      <c r="AV14" s="5">
        <f>SUMPRODUCT(React!$C$9:$AV$9,Curves!$AC$20:$BV$20)+SUMPRODUCT(React!$C$10:$AV$10,Curves!$AC$43:$BV$43)+SUMPRODUCT(React!$C$11:$AV$11,Curves!$AC$66:$BV$66)</f>
        <v/>
      </c>
      <c r="AW14" s="5">
        <f>SUMPRODUCT(React!$C$9:$AW$9,Curves!$AB$20:$BV$20)+SUMPRODUCT(React!$C$10:$AW$10,Curves!$AB$43:$BV$43)+SUMPRODUCT(React!$C$11:$AW$11,Curves!$AB$66:$BV$66)</f>
        <v/>
      </c>
      <c r="AX14" s="5">
        <f>SUMPRODUCT(React!$C$9:$AX$9,Curves!$AA$20:$BV$20)+SUMPRODUCT(React!$C$10:$AX$10,Curves!$AA$43:$BV$43)+SUMPRODUCT(React!$C$11:$AX$11,Curves!$AA$66:$BV$66)</f>
        <v/>
      </c>
      <c r="AY14" s="5">
        <f>SUMPRODUCT(React!$C$9:$AY$9,Curves!$Z$20:$BV$20)+SUMPRODUCT(React!$C$10:$AY$10,Curves!$Z$43:$BV$43)+SUMPRODUCT(React!$C$11:$AY$11,Curves!$Z$66:$BV$66)</f>
        <v/>
      </c>
      <c r="AZ14" s="5">
        <f>SUMPRODUCT(React!$C$9:$AZ$9,Curves!$Y$20:$BV$20)+SUMPRODUCT(React!$C$10:$AZ$10,Curves!$Y$43:$BV$43)+SUMPRODUCT(React!$C$11:$AZ$11,Curves!$Y$66:$BV$66)</f>
        <v/>
      </c>
      <c r="BA14" s="5">
        <f>SUMPRODUCT(React!$C$9:$BA$9,Curves!$X$20:$BV$20)+SUMPRODUCT(React!$C$10:$BA$10,Curves!$X$43:$BV$43)+SUMPRODUCT(React!$C$11:$BA$11,Curves!$X$66:$BV$66)</f>
        <v/>
      </c>
      <c r="BB14" s="5">
        <f>SUMPRODUCT(React!$C$9:$BB$9,Curves!$W$20:$BV$20)+SUMPRODUCT(React!$C$10:$BB$10,Curves!$W$43:$BV$43)+SUMPRODUCT(React!$C$11:$BB$11,Curves!$W$66:$BV$66)</f>
        <v/>
      </c>
      <c r="BC14" s="5">
        <f>SUMPRODUCT(React!$C$9:$BC$9,Curves!$V$20:$BV$20)+SUMPRODUCT(React!$C$10:$BC$10,Curves!$V$43:$BV$43)+SUMPRODUCT(React!$C$11:$BC$11,Curves!$V$66:$BV$66)</f>
        <v/>
      </c>
      <c r="BD14" s="5">
        <f>SUMPRODUCT(React!$C$9:$BD$9,Curves!$U$20:$BV$20)+SUMPRODUCT(React!$C$10:$BD$10,Curves!$U$43:$BV$43)+SUMPRODUCT(React!$C$11:$BD$11,Curves!$U$66:$BV$66)</f>
        <v/>
      </c>
      <c r="BE14" s="5">
        <f>SUMPRODUCT(React!$C$9:$BE$9,Curves!$T$20:$BV$20)+SUMPRODUCT(React!$C$10:$BE$10,Curves!$T$43:$BV$43)+SUMPRODUCT(React!$C$11:$BE$11,Curves!$T$66:$BV$66)</f>
        <v/>
      </c>
      <c r="BF14" s="5">
        <f>SUMPRODUCT(React!$C$9:$BF$9,Curves!$S$20:$BV$20)+SUMPRODUCT(React!$C$10:$BF$10,Curves!$S$43:$BV$43)+SUMPRODUCT(React!$C$11:$BF$11,Curves!$S$66:$BV$66)</f>
        <v/>
      </c>
      <c r="BG14" s="5">
        <f>SUMPRODUCT(React!$C$9:$BG$9,Curves!$R$20:$BV$20)+SUMPRODUCT(React!$C$10:$BG$10,Curves!$R$43:$BV$43)+SUMPRODUCT(React!$C$11:$BG$11,Curves!$R$66:$BV$66)</f>
        <v/>
      </c>
      <c r="BH14" s="5">
        <f>SUMPRODUCT(React!$C$9:$BH$9,Curves!$Q$20:$BV$20)+SUMPRODUCT(React!$C$10:$BH$10,Curves!$Q$43:$BV$43)+SUMPRODUCT(React!$C$11:$BH$11,Curves!$Q$66:$BV$66)</f>
        <v/>
      </c>
      <c r="BI14" s="5">
        <f>SUMPRODUCT(React!$C$9:$BI$9,Curves!$P$20:$BV$20)+SUMPRODUCT(React!$C$10:$BI$10,Curves!$P$43:$BV$43)+SUMPRODUCT(React!$C$11:$BI$11,Curves!$P$66:$BV$66)</f>
        <v/>
      </c>
      <c r="BJ14" s="5">
        <f>SUMPRODUCT(React!$C$9:$BJ$9,Curves!$O$20:$BV$20)+SUMPRODUCT(React!$C$10:$BJ$10,Curves!$O$43:$BV$43)+SUMPRODUCT(React!$C$11:$BJ$11,Curves!$O$66:$BV$66)</f>
        <v/>
      </c>
      <c r="BK14" s="5">
        <f>SUMPRODUCT(React!$C$9:$BK$9,Curves!$N$20:$BV$20)+SUMPRODUCT(React!$C$10:$BK$10,Curves!$N$43:$BV$43)+SUMPRODUCT(React!$C$11:$BK$11,Curves!$N$66:$BV$66)</f>
        <v/>
      </c>
      <c r="BL14" s="5">
        <f>SUMPRODUCT(React!$C$9:$BL$9,Curves!$M$20:$BV$20)+SUMPRODUCT(React!$C$10:$BL$10,Curves!$M$43:$BV$43)+SUMPRODUCT(React!$C$11:$BL$11,Curves!$M$66:$BV$66)</f>
        <v/>
      </c>
      <c r="BM14" s="5">
        <f>SUMPRODUCT(React!$C$9:$BM$9,Curves!$L$20:$BV$20)+SUMPRODUCT(React!$C$10:$BM$10,Curves!$L$43:$BV$43)+SUMPRODUCT(React!$C$11:$BM$11,Curves!$L$66:$BV$66)</f>
        <v/>
      </c>
      <c r="BN14" s="5">
        <f>SUMPRODUCT(React!$C$9:$BN$9,Curves!$K$20:$BV$20)+SUMPRODUCT(React!$C$10:$BN$10,Curves!$K$43:$BV$43)+SUMPRODUCT(React!$C$11:$BN$11,Curves!$K$66:$BV$66)</f>
        <v/>
      </c>
      <c r="BO14" s="5">
        <f>SUMPRODUCT(React!$C$9:$BO$9,Curves!$J$20:$BV$20)+SUMPRODUCT(React!$C$10:$BO$10,Curves!$J$43:$BV$43)+SUMPRODUCT(React!$C$11:$BO$11,Curves!$J$66:$BV$66)</f>
        <v/>
      </c>
      <c r="BP14" s="5">
        <f>SUMPRODUCT(React!$C$9:$BP$9,Curves!$I$20:$BV$20)+SUMPRODUCT(React!$C$10:$BP$10,Curves!$I$43:$BV$43)+SUMPRODUCT(React!$C$11:$BP$11,Curves!$I$66:$BV$66)</f>
        <v/>
      </c>
      <c r="BQ14" s="5">
        <f>SUMPRODUCT(React!$C$9:$BQ$9,Curves!$H$20:$BV$20)+SUMPRODUCT(React!$C$10:$BQ$10,Curves!$H$43:$BV$43)+SUMPRODUCT(React!$C$11:$BQ$11,Curves!$H$66:$BV$66)</f>
        <v/>
      </c>
      <c r="BR14" s="5">
        <f>SUMPRODUCT(React!$C$9:$BR$9,Curves!$G$20:$BV$20)+SUMPRODUCT(React!$C$10:$BR$10,Curves!$G$43:$BV$43)+SUMPRODUCT(React!$C$11:$BR$11,Curves!$G$66:$BV$66)</f>
        <v/>
      </c>
      <c r="BS14" s="5">
        <f>SUMPRODUCT(React!$C$9:$BS$9,Curves!$F$20:$BV$20)+SUMPRODUCT(React!$C$10:$BS$10,Curves!$F$43:$BV$43)+SUMPRODUCT(React!$C$11:$BS$11,Curves!$F$66:$BV$66)</f>
        <v/>
      </c>
      <c r="BT14" s="5">
        <f>SUMPRODUCT(React!$C$9:$BT$9,Curves!$E$20:$BV$20)+SUMPRODUCT(React!$C$10:$BT$10,Curves!$E$43:$BV$43)+SUMPRODUCT(React!$C$11:$BT$11,Curves!$E$66:$BV$66)</f>
        <v/>
      </c>
      <c r="BU14" s="5">
        <f>SUMPRODUCT(React!$C$9:$BU$9,Curves!$D$20:$BV$20)+SUMPRODUCT(React!$C$10:$BU$10,Curves!$D$43:$BV$43)+SUMPRODUCT(React!$C$11:$BU$11,Curves!$D$66:$BV$66)</f>
        <v/>
      </c>
      <c r="BV14" s="5">
        <f>SUMPRODUCT(React!$C$9:$BV$9,Curves!$C$20:$BV$20)+SUMPRODUCT(React!$C$10:$BV$10,Curves!$C$43:$BV$43)+SUMPRODUCT(React!$C$11:$BV$11,Curves!$C$66:$BV$66)</f>
        <v/>
      </c>
    </row>
    <row r="16">
      <c r="A16" t="inlineStr">
        <is>
          <t>churn pool inflow</t>
        </is>
      </c>
      <c r="B16" t="inlineStr">
        <is>
          <t>US_CA|NITRO_A</t>
        </is>
      </c>
      <c r="C16" s="5">
        <f>Paid!C9+Legacy!C11</f>
        <v/>
      </c>
      <c r="D16" s="5">
        <f>Paid!D9+Legacy!D11</f>
        <v/>
      </c>
      <c r="E16" s="5">
        <f>Paid!E9+Legacy!E11</f>
        <v/>
      </c>
      <c r="F16" s="5">
        <f>Paid!F9+Legacy!F11</f>
        <v/>
      </c>
      <c r="G16" s="5">
        <f>Paid!G9+Legacy!G11</f>
        <v/>
      </c>
      <c r="H16" s="5">
        <f>Paid!H9+Legacy!H11</f>
        <v/>
      </c>
      <c r="I16" s="5">
        <f>Paid!I9+Legacy!I11</f>
        <v/>
      </c>
      <c r="J16" s="5">
        <f>Paid!J9+Legacy!J11</f>
        <v/>
      </c>
      <c r="K16" s="5">
        <f>Paid!K9+Legacy!K11</f>
        <v/>
      </c>
      <c r="L16" s="5">
        <f>Paid!L9+Legacy!L11</f>
        <v/>
      </c>
      <c r="M16" s="5">
        <f>Paid!M9+Legacy!M11</f>
        <v/>
      </c>
      <c r="N16" s="5">
        <f>Paid!N9+Legacy!N11</f>
        <v/>
      </c>
      <c r="O16" s="5">
        <f>Paid!O9+Legacy!O11</f>
        <v/>
      </c>
      <c r="P16" s="5">
        <f>Paid!P9+Legacy!P11</f>
        <v/>
      </c>
      <c r="Q16" s="5">
        <f>Paid!Q9+Legacy!Q11</f>
        <v/>
      </c>
      <c r="R16" s="5">
        <f>Paid!R9+Legacy!R11</f>
        <v/>
      </c>
      <c r="S16" s="5">
        <f>Paid!S9+Legacy!S11</f>
        <v/>
      </c>
      <c r="T16" s="5">
        <f>Paid!T9+Legacy!T11</f>
        <v/>
      </c>
      <c r="U16" s="5">
        <f>Paid!U9+Legacy!U11</f>
        <v/>
      </c>
      <c r="V16" s="5">
        <f>Paid!V9+Legacy!V11</f>
        <v/>
      </c>
      <c r="W16" s="5">
        <f>Paid!W9+Legacy!W11</f>
        <v/>
      </c>
      <c r="X16" s="5">
        <f>Paid!X9+Legacy!X11</f>
        <v/>
      </c>
      <c r="Y16" s="5">
        <f>Paid!Y9+Legacy!Y11</f>
        <v/>
      </c>
      <c r="Z16" s="5">
        <f>Paid!Z9+Legacy!Z11</f>
        <v/>
      </c>
      <c r="AA16" s="5">
        <f>Paid!AA9+Legacy!AA11</f>
        <v/>
      </c>
      <c r="AB16" s="5">
        <f>Paid!AB9+Legacy!AB11</f>
        <v/>
      </c>
      <c r="AC16" s="5">
        <f>Paid!AC9+Legacy!AC11</f>
        <v/>
      </c>
      <c r="AD16" s="5">
        <f>Paid!AD9+Legacy!AD11</f>
        <v/>
      </c>
      <c r="AE16" s="5">
        <f>Paid!AE9+Legacy!AE11</f>
        <v/>
      </c>
      <c r="AF16" s="5">
        <f>Paid!AF9+Legacy!AF11</f>
        <v/>
      </c>
      <c r="AG16" s="5">
        <f>Paid!AG9+Legacy!AG11</f>
        <v/>
      </c>
      <c r="AH16" s="5">
        <f>Paid!AH9+Legacy!AH11</f>
        <v/>
      </c>
      <c r="AI16" s="5">
        <f>Paid!AI9+Legacy!AI11</f>
        <v/>
      </c>
      <c r="AJ16" s="5">
        <f>Paid!AJ9+Legacy!AJ11</f>
        <v/>
      </c>
      <c r="AK16" s="5">
        <f>Paid!AK9+Legacy!AK11</f>
        <v/>
      </c>
      <c r="AL16" s="5">
        <f>Paid!AL9+Legacy!AL11</f>
        <v/>
      </c>
      <c r="AM16" s="5">
        <f>Paid!AM9+Legacy!AM11</f>
        <v/>
      </c>
      <c r="AN16" s="5">
        <f>Paid!AN9+Legacy!AN11</f>
        <v/>
      </c>
      <c r="AO16" s="5">
        <f>Paid!AO9+Legacy!AO11</f>
        <v/>
      </c>
      <c r="AP16" s="5">
        <f>Paid!AP9+Legacy!AP11</f>
        <v/>
      </c>
      <c r="AQ16" s="5">
        <f>Paid!AQ9+Legacy!AQ11</f>
        <v/>
      </c>
      <c r="AR16" s="5">
        <f>Paid!AR9+Legacy!AR11</f>
        <v/>
      </c>
      <c r="AS16" s="5">
        <f>Paid!AS9+Legacy!AS11</f>
        <v/>
      </c>
      <c r="AT16" s="5">
        <f>Paid!AT9+Legacy!AT11</f>
        <v/>
      </c>
      <c r="AU16" s="5">
        <f>Paid!AU9+Legacy!AU11</f>
        <v/>
      </c>
      <c r="AV16" s="5">
        <f>Paid!AV9+Legacy!AV11</f>
        <v/>
      </c>
      <c r="AW16" s="5">
        <f>Paid!AW9+Legacy!AW11</f>
        <v/>
      </c>
      <c r="AX16" s="5">
        <f>Paid!AX9+Legacy!AX11</f>
        <v/>
      </c>
      <c r="AY16" s="5">
        <f>Paid!AY9+Legacy!AY11</f>
        <v/>
      </c>
      <c r="AZ16" s="5">
        <f>Paid!AZ9+Legacy!AZ11</f>
        <v/>
      </c>
      <c r="BA16" s="5">
        <f>Paid!BA9+Legacy!BA11</f>
        <v/>
      </c>
      <c r="BB16" s="5">
        <f>Paid!BB9+Legacy!BB11</f>
        <v/>
      </c>
      <c r="BC16" s="5">
        <f>Paid!BC9+Legacy!BC11</f>
        <v/>
      </c>
      <c r="BD16" s="5">
        <f>Paid!BD9+Legacy!BD11</f>
        <v/>
      </c>
      <c r="BE16" s="5">
        <f>Paid!BE9+Legacy!BE11</f>
        <v/>
      </c>
      <c r="BF16" s="5">
        <f>Paid!BF9+Legacy!BF11</f>
        <v/>
      </c>
      <c r="BG16" s="5">
        <f>Paid!BG9+Legacy!BG11</f>
        <v/>
      </c>
      <c r="BH16" s="5">
        <f>Paid!BH9+Legacy!BH11</f>
        <v/>
      </c>
      <c r="BI16" s="5">
        <f>Paid!BI9+Legacy!BI11</f>
        <v/>
      </c>
      <c r="BJ16" s="5">
        <f>Paid!BJ9+Legacy!BJ11</f>
        <v/>
      </c>
      <c r="BK16" s="5">
        <f>Paid!BK9+Legacy!BK11</f>
        <v/>
      </c>
      <c r="BL16" s="5">
        <f>Paid!BL9+Legacy!BL11</f>
        <v/>
      </c>
      <c r="BM16" s="5">
        <f>Paid!BM9+Legacy!BM11</f>
        <v/>
      </c>
      <c r="BN16" s="5">
        <f>Paid!BN9+Legacy!BN11</f>
        <v/>
      </c>
      <c r="BO16" s="5">
        <f>Paid!BO9+Legacy!BO11</f>
        <v/>
      </c>
      <c r="BP16" s="5">
        <f>Paid!BP9+Legacy!BP11</f>
        <v/>
      </c>
      <c r="BQ16" s="5">
        <f>Paid!BQ9+Legacy!BQ11</f>
        <v/>
      </c>
      <c r="BR16" s="5">
        <f>Paid!BR9+Legacy!BR11</f>
        <v/>
      </c>
      <c r="BS16" s="5">
        <f>Paid!BS9+Legacy!BS11</f>
        <v/>
      </c>
      <c r="BT16" s="5">
        <f>Paid!BT9+Legacy!BT11</f>
        <v/>
      </c>
      <c r="BU16" s="5">
        <f>Paid!BU9+Legacy!BU11</f>
        <v/>
      </c>
      <c r="BV16" s="5">
        <f>Paid!BV9+Legacy!BV11</f>
        <v/>
      </c>
    </row>
    <row r="17">
      <c r="A17" t="inlineStr">
        <is>
          <t>inflow @0</t>
        </is>
      </c>
      <c r="B17" t="inlineStr">
        <is>
          <t>US_CA|NITRO_A</t>
        </is>
      </c>
      <c r="C17" s="5">
        <f>C16*Eras!C$3</f>
        <v/>
      </c>
      <c r="D17" s="5">
        <f>D16*Eras!D$3</f>
        <v/>
      </c>
      <c r="E17" s="5">
        <f>E16*Eras!E$3</f>
        <v/>
      </c>
      <c r="F17" s="5">
        <f>F16*Eras!F$3</f>
        <v/>
      </c>
      <c r="G17" s="5">
        <f>G16*Eras!G$3</f>
        <v/>
      </c>
      <c r="H17" s="5">
        <f>H16*Eras!H$3</f>
        <v/>
      </c>
      <c r="I17" s="5">
        <f>I16*Eras!I$3</f>
        <v/>
      </c>
      <c r="J17" s="5">
        <f>J16*Eras!J$3</f>
        <v/>
      </c>
      <c r="K17" s="5">
        <f>K16*Eras!K$3</f>
        <v/>
      </c>
      <c r="L17" s="5">
        <f>L16*Eras!L$3</f>
        <v/>
      </c>
      <c r="M17" s="5">
        <f>M16*Eras!M$3</f>
        <v/>
      </c>
      <c r="N17" s="5">
        <f>N16*Eras!N$3</f>
        <v/>
      </c>
      <c r="O17" s="5">
        <f>O16*Eras!O$3</f>
        <v/>
      </c>
      <c r="P17" s="5">
        <f>P16*Eras!P$3</f>
        <v/>
      </c>
      <c r="Q17" s="5">
        <f>Q16*Eras!Q$3</f>
        <v/>
      </c>
      <c r="R17" s="5">
        <f>R16*Eras!R$3</f>
        <v/>
      </c>
      <c r="S17" s="5">
        <f>S16*Eras!S$3</f>
        <v/>
      </c>
      <c r="T17" s="5">
        <f>T16*Eras!T$3</f>
        <v/>
      </c>
      <c r="U17" s="5">
        <f>U16*Eras!U$3</f>
        <v/>
      </c>
      <c r="V17" s="5">
        <f>V16*Eras!V$3</f>
        <v/>
      </c>
      <c r="W17" s="5">
        <f>W16*Eras!W$3</f>
        <v/>
      </c>
      <c r="X17" s="5">
        <f>X16*Eras!X$3</f>
        <v/>
      </c>
      <c r="Y17" s="5">
        <f>Y16*Eras!Y$3</f>
        <v/>
      </c>
      <c r="Z17" s="5">
        <f>Z16*Eras!Z$3</f>
        <v/>
      </c>
      <c r="AA17" s="5">
        <f>AA16*Eras!AA$3</f>
        <v/>
      </c>
      <c r="AB17" s="5">
        <f>AB16*Eras!AB$3</f>
        <v/>
      </c>
      <c r="AC17" s="5">
        <f>AC16*Eras!AC$3</f>
        <v/>
      </c>
      <c r="AD17" s="5">
        <f>AD16*Eras!AD$3</f>
        <v/>
      </c>
      <c r="AE17" s="5">
        <f>AE16*Eras!AE$3</f>
        <v/>
      </c>
      <c r="AF17" s="5">
        <f>AF16*Eras!AF$3</f>
        <v/>
      </c>
      <c r="AG17" s="5">
        <f>AG16*Eras!AG$3</f>
        <v/>
      </c>
      <c r="AH17" s="5">
        <f>AH16*Eras!AH$3</f>
        <v/>
      </c>
      <c r="AI17" s="5">
        <f>AI16*Eras!AI$3</f>
        <v/>
      </c>
      <c r="AJ17" s="5">
        <f>AJ16*Eras!AJ$3</f>
        <v/>
      </c>
      <c r="AK17" s="5">
        <f>AK16*Eras!AK$3</f>
        <v/>
      </c>
      <c r="AL17" s="5">
        <f>AL16*Eras!AL$3</f>
        <v/>
      </c>
      <c r="AM17" s="5">
        <f>AM16*Eras!AM$3</f>
        <v/>
      </c>
      <c r="AN17" s="5">
        <f>AN16*Eras!AN$3</f>
        <v/>
      </c>
      <c r="AO17" s="5">
        <f>AO16*Eras!AO$3</f>
        <v/>
      </c>
      <c r="AP17" s="5">
        <f>AP16*Eras!AP$3</f>
        <v/>
      </c>
      <c r="AQ17" s="5">
        <f>AQ16*Eras!AQ$3</f>
        <v/>
      </c>
      <c r="AR17" s="5">
        <f>AR16*Eras!AR$3</f>
        <v/>
      </c>
      <c r="AS17" s="5">
        <f>AS16*Eras!AS$3</f>
        <v/>
      </c>
      <c r="AT17" s="5">
        <f>AT16*Eras!AT$3</f>
        <v/>
      </c>
      <c r="AU17" s="5">
        <f>AU16*Eras!AU$3</f>
        <v/>
      </c>
      <c r="AV17" s="5">
        <f>AV16*Eras!AV$3</f>
        <v/>
      </c>
      <c r="AW17" s="5">
        <f>AW16*Eras!AW$3</f>
        <v/>
      </c>
      <c r="AX17" s="5">
        <f>AX16*Eras!AX$3</f>
        <v/>
      </c>
      <c r="AY17" s="5">
        <f>AY16*Eras!AY$3</f>
        <v/>
      </c>
      <c r="AZ17" s="5">
        <f>AZ16*Eras!AZ$3</f>
        <v/>
      </c>
      <c r="BA17" s="5">
        <f>BA16*Eras!BA$3</f>
        <v/>
      </c>
      <c r="BB17" s="5">
        <f>BB16*Eras!BB$3</f>
        <v/>
      </c>
      <c r="BC17" s="5">
        <f>BC16*Eras!BC$3</f>
        <v/>
      </c>
      <c r="BD17" s="5">
        <f>BD16*Eras!BD$3</f>
        <v/>
      </c>
      <c r="BE17" s="5">
        <f>BE16*Eras!BE$3</f>
        <v/>
      </c>
      <c r="BF17" s="5">
        <f>BF16*Eras!BF$3</f>
        <v/>
      </c>
      <c r="BG17" s="5">
        <f>BG16*Eras!BG$3</f>
        <v/>
      </c>
      <c r="BH17" s="5">
        <f>BH16*Eras!BH$3</f>
        <v/>
      </c>
      <c r="BI17" s="5">
        <f>BI16*Eras!BI$3</f>
        <v/>
      </c>
      <c r="BJ17" s="5">
        <f>BJ16*Eras!BJ$3</f>
        <v/>
      </c>
      <c r="BK17" s="5">
        <f>BK16*Eras!BK$3</f>
        <v/>
      </c>
      <c r="BL17" s="5">
        <f>BL16*Eras!BL$3</f>
        <v/>
      </c>
      <c r="BM17" s="5">
        <f>BM16*Eras!BM$3</f>
        <v/>
      </c>
      <c r="BN17" s="5">
        <f>BN16*Eras!BN$3</f>
        <v/>
      </c>
      <c r="BO17" s="5">
        <f>BO16*Eras!BO$3</f>
        <v/>
      </c>
      <c r="BP17" s="5">
        <f>BP16*Eras!BP$3</f>
        <v/>
      </c>
      <c r="BQ17" s="5">
        <f>BQ16*Eras!BQ$3</f>
        <v/>
      </c>
      <c r="BR17" s="5">
        <f>BR16*Eras!BR$3</f>
        <v/>
      </c>
      <c r="BS17" s="5">
        <f>BS16*Eras!BS$3</f>
        <v/>
      </c>
      <c r="BT17" s="5">
        <f>BT16*Eras!BT$3</f>
        <v/>
      </c>
      <c r="BU17" s="5">
        <f>BU16*Eras!BU$3</f>
        <v/>
      </c>
      <c r="BV17" s="5">
        <f>BV16*Eras!BV$3</f>
        <v/>
      </c>
    </row>
    <row r="18">
      <c r="A18" t="inlineStr">
        <is>
          <t>inflow @1</t>
        </is>
      </c>
      <c r="B18" t="inlineStr">
        <is>
          <t>US_CA|NITRO_A</t>
        </is>
      </c>
      <c r="C18" s="5">
        <f>C16*Eras!C$4</f>
        <v/>
      </c>
      <c r="D18" s="5">
        <f>D16*Eras!D$4</f>
        <v/>
      </c>
      <c r="E18" s="5">
        <f>E16*Eras!E$4</f>
        <v/>
      </c>
      <c r="F18" s="5">
        <f>F16*Eras!F$4</f>
        <v/>
      </c>
      <c r="G18" s="5">
        <f>G16*Eras!G$4</f>
        <v/>
      </c>
      <c r="H18" s="5">
        <f>H16*Eras!H$4</f>
        <v/>
      </c>
      <c r="I18" s="5">
        <f>I16*Eras!I$4</f>
        <v/>
      </c>
      <c r="J18" s="5">
        <f>J16*Eras!J$4</f>
        <v/>
      </c>
      <c r="K18" s="5">
        <f>K16*Eras!K$4</f>
        <v/>
      </c>
      <c r="L18" s="5">
        <f>L16*Eras!L$4</f>
        <v/>
      </c>
      <c r="M18" s="5">
        <f>M16*Eras!M$4</f>
        <v/>
      </c>
      <c r="N18" s="5">
        <f>N16*Eras!N$4</f>
        <v/>
      </c>
      <c r="O18" s="5">
        <f>O16*Eras!O$4</f>
        <v/>
      </c>
      <c r="P18" s="5">
        <f>P16*Eras!P$4</f>
        <v/>
      </c>
      <c r="Q18" s="5">
        <f>Q16*Eras!Q$4</f>
        <v/>
      </c>
      <c r="R18" s="5">
        <f>R16*Eras!R$4</f>
        <v/>
      </c>
      <c r="S18" s="5">
        <f>S16*Eras!S$4</f>
        <v/>
      </c>
      <c r="T18" s="5">
        <f>T16*Eras!T$4</f>
        <v/>
      </c>
      <c r="U18" s="5">
        <f>U16*Eras!U$4</f>
        <v/>
      </c>
      <c r="V18" s="5">
        <f>V16*Eras!V$4</f>
        <v/>
      </c>
      <c r="W18" s="5">
        <f>W16*Eras!W$4</f>
        <v/>
      </c>
      <c r="X18" s="5">
        <f>X16*Eras!X$4</f>
        <v/>
      </c>
      <c r="Y18" s="5">
        <f>Y16*Eras!Y$4</f>
        <v/>
      </c>
      <c r="Z18" s="5">
        <f>Z16*Eras!Z$4</f>
        <v/>
      </c>
      <c r="AA18" s="5">
        <f>AA16*Eras!AA$4</f>
        <v/>
      </c>
      <c r="AB18" s="5">
        <f>AB16*Eras!AB$4</f>
        <v/>
      </c>
      <c r="AC18" s="5">
        <f>AC16*Eras!AC$4</f>
        <v/>
      </c>
      <c r="AD18" s="5">
        <f>AD16*Eras!AD$4</f>
        <v/>
      </c>
      <c r="AE18" s="5">
        <f>AE16*Eras!AE$4</f>
        <v/>
      </c>
      <c r="AF18" s="5">
        <f>AF16*Eras!AF$4</f>
        <v/>
      </c>
      <c r="AG18" s="5">
        <f>AG16*Eras!AG$4</f>
        <v/>
      </c>
      <c r="AH18" s="5">
        <f>AH16*Eras!AH$4</f>
        <v/>
      </c>
      <c r="AI18" s="5">
        <f>AI16*Eras!AI$4</f>
        <v/>
      </c>
      <c r="AJ18" s="5">
        <f>AJ16*Eras!AJ$4</f>
        <v/>
      </c>
      <c r="AK18" s="5">
        <f>AK16*Eras!AK$4</f>
        <v/>
      </c>
      <c r="AL18" s="5">
        <f>AL16*Eras!AL$4</f>
        <v/>
      </c>
      <c r="AM18" s="5">
        <f>AM16*Eras!AM$4</f>
        <v/>
      </c>
      <c r="AN18" s="5">
        <f>AN16*Eras!AN$4</f>
        <v/>
      </c>
      <c r="AO18" s="5">
        <f>AO16*Eras!AO$4</f>
        <v/>
      </c>
      <c r="AP18" s="5">
        <f>AP16*Eras!AP$4</f>
        <v/>
      </c>
      <c r="AQ18" s="5">
        <f>AQ16*Eras!AQ$4</f>
        <v/>
      </c>
      <c r="AR18" s="5">
        <f>AR16*Eras!AR$4</f>
        <v/>
      </c>
      <c r="AS18" s="5">
        <f>AS16*Eras!AS$4</f>
        <v/>
      </c>
      <c r="AT18" s="5">
        <f>AT16*Eras!AT$4</f>
        <v/>
      </c>
      <c r="AU18" s="5">
        <f>AU16*Eras!AU$4</f>
        <v/>
      </c>
      <c r="AV18" s="5">
        <f>AV16*Eras!AV$4</f>
        <v/>
      </c>
      <c r="AW18" s="5">
        <f>AW16*Eras!AW$4</f>
        <v/>
      </c>
      <c r="AX18" s="5">
        <f>AX16*Eras!AX$4</f>
        <v/>
      </c>
      <c r="AY18" s="5">
        <f>AY16*Eras!AY$4</f>
        <v/>
      </c>
      <c r="AZ18" s="5">
        <f>AZ16*Eras!AZ$4</f>
        <v/>
      </c>
      <c r="BA18" s="5">
        <f>BA16*Eras!BA$4</f>
        <v/>
      </c>
      <c r="BB18" s="5">
        <f>BB16*Eras!BB$4</f>
        <v/>
      </c>
      <c r="BC18" s="5">
        <f>BC16*Eras!BC$4</f>
        <v/>
      </c>
      <c r="BD18" s="5">
        <f>BD16*Eras!BD$4</f>
        <v/>
      </c>
      <c r="BE18" s="5">
        <f>BE16*Eras!BE$4</f>
        <v/>
      </c>
      <c r="BF18" s="5">
        <f>BF16*Eras!BF$4</f>
        <v/>
      </c>
      <c r="BG18" s="5">
        <f>BG16*Eras!BG$4</f>
        <v/>
      </c>
      <c r="BH18" s="5">
        <f>BH16*Eras!BH$4</f>
        <v/>
      </c>
      <c r="BI18" s="5">
        <f>BI16*Eras!BI$4</f>
        <v/>
      </c>
      <c r="BJ18" s="5">
        <f>BJ16*Eras!BJ$4</f>
        <v/>
      </c>
      <c r="BK18" s="5">
        <f>BK16*Eras!BK$4</f>
        <v/>
      </c>
      <c r="BL18" s="5">
        <f>BL16*Eras!BL$4</f>
        <v/>
      </c>
      <c r="BM18" s="5">
        <f>BM16*Eras!BM$4</f>
        <v/>
      </c>
      <c r="BN18" s="5">
        <f>BN16*Eras!BN$4</f>
        <v/>
      </c>
      <c r="BO18" s="5">
        <f>BO16*Eras!BO$4</f>
        <v/>
      </c>
      <c r="BP18" s="5">
        <f>BP16*Eras!BP$4</f>
        <v/>
      </c>
      <c r="BQ18" s="5">
        <f>BQ16*Eras!BQ$4</f>
        <v/>
      </c>
      <c r="BR18" s="5">
        <f>BR16*Eras!BR$4</f>
        <v/>
      </c>
      <c r="BS18" s="5">
        <f>BS16*Eras!BS$4</f>
        <v/>
      </c>
      <c r="BT18" s="5">
        <f>BT16*Eras!BT$4</f>
        <v/>
      </c>
      <c r="BU18" s="5">
        <f>BU16*Eras!BU$4</f>
        <v/>
      </c>
      <c r="BV18" s="5">
        <f>BV16*Eras!BV$4</f>
        <v/>
      </c>
    </row>
    <row r="19">
      <c r="A19" t="inlineStr">
        <is>
          <t>inflow @2</t>
        </is>
      </c>
      <c r="B19" t="inlineStr">
        <is>
          <t>US_CA|NITRO_A</t>
        </is>
      </c>
      <c r="C19" s="5">
        <f>C16*Eras!C$5</f>
        <v/>
      </c>
      <c r="D19" s="5">
        <f>D16*Eras!D$5</f>
        <v/>
      </c>
      <c r="E19" s="5">
        <f>E16*Eras!E$5</f>
        <v/>
      </c>
      <c r="F19" s="5">
        <f>F16*Eras!F$5</f>
        <v/>
      </c>
      <c r="G19" s="5">
        <f>G16*Eras!G$5</f>
        <v/>
      </c>
      <c r="H19" s="5">
        <f>H16*Eras!H$5</f>
        <v/>
      </c>
      <c r="I19" s="5">
        <f>I16*Eras!I$5</f>
        <v/>
      </c>
      <c r="J19" s="5">
        <f>J16*Eras!J$5</f>
        <v/>
      </c>
      <c r="K19" s="5">
        <f>K16*Eras!K$5</f>
        <v/>
      </c>
      <c r="L19" s="5">
        <f>L16*Eras!L$5</f>
        <v/>
      </c>
      <c r="M19" s="5">
        <f>M16*Eras!M$5</f>
        <v/>
      </c>
      <c r="N19" s="5">
        <f>N16*Eras!N$5</f>
        <v/>
      </c>
      <c r="O19" s="5">
        <f>O16*Eras!O$5</f>
        <v/>
      </c>
      <c r="P19" s="5">
        <f>P16*Eras!P$5</f>
        <v/>
      </c>
      <c r="Q19" s="5">
        <f>Q16*Eras!Q$5</f>
        <v/>
      </c>
      <c r="R19" s="5">
        <f>R16*Eras!R$5</f>
        <v/>
      </c>
      <c r="S19" s="5">
        <f>S16*Eras!S$5</f>
        <v/>
      </c>
      <c r="T19" s="5">
        <f>T16*Eras!T$5</f>
        <v/>
      </c>
      <c r="U19" s="5">
        <f>U16*Eras!U$5</f>
        <v/>
      </c>
      <c r="V19" s="5">
        <f>V16*Eras!V$5</f>
        <v/>
      </c>
      <c r="W19" s="5">
        <f>W16*Eras!W$5</f>
        <v/>
      </c>
      <c r="X19" s="5">
        <f>X16*Eras!X$5</f>
        <v/>
      </c>
      <c r="Y19" s="5">
        <f>Y16*Eras!Y$5</f>
        <v/>
      </c>
      <c r="Z19" s="5">
        <f>Z16*Eras!Z$5</f>
        <v/>
      </c>
      <c r="AA19" s="5">
        <f>AA16*Eras!AA$5</f>
        <v/>
      </c>
      <c r="AB19" s="5">
        <f>AB16*Eras!AB$5</f>
        <v/>
      </c>
      <c r="AC19" s="5">
        <f>AC16*Eras!AC$5</f>
        <v/>
      </c>
      <c r="AD19" s="5">
        <f>AD16*Eras!AD$5</f>
        <v/>
      </c>
      <c r="AE19" s="5">
        <f>AE16*Eras!AE$5</f>
        <v/>
      </c>
      <c r="AF19" s="5">
        <f>AF16*Eras!AF$5</f>
        <v/>
      </c>
      <c r="AG19" s="5">
        <f>AG16*Eras!AG$5</f>
        <v/>
      </c>
      <c r="AH19" s="5">
        <f>AH16*Eras!AH$5</f>
        <v/>
      </c>
      <c r="AI19" s="5">
        <f>AI16*Eras!AI$5</f>
        <v/>
      </c>
      <c r="AJ19" s="5">
        <f>AJ16*Eras!AJ$5</f>
        <v/>
      </c>
      <c r="AK19" s="5">
        <f>AK16*Eras!AK$5</f>
        <v/>
      </c>
      <c r="AL19" s="5">
        <f>AL16*Eras!AL$5</f>
        <v/>
      </c>
      <c r="AM19" s="5">
        <f>AM16*Eras!AM$5</f>
        <v/>
      </c>
      <c r="AN19" s="5">
        <f>AN16*Eras!AN$5</f>
        <v/>
      </c>
      <c r="AO19" s="5">
        <f>AO16*Eras!AO$5</f>
        <v/>
      </c>
      <c r="AP19" s="5">
        <f>AP16*Eras!AP$5</f>
        <v/>
      </c>
      <c r="AQ19" s="5">
        <f>AQ16*Eras!AQ$5</f>
        <v/>
      </c>
      <c r="AR19" s="5">
        <f>AR16*Eras!AR$5</f>
        <v/>
      </c>
      <c r="AS19" s="5">
        <f>AS16*Eras!AS$5</f>
        <v/>
      </c>
      <c r="AT19" s="5">
        <f>AT16*Eras!AT$5</f>
        <v/>
      </c>
      <c r="AU19" s="5">
        <f>AU16*Eras!AU$5</f>
        <v/>
      </c>
      <c r="AV19" s="5">
        <f>AV16*Eras!AV$5</f>
        <v/>
      </c>
      <c r="AW19" s="5">
        <f>AW16*Eras!AW$5</f>
        <v/>
      </c>
      <c r="AX19" s="5">
        <f>AX16*Eras!AX$5</f>
        <v/>
      </c>
      <c r="AY19" s="5">
        <f>AY16*Eras!AY$5</f>
        <v/>
      </c>
      <c r="AZ19" s="5">
        <f>AZ16*Eras!AZ$5</f>
        <v/>
      </c>
      <c r="BA19" s="5">
        <f>BA16*Eras!BA$5</f>
        <v/>
      </c>
      <c r="BB19" s="5">
        <f>BB16*Eras!BB$5</f>
        <v/>
      </c>
      <c r="BC19" s="5">
        <f>BC16*Eras!BC$5</f>
        <v/>
      </c>
      <c r="BD19" s="5">
        <f>BD16*Eras!BD$5</f>
        <v/>
      </c>
      <c r="BE19" s="5">
        <f>BE16*Eras!BE$5</f>
        <v/>
      </c>
      <c r="BF19" s="5">
        <f>BF16*Eras!BF$5</f>
        <v/>
      </c>
      <c r="BG19" s="5">
        <f>BG16*Eras!BG$5</f>
        <v/>
      </c>
      <c r="BH19" s="5">
        <f>BH16*Eras!BH$5</f>
        <v/>
      </c>
      <c r="BI19" s="5">
        <f>BI16*Eras!BI$5</f>
        <v/>
      </c>
      <c r="BJ19" s="5">
        <f>BJ16*Eras!BJ$5</f>
        <v/>
      </c>
      <c r="BK19" s="5">
        <f>BK16*Eras!BK$5</f>
        <v/>
      </c>
      <c r="BL19" s="5">
        <f>BL16*Eras!BL$5</f>
        <v/>
      </c>
      <c r="BM19" s="5">
        <f>BM16*Eras!BM$5</f>
        <v/>
      </c>
      <c r="BN19" s="5">
        <f>BN16*Eras!BN$5</f>
        <v/>
      </c>
      <c r="BO19" s="5">
        <f>BO16*Eras!BO$5</f>
        <v/>
      </c>
      <c r="BP19" s="5">
        <f>BP16*Eras!BP$5</f>
        <v/>
      </c>
      <c r="BQ19" s="5">
        <f>BQ16*Eras!BQ$5</f>
        <v/>
      </c>
      <c r="BR19" s="5">
        <f>BR16*Eras!BR$5</f>
        <v/>
      </c>
      <c r="BS19" s="5">
        <f>BS16*Eras!BS$5</f>
        <v/>
      </c>
      <c r="BT19" s="5">
        <f>BT16*Eras!BT$5</f>
        <v/>
      </c>
      <c r="BU19" s="5">
        <f>BU16*Eras!BU$5</f>
        <v/>
      </c>
      <c r="BV19" s="5">
        <f>BV16*Eras!BV$5</f>
        <v/>
      </c>
    </row>
    <row r="20">
      <c r="A20" t="inlineStr">
        <is>
          <t>reactivations out</t>
        </is>
      </c>
      <c r="B20" t="inlineStr">
        <is>
          <t>US_CA|NITRO_A</t>
        </is>
      </c>
      <c r="C20" s="5">
        <f>React!$C$17*Curves!$BV$21+React!$C$18*Curves!$BV$44+React!$C$19*Curves!$BV$67</f>
        <v/>
      </c>
      <c r="D20" s="5">
        <f>SUMPRODUCT(React!$C$17:$D$17,Curves!$BU$21:$BV$21)+SUMPRODUCT(React!$C$18:$D$18,Curves!$BU$44:$BV$44)+SUMPRODUCT(React!$C$19:$D$19,Curves!$BU$67:$BV$67)</f>
        <v/>
      </c>
      <c r="E20" s="5">
        <f>SUMPRODUCT(React!$C$17:$E$17,Curves!$BT$21:$BV$21)+SUMPRODUCT(React!$C$18:$E$18,Curves!$BT$44:$BV$44)+SUMPRODUCT(React!$C$19:$E$19,Curves!$BT$67:$BV$67)</f>
        <v/>
      </c>
      <c r="F20" s="5">
        <f>SUMPRODUCT(React!$C$17:$F$17,Curves!$BS$21:$BV$21)+SUMPRODUCT(React!$C$18:$F$18,Curves!$BS$44:$BV$44)+SUMPRODUCT(React!$C$19:$F$19,Curves!$BS$67:$BV$67)</f>
        <v/>
      </c>
      <c r="G20" s="5">
        <f>SUMPRODUCT(React!$C$17:$G$17,Curves!$BR$21:$BV$21)+SUMPRODUCT(React!$C$18:$G$18,Curves!$BR$44:$BV$44)+SUMPRODUCT(React!$C$19:$G$19,Curves!$BR$67:$BV$67)</f>
        <v/>
      </c>
      <c r="H20" s="5">
        <f>SUMPRODUCT(React!$C$17:$H$17,Curves!$BQ$21:$BV$21)+SUMPRODUCT(React!$C$18:$H$18,Curves!$BQ$44:$BV$44)+SUMPRODUCT(React!$C$19:$H$19,Curves!$BQ$67:$BV$67)</f>
        <v/>
      </c>
      <c r="I20" s="5">
        <f>SUMPRODUCT(React!$C$17:$I$17,Curves!$BP$21:$BV$21)+SUMPRODUCT(React!$C$18:$I$18,Curves!$BP$44:$BV$44)+SUMPRODUCT(React!$C$19:$I$19,Curves!$BP$67:$BV$67)</f>
        <v/>
      </c>
      <c r="J20" s="5">
        <f>SUMPRODUCT(React!$C$17:$J$17,Curves!$BO$21:$BV$21)+SUMPRODUCT(React!$C$18:$J$18,Curves!$BO$44:$BV$44)+SUMPRODUCT(React!$C$19:$J$19,Curves!$BO$67:$BV$67)</f>
        <v/>
      </c>
      <c r="K20" s="5">
        <f>SUMPRODUCT(React!$C$17:$K$17,Curves!$BN$21:$BV$21)+SUMPRODUCT(React!$C$18:$K$18,Curves!$BN$44:$BV$44)+SUMPRODUCT(React!$C$19:$K$19,Curves!$BN$67:$BV$67)</f>
        <v/>
      </c>
      <c r="L20" s="5">
        <f>SUMPRODUCT(React!$C$17:$L$17,Curves!$BM$21:$BV$21)+SUMPRODUCT(React!$C$18:$L$18,Curves!$BM$44:$BV$44)+SUMPRODUCT(React!$C$19:$L$19,Curves!$BM$67:$BV$67)</f>
        <v/>
      </c>
      <c r="M20" s="5">
        <f>SUMPRODUCT(React!$C$17:$M$17,Curves!$BL$21:$BV$21)+SUMPRODUCT(React!$C$18:$M$18,Curves!$BL$44:$BV$44)+SUMPRODUCT(React!$C$19:$M$19,Curves!$BL$67:$BV$67)</f>
        <v/>
      </c>
      <c r="N20" s="5">
        <f>SUMPRODUCT(React!$C$17:$N$17,Curves!$BK$21:$BV$21)+SUMPRODUCT(React!$C$18:$N$18,Curves!$BK$44:$BV$44)+SUMPRODUCT(React!$C$19:$N$19,Curves!$BK$67:$BV$67)</f>
        <v/>
      </c>
      <c r="O20" s="5">
        <f>SUMPRODUCT(React!$C$17:$O$17,Curves!$BJ$21:$BV$21)+SUMPRODUCT(React!$C$18:$O$18,Curves!$BJ$44:$BV$44)+SUMPRODUCT(React!$C$19:$O$19,Curves!$BJ$67:$BV$67)</f>
        <v/>
      </c>
      <c r="P20" s="5">
        <f>SUMPRODUCT(React!$C$17:$P$17,Curves!$BI$21:$BV$21)+SUMPRODUCT(React!$C$18:$P$18,Curves!$BI$44:$BV$44)+SUMPRODUCT(React!$C$19:$P$19,Curves!$BI$67:$BV$67)</f>
        <v/>
      </c>
      <c r="Q20" s="5">
        <f>SUMPRODUCT(React!$C$17:$Q$17,Curves!$BH$21:$BV$21)+SUMPRODUCT(React!$C$18:$Q$18,Curves!$BH$44:$BV$44)+SUMPRODUCT(React!$C$19:$Q$19,Curves!$BH$67:$BV$67)</f>
        <v/>
      </c>
      <c r="R20" s="5">
        <f>SUMPRODUCT(React!$C$17:$R$17,Curves!$BG$21:$BV$21)+SUMPRODUCT(React!$C$18:$R$18,Curves!$BG$44:$BV$44)+SUMPRODUCT(React!$C$19:$R$19,Curves!$BG$67:$BV$67)</f>
        <v/>
      </c>
      <c r="S20" s="5">
        <f>SUMPRODUCT(React!$C$17:$S$17,Curves!$BF$21:$BV$21)+SUMPRODUCT(React!$C$18:$S$18,Curves!$BF$44:$BV$44)+SUMPRODUCT(React!$C$19:$S$19,Curves!$BF$67:$BV$67)</f>
        <v/>
      </c>
      <c r="T20" s="5">
        <f>SUMPRODUCT(React!$C$17:$T$17,Curves!$BE$21:$BV$21)+SUMPRODUCT(React!$C$18:$T$18,Curves!$BE$44:$BV$44)+SUMPRODUCT(React!$C$19:$T$19,Curves!$BE$67:$BV$67)</f>
        <v/>
      </c>
      <c r="U20" s="5">
        <f>SUMPRODUCT(React!$C$17:$U$17,Curves!$BD$21:$BV$21)+SUMPRODUCT(React!$C$18:$U$18,Curves!$BD$44:$BV$44)+SUMPRODUCT(React!$C$19:$U$19,Curves!$BD$67:$BV$67)</f>
        <v/>
      </c>
      <c r="V20" s="5">
        <f>SUMPRODUCT(React!$C$17:$V$17,Curves!$BC$21:$BV$21)+SUMPRODUCT(React!$C$18:$V$18,Curves!$BC$44:$BV$44)+SUMPRODUCT(React!$C$19:$V$19,Curves!$BC$67:$BV$67)</f>
        <v/>
      </c>
      <c r="W20" s="5">
        <f>SUMPRODUCT(React!$C$17:$W$17,Curves!$BB$21:$BV$21)+SUMPRODUCT(React!$C$18:$W$18,Curves!$BB$44:$BV$44)+SUMPRODUCT(React!$C$19:$W$19,Curves!$BB$67:$BV$67)</f>
        <v/>
      </c>
      <c r="X20" s="5">
        <f>SUMPRODUCT(React!$C$17:$X$17,Curves!$BA$21:$BV$21)+SUMPRODUCT(React!$C$18:$X$18,Curves!$BA$44:$BV$44)+SUMPRODUCT(React!$C$19:$X$19,Curves!$BA$67:$BV$67)</f>
        <v/>
      </c>
      <c r="Y20" s="5">
        <f>SUMPRODUCT(React!$C$17:$Y$17,Curves!$AZ$21:$BV$21)+SUMPRODUCT(React!$C$18:$Y$18,Curves!$AZ$44:$BV$44)+SUMPRODUCT(React!$C$19:$Y$19,Curves!$AZ$67:$BV$67)</f>
        <v/>
      </c>
      <c r="Z20" s="5">
        <f>SUMPRODUCT(React!$C$17:$Z$17,Curves!$AY$21:$BV$21)+SUMPRODUCT(React!$C$18:$Z$18,Curves!$AY$44:$BV$44)+SUMPRODUCT(React!$C$19:$Z$19,Curves!$AY$67:$BV$67)</f>
        <v/>
      </c>
      <c r="AA20" s="5">
        <f>SUMPRODUCT(React!$C$17:$AA$17,Curves!$AX$21:$BV$21)+SUMPRODUCT(React!$C$18:$AA$18,Curves!$AX$44:$BV$44)+SUMPRODUCT(React!$C$19:$AA$19,Curves!$AX$67:$BV$67)</f>
        <v/>
      </c>
      <c r="AB20" s="5">
        <f>SUMPRODUCT(React!$C$17:$AB$17,Curves!$AW$21:$BV$21)+SUMPRODUCT(React!$C$18:$AB$18,Curves!$AW$44:$BV$44)+SUMPRODUCT(React!$C$19:$AB$19,Curves!$AW$67:$BV$67)</f>
        <v/>
      </c>
      <c r="AC20" s="5">
        <f>SUMPRODUCT(React!$C$17:$AC$17,Curves!$AV$21:$BV$21)+SUMPRODUCT(React!$C$18:$AC$18,Curves!$AV$44:$BV$44)+SUMPRODUCT(React!$C$19:$AC$19,Curves!$AV$67:$BV$67)</f>
        <v/>
      </c>
      <c r="AD20" s="5">
        <f>SUMPRODUCT(React!$C$17:$AD$17,Curves!$AU$21:$BV$21)+SUMPRODUCT(React!$C$18:$AD$18,Curves!$AU$44:$BV$44)+SUMPRODUCT(React!$C$19:$AD$19,Curves!$AU$67:$BV$67)</f>
        <v/>
      </c>
      <c r="AE20" s="5">
        <f>SUMPRODUCT(React!$C$17:$AE$17,Curves!$AT$21:$BV$21)+SUMPRODUCT(React!$C$18:$AE$18,Curves!$AT$44:$BV$44)+SUMPRODUCT(React!$C$19:$AE$19,Curves!$AT$67:$BV$67)</f>
        <v/>
      </c>
      <c r="AF20" s="5">
        <f>SUMPRODUCT(React!$C$17:$AF$17,Curves!$AS$21:$BV$21)+SUMPRODUCT(React!$C$18:$AF$18,Curves!$AS$44:$BV$44)+SUMPRODUCT(React!$C$19:$AF$19,Curves!$AS$67:$BV$67)</f>
        <v/>
      </c>
      <c r="AG20" s="5">
        <f>SUMPRODUCT(React!$C$17:$AG$17,Curves!$AR$21:$BV$21)+SUMPRODUCT(React!$C$18:$AG$18,Curves!$AR$44:$BV$44)+SUMPRODUCT(React!$C$19:$AG$19,Curves!$AR$67:$BV$67)</f>
        <v/>
      </c>
      <c r="AH20" s="5">
        <f>SUMPRODUCT(React!$C$17:$AH$17,Curves!$AQ$21:$BV$21)+SUMPRODUCT(React!$C$18:$AH$18,Curves!$AQ$44:$BV$44)+SUMPRODUCT(React!$C$19:$AH$19,Curves!$AQ$67:$BV$67)</f>
        <v/>
      </c>
      <c r="AI20" s="5">
        <f>SUMPRODUCT(React!$C$17:$AI$17,Curves!$AP$21:$BV$21)+SUMPRODUCT(React!$C$18:$AI$18,Curves!$AP$44:$BV$44)+SUMPRODUCT(React!$C$19:$AI$19,Curves!$AP$67:$BV$67)</f>
        <v/>
      </c>
      <c r="AJ20" s="5">
        <f>SUMPRODUCT(React!$C$17:$AJ$17,Curves!$AO$21:$BV$21)+SUMPRODUCT(React!$C$18:$AJ$18,Curves!$AO$44:$BV$44)+SUMPRODUCT(React!$C$19:$AJ$19,Curves!$AO$67:$BV$67)</f>
        <v/>
      </c>
      <c r="AK20" s="5">
        <f>SUMPRODUCT(React!$C$17:$AK$17,Curves!$AN$21:$BV$21)+SUMPRODUCT(React!$C$18:$AK$18,Curves!$AN$44:$BV$44)+SUMPRODUCT(React!$C$19:$AK$19,Curves!$AN$67:$BV$67)</f>
        <v/>
      </c>
      <c r="AL20" s="5">
        <f>SUMPRODUCT(React!$C$17:$AL$17,Curves!$AM$21:$BV$21)+SUMPRODUCT(React!$C$18:$AL$18,Curves!$AM$44:$BV$44)+SUMPRODUCT(React!$C$19:$AL$19,Curves!$AM$67:$BV$67)</f>
        <v/>
      </c>
      <c r="AM20" s="5">
        <f>SUMPRODUCT(React!$C$17:$AM$17,Curves!$AL$21:$BV$21)+SUMPRODUCT(React!$C$18:$AM$18,Curves!$AL$44:$BV$44)+SUMPRODUCT(React!$C$19:$AM$19,Curves!$AL$67:$BV$67)</f>
        <v/>
      </c>
      <c r="AN20" s="5">
        <f>SUMPRODUCT(React!$C$17:$AN$17,Curves!$AK$21:$BV$21)+SUMPRODUCT(React!$C$18:$AN$18,Curves!$AK$44:$BV$44)+SUMPRODUCT(React!$C$19:$AN$19,Curves!$AK$67:$BV$67)</f>
        <v/>
      </c>
      <c r="AO20" s="5">
        <f>SUMPRODUCT(React!$C$17:$AO$17,Curves!$AJ$21:$BV$21)+SUMPRODUCT(React!$C$18:$AO$18,Curves!$AJ$44:$BV$44)+SUMPRODUCT(React!$C$19:$AO$19,Curves!$AJ$67:$BV$67)</f>
        <v/>
      </c>
      <c r="AP20" s="5">
        <f>SUMPRODUCT(React!$C$17:$AP$17,Curves!$AI$21:$BV$21)+SUMPRODUCT(React!$C$18:$AP$18,Curves!$AI$44:$BV$44)+SUMPRODUCT(React!$C$19:$AP$19,Curves!$AI$67:$BV$67)</f>
        <v/>
      </c>
      <c r="AQ20" s="5">
        <f>SUMPRODUCT(React!$C$17:$AQ$17,Curves!$AH$21:$BV$21)+SUMPRODUCT(React!$C$18:$AQ$18,Curves!$AH$44:$BV$44)+SUMPRODUCT(React!$C$19:$AQ$19,Curves!$AH$67:$BV$67)</f>
        <v/>
      </c>
      <c r="AR20" s="5">
        <f>SUMPRODUCT(React!$C$17:$AR$17,Curves!$AG$21:$BV$21)+SUMPRODUCT(React!$C$18:$AR$18,Curves!$AG$44:$BV$44)+SUMPRODUCT(React!$C$19:$AR$19,Curves!$AG$67:$BV$67)</f>
        <v/>
      </c>
      <c r="AS20" s="5">
        <f>SUMPRODUCT(React!$C$17:$AS$17,Curves!$AF$21:$BV$21)+SUMPRODUCT(React!$C$18:$AS$18,Curves!$AF$44:$BV$44)+SUMPRODUCT(React!$C$19:$AS$19,Curves!$AF$67:$BV$67)</f>
        <v/>
      </c>
      <c r="AT20" s="5">
        <f>SUMPRODUCT(React!$C$17:$AT$17,Curves!$AE$21:$BV$21)+SUMPRODUCT(React!$C$18:$AT$18,Curves!$AE$44:$BV$44)+SUMPRODUCT(React!$C$19:$AT$19,Curves!$AE$67:$BV$67)</f>
        <v/>
      </c>
      <c r="AU20" s="5">
        <f>SUMPRODUCT(React!$C$17:$AU$17,Curves!$AD$21:$BV$21)+SUMPRODUCT(React!$C$18:$AU$18,Curves!$AD$44:$BV$44)+SUMPRODUCT(React!$C$19:$AU$19,Curves!$AD$67:$BV$67)</f>
        <v/>
      </c>
      <c r="AV20" s="5">
        <f>SUMPRODUCT(React!$C$17:$AV$17,Curves!$AC$21:$BV$21)+SUMPRODUCT(React!$C$18:$AV$18,Curves!$AC$44:$BV$44)+SUMPRODUCT(React!$C$19:$AV$19,Curves!$AC$67:$BV$67)</f>
        <v/>
      </c>
      <c r="AW20" s="5">
        <f>SUMPRODUCT(React!$C$17:$AW$17,Curves!$AB$21:$BV$21)+SUMPRODUCT(React!$C$18:$AW$18,Curves!$AB$44:$BV$44)+SUMPRODUCT(React!$C$19:$AW$19,Curves!$AB$67:$BV$67)</f>
        <v/>
      </c>
      <c r="AX20" s="5">
        <f>SUMPRODUCT(React!$C$17:$AX$17,Curves!$AA$21:$BV$21)+SUMPRODUCT(React!$C$18:$AX$18,Curves!$AA$44:$BV$44)+SUMPRODUCT(React!$C$19:$AX$19,Curves!$AA$67:$BV$67)</f>
        <v/>
      </c>
      <c r="AY20" s="5">
        <f>SUMPRODUCT(React!$C$17:$AY$17,Curves!$Z$21:$BV$21)+SUMPRODUCT(React!$C$18:$AY$18,Curves!$Z$44:$BV$44)+SUMPRODUCT(React!$C$19:$AY$19,Curves!$Z$67:$BV$67)</f>
        <v/>
      </c>
      <c r="AZ20" s="5">
        <f>SUMPRODUCT(React!$C$17:$AZ$17,Curves!$Y$21:$BV$21)+SUMPRODUCT(React!$C$18:$AZ$18,Curves!$Y$44:$BV$44)+SUMPRODUCT(React!$C$19:$AZ$19,Curves!$Y$67:$BV$67)</f>
        <v/>
      </c>
      <c r="BA20" s="5">
        <f>SUMPRODUCT(React!$C$17:$BA$17,Curves!$X$21:$BV$21)+SUMPRODUCT(React!$C$18:$BA$18,Curves!$X$44:$BV$44)+SUMPRODUCT(React!$C$19:$BA$19,Curves!$X$67:$BV$67)</f>
        <v/>
      </c>
      <c r="BB20" s="5">
        <f>SUMPRODUCT(React!$C$17:$BB$17,Curves!$W$21:$BV$21)+SUMPRODUCT(React!$C$18:$BB$18,Curves!$W$44:$BV$44)+SUMPRODUCT(React!$C$19:$BB$19,Curves!$W$67:$BV$67)</f>
        <v/>
      </c>
      <c r="BC20" s="5">
        <f>SUMPRODUCT(React!$C$17:$BC$17,Curves!$V$21:$BV$21)+SUMPRODUCT(React!$C$18:$BC$18,Curves!$V$44:$BV$44)+SUMPRODUCT(React!$C$19:$BC$19,Curves!$V$67:$BV$67)</f>
        <v/>
      </c>
      <c r="BD20" s="5">
        <f>SUMPRODUCT(React!$C$17:$BD$17,Curves!$U$21:$BV$21)+SUMPRODUCT(React!$C$18:$BD$18,Curves!$U$44:$BV$44)+SUMPRODUCT(React!$C$19:$BD$19,Curves!$U$67:$BV$67)</f>
        <v/>
      </c>
      <c r="BE20" s="5">
        <f>SUMPRODUCT(React!$C$17:$BE$17,Curves!$T$21:$BV$21)+SUMPRODUCT(React!$C$18:$BE$18,Curves!$T$44:$BV$44)+SUMPRODUCT(React!$C$19:$BE$19,Curves!$T$67:$BV$67)</f>
        <v/>
      </c>
      <c r="BF20" s="5">
        <f>SUMPRODUCT(React!$C$17:$BF$17,Curves!$S$21:$BV$21)+SUMPRODUCT(React!$C$18:$BF$18,Curves!$S$44:$BV$44)+SUMPRODUCT(React!$C$19:$BF$19,Curves!$S$67:$BV$67)</f>
        <v/>
      </c>
      <c r="BG20" s="5">
        <f>SUMPRODUCT(React!$C$17:$BG$17,Curves!$R$21:$BV$21)+SUMPRODUCT(React!$C$18:$BG$18,Curves!$R$44:$BV$44)+SUMPRODUCT(React!$C$19:$BG$19,Curves!$R$67:$BV$67)</f>
        <v/>
      </c>
      <c r="BH20" s="5">
        <f>SUMPRODUCT(React!$C$17:$BH$17,Curves!$Q$21:$BV$21)+SUMPRODUCT(React!$C$18:$BH$18,Curves!$Q$44:$BV$44)+SUMPRODUCT(React!$C$19:$BH$19,Curves!$Q$67:$BV$67)</f>
        <v/>
      </c>
      <c r="BI20" s="5">
        <f>SUMPRODUCT(React!$C$17:$BI$17,Curves!$P$21:$BV$21)+SUMPRODUCT(React!$C$18:$BI$18,Curves!$P$44:$BV$44)+SUMPRODUCT(React!$C$19:$BI$19,Curves!$P$67:$BV$67)</f>
        <v/>
      </c>
      <c r="BJ20" s="5">
        <f>SUMPRODUCT(React!$C$17:$BJ$17,Curves!$O$21:$BV$21)+SUMPRODUCT(React!$C$18:$BJ$18,Curves!$O$44:$BV$44)+SUMPRODUCT(React!$C$19:$BJ$19,Curves!$O$67:$BV$67)</f>
        <v/>
      </c>
      <c r="BK20" s="5">
        <f>SUMPRODUCT(React!$C$17:$BK$17,Curves!$N$21:$BV$21)+SUMPRODUCT(React!$C$18:$BK$18,Curves!$N$44:$BV$44)+SUMPRODUCT(React!$C$19:$BK$19,Curves!$N$67:$BV$67)</f>
        <v/>
      </c>
      <c r="BL20" s="5">
        <f>SUMPRODUCT(React!$C$17:$BL$17,Curves!$M$21:$BV$21)+SUMPRODUCT(React!$C$18:$BL$18,Curves!$M$44:$BV$44)+SUMPRODUCT(React!$C$19:$BL$19,Curves!$M$67:$BV$67)</f>
        <v/>
      </c>
      <c r="BM20" s="5">
        <f>SUMPRODUCT(React!$C$17:$BM$17,Curves!$L$21:$BV$21)+SUMPRODUCT(React!$C$18:$BM$18,Curves!$L$44:$BV$44)+SUMPRODUCT(React!$C$19:$BM$19,Curves!$L$67:$BV$67)</f>
        <v/>
      </c>
      <c r="BN20" s="5">
        <f>SUMPRODUCT(React!$C$17:$BN$17,Curves!$K$21:$BV$21)+SUMPRODUCT(React!$C$18:$BN$18,Curves!$K$44:$BV$44)+SUMPRODUCT(React!$C$19:$BN$19,Curves!$K$67:$BV$67)</f>
        <v/>
      </c>
      <c r="BO20" s="5">
        <f>SUMPRODUCT(React!$C$17:$BO$17,Curves!$J$21:$BV$21)+SUMPRODUCT(React!$C$18:$BO$18,Curves!$J$44:$BV$44)+SUMPRODUCT(React!$C$19:$BO$19,Curves!$J$67:$BV$67)</f>
        <v/>
      </c>
      <c r="BP20" s="5">
        <f>SUMPRODUCT(React!$C$17:$BP$17,Curves!$I$21:$BV$21)+SUMPRODUCT(React!$C$18:$BP$18,Curves!$I$44:$BV$44)+SUMPRODUCT(React!$C$19:$BP$19,Curves!$I$67:$BV$67)</f>
        <v/>
      </c>
      <c r="BQ20" s="5">
        <f>SUMPRODUCT(React!$C$17:$BQ$17,Curves!$H$21:$BV$21)+SUMPRODUCT(React!$C$18:$BQ$18,Curves!$H$44:$BV$44)+SUMPRODUCT(React!$C$19:$BQ$19,Curves!$H$67:$BV$67)</f>
        <v/>
      </c>
      <c r="BR20" s="5">
        <f>SUMPRODUCT(React!$C$17:$BR$17,Curves!$G$21:$BV$21)+SUMPRODUCT(React!$C$18:$BR$18,Curves!$G$44:$BV$44)+SUMPRODUCT(React!$C$19:$BR$19,Curves!$G$67:$BV$67)</f>
        <v/>
      </c>
      <c r="BS20" s="5">
        <f>SUMPRODUCT(React!$C$17:$BS$17,Curves!$F$21:$BV$21)+SUMPRODUCT(React!$C$18:$BS$18,Curves!$F$44:$BV$44)+SUMPRODUCT(React!$C$19:$BS$19,Curves!$F$67:$BV$67)</f>
        <v/>
      </c>
      <c r="BT20" s="5">
        <f>SUMPRODUCT(React!$C$17:$BT$17,Curves!$E$21:$BV$21)+SUMPRODUCT(React!$C$18:$BT$18,Curves!$E$44:$BV$44)+SUMPRODUCT(React!$C$19:$BT$19,Curves!$E$67:$BV$67)</f>
        <v/>
      </c>
      <c r="BU20" s="5">
        <f>SUMPRODUCT(React!$C$17:$BU$17,Curves!$D$21:$BV$21)+SUMPRODUCT(React!$C$18:$BU$18,Curves!$D$44:$BV$44)+SUMPRODUCT(React!$C$19:$BU$19,Curves!$D$67:$BV$67)</f>
        <v/>
      </c>
      <c r="BV20" s="5">
        <f>SUMPRODUCT(React!$C$17:$BV$17,Curves!$C$21:$BV$21)+SUMPRODUCT(React!$C$18:$BV$18,Curves!$C$44:$BV$44)+SUMPRODUCT(React!$C$19:$BV$19,Curves!$C$67:$BV$67)</f>
        <v/>
      </c>
    </row>
    <row r="21">
      <c r="A21" t="inlineStr">
        <is>
          <t>reactivated in</t>
        </is>
      </c>
      <c r="B21" t="inlineStr">
        <is>
          <t>US_CA|NITRO_A</t>
        </is>
      </c>
      <c r="C21" s="5">
        <f>0</f>
        <v/>
      </c>
      <c r="D21" s="5">
        <f>0</f>
        <v/>
      </c>
      <c r="E21" s="5">
        <f>0</f>
        <v/>
      </c>
      <c r="F21" s="5">
        <f>0</f>
        <v/>
      </c>
      <c r="G21" s="5">
        <f>0</f>
        <v/>
      </c>
      <c r="H21" s="5">
        <f>0</f>
        <v/>
      </c>
      <c r="I21" s="5">
        <f>0</f>
        <v/>
      </c>
      <c r="J21" s="5">
        <f>0</f>
        <v/>
      </c>
      <c r="K21" s="5">
        <f>0</f>
        <v/>
      </c>
      <c r="L21" s="5">
        <f>0</f>
        <v/>
      </c>
      <c r="M21" s="5">
        <f>0</f>
        <v/>
      </c>
      <c r="N21" s="5">
        <f>0</f>
        <v/>
      </c>
      <c r="O21" s="5">
        <f>0</f>
        <v/>
      </c>
      <c r="P21" s="5">
        <f>0</f>
        <v/>
      </c>
      <c r="Q21" s="5">
        <f>0</f>
        <v/>
      </c>
      <c r="R21" s="5">
        <f>0</f>
        <v/>
      </c>
      <c r="S21" s="5">
        <f>0</f>
        <v/>
      </c>
      <c r="T21" s="5">
        <f>0</f>
        <v/>
      </c>
      <c r="U21" s="5">
        <f>0</f>
        <v/>
      </c>
      <c r="V21" s="5">
        <f>0</f>
        <v/>
      </c>
      <c r="W21" s="5">
        <f>0</f>
        <v/>
      </c>
      <c r="X21" s="5">
        <f>0</f>
        <v/>
      </c>
      <c r="Y21" s="5">
        <f>0</f>
        <v/>
      </c>
      <c r="Z21" s="5">
        <f>0</f>
        <v/>
      </c>
      <c r="AA21" s="5">
        <f>0</f>
        <v/>
      </c>
      <c r="AB21" s="5">
        <f>0</f>
        <v/>
      </c>
      <c r="AC21" s="5">
        <f>0</f>
        <v/>
      </c>
      <c r="AD21" s="5">
        <f>0</f>
        <v/>
      </c>
      <c r="AE21" s="5">
        <f>0</f>
        <v/>
      </c>
      <c r="AF21" s="5">
        <f>0</f>
        <v/>
      </c>
      <c r="AG21" s="5">
        <f>0</f>
        <v/>
      </c>
      <c r="AH21" s="5">
        <f>0</f>
        <v/>
      </c>
      <c r="AI21" s="5">
        <f>0</f>
        <v/>
      </c>
      <c r="AJ21" s="5">
        <f>0</f>
        <v/>
      </c>
      <c r="AK21" s="5">
        <f>0</f>
        <v/>
      </c>
      <c r="AL21" s="5">
        <f>0</f>
        <v/>
      </c>
      <c r="AM21" s="5">
        <f>0</f>
        <v/>
      </c>
      <c r="AN21" s="5">
        <f>0</f>
        <v/>
      </c>
      <c r="AO21" s="5">
        <f>0</f>
        <v/>
      </c>
      <c r="AP21" s="5">
        <f>0</f>
        <v/>
      </c>
      <c r="AQ21" s="5">
        <f>0</f>
        <v/>
      </c>
      <c r="AR21" s="5">
        <f>0</f>
        <v/>
      </c>
      <c r="AS21" s="5">
        <f>0</f>
        <v/>
      </c>
      <c r="AT21" s="5">
        <f>0</f>
        <v/>
      </c>
      <c r="AU21" s="5">
        <f>0</f>
        <v/>
      </c>
      <c r="AV21" s="5">
        <f>0</f>
        <v/>
      </c>
      <c r="AW21" s="5">
        <f>0</f>
        <v/>
      </c>
      <c r="AX21" s="5">
        <f>0</f>
        <v/>
      </c>
      <c r="AY21" s="5">
        <f>0</f>
        <v/>
      </c>
      <c r="AZ21" s="5">
        <f>0</f>
        <v/>
      </c>
      <c r="BA21" s="5">
        <f>0</f>
        <v/>
      </c>
      <c r="BB21" s="5">
        <f>0</f>
        <v/>
      </c>
      <c r="BC21" s="5">
        <f>0</f>
        <v/>
      </c>
      <c r="BD21" s="5">
        <f>0</f>
        <v/>
      </c>
      <c r="BE21" s="5">
        <f>0</f>
        <v/>
      </c>
      <c r="BF21" s="5">
        <f>0</f>
        <v/>
      </c>
      <c r="BG21" s="5">
        <f>0</f>
        <v/>
      </c>
      <c r="BH21" s="5">
        <f>0</f>
        <v/>
      </c>
      <c r="BI21" s="5">
        <f>0</f>
        <v/>
      </c>
      <c r="BJ21" s="5">
        <f>0</f>
        <v/>
      </c>
      <c r="BK21" s="5">
        <f>0</f>
        <v/>
      </c>
      <c r="BL21" s="5">
        <f>0</f>
        <v/>
      </c>
      <c r="BM21" s="5">
        <f>0</f>
        <v/>
      </c>
      <c r="BN21" s="5">
        <f>0</f>
        <v/>
      </c>
      <c r="BO21" s="5">
        <f>0</f>
        <v/>
      </c>
      <c r="BP21" s="5">
        <f>0</f>
        <v/>
      </c>
      <c r="BQ21" s="5">
        <f>0</f>
        <v/>
      </c>
      <c r="BR21" s="5">
        <f>0</f>
        <v/>
      </c>
      <c r="BS21" s="5">
        <f>0</f>
        <v/>
      </c>
      <c r="BT21" s="5">
        <f>0</f>
        <v/>
      </c>
      <c r="BU21" s="5">
        <f>0</f>
        <v/>
      </c>
      <c r="BV21" s="5">
        <f>0</f>
        <v/>
      </c>
    </row>
    <row r="22">
      <c r="A22" t="inlineStr">
        <is>
          <t>reactivated in @0</t>
        </is>
      </c>
      <c r="B22" t="inlineStr">
        <is>
          <t>US_CA|NITRO_A</t>
        </is>
      </c>
      <c r="C22" s="5">
        <f>C21*Eras!C$3</f>
        <v/>
      </c>
      <c r="D22" s="5">
        <f>D21*Eras!D$3</f>
        <v/>
      </c>
      <c r="E22" s="5">
        <f>E21*Eras!E$3</f>
        <v/>
      </c>
      <c r="F22" s="5">
        <f>F21*Eras!F$3</f>
        <v/>
      </c>
      <c r="G22" s="5">
        <f>G21*Eras!G$3</f>
        <v/>
      </c>
      <c r="H22" s="5">
        <f>H21*Eras!H$3</f>
        <v/>
      </c>
      <c r="I22" s="5">
        <f>I21*Eras!I$3</f>
        <v/>
      </c>
      <c r="J22" s="5">
        <f>J21*Eras!J$3</f>
        <v/>
      </c>
      <c r="K22" s="5">
        <f>K21*Eras!K$3</f>
        <v/>
      </c>
      <c r="L22" s="5">
        <f>L21*Eras!L$3</f>
        <v/>
      </c>
      <c r="M22" s="5">
        <f>M21*Eras!M$3</f>
        <v/>
      </c>
      <c r="N22" s="5">
        <f>N21*Eras!N$3</f>
        <v/>
      </c>
      <c r="O22" s="5">
        <f>O21*Eras!O$3</f>
        <v/>
      </c>
      <c r="P22" s="5">
        <f>P21*Eras!P$3</f>
        <v/>
      </c>
      <c r="Q22" s="5">
        <f>Q21*Eras!Q$3</f>
        <v/>
      </c>
      <c r="R22" s="5">
        <f>R21*Eras!R$3</f>
        <v/>
      </c>
      <c r="S22" s="5">
        <f>S21*Eras!S$3</f>
        <v/>
      </c>
      <c r="T22" s="5">
        <f>T21*Eras!T$3</f>
        <v/>
      </c>
      <c r="U22" s="5">
        <f>U21*Eras!U$3</f>
        <v/>
      </c>
      <c r="V22" s="5">
        <f>V21*Eras!V$3</f>
        <v/>
      </c>
      <c r="W22" s="5">
        <f>W21*Eras!W$3</f>
        <v/>
      </c>
      <c r="X22" s="5">
        <f>X21*Eras!X$3</f>
        <v/>
      </c>
      <c r="Y22" s="5">
        <f>Y21*Eras!Y$3</f>
        <v/>
      </c>
      <c r="Z22" s="5">
        <f>Z21*Eras!Z$3</f>
        <v/>
      </c>
      <c r="AA22" s="5">
        <f>AA21*Eras!AA$3</f>
        <v/>
      </c>
      <c r="AB22" s="5">
        <f>AB21*Eras!AB$3</f>
        <v/>
      </c>
      <c r="AC22" s="5">
        <f>AC21*Eras!AC$3</f>
        <v/>
      </c>
      <c r="AD22" s="5">
        <f>AD21*Eras!AD$3</f>
        <v/>
      </c>
      <c r="AE22" s="5">
        <f>AE21*Eras!AE$3</f>
        <v/>
      </c>
      <c r="AF22" s="5">
        <f>AF21*Eras!AF$3</f>
        <v/>
      </c>
      <c r="AG22" s="5">
        <f>AG21*Eras!AG$3</f>
        <v/>
      </c>
      <c r="AH22" s="5">
        <f>AH21*Eras!AH$3</f>
        <v/>
      </c>
      <c r="AI22" s="5">
        <f>AI21*Eras!AI$3</f>
        <v/>
      </c>
      <c r="AJ22" s="5">
        <f>AJ21*Eras!AJ$3</f>
        <v/>
      </c>
      <c r="AK22" s="5">
        <f>AK21*Eras!AK$3</f>
        <v/>
      </c>
      <c r="AL22" s="5">
        <f>AL21*Eras!AL$3</f>
        <v/>
      </c>
      <c r="AM22" s="5">
        <f>AM21*Eras!AM$3</f>
        <v/>
      </c>
      <c r="AN22" s="5">
        <f>AN21*Eras!AN$3</f>
        <v/>
      </c>
      <c r="AO22" s="5">
        <f>AO21*Eras!AO$3</f>
        <v/>
      </c>
      <c r="AP22" s="5">
        <f>AP21*Eras!AP$3</f>
        <v/>
      </c>
      <c r="AQ22" s="5">
        <f>AQ21*Eras!AQ$3</f>
        <v/>
      </c>
      <c r="AR22" s="5">
        <f>AR21*Eras!AR$3</f>
        <v/>
      </c>
      <c r="AS22" s="5">
        <f>AS21*Eras!AS$3</f>
        <v/>
      </c>
      <c r="AT22" s="5">
        <f>AT21*Eras!AT$3</f>
        <v/>
      </c>
      <c r="AU22" s="5">
        <f>AU21*Eras!AU$3</f>
        <v/>
      </c>
      <c r="AV22" s="5">
        <f>AV21*Eras!AV$3</f>
        <v/>
      </c>
      <c r="AW22" s="5">
        <f>AW21*Eras!AW$3</f>
        <v/>
      </c>
      <c r="AX22" s="5">
        <f>AX21*Eras!AX$3</f>
        <v/>
      </c>
      <c r="AY22" s="5">
        <f>AY21*Eras!AY$3</f>
        <v/>
      </c>
      <c r="AZ22" s="5">
        <f>AZ21*Eras!AZ$3</f>
        <v/>
      </c>
      <c r="BA22" s="5">
        <f>BA21*Eras!BA$3</f>
        <v/>
      </c>
      <c r="BB22" s="5">
        <f>BB21*Eras!BB$3</f>
        <v/>
      </c>
      <c r="BC22" s="5">
        <f>BC21*Eras!BC$3</f>
        <v/>
      </c>
      <c r="BD22" s="5">
        <f>BD21*Eras!BD$3</f>
        <v/>
      </c>
      <c r="BE22" s="5">
        <f>BE21*Eras!BE$3</f>
        <v/>
      </c>
      <c r="BF22" s="5">
        <f>BF21*Eras!BF$3</f>
        <v/>
      </c>
      <c r="BG22" s="5">
        <f>BG21*Eras!BG$3</f>
        <v/>
      </c>
      <c r="BH22" s="5">
        <f>BH21*Eras!BH$3</f>
        <v/>
      </c>
      <c r="BI22" s="5">
        <f>BI21*Eras!BI$3</f>
        <v/>
      </c>
      <c r="BJ22" s="5">
        <f>BJ21*Eras!BJ$3</f>
        <v/>
      </c>
      <c r="BK22" s="5">
        <f>BK21*Eras!BK$3</f>
        <v/>
      </c>
      <c r="BL22" s="5">
        <f>BL21*Eras!BL$3</f>
        <v/>
      </c>
      <c r="BM22" s="5">
        <f>BM21*Eras!BM$3</f>
        <v/>
      </c>
      <c r="BN22" s="5">
        <f>BN21*Eras!BN$3</f>
        <v/>
      </c>
      <c r="BO22" s="5">
        <f>BO21*Eras!BO$3</f>
        <v/>
      </c>
      <c r="BP22" s="5">
        <f>BP21*Eras!BP$3</f>
        <v/>
      </c>
      <c r="BQ22" s="5">
        <f>BQ21*Eras!BQ$3</f>
        <v/>
      </c>
      <c r="BR22" s="5">
        <f>BR21*Eras!BR$3</f>
        <v/>
      </c>
      <c r="BS22" s="5">
        <f>BS21*Eras!BS$3</f>
        <v/>
      </c>
      <c r="BT22" s="5">
        <f>BT21*Eras!BT$3</f>
        <v/>
      </c>
      <c r="BU22" s="5">
        <f>BU21*Eras!BU$3</f>
        <v/>
      </c>
      <c r="BV22" s="5">
        <f>BV21*Eras!BV$3</f>
        <v/>
      </c>
    </row>
    <row r="23">
      <c r="A23" t="inlineStr">
        <is>
          <t>reactivated in @1</t>
        </is>
      </c>
      <c r="B23" t="inlineStr">
        <is>
          <t>US_CA|NITRO_A</t>
        </is>
      </c>
      <c r="C23" s="5">
        <f>C21*Eras!C$4</f>
        <v/>
      </c>
      <c r="D23" s="5">
        <f>D21*Eras!D$4</f>
        <v/>
      </c>
      <c r="E23" s="5">
        <f>E21*Eras!E$4</f>
        <v/>
      </c>
      <c r="F23" s="5">
        <f>F21*Eras!F$4</f>
        <v/>
      </c>
      <c r="G23" s="5">
        <f>G21*Eras!G$4</f>
        <v/>
      </c>
      <c r="H23" s="5">
        <f>H21*Eras!H$4</f>
        <v/>
      </c>
      <c r="I23" s="5">
        <f>I21*Eras!I$4</f>
        <v/>
      </c>
      <c r="J23" s="5">
        <f>J21*Eras!J$4</f>
        <v/>
      </c>
      <c r="K23" s="5">
        <f>K21*Eras!K$4</f>
        <v/>
      </c>
      <c r="L23" s="5">
        <f>L21*Eras!L$4</f>
        <v/>
      </c>
      <c r="M23" s="5">
        <f>M21*Eras!M$4</f>
        <v/>
      </c>
      <c r="N23" s="5">
        <f>N21*Eras!N$4</f>
        <v/>
      </c>
      <c r="O23" s="5">
        <f>O21*Eras!O$4</f>
        <v/>
      </c>
      <c r="P23" s="5">
        <f>P21*Eras!P$4</f>
        <v/>
      </c>
      <c r="Q23" s="5">
        <f>Q21*Eras!Q$4</f>
        <v/>
      </c>
      <c r="R23" s="5">
        <f>R21*Eras!R$4</f>
        <v/>
      </c>
      <c r="S23" s="5">
        <f>S21*Eras!S$4</f>
        <v/>
      </c>
      <c r="T23" s="5">
        <f>T21*Eras!T$4</f>
        <v/>
      </c>
      <c r="U23" s="5">
        <f>U21*Eras!U$4</f>
        <v/>
      </c>
      <c r="V23" s="5">
        <f>V21*Eras!V$4</f>
        <v/>
      </c>
      <c r="W23" s="5">
        <f>W21*Eras!W$4</f>
        <v/>
      </c>
      <c r="X23" s="5">
        <f>X21*Eras!X$4</f>
        <v/>
      </c>
      <c r="Y23" s="5">
        <f>Y21*Eras!Y$4</f>
        <v/>
      </c>
      <c r="Z23" s="5">
        <f>Z21*Eras!Z$4</f>
        <v/>
      </c>
      <c r="AA23" s="5">
        <f>AA21*Eras!AA$4</f>
        <v/>
      </c>
      <c r="AB23" s="5">
        <f>AB21*Eras!AB$4</f>
        <v/>
      </c>
      <c r="AC23" s="5">
        <f>AC21*Eras!AC$4</f>
        <v/>
      </c>
      <c r="AD23" s="5">
        <f>AD21*Eras!AD$4</f>
        <v/>
      </c>
      <c r="AE23" s="5">
        <f>AE21*Eras!AE$4</f>
        <v/>
      </c>
      <c r="AF23" s="5">
        <f>AF21*Eras!AF$4</f>
        <v/>
      </c>
      <c r="AG23" s="5">
        <f>AG21*Eras!AG$4</f>
        <v/>
      </c>
      <c r="AH23" s="5">
        <f>AH21*Eras!AH$4</f>
        <v/>
      </c>
      <c r="AI23" s="5">
        <f>AI21*Eras!AI$4</f>
        <v/>
      </c>
      <c r="AJ23" s="5">
        <f>AJ21*Eras!AJ$4</f>
        <v/>
      </c>
      <c r="AK23" s="5">
        <f>AK21*Eras!AK$4</f>
        <v/>
      </c>
      <c r="AL23" s="5">
        <f>AL21*Eras!AL$4</f>
        <v/>
      </c>
      <c r="AM23" s="5">
        <f>AM21*Eras!AM$4</f>
        <v/>
      </c>
      <c r="AN23" s="5">
        <f>AN21*Eras!AN$4</f>
        <v/>
      </c>
      <c r="AO23" s="5">
        <f>AO21*Eras!AO$4</f>
        <v/>
      </c>
      <c r="AP23" s="5">
        <f>AP21*Eras!AP$4</f>
        <v/>
      </c>
      <c r="AQ23" s="5">
        <f>AQ21*Eras!AQ$4</f>
        <v/>
      </c>
      <c r="AR23" s="5">
        <f>AR21*Eras!AR$4</f>
        <v/>
      </c>
      <c r="AS23" s="5">
        <f>AS21*Eras!AS$4</f>
        <v/>
      </c>
      <c r="AT23" s="5">
        <f>AT21*Eras!AT$4</f>
        <v/>
      </c>
      <c r="AU23" s="5">
        <f>AU21*Eras!AU$4</f>
        <v/>
      </c>
      <c r="AV23" s="5">
        <f>AV21*Eras!AV$4</f>
        <v/>
      </c>
      <c r="AW23" s="5">
        <f>AW21*Eras!AW$4</f>
        <v/>
      </c>
      <c r="AX23" s="5">
        <f>AX21*Eras!AX$4</f>
        <v/>
      </c>
      <c r="AY23" s="5">
        <f>AY21*Eras!AY$4</f>
        <v/>
      </c>
      <c r="AZ23" s="5">
        <f>AZ21*Eras!AZ$4</f>
        <v/>
      </c>
      <c r="BA23" s="5">
        <f>BA21*Eras!BA$4</f>
        <v/>
      </c>
      <c r="BB23" s="5">
        <f>BB21*Eras!BB$4</f>
        <v/>
      </c>
      <c r="BC23" s="5">
        <f>BC21*Eras!BC$4</f>
        <v/>
      </c>
      <c r="BD23" s="5">
        <f>BD21*Eras!BD$4</f>
        <v/>
      </c>
      <c r="BE23" s="5">
        <f>BE21*Eras!BE$4</f>
        <v/>
      </c>
      <c r="BF23" s="5">
        <f>BF21*Eras!BF$4</f>
        <v/>
      </c>
      <c r="BG23" s="5">
        <f>BG21*Eras!BG$4</f>
        <v/>
      </c>
      <c r="BH23" s="5">
        <f>BH21*Eras!BH$4</f>
        <v/>
      </c>
      <c r="BI23" s="5">
        <f>BI21*Eras!BI$4</f>
        <v/>
      </c>
      <c r="BJ23" s="5">
        <f>BJ21*Eras!BJ$4</f>
        <v/>
      </c>
      <c r="BK23" s="5">
        <f>BK21*Eras!BK$4</f>
        <v/>
      </c>
      <c r="BL23" s="5">
        <f>BL21*Eras!BL$4</f>
        <v/>
      </c>
      <c r="BM23" s="5">
        <f>BM21*Eras!BM$4</f>
        <v/>
      </c>
      <c r="BN23" s="5">
        <f>BN21*Eras!BN$4</f>
        <v/>
      </c>
      <c r="BO23" s="5">
        <f>BO21*Eras!BO$4</f>
        <v/>
      </c>
      <c r="BP23" s="5">
        <f>BP21*Eras!BP$4</f>
        <v/>
      </c>
      <c r="BQ23" s="5">
        <f>BQ21*Eras!BQ$4</f>
        <v/>
      </c>
      <c r="BR23" s="5">
        <f>BR21*Eras!BR$4</f>
        <v/>
      </c>
      <c r="BS23" s="5">
        <f>BS21*Eras!BS$4</f>
        <v/>
      </c>
      <c r="BT23" s="5">
        <f>BT21*Eras!BT$4</f>
        <v/>
      </c>
      <c r="BU23" s="5">
        <f>BU21*Eras!BU$4</f>
        <v/>
      </c>
      <c r="BV23" s="5">
        <f>BV21*Eras!BV$4</f>
        <v/>
      </c>
    </row>
    <row r="24">
      <c r="A24" t="inlineStr">
        <is>
          <t>reactivated in @2</t>
        </is>
      </c>
      <c r="B24" t="inlineStr">
        <is>
          <t>US_CA|NITRO_A</t>
        </is>
      </c>
      <c r="C24" s="5">
        <f>C21*Eras!C$5</f>
        <v/>
      </c>
      <c r="D24" s="5">
        <f>D21*Eras!D$5</f>
        <v/>
      </c>
      <c r="E24" s="5">
        <f>E21*Eras!E$5</f>
        <v/>
      </c>
      <c r="F24" s="5">
        <f>F21*Eras!F$5</f>
        <v/>
      </c>
      <c r="G24" s="5">
        <f>G21*Eras!G$5</f>
        <v/>
      </c>
      <c r="H24" s="5">
        <f>H21*Eras!H$5</f>
        <v/>
      </c>
      <c r="I24" s="5">
        <f>I21*Eras!I$5</f>
        <v/>
      </c>
      <c r="J24" s="5">
        <f>J21*Eras!J$5</f>
        <v/>
      </c>
      <c r="K24" s="5">
        <f>K21*Eras!K$5</f>
        <v/>
      </c>
      <c r="L24" s="5">
        <f>L21*Eras!L$5</f>
        <v/>
      </c>
      <c r="M24" s="5">
        <f>M21*Eras!M$5</f>
        <v/>
      </c>
      <c r="N24" s="5">
        <f>N21*Eras!N$5</f>
        <v/>
      </c>
      <c r="O24" s="5">
        <f>O21*Eras!O$5</f>
        <v/>
      </c>
      <c r="P24" s="5">
        <f>P21*Eras!P$5</f>
        <v/>
      </c>
      <c r="Q24" s="5">
        <f>Q21*Eras!Q$5</f>
        <v/>
      </c>
      <c r="R24" s="5">
        <f>R21*Eras!R$5</f>
        <v/>
      </c>
      <c r="S24" s="5">
        <f>S21*Eras!S$5</f>
        <v/>
      </c>
      <c r="T24" s="5">
        <f>T21*Eras!T$5</f>
        <v/>
      </c>
      <c r="U24" s="5">
        <f>U21*Eras!U$5</f>
        <v/>
      </c>
      <c r="V24" s="5">
        <f>V21*Eras!V$5</f>
        <v/>
      </c>
      <c r="W24" s="5">
        <f>W21*Eras!W$5</f>
        <v/>
      </c>
      <c r="X24" s="5">
        <f>X21*Eras!X$5</f>
        <v/>
      </c>
      <c r="Y24" s="5">
        <f>Y21*Eras!Y$5</f>
        <v/>
      </c>
      <c r="Z24" s="5">
        <f>Z21*Eras!Z$5</f>
        <v/>
      </c>
      <c r="AA24" s="5">
        <f>AA21*Eras!AA$5</f>
        <v/>
      </c>
      <c r="AB24" s="5">
        <f>AB21*Eras!AB$5</f>
        <v/>
      </c>
      <c r="AC24" s="5">
        <f>AC21*Eras!AC$5</f>
        <v/>
      </c>
      <c r="AD24" s="5">
        <f>AD21*Eras!AD$5</f>
        <v/>
      </c>
      <c r="AE24" s="5">
        <f>AE21*Eras!AE$5</f>
        <v/>
      </c>
      <c r="AF24" s="5">
        <f>AF21*Eras!AF$5</f>
        <v/>
      </c>
      <c r="AG24" s="5">
        <f>AG21*Eras!AG$5</f>
        <v/>
      </c>
      <c r="AH24" s="5">
        <f>AH21*Eras!AH$5</f>
        <v/>
      </c>
      <c r="AI24" s="5">
        <f>AI21*Eras!AI$5</f>
        <v/>
      </c>
      <c r="AJ24" s="5">
        <f>AJ21*Eras!AJ$5</f>
        <v/>
      </c>
      <c r="AK24" s="5">
        <f>AK21*Eras!AK$5</f>
        <v/>
      </c>
      <c r="AL24" s="5">
        <f>AL21*Eras!AL$5</f>
        <v/>
      </c>
      <c r="AM24" s="5">
        <f>AM21*Eras!AM$5</f>
        <v/>
      </c>
      <c r="AN24" s="5">
        <f>AN21*Eras!AN$5</f>
        <v/>
      </c>
      <c r="AO24" s="5">
        <f>AO21*Eras!AO$5</f>
        <v/>
      </c>
      <c r="AP24" s="5">
        <f>AP21*Eras!AP$5</f>
        <v/>
      </c>
      <c r="AQ24" s="5">
        <f>AQ21*Eras!AQ$5</f>
        <v/>
      </c>
      <c r="AR24" s="5">
        <f>AR21*Eras!AR$5</f>
        <v/>
      </c>
      <c r="AS24" s="5">
        <f>AS21*Eras!AS$5</f>
        <v/>
      </c>
      <c r="AT24" s="5">
        <f>AT21*Eras!AT$5</f>
        <v/>
      </c>
      <c r="AU24" s="5">
        <f>AU21*Eras!AU$5</f>
        <v/>
      </c>
      <c r="AV24" s="5">
        <f>AV21*Eras!AV$5</f>
        <v/>
      </c>
      <c r="AW24" s="5">
        <f>AW21*Eras!AW$5</f>
        <v/>
      </c>
      <c r="AX24" s="5">
        <f>AX21*Eras!AX$5</f>
        <v/>
      </c>
      <c r="AY24" s="5">
        <f>AY21*Eras!AY$5</f>
        <v/>
      </c>
      <c r="AZ24" s="5">
        <f>AZ21*Eras!AZ$5</f>
        <v/>
      </c>
      <c r="BA24" s="5">
        <f>BA21*Eras!BA$5</f>
        <v/>
      </c>
      <c r="BB24" s="5">
        <f>BB21*Eras!BB$5</f>
        <v/>
      </c>
      <c r="BC24" s="5">
        <f>BC21*Eras!BC$5</f>
        <v/>
      </c>
      <c r="BD24" s="5">
        <f>BD21*Eras!BD$5</f>
        <v/>
      </c>
      <c r="BE24" s="5">
        <f>BE21*Eras!BE$5</f>
        <v/>
      </c>
      <c r="BF24" s="5">
        <f>BF21*Eras!BF$5</f>
        <v/>
      </c>
      <c r="BG24" s="5">
        <f>BG21*Eras!BG$5</f>
        <v/>
      </c>
      <c r="BH24" s="5">
        <f>BH21*Eras!BH$5</f>
        <v/>
      </c>
      <c r="BI24" s="5">
        <f>BI21*Eras!BI$5</f>
        <v/>
      </c>
      <c r="BJ24" s="5">
        <f>BJ21*Eras!BJ$5</f>
        <v/>
      </c>
      <c r="BK24" s="5">
        <f>BK21*Eras!BK$5</f>
        <v/>
      </c>
      <c r="BL24" s="5">
        <f>BL21*Eras!BL$5</f>
        <v/>
      </c>
      <c r="BM24" s="5">
        <f>BM21*Eras!BM$5</f>
        <v/>
      </c>
      <c r="BN24" s="5">
        <f>BN21*Eras!BN$5</f>
        <v/>
      </c>
      <c r="BO24" s="5">
        <f>BO21*Eras!BO$5</f>
        <v/>
      </c>
      <c r="BP24" s="5">
        <f>BP21*Eras!BP$5</f>
        <v/>
      </c>
      <c r="BQ24" s="5">
        <f>BQ21*Eras!BQ$5</f>
        <v/>
      </c>
      <c r="BR24" s="5">
        <f>BR21*Eras!BR$5</f>
        <v/>
      </c>
      <c r="BS24" s="5">
        <f>BS21*Eras!BS$5</f>
        <v/>
      </c>
      <c r="BT24" s="5">
        <f>BT21*Eras!BT$5</f>
        <v/>
      </c>
      <c r="BU24" s="5">
        <f>BU21*Eras!BU$5</f>
        <v/>
      </c>
      <c r="BV24" s="5">
        <f>BV21*Eras!BV$5</f>
        <v/>
      </c>
    </row>
    <row r="25">
      <c r="A25" t="inlineStr">
        <is>
          <t>active</t>
        </is>
      </c>
      <c r="B25" t="inlineStr">
        <is>
          <t>US_CA|NITRO_A</t>
        </is>
      </c>
      <c r="C25" s="5">
        <f>React!$C$22*Curves!$BV$19+React!$C$23*Curves!$BV$42+React!$C$24*Curves!$BV$65</f>
        <v/>
      </c>
      <c r="D25" s="5">
        <f>SUMPRODUCT(React!$C$22:$D$22,Curves!$BU$19:$BV$19)+SUMPRODUCT(React!$C$23:$D$23,Curves!$BU$42:$BV$42)+SUMPRODUCT(React!$C$24:$D$24,Curves!$BU$65:$BV$65)</f>
        <v/>
      </c>
      <c r="E25" s="5">
        <f>SUMPRODUCT(React!$C$22:$E$22,Curves!$BT$19:$BV$19)+SUMPRODUCT(React!$C$23:$E$23,Curves!$BT$42:$BV$42)+SUMPRODUCT(React!$C$24:$E$24,Curves!$BT$65:$BV$65)</f>
        <v/>
      </c>
      <c r="F25" s="5">
        <f>SUMPRODUCT(React!$C$22:$F$22,Curves!$BS$19:$BV$19)+SUMPRODUCT(React!$C$23:$F$23,Curves!$BS$42:$BV$42)+SUMPRODUCT(React!$C$24:$F$24,Curves!$BS$65:$BV$65)</f>
        <v/>
      </c>
      <c r="G25" s="5">
        <f>SUMPRODUCT(React!$C$22:$G$22,Curves!$BR$19:$BV$19)+SUMPRODUCT(React!$C$23:$G$23,Curves!$BR$42:$BV$42)+SUMPRODUCT(React!$C$24:$G$24,Curves!$BR$65:$BV$65)</f>
        <v/>
      </c>
      <c r="H25" s="5">
        <f>SUMPRODUCT(React!$C$22:$H$22,Curves!$BQ$19:$BV$19)+SUMPRODUCT(React!$C$23:$H$23,Curves!$BQ$42:$BV$42)+SUMPRODUCT(React!$C$24:$H$24,Curves!$BQ$65:$BV$65)</f>
        <v/>
      </c>
      <c r="I25" s="5">
        <f>SUMPRODUCT(React!$C$22:$I$22,Curves!$BP$19:$BV$19)+SUMPRODUCT(React!$C$23:$I$23,Curves!$BP$42:$BV$42)+SUMPRODUCT(React!$C$24:$I$24,Curves!$BP$65:$BV$65)</f>
        <v/>
      </c>
      <c r="J25" s="5">
        <f>SUMPRODUCT(React!$C$22:$J$22,Curves!$BO$19:$BV$19)+SUMPRODUCT(React!$C$23:$J$23,Curves!$BO$42:$BV$42)+SUMPRODUCT(React!$C$24:$J$24,Curves!$BO$65:$BV$65)</f>
        <v/>
      </c>
      <c r="K25" s="5">
        <f>SUMPRODUCT(React!$C$22:$K$22,Curves!$BN$19:$BV$19)+SUMPRODUCT(React!$C$23:$K$23,Curves!$BN$42:$BV$42)+SUMPRODUCT(React!$C$24:$K$24,Curves!$BN$65:$BV$65)</f>
        <v/>
      </c>
      <c r="L25" s="5">
        <f>SUMPRODUCT(React!$C$22:$L$22,Curves!$BM$19:$BV$19)+SUMPRODUCT(React!$C$23:$L$23,Curves!$BM$42:$BV$42)+SUMPRODUCT(React!$C$24:$L$24,Curves!$BM$65:$BV$65)</f>
        <v/>
      </c>
      <c r="M25" s="5">
        <f>SUMPRODUCT(React!$C$22:$M$22,Curves!$BL$19:$BV$19)+SUMPRODUCT(React!$C$23:$M$23,Curves!$BL$42:$BV$42)+SUMPRODUCT(React!$C$24:$M$24,Curves!$BL$65:$BV$65)</f>
        <v/>
      </c>
      <c r="N25" s="5">
        <f>SUMPRODUCT(React!$C$22:$N$22,Curves!$BK$19:$BV$19)+SUMPRODUCT(React!$C$23:$N$23,Curves!$BK$42:$BV$42)+SUMPRODUCT(React!$C$24:$N$24,Curves!$BK$65:$BV$65)</f>
        <v/>
      </c>
      <c r="O25" s="5">
        <f>SUMPRODUCT(React!$C$22:$O$22,Curves!$BJ$19:$BV$19)+SUMPRODUCT(React!$C$23:$O$23,Curves!$BJ$42:$BV$42)+SUMPRODUCT(React!$C$24:$O$24,Curves!$BJ$65:$BV$65)</f>
        <v/>
      </c>
      <c r="P25" s="5">
        <f>SUMPRODUCT(React!$C$22:$P$22,Curves!$BI$19:$BV$19)+SUMPRODUCT(React!$C$23:$P$23,Curves!$BI$42:$BV$42)+SUMPRODUCT(React!$C$24:$P$24,Curves!$BI$65:$BV$65)</f>
        <v/>
      </c>
      <c r="Q25" s="5">
        <f>SUMPRODUCT(React!$C$22:$Q$22,Curves!$BH$19:$BV$19)+SUMPRODUCT(React!$C$23:$Q$23,Curves!$BH$42:$BV$42)+SUMPRODUCT(React!$C$24:$Q$24,Curves!$BH$65:$BV$65)</f>
        <v/>
      </c>
      <c r="R25" s="5">
        <f>SUMPRODUCT(React!$C$22:$R$22,Curves!$BG$19:$BV$19)+SUMPRODUCT(React!$C$23:$R$23,Curves!$BG$42:$BV$42)+SUMPRODUCT(React!$C$24:$R$24,Curves!$BG$65:$BV$65)</f>
        <v/>
      </c>
      <c r="S25" s="5">
        <f>SUMPRODUCT(React!$C$22:$S$22,Curves!$BF$19:$BV$19)+SUMPRODUCT(React!$C$23:$S$23,Curves!$BF$42:$BV$42)+SUMPRODUCT(React!$C$24:$S$24,Curves!$BF$65:$BV$65)</f>
        <v/>
      </c>
      <c r="T25" s="5">
        <f>SUMPRODUCT(React!$C$22:$T$22,Curves!$BE$19:$BV$19)+SUMPRODUCT(React!$C$23:$T$23,Curves!$BE$42:$BV$42)+SUMPRODUCT(React!$C$24:$T$24,Curves!$BE$65:$BV$65)</f>
        <v/>
      </c>
      <c r="U25" s="5">
        <f>SUMPRODUCT(React!$C$22:$U$22,Curves!$BD$19:$BV$19)+SUMPRODUCT(React!$C$23:$U$23,Curves!$BD$42:$BV$42)+SUMPRODUCT(React!$C$24:$U$24,Curves!$BD$65:$BV$65)</f>
        <v/>
      </c>
      <c r="V25" s="5">
        <f>SUMPRODUCT(React!$C$22:$V$22,Curves!$BC$19:$BV$19)+SUMPRODUCT(React!$C$23:$V$23,Curves!$BC$42:$BV$42)+SUMPRODUCT(React!$C$24:$V$24,Curves!$BC$65:$BV$65)</f>
        <v/>
      </c>
      <c r="W25" s="5">
        <f>SUMPRODUCT(React!$C$22:$W$22,Curves!$BB$19:$BV$19)+SUMPRODUCT(React!$C$23:$W$23,Curves!$BB$42:$BV$42)+SUMPRODUCT(React!$C$24:$W$24,Curves!$BB$65:$BV$65)</f>
        <v/>
      </c>
      <c r="X25" s="5">
        <f>SUMPRODUCT(React!$C$22:$X$22,Curves!$BA$19:$BV$19)+SUMPRODUCT(React!$C$23:$X$23,Curves!$BA$42:$BV$42)+SUMPRODUCT(React!$C$24:$X$24,Curves!$BA$65:$BV$65)</f>
        <v/>
      </c>
      <c r="Y25" s="5">
        <f>SUMPRODUCT(React!$C$22:$Y$22,Curves!$AZ$19:$BV$19)+SUMPRODUCT(React!$C$23:$Y$23,Curves!$AZ$42:$BV$42)+SUMPRODUCT(React!$C$24:$Y$24,Curves!$AZ$65:$BV$65)</f>
        <v/>
      </c>
      <c r="Z25" s="5">
        <f>SUMPRODUCT(React!$C$22:$Z$22,Curves!$AY$19:$BV$19)+SUMPRODUCT(React!$C$23:$Z$23,Curves!$AY$42:$BV$42)+SUMPRODUCT(React!$C$24:$Z$24,Curves!$AY$65:$BV$65)</f>
        <v/>
      </c>
      <c r="AA25" s="5">
        <f>SUMPRODUCT(React!$C$22:$AA$22,Curves!$AX$19:$BV$19)+SUMPRODUCT(React!$C$23:$AA$23,Curves!$AX$42:$BV$42)+SUMPRODUCT(React!$C$24:$AA$24,Curves!$AX$65:$BV$65)</f>
        <v/>
      </c>
      <c r="AB25" s="5">
        <f>SUMPRODUCT(React!$C$22:$AB$22,Curves!$AW$19:$BV$19)+SUMPRODUCT(React!$C$23:$AB$23,Curves!$AW$42:$BV$42)+SUMPRODUCT(React!$C$24:$AB$24,Curves!$AW$65:$BV$65)</f>
        <v/>
      </c>
      <c r="AC25" s="5">
        <f>SUMPRODUCT(React!$C$22:$AC$22,Curves!$AV$19:$BV$19)+SUMPRODUCT(React!$C$23:$AC$23,Curves!$AV$42:$BV$42)+SUMPRODUCT(React!$C$24:$AC$24,Curves!$AV$65:$BV$65)</f>
        <v/>
      </c>
      <c r="AD25" s="5">
        <f>SUMPRODUCT(React!$C$22:$AD$22,Curves!$AU$19:$BV$19)+SUMPRODUCT(React!$C$23:$AD$23,Curves!$AU$42:$BV$42)+SUMPRODUCT(React!$C$24:$AD$24,Curves!$AU$65:$BV$65)</f>
        <v/>
      </c>
      <c r="AE25" s="5">
        <f>SUMPRODUCT(React!$C$22:$AE$22,Curves!$AT$19:$BV$19)+SUMPRODUCT(React!$C$23:$AE$23,Curves!$AT$42:$BV$42)+SUMPRODUCT(React!$C$24:$AE$24,Curves!$AT$65:$BV$65)</f>
        <v/>
      </c>
      <c r="AF25" s="5">
        <f>SUMPRODUCT(React!$C$22:$AF$22,Curves!$AS$19:$BV$19)+SUMPRODUCT(React!$C$23:$AF$23,Curves!$AS$42:$BV$42)+SUMPRODUCT(React!$C$24:$AF$24,Curves!$AS$65:$BV$65)</f>
        <v/>
      </c>
      <c r="AG25" s="5">
        <f>SUMPRODUCT(React!$C$22:$AG$22,Curves!$AR$19:$BV$19)+SUMPRODUCT(React!$C$23:$AG$23,Curves!$AR$42:$BV$42)+SUMPRODUCT(React!$C$24:$AG$24,Curves!$AR$65:$BV$65)</f>
        <v/>
      </c>
      <c r="AH25" s="5">
        <f>SUMPRODUCT(React!$C$22:$AH$22,Curves!$AQ$19:$BV$19)+SUMPRODUCT(React!$C$23:$AH$23,Curves!$AQ$42:$BV$42)+SUMPRODUCT(React!$C$24:$AH$24,Curves!$AQ$65:$BV$65)</f>
        <v/>
      </c>
      <c r="AI25" s="5">
        <f>SUMPRODUCT(React!$C$22:$AI$22,Curves!$AP$19:$BV$19)+SUMPRODUCT(React!$C$23:$AI$23,Curves!$AP$42:$BV$42)+SUMPRODUCT(React!$C$24:$AI$24,Curves!$AP$65:$BV$65)</f>
        <v/>
      </c>
      <c r="AJ25" s="5">
        <f>SUMPRODUCT(React!$C$22:$AJ$22,Curves!$AO$19:$BV$19)+SUMPRODUCT(React!$C$23:$AJ$23,Curves!$AO$42:$BV$42)+SUMPRODUCT(React!$C$24:$AJ$24,Curves!$AO$65:$BV$65)</f>
        <v/>
      </c>
      <c r="AK25" s="5">
        <f>SUMPRODUCT(React!$C$22:$AK$22,Curves!$AN$19:$BV$19)+SUMPRODUCT(React!$C$23:$AK$23,Curves!$AN$42:$BV$42)+SUMPRODUCT(React!$C$24:$AK$24,Curves!$AN$65:$BV$65)</f>
        <v/>
      </c>
      <c r="AL25" s="5">
        <f>SUMPRODUCT(React!$C$22:$AL$22,Curves!$AM$19:$BV$19)+SUMPRODUCT(React!$C$23:$AL$23,Curves!$AM$42:$BV$42)+SUMPRODUCT(React!$C$24:$AL$24,Curves!$AM$65:$BV$65)</f>
        <v/>
      </c>
      <c r="AM25" s="5">
        <f>SUMPRODUCT(React!$C$22:$AM$22,Curves!$AL$19:$BV$19)+SUMPRODUCT(React!$C$23:$AM$23,Curves!$AL$42:$BV$42)+SUMPRODUCT(React!$C$24:$AM$24,Curves!$AL$65:$BV$65)</f>
        <v/>
      </c>
      <c r="AN25" s="5">
        <f>SUMPRODUCT(React!$C$22:$AN$22,Curves!$AK$19:$BV$19)+SUMPRODUCT(React!$C$23:$AN$23,Curves!$AK$42:$BV$42)+SUMPRODUCT(React!$C$24:$AN$24,Curves!$AK$65:$BV$65)</f>
        <v/>
      </c>
      <c r="AO25" s="5">
        <f>SUMPRODUCT(React!$C$22:$AO$22,Curves!$AJ$19:$BV$19)+SUMPRODUCT(React!$C$23:$AO$23,Curves!$AJ$42:$BV$42)+SUMPRODUCT(React!$C$24:$AO$24,Curves!$AJ$65:$BV$65)</f>
        <v/>
      </c>
      <c r="AP25" s="5">
        <f>SUMPRODUCT(React!$C$22:$AP$22,Curves!$AI$19:$BV$19)+SUMPRODUCT(React!$C$23:$AP$23,Curves!$AI$42:$BV$42)+SUMPRODUCT(React!$C$24:$AP$24,Curves!$AI$65:$BV$65)</f>
        <v/>
      </c>
      <c r="AQ25" s="5">
        <f>SUMPRODUCT(React!$C$22:$AQ$22,Curves!$AH$19:$BV$19)+SUMPRODUCT(React!$C$23:$AQ$23,Curves!$AH$42:$BV$42)+SUMPRODUCT(React!$C$24:$AQ$24,Curves!$AH$65:$BV$65)</f>
        <v/>
      </c>
      <c r="AR25" s="5">
        <f>SUMPRODUCT(React!$C$22:$AR$22,Curves!$AG$19:$BV$19)+SUMPRODUCT(React!$C$23:$AR$23,Curves!$AG$42:$BV$42)+SUMPRODUCT(React!$C$24:$AR$24,Curves!$AG$65:$BV$65)</f>
        <v/>
      </c>
      <c r="AS25" s="5">
        <f>SUMPRODUCT(React!$C$22:$AS$22,Curves!$AF$19:$BV$19)+SUMPRODUCT(React!$C$23:$AS$23,Curves!$AF$42:$BV$42)+SUMPRODUCT(React!$C$24:$AS$24,Curves!$AF$65:$BV$65)</f>
        <v/>
      </c>
      <c r="AT25" s="5">
        <f>SUMPRODUCT(React!$C$22:$AT$22,Curves!$AE$19:$BV$19)+SUMPRODUCT(React!$C$23:$AT$23,Curves!$AE$42:$BV$42)+SUMPRODUCT(React!$C$24:$AT$24,Curves!$AE$65:$BV$65)</f>
        <v/>
      </c>
      <c r="AU25" s="5">
        <f>SUMPRODUCT(React!$C$22:$AU$22,Curves!$AD$19:$BV$19)+SUMPRODUCT(React!$C$23:$AU$23,Curves!$AD$42:$BV$42)+SUMPRODUCT(React!$C$24:$AU$24,Curves!$AD$65:$BV$65)</f>
        <v/>
      </c>
      <c r="AV25" s="5">
        <f>SUMPRODUCT(React!$C$22:$AV$22,Curves!$AC$19:$BV$19)+SUMPRODUCT(React!$C$23:$AV$23,Curves!$AC$42:$BV$42)+SUMPRODUCT(React!$C$24:$AV$24,Curves!$AC$65:$BV$65)</f>
        <v/>
      </c>
      <c r="AW25" s="5">
        <f>SUMPRODUCT(React!$C$22:$AW$22,Curves!$AB$19:$BV$19)+SUMPRODUCT(React!$C$23:$AW$23,Curves!$AB$42:$BV$42)+SUMPRODUCT(React!$C$24:$AW$24,Curves!$AB$65:$BV$65)</f>
        <v/>
      </c>
      <c r="AX25" s="5">
        <f>SUMPRODUCT(React!$C$22:$AX$22,Curves!$AA$19:$BV$19)+SUMPRODUCT(React!$C$23:$AX$23,Curves!$AA$42:$BV$42)+SUMPRODUCT(React!$C$24:$AX$24,Curves!$AA$65:$BV$65)</f>
        <v/>
      </c>
      <c r="AY25" s="5">
        <f>SUMPRODUCT(React!$C$22:$AY$22,Curves!$Z$19:$BV$19)+SUMPRODUCT(React!$C$23:$AY$23,Curves!$Z$42:$BV$42)+SUMPRODUCT(React!$C$24:$AY$24,Curves!$Z$65:$BV$65)</f>
        <v/>
      </c>
      <c r="AZ25" s="5">
        <f>SUMPRODUCT(React!$C$22:$AZ$22,Curves!$Y$19:$BV$19)+SUMPRODUCT(React!$C$23:$AZ$23,Curves!$Y$42:$BV$42)+SUMPRODUCT(React!$C$24:$AZ$24,Curves!$Y$65:$BV$65)</f>
        <v/>
      </c>
      <c r="BA25" s="5">
        <f>SUMPRODUCT(React!$C$22:$BA$22,Curves!$X$19:$BV$19)+SUMPRODUCT(React!$C$23:$BA$23,Curves!$X$42:$BV$42)+SUMPRODUCT(React!$C$24:$BA$24,Curves!$X$65:$BV$65)</f>
        <v/>
      </c>
      <c r="BB25" s="5">
        <f>SUMPRODUCT(React!$C$22:$BB$22,Curves!$W$19:$BV$19)+SUMPRODUCT(React!$C$23:$BB$23,Curves!$W$42:$BV$42)+SUMPRODUCT(React!$C$24:$BB$24,Curves!$W$65:$BV$65)</f>
        <v/>
      </c>
      <c r="BC25" s="5">
        <f>SUMPRODUCT(React!$C$22:$BC$22,Curves!$V$19:$BV$19)+SUMPRODUCT(React!$C$23:$BC$23,Curves!$V$42:$BV$42)+SUMPRODUCT(React!$C$24:$BC$24,Curves!$V$65:$BV$65)</f>
        <v/>
      </c>
      <c r="BD25" s="5">
        <f>SUMPRODUCT(React!$C$22:$BD$22,Curves!$U$19:$BV$19)+SUMPRODUCT(React!$C$23:$BD$23,Curves!$U$42:$BV$42)+SUMPRODUCT(React!$C$24:$BD$24,Curves!$U$65:$BV$65)</f>
        <v/>
      </c>
      <c r="BE25" s="5">
        <f>SUMPRODUCT(React!$C$22:$BE$22,Curves!$T$19:$BV$19)+SUMPRODUCT(React!$C$23:$BE$23,Curves!$T$42:$BV$42)+SUMPRODUCT(React!$C$24:$BE$24,Curves!$T$65:$BV$65)</f>
        <v/>
      </c>
      <c r="BF25" s="5">
        <f>SUMPRODUCT(React!$C$22:$BF$22,Curves!$S$19:$BV$19)+SUMPRODUCT(React!$C$23:$BF$23,Curves!$S$42:$BV$42)+SUMPRODUCT(React!$C$24:$BF$24,Curves!$S$65:$BV$65)</f>
        <v/>
      </c>
      <c r="BG25" s="5">
        <f>SUMPRODUCT(React!$C$22:$BG$22,Curves!$R$19:$BV$19)+SUMPRODUCT(React!$C$23:$BG$23,Curves!$R$42:$BV$42)+SUMPRODUCT(React!$C$24:$BG$24,Curves!$R$65:$BV$65)</f>
        <v/>
      </c>
      <c r="BH25" s="5">
        <f>SUMPRODUCT(React!$C$22:$BH$22,Curves!$Q$19:$BV$19)+SUMPRODUCT(React!$C$23:$BH$23,Curves!$Q$42:$BV$42)+SUMPRODUCT(React!$C$24:$BH$24,Curves!$Q$65:$BV$65)</f>
        <v/>
      </c>
      <c r="BI25" s="5">
        <f>SUMPRODUCT(React!$C$22:$BI$22,Curves!$P$19:$BV$19)+SUMPRODUCT(React!$C$23:$BI$23,Curves!$P$42:$BV$42)+SUMPRODUCT(React!$C$24:$BI$24,Curves!$P$65:$BV$65)</f>
        <v/>
      </c>
      <c r="BJ25" s="5">
        <f>SUMPRODUCT(React!$C$22:$BJ$22,Curves!$O$19:$BV$19)+SUMPRODUCT(React!$C$23:$BJ$23,Curves!$O$42:$BV$42)+SUMPRODUCT(React!$C$24:$BJ$24,Curves!$O$65:$BV$65)</f>
        <v/>
      </c>
      <c r="BK25" s="5">
        <f>SUMPRODUCT(React!$C$22:$BK$22,Curves!$N$19:$BV$19)+SUMPRODUCT(React!$C$23:$BK$23,Curves!$N$42:$BV$42)+SUMPRODUCT(React!$C$24:$BK$24,Curves!$N$65:$BV$65)</f>
        <v/>
      </c>
      <c r="BL25" s="5">
        <f>SUMPRODUCT(React!$C$22:$BL$22,Curves!$M$19:$BV$19)+SUMPRODUCT(React!$C$23:$BL$23,Curves!$M$42:$BV$42)+SUMPRODUCT(React!$C$24:$BL$24,Curves!$M$65:$BV$65)</f>
        <v/>
      </c>
      <c r="BM25" s="5">
        <f>SUMPRODUCT(React!$C$22:$BM$22,Curves!$L$19:$BV$19)+SUMPRODUCT(React!$C$23:$BM$23,Curves!$L$42:$BV$42)+SUMPRODUCT(React!$C$24:$BM$24,Curves!$L$65:$BV$65)</f>
        <v/>
      </c>
      <c r="BN25" s="5">
        <f>SUMPRODUCT(React!$C$22:$BN$22,Curves!$K$19:$BV$19)+SUMPRODUCT(React!$C$23:$BN$23,Curves!$K$42:$BV$42)+SUMPRODUCT(React!$C$24:$BN$24,Curves!$K$65:$BV$65)</f>
        <v/>
      </c>
      <c r="BO25" s="5">
        <f>SUMPRODUCT(React!$C$22:$BO$22,Curves!$J$19:$BV$19)+SUMPRODUCT(React!$C$23:$BO$23,Curves!$J$42:$BV$42)+SUMPRODUCT(React!$C$24:$BO$24,Curves!$J$65:$BV$65)</f>
        <v/>
      </c>
      <c r="BP25" s="5">
        <f>SUMPRODUCT(React!$C$22:$BP$22,Curves!$I$19:$BV$19)+SUMPRODUCT(React!$C$23:$BP$23,Curves!$I$42:$BV$42)+SUMPRODUCT(React!$C$24:$BP$24,Curves!$I$65:$BV$65)</f>
        <v/>
      </c>
      <c r="BQ25" s="5">
        <f>SUMPRODUCT(React!$C$22:$BQ$22,Curves!$H$19:$BV$19)+SUMPRODUCT(React!$C$23:$BQ$23,Curves!$H$42:$BV$42)+SUMPRODUCT(React!$C$24:$BQ$24,Curves!$H$65:$BV$65)</f>
        <v/>
      </c>
      <c r="BR25" s="5">
        <f>SUMPRODUCT(React!$C$22:$BR$22,Curves!$G$19:$BV$19)+SUMPRODUCT(React!$C$23:$BR$23,Curves!$G$42:$BV$42)+SUMPRODUCT(React!$C$24:$BR$24,Curves!$G$65:$BV$65)</f>
        <v/>
      </c>
      <c r="BS25" s="5">
        <f>SUMPRODUCT(React!$C$22:$BS$22,Curves!$F$19:$BV$19)+SUMPRODUCT(React!$C$23:$BS$23,Curves!$F$42:$BV$42)+SUMPRODUCT(React!$C$24:$BS$24,Curves!$F$65:$BV$65)</f>
        <v/>
      </c>
      <c r="BT25" s="5">
        <f>SUMPRODUCT(React!$C$22:$BT$22,Curves!$E$19:$BV$19)+SUMPRODUCT(React!$C$23:$BT$23,Curves!$E$42:$BV$42)+SUMPRODUCT(React!$C$24:$BT$24,Curves!$E$65:$BV$65)</f>
        <v/>
      </c>
      <c r="BU25" s="5">
        <f>SUMPRODUCT(React!$C$22:$BU$22,Curves!$D$19:$BV$19)+SUMPRODUCT(React!$C$23:$BU$23,Curves!$D$42:$BV$42)+SUMPRODUCT(React!$C$24:$BU$24,Curves!$D$65:$BV$65)</f>
        <v/>
      </c>
      <c r="BV25" s="5">
        <f>SUMPRODUCT(React!$C$22:$BV$22,Curves!$C$19:$BV$19)+SUMPRODUCT(React!$C$23:$BV$23,Curves!$C$42:$BV$42)+SUMPRODUCT(React!$C$24:$BV$24,Curves!$C$65:$BV$65)</f>
        <v/>
      </c>
    </row>
    <row r="26">
      <c r="A26" t="inlineStr">
        <is>
          <t>active yr 1</t>
        </is>
      </c>
      <c r="B26" t="inlineStr">
        <is>
          <t>US_CA|NITRO_A</t>
        </is>
      </c>
      <c r="C26" s="5">
        <f>React!$C$22*Curves!$BV$24+React!$C$23*Curves!$BV$47+React!$C$24*Curves!$BV$70</f>
        <v/>
      </c>
      <c r="D26" s="5">
        <f>SUMPRODUCT(React!$C$22:$D$22,Curves!$BU$24:$BV$24)+SUMPRODUCT(React!$C$23:$D$23,Curves!$BU$47:$BV$47)+SUMPRODUCT(React!$C$24:$D$24,Curves!$BU$70:$BV$70)</f>
        <v/>
      </c>
      <c r="E26" s="5">
        <f>SUMPRODUCT(React!$C$22:$E$22,Curves!$BT$24:$BV$24)+SUMPRODUCT(React!$C$23:$E$23,Curves!$BT$47:$BV$47)+SUMPRODUCT(React!$C$24:$E$24,Curves!$BT$70:$BV$70)</f>
        <v/>
      </c>
      <c r="F26" s="5">
        <f>SUMPRODUCT(React!$C$22:$F$22,Curves!$BS$24:$BV$24)+SUMPRODUCT(React!$C$23:$F$23,Curves!$BS$47:$BV$47)+SUMPRODUCT(React!$C$24:$F$24,Curves!$BS$70:$BV$70)</f>
        <v/>
      </c>
      <c r="G26" s="5">
        <f>SUMPRODUCT(React!$C$22:$G$22,Curves!$BR$24:$BV$24)+SUMPRODUCT(React!$C$23:$G$23,Curves!$BR$47:$BV$47)+SUMPRODUCT(React!$C$24:$G$24,Curves!$BR$70:$BV$70)</f>
        <v/>
      </c>
      <c r="H26" s="5">
        <f>SUMPRODUCT(React!$C$22:$H$22,Curves!$BQ$24:$BV$24)+SUMPRODUCT(React!$C$23:$H$23,Curves!$BQ$47:$BV$47)+SUMPRODUCT(React!$C$24:$H$24,Curves!$BQ$70:$BV$70)</f>
        <v/>
      </c>
      <c r="I26" s="5">
        <f>SUMPRODUCT(React!$C$22:$I$22,Curves!$BP$24:$BV$24)+SUMPRODUCT(React!$C$23:$I$23,Curves!$BP$47:$BV$47)+SUMPRODUCT(React!$C$24:$I$24,Curves!$BP$70:$BV$70)</f>
        <v/>
      </c>
      <c r="J26" s="5">
        <f>SUMPRODUCT(React!$C$22:$J$22,Curves!$BO$24:$BV$24)+SUMPRODUCT(React!$C$23:$J$23,Curves!$BO$47:$BV$47)+SUMPRODUCT(React!$C$24:$J$24,Curves!$BO$70:$BV$70)</f>
        <v/>
      </c>
      <c r="K26" s="5">
        <f>SUMPRODUCT(React!$C$22:$K$22,Curves!$BN$24:$BV$24)+SUMPRODUCT(React!$C$23:$K$23,Curves!$BN$47:$BV$47)+SUMPRODUCT(React!$C$24:$K$24,Curves!$BN$70:$BV$70)</f>
        <v/>
      </c>
      <c r="L26" s="5">
        <f>SUMPRODUCT(React!$C$22:$L$22,Curves!$BM$24:$BV$24)+SUMPRODUCT(React!$C$23:$L$23,Curves!$BM$47:$BV$47)+SUMPRODUCT(React!$C$24:$L$24,Curves!$BM$70:$BV$70)</f>
        <v/>
      </c>
      <c r="M26" s="5">
        <f>SUMPRODUCT(React!$C$22:$M$22,Curves!$BL$24:$BV$24)+SUMPRODUCT(React!$C$23:$M$23,Curves!$BL$47:$BV$47)+SUMPRODUCT(React!$C$24:$M$24,Curves!$BL$70:$BV$70)</f>
        <v/>
      </c>
      <c r="N26" s="5">
        <f>SUMPRODUCT(React!$C$22:$N$22,Curves!$BK$24:$BV$24)+SUMPRODUCT(React!$C$23:$N$23,Curves!$BK$47:$BV$47)+SUMPRODUCT(React!$C$24:$N$24,Curves!$BK$70:$BV$70)</f>
        <v/>
      </c>
      <c r="O26" s="5">
        <f>SUMPRODUCT(React!$C$22:$O$22,Curves!$BJ$24:$BV$24)+SUMPRODUCT(React!$C$23:$O$23,Curves!$BJ$47:$BV$47)+SUMPRODUCT(React!$C$24:$O$24,Curves!$BJ$70:$BV$70)</f>
        <v/>
      </c>
      <c r="P26" s="5">
        <f>SUMPRODUCT(React!$C$22:$P$22,Curves!$BI$24:$BV$24)+SUMPRODUCT(React!$C$23:$P$23,Curves!$BI$47:$BV$47)+SUMPRODUCT(React!$C$24:$P$24,Curves!$BI$70:$BV$70)</f>
        <v/>
      </c>
      <c r="Q26" s="5">
        <f>SUMPRODUCT(React!$C$22:$Q$22,Curves!$BH$24:$BV$24)+SUMPRODUCT(React!$C$23:$Q$23,Curves!$BH$47:$BV$47)+SUMPRODUCT(React!$C$24:$Q$24,Curves!$BH$70:$BV$70)</f>
        <v/>
      </c>
      <c r="R26" s="5">
        <f>SUMPRODUCT(React!$C$22:$R$22,Curves!$BG$24:$BV$24)+SUMPRODUCT(React!$C$23:$R$23,Curves!$BG$47:$BV$47)+SUMPRODUCT(React!$C$24:$R$24,Curves!$BG$70:$BV$70)</f>
        <v/>
      </c>
      <c r="S26" s="5">
        <f>SUMPRODUCT(React!$C$22:$S$22,Curves!$BF$24:$BV$24)+SUMPRODUCT(React!$C$23:$S$23,Curves!$BF$47:$BV$47)+SUMPRODUCT(React!$C$24:$S$24,Curves!$BF$70:$BV$70)</f>
        <v/>
      </c>
      <c r="T26" s="5">
        <f>SUMPRODUCT(React!$C$22:$T$22,Curves!$BE$24:$BV$24)+SUMPRODUCT(React!$C$23:$T$23,Curves!$BE$47:$BV$47)+SUMPRODUCT(React!$C$24:$T$24,Curves!$BE$70:$BV$70)</f>
        <v/>
      </c>
      <c r="U26" s="5">
        <f>SUMPRODUCT(React!$C$22:$U$22,Curves!$BD$24:$BV$24)+SUMPRODUCT(React!$C$23:$U$23,Curves!$BD$47:$BV$47)+SUMPRODUCT(React!$C$24:$U$24,Curves!$BD$70:$BV$70)</f>
        <v/>
      </c>
      <c r="V26" s="5">
        <f>SUMPRODUCT(React!$C$22:$V$22,Curves!$BC$24:$BV$24)+SUMPRODUCT(React!$C$23:$V$23,Curves!$BC$47:$BV$47)+SUMPRODUCT(React!$C$24:$V$24,Curves!$BC$70:$BV$70)</f>
        <v/>
      </c>
      <c r="W26" s="5">
        <f>SUMPRODUCT(React!$C$22:$W$22,Curves!$BB$24:$BV$24)+SUMPRODUCT(React!$C$23:$W$23,Curves!$BB$47:$BV$47)+SUMPRODUCT(React!$C$24:$W$24,Curves!$BB$70:$BV$70)</f>
        <v/>
      </c>
      <c r="X26" s="5">
        <f>SUMPRODUCT(React!$C$22:$X$22,Curves!$BA$24:$BV$24)+SUMPRODUCT(React!$C$23:$X$23,Curves!$BA$47:$BV$47)+SUMPRODUCT(React!$C$24:$X$24,Curves!$BA$70:$BV$70)</f>
        <v/>
      </c>
      <c r="Y26" s="5">
        <f>SUMPRODUCT(React!$C$22:$Y$22,Curves!$AZ$24:$BV$24)+SUMPRODUCT(React!$C$23:$Y$23,Curves!$AZ$47:$BV$47)+SUMPRODUCT(React!$C$24:$Y$24,Curves!$AZ$70:$BV$70)</f>
        <v/>
      </c>
      <c r="Z26" s="5">
        <f>SUMPRODUCT(React!$C$22:$Z$22,Curves!$AY$24:$BV$24)+SUMPRODUCT(React!$C$23:$Z$23,Curves!$AY$47:$BV$47)+SUMPRODUCT(React!$C$24:$Z$24,Curves!$AY$70:$BV$70)</f>
        <v/>
      </c>
      <c r="AA26" s="5">
        <f>SUMPRODUCT(React!$C$22:$AA$22,Curves!$AX$24:$BV$24)+SUMPRODUCT(React!$C$23:$AA$23,Curves!$AX$47:$BV$47)+SUMPRODUCT(React!$C$24:$AA$24,Curves!$AX$70:$BV$70)</f>
        <v/>
      </c>
      <c r="AB26" s="5">
        <f>SUMPRODUCT(React!$C$22:$AB$22,Curves!$AW$24:$BV$24)+SUMPRODUCT(React!$C$23:$AB$23,Curves!$AW$47:$BV$47)+SUMPRODUCT(React!$C$24:$AB$24,Curves!$AW$70:$BV$70)</f>
        <v/>
      </c>
      <c r="AC26" s="5">
        <f>SUMPRODUCT(React!$C$22:$AC$22,Curves!$AV$24:$BV$24)+SUMPRODUCT(React!$C$23:$AC$23,Curves!$AV$47:$BV$47)+SUMPRODUCT(React!$C$24:$AC$24,Curves!$AV$70:$BV$70)</f>
        <v/>
      </c>
      <c r="AD26" s="5">
        <f>SUMPRODUCT(React!$C$22:$AD$22,Curves!$AU$24:$BV$24)+SUMPRODUCT(React!$C$23:$AD$23,Curves!$AU$47:$BV$47)+SUMPRODUCT(React!$C$24:$AD$24,Curves!$AU$70:$BV$70)</f>
        <v/>
      </c>
      <c r="AE26" s="5">
        <f>SUMPRODUCT(React!$C$22:$AE$22,Curves!$AT$24:$BV$24)+SUMPRODUCT(React!$C$23:$AE$23,Curves!$AT$47:$BV$47)+SUMPRODUCT(React!$C$24:$AE$24,Curves!$AT$70:$BV$70)</f>
        <v/>
      </c>
      <c r="AF26" s="5">
        <f>SUMPRODUCT(React!$C$22:$AF$22,Curves!$AS$24:$BV$24)+SUMPRODUCT(React!$C$23:$AF$23,Curves!$AS$47:$BV$47)+SUMPRODUCT(React!$C$24:$AF$24,Curves!$AS$70:$BV$70)</f>
        <v/>
      </c>
      <c r="AG26" s="5">
        <f>SUMPRODUCT(React!$C$22:$AG$22,Curves!$AR$24:$BV$24)+SUMPRODUCT(React!$C$23:$AG$23,Curves!$AR$47:$BV$47)+SUMPRODUCT(React!$C$24:$AG$24,Curves!$AR$70:$BV$70)</f>
        <v/>
      </c>
      <c r="AH26" s="5">
        <f>SUMPRODUCT(React!$C$22:$AH$22,Curves!$AQ$24:$BV$24)+SUMPRODUCT(React!$C$23:$AH$23,Curves!$AQ$47:$BV$47)+SUMPRODUCT(React!$C$24:$AH$24,Curves!$AQ$70:$BV$70)</f>
        <v/>
      </c>
      <c r="AI26" s="5">
        <f>SUMPRODUCT(React!$C$22:$AI$22,Curves!$AP$24:$BV$24)+SUMPRODUCT(React!$C$23:$AI$23,Curves!$AP$47:$BV$47)+SUMPRODUCT(React!$C$24:$AI$24,Curves!$AP$70:$BV$70)</f>
        <v/>
      </c>
      <c r="AJ26" s="5">
        <f>SUMPRODUCT(React!$C$22:$AJ$22,Curves!$AO$24:$BV$24)+SUMPRODUCT(React!$C$23:$AJ$23,Curves!$AO$47:$BV$47)+SUMPRODUCT(React!$C$24:$AJ$24,Curves!$AO$70:$BV$70)</f>
        <v/>
      </c>
      <c r="AK26" s="5">
        <f>SUMPRODUCT(React!$C$22:$AK$22,Curves!$AN$24:$BV$24)+SUMPRODUCT(React!$C$23:$AK$23,Curves!$AN$47:$BV$47)+SUMPRODUCT(React!$C$24:$AK$24,Curves!$AN$70:$BV$70)</f>
        <v/>
      </c>
      <c r="AL26" s="5">
        <f>SUMPRODUCT(React!$C$22:$AL$22,Curves!$AM$24:$BV$24)+SUMPRODUCT(React!$C$23:$AL$23,Curves!$AM$47:$BV$47)+SUMPRODUCT(React!$C$24:$AL$24,Curves!$AM$70:$BV$70)</f>
        <v/>
      </c>
      <c r="AM26" s="5">
        <f>SUMPRODUCT(React!$C$22:$AM$22,Curves!$AL$24:$BV$24)+SUMPRODUCT(React!$C$23:$AM$23,Curves!$AL$47:$BV$47)+SUMPRODUCT(React!$C$24:$AM$24,Curves!$AL$70:$BV$70)</f>
        <v/>
      </c>
      <c r="AN26" s="5">
        <f>SUMPRODUCT(React!$C$22:$AN$22,Curves!$AK$24:$BV$24)+SUMPRODUCT(React!$C$23:$AN$23,Curves!$AK$47:$BV$47)+SUMPRODUCT(React!$C$24:$AN$24,Curves!$AK$70:$BV$70)</f>
        <v/>
      </c>
      <c r="AO26" s="5">
        <f>SUMPRODUCT(React!$C$22:$AO$22,Curves!$AJ$24:$BV$24)+SUMPRODUCT(React!$C$23:$AO$23,Curves!$AJ$47:$BV$47)+SUMPRODUCT(React!$C$24:$AO$24,Curves!$AJ$70:$BV$70)</f>
        <v/>
      </c>
      <c r="AP26" s="5">
        <f>SUMPRODUCT(React!$C$22:$AP$22,Curves!$AI$24:$BV$24)+SUMPRODUCT(React!$C$23:$AP$23,Curves!$AI$47:$BV$47)+SUMPRODUCT(React!$C$24:$AP$24,Curves!$AI$70:$BV$70)</f>
        <v/>
      </c>
      <c r="AQ26" s="5">
        <f>SUMPRODUCT(React!$C$22:$AQ$22,Curves!$AH$24:$BV$24)+SUMPRODUCT(React!$C$23:$AQ$23,Curves!$AH$47:$BV$47)+SUMPRODUCT(React!$C$24:$AQ$24,Curves!$AH$70:$BV$70)</f>
        <v/>
      </c>
      <c r="AR26" s="5">
        <f>SUMPRODUCT(React!$C$22:$AR$22,Curves!$AG$24:$BV$24)+SUMPRODUCT(React!$C$23:$AR$23,Curves!$AG$47:$BV$47)+SUMPRODUCT(React!$C$24:$AR$24,Curves!$AG$70:$BV$70)</f>
        <v/>
      </c>
      <c r="AS26" s="5">
        <f>SUMPRODUCT(React!$C$22:$AS$22,Curves!$AF$24:$BV$24)+SUMPRODUCT(React!$C$23:$AS$23,Curves!$AF$47:$BV$47)+SUMPRODUCT(React!$C$24:$AS$24,Curves!$AF$70:$BV$70)</f>
        <v/>
      </c>
      <c r="AT26" s="5">
        <f>SUMPRODUCT(React!$C$22:$AT$22,Curves!$AE$24:$BV$24)+SUMPRODUCT(React!$C$23:$AT$23,Curves!$AE$47:$BV$47)+SUMPRODUCT(React!$C$24:$AT$24,Curves!$AE$70:$BV$70)</f>
        <v/>
      </c>
      <c r="AU26" s="5">
        <f>SUMPRODUCT(React!$C$22:$AU$22,Curves!$AD$24:$BV$24)+SUMPRODUCT(React!$C$23:$AU$23,Curves!$AD$47:$BV$47)+SUMPRODUCT(React!$C$24:$AU$24,Curves!$AD$70:$BV$70)</f>
        <v/>
      </c>
      <c r="AV26" s="5">
        <f>SUMPRODUCT(React!$C$22:$AV$22,Curves!$AC$24:$BV$24)+SUMPRODUCT(React!$C$23:$AV$23,Curves!$AC$47:$BV$47)+SUMPRODUCT(React!$C$24:$AV$24,Curves!$AC$70:$BV$70)</f>
        <v/>
      </c>
      <c r="AW26" s="5">
        <f>SUMPRODUCT(React!$C$22:$AW$22,Curves!$AB$24:$BV$24)+SUMPRODUCT(React!$C$23:$AW$23,Curves!$AB$47:$BV$47)+SUMPRODUCT(React!$C$24:$AW$24,Curves!$AB$70:$BV$70)</f>
        <v/>
      </c>
      <c r="AX26" s="5">
        <f>SUMPRODUCT(React!$C$22:$AX$22,Curves!$AA$24:$BV$24)+SUMPRODUCT(React!$C$23:$AX$23,Curves!$AA$47:$BV$47)+SUMPRODUCT(React!$C$24:$AX$24,Curves!$AA$70:$BV$70)</f>
        <v/>
      </c>
      <c r="AY26" s="5">
        <f>SUMPRODUCT(React!$C$22:$AY$22,Curves!$Z$24:$BV$24)+SUMPRODUCT(React!$C$23:$AY$23,Curves!$Z$47:$BV$47)+SUMPRODUCT(React!$C$24:$AY$24,Curves!$Z$70:$BV$70)</f>
        <v/>
      </c>
      <c r="AZ26" s="5">
        <f>SUMPRODUCT(React!$C$22:$AZ$22,Curves!$Y$24:$BV$24)+SUMPRODUCT(React!$C$23:$AZ$23,Curves!$Y$47:$BV$47)+SUMPRODUCT(React!$C$24:$AZ$24,Curves!$Y$70:$BV$70)</f>
        <v/>
      </c>
      <c r="BA26" s="5">
        <f>SUMPRODUCT(React!$C$22:$BA$22,Curves!$X$24:$BV$24)+SUMPRODUCT(React!$C$23:$BA$23,Curves!$X$47:$BV$47)+SUMPRODUCT(React!$C$24:$BA$24,Curves!$X$70:$BV$70)</f>
        <v/>
      </c>
      <c r="BB26" s="5">
        <f>SUMPRODUCT(React!$C$22:$BB$22,Curves!$W$24:$BV$24)+SUMPRODUCT(React!$C$23:$BB$23,Curves!$W$47:$BV$47)+SUMPRODUCT(React!$C$24:$BB$24,Curves!$W$70:$BV$70)</f>
        <v/>
      </c>
      <c r="BC26" s="5">
        <f>SUMPRODUCT(React!$C$22:$BC$22,Curves!$V$24:$BV$24)+SUMPRODUCT(React!$C$23:$BC$23,Curves!$V$47:$BV$47)+SUMPRODUCT(React!$C$24:$BC$24,Curves!$V$70:$BV$70)</f>
        <v/>
      </c>
      <c r="BD26" s="5">
        <f>SUMPRODUCT(React!$C$22:$BD$22,Curves!$U$24:$BV$24)+SUMPRODUCT(React!$C$23:$BD$23,Curves!$U$47:$BV$47)+SUMPRODUCT(React!$C$24:$BD$24,Curves!$U$70:$BV$70)</f>
        <v/>
      </c>
      <c r="BE26" s="5">
        <f>SUMPRODUCT(React!$C$22:$BE$22,Curves!$T$24:$BV$24)+SUMPRODUCT(React!$C$23:$BE$23,Curves!$T$47:$BV$47)+SUMPRODUCT(React!$C$24:$BE$24,Curves!$T$70:$BV$70)</f>
        <v/>
      </c>
      <c r="BF26" s="5">
        <f>SUMPRODUCT(React!$C$22:$BF$22,Curves!$S$24:$BV$24)+SUMPRODUCT(React!$C$23:$BF$23,Curves!$S$47:$BV$47)+SUMPRODUCT(React!$C$24:$BF$24,Curves!$S$70:$BV$70)</f>
        <v/>
      </c>
      <c r="BG26" s="5">
        <f>SUMPRODUCT(React!$C$22:$BG$22,Curves!$R$24:$BV$24)+SUMPRODUCT(React!$C$23:$BG$23,Curves!$R$47:$BV$47)+SUMPRODUCT(React!$C$24:$BG$24,Curves!$R$70:$BV$70)</f>
        <v/>
      </c>
      <c r="BH26" s="5">
        <f>SUMPRODUCT(React!$C$22:$BH$22,Curves!$Q$24:$BV$24)+SUMPRODUCT(React!$C$23:$BH$23,Curves!$Q$47:$BV$47)+SUMPRODUCT(React!$C$24:$BH$24,Curves!$Q$70:$BV$70)</f>
        <v/>
      </c>
      <c r="BI26" s="5">
        <f>SUMPRODUCT(React!$C$22:$BI$22,Curves!$P$24:$BV$24)+SUMPRODUCT(React!$C$23:$BI$23,Curves!$P$47:$BV$47)+SUMPRODUCT(React!$C$24:$BI$24,Curves!$P$70:$BV$70)</f>
        <v/>
      </c>
      <c r="BJ26" s="5">
        <f>SUMPRODUCT(React!$C$22:$BJ$22,Curves!$O$24:$BV$24)+SUMPRODUCT(React!$C$23:$BJ$23,Curves!$O$47:$BV$47)+SUMPRODUCT(React!$C$24:$BJ$24,Curves!$O$70:$BV$70)</f>
        <v/>
      </c>
      <c r="BK26" s="5">
        <f>SUMPRODUCT(React!$C$22:$BK$22,Curves!$N$24:$BV$24)+SUMPRODUCT(React!$C$23:$BK$23,Curves!$N$47:$BV$47)+SUMPRODUCT(React!$C$24:$BK$24,Curves!$N$70:$BV$70)</f>
        <v/>
      </c>
      <c r="BL26" s="5">
        <f>SUMPRODUCT(React!$C$22:$BL$22,Curves!$M$24:$BV$24)+SUMPRODUCT(React!$C$23:$BL$23,Curves!$M$47:$BV$47)+SUMPRODUCT(React!$C$24:$BL$24,Curves!$M$70:$BV$70)</f>
        <v/>
      </c>
      <c r="BM26" s="5">
        <f>SUMPRODUCT(React!$C$22:$BM$22,Curves!$L$24:$BV$24)+SUMPRODUCT(React!$C$23:$BM$23,Curves!$L$47:$BV$47)+SUMPRODUCT(React!$C$24:$BM$24,Curves!$L$70:$BV$70)</f>
        <v/>
      </c>
      <c r="BN26" s="5">
        <f>SUMPRODUCT(React!$C$22:$BN$22,Curves!$K$24:$BV$24)+SUMPRODUCT(React!$C$23:$BN$23,Curves!$K$47:$BV$47)+SUMPRODUCT(React!$C$24:$BN$24,Curves!$K$70:$BV$70)</f>
        <v/>
      </c>
      <c r="BO26" s="5">
        <f>SUMPRODUCT(React!$C$22:$BO$22,Curves!$J$24:$BV$24)+SUMPRODUCT(React!$C$23:$BO$23,Curves!$J$47:$BV$47)+SUMPRODUCT(React!$C$24:$BO$24,Curves!$J$70:$BV$70)</f>
        <v/>
      </c>
      <c r="BP26" s="5">
        <f>SUMPRODUCT(React!$C$22:$BP$22,Curves!$I$24:$BV$24)+SUMPRODUCT(React!$C$23:$BP$23,Curves!$I$47:$BV$47)+SUMPRODUCT(React!$C$24:$BP$24,Curves!$I$70:$BV$70)</f>
        <v/>
      </c>
      <c r="BQ26" s="5">
        <f>SUMPRODUCT(React!$C$22:$BQ$22,Curves!$H$24:$BV$24)+SUMPRODUCT(React!$C$23:$BQ$23,Curves!$H$47:$BV$47)+SUMPRODUCT(React!$C$24:$BQ$24,Curves!$H$70:$BV$70)</f>
        <v/>
      </c>
      <c r="BR26" s="5">
        <f>SUMPRODUCT(React!$C$22:$BR$22,Curves!$G$24:$BV$24)+SUMPRODUCT(React!$C$23:$BR$23,Curves!$G$47:$BV$47)+SUMPRODUCT(React!$C$24:$BR$24,Curves!$G$70:$BV$70)</f>
        <v/>
      </c>
      <c r="BS26" s="5">
        <f>SUMPRODUCT(React!$C$22:$BS$22,Curves!$F$24:$BV$24)+SUMPRODUCT(React!$C$23:$BS$23,Curves!$F$47:$BV$47)+SUMPRODUCT(React!$C$24:$BS$24,Curves!$F$70:$BV$70)</f>
        <v/>
      </c>
      <c r="BT26" s="5">
        <f>SUMPRODUCT(React!$C$22:$BT$22,Curves!$E$24:$BV$24)+SUMPRODUCT(React!$C$23:$BT$23,Curves!$E$47:$BV$47)+SUMPRODUCT(React!$C$24:$BT$24,Curves!$E$70:$BV$70)</f>
        <v/>
      </c>
      <c r="BU26" s="5">
        <f>SUMPRODUCT(React!$C$22:$BU$22,Curves!$D$24:$BV$24)+SUMPRODUCT(React!$C$23:$BU$23,Curves!$D$47:$BV$47)+SUMPRODUCT(React!$C$24:$BU$24,Curves!$D$70:$BV$70)</f>
        <v/>
      </c>
      <c r="BV26" s="5">
        <f>SUMPRODUCT(React!$C$22:$BV$22,Curves!$C$24:$BV$24)+SUMPRODUCT(React!$C$23:$BV$23,Curves!$C$47:$BV$47)+SUMPRODUCT(React!$C$24:$BV$24,Curves!$C$70:$BV$70)</f>
        <v/>
      </c>
    </row>
    <row r="27">
      <c r="A27" t="inlineStr">
        <is>
          <t>churned</t>
        </is>
      </c>
      <c r="B27" t="inlineStr">
        <is>
          <t>US_CA|NITRO_A</t>
        </is>
      </c>
      <c r="C27" s="5">
        <f>React!$C$22*Curves!$BV$20+React!$C$23*Curves!$BV$43+React!$C$24*Curves!$BV$66</f>
        <v/>
      </c>
      <c r="D27" s="5">
        <f>SUMPRODUCT(React!$C$22:$D$22,Curves!$BU$20:$BV$20)+SUMPRODUCT(React!$C$23:$D$23,Curves!$BU$43:$BV$43)+SUMPRODUCT(React!$C$24:$D$24,Curves!$BU$66:$BV$66)</f>
        <v/>
      </c>
      <c r="E27" s="5">
        <f>SUMPRODUCT(React!$C$22:$E$22,Curves!$BT$20:$BV$20)+SUMPRODUCT(React!$C$23:$E$23,Curves!$BT$43:$BV$43)+SUMPRODUCT(React!$C$24:$E$24,Curves!$BT$66:$BV$66)</f>
        <v/>
      </c>
      <c r="F27" s="5">
        <f>SUMPRODUCT(React!$C$22:$F$22,Curves!$BS$20:$BV$20)+SUMPRODUCT(React!$C$23:$F$23,Curves!$BS$43:$BV$43)+SUMPRODUCT(React!$C$24:$F$24,Curves!$BS$66:$BV$66)</f>
        <v/>
      </c>
      <c r="G27" s="5">
        <f>SUMPRODUCT(React!$C$22:$G$22,Curves!$BR$20:$BV$20)+SUMPRODUCT(React!$C$23:$G$23,Curves!$BR$43:$BV$43)+SUMPRODUCT(React!$C$24:$G$24,Curves!$BR$66:$BV$66)</f>
        <v/>
      </c>
      <c r="H27" s="5">
        <f>SUMPRODUCT(React!$C$22:$H$22,Curves!$BQ$20:$BV$20)+SUMPRODUCT(React!$C$23:$H$23,Curves!$BQ$43:$BV$43)+SUMPRODUCT(React!$C$24:$H$24,Curves!$BQ$66:$BV$66)</f>
        <v/>
      </c>
      <c r="I27" s="5">
        <f>SUMPRODUCT(React!$C$22:$I$22,Curves!$BP$20:$BV$20)+SUMPRODUCT(React!$C$23:$I$23,Curves!$BP$43:$BV$43)+SUMPRODUCT(React!$C$24:$I$24,Curves!$BP$66:$BV$66)</f>
        <v/>
      </c>
      <c r="J27" s="5">
        <f>SUMPRODUCT(React!$C$22:$J$22,Curves!$BO$20:$BV$20)+SUMPRODUCT(React!$C$23:$J$23,Curves!$BO$43:$BV$43)+SUMPRODUCT(React!$C$24:$J$24,Curves!$BO$66:$BV$66)</f>
        <v/>
      </c>
      <c r="K27" s="5">
        <f>SUMPRODUCT(React!$C$22:$K$22,Curves!$BN$20:$BV$20)+SUMPRODUCT(React!$C$23:$K$23,Curves!$BN$43:$BV$43)+SUMPRODUCT(React!$C$24:$K$24,Curves!$BN$66:$BV$66)</f>
        <v/>
      </c>
      <c r="L27" s="5">
        <f>SUMPRODUCT(React!$C$22:$L$22,Curves!$BM$20:$BV$20)+SUMPRODUCT(React!$C$23:$L$23,Curves!$BM$43:$BV$43)+SUMPRODUCT(React!$C$24:$L$24,Curves!$BM$66:$BV$66)</f>
        <v/>
      </c>
      <c r="M27" s="5">
        <f>SUMPRODUCT(React!$C$22:$M$22,Curves!$BL$20:$BV$20)+SUMPRODUCT(React!$C$23:$M$23,Curves!$BL$43:$BV$43)+SUMPRODUCT(React!$C$24:$M$24,Curves!$BL$66:$BV$66)</f>
        <v/>
      </c>
      <c r="N27" s="5">
        <f>SUMPRODUCT(React!$C$22:$N$22,Curves!$BK$20:$BV$20)+SUMPRODUCT(React!$C$23:$N$23,Curves!$BK$43:$BV$43)+SUMPRODUCT(React!$C$24:$N$24,Curves!$BK$66:$BV$66)</f>
        <v/>
      </c>
      <c r="O27" s="5">
        <f>SUMPRODUCT(React!$C$22:$O$22,Curves!$BJ$20:$BV$20)+SUMPRODUCT(React!$C$23:$O$23,Curves!$BJ$43:$BV$43)+SUMPRODUCT(React!$C$24:$O$24,Curves!$BJ$66:$BV$66)</f>
        <v/>
      </c>
      <c r="P27" s="5">
        <f>SUMPRODUCT(React!$C$22:$P$22,Curves!$BI$20:$BV$20)+SUMPRODUCT(React!$C$23:$P$23,Curves!$BI$43:$BV$43)+SUMPRODUCT(React!$C$24:$P$24,Curves!$BI$66:$BV$66)</f>
        <v/>
      </c>
      <c r="Q27" s="5">
        <f>SUMPRODUCT(React!$C$22:$Q$22,Curves!$BH$20:$BV$20)+SUMPRODUCT(React!$C$23:$Q$23,Curves!$BH$43:$BV$43)+SUMPRODUCT(React!$C$24:$Q$24,Curves!$BH$66:$BV$66)</f>
        <v/>
      </c>
      <c r="R27" s="5">
        <f>SUMPRODUCT(React!$C$22:$R$22,Curves!$BG$20:$BV$20)+SUMPRODUCT(React!$C$23:$R$23,Curves!$BG$43:$BV$43)+SUMPRODUCT(React!$C$24:$R$24,Curves!$BG$66:$BV$66)</f>
        <v/>
      </c>
      <c r="S27" s="5">
        <f>SUMPRODUCT(React!$C$22:$S$22,Curves!$BF$20:$BV$20)+SUMPRODUCT(React!$C$23:$S$23,Curves!$BF$43:$BV$43)+SUMPRODUCT(React!$C$24:$S$24,Curves!$BF$66:$BV$66)</f>
        <v/>
      </c>
      <c r="T27" s="5">
        <f>SUMPRODUCT(React!$C$22:$T$22,Curves!$BE$20:$BV$20)+SUMPRODUCT(React!$C$23:$T$23,Curves!$BE$43:$BV$43)+SUMPRODUCT(React!$C$24:$T$24,Curves!$BE$66:$BV$66)</f>
        <v/>
      </c>
      <c r="U27" s="5">
        <f>SUMPRODUCT(React!$C$22:$U$22,Curves!$BD$20:$BV$20)+SUMPRODUCT(React!$C$23:$U$23,Curves!$BD$43:$BV$43)+SUMPRODUCT(React!$C$24:$U$24,Curves!$BD$66:$BV$66)</f>
        <v/>
      </c>
      <c r="V27" s="5">
        <f>SUMPRODUCT(React!$C$22:$V$22,Curves!$BC$20:$BV$20)+SUMPRODUCT(React!$C$23:$V$23,Curves!$BC$43:$BV$43)+SUMPRODUCT(React!$C$24:$V$24,Curves!$BC$66:$BV$66)</f>
        <v/>
      </c>
      <c r="W27" s="5">
        <f>SUMPRODUCT(React!$C$22:$W$22,Curves!$BB$20:$BV$20)+SUMPRODUCT(React!$C$23:$W$23,Curves!$BB$43:$BV$43)+SUMPRODUCT(React!$C$24:$W$24,Curves!$BB$66:$BV$66)</f>
        <v/>
      </c>
      <c r="X27" s="5">
        <f>SUMPRODUCT(React!$C$22:$X$22,Curves!$BA$20:$BV$20)+SUMPRODUCT(React!$C$23:$X$23,Curves!$BA$43:$BV$43)+SUMPRODUCT(React!$C$24:$X$24,Curves!$BA$66:$BV$66)</f>
        <v/>
      </c>
      <c r="Y27" s="5">
        <f>SUMPRODUCT(React!$C$22:$Y$22,Curves!$AZ$20:$BV$20)+SUMPRODUCT(React!$C$23:$Y$23,Curves!$AZ$43:$BV$43)+SUMPRODUCT(React!$C$24:$Y$24,Curves!$AZ$66:$BV$66)</f>
        <v/>
      </c>
      <c r="Z27" s="5">
        <f>SUMPRODUCT(React!$C$22:$Z$22,Curves!$AY$20:$BV$20)+SUMPRODUCT(React!$C$23:$Z$23,Curves!$AY$43:$BV$43)+SUMPRODUCT(React!$C$24:$Z$24,Curves!$AY$66:$BV$66)</f>
        <v/>
      </c>
      <c r="AA27" s="5">
        <f>SUMPRODUCT(React!$C$22:$AA$22,Curves!$AX$20:$BV$20)+SUMPRODUCT(React!$C$23:$AA$23,Curves!$AX$43:$BV$43)+SUMPRODUCT(React!$C$24:$AA$24,Curves!$AX$66:$BV$66)</f>
        <v/>
      </c>
      <c r="AB27" s="5">
        <f>SUMPRODUCT(React!$C$22:$AB$22,Curves!$AW$20:$BV$20)+SUMPRODUCT(React!$C$23:$AB$23,Curves!$AW$43:$BV$43)+SUMPRODUCT(React!$C$24:$AB$24,Curves!$AW$66:$BV$66)</f>
        <v/>
      </c>
      <c r="AC27" s="5">
        <f>SUMPRODUCT(React!$C$22:$AC$22,Curves!$AV$20:$BV$20)+SUMPRODUCT(React!$C$23:$AC$23,Curves!$AV$43:$BV$43)+SUMPRODUCT(React!$C$24:$AC$24,Curves!$AV$66:$BV$66)</f>
        <v/>
      </c>
      <c r="AD27" s="5">
        <f>SUMPRODUCT(React!$C$22:$AD$22,Curves!$AU$20:$BV$20)+SUMPRODUCT(React!$C$23:$AD$23,Curves!$AU$43:$BV$43)+SUMPRODUCT(React!$C$24:$AD$24,Curves!$AU$66:$BV$66)</f>
        <v/>
      </c>
      <c r="AE27" s="5">
        <f>SUMPRODUCT(React!$C$22:$AE$22,Curves!$AT$20:$BV$20)+SUMPRODUCT(React!$C$23:$AE$23,Curves!$AT$43:$BV$43)+SUMPRODUCT(React!$C$24:$AE$24,Curves!$AT$66:$BV$66)</f>
        <v/>
      </c>
      <c r="AF27" s="5">
        <f>SUMPRODUCT(React!$C$22:$AF$22,Curves!$AS$20:$BV$20)+SUMPRODUCT(React!$C$23:$AF$23,Curves!$AS$43:$BV$43)+SUMPRODUCT(React!$C$24:$AF$24,Curves!$AS$66:$BV$66)</f>
        <v/>
      </c>
      <c r="AG27" s="5">
        <f>SUMPRODUCT(React!$C$22:$AG$22,Curves!$AR$20:$BV$20)+SUMPRODUCT(React!$C$23:$AG$23,Curves!$AR$43:$BV$43)+SUMPRODUCT(React!$C$24:$AG$24,Curves!$AR$66:$BV$66)</f>
        <v/>
      </c>
      <c r="AH27" s="5">
        <f>SUMPRODUCT(React!$C$22:$AH$22,Curves!$AQ$20:$BV$20)+SUMPRODUCT(React!$C$23:$AH$23,Curves!$AQ$43:$BV$43)+SUMPRODUCT(React!$C$24:$AH$24,Curves!$AQ$66:$BV$66)</f>
        <v/>
      </c>
      <c r="AI27" s="5">
        <f>SUMPRODUCT(React!$C$22:$AI$22,Curves!$AP$20:$BV$20)+SUMPRODUCT(React!$C$23:$AI$23,Curves!$AP$43:$BV$43)+SUMPRODUCT(React!$C$24:$AI$24,Curves!$AP$66:$BV$66)</f>
        <v/>
      </c>
      <c r="AJ27" s="5">
        <f>SUMPRODUCT(React!$C$22:$AJ$22,Curves!$AO$20:$BV$20)+SUMPRODUCT(React!$C$23:$AJ$23,Curves!$AO$43:$BV$43)+SUMPRODUCT(React!$C$24:$AJ$24,Curves!$AO$66:$BV$66)</f>
        <v/>
      </c>
      <c r="AK27" s="5">
        <f>SUMPRODUCT(React!$C$22:$AK$22,Curves!$AN$20:$BV$20)+SUMPRODUCT(React!$C$23:$AK$23,Curves!$AN$43:$BV$43)+SUMPRODUCT(React!$C$24:$AK$24,Curves!$AN$66:$BV$66)</f>
        <v/>
      </c>
      <c r="AL27" s="5">
        <f>SUMPRODUCT(React!$C$22:$AL$22,Curves!$AM$20:$BV$20)+SUMPRODUCT(React!$C$23:$AL$23,Curves!$AM$43:$BV$43)+SUMPRODUCT(React!$C$24:$AL$24,Curves!$AM$66:$BV$66)</f>
        <v/>
      </c>
      <c r="AM27" s="5">
        <f>SUMPRODUCT(React!$C$22:$AM$22,Curves!$AL$20:$BV$20)+SUMPRODUCT(React!$C$23:$AM$23,Curves!$AL$43:$BV$43)+SUMPRODUCT(React!$C$24:$AM$24,Curves!$AL$66:$BV$66)</f>
        <v/>
      </c>
      <c r="AN27" s="5">
        <f>SUMPRODUCT(React!$C$22:$AN$22,Curves!$AK$20:$BV$20)+SUMPRODUCT(React!$C$23:$AN$23,Curves!$AK$43:$BV$43)+SUMPRODUCT(React!$C$24:$AN$24,Curves!$AK$66:$BV$66)</f>
        <v/>
      </c>
      <c r="AO27" s="5">
        <f>SUMPRODUCT(React!$C$22:$AO$22,Curves!$AJ$20:$BV$20)+SUMPRODUCT(React!$C$23:$AO$23,Curves!$AJ$43:$BV$43)+SUMPRODUCT(React!$C$24:$AO$24,Curves!$AJ$66:$BV$66)</f>
        <v/>
      </c>
      <c r="AP27" s="5">
        <f>SUMPRODUCT(React!$C$22:$AP$22,Curves!$AI$20:$BV$20)+SUMPRODUCT(React!$C$23:$AP$23,Curves!$AI$43:$BV$43)+SUMPRODUCT(React!$C$24:$AP$24,Curves!$AI$66:$BV$66)</f>
        <v/>
      </c>
      <c r="AQ27" s="5">
        <f>SUMPRODUCT(React!$C$22:$AQ$22,Curves!$AH$20:$BV$20)+SUMPRODUCT(React!$C$23:$AQ$23,Curves!$AH$43:$BV$43)+SUMPRODUCT(React!$C$24:$AQ$24,Curves!$AH$66:$BV$66)</f>
        <v/>
      </c>
      <c r="AR27" s="5">
        <f>SUMPRODUCT(React!$C$22:$AR$22,Curves!$AG$20:$BV$20)+SUMPRODUCT(React!$C$23:$AR$23,Curves!$AG$43:$BV$43)+SUMPRODUCT(React!$C$24:$AR$24,Curves!$AG$66:$BV$66)</f>
        <v/>
      </c>
      <c r="AS27" s="5">
        <f>SUMPRODUCT(React!$C$22:$AS$22,Curves!$AF$20:$BV$20)+SUMPRODUCT(React!$C$23:$AS$23,Curves!$AF$43:$BV$43)+SUMPRODUCT(React!$C$24:$AS$24,Curves!$AF$66:$BV$66)</f>
        <v/>
      </c>
      <c r="AT27" s="5">
        <f>SUMPRODUCT(React!$C$22:$AT$22,Curves!$AE$20:$BV$20)+SUMPRODUCT(React!$C$23:$AT$23,Curves!$AE$43:$BV$43)+SUMPRODUCT(React!$C$24:$AT$24,Curves!$AE$66:$BV$66)</f>
        <v/>
      </c>
      <c r="AU27" s="5">
        <f>SUMPRODUCT(React!$C$22:$AU$22,Curves!$AD$20:$BV$20)+SUMPRODUCT(React!$C$23:$AU$23,Curves!$AD$43:$BV$43)+SUMPRODUCT(React!$C$24:$AU$24,Curves!$AD$66:$BV$66)</f>
        <v/>
      </c>
      <c r="AV27" s="5">
        <f>SUMPRODUCT(React!$C$22:$AV$22,Curves!$AC$20:$BV$20)+SUMPRODUCT(React!$C$23:$AV$23,Curves!$AC$43:$BV$43)+SUMPRODUCT(React!$C$24:$AV$24,Curves!$AC$66:$BV$66)</f>
        <v/>
      </c>
      <c r="AW27" s="5">
        <f>SUMPRODUCT(React!$C$22:$AW$22,Curves!$AB$20:$BV$20)+SUMPRODUCT(React!$C$23:$AW$23,Curves!$AB$43:$BV$43)+SUMPRODUCT(React!$C$24:$AW$24,Curves!$AB$66:$BV$66)</f>
        <v/>
      </c>
      <c r="AX27" s="5">
        <f>SUMPRODUCT(React!$C$22:$AX$22,Curves!$AA$20:$BV$20)+SUMPRODUCT(React!$C$23:$AX$23,Curves!$AA$43:$BV$43)+SUMPRODUCT(React!$C$24:$AX$24,Curves!$AA$66:$BV$66)</f>
        <v/>
      </c>
      <c r="AY27" s="5">
        <f>SUMPRODUCT(React!$C$22:$AY$22,Curves!$Z$20:$BV$20)+SUMPRODUCT(React!$C$23:$AY$23,Curves!$Z$43:$BV$43)+SUMPRODUCT(React!$C$24:$AY$24,Curves!$Z$66:$BV$66)</f>
        <v/>
      </c>
      <c r="AZ27" s="5">
        <f>SUMPRODUCT(React!$C$22:$AZ$22,Curves!$Y$20:$BV$20)+SUMPRODUCT(React!$C$23:$AZ$23,Curves!$Y$43:$BV$43)+SUMPRODUCT(React!$C$24:$AZ$24,Curves!$Y$66:$BV$66)</f>
        <v/>
      </c>
      <c r="BA27" s="5">
        <f>SUMPRODUCT(React!$C$22:$BA$22,Curves!$X$20:$BV$20)+SUMPRODUCT(React!$C$23:$BA$23,Curves!$X$43:$BV$43)+SUMPRODUCT(React!$C$24:$BA$24,Curves!$X$66:$BV$66)</f>
        <v/>
      </c>
      <c r="BB27" s="5">
        <f>SUMPRODUCT(React!$C$22:$BB$22,Curves!$W$20:$BV$20)+SUMPRODUCT(React!$C$23:$BB$23,Curves!$W$43:$BV$43)+SUMPRODUCT(React!$C$24:$BB$24,Curves!$W$66:$BV$66)</f>
        <v/>
      </c>
      <c r="BC27" s="5">
        <f>SUMPRODUCT(React!$C$22:$BC$22,Curves!$V$20:$BV$20)+SUMPRODUCT(React!$C$23:$BC$23,Curves!$V$43:$BV$43)+SUMPRODUCT(React!$C$24:$BC$24,Curves!$V$66:$BV$66)</f>
        <v/>
      </c>
      <c r="BD27" s="5">
        <f>SUMPRODUCT(React!$C$22:$BD$22,Curves!$U$20:$BV$20)+SUMPRODUCT(React!$C$23:$BD$23,Curves!$U$43:$BV$43)+SUMPRODUCT(React!$C$24:$BD$24,Curves!$U$66:$BV$66)</f>
        <v/>
      </c>
      <c r="BE27" s="5">
        <f>SUMPRODUCT(React!$C$22:$BE$22,Curves!$T$20:$BV$20)+SUMPRODUCT(React!$C$23:$BE$23,Curves!$T$43:$BV$43)+SUMPRODUCT(React!$C$24:$BE$24,Curves!$T$66:$BV$66)</f>
        <v/>
      </c>
      <c r="BF27" s="5">
        <f>SUMPRODUCT(React!$C$22:$BF$22,Curves!$S$20:$BV$20)+SUMPRODUCT(React!$C$23:$BF$23,Curves!$S$43:$BV$43)+SUMPRODUCT(React!$C$24:$BF$24,Curves!$S$66:$BV$66)</f>
        <v/>
      </c>
      <c r="BG27" s="5">
        <f>SUMPRODUCT(React!$C$22:$BG$22,Curves!$R$20:$BV$20)+SUMPRODUCT(React!$C$23:$BG$23,Curves!$R$43:$BV$43)+SUMPRODUCT(React!$C$24:$BG$24,Curves!$R$66:$BV$66)</f>
        <v/>
      </c>
      <c r="BH27" s="5">
        <f>SUMPRODUCT(React!$C$22:$BH$22,Curves!$Q$20:$BV$20)+SUMPRODUCT(React!$C$23:$BH$23,Curves!$Q$43:$BV$43)+SUMPRODUCT(React!$C$24:$BH$24,Curves!$Q$66:$BV$66)</f>
        <v/>
      </c>
      <c r="BI27" s="5">
        <f>SUMPRODUCT(React!$C$22:$BI$22,Curves!$P$20:$BV$20)+SUMPRODUCT(React!$C$23:$BI$23,Curves!$P$43:$BV$43)+SUMPRODUCT(React!$C$24:$BI$24,Curves!$P$66:$BV$66)</f>
        <v/>
      </c>
      <c r="BJ27" s="5">
        <f>SUMPRODUCT(React!$C$22:$BJ$22,Curves!$O$20:$BV$20)+SUMPRODUCT(React!$C$23:$BJ$23,Curves!$O$43:$BV$43)+SUMPRODUCT(React!$C$24:$BJ$24,Curves!$O$66:$BV$66)</f>
        <v/>
      </c>
      <c r="BK27" s="5">
        <f>SUMPRODUCT(React!$C$22:$BK$22,Curves!$N$20:$BV$20)+SUMPRODUCT(React!$C$23:$BK$23,Curves!$N$43:$BV$43)+SUMPRODUCT(React!$C$24:$BK$24,Curves!$N$66:$BV$66)</f>
        <v/>
      </c>
      <c r="BL27" s="5">
        <f>SUMPRODUCT(React!$C$22:$BL$22,Curves!$M$20:$BV$20)+SUMPRODUCT(React!$C$23:$BL$23,Curves!$M$43:$BV$43)+SUMPRODUCT(React!$C$24:$BL$24,Curves!$M$66:$BV$66)</f>
        <v/>
      </c>
      <c r="BM27" s="5">
        <f>SUMPRODUCT(React!$C$22:$BM$22,Curves!$L$20:$BV$20)+SUMPRODUCT(React!$C$23:$BM$23,Curves!$L$43:$BV$43)+SUMPRODUCT(React!$C$24:$BM$24,Curves!$L$66:$BV$66)</f>
        <v/>
      </c>
      <c r="BN27" s="5">
        <f>SUMPRODUCT(React!$C$22:$BN$22,Curves!$K$20:$BV$20)+SUMPRODUCT(React!$C$23:$BN$23,Curves!$K$43:$BV$43)+SUMPRODUCT(React!$C$24:$BN$24,Curves!$K$66:$BV$66)</f>
        <v/>
      </c>
      <c r="BO27" s="5">
        <f>SUMPRODUCT(React!$C$22:$BO$22,Curves!$J$20:$BV$20)+SUMPRODUCT(React!$C$23:$BO$23,Curves!$J$43:$BV$43)+SUMPRODUCT(React!$C$24:$BO$24,Curves!$J$66:$BV$66)</f>
        <v/>
      </c>
      <c r="BP27" s="5">
        <f>SUMPRODUCT(React!$C$22:$BP$22,Curves!$I$20:$BV$20)+SUMPRODUCT(React!$C$23:$BP$23,Curves!$I$43:$BV$43)+SUMPRODUCT(React!$C$24:$BP$24,Curves!$I$66:$BV$66)</f>
        <v/>
      </c>
      <c r="BQ27" s="5">
        <f>SUMPRODUCT(React!$C$22:$BQ$22,Curves!$H$20:$BV$20)+SUMPRODUCT(React!$C$23:$BQ$23,Curves!$H$43:$BV$43)+SUMPRODUCT(React!$C$24:$BQ$24,Curves!$H$66:$BV$66)</f>
        <v/>
      </c>
      <c r="BR27" s="5">
        <f>SUMPRODUCT(React!$C$22:$BR$22,Curves!$G$20:$BV$20)+SUMPRODUCT(React!$C$23:$BR$23,Curves!$G$43:$BV$43)+SUMPRODUCT(React!$C$24:$BR$24,Curves!$G$66:$BV$66)</f>
        <v/>
      </c>
      <c r="BS27" s="5">
        <f>SUMPRODUCT(React!$C$22:$BS$22,Curves!$F$20:$BV$20)+SUMPRODUCT(React!$C$23:$BS$23,Curves!$F$43:$BV$43)+SUMPRODUCT(React!$C$24:$BS$24,Curves!$F$66:$BV$66)</f>
        <v/>
      </c>
      <c r="BT27" s="5">
        <f>SUMPRODUCT(React!$C$22:$BT$22,Curves!$E$20:$BV$20)+SUMPRODUCT(React!$C$23:$BT$23,Curves!$E$43:$BV$43)+SUMPRODUCT(React!$C$24:$BT$24,Curves!$E$66:$BV$66)</f>
        <v/>
      </c>
      <c r="BU27" s="5">
        <f>SUMPRODUCT(React!$C$22:$BU$22,Curves!$D$20:$BV$20)+SUMPRODUCT(React!$C$23:$BU$23,Curves!$D$43:$BV$43)+SUMPRODUCT(React!$C$24:$BU$24,Curves!$D$66:$BV$66)</f>
        <v/>
      </c>
      <c r="BV27" s="5">
        <f>SUMPRODUCT(React!$C$22:$BV$22,Curves!$C$20:$BV$20)+SUMPRODUCT(React!$C$23:$BV$23,Curves!$C$43:$BV$43)+SUMPRODUCT(React!$C$24:$BV$24,Curves!$C$66:$BV$66)</f>
        <v/>
      </c>
    </row>
    <row r="29">
      <c r="A29" t="inlineStr">
        <is>
          <t>churn pool inflow</t>
        </is>
      </c>
      <c r="B29" t="inlineStr">
        <is>
          <t>US_CA|BASIC_M</t>
        </is>
      </c>
      <c r="C29" s="5">
        <f>Paid!C13+Legacy!C15</f>
        <v/>
      </c>
      <c r="D29" s="5">
        <f>Paid!D13+Legacy!D15</f>
        <v/>
      </c>
      <c r="E29" s="5">
        <f>Paid!E13+Legacy!E15</f>
        <v/>
      </c>
      <c r="F29" s="5">
        <f>Paid!F13+Legacy!F15</f>
        <v/>
      </c>
      <c r="G29" s="5">
        <f>Paid!G13+Legacy!G15</f>
        <v/>
      </c>
      <c r="H29" s="5">
        <f>Paid!H13+Legacy!H15</f>
        <v/>
      </c>
      <c r="I29" s="5">
        <f>Paid!I13+Legacy!I15</f>
        <v/>
      </c>
      <c r="J29" s="5">
        <f>Paid!J13+Legacy!J15</f>
        <v/>
      </c>
      <c r="K29" s="5">
        <f>Paid!K13+Legacy!K15</f>
        <v/>
      </c>
      <c r="L29" s="5">
        <f>Paid!L13+Legacy!L15</f>
        <v/>
      </c>
      <c r="M29" s="5">
        <f>Paid!M13+Legacy!M15</f>
        <v/>
      </c>
      <c r="N29" s="5">
        <f>Paid!N13+Legacy!N15</f>
        <v/>
      </c>
      <c r="O29" s="5">
        <f>Paid!O13+Legacy!O15</f>
        <v/>
      </c>
      <c r="P29" s="5">
        <f>Paid!P13+Legacy!P15</f>
        <v/>
      </c>
      <c r="Q29" s="5">
        <f>Paid!Q13+Legacy!Q15</f>
        <v/>
      </c>
      <c r="R29" s="5">
        <f>Paid!R13+Legacy!R15</f>
        <v/>
      </c>
      <c r="S29" s="5">
        <f>Paid!S13+Legacy!S15</f>
        <v/>
      </c>
      <c r="T29" s="5">
        <f>Paid!T13+Legacy!T15</f>
        <v/>
      </c>
      <c r="U29" s="5">
        <f>Paid!U13+Legacy!U15</f>
        <v/>
      </c>
      <c r="V29" s="5">
        <f>Paid!V13+Legacy!V15</f>
        <v/>
      </c>
      <c r="W29" s="5">
        <f>Paid!W13+Legacy!W15</f>
        <v/>
      </c>
      <c r="X29" s="5">
        <f>Paid!X13+Legacy!X15</f>
        <v/>
      </c>
      <c r="Y29" s="5">
        <f>Paid!Y13+Legacy!Y15</f>
        <v/>
      </c>
      <c r="Z29" s="5">
        <f>Paid!Z13+Legacy!Z15</f>
        <v/>
      </c>
      <c r="AA29" s="5">
        <f>Paid!AA13+Legacy!AA15</f>
        <v/>
      </c>
      <c r="AB29" s="5">
        <f>Paid!AB13+Legacy!AB15</f>
        <v/>
      </c>
      <c r="AC29" s="5">
        <f>Paid!AC13+Legacy!AC15</f>
        <v/>
      </c>
      <c r="AD29" s="5">
        <f>Paid!AD13+Legacy!AD15</f>
        <v/>
      </c>
      <c r="AE29" s="5">
        <f>Paid!AE13+Legacy!AE15</f>
        <v/>
      </c>
      <c r="AF29" s="5">
        <f>Paid!AF13+Legacy!AF15</f>
        <v/>
      </c>
      <c r="AG29" s="5">
        <f>Paid!AG13+Legacy!AG15</f>
        <v/>
      </c>
      <c r="AH29" s="5">
        <f>Paid!AH13+Legacy!AH15</f>
        <v/>
      </c>
      <c r="AI29" s="5">
        <f>Paid!AI13+Legacy!AI15</f>
        <v/>
      </c>
      <c r="AJ29" s="5">
        <f>Paid!AJ13+Legacy!AJ15</f>
        <v/>
      </c>
      <c r="AK29" s="5">
        <f>Paid!AK13+Legacy!AK15</f>
        <v/>
      </c>
      <c r="AL29" s="5">
        <f>Paid!AL13+Legacy!AL15</f>
        <v/>
      </c>
      <c r="AM29" s="5">
        <f>Paid!AM13+Legacy!AM15</f>
        <v/>
      </c>
      <c r="AN29" s="5">
        <f>Paid!AN13+Legacy!AN15</f>
        <v/>
      </c>
      <c r="AO29" s="5">
        <f>Paid!AO13+Legacy!AO15</f>
        <v/>
      </c>
      <c r="AP29" s="5">
        <f>Paid!AP13+Legacy!AP15</f>
        <v/>
      </c>
      <c r="AQ29" s="5">
        <f>Paid!AQ13+Legacy!AQ15</f>
        <v/>
      </c>
      <c r="AR29" s="5">
        <f>Paid!AR13+Legacy!AR15</f>
        <v/>
      </c>
      <c r="AS29" s="5">
        <f>Paid!AS13+Legacy!AS15</f>
        <v/>
      </c>
      <c r="AT29" s="5">
        <f>Paid!AT13+Legacy!AT15</f>
        <v/>
      </c>
      <c r="AU29" s="5">
        <f>Paid!AU13+Legacy!AU15</f>
        <v/>
      </c>
      <c r="AV29" s="5">
        <f>Paid!AV13+Legacy!AV15</f>
        <v/>
      </c>
      <c r="AW29" s="5">
        <f>Paid!AW13+Legacy!AW15</f>
        <v/>
      </c>
      <c r="AX29" s="5">
        <f>Paid!AX13+Legacy!AX15</f>
        <v/>
      </c>
      <c r="AY29" s="5">
        <f>Paid!AY13+Legacy!AY15</f>
        <v/>
      </c>
      <c r="AZ29" s="5">
        <f>Paid!AZ13+Legacy!AZ15</f>
        <v/>
      </c>
      <c r="BA29" s="5">
        <f>Paid!BA13+Legacy!BA15</f>
        <v/>
      </c>
      <c r="BB29" s="5">
        <f>Paid!BB13+Legacy!BB15</f>
        <v/>
      </c>
      <c r="BC29" s="5">
        <f>Paid!BC13+Legacy!BC15</f>
        <v/>
      </c>
      <c r="BD29" s="5">
        <f>Paid!BD13+Legacy!BD15</f>
        <v/>
      </c>
      <c r="BE29" s="5">
        <f>Paid!BE13+Legacy!BE15</f>
        <v/>
      </c>
      <c r="BF29" s="5">
        <f>Paid!BF13+Legacy!BF15</f>
        <v/>
      </c>
      <c r="BG29" s="5">
        <f>Paid!BG13+Legacy!BG15</f>
        <v/>
      </c>
      <c r="BH29" s="5">
        <f>Paid!BH13+Legacy!BH15</f>
        <v/>
      </c>
      <c r="BI29" s="5">
        <f>Paid!BI13+Legacy!BI15</f>
        <v/>
      </c>
      <c r="BJ29" s="5">
        <f>Paid!BJ13+Legacy!BJ15</f>
        <v/>
      </c>
      <c r="BK29" s="5">
        <f>Paid!BK13+Legacy!BK15</f>
        <v/>
      </c>
      <c r="BL29" s="5">
        <f>Paid!BL13+Legacy!BL15</f>
        <v/>
      </c>
      <c r="BM29" s="5">
        <f>Paid!BM13+Legacy!BM15</f>
        <v/>
      </c>
      <c r="BN29" s="5">
        <f>Paid!BN13+Legacy!BN15</f>
        <v/>
      </c>
      <c r="BO29" s="5">
        <f>Paid!BO13+Legacy!BO15</f>
        <v/>
      </c>
      <c r="BP29" s="5">
        <f>Paid!BP13+Legacy!BP15</f>
        <v/>
      </c>
      <c r="BQ29" s="5">
        <f>Paid!BQ13+Legacy!BQ15</f>
        <v/>
      </c>
      <c r="BR29" s="5">
        <f>Paid!BR13+Legacy!BR15</f>
        <v/>
      </c>
      <c r="BS29" s="5">
        <f>Paid!BS13+Legacy!BS15</f>
        <v/>
      </c>
      <c r="BT29" s="5">
        <f>Paid!BT13+Legacy!BT15</f>
        <v/>
      </c>
      <c r="BU29" s="5">
        <f>Paid!BU13+Legacy!BU15</f>
        <v/>
      </c>
      <c r="BV29" s="5">
        <f>Paid!BV13+Legacy!BV15</f>
        <v/>
      </c>
    </row>
    <row r="30">
      <c r="A30" t="inlineStr">
        <is>
          <t>inflow @0</t>
        </is>
      </c>
      <c r="B30" t="inlineStr">
        <is>
          <t>US_CA|BASIC_M</t>
        </is>
      </c>
      <c r="C30" s="5">
        <f>C29*Eras!C$3</f>
        <v/>
      </c>
      <c r="D30" s="5">
        <f>D29*Eras!D$3</f>
        <v/>
      </c>
      <c r="E30" s="5">
        <f>E29*Eras!E$3</f>
        <v/>
      </c>
      <c r="F30" s="5">
        <f>F29*Eras!F$3</f>
        <v/>
      </c>
      <c r="G30" s="5">
        <f>G29*Eras!G$3</f>
        <v/>
      </c>
      <c r="H30" s="5">
        <f>H29*Eras!H$3</f>
        <v/>
      </c>
      <c r="I30" s="5">
        <f>I29*Eras!I$3</f>
        <v/>
      </c>
      <c r="J30" s="5">
        <f>J29*Eras!J$3</f>
        <v/>
      </c>
      <c r="K30" s="5">
        <f>K29*Eras!K$3</f>
        <v/>
      </c>
      <c r="L30" s="5">
        <f>L29*Eras!L$3</f>
        <v/>
      </c>
      <c r="M30" s="5">
        <f>M29*Eras!M$3</f>
        <v/>
      </c>
      <c r="N30" s="5">
        <f>N29*Eras!N$3</f>
        <v/>
      </c>
      <c r="O30" s="5">
        <f>O29*Eras!O$3</f>
        <v/>
      </c>
      <c r="P30" s="5">
        <f>P29*Eras!P$3</f>
        <v/>
      </c>
      <c r="Q30" s="5">
        <f>Q29*Eras!Q$3</f>
        <v/>
      </c>
      <c r="R30" s="5">
        <f>R29*Eras!R$3</f>
        <v/>
      </c>
      <c r="S30" s="5">
        <f>S29*Eras!S$3</f>
        <v/>
      </c>
      <c r="T30" s="5">
        <f>T29*Eras!T$3</f>
        <v/>
      </c>
      <c r="U30" s="5">
        <f>U29*Eras!U$3</f>
        <v/>
      </c>
      <c r="V30" s="5">
        <f>V29*Eras!V$3</f>
        <v/>
      </c>
      <c r="W30" s="5">
        <f>W29*Eras!W$3</f>
        <v/>
      </c>
      <c r="X30" s="5">
        <f>X29*Eras!X$3</f>
        <v/>
      </c>
      <c r="Y30" s="5">
        <f>Y29*Eras!Y$3</f>
        <v/>
      </c>
      <c r="Z30" s="5">
        <f>Z29*Eras!Z$3</f>
        <v/>
      </c>
      <c r="AA30" s="5">
        <f>AA29*Eras!AA$3</f>
        <v/>
      </c>
      <c r="AB30" s="5">
        <f>AB29*Eras!AB$3</f>
        <v/>
      </c>
      <c r="AC30" s="5">
        <f>AC29*Eras!AC$3</f>
        <v/>
      </c>
      <c r="AD30" s="5">
        <f>AD29*Eras!AD$3</f>
        <v/>
      </c>
      <c r="AE30" s="5">
        <f>AE29*Eras!AE$3</f>
        <v/>
      </c>
      <c r="AF30" s="5">
        <f>AF29*Eras!AF$3</f>
        <v/>
      </c>
      <c r="AG30" s="5">
        <f>AG29*Eras!AG$3</f>
        <v/>
      </c>
      <c r="AH30" s="5">
        <f>AH29*Eras!AH$3</f>
        <v/>
      </c>
      <c r="AI30" s="5">
        <f>AI29*Eras!AI$3</f>
        <v/>
      </c>
      <c r="AJ30" s="5">
        <f>AJ29*Eras!AJ$3</f>
        <v/>
      </c>
      <c r="AK30" s="5">
        <f>AK29*Eras!AK$3</f>
        <v/>
      </c>
      <c r="AL30" s="5">
        <f>AL29*Eras!AL$3</f>
        <v/>
      </c>
      <c r="AM30" s="5">
        <f>AM29*Eras!AM$3</f>
        <v/>
      </c>
      <c r="AN30" s="5">
        <f>AN29*Eras!AN$3</f>
        <v/>
      </c>
      <c r="AO30" s="5">
        <f>AO29*Eras!AO$3</f>
        <v/>
      </c>
      <c r="AP30" s="5">
        <f>AP29*Eras!AP$3</f>
        <v/>
      </c>
      <c r="AQ30" s="5">
        <f>AQ29*Eras!AQ$3</f>
        <v/>
      </c>
      <c r="AR30" s="5">
        <f>AR29*Eras!AR$3</f>
        <v/>
      </c>
      <c r="AS30" s="5">
        <f>AS29*Eras!AS$3</f>
        <v/>
      </c>
      <c r="AT30" s="5">
        <f>AT29*Eras!AT$3</f>
        <v/>
      </c>
      <c r="AU30" s="5">
        <f>AU29*Eras!AU$3</f>
        <v/>
      </c>
      <c r="AV30" s="5">
        <f>AV29*Eras!AV$3</f>
        <v/>
      </c>
      <c r="AW30" s="5">
        <f>AW29*Eras!AW$3</f>
        <v/>
      </c>
      <c r="AX30" s="5">
        <f>AX29*Eras!AX$3</f>
        <v/>
      </c>
      <c r="AY30" s="5">
        <f>AY29*Eras!AY$3</f>
        <v/>
      </c>
      <c r="AZ30" s="5">
        <f>AZ29*Eras!AZ$3</f>
        <v/>
      </c>
      <c r="BA30" s="5">
        <f>BA29*Eras!BA$3</f>
        <v/>
      </c>
      <c r="BB30" s="5">
        <f>BB29*Eras!BB$3</f>
        <v/>
      </c>
      <c r="BC30" s="5">
        <f>BC29*Eras!BC$3</f>
        <v/>
      </c>
      <c r="BD30" s="5">
        <f>BD29*Eras!BD$3</f>
        <v/>
      </c>
      <c r="BE30" s="5">
        <f>BE29*Eras!BE$3</f>
        <v/>
      </c>
      <c r="BF30" s="5">
        <f>BF29*Eras!BF$3</f>
        <v/>
      </c>
      <c r="BG30" s="5">
        <f>BG29*Eras!BG$3</f>
        <v/>
      </c>
      <c r="BH30" s="5">
        <f>BH29*Eras!BH$3</f>
        <v/>
      </c>
      <c r="BI30" s="5">
        <f>BI29*Eras!BI$3</f>
        <v/>
      </c>
      <c r="BJ30" s="5">
        <f>BJ29*Eras!BJ$3</f>
        <v/>
      </c>
      <c r="BK30" s="5">
        <f>BK29*Eras!BK$3</f>
        <v/>
      </c>
      <c r="BL30" s="5">
        <f>BL29*Eras!BL$3</f>
        <v/>
      </c>
      <c r="BM30" s="5">
        <f>BM29*Eras!BM$3</f>
        <v/>
      </c>
      <c r="BN30" s="5">
        <f>BN29*Eras!BN$3</f>
        <v/>
      </c>
      <c r="BO30" s="5">
        <f>BO29*Eras!BO$3</f>
        <v/>
      </c>
      <c r="BP30" s="5">
        <f>BP29*Eras!BP$3</f>
        <v/>
      </c>
      <c r="BQ30" s="5">
        <f>BQ29*Eras!BQ$3</f>
        <v/>
      </c>
      <c r="BR30" s="5">
        <f>BR29*Eras!BR$3</f>
        <v/>
      </c>
      <c r="BS30" s="5">
        <f>BS29*Eras!BS$3</f>
        <v/>
      </c>
      <c r="BT30" s="5">
        <f>BT29*Eras!BT$3</f>
        <v/>
      </c>
      <c r="BU30" s="5">
        <f>BU29*Eras!BU$3</f>
        <v/>
      </c>
      <c r="BV30" s="5">
        <f>BV29*Eras!BV$3</f>
        <v/>
      </c>
    </row>
    <row r="31">
      <c r="A31" t="inlineStr">
        <is>
          <t>inflow @1</t>
        </is>
      </c>
      <c r="B31" t="inlineStr">
        <is>
          <t>US_CA|BASIC_M</t>
        </is>
      </c>
      <c r="C31" s="5">
        <f>C29*Eras!C$4</f>
        <v/>
      </c>
      <c r="D31" s="5">
        <f>D29*Eras!D$4</f>
        <v/>
      </c>
      <c r="E31" s="5">
        <f>E29*Eras!E$4</f>
        <v/>
      </c>
      <c r="F31" s="5">
        <f>F29*Eras!F$4</f>
        <v/>
      </c>
      <c r="G31" s="5">
        <f>G29*Eras!G$4</f>
        <v/>
      </c>
      <c r="H31" s="5">
        <f>H29*Eras!H$4</f>
        <v/>
      </c>
      <c r="I31" s="5">
        <f>I29*Eras!I$4</f>
        <v/>
      </c>
      <c r="J31" s="5">
        <f>J29*Eras!J$4</f>
        <v/>
      </c>
      <c r="K31" s="5">
        <f>K29*Eras!K$4</f>
        <v/>
      </c>
      <c r="L31" s="5">
        <f>L29*Eras!L$4</f>
        <v/>
      </c>
      <c r="M31" s="5">
        <f>M29*Eras!M$4</f>
        <v/>
      </c>
      <c r="N31" s="5">
        <f>N29*Eras!N$4</f>
        <v/>
      </c>
      <c r="O31" s="5">
        <f>O29*Eras!O$4</f>
        <v/>
      </c>
      <c r="P31" s="5">
        <f>P29*Eras!P$4</f>
        <v/>
      </c>
      <c r="Q31" s="5">
        <f>Q29*Eras!Q$4</f>
        <v/>
      </c>
      <c r="R31" s="5">
        <f>R29*Eras!R$4</f>
        <v/>
      </c>
      <c r="S31" s="5">
        <f>S29*Eras!S$4</f>
        <v/>
      </c>
      <c r="T31" s="5">
        <f>T29*Eras!T$4</f>
        <v/>
      </c>
      <c r="U31" s="5">
        <f>U29*Eras!U$4</f>
        <v/>
      </c>
      <c r="V31" s="5">
        <f>V29*Eras!V$4</f>
        <v/>
      </c>
      <c r="W31" s="5">
        <f>W29*Eras!W$4</f>
        <v/>
      </c>
      <c r="X31" s="5">
        <f>X29*Eras!X$4</f>
        <v/>
      </c>
      <c r="Y31" s="5">
        <f>Y29*Eras!Y$4</f>
        <v/>
      </c>
      <c r="Z31" s="5">
        <f>Z29*Eras!Z$4</f>
        <v/>
      </c>
      <c r="AA31" s="5">
        <f>AA29*Eras!AA$4</f>
        <v/>
      </c>
      <c r="AB31" s="5">
        <f>AB29*Eras!AB$4</f>
        <v/>
      </c>
      <c r="AC31" s="5">
        <f>AC29*Eras!AC$4</f>
        <v/>
      </c>
      <c r="AD31" s="5">
        <f>AD29*Eras!AD$4</f>
        <v/>
      </c>
      <c r="AE31" s="5">
        <f>AE29*Eras!AE$4</f>
        <v/>
      </c>
      <c r="AF31" s="5">
        <f>AF29*Eras!AF$4</f>
        <v/>
      </c>
      <c r="AG31" s="5">
        <f>AG29*Eras!AG$4</f>
        <v/>
      </c>
      <c r="AH31" s="5">
        <f>AH29*Eras!AH$4</f>
        <v/>
      </c>
      <c r="AI31" s="5">
        <f>AI29*Eras!AI$4</f>
        <v/>
      </c>
      <c r="AJ31" s="5">
        <f>AJ29*Eras!AJ$4</f>
        <v/>
      </c>
      <c r="AK31" s="5">
        <f>AK29*Eras!AK$4</f>
        <v/>
      </c>
      <c r="AL31" s="5">
        <f>AL29*Eras!AL$4</f>
        <v/>
      </c>
      <c r="AM31" s="5">
        <f>AM29*Eras!AM$4</f>
        <v/>
      </c>
      <c r="AN31" s="5">
        <f>AN29*Eras!AN$4</f>
        <v/>
      </c>
      <c r="AO31" s="5">
        <f>AO29*Eras!AO$4</f>
        <v/>
      </c>
      <c r="AP31" s="5">
        <f>AP29*Eras!AP$4</f>
        <v/>
      </c>
      <c r="AQ31" s="5">
        <f>AQ29*Eras!AQ$4</f>
        <v/>
      </c>
      <c r="AR31" s="5">
        <f>AR29*Eras!AR$4</f>
        <v/>
      </c>
      <c r="AS31" s="5">
        <f>AS29*Eras!AS$4</f>
        <v/>
      </c>
      <c r="AT31" s="5">
        <f>AT29*Eras!AT$4</f>
        <v/>
      </c>
      <c r="AU31" s="5">
        <f>AU29*Eras!AU$4</f>
        <v/>
      </c>
      <c r="AV31" s="5">
        <f>AV29*Eras!AV$4</f>
        <v/>
      </c>
      <c r="AW31" s="5">
        <f>AW29*Eras!AW$4</f>
        <v/>
      </c>
      <c r="AX31" s="5">
        <f>AX29*Eras!AX$4</f>
        <v/>
      </c>
      <c r="AY31" s="5">
        <f>AY29*Eras!AY$4</f>
        <v/>
      </c>
      <c r="AZ31" s="5">
        <f>AZ29*Eras!AZ$4</f>
        <v/>
      </c>
      <c r="BA31" s="5">
        <f>BA29*Eras!BA$4</f>
        <v/>
      </c>
      <c r="BB31" s="5">
        <f>BB29*Eras!BB$4</f>
        <v/>
      </c>
      <c r="BC31" s="5">
        <f>BC29*Eras!BC$4</f>
        <v/>
      </c>
      <c r="BD31" s="5">
        <f>BD29*Eras!BD$4</f>
        <v/>
      </c>
      <c r="BE31" s="5">
        <f>BE29*Eras!BE$4</f>
        <v/>
      </c>
      <c r="BF31" s="5">
        <f>BF29*Eras!BF$4</f>
        <v/>
      </c>
      <c r="BG31" s="5">
        <f>BG29*Eras!BG$4</f>
        <v/>
      </c>
      <c r="BH31" s="5">
        <f>BH29*Eras!BH$4</f>
        <v/>
      </c>
      <c r="BI31" s="5">
        <f>BI29*Eras!BI$4</f>
        <v/>
      </c>
      <c r="BJ31" s="5">
        <f>BJ29*Eras!BJ$4</f>
        <v/>
      </c>
      <c r="BK31" s="5">
        <f>BK29*Eras!BK$4</f>
        <v/>
      </c>
      <c r="BL31" s="5">
        <f>BL29*Eras!BL$4</f>
        <v/>
      </c>
      <c r="BM31" s="5">
        <f>BM29*Eras!BM$4</f>
        <v/>
      </c>
      <c r="BN31" s="5">
        <f>BN29*Eras!BN$4</f>
        <v/>
      </c>
      <c r="BO31" s="5">
        <f>BO29*Eras!BO$4</f>
        <v/>
      </c>
      <c r="BP31" s="5">
        <f>BP29*Eras!BP$4</f>
        <v/>
      </c>
      <c r="BQ31" s="5">
        <f>BQ29*Eras!BQ$4</f>
        <v/>
      </c>
      <c r="BR31" s="5">
        <f>BR29*Eras!BR$4</f>
        <v/>
      </c>
      <c r="BS31" s="5">
        <f>BS29*Eras!BS$4</f>
        <v/>
      </c>
      <c r="BT31" s="5">
        <f>BT29*Eras!BT$4</f>
        <v/>
      </c>
      <c r="BU31" s="5">
        <f>BU29*Eras!BU$4</f>
        <v/>
      </c>
      <c r="BV31" s="5">
        <f>BV29*Eras!BV$4</f>
        <v/>
      </c>
    </row>
    <row r="32">
      <c r="A32" t="inlineStr">
        <is>
          <t>inflow @2</t>
        </is>
      </c>
      <c r="B32" t="inlineStr">
        <is>
          <t>US_CA|BASIC_M</t>
        </is>
      </c>
      <c r="C32" s="5">
        <f>C29*Eras!C$5</f>
        <v/>
      </c>
      <c r="D32" s="5">
        <f>D29*Eras!D$5</f>
        <v/>
      </c>
      <c r="E32" s="5">
        <f>E29*Eras!E$5</f>
        <v/>
      </c>
      <c r="F32" s="5">
        <f>F29*Eras!F$5</f>
        <v/>
      </c>
      <c r="G32" s="5">
        <f>G29*Eras!G$5</f>
        <v/>
      </c>
      <c r="H32" s="5">
        <f>H29*Eras!H$5</f>
        <v/>
      </c>
      <c r="I32" s="5">
        <f>I29*Eras!I$5</f>
        <v/>
      </c>
      <c r="J32" s="5">
        <f>J29*Eras!J$5</f>
        <v/>
      </c>
      <c r="K32" s="5">
        <f>K29*Eras!K$5</f>
        <v/>
      </c>
      <c r="L32" s="5">
        <f>L29*Eras!L$5</f>
        <v/>
      </c>
      <c r="M32" s="5">
        <f>M29*Eras!M$5</f>
        <v/>
      </c>
      <c r="N32" s="5">
        <f>N29*Eras!N$5</f>
        <v/>
      </c>
      <c r="O32" s="5">
        <f>O29*Eras!O$5</f>
        <v/>
      </c>
      <c r="P32" s="5">
        <f>P29*Eras!P$5</f>
        <v/>
      </c>
      <c r="Q32" s="5">
        <f>Q29*Eras!Q$5</f>
        <v/>
      </c>
      <c r="R32" s="5">
        <f>R29*Eras!R$5</f>
        <v/>
      </c>
      <c r="S32" s="5">
        <f>S29*Eras!S$5</f>
        <v/>
      </c>
      <c r="T32" s="5">
        <f>T29*Eras!T$5</f>
        <v/>
      </c>
      <c r="U32" s="5">
        <f>U29*Eras!U$5</f>
        <v/>
      </c>
      <c r="V32" s="5">
        <f>V29*Eras!V$5</f>
        <v/>
      </c>
      <c r="W32" s="5">
        <f>W29*Eras!W$5</f>
        <v/>
      </c>
      <c r="X32" s="5">
        <f>X29*Eras!X$5</f>
        <v/>
      </c>
      <c r="Y32" s="5">
        <f>Y29*Eras!Y$5</f>
        <v/>
      </c>
      <c r="Z32" s="5">
        <f>Z29*Eras!Z$5</f>
        <v/>
      </c>
      <c r="AA32" s="5">
        <f>AA29*Eras!AA$5</f>
        <v/>
      </c>
      <c r="AB32" s="5">
        <f>AB29*Eras!AB$5</f>
        <v/>
      </c>
      <c r="AC32" s="5">
        <f>AC29*Eras!AC$5</f>
        <v/>
      </c>
      <c r="AD32" s="5">
        <f>AD29*Eras!AD$5</f>
        <v/>
      </c>
      <c r="AE32" s="5">
        <f>AE29*Eras!AE$5</f>
        <v/>
      </c>
      <c r="AF32" s="5">
        <f>AF29*Eras!AF$5</f>
        <v/>
      </c>
      <c r="AG32" s="5">
        <f>AG29*Eras!AG$5</f>
        <v/>
      </c>
      <c r="AH32" s="5">
        <f>AH29*Eras!AH$5</f>
        <v/>
      </c>
      <c r="AI32" s="5">
        <f>AI29*Eras!AI$5</f>
        <v/>
      </c>
      <c r="AJ32" s="5">
        <f>AJ29*Eras!AJ$5</f>
        <v/>
      </c>
      <c r="AK32" s="5">
        <f>AK29*Eras!AK$5</f>
        <v/>
      </c>
      <c r="AL32" s="5">
        <f>AL29*Eras!AL$5</f>
        <v/>
      </c>
      <c r="AM32" s="5">
        <f>AM29*Eras!AM$5</f>
        <v/>
      </c>
      <c r="AN32" s="5">
        <f>AN29*Eras!AN$5</f>
        <v/>
      </c>
      <c r="AO32" s="5">
        <f>AO29*Eras!AO$5</f>
        <v/>
      </c>
      <c r="AP32" s="5">
        <f>AP29*Eras!AP$5</f>
        <v/>
      </c>
      <c r="AQ32" s="5">
        <f>AQ29*Eras!AQ$5</f>
        <v/>
      </c>
      <c r="AR32" s="5">
        <f>AR29*Eras!AR$5</f>
        <v/>
      </c>
      <c r="AS32" s="5">
        <f>AS29*Eras!AS$5</f>
        <v/>
      </c>
      <c r="AT32" s="5">
        <f>AT29*Eras!AT$5</f>
        <v/>
      </c>
      <c r="AU32" s="5">
        <f>AU29*Eras!AU$5</f>
        <v/>
      </c>
      <c r="AV32" s="5">
        <f>AV29*Eras!AV$5</f>
        <v/>
      </c>
      <c r="AW32" s="5">
        <f>AW29*Eras!AW$5</f>
        <v/>
      </c>
      <c r="AX32" s="5">
        <f>AX29*Eras!AX$5</f>
        <v/>
      </c>
      <c r="AY32" s="5">
        <f>AY29*Eras!AY$5</f>
        <v/>
      </c>
      <c r="AZ32" s="5">
        <f>AZ29*Eras!AZ$5</f>
        <v/>
      </c>
      <c r="BA32" s="5">
        <f>BA29*Eras!BA$5</f>
        <v/>
      </c>
      <c r="BB32" s="5">
        <f>BB29*Eras!BB$5</f>
        <v/>
      </c>
      <c r="BC32" s="5">
        <f>BC29*Eras!BC$5</f>
        <v/>
      </c>
      <c r="BD32" s="5">
        <f>BD29*Eras!BD$5</f>
        <v/>
      </c>
      <c r="BE32" s="5">
        <f>BE29*Eras!BE$5</f>
        <v/>
      </c>
      <c r="BF32" s="5">
        <f>BF29*Eras!BF$5</f>
        <v/>
      </c>
      <c r="BG32" s="5">
        <f>BG29*Eras!BG$5</f>
        <v/>
      </c>
      <c r="BH32" s="5">
        <f>BH29*Eras!BH$5</f>
        <v/>
      </c>
      <c r="BI32" s="5">
        <f>BI29*Eras!BI$5</f>
        <v/>
      </c>
      <c r="BJ32" s="5">
        <f>BJ29*Eras!BJ$5</f>
        <v/>
      </c>
      <c r="BK32" s="5">
        <f>BK29*Eras!BK$5</f>
        <v/>
      </c>
      <c r="BL32" s="5">
        <f>BL29*Eras!BL$5</f>
        <v/>
      </c>
      <c r="BM32" s="5">
        <f>BM29*Eras!BM$5</f>
        <v/>
      </c>
      <c r="BN32" s="5">
        <f>BN29*Eras!BN$5</f>
        <v/>
      </c>
      <c r="BO32" s="5">
        <f>BO29*Eras!BO$5</f>
        <v/>
      </c>
      <c r="BP32" s="5">
        <f>BP29*Eras!BP$5</f>
        <v/>
      </c>
      <c r="BQ32" s="5">
        <f>BQ29*Eras!BQ$5</f>
        <v/>
      </c>
      <c r="BR32" s="5">
        <f>BR29*Eras!BR$5</f>
        <v/>
      </c>
      <c r="BS32" s="5">
        <f>BS29*Eras!BS$5</f>
        <v/>
      </c>
      <c r="BT32" s="5">
        <f>BT29*Eras!BT$5</f>
        <v/>
      </c>
      <c r="BU32" s="5">
        <f>BU29*Eras!BU$5</f>
        <v/>
      </c>
      <c r="BV32" s="5">
        <f>BV29*Eras!BV$5</f>
        <v/>
      </c>
    </row>
    <row r="33">
      <c r="A33" t="inlineStr">
        <is>
          <t>reactivations out</t>
        </is>
      </c>
      <c r="B33" t="inlineStr">
        <is>
          <t>US_CA|BASIC_M</t>
        </is>
      </c>
      <c r="C33" s="5">
        <f>React!$C$30*Curves!$BV$21+React!$C$31*Curves!$BV$44+React!$C$32*Curves!$BV$67</f>
        <v/>
      </c>
      <c r="D33" s="5">
        <f>SUMPRODUCT(React!$C$30:$D$30,Curves!$BU$21:$BV$21)+SUMPRODUCT(React!$C$31:$D$31,Curves!$BU$44:$BV$44)+SUMPRODUCT(React!$C$32:$D$32,Curves!$BU$67:$BV$67)</f>
        <v/>
      </c>
      <c r="E33" s="5">
        <f>SUMPRODUCT(React!$C$30:$E$30,Curves!$BT$21:$BV$21)+SUMPRODUCT(React!$C$31:$E$31,Curves!$BT$44:$BV$44)+SUMPRODUCT(React!$C$32:$E$32,Curves!$BT$67:$BV$67)</f>
        <v/>
      </c>
      <c r="F33" s="5">
        <f>SUMPRODUCT(React!$C$30:$F$30,Curves!$BS$21:$BV$21)+SUMPRODUCT(React!$C$31:$F$31,Curves!$BS$44:$BV$44)+SUMPRODUCT(React!$C$32:$F$32,Curves!$BS$67:$BV$67)</f>
        <v/>
      </c>
      <c r="G33" s="5">
        <f>SUMPRODUCT(React!$C$30:$G$30,Curves!$BR$21:$BV$21)+SUMPRODUCT(React!$C$31:$G$31,Curves!$BR$44:$BV$44)+SUMPRODUCT(React!$C$32:$G$32,Curves!$BR$67:$BV$67)</f>
        <v/>
      </c>
      <c r="H33" s="5">
        <f>SUMPRODUCT(React!$C$30:$H$30,Curves!$BQ$21:$BV$21)+SUMPRODUCT(React!$C$31:$H$31,Curves!$BQ$44:$BV$44)+SUMPRODUCT(React!$C$32:$H$32,Curves!$BQ$67:$BV$67)</f>
        <v/>
      </c>
      <c r="I33" s="5">
        <f>SUMPRODUCT(React!$C$30:$I$30,Curves!$BP$21:$BV$21)+SUMPRODUCT(React!$C$31:$I$31,Curves!$BP$44:$BV$44)+SUMPRODUCT(React!$C$32:$I$32,Curves!$BP$67:$BV$67)</f>
        <v/>
      </c>
      <c r="J33" s="5">
        <f>SUMPRODUCT(React!$C$30:$J$30,Curves!$BO$21:$BV$21)+SUMPRODUCT(React!$C$31:$J$31,Curves!$BO$44:$BV$44)+SUMPRODUCT(React!$C$32:$J$32,Curves!$BO$67:$BV$67)</f>
        <v/>
      </c>
      <c r="K33" s="5">
        <f>SUMPRODUCT(React!$C$30:$K$30,Curves!$BN$21:$BV$21)+SUMPRODUCT(React!$C$31:$K$31,Curves!$BN$44:$BV$44)+SUMPRODUCT(React!$C$32:$K$32,Curves!$BN$67:$BV$67)</f>
        <v/>
      </c>
      <c r="L33" s="5">
        <f>SUMPRODUCT(React!$C$30:$L$30,Curves!$BM$21:$BV$21)+SUMPRODUCT(React!$C$31:$L$31,Curves!$BM$44:$BV$44)+SUMPRODUCT(React!$C$32:$L$32,Curves!$BM$67:$BV$67)</f>
        <v/>
      </c>
      <c r="M33" s="5">
        <f>SUMPRODUCT(React!$C$30:$M$30,Curves!$BL$21:$BV$21)+SUMPRODUCT(React!$C$31:$M$31,Curves!$BL$44:$BV$44)+SUMPRODUCT(React!$C$32:$M$32,Curves!$BL$67:$BV$67)</f>
        <v/>
      </c>
      <c r="N33" s="5">
        <f>SUMPRODUCT(React!$C$30:$N$30,Curves!$BK$21:$BV$21)+SUMPRODUCT(React!$C$31:$N$31,Curves!$BK$44:$BV$44)+SUMPRODUCT(React!$C$32:$N$32,Curves!$BK$67:$BV$67)</f>
        <v/>
      </c>
      <c r="O33" s="5">
        <f>SUMPRODUCT(React!$C$30:$O$30,Curves!$BJ$21:$BV$21)+SUMPRODUCT(React!$C$31:$O$31,Curves!$BJ$44:$BV$44)+SUMPRODUCT(React!$C$32:$O$32,Curves!$BJ$67:$BV$67)</f>
        <v/>
      </c>
      <c r="P33" s="5">
        <f>SUMPRODUCT(React!$C$30:$P$30,Curves!$BI$21:$BV$21)+SUMPRODUCT(React!$C$31:$P$31,Curves!$BI$44:$BV$44)+SUMPRODUCT(React!$C$32:$P$32,Curves!$BI$67:$BV$67)</f>
        <v/>
      </c>
      <c r="Q33" s="5">
        <f>SUMPRODUCT(React!$C$30:$Q$30,Curves!$BH$21:$BV$21)+SUMPRODUCT(React!$C$31:$Q$31,Curves!$BH$44:$BV$44)+SUMPRODUCT(React!$C$32:$Q$32,Curves!$BH$67:$BV$67)</f>
        <v/>
      </c>
      <c r="R33" s="5">
        <f>SUMPRODUCT(React!$C$30:$R$30,Curves!$BG$21:$BV$21)+SUMPRODUCT(React!$C$31:$R$31,Curves!$BG$44:$BV$44)+SUMPRODUCT(React!$C$32:$R$32,Curves!$BG$67:$BV$67)</f>
        <v/>
      </c>
      <c r="S33" s="5">
        <f>SUMPRODUCT(React!$C$30:$S$30,Curves!$BF$21:$BV$21)+SUMPRODUCT(React!$C$31:$S$31,Curves!$BF$44:$BV$44)+SUMPRODUCT(React!$C$32:$S$32,Curves!$BF$67:$BV$67)</f>
        <v/>
      </c>
      <c r="T33" s="5">
        <f>SUMPRODUCT(React!$C$30:$T$30,Curves!$BE$21:$BV$21)+SUMPRODUCT(React!$C$31:$T$31,Curves!$BE$44:$BV$44)+SUMPRODUCT(React!$C$32:$T$32,Curves!$BE$67:$BV$67)</f>
        <v/>
      </c>
      <c r="U33" s="5">
        <f>SUMPRODUCT(React!$C$30:$U$30,Curves!$BD$21:$BV$21)+SUMPRODUCT(React!$C$31:$U$31,Curves!$BD$44:$BV$44)+SUMPRODUCT(React!$C$32:$U$32,Curves!$BD$67:$BV$67)</f>
        <v/>
      </c>
      <c r="V33" s="5">
        <f>SUMPRODUCT(React!$C$30:$V$30,Curves!$BC$21:$BV$21)+SUMPRODUCT(React!$C$31:$V$31,Curves!$BC$44:$BV$44)+SUMPRODUCT(React!$C$32:$V$32,Curves!$BC$67:$BV$67)</f>
        <v/>
      </c>
      <c r="W33" s="5">
        <f>SUMPRODUCT(React!$C$30:$W$30,Curves!$BB$21:$BV$21)+SUMPRODUCT(React!$C$31:$W$31,Curves!$BB$44:$BV$44)+SUMPRODUCT(React!$C$32:$W$32,Curves!$BB$67:$BV$67)</f>
        <v/>
      </c>
      <c r="X33" s="5">
        <f>SUMPRODUCT(React!$C$30:$X$30,Curves!$BA$21:$BV$21)+SUMPRODUCT(React!$C$31:$X$31,Curves!$BA$44:$BV$44)+SUMPRODUCT(React!$C$32:$X$32,Curves!$BA$67:$BV$67)</f>
        <v/>
      </c>
      <c r="Y33" s="5">
        <f>SUMPRODUCT(React!$C$30:$Y$30,Curves!$AZ$21:$BV$21)+SUMPRODUCT(React!$C$31:$Y$31,Curves!$AZ$44:$BV$44)+SUMPRODUCT(React!$C$32:$Y$32,Curves!$AZ$67:$BV$67)</f>
        <v/>
      </c>
      <c r="Z33" s="5">
        <f>SUMPRODUCT(React!$C$30:$Z$30,Curves!$AY$21:$BV$21)+SUMPRODUCT(React!$C$31:$Z$31,Curves!$AY$44:$BV$44)+SUMPRODUCT(React!$C$32:$Z$32,Curves!$AY$67:$BV$67)</f>
        <v/>
      </c>
      <c r="AA33" s="5">
        <f>SUMPRODUCT(React!$C$30:$AA$30,Curves!$AX$21:$BV$21)+SUMPRODUCT(React!$C$31:$AA$31,Curves!$AX$44:$BV$44)+SUMPRODUCT(React!$C$32:$AA$32,Curves!$AX$67:$BV$67)</f>
        <v/>
      </c>
      <c r="AB33" s="5">
        <f>SUMPRODUCT(React!$C$30:$AB$30,Curves!$AW$21:$BV$21)+SUMPRODUCT(React!$C$31:$AB$31,Curves!$AW$44:$BV$44)+SUMPRODUCT(React!$C$32:$AB$32,Curves!$AW$67:$BV$67)</f>
        <v/>
      </c>
      <c r="AC33" s="5">
        <f>SUMPRODUCT(React!$C$30:$AC$30,Curves!$AV$21:$BV$21)+SUMPRODUCT(React!$C$31:$AC$31,Curves!$AV$44:$BV$44)+SUMPRODUCT(React!$C$32:$AC$32,Curves!$AV$67:$BV$67)</f>
        <v/>
      </c>
      <c r="AD33" s="5">
        <f>SUMPRODUCT(React!$C$30:$AD$30,Curves!$AU$21:$BV$21)+SUMPRODUCT(React!$C$31:$AD$31,Curves!$AU$44:$BV$44)+SUMPRODUCT(React!$C$32:$AD$32,Curves!$AU$67:$BV$67)</f>
        <v/>
      </c>
      <c r="AE33" s="5">
        <f>SUMPRODUCT(React!$C$30:$AE$30,Curves!$AT$21:$BV$21)+SUMPRODUCT(React!$C$31:$AE$31,Curves!$AT$44:$BV$44)+SUMPRODUCT(React!$C$32:$AE$32,Curves!$AT$67:$BV$67)</f>
        <v/>
      </c>
      <c r="AF33" s="5">
        <f>SUMPRODUCT(React!$C$30:$AF$30,Curves!$AS$21:$BV$21)+SUMPRODUCT(React!$C$31:$AF$31,Curves!$AS$44:$BV$44)+SUMPRODUCT(React!$C$32:$AF$32,Curves!$AS$67:$BV$67)</f>
        <v/>
      </c>
      <c r="AG33" s="5">
        <f>SUMPRODUCT(React!$C$30:$AG$30,Curves!$AR$21:$BV$21)+SUMPRODUCT(React!$C$31:$AG$31,Curves!$AR$44:$BV$44)+SUMPRODUCT(React!$C$32:$AG$32,Curves!$AR$67:$BV$67)</f>
        <v/>
      </c>
      <c r="AH33" s="5">
        <f>SUMPRODUCT(React!$C$30:$AH$30,Curves!$AQ$21:$BV$21)+SUMPRODUCT(React!$C$31:$AH$31,Curves!$AQ$44:$BV$44)+SUMPRODUCT(React!$C$32:$AH$32,Curves!$AQ$67:$BV$67)</f>
        <v/>
      </c>
      <c r="AI33" s="5">
        <f>SUMPRODUCT(React!$C$30:$AI$30,Curves!$AP$21:$BV$21)+SUMPRODUCT(React!$C$31:$AI$31,Curves!$AP$44:$BV$44)+SUMPRODUCT(React!$C$32:$AI$32,Curves!$AP$67:$BV$67)</f>
        <v/>
      </c>
      <c r="AJ33" s="5">
        <f>SUMPRODUCT(React!$C$30:$AJ$30,Curves!$AO$21:$BV$21)+SUMPRODUCT(React!$C$31:$AJ$31,Curves!$AO$44:$BV$44)+SUMPRODUCT(React!$C$32:$AJ$32,Curves!$AO$67:$BV$67)</f>
        <v/>
      </c>
      <c r="AK33" s="5">
        <f>SUMPRODUCT(React!$C$30:$AK$30,Curves!$AN$21:$BV$21)+SUMPRODUCT(React!$C$31:$AK$31,Curves!$AN$44:$BV$44)+SUMPRODUCT(React!$C$32:$AK$32,Curves!$AN$67:$BV$67)</f>
        <v/>
      </c>
      <c r="AL33" s="5">
        <f>SUMPRODUCT(React!$C$30:$AL$30,Curves!$AM$21:$BV$21)+SUMPRODUCT(React!$C$31:$AL$31,Curves!$AM$44:$BV$44)+SUMPRODUCT(React!$C$32:$AL$32,Curves!$AM$67:$BV$67)</f>
        <v/>
      </c>
      <c r="AM33" s="5">
        <f>SUMPRODUCT(React!$C$30:$AM$30,Curves!$AL$21:$BV$21)+SUMPRODUCT(React!$C$31:$AM$31,Curves!$AL$44:$BV$44)+SUMPRODUCT(React!$C$32:$AM$32,Curves!$AL$67:$BV$67)</f>
        <v/>
      </c>
      <c r="AN33" s="5">
        <f>SUMPRODUCT(React!$C$30:$AN$30,Curves!$AK$21:$BV$21)+SUMPRODUCT(React!$C$31:$AN$31,Curves!$AK$44:$BV$44)+SUMPRODUCT(React!$C$32:$AN$32,Curves!$AK$67:$BV$67)</f>
        <v/>
      </c>
      <c r="AO33" s="5">
        <f>SUMPRODUCT(React!$C$30:$AO$30,Curves!$AJ$21:$BV$21)+SUMPRODUCT(React!$C$31:$AO$31,Curves!$AJ$44:$BV$44)+SUMPRODUCT(React!$C$32:$AO$32,Curves!$AJ$67:$BV$67)</f>
        <v/>
      </c>
      <c r="AP33" s="5">
        <f>SUMPRODUCT(React!$C$30:$AP$30,Curves!$AI$21:$BV$21)+SUMPRODUCT(React!$C$31:$AP$31,Curves!$AI$44:$BV$44)+SUMPRODUCT(React!$C$32:$AP$32,Curves!$AI$67:$BV$67)</f>
        <v/>
      </c>
      <c r="AQ33" s="5">
        <f>SUMPRODUCT(React!$C$30:$AQ$30,Curves!$AH$21:$BV$21)+SUMPRODUCT(React!$C$31:$AQ$31,Curves!$AH$44:$BV$44)+SUMPRODUCT(React!$C$32:$AQ$32,Curves!$AH$67:$BV$67)</f>
        <v/>
      </c>
      <c r="AR33" s="5">
        <f>SUMPRODUCT(React!$C$30:$AR$30,Curves!$AG$21:$BV$21)+SUMPRODUCT(React!$C$31:$AR$31,Curves!$AG$44:$BV$44)+SUMPRODUCT(React!$C$32:$AR$32,Curves!$AG$67:$BV$67)</f>
        <v/>
      </c>
      <c r="AS33" s="5">
        <f>SUMPRODUCT(React!$C$30:$AS$30,Curves!$AF$21:$BV$21)+SUMPRODUCT(React!$C$31:$AS$31,Curves!$AF$44:$BV$44)+SUMPRODUCT(React!$C$32:$AS$32,Curves!$AF$67:$BV$67)</f>
        <v/>
      </c>
      <c r="AT33" s="5">
        <f>SUMPRODUCT(React!$C$30:$AT$30,Curves!$AE$21:$BV$21)+SUMPRODUCT(React!$C$31:$AT$31,Curves!$AE$44:$BV$44)+SUMPRODUCT(React!$C$32:$AT$32,Curves!$AE$67:$BV$67)</f>
        <v/>
      </c>
      <c r="AU33" s="5">
        <f>SUMPRODUCT(React!$C$30:$AU$30,Curves!$AD$21:$BV$21)+SUMPRODUCT(React!$C$31:$AU$31,Curves!$AD$44:$BV$44)+SUMPRODUCT(React!$C$32:$AU$32,Curves!$AD$67:$BV$67)</f>
        <v/>
      </c>
      <c r="AV33" s="5">
        <f>SUMPRODUCT(React!$C$30:$AV$30,Curves!$AC$21:$BV$21)+SUMPRODUCT(React!$C$31:$AV$31,Curves!$AC$44:$BV$44)+SUMPRODUCT(React!$C$32:$AV$32,Curves!$AC$67:$BV$67)</f>
        <v/>
      </c>
      <c r="AW33" s="5">
        <f>SUMPRODUCT(React!$C$30:$AW$30,Curves!$AB$21:$BV$21)+SUMPRODUCT(React!$C$31:$AW$31,Curves!$AB$44:$BV$44)+SUMPRODUCT(React!$C$32:$AW$32,Curves!$AB$67:$BV$67)</f>
        <v/>
      </c>
      <c r="AX33" s="5">
        <f>SUMPRODUCT(React!$C$30:$AX$30,Curves!$AA$21:$BV$21)+SUMPRODUCT(React!$C$31:$AX$31,Curves!$AA$44:$BV$44)+SUMPRODUCT(React!$C$32:$AX$32,Curves!$AA$67:$BV$67)</f>
        <v/>
      </c>
      <c r="AY33" s="5">
        <f>SUMPRODUCT(React!$C$30:$AY$30,Curves!$Z$21:$BV$21)+SUMPRODUCT(React!$C$31:$AY$31,Curves!$Z$44:$BV$44)+SUMPRODUCT(React!$C$32:$AY$32,Curves!$Z$67:$BV$67)</f>
        <v/>
      </c>
      <c r="AZ33" s="5">
        <f>SUMPRODUCT(React!$C$30:$AZ$30,Curves!$Y$21:$BV$21)+SUMPRODUCT(React!$C$31:$AZ$31,Curves!$Y$44:$BV$44)+SUMPRODUCT(React!$C$32:$AZ$32,Curves!$Y$67:$BV$67)</f>
        <v/>
      </c>
      <c r="BA33" s="5">
        <f>SUMPRODUCT(React!$C$30:$BA$30,Curves!$X$21:$BV$21)+SUMPRODUCT(React!$C$31:$BA$31,Curves!$X$44:$BV$44)+SUMPRODUCT(React!$C$32:$BA$32,Curves!$X$67:$BV$67)</f>
        <v/>
      </c>
      <c r="BB33" s="5">
        <f>SUMPRODUCT(React!$C$30:$BB$30,Curves!$W$21:$BV$21)+SUMPRODUCT(React!$C$31:$BB$31,Curves!$W$44:$BV$44)+SUMPRODUCT(React!$C$32:$BB$32,Curves!$W$67:$BV$67)</f>
        <v/>
      </c>
      <c r="BC33" s="5">
        <f>SUMPRODUCT(React!$C$30:$BC$30,Curves!$V$21:$BV$21)+SUMPRODUCT(React!$C$31:$BC$31,Curves!$V$44:$BV$44)+SUMPRODUCT(React!$C$32:$BC$32,Curves!$V$67:$BV$67)</f>
        <v/>
      </c>
      <c r="BD33" s="5">
        <f>SUMPRODUCT(React!$C$30:$BD$30,Curves!$U$21:$BV$21)+SUMPRODUCT(React!$C$31:$BD$31,Curves!$U$44:$BV$44)+SUMPRODUCT(React!$C$32:$BD$32,Curves!$U$67:$BV$67)</f>
        <v/>
      </c>
      <c r="BE33" s="5">
        <f>SUMPRODUCT(React!$C$30:$BE$30,Curves!$T$21:$BV$21)+SUMPRODUCT(React!$C$31:$BE$31,Curves!$T$44:$BV$44)+SUMPRODUCT(React!$C$32:$BE$32,Curves!$T$67:$BV$67)</f>
        <v/>
      </c>
      <c r="BF33" s="5">
        <f>SUMPRODUCT(React!$C$30:$BF$30,Curves!$S$21:$BV$21)+SUMPRODUCT(React!$C$31:$BF$31,Curves!$S$44:$BV$44)+SUMPRODUCT(React!$C$32:$BF$32,Curves!$S$67:$BV$67)</f>
        <v/>
      </c>
      <c r="BG33" s="5">
        <f>SUMPRODUCT(React!$C$30:$BG$30,Curves!$R$21:$BV$21)+SUMPRODUCT(React!$C$31:$BG$31,Curves!$R$44:$BV$44)+SUMPRODUCT(React!$C$32:$BG$32,Curves!$R$67:$BV$67)</f>
        <v/>
      </c>
      <c r="BH33" s="5">
        <f>SUMPRODUCT(React!$C$30:$BH$30,Curves!$Q$21:$BV$21)+SUMPRODUCT(React!$C$31:$BH$31,Curves!$Q$44:$BV$44)+SUMPRODUCT(React!$C$32:$BH$32,Curves!$Q$67:$BV$67)</f>
        <v/>
      </c>
      <c r="BI33" s="5">
        <f>SUMPRODUCT(React!$C$30:$BI$30,Curves!$P$21:$BV$21)+SUMPRODUCT(React!$C$31:$BI$31,Curves!$P$44:$BV$44)+SUMPRODUCT(React!$C$32:$BI$32,Curves!$P$67:$BV$67)</f>
        <v/>
      </c>
      <c r="BJ33" s="5">
        <f>SUMPRODUCT(React!$C$30:$BJ$30,Curves!$O$21:$BV$21)+SUMPRODUCT(React!$C$31:$BJ$31,Curves!$O$44:$BV$44)+SUMPRODUCT(React!$C$32:$BJ$32,Curves!$O$67:$BV$67)</f>
        <v/>
      </c>
      <c r="BK33" s="5">
        <f>SUMPRODUCT(React!$C$30:$BK$30,Curves!$N$21:$BV$21)+SUMPRODUCT(React!$C$31:$BK$31,Curves!$N$44:$BV$44)+SUMPRODUCT(React!$C$32:$BK$32,Curves!$N$67:$BV$67)</f>
        <v/>
      </c>
      <c r="BL33" s="5">
        <f>SUMPRODUCT(React!$C$30:$BL$30,Curves!$M$21:$BV$21)+SUMPRODUCT(React!$C$31:$BL$31,Curves!$M$44:$BV$44)+SUMPRODUCT(React!$C$32:$BL$32,Curves!$M$67:$BV$67)</f>
        <v/>
      </c>
      <c r="BM33" s="5">
        <f>SUMPRODUCT(React!$C$30:$BM$30,Curves!$L$21:$BV$21)+SUMPRODUCT(React!$C$31:$BM$31,Curves!$L$44:$BV$44)+SUMPRODUCT(React!$C$32:$BM$32,Curves!$L$67:$BV$67)</f>
        <v/>
      </c>
      <c r="BN33" s="5">
        <f>SUMPRODUCT(React!$C$30:$BN$30,Curves!$K$21:$BV$21)+SUMPRODUCT(React!$C$31:$BN$31,Curves!$K$44:$BV$44)+SUMPRODUCT(React!$C$32:$BN$32,Curves!$K$67:$BV$67)</f>
        <v/>
      </c>
      <c r="BO33" s="5">
        <f>SUMPRODUCT(React!$C$30:$BO$30,Curves!$J$21:$BV$21)+SUMPRODUCT(React!$C$31:$BO$31,Curves!$J$44:$BV$44)+SUMPRODUCT(React!$C$32:$BO$32,Curves!$J$67:$BV$67)</f>
        <v/>
      </c>
      <c r="BP33" s="5">
        <f>SUMPRODUCT(React!$C$30:$BP$30,Curves!$I$21:$BV$21)+SUMPRODUCT(React!$C$31:$BP$31,Curves!$I$44:$BV$44)+SUMPRODUCT(React!$C$32:$BP$32,Curves!$I$67:$BV$67)</f>
        <v/>
      </c>
      <c r="BQ33" s="5">
        <f>SUMPRODUCT(React!$C$30:$BQ$30,Curves!$H$21:$BV$21)+SUMPRODUCT(React!$C$31:$BQ$31,Curves!$H$44:$BV$44)+SUMPRODUCT(React!$C$32:$BQ$32,Curves!$H$67:$BV$67)</f>
        <v/>
      </c>
      <c r="BR33" s="5">
        <f>SUMPRODUCT(React!$C$30:$BR$30,Curves!$G$21:$BV$21)+SUMPRODUCT(React!$C$31:$BR$31,Curves!$G$44:$BV$44)+SUMPRODUCT(React!$C$32:$BR$32,Curves!$G$67:$BV$67)</f>
        <v/>
      </c>
      <c r="BS33" s="5">
        <f>SUMPRODUCT(React!$C$30:$BS$30,Curves!$F$21:$BV$21)+SUMPRODUCT(React!$C$31:$BS$31,Curves!$F$44:$BV$44)+SUMPRODUCT(React!$C$32:$BS$32,Curves!$F$67:$BV$67)</f>
        <v/>
      </c>
      <c r="BT33" s="5">
        <f>SUMPRODUCT(React!$C$30:$BT$30,Curves!$E$21:$BV$21)+SUMPRODUCT(React!$C$31:$BT$31,Curves!$E$44:$BV$44)+SUMPRODUCT(React!$C$32:$BT$32,Curves!$E$67:$BV$67)</f>
        <v/>
      </c>
      <c r="BU33" s="5">
        <f>SUMPRODUCT(React!$C$30:$BU$30,Curves!$D$21:$BV$21)+SUMPRODUCT(React!$C$31:$BU$31,Curves!$D$44:$BV$44)+SUMPRODUCT(React!$C$32:$BU$32,Curves!$D$67:$BV$67)</f>
        <v/>
      </c>
      <c r="BV33" s="5">
        <f>SUMPRODUCT(React!$C$30:$BV$30,Curves!$C$21:$BV$21)+SUMPRODUCT(React!$C$31:$BV$31,Curves!$C$44:$BV$44)+SUMPRODUCT(React!$C$32:$BV$32,Curves!$C$67:$BV$67)</f>
        <v/>
      </c>
    </row>
    <row r="34">
      <c r="A34" t="inlineStr">
        <is>
          <t>reactivated in</t>
        </is>
      </c>
      <c r="B34" t="inlineStr">
        <is>
          <t>US_CA|BASIC_M</t>
        </is>
      </c>
      <c r="C34" s="5">
        <f>C33+C46</f>
        <v/>
      </c>
      <c r="D34" s="5">
        <f>D33+D46</f>
        <v/>
      </c>
      <c r="E34" s="5">
        <f>E33+E46</f>
        <v/>
      </c>
      <c r="F34" s="5">
        <f>F33+F46</f>
        <v/>
      </c>
      <c r="G34" s="5">
        <f>G33+G46</f>
        <v/>
      </c>
      <c r="H34" s="5">
        <f>H33+H46</f>
        <v/>
      </c>
      <c r="I34" s="5">
        <f>I33+I46</f>
        <v/>
      </c>
      <c r="J34" s="5">
        <f>J33+J46</f>
        <v/>
      </c>
      <c r="K34" s="5">
        <f>K33+K46</f>
        <v/>
      </c>
      <c r="L34" s="5">
        <f>L33+L46</f>
        <v/>
      </c>
      <c r="M34" s="5">
        <f>M33+M46</f>
        <v/>
      </c>
      <c r="N34" s="5">
        <f>N33+N46</f>
        <v/>
      </c>
      <c r="O34" s="5">
        <f>O33+O46</f>
        <v/>
      </c>
      <c r="P34" s="5">
        <f>P33+P46</f>
        <v/>
      </c>
      <c r="Q34" s="5">
        <f>Q33+Q46</f>
        <v/>
      </c>
      <c r="R34" s="5">
        <f>R33+R46</f>
        <v/>
      </c>
      <c r="S34" s="5">
        <f>S33+S46</f>
        <v/>
      </c>
      <c r="T34" s="5">
        <f>T33+T46</f>
        <v/>
      </c>
      <c r="U34" s="5">
        <f>U33+U46</f>
        <v/>
      </c>
      <c r="V34" s="5">
        <f>V33+V46</f>
        <v/>
      </c>
      <c r="W34" s="5">
        <f>W33+W46</f>
        <v/>
      </c>
      <c r="X34" s="5">
        <f>X33+X46</f>
        <v/>
      </c>
      <c r="Y34" s="5">
        <f>Y33+Y46</f>
        <v/>
      </c>
      <c r="Z34" s="5">
        <f>Z33+Z46</f>
        <v/>
      </c>
      <c r="AA34" s="5">
        <f>AA33+AA46</f>
        <v/>
      </c>
      <c r="AB34" s="5">
        <f>AB33+AB46</f>
        <v/>
      </c>
      <c r="AC34" s="5">
        <f>AC33+AC46</f>
        <v/>
      </c>
      <c r="AD34" s="5">
        <f>AD33+AD46</f>
        <v/>
      </c>
      <c r="AE34" s="5">
        <f>AE33+AE46</f>
        <v/>
      </c>
      <c r="AF34" s="5">
        <f>AF33+AF46</f>
        <v/>
      </c>
      <c r="AG34" s="5">
        <f>AG33+AG46</f>
        <v/>
      </c>
      <c r="AH34" s="5">
        <f>AH33+AH46</f>
        <v/>
      </c>
      <c r="AI34" s="5">
        <f>AI33+AI46</f>
        <v/>
      </c>
      <c r="AJ34" s="5">
        <f>AJ33+AJ46</f>
        <v/>
      </c>
      <c r="AK34" s="5">
        <f>AK33+AK46</f>
        <v/>
      </c>
      <c r="AL34" s="5">
        <f>AL33+AL46</f>
        <v/>
      </c>
      <c r="AM34" s="5">
        <f>AM33+AM46</f>
        <v/>
      </c>
      <c r="AN34" s="5">
        <f>AN33+AN46</f>
        <v/>
      </c>
      <c r="AO34" s="5">
        <f>AO33+AO46</f>
        <v/>
      </c>
      <c r="AP34" s="5">
        <f>AP33+AP46</f>
        <v/>
      </c>
      <c r="AQ34" s="5">
        <f>AQ33+AQ46</f>
        <v/>
      </c>
      <c r="AR34" s="5">
        <f>AR33+AR46</f>
        <v/>
      </c>
      <c r="AS34" s="5">
        <f>AS33+AS46</f>
        <v/>
      </c>
      <c r="AT34" s="5">
        <f>AT33+AT46</f>
        <v/>
      </c>
      <c r="AU34" s="5">
        <f>AU33+AU46</f>
        <v/>
      </c>
      <c r="AV34" s="5">
        <f>AV33+AV46</f>
        <v/>
      </c>
      <c r="AW34" s="5">
        <f>AW33+AW46</f>
        <v/>
      </c>
      <c r="AX34" s="5">
        <f>AX33+AX46</f>
        <v/>
      </c>
      <c r="AY34" s="5">
        <f>AY33+AY46</f>
        <v/>
      </c>
      <c r="AZ34" s="5">
        <f>AZ33+AZ46</f>
        <v/>
      </c>
      <c r="BA34" s="5">
        <f>BA33+BA46</f>
        <v/>
      </c>
      <c r="BB34" s="5">
        <f>BB33+BB46</f>
        <v/>
      </c>
      <c r="BC34" s="5">
        <f>BC33+BC46</f>
        <v/>
      </c>
      <c r="BD34" s="5">
        <f>BD33+BD46</f>
        <v/>
      </c>
      <c r="BE34" s="5">
        <f>BE33+BE46</f>
        <v/>
      </c>
      <c r="BF34" s="5">
        <f>BF33+BF46</f>
        <v/>
      </c>
      <c r="BG34" s="5">
        <f>BG33+BG46</f>
        <v/>
      </c>
      <c r="BH34" s="5">
        <f>BH33+BH46</f>
        <v/>
      </c>
      <c r="BI34" s="5">
        <f>BI33+BI46</f>
        <v/>
      </c>
      <c r="BJ34" s="5">
        <f>BJ33+BJ46</f>
        <v/>
      </c>
      <c r="BK34" s="5">
        <f>BK33+BK46</f>
        <v/>
      </c>
      <c r="BL34" s="5">
        <f>BL33+BL46</f>
        <v/>
      </c>
      <c r="BM34" s="5">
        <f>BM33+BM46</f>
        <v/>
      </c>
      <c r="BN34" s="5">
        <f>BN33+BN46</f>
        <v/>
      </c>
      <c r="BO34" s="5">
        <f>BO33+BO46</f>
        <v/>
      </c>
      <c r="BP34" s="5">
        <f>BP33+BP46</f>
        <v/>
      </c>
      <c r="BQ34" s="5">
        <f>BQ33+BQ46</f>
        <v/>
      </c>
      <c r="BR34" s="5">
        <f>BR33+BR46</f>
        <v/>
      </c>
      <c r="BS34" s="5">
        <f>BS33+BS46</f>
        <v/>
      </c>
      <c r="BT34" s="5">
        <f>BT33+BT46</f>
        <v/>
      </c>
      <c r="BU34" s="5">
        <f>BU33+BU46</f>
        <v/>
      </c>
      <c r="BV34" s="5">
        <f>BV33+BV46</f>
        <v/>
      </c>
    </row>
    <row r="35">
      <c r="A35" t="inlineStr">
        <is>
          <t>reactivated in @0</t>
        </is>
      </c>
      <c r="B35" t="inlineStr">
        <is>
          <t>US_CA|BASIC_M</t>
        </is>
      </c>
      <c r="C35" s="5">
        <f>C34*Eras!C$3</f>
        <v/>
      </c>
      <c r="D35" s="5">
        <f>D34*Eras!D$3</f>
        <v/>
      </c>
      <c r="E35" s="5">
        <f>E34*Eras!E$3</f>
        <v/>
      </c>
      <c r="F35" s="5">
        <f>F34*Eras!F$3</f>
        <v/>
      </c>
      <c r="G35" s="5">
        <f>G34*Eras!G$3</f>
        <v/>
      </c>
      <c r="H35" s="5">
        <f>H34*Eras!H$3</f>
        <v/>
      </c>
      <c r="I35" s="5">
        <f>I34*Eras!I$3</f>
        <v/>
      </c>
      <c r="J35" s="5">
        <f>J34*Eras!J$3</f>
        <v/>
      </c>
      <c r="K35" s="5">
        <f>K34*Eras!K$3</f>
        <v/>
      </c>
      <c r="L35" s="5">
        <f>L34*Eras!L$3</f>
        <v/>
      </c>
      <c r="M35" s="5">
        <f>M34*Eras!M$3</f>
        <v/>
      </c>
      <c r="N35" s="5">
        <f>N34*Eras!N$3</f>
        <v/>
      </c>
      <c r="O35" s="5">
        <f>O34*Eras!O$3</f>
        <v/>
      </c>
      <c r="P35" s="5">
        <f>P34*Eras!P$3</f>
        <v/>
      </c>
      <c r="Q35" s="5">
        <f>Q34*Eras!Q$3</f>
        <v/>
      </c>
      <c r="R35" s="5">
        <f>R34*Eras!R$3</f>
        <v/>
      </c>
      <c r="S35" s="5">
        <f>S34*Eras!S$3</f>
        <v/>
      </c>
      <c r="T35" s="5">
        <f>T34*Eras!T$3</f>
        <v/>
      </c>
      <c r="U35" s="5">
        <f>U34*Eras!U$3</f>
        <v/>
      </c>
      <c r="V35" s="5">
        <f>V34*Eras!V$3</f>
        <v/>
      </c>
      <c r="W35" s="5">
        <f>W34*Eras!W$3</f>
        <v/>
      </c>
      <c r="X35" s="5">
        <f>X34*Eras!X$3</f>
        <v/>
      </c>
      <c r="Y35" s="5">
        <f>Y34*Eras!Y$3</f>
        <v/>
      </c>
      <c r="Z35" s="5">
        <f>Z34*Eras!Z$3</f>
        <v/>
      </c>
      <c r="AA35" s="5">
        <f>AA34*Eras!AA$3</f>
        <v/>
      </c>
      <c r="AB35" s="5">
        <f>AB34*Eras!AB$3</f>
        <v/>
      </c>
      <c r="AC35" s="5">
        <f>AC34*Eras!AC$3</f>
        <v/>
      </c>
      <c r="AD35" s="5">
        <f>AD34*Eras!AD$3</f>
        <v/>
      </c>
      <c r="AE35" s="5">
        <f>AE34*Eras!AE$3</f>
        <v/>
      </c>
      <c r="AF35" s="5">
        <f>AF34*Eras!AF$3</f>
        <v/>
      </c>
      <c r="AG35" s="5">
        <f>AG34*Eras!AG$3</f>
        <v/>
      </c>
      <c r="AH35" s="5">
        <f>AH34*Eras!AH$3</f>
        <v/>
      </c>
      <c r="AI35" s="5">
        <f>AI34*Eras!AI$3</f>
        <v/>
      </c>
      <c r="AJ35" s="5">
        <f>AJ34*Eras!AJ$3</f>
        <v/>
      </c>
      <c r="AK35" s="5">
        <f>AK34*Eras!AK$3</f>
        <v/>
      </c>
      <c r="AL35" s="5">
        <f>AL34*Eras!AL$3</f>
        <v/>
      </c>
      <c r="AM35" s="5">
        <f>AM34*Eras!AM$3</f>
        <v/>
      </c>
      <c r="AN35" s="5">
        <f>AN34*Eras!AN$3</f>
        <v/>
      </c>
      <c r="AO35" s="5">
        <f>AO34*Eras!AO$3</f>
        <v/>
      </c>
      <c r="AP35" s="5">
        <f>AP34*Eras!AP$3</f>
        <v/>
      </c>
      <c r="AQ35" s="5">
        <f>AQ34*Eras!AQ$3</f>
        <v/>
      </c>
      <c r="AR35" s="5">
        <f>AR34*Eras!AR$3</f>
        <v/>
      </c>
      <c r="AS35" s="5">
        <f>AS34*Eras!AS$3</f>
        <v/>
      </c>
      <c r="AT35" s="5">
        <f>AT34*Eras!AT$3</f>
        <v/>
      </c>
      <c r="AU35" s="5">
        <f>AU34*Eras!AU$3</f>
        <v/>
      </c>
      <c r="AV35" s="5">
        <f>AV34*Eras!AV$3</f>
        <v/>
      </c>
      <c r="AW35" s="5">
        <f>AW34*Eras!AW$3</f>
        <v/>
      </c>
      <c r="AX35" s="5">
        <f>AX34*Eras!AX$3</f>
        <v/>
      </c>
      <c r="AY35" s="5">
        <f>AY34*Eras!AY$3</f>
        <v/>
      </c>
      <c r="AZ35" s="5">
        <f>AZ34*Eras!AZ$3</f>
        <v/>
      </c>
      <c r="BA35" s="5">
        <f>BA34*Eras!BA$3</f>
        <v/>
      </c>
      <c r="BB35" s="5">
        <f>BB34*Eras!BB$3</f>
        <v/>
      </c>
      <c r="BC35" s="5">
        <f>BC34*Eras!BC$3</f>
        <v/>
      </c>
      <c r="BD35" s="5">
        <f>BD34*Eras!BD$3</f>
        <v/>
      </c>
      <c r="BE35" s="5">
        <f>BE34*Eras!BE$3</f>
        <v/>
      </c>
      <c r="BF35" s="5">
        <f>BF34*Eras!BF$3</f>
        <v/>
      </c>
      <c r="BG35" s="5">
        <f>BG34*Eras!BG$3</f>
        <v/>
      </c>
      <c r="BH35" s="5">
        <f>BH34*Eras!BH$3</f>
        <v/>
      </c>
      <c r="BI35" s="5">
        <f>BI34*Eras!BI$3</f>
        <v/>
      </c>
      <c r="BJ35" s="5">
        <f>BJ34*Eras!BJ$3</f>
        <v/>
      </c>
      <c r="BK35" s="5">
        <f>BK34*Eras!BK$3</f>
        <v/>
      </c>
      <c r="BL35" s="5">
        <f>BL34*Eras!BL$3</f>
        <v/>
      </c>
      <c r="BM35" s="5">
        <f>BM34*Eras!BM$3</f>
        <v/>
      </c>
      <c r="BN35" s="5">
        <f>BN34*Eras!BN$3</f>
        <v/>
      </c>
      <c r="BO35" s="5">
        <f>BO34*Eras!BO$3</f>
        <v/>
      </c>
      <c r="BP35" s="5">
        <f>BP34*Eras!BP$3</f>
        <v/>
      </c>
      <c r="BQ35" s="5">
        <f>BQ34*Eras!BQ$3</f>
        <v/>
      </c>
      <c r="BR35" s="5">
        <f>BR34*Eras!BR$3</f>
        <v/>
      </c>
      <c r="BS35" s="5">
        <f>BS34*Eras!BS$3</f>
        <v/>
      </c>
      <c r="BT35" s="5">
        <f>BT34*Eras!BT$3</f>
        <v/>
      </c>
      <c r="BU35" s="5">
        <f>BU34*Eras!BU$3</f>
        <v/>
      </c>
      <c r="BV35" s="5">
        <f>BV34*Eras!BV$3</f>
        <v/>
      </c>
    </row>
    <row r="36">
      <c r="A36" t="inlineStr">
        <is>
          <t>reactivated in @1</t>
        </is>
      </c>
      <c r="B36" t="inlineStr">
        <is>
          <t>US_CA|BASIC_M</t>
        </is>
      </c>
      <c r="C36" s="5">
        <f>C34*Eras!C$4</f>
        <v/>
      </c>
      <c r="D36" s="5">
        <f>D34*Eras!D$4</f>
        <v/>
      </c>
      <c r="E36" s="5">
        <f>E34*Eras!E$4</f>
        <v/>
      </c>
      <c r="F36" s="5">
        <f>F34*Eras!F$4</f>
        <v/>
      </c>
      <c r="G36" s="5">
        <f>G34*Eras!G$4</f>
        <v/>
      </c>
      <c r="H36" s="5">
        <f>H34*Eras!H$4</f>
        <v/>
      </c>
      <c r="I36" s="5">
        <f>I34*Eras!I$4</f>
        <v/>
      </c>
      <c r="J36" s="5">
        <f>J34*Eras!J$4</f>
        <v/>
      </c>
      <c r="K36" s="5">
        <f>K34*Eras!K$4</f>
        <v/>
      </c>
      <c r="L36" s="5">
        <f>L34*Eras!L$4</f>
        <v/>
      </c>
      <c r="M36" s="5">
        <f>M34*Eras!M$4</f>
        <v/>
      </c>
      <c r="N36" s="5">
        <f>N34*Eras!N$4</f>
        <v/>
      </c>
      <c r="O36" s="5">
        <f>O34*Eras!O$4</f>
        <v/>
      </c>
      <c r="P36" s="5">
        <f>P34*Eras!P$4</f>
        <v/>
      </c>
      <c r="Q36" s="5">
        <f>Q34*Eras!Q$4</f>
        <v/>
      </c>
      <c r="R36" s="5">
        <f>R34*Eras!R$4</f>
        <v/>
      </c>
      <c r="S36" s="5">
        <f>S34*Eras!S$4</f>
        <v/>
      </c>
      <c r="T36" s="5">
        <f>T34*Eras!T$4</f>
        <v/>
      </c>
      <c r="U36" s="5">
        <f>U34*Eras!U$4</f>
        <v/>
      </c>
      <c r="V36" s="5">
        <f>V34*Eras!V$4</f>
        <v/>
      </c>
      <c r="W36" s="5">
        <f>W34*Eras!W$4</f>
        <v/>
      </c>
      <c r="X36" s="5">
        <f>X34*Eras!X$4</f>
        <v/>
      </c>
      <c r="Y36" s="5">
        <f>Y34*Eras!Y$4</f>
        <v/>
      </c>
      <c r="Z36" s="5">
        <f>Z34*Eras!Z$4</f>
        <v/>
      </c>
      <c r="AA36" s="5">
        <f>AA34*Eras!AA$4</f>
        <v/>
      </c>
      <c r="AB36" s="5">
        <f>AB34*Eras!AB$4</f>
        <v/>
      </c>
      <c r="AC36" s="5">
        <f>AC34*Eras!AC$4</f>
        <v/>
      </c>
      <c r="AD36" s="5">
        <f>AD34*Eras!AD$4</f>
        <v/>
      </c>
      <c r="AE36" s="5">
        <f>AE34*Eras!AE$4</f>
        <v/>
      </c>
      <c r="AF36" s="5">
        <f>AF34*Eras!AF$4</f>
        <v/>
      </c>
      <c r="AG36" s="5">
        <f>AG34*Eras!AG$4</f>
        <v/>
      </c>
      <c r="AH36" s="5">
        <f>AH34*Eras!AH$4</f>
        <v/>
      </c>
      <c r="AI36" s="5">
        <f>AI34*Eras!AI$4</f>
        <v/>
      </c>
      <c r="AJ36" s="5">
        <f>AJ34*Eras!AJ$4</f>
        <v/>
      </c>
      <c r="AK36" s="5">
        <f>AK34*Eras!AK$4</f>
        <v/>
      </c>
      <c r="AL36" s="5">
        <f>AL34*Eras!AL$4</f>
        <v/>
      </c>
      <c r="AM36" s="5">
        <f>AM34*Eras!AM$4</f>
        <v/>
      </c>
      <c r="AN36" s="5">
        <f>AN34*Eras!AN$4</f>
        <v/>
      </c>
      <c r="AO36" s="5">
        <f>AO34*Eras!AO$4</f>
        <v/>
      </c>
      <c r="AP36" s="5">
        <f>AP34*Eras!AP$4</f>
        <v/>
      </c>
      <c r="AQ36" s="5">
        <f>AQ34*Eras!AQ$4</f>
        <v/>
      </c>
      <c r="AR36" s="5">
        <f>AR34*Eras!AR$4</f>
        <v/>
      </c>
      <c r="AS36" s="5">
        <f>AS34*Eras!AS$4</f>
        <v/>
      </c>
      <c r="AT36" s="5">
        <f>AT34*Eras!AT$4</f>
        <v/>
      </c>
      <c r="AU36" s="5">
        <f>AU34*Eras!AU$4</f>
        <v/>
      </c>
      <c r="AV36" s="5">
        <f>AV34*Eras!AV$4</f>
        <v/>
      </c>
      <c r="AW36" s="5">
        <f>AW34*Eras!AW$4</f>
        <v/>
      </c>
      <c r="AX36" s="5">
        <f>AX34*Eras!AX$4</f>
        <v/>
      </c>
      <c r="AY36" s="5">
        <f>AY34*Eras!AY$4</f>
        <v/>
      </c>
      <c r="AZ36" s="5">
        <f>AZ34*Eras!AZ$4</f>
        <v/>
      </c>
      <c r="BA36" s="5">
        <f>BA34*Eras!BA$4</f>
        <v/>
      </c>
      <c r="BB36" s="5">
        <f>BB34*Eras!BB$4</f>
        <v/>
      </c>
      <c r="BC36" s="5">
        <f>BC34*Eras!BC$4</f>
        <v/>
      </c>
      <c r="BD36" s="5">
        <f>BD34*Eras!BD$4</f>
        <v/>
      </c>
      <c r="BE36" s="5">
        <f>BE34*Eras!BE$4</f>
        <v/>
      </c>
      <c r="BF36" s="5">
        <f>BF34*Eras!BF$4</f>
        <v/>
      </c>
      <c r="BG36" s="5">
        <f>BG34*Eras!BG$4</f>
        <v/>
      </c>
      <c r="BH36" s="5">
        <f>BH34*Eras!BH$4</f>
        <v/>
      </c>
      <c r="BI36" s="5">
        <f>BI34*Eras!BI$4</f>
        <v/>
      </c>
      <c r="BJ36" s="5">
        <f>BJ34*Eras!BJ$4</f>
        <v/>
      </c>
      <c r="BK36" s="5">
        <f>BK34*Eras!BK$4</f>
        <v/>
      </c>
      <c r="BL36" s="5">
        <f>BL34*Eras!BL$4</f>
        <v/>
      </c>
      <c r="BM36" s="5">
        <f>BM34*Eras!BM$4</f>
        <v/>
      </c>
      <c r="BN36" s="5">
        <f>BN34*Eras!BN$4</f>
        <v/>
      </c>
      <c r="BO36" s="5">
        <f>BO34*Eras!BO$4</f>
        <v/>
      </c>
      <c r="BP36" s="5">
        <f>BP34*Eras!BP$4</f>
        <v/>
      </c>
      <c r="BQ36" s="5">
        <f>BQ34*Eras!BQ$4</f>
        <v/>
      </c>
      <c r="BR36" s="5">
        <f>BR34*Eras!BR$4</f>
        <v/>
      </c>
      <c r="BS36" s="5">
        <f>BS34*Eras!BS$4</f>
        <v/>
      </c>
      <c r="BT36" s="5">
        <f>BT34*Eras!BT$4</f>
        <v/>
      </c>
      <c r="BU36" s="5">
        <f>BU34*Eras!BU$4</f>
        <v/>
      </c>
      <c r="BV36" s="5">
        <f>BV34*Eras!BV$4</f>
        <v/>
      </c>
    </row>
    <row r="37">
      <c r="A37" t="inlineStr">
        <is>
          <t>reactivated in @2</t>
        </is>
      </c>
      <c r="B37" t="inlineStr">
        <is>
          <t>US_CA|BASIC_M</t>
        </is>
      </c>
      <c r="C37" s="5">
        <f>C34*Eras!C$5</f>
        <v/>
      </c>
      <c r="D37" s="5">
        <f>D34*Eras!D$5</f>
        <v/>
      </c>
      <c r="E37" s="5">
        <f>E34*Eras!E$5</f>
        <v/>
      </c>
      <c r="F37" s="5">
        <f>F34*Eras!F$5</f>
        <v/>
      </c>
      <c r="G37" s="5">
        <f>G34*Eras!G$5</f>
        <v/>
      </c>
      <c r="H37" s="5">
        <f>H34*Eras!H$5</f>
        <v/>
      </c>
      <c r="I37" s="5">
        <f>I34*Eras!I$5</f>
        <v/>
      </c>
      <c r="J37" s="5">
        <f>J34*Eras!J$5</f>
        <v/>
      </c>
      <c r="K37" s="5">
        <f>K34*Eras!K$5</f>
        <v/>
      </c>
      <c r="L37" s="5">
        <f>L34*Eras!L$5</f>
        <v/>
      </c>
      <c r="M37" s="5">
        <f>M34*Eras!M$5</f>
        <v/>
      </c>
      <c r="N37" s="5">
        <f>N34*Eras!N$5</f>
        <v/>
      </c>
      <c r="O37" s="5">
        <f>O34*Eras!O$5</f>
        <v/>
      </c>
      <c r="P37" s="5">
        <f>P34*Eras!P$5</f>
        <v/>
      </c>
      <c r="Q37" s="5">
        <f>Q34*Eras!Q$5</f>
        <v/>
      </c>
      <c r="R37" s="5">
        <f>R34*Eras!R$5</f>
        <v/>
      </c>
      <c r="S37" s="5">
        <f>S34*Eras!S$5</f>
        <v/>
      </c>
      <c r="T37" s="5">
        <f>T34*Eras!T$5</f>
        <v/>
      </c>
      <c r="U37" s="5">
        <f>U34*Eras!U$5</f>
        <v/>
      </c>
      <c r="V37" s="5">
        <f>V34*Eras!V$5</f>
        <v/>
      </c>
      <c r="W37" s="5">
        <f>W34*Eras!W$5</f>
        <v/>
      </c>
      <c r="X37" s="5">
        <f>X34*Eras!X$5</f>
        <v/>
      </c>
      <c r="Y37" s="5">
        <f>Y34*Eras!Y$5</f>
        <v/>
      </c>
      <c r="Z37" s="5">
        <f>Z34*Eras!Z$5</f>
        <v/>
      </c>
      <c r="AA37" s="5">
        <f>AA34*Eras!AA$5</f>
        <v/>
      </c>
      <c r="AB37" s="5">
        <f>AB34*Eras!AB$5</f>
        <v/>
      </c>
      <c r="AC37" s="5">
        <f>AC34*Eras!AC$5</f>
        <v/>
      </c>
      <c r="AD37" s="5">
        <f>AD34*Eras!AD$5</f>
        <v/>
      </c>
      <c r="AE37" s="5">
        <f>AE34*Eras!AE$5</f>
        <v/>
      </c>
      <c r="AF37" s="5">
        <f>AF34*Eras!AF$5</f>
        <v/>
      </c>
      <c r="AG37" s="5">
        <f>AG34*Eras!AG$5</f>
        <v/>
      </c>
      <c r="AH37" s="5">
        <f>AH34*Eras!AH$5</f>
        <v/>
      </c>
      <c r="AI37" s="5">
        <f>AI34*Eras!AI$5</f>
        <v/>
      </c>
      <c r="AJ37" s="5">
        <f>AJ34*Eras!AJ$5</f>
        <v/>
      </c>
      <c r="AK37" s="5">
        <f>AK34*Eras!AK$5</f>
        <v/>
      </c>
      <c r="AL37" s="5">
        <f>AL34*Eras!AL$5</f>
        <v/>
      </c>
      <c r="AM37" s="5">
        <f>AM34*Eras!AM$5</f>
        <v/>
      </c>
      <c r="AN37" s="5">
        <f>AN34*Eras!AN$5</f>
        <v/>
      </c>
      <c r="AO37" s="5">
        <f>AO34*Eras!AO$5</f>
        <v/>
      </c>
      <c r="AP37" s="5">
        <f>AP34*Eras!AP$5</f>
        <v/>
      </c>
      <c r="AQ37" s="5">
        <f>AQ34*Eras!AQ$5</f>
        <v/>
      </c>
      <c r="AR37" s="5">
        <f>AR34*Eras!AR$5</f>
        <v/>
      </c>
      <c r="AS37" s="5">
        <f>AS34*Eras!AS$5</f>
        <v/>
      </c>
      <c r="AT37" s="5">
        <f>AT34*Eras!AT$5</f>
        <v/>
      </c>
      <c r="AU37" s="5">
        <f>AU34*Eras!AU$5</f>
        <v/>
      </c>
      <c r="AV37" s="5">
        <f>AV34*Eras!AV$5</f>
        <v/>
      </c>
      <c r="AW37" s="5">
        <f>AW34*Eras!AW$5</f>
        <v/>
      </c>
      <c r="AX37" s="5">
        <f>AX34*Eras!AX$5</f>
        <v/>
      </c>
      <c r="AY37" s="5">
        <f>AY34*Eras!AY$5</f>
        <v/>
      </c>
      <c r="AZ37" s="5">
        <f>AZ34*Eras!AZ$5</f>
        <v/>
      </c>
      <c r="BA37" s="5">
        <f>BA34*Eras!BA$5</f>
        <v/>
      </c>
      <c r="BB37" s="5">
        <f>BB34*Eras!BB$5</f>
        <v/>
      </c>
      <c r="BC37" s="5">
        <f>BC34*Eras!BC$5</f>
        <v/>
      </c>
      <c r="BD37" s="5">
        <f>BD34*Eras!BD$5</f>
        <v/>
      </c>
      <c r="BE37" s="5">
        <f>BE34*Eras!BE$5</f>
        <v/>
      </c>
      <c r="BF37" s="5">
        <f>BF34*Eras!BF$5</f>
        <v/>
      </c>
      <c r="BG37" s="5">
        <f>BG34*Eras!BG$5</f>
        <v/>
      </c>
      <c r="BH37" s="5">
        <f>BH34*Eras!BH$5</f>
        <v/>
      </c>
      <c r="BI37" s="5">
        <f>BI34*Eras!BI$5</f>
        <v/>
      </c>
      <c r="BJ37" s="5">
        <f>BJ34*Eras!BJ$5</f>
        <v/>
      </c>
      <c r="BK37" s="5">
        <f>BK34*Eras!BK$5</f>
        <v/>
      </c>
      <c r="BL37" s="5">
        <f>BL34*Eras!BL$5</f>
        <v/>
      </c>
      <c r="BM37" s="5">
        <f>BM34*Eras!BM$5</f>
        <v/>
      </c>
      <c r="BN37" s="5">
        <f>BN34*Eras!BN$5</f>
        <v/>
      </c>
      <c r="BO37" s="5">
        <f>BO34*Eras!BO$5</f>
        <v/>
      </c>
      <c r="BP37" s="5">
        <f>BP34*Eras!BP$5</f>
        <v/>
      </c>
      <c r="BQ37" s="5">
        <f>BQ34*Eras!BQ$5</f>
        <v/>
      </c>
      <c r="BR37" s="5">
        <f>BR34*Eras!BR$5</f>
        <v/>
      </c>
      <c r="BS37" s="5">
        <f>BS34*Eras!BS$5</f>
        <v/>
      </c>
      <c r="BT37" s="5">
        <f>BT34*Eras!BT$5</f>
        <v/>
      </c>
      <c r="BU37" s="5">
        <f>BU34*Eras!BU$5</f>
        <v/>
      </c>
      <c r="BV37" s="5">
        <f>BV34*Eras!BV$5</f>
        <v/>
      </c>
    </row>
    <row r="38">
      <c r="A38" t="inlineStr">
        <is>
          <t>active</t>
        </is>
      </c>
      <c r="B38" t="inlineStr">
        <is>
          <t>US_CA|BASIC_M</t>
        </is>
      </c>
      <c r="C38" s="5">
        <f>React!$C$35*Curves!$BV$19+React!$C$36*Curves!$BV$42+React!$C$37*Curves!$BV$65</f>
        <v/>
      </c>
      <c r="D38" s="5">
        <f>SUMPRODUCT(React!$C$35:$D$35,Curves!$BU$19:$BV$19)+SUMPRODUCT(React!$C$36:$D$36,Curves!$BU$42:$BV$42)+SUMPRODUCT(React!$C$37:$D$37,Curves!$BU$65:$BV$65)</f>
        <v/>
      </c>
      <c r="E38" s="5">
        <f>SUMPRODUCT(React!$C$35:$E$35,Curves!$BT$19:$BV$19)+SUMPRODUCT(React!$C$36:$E$36,Curves!$BT$42:$BV$42)+SUMPRODUCT(React!$C$37:$E$37,Curves!$BT$65:$BV$65)</f>
        <v/>
      </c>
      <c r="F38" s="5">
        <f>SUMPRODUCT(React!$C$35:$F$35,Curves!$BS$19:$BV$19)+SUMPRODUCT(React!$C$36:$F$36,Curves!$BS$42:$BV$42)+SUMPRODUCT(React!$C$37:$F$37,Curves!$BS$65:$BV$65)</f>
        <v/>
      </c>
      <c r="G38" s="5">
        <f>SUMPRODUCT(React!$C$35:$G$35,Curves!$BR$19:$BV$19)+SUMPRODUCT(React!$C$36:$G$36,Curves!$BR$42:$BV$42)+SUMPRODUCT(React!$C$37:$G$37,Curves!$BR$65:$BV$65)</f>
        <v/>
      </c>
      <c r="H38" s="5">
        <f>SUMPRODUCT(React!$C$35:$H$35,Curves!$BQ$19:$BV$19)+SUMPRODUCT(React!$C$36:$H$36,Curves!$BQ$42:$BV$42)+SUMPRODUCT(React!$C$37:$H$37,Curves!$BQ$65:$BV$65)</f>
        <v/>
      </c>
      <c r="I38" s="5">
        <f>SUMPRODUCT(React!$C$35:$I$35,Curves!$BP$19:$BV$19)+SUMPRODUCT(React!$C$36:$I$36,Curves!$BP$42:$BV$42)+SUMPRODUCT(React!$C$37:$I$37,Curves!$BP$65:$BV$65)</f>
        <v/>
      </c>
      <c r="J38" s="5">
        <f>SUMPRODUCT(React!$C$35:$J$35,Curves!$BO$19:$BV$19)+SUMPRODUCT(React!$C$36:$J$36,Curves!$BO$42:$BV$42)+SUMPRODUCT(React!$C$37:$J$37,Curves!$BO$65:$BV$65)</f>
        <v/>
      </c>
      <c r="K38" s="5">
        <f>SUMPRODUCT(React!$C$35:$K$35,Curves!$BN$19:$BV$19)+SUMPRODUCT(React!$C$36:$K$36,Curves!$BN$42:$BV$42)+SUMPRODUCT(React!$C$37:$K$37,Curves!$BN$65:$BV$65)</f>
        <v/>
      </c>
      <c r="L38" s="5">
        <f>SUMPRODUCT(React!$C$35:$L$35,Curves!$BM$19:$BV$19)+SUMPRODUCT(React!$C$36:$L$36,Curves!$BM$42:$BV$42)+SUMPRODUCT(React!$C$37:$L$37,Curves!$BM$65:$BV$65)</f>
        <v/>
      </c>
      <c r="M38" s="5">
        <f>SUMPRODUCT(React!$C$35:$M$35,Curves!$BL$19:$BV$19)+SUMPRODUCT(React!$C$36:$M$36,Curves!$BL$42:$BV$42)+SUMPRODUCT(React!$C$37:$M$37,Curves!$BL$65:$BV$65)</f>
        <v/>
      </c>
      <c r="N38" s="5">
        <f>SUMPRODUCT(React!$C$35:$N$35,Curves!$BK$19:$BV$19)+SUMPRODUCT(React!$C$36:$N$36,Curves!$BK$42:$BV$42)+SUMPRODUCT(React!$C$37:$N$37,Curves!$BK$65:$BV$65)</f>
        <v/>
      </c>
      <c r="O38" s="5">
        <f>SUMPRODUCT(React!$C$35:$O$35,Curves!$BJ$19:$BV$19)+SUMPRODUCT(React!$C$36:$O$36,Curves!$BJ$42:$BV$42)+SUMPRODUCT(React!$C$37:$O$37,Curves!$BJ$65:$BV$65)</f>
        <v/>
      </c>
      <c r="P38" s="5">
        <f>SUMPRODUCT(React!$C$35:$P$35,Curves!$BI$19:$BV$19)+SUMPRODUCT(React!$C$36:$P$36,Curves!$BI$42:$BV$42)+SUMPRODUCT(React!$C$37:$P$37,Curves!$BI$65:$BV$65)</f>
        <v/>
      </c>
      <c r="Q38" s="5">
        <f>SUMPRODUCT(React!$C$35:$Q$35,Curves!$BH$19:$BV$19)+SUMPRODUCT(React!$C$36:$Q$36,Curves!$BH$42:$BV$42)+SUMPRODUCT(React!$C$37:$Q$37,Curves!$BH$65:$BV$65)</f>
        <v/>
      </c>
      <c r="R38" s="5">
        <f>SUMPRODUCT(React!$C$35:$R$35,Curves!$BG$19:$BV$19)+SUMPRODUCT(React!$C$36:$R$36,Curves!$BG$42:$BV$42)+SUMPRODUCT(React!$C$37:$R$37,Curves!$BG$65:$BV$65)</f>
        <v/>
      </c>
      <c r="S38" s="5">
        <f>SUMPRODUCT(React!$C$35:$S$35,Curves!$BF$19:$BV$19)+SUMPRODUCT(React!$C$36:$S$36,Curves!$BF$42:$BV$42)+SUMPRODUCT(React!$C$37:$S$37,Curves!$BF$65:$BV$65)</f>
        <v/>
      </c>
      <c r="T38" s="5">
        <f>SUMPRODUCT(React!$C$35:$T$35,Curves!$BE$19:$BV$19)+SUMPRODUCT(React!$C$36:$T$36,Curves!$BE$42:$BV$42)+SUMPRODUCT(React!$C$37:$T$37,Curves!$BE$65:$BV$65)</f>
        <v/>
      </c>
      <c r="U38" s="5">
        <f>SUMPRODUCT(React!$C$35:$U$35,Curves!$BD$19:$BV$19)+SUMPRODUCT(React!$C$36:$U$36,Curves!$BD$42:$BV$42)+SUMPRODUCT(React!$C$37:$U$37,Curves!$BD$65:$BV$65)</f>
        <v/>
      </c>
      <c r="V38" s="5">
        <f>SUMPRODUCT(React!$C$35:$V$35,Curves!$BC$19:$BV$19)+SUMPRODUCT(React!$C$36:$V$36,Curves!$BC$42:$BV$42)+SUMPRODUCT(React!$C$37:$V$37,Curves!$BC$65:$BV$65)</f>
        <v/>
      </c>
      <c r="W38" s="5">
        <f>SUMPRODUCT(React!$C$35:$W$35,Curves!$BB$19:$BV$19)+SUMPRODUCT(React!$C$36:$W$36,Curves!$BB$42:$BV$42)+SUMPRODUCT(React!$C$37:$W$37,Curves!$BB$65:$BV$65)</f>
        <v/>
      </c>
      <c r="X38" s="5">
        <f>SUMPRODUCT(React!$C$35:$X$35,Curves!$BA$19:$BV$19)+SUMPRODUCT(React!$C$36:$X$36,Curves!$BA$42:$BV$42)+SUMPRODUCT(React!$C$37:$X$37,Curves!$BA$65:$BV$65)</f>
        <v/>
      </c>
      <c r="Y38" s="5">
        <f>SUMPRODUCT(React!$C$35:$Y$35,Curves!$AZ$19:$BV$19)+SUMPRODUCT(React!$C$36:$Y$36,Curves!$AZ$42:$BV$42)+SUMPRODUCT(React!$C$37:$Y$37,Curves!$AZ$65:$BV$65)</f>
        <v/>
      </c>
      <c r="Z38" s="5">
        <f>SUMPRODUCT(React!$C$35:$Z$35,Curves!$AY$19:$BV$19)+SUMPRODUCT(React!$C$36:$Z$36,Curves!$AY$42:$BV$42)+SUMPRODUCT(React!$C$37:$Z$37,Curves!$AY$65:$BV$65)</f>
        <v/>
      </c>
      <c r="AA38" s="5">
        <f>SUMPRODUCT(React!$C$35:$AA$35,Curves!$AX$19:$BV$19)+SUMPRODUCT(React!$C$36:$AA$36,Curves!$AX$42:$BV$42)+SUMPRODUCT(React!$C$37:$AA$37,Curves!$AX$65:$BV$65)</f>
        <v/>
      </c>
      <c r="AB38" s="5">
        <f>SUMPRODUCT(React!$C$35:$AB$35,Curves!$AW$19:$BV$19)+SUMPRODUCT(React!$C$36:$AB$36,Curves!$AW$42:$BV$42)+SUMPRODUCT(React!$C$37:$AB$37,Curves!$AW$65:$BV$65)</f>
        <v/>
      </c>
      <c r="AC38" s="5">
        <f>SUMPRODUCT(React!$C$35:$AC$35,Curves!$AV$19:$BV$19)+SUMPRODUCT(React!$C$36:$AC$36,Curves!$AV$42:$BV$42)+SUMPRODUCT(React!$C$37:$AC$37,Curves!$AV$65:$BV$65)</f>
        <v/>
      </c>
      <c r="AD38" s="5">
        <f>SUMPRODUCT(React!$C$35:$AD$35,Curves!$AU$19:$BV$19)+SUMPRODUCT(React!$C$36:$AD$36,Curves!$AU$42:$BV$42)+SUMPRODUCT(React!$C$37:$AD$37,Curves!$AU$65:$BV$65)</f>
        <v/>
      </c>
      <c r="AE38" s="5">
        <f>SUMPRODUCT(React!$C$35:$AE$35,Curves!$AT$19:$BV$19)+SUMPRODUCT(React!$C$36:$AE$36,Curves!$AT$42:$BV$42)+SUMPRODUCT(React!$C$37:$AE$37,Curves!$AT$65:$BV$65)</f>
        <v/>
      </c>
      <c r="AF38" s="5">
        <f>SUMPRODUCT(React!$C$35:$AF$35,Curves!$AS$19:$BV$19)+SUMPRODUCT(React!$C$36:$AF$36,Curves!$AS$42:$BV$42)+SUMPRODUCT(React!$C$37:$AF$37,Curves!$AS$65:$BV$65)</f>
        <v/>
      </c>
      <c r="AG38" s="5">
        <f>SUMPRODUCT(React!$C$35:$AG$35,Curves!$AR$19:$BV$19)+SUMPRODUCT(React!$C$36:$AG$36,Curves!$AR$42:$BV$42)+SUMPRODUCT(React!$C$37:$AG$37,Curves!$AR$65:$BV$65)</f>
        <v/>
      </c>
      <c r="AH38" s="5">
        <f>SUMPRODUCT(React!$C$35:$AH$35,Curves!$AQ$19:$BV$19)+SUMPRODUCT(React!$C$36:$AH$36,Curves!$AQ$42:$BV$42)+SUMPRODUCT(React!$C$37:$AH$37,Curves!$AQ$65:$BV$65)</f>
        <v/>
      </c>
      <c r="AI38" s="5">
        <f>SUMPRODUCT(React!$C$35:$AI$35,Curves!$AP$19:$BV$19)+SUMPRODUCT(React!$C$36:$AI$36,Curves!$AP$42:$BV$42)+SUMPRODUCT(React!$C$37:$AI$37,Curves!$AP$65:$BV$65)</f>
        <v/>
      </c>
      <c r="AJ38" s="5">
        <f>SUMPRODUCT(React!$C$35:$AJ$35,Curves!$AO$19:$BV$19)+SUMPRODUCT(React!$C$36:$AJ$36,Curves!$AO$42:$BV$42)+SUMPRODUCT(React!$C$37:$AJ$37,Curves!$AO$65:$BV$65)</f>
        <v/>
      </c>
      <c r="AK38" s="5">
        <f>SUMPRODUCT(React!$C$35:$AK$35,Curves!$AN$19:$BV$19)+SUMPRODUCT(React!$C$36:$AK$36,Curves!$AN$42:$BV$42)+SUMPRODUCT(React!$C$37:$AK$37,Curves!$AN$65:$BV$65)</f>
        <v/>
      </c>
      <c r="AL38" s="5">
        <f>SUMPRODUCT(React!$C$35:$AL$35,Curves!$AM$19:$BV$19)+SUMPRODUCT(React!$C$36:$AL$36,Curves!$AM$42:$BV$42)+SUMPRODUCT(React!$C$37:$AL$37,Curves!$AM$65:$BV$65)</f>
        <v/>
      </c>
      <c r="AM38" s="5">
        <f>SUMPRODUCT(React!$C$35:$AM$35,Curves!$AL$19:$BV$19)+SUMPRODUCT(React!$C$36:$AM$36,Curves!$AL$42:$BV$42)+SUMPRODUCT(React!$C$37:$AM$37,Curves!$AL$65:$BV$65)</f>
        <v/>
      </c>
      <c r="AN38" s="5">
        <f>SUMPRODUCT(React!$C$35:$AN$35,Curves!$AK$19:$BV$19)+SUMPRODUCT(React!$C$36:$AN$36,Curves!$AK$42:$BV$42)+SUMPRODUCT(React!$C$37:$AN$37,Curves!$AK$65:$BV$65)</f>
        <v/>
      </c>
      <c r="AO38" s="5">
        <f>SUMPRODUCT(React!$C$35:$AO$35,Curves!$AJ$19:$BV$19)+SUMPRODUCT(React!$C$36:$AO$36,Curves!$AJ$42:$BV$42)+SUMPRODUCT(React!$C$37:$AO$37,Curves!$AJ$65:$BV$65)</f>
        <v/>
      </c>
      <c r="AP38" s="5">
        <f>SUMPRODUCT(React!$C$35:$AP$35,Curves!$AI$19:$BV$19)+SUMPRODUCT(React!$C$36:$AP$36,Curves!$AI$42:$BV$42)+SUMPRODUCT(React!$C$37:$AP$37,Curves!$AI$65:$BV$65)</f>
        <v/>
      </c>
      <c r="AQ38" s="5">
        <f>SUMPRODUCT(React!$C$35:$AQ$35,Curves!$AH$19:$BV$19)+SUMPRODUCT(React!$C$36:$AQ$36,Curves!$AH$42:$BV$42)+SUMPRODUCT(React!$C$37:$AQ$37,Curves!$AH$65:$BV$65)</f>
        <v/>
      </c>
      <c r="AR38" s="5">
        <f>SUMPRODUCT(React!$C$35:$AR$35,Curves!$AG$19:$BV$19)+SUMPRODUCT(React!$C$36:$AR$36,Curves!$AG$42:$BV$42)+SUMPRODUCT(React!$C$37:$AR$37,Curves!$AG$65:$BV$65)</f>
        <v/>
      </c>
      <c r="AS38" s="5">
        <f>SUMPRODUCT(React!$C$35:$AS$35,Curves!$AF$19:$BV$19)+SUMPRODUCT(React!$C$36:$AS$36,Curves!$AF$42:$BV$42)+SUMPRODUCT(React!$C$37:$AS$37,Curves!$AF$65:$BV$65)</f>
        <v/>
      </c>
      <c r="AT38" s="5">
        <f>SUMPRODUCT(React!$C$35:$AT$35,Curves!$AE$19:$BV$19)+SUMPRODUCT(React!$C$36:$AT$36,Curves!$AE$42:$BV$42)+SUMPRODUCT(React!$C$37:$AT$37,Curves!$AE$65:$BV$65)</f>
        <v/>
      </c>
      <c r="AU38" s="5">
        <f>SUMPRODUCT(React!$C$35:$AU$35,Curves!$AD$19:$BV$19)+SUMPRODUCT(React!$C$36:$AU$36,Curves!$AD$42:$BV$42)+SUMPRODUCT(React!$C$37:$AU$37,Curves!$AD$65:$BV$65)</f>
        <v/>
      </c>
      <c r="AV38" s="5">
        <f>SUMPRODUCT(React!$C$35:$AV$35,Curves!$AC$19:$BV$19)+SUMPRODUCT(React!$C$36:$AV$36,Curves!$AC$42:$BV$42)+SUMPRODUCT(React!$C$37:$AV$37,Curves!$AC$65:$BV$65)</f>
        <v/>
      </c>
      <c r="AW38" s="5">
        <f>SUMPRODUCT(React!$C$35:$AW$35,Curves!$AB$19:$BV$19)+SUMPRODUCT(React!$C$36:$AW$36,Curves!$AB$42:$BV$42)+SUMPRODUCT(React!$C$37:$AW$37,Curves!$AB$65:$BV$65)</f>
        <v/>
      </c>
      <c r="AX38" s="5">
        <f>SUMPRODUCT(React!$C$35:$AX$35,Curves!$AA$19:$BV$19)+SUMPRODUCT(React!$C$36:$AX$36,Curves!$AA$42:$BV$42)+SUMPRODUCT(React!$C$37:$AX$37,Curves!$AA$65:$BV$65)</f>
        <v/>
      </c>
      <c r="AY38" s="5">
        <f>SUMPRODUCT(React!$C$35:$AY$35,Curves!$Z$19:$BV$19)+SUMPRODUCT(React!$C$36:$AY$36,Curves!$Z$42:$BV$42)+SUMPRODUCT(React!$C$37:$AY$37,Curves!$Z$65:$BV$65)</f>
        <v/>
      </c>
      <c r="AZ38" s="5">
        <f>SUMPRODUCT(React!$C$35:$AZ$35,Curves!$Y$19:$BV$19)+SUMPRODUCT(React!$C$36:$AZ$36,Curves!$Y$42:$BV$42)+SUMPRODUCT(React!$C$37:$AZ$37,Curves!$Y$65:$BV$65)</f>
        <v/>
      </c>
      <c r="BA38" s="5">
        <f>SUMPRODUCT(React!$C$35:$BA$35,Curves!$X$19:$BV$19)+SUMPRODUCT(React!$C$36:$BA$36,Curves!$X$42:$BV$42)+SUMPRODUCT(React!$C$37:$BA$37,Curves!$X$65:$BV$65)</f>
        <v/>
      </c>
      <c r="BB38" s="5">
        <f>SUMPRODUCT(React!$C$35:$BB$35,Curves!$W$19:$BV$19)+SUMPRODUCT(React!$C$36:$BB$36,Curves!$W$42:$BV$42)+SUMPRODUCT(React!$C$37:$BB$37,Curves!$W$65:$BV$65)</f>
        <v/>
      </c>
      <c r="BC38" s="5">
        <f>SUMPRODUCT(React!$C$35:$BC$35,Curves!$V$19:$BV$19)+SUMPRODUCT(React!$C$36:$BC$36,Curves!$V$42:$BV$42)+SUMPRODUCT(React!$C$37:$BC$37,Curves!$V$65:$BV$65)</f>
        <v/>
      </c>
      <c r="BD38" s="5">
        <f>SUMPRODUCT(React!$C$35:$BD$35,Curves!$U$19:$BV$19)+SUMPRODUCT(React!$C$36:$BD$36,Curves!$U$42:$BV$42)+SUMPRODUCT(React!$C$37:$BD$37,Curves!$U$65:$BV$65)</f>
        <v/>
      </c>
      <c r="BE38" s="5">
        <f>SUMPRODUCT(React!$C$35:$BE$35,Curves!$T$19:$BV$19)+SUMPRODUCT(React!$C$36:$BE$36,Curves!$T$42:$BV$42)+SUMPRODUCT(React!$C$37:$BE$37,Curves!$T$65:$BV$65)</f>
        <v/>
      </c>
      <c r="BF38" s="5">
        <f>SUMPRODUCT(React!$C$35:$BF$35,Curves!$S$19:$BV$19)+SUMPRODUCT(React!$C$36:$BF$36,Curves!$S$42:$BV$42)+SUMPRODUCT(React!$C$37:$BF$37,Curves!$S$65:$BV$65)</f>
        <v/>
      </c>
      <c r="BG38" s="5">
        <f>SUMPRODUCT(React!$C$35:$BG$35,Curves!$R$19:$BV$19)+SUMPRODUCT(React!$C$36:$BG$36,Curves!$R$42:$BV$42)+SUMPRODUCT(React!$C$37:$BG$37,Curves!$R$65:$BV$65)</f>
        <v/>
      </c>
      <c r="BH38" s="5">
        <f>SUMPRODUCT(React!$C$35:$BH$35,Curves!$Q$19:$BV$19)+SUMPRODUCT(React!$C$36:$BH$36,Curves!$Q$42:$BV$42)+SUMPRODUCT(React!$C$37:$BH$37,Curves!$Q$65:$BV$65)</f>
        <v/>
      </c>
      <c r="BI38" s="5">
        <f>SUMPRODUCT(React!$C$35:$BI$35,Curves!$P$19:$BV$19)+SUMPRODUCT(React!$C$36:$BI$36,Curves!$P$42:$BV$42)+SUMPRODUCT(React!$C$37:$BI$37,Curves!$P$65:$BV$65)</f>
        <v/>
      </c>
      <c r="BJ38" s="5">
        <f>SUMPRODUCT(React!$C$35:$BJ$35,Curves!$O$19:$BV$19)+SUMPRODUCT(React!$C$36:$BJ$36,Curves!$O$42:$BV$42)+SUMPRODUCT(React!$C$37:$BJ$37,Curves!$O$65:$BV$65)</f>
        <v/>
      </c>
      <c r="BK38" s="5">
        <f>SUMPRODUCT(React!$C$35:$BK$35,Curves!$N$19:$BV$19)+SUMPRODUCT(React!$C$36:$BK$36,Curves!$N$42:$BV$42)+SUMPRODUCT(React!$C$37:$BK$37,Curves!$N$65:$BV$65)</f>
        <v/>
      </c>
      <c r="BL38" s="5">
        <f>SUMPRODUCT(React!$C$35:$BL$35,Curves!$M$19:$BV$19)+SUMPRODUCT(React!$C$36:$BL$36,Curves!$M$42:$BV$42)+SUMPRODUCT(React!$C$37:$BL$37,Curves!$M$65:$BV$65)</f>
        <v/>
      </c>
      <c r="BM38" s="5">
        <f>SUMPRODUCT(React!$C$35:$BM$35,Curves!$L$19:$BV$19)+SUMPRODUCT(React!$C$36:$BM$36,Curves!$L$42:$BV$42)+SUMPRODUCT(React!$C$37:$BM$37,Curves!$L$65:$BV$65)</f>
        <v/>
      </c>
      <c r="BN38" s="5">
        <f>SUMPRODUCT(React!$C$35:$BN$35,Curves!$K$19:$BV$19)+SUMPRODUCT(React!$C$36:$BN$36,Curves!$K$42:$BV$42)+SUMPRODUCT(React!$C$37:$BN$37,Curves!$K$65:$BV$65)</f>
        <v/>
      </c>
      <c r="BO38" s="5">
        <f>SUMPRODUCT(React!$C$35:$BO$35,Curves!$J$19:$BV$19)+SUMPRODUCT(React!$C$36:$BO$36,Curves!$J$42:$BV$42)+SUMPRODUCT(React!$C$37:$BO$37,Curves!$J$65:$BV$65)</f>
        <v/>
      </c>
      <c r="BP38" s="5">
        <f>SUMPRODUCT(React!$C$35:$BP$35,Curves!$I$19:$BV$19)+SUMPRODUCT(React!$C$36:$BP$36,Curves!$I$42:$BV$42)+SUMPRODUCT(React!$C$37:$BP$37,Curves!$I$65:$BV$65)</f>
        <v/>
      </c>
      <c r="BQ38" s="5">
        <f>SUMPRODUCT(React!$C$35:$BQ$35,Curves!$H$19:$BV$19)+SUMPRODUCT(React!$C$36:$BQ$36,Curves!$H$42:$BV$42)+SUMPRODUCT(React!$C$37:$BQ$37,Curves!$H$65:$BV$65)</f>
        <v/>
      </c>
      <c r="BR38" s="5">
        <f>SUMPRODUCT(React!$C$35:$BR$35,Curves!$G$19:$BV$19)+SUMPRODUCT(React!$C$36:$BR$36,Curves!$G$42:$BV$42)+SUMPRODUCT(React!$C$37:$BR$37,Curves!$G$65:$BV$65)</f>
        <v/>
      </c>
      <c r="BS38" s="5">
        <f>SUMPRODUCT(React!$C$35:$BS$35,Curves!$F$19:$BV$19)+SUMPRODUCT(React!$C$36:$BS$36,Curves!$F$42:$BV$42)+SUMPRODUCT(React!$C$37:$BS$37,Curves!$F$65:$BV$65)</f>
        <v/>
      </c>
      <c r="BT38" s="5">
        <f>SUMPRODUCT(React!$C$35:$BT$35,Curves!$E$19:$BV$19)+SUMPRODUCT(React!$C$36:$BT$36,Curves!$E$42:$BV$42)+SUMPRODUCT(React!$C$37:$BT$37,Curves!$E$65:$BV$65)</f>
        <v/>
      </c>
      <c r="BU38" s="5">
        <f>SUMPRODUCT(React!$C$35:$BU$35,Curves!$D$19:$BV$19)+SUMPRODUCT(React!$C$36:$BU$36,Curves!$D$42:$BV$42)+SUMPRODUCT(React!$C$37:$BU$37,Curves!$D$65:$BV$65)</f>
        <v/>
      </c>
      <c r="BV38" s="5">
        <f>SUMPRODUCT(React!$C$35:$BV$35,Curves!$C$19:$BV$19)+SUMPRODUCT(React!$C$36:$BV$36,Curves!$C$42:$BV$42)+SUMPRODUCT(React!$C$37:$BV$37,Curves!$C$65:$BV$65)</f>
        <v/>
      </c>
    </row>
    <row r="39">
      <c r="A39" t="inlineStr">
        <is>
          <t>active yr 1</t>
        </is>
      </c>
      <c r="B39" t="inlineStr">
        <is>
          <t>US_CA|BASIC_M</t>
        </is>
      </c>
      <c r="C39" s="5">
        <f>React!$C$35*Curves!$BV$24+React!$C$36*Curves!$BV$47+React!$C$37*Curves!$BV$70</f>
        <v/>
      </c>
      <c r="D39" s="5">
        <f>SUMPRODUCT(React!$C$35:$D$35,Curves!$BU$24:$BV$24)+SUMPRODUCT(React!$C$36:$D$36,Curves!$BU$47:$BV$47)+SUMPRODUCT(React!$C$37:$D$37,Curves!$BU$70:$BV$70)</f>
        <v/>
      </c>
      <c r="E39" s="5">
        <f>SUMPRODUCT(React!$C$35:$E$35,Curves!$BT$24:$BV$24)+SUMPRODUCT(React!$C$36:$E$36,Curves!$BT$47:$BV$47)+SUMPRODUCT(React!$C$37:$E$37,Curves!$BT$70:$BV$70)</f>
        <v/>
      </c>
      <c r="F39" s="5">
        <f>SUMPRODUCT(React!$C$35:$F$35,Curves!$BS$24:$BV$24)+SUMPRODUCT(React!$C$36:$F$36,Curves!$BS$47:$BV$47)+SUMPRODUCT(React!$C$37:$F$37,Curves!$BS$70:$BV$70)</f>
        <v/>
      </c>
      <c r="G39" s="5">
        <f>SUMPRODUCT(React!$C$35:$G$35,Curves!$BR$24:$BV$24)+SUMPRODUCT(React!$C$36:$G$36,Curves!$BR$47:$BV$47)+SUMPRODUCT(React!$C$37:$G$37,Curves!$BR$70:$BV$70)</f>
        <v/>
      </c>
      <c r="H39" s="5">
        <f>SUMPRODUCT(React!$C$35:$H$35,Curves!$BQ$24:$BV$24)+SUMPRODUCT(React!$C$36:$H$36,Curves!$BQ$47:$BV$47)+SUMPRODUCT(React!$C$37:$H$37,Curves!$BQ$70:$BV$70)</f>
        <v/>
      </c>
      <c r="I39" s="5">
        <f>SUMPRODUCT(React!$C$35:$I$35,Curves!$BP$24:$BV$24)+SUMPRODUCT(React!$C$36:$I$36,Curves!$BP$47:$BV$47)+SUMPRODUCT(React!$C$37:$I$37,Curves!$BP$70:$BV$70)</f>
        <v/>
      </c>
      <c r="J39" s="5">
        <f>SUMPRODUCT(React!$C$35:$J$35,Curves!$BO$24:$BV$24)+SUMPRODUCT(React!$C$36:$J$36,Curves!$BO$47:$BV$47)+SUMPRODUCT(React!$C$37:$J$37,Curves!$BO$70:$BV$70)</f>
        <v/>
      </c>
      <c r="K39" s="5">
        <f>SUMPRODUCT(React!$C$35:$K$35,Curves!$BN$24:$BV$24)+SUMPRODUCT(React!$C$36:$K$36,Curves!$BN$47:$BV$47)+SUMPRODUCT(React!$C$37:$K$37,Curves!$BN$70:$BV$70)</f>
        <v/>
      </c>
      <c r="L39" s="5">
        <f>SUMPRODUCT(React!$C$35:$L$35,Curves!$BM$24:$BV$24)+SUMPRODUCT(React!$C$36:$L$36,Curves!$BM$47:$BV$47)+SUMPRODUCT(React!$C$37:$L$37,Curves!$BM$70:$BV$70)</f>
        <v/>
      </c>
      <c r="M39" s="5">
        <f>SUMPRODUCT(React!$C$35:$M$35,Curves!$BL$24:$BV$24)+SUMPRODUCT(React!$C$36:$M$36,Curves!$BL$47:$BV$47)+SUMPRODUCT(React!$C$37:$M$37,Curves!$BL$70:$BV$70)</f>
        <v/>
      </c>
      <c r="N39" s="5">
        <f>SUMPRODUCT(React!$C$35:$N$35,Curves!$BK$24:$BV$24)+SUMPRODUCT(React!$C$36:$N$36,Curves!$BK$47:$BV$47)+SUMPRODUCT(React!$C$37:$N$37,Curves!$BK$70:$BV$70)</f>
        <v/>
      </c>
      <c r="O39" s="5">
        <f>SUMPRODUCT(React!$C$35:$O$35,Curves!$BJ$24:$BV$24)+SUMPRODUCT(React!$C$36:$O$36,Curves!$BJ$47:$BV$47)+SUMPRODUCT(React!$C$37:$O$37,Curves!$BJ$70:$BV$70)</f>
        <v/>
      </c>
      <c r="P39" s="5">
        <f>SUMPRODUCT(React!$C$35:$P$35,Curves!$BI$24:$BV$24)+SUMPRODUCT(React!$C$36:$P$36,Curves!$BI$47:$BV$47)+SUMPRODUCT(React!$C$37:$P$37,Curves!$BI$70:$BV$70)</f>
        <v/>
      </c>
      <c r="Q39" s="5">
        <f>SUMPRODUCT(React!$C$35:$Q$35,Curves!$BH$24:$BV$24)+SUMPRODUCT(React!$C$36:$Q$36,Curves!$BH$47:$BV$47)+SUMPRODUCT(React!$C$37:$Q$37,Curves!$BH$70:$BV$70)</f>
        <v/>
      </c>
      <c r="R39" s="5">
        <f>SUMPRODUCT(React!$C$35:$R$35,Curves!$BG$24:$BV$24)+SUMPRODUCT(React!$C$36:$R$36,Curves!$BG$47:$BV$47)+SUMPRODUCT(React!$C$37:$R$37,Curves!$BG$70:$BV$70)</f>
        <v/>
      </c>
      <c r="S39" s="5">
        <f>SUMPRODUCT(React!$C$35:$S$35,Curves!$BF$24:$BV$24)+SUMPRODUCT(React!$C$36:$S$36,Curves!$BF$47:$BV$47)+SUMPRODUCT(React!$C$37:$S$37,Curves!$BF$70:$BV$70)</f>
        <v/>
      </c>
      <c r="T39" s="5">
        <f>SUMPRODUCT(React!$C$35:$T$35,Curves!$BE$24:$BV$24)+SUMPRODUCT(React!$C$36:$T$36,Curves!$BE$47:$BV$47)+SUMPRODUCT(React!$C$37:$T$37,Curves!$BE$70:$BV$70)</f>
        <v/>
      </c>
      <c r="U39" s="5">
        <f>SUMPRODUCT(React!$C$35:$U$35,Curves!$BD$24:$BV$24)+SUMPRODUCT(React!$C$36:$U$36,Curves!$BD$47:$BV$47)+SUMPRODUCT(React!$C$37:$U$37,Curves!$BD$70:$BV$70)</f>
        <v/>
      </c>
      <c r="V39" s="5">
        <f>SUMPRODUCT(React!$C$35:$V$35,Curves!$BC$24:$BV$24)+SUMPRODUCT(React!$C$36:$V$36,Curves!$BC$47:$BV$47)+SUMPRODUCT(React!$C$37:$V$37,Curves!$BC$70:$BV$70)</f>
        <v/>
      </c>
      <c r="W39" s="5">
        <f>SUMPRODUCT(React!$C$35:$W$35,Curves!$BB$24:$BV$24)+SUMPRODUCT(React!$C$36:$W$36,Curves!$BB$47:$BV$47)+SUMPRODUCT(React!$C$37:$W$37,Curves!$BB$70:$BV$70)</f>
        <v/>
      </c>
      <c r="X39" s="5">
        <f>SUMPRODUCT(React!$C$35:$X$35,Curves!$BA$24:$BV$24)+SUMPRODUCT(React!$C$36:$X$36,Curves!$BA$47:$BV$47)+SUMPRODUCT(React!$C$37:$X$37,Curves!$BA$70:$BV$70)</f>
        <v/>
      </c>
      <c r="Y39" s="5">
        <f>SUMPRODUCT(React!$C$35:$Y$35,Curves!$AZ$24:$BV$24)+SUMPRODUCT(React!$C$36:$Y$36,Curves!$AZ$47:$BV$47)+SUMPRODUCT(React!$C$37:$Y$37,Curves!$AZ$70:$BV$70)</f>
        <v/>
      </c>
      <c r="Z39" s="5">
        <f>SUMPRODUCT(React!$C$35:$Z$35,Curves!$AY$24:$BV$24)+SUMPRODUCT(React!$C$36:$Z$36,Curves!$AY$47:$BV$47)+SUMPRODUCT(React!$C$37:$Z$37,Curves!$AY$70:$BV$70)</f>
        <v/>
      </c>
      <c r="AA39" s="5">
        <f>SUMPRODUCT(React!$C$35:$AA$35,Curves!$AX$24:$BV$24)+SUMPRODUCT(React!$C$36:$AA$36,Curves!$AX$47:$BV$47)+SUMPRODUCT(React!$C$37:$AA$37,Curves!$AX$70:$BV$70)</f>
        <v/>
      </c>
      <c r="AB39" s="5">
        <f>SUMPRODUCT(React!$C$35:$AB$35,Curves!$AW$24:$BV$24)+SUMPRODUCT(React!$C$36:$AB$36,Curves!$AW$47:$BV$47)+SUMPRODUCT(React!$C$37:$AB$37,Curves!$AW$70:$BV$70)</f>
        <v/>
      </c>
      <c r="AC39" s="5">
        <f>SUMPRODUCT(React!$C$35:$AC$35,Curves!$AV$24:$BV$24)+SUMPRODUCT(React!$C$36:$AC$36,Curves!$AV$47:$BV$47)+SUMPRODUCT(React!$C$37:$AC$37,Curves!$AV$70:$BV$70)</f>
        <v/>
      </c>
      <c r="AD39" s="5">
        <f>SUMPRODUCT(React!$C$35:$AD$35,Curves!$AU$24:$BV$24)+SUMPRODUCT(React!$C$36:$AD$36,Curves!$AU$47:$BV$47)+SUMPRODUCT(React!$C$37:$AD$37,Curves!$AU$70:$BV$70)</f>
        <v/>
      </c>
      <c r="AE39" s="5">
        <f>SUMPRODUCT(React!$C$35:$AE$35,Curves!$AT$24:$BV$24)+SUMPRODUCT(React!$C$36:$AE$36,Curves!$AT$47:$BV$47)+SUMPRODUCT(React!$C$37:$AE$37,Curves!$AT$70:$BV$70)</f>
        <v/>
      </c>
      <c r="AF39" s="5">
        <f>SUMPRODUCT(React!$C$35:$AF$35,Curves!$AS$24:$BV$24)+SUMPRODUCT(React!$C$36:$AF$36,Curves!$AS$47:$BV$47)+SUMPRODUCT(React!$C$37:$AF$37,Curves!$AS$70:$BV$70)</f>
        <v/>
      </c>
      <c r="AG39" s="5">
        <f>SUMPRODUCT(React!$C$35:$AG$35,Curves!$AR$24:$BV$24)+SUMPRODUCT(React!$C$36:$AG$36,Curves!$AR$47:$BV$47)+SUMPRODUCT(React!$C$37:$AG$37,Curves!$AR$70:$BV$70)</f>
        <v/>
      </c>
      <c r="AH39" s="5">
        <f>SUMPRODUCT(React!$C$35:$AH$35,Curves!$AQ$24:$BV$24)+SUMPRODUCT(React!$C$36:$AH$36,Curves!$AQ$47:$BV$47)+SUMPRODUCT(React!$C$37:$AH$37,Curves!$AQ$70:$BV$70)</f>
        <v/>
      </c>
      <c r="AI39" s="5">
        <f>SUMPRODUCT(React!$C$35:$AI$35,Curves!$AP$24:$BV$24)+SUMPRODUCT(React!$C$36:$AI$36,Curves!$AP$47:$BV$47)+SUMPRODUCT(React!$C$37:$AI$37,Curves!$AP$70:$BV$70)</f>
        <v/>
      </c>
      <c r="AJ39" s="5">
        <f>SUMPRODUCT(React!$C$35:$AJ$35,Curves!$AO$24:$BV$24)+SUMPRODUCT(React!$C$36:$AJ$36,Curves!$AO$47:$BV$47)+SUMPRODUCT(React!$C$37:$AJ$37,Curves!$AO$70:$BV$70)</f>
        <v/>
      </c>
      <c r="AK39" s="5">
        <f>SUMPRODUCT(React!$C$35:$AK$35,Curves!$AN$24:$BV$24)+SUMPRODUCT(React!$C$36:$AK$36,Curves!$AN$47:$BV$47)+SUMPRODUCT(React!$C$37:$AK$37,Curves!$AN$70:$BV$70)</f>
        <v/>
      </c>
      <c r="AL39" s="5">
        <f>SUMPRODUCT(React!$C$35:$AL$35,Curves!$AM$24:$BV$24)+SUMPRODUCT(React!$C$36:$AL$36,Curves!$AM$47:$BV$47)+SUMPRODUCT(React!$C$37:$AL$37,Curves!$AM$70:$BV$70)</f>
        <v/>
      </c>
      <c r="AM39" s="5">
        <f>SUMPRODUCT(React!$C$35:$AM$35,Curves!$AL$24:$BV$24)+SUMPRODUCT(React!$C$36:$AM$36,Curves!$AL$47:$BV$47)+SUMPRODUCT(React!$C$37:$AM$37,Curves!$AL$70:$BV$70)</f>
        <v/>
      </c>
      <c r="AN39" s="5">
        <f>SUMPRODUCT(React!$C$35:$AN$35,Curves!$AK$24:$BV$24)+SUMPRODUCT(React!$C$36:$AN$36,Curves!$AK$47:$BV$47)+SUMPRODUCT(React!$C$37:$AN$37,Curves!$AK$70:$BV$70)</f>
        <v/>
      </c>
      <c r="AO39" s="5">
        <f>SUMPRODUCT(React!$C$35:$AO$35,Curves!$AJ$24:$BV$24)+SUMPRODUCT(React!$C$36:$AO$36,Curves!$AJ$47:$BV$47)+SUMPRODUCT(React!$C$37:$AO$37,Curves!$AJ$70:$BV$70)</f>
        <v/>
      </c>
      <c r="AP39" s="5">
        <f>SUMPRODUCT(React!$C$35:$AP$35,Curves!$AI$24:$BV$24)+SUMPRODUCT(React!$C$36:$AP$36,Curves!$AI$47:$BV$47)+SUMPRODUCT(React!$C$37:$AP$37,Curves!$AI$70:$BV$70)</f>
        <v/>
      </c>
      <c r="AQ39" s="5">
        <f>SUMPRODUCT(React!$C$35:$AQ$35,Curves!$AH$24:$BV$24)+SUMPRODUCT(React!$C$36:$AQ$36,Curves!$AH$47:$BV$47)+SUMPRODUCT(React!$C$37:$AQ$37,Curves!$AH$70:$BV$70)</f>
        <v/>
      </c>
      <c r="AR39" s="5">
        <f>SUMPRODUCT(React!$C$35:$AR$35,Curves!$AG$24:$BV$24)+SUMPRODUCT(React!$C$36:$AR$36,Curves!$AG$47:$BV$47)+SUMPRODUCT(React!$C$37:$AR$37,Curves!$AG$70:$BV$70)</f>
        <v/>
      </c>
      <c r="AS39" s="5">
        <f>SUMPRODUCT(React!$C$35:$AS$35,Curves!$AF$24:$BV$24)+SUMPRODUCT(React!$C$36:$AS$36,Curves!$AF$47:$BV$47)+SUMPRODUCT(React!$C$37:$AS$37,Curves!$AF$70:$BV$70)</f>
        <v/>
      </c>
      <c r="AT39" s="5">
        <f>SUMPRODUCT(React!$C$35:$AT$35,Curves!$AE$24:$BV$24)+SUMPRODUCT(React!$C$36:$AT$36,Curves!$AE$47:$BV$47)+SUMPRODUCT(React!$C$37:$AT$37,Curves!$AE$70:$BV$70)</f>
        <v/>
      </c>
      <c r="AU39" s="5">
        <f>SUMPRODUCT(React!$C$35:$AU$35,Curves!$AD$24:$BV$24)+SUMPRODUCT(React!$C$36:$AU$36,Curves!$AD$47:$BV$47)+SUMPRODUCT(React!$C$37:$AU$37,Curves!$AD$70:$BV$70)</f>
        <v/>
      </c>
      <c r="AV39" s="5">
        <f>SUMPRODUCT(React!$C$35:$AV$35,Curves!$AC$24:$BV$24)+SUMPRODUCT(React!$C$36:$AV$36,Curves!$AC$47:$BV$47)+SUMPRODUCT(React!$C$37:$AV$37,Curves!$AC$70:$BV$70)</f>
        <v/>
      </c>
      <c r="AW39" s="5">
        <f>SUMPRODUCT(React!$C$35:$AW$35,Curves!$AB$24:$BV$24)+SUMPRODUCT(React!$C$36:$AW$36,Curves!$AB$47:$BV$47)+SUMPRODUCT(React!$C$37:$AW$37,Curves!$AB$70:$BV$70)</f>
        <v/>
      </c>
      <c r="AX39" s="5">
        <f>SUMPRODUCT(React!$C$35:$AX$35,Curves!$AA$24:$BV$24)+SUMPRODUCT(React!$C$36:$AX$36,Curves!$AA$47:$BV$47)+SUMPRODUCT(React!$C$37:$AX$37,Curves!$AA$70:$BV$70)</f>
        <v/>
      </c>
      <c r="AY39" s="5">
        <f>SUMPRODUCT(React!$C$35:$AY$35,Curves!$Z$24:$BV$24)+SUMPRODUCT(React!$C$36:$AY$36,Curves!$Z$47:$BV$47)+SUMPRODUCT(React!$C$37:$AY$37,Curves!$Z$70:$BV$70)</f>
        <v/>
      </c>
      <c r="AZ39" s="5">
        <f>SUMPRODUCT(React!$C$35:$AZ$35,Curves!$Y$24:$BV$24)+SUMPRODUCT(React!$C$36:$AZ$36,Curves!$Y$47:$BV$47)+SUMPRODUCT(React!$C$37:$AZ$37,Curves!$Y$70:$BV$70)</f>
        <v/>
      </c>
      <c r="BA39" s="5">
        <f>SUMPRODUCT(React!$C$35:$BA$35,Curves!$X$24:$BV$24)+SUMPRODUCT(React!$C$36:$BA$36,Curves!$X$47:$BV$47)+SUMPRODUCT(React!$C$37:$BA$37,Curves!$X$70:$BV$70)</f>
        <v/>
      </c>
      <c r="BB39" s="5">
        <f>SUMPRODUCT(React!$C$35:$BB$35,Curves!$W$24:$BV$24)+SUMPRODUCT(React!$C$36:$BB$36,Curves!$W$47:$BV$47)+SUMPRODUCT(React!$C$37:$BB$37,Curves!$W$70:$BV$70)</f>
        <v/>
      </c>
      <c r="BC39" s="5">
        <f>SUMPRODUCT(React!$C$35:$BC$35,Curves!$V$24:$BV$24)+SUMPRODUCT(React!$C$36:$BC$36,Curves!$V$47:$BV$47)+SUMPRODUCT(React!$C$37:$BC$37,Curves!$V$70:$BV$70)</f>
        <v/>
      </c>
      <c r="BD39" s="5">
        <f>SUMPRODUCT(React!$C$35:$BD$35,Curves!$U$24:$BV$24)+SUMPRODUCT(React!$C$36:$BD$36,Curves!$U$47:$BV$47)+SUMPRODUCT(React!$C$37:$BD$37,Curves!$U$70:$BV$70)</f>
        <v/>
      </c>
      <c r="BE39" s="5">
        <f>SUMPRODUCT(React!$C$35:$BE$35,Curves!$T$24:$BV$24)+SUMPRODUCT(React!$C$36:$BE$36,Curves!$T$47:$BV$47)+SUMPRODUCT(React!$C$37:$BE$37,Curves!$T$70:$BV$70)</f>
        <v/>
      </c>
      <c r="BF39" s="5">
        <f>SUMPRODUCT(React!$C$35:$BF$35,Curves!$S$24:$BV$24)+SUMPRODUCT(React!$C$36:$BF$36,Curves!$S$47:$BV$47)+SUMPRODUCT(React!$C$37:$BF$37,Curves!$S$70:$BV$70)</f>
        <v/>
      </c>
      <c r="BG39" s="5">
        <f>SUMPRODUCT(React!$C$35:$BG$35,Curves!$R$24:$BV$24)+SUMPRODUCT(React!$C$36:$BG$36,Curves!$R$47:$BV$47)+SUMPRODUCT(React!$C$37:$BG$37,Curves!$R$70:$BV$70)</f>
        <v/>
      </c>
      <c r="BH39" s="5">
        <f>SUMPRODUCT(React!$C$35:$BH$35,Curves!$Q$24:$BV$24)+SUMPRODUCT(React!$C$36:$BH$36,Curves!$Q$47:$BV$47)+SUMPRODUCT(React!$C$37:$BH$37,Curves!$Q$70:$BV$70)</f>
        <v/>
      </c>
      <c r="BI39" s="5">
        <f>SUMPRODUCT(React!$C$35:$BI$35,Curves!$P$24:$BV$24)+SUMPRODUCT(React!$C$36:$BI$36,Curves!$P$47:$BV$47)+SUMPRODUCT(React!$C$37:$BI$37,Curves!$P$70:$BV$70)</f>
        <v/>
      </c>
      <c r="BJ39" s="5">
        <f>SUMPRODUCT(React!$C$35:$BJ$35,Curves!$O$24:$BV$24)+SUMPRODUCT(React!$C$36:$BJ$36,Curves!$O$47:$BV$47)+SUMPRODUCT(React!$C$37:$BJ$37,Curves!$O$70:$BV$70)</f>
        <v/>
      </c>
      <c r="BK39" s="5">
        <f>SUMPRODUCT(React!$C$35:$BK$35,Curves!$N$24:$BV$24)+SUMPRODUCT(React!$C$36:$BK$36,Curves!$N$47:$BV$47)+SUMPRODUCT(React!$C$37:$BK$37,Curves!$N$70:$BV$70)</f>
        <v/>
      </c>
      <c r="BL39" s="5">
        <f>SUMPRODUCT(React!$C$35:$BL$35,Curves!$M$24:$BV$24)+SUMPRODUCT(React!$C$36:$BL$36,Curves!$M$47:$BV$47)+SUMPRODUCT(React!$C$37:$BL$37,Curves!$M$70:$BV$70)</f>
        <v/>
      </c>
      <c r="BM39" s="5">
        <f>SUMPRODUCT(React!$C$35:$BM$35,Curves!$L$24:$BV$24)+SUMPRODUCT(React!$C$36:$BM$36,Curves!$L$47:$BV$47)+SUMPRODUCT(React!$C$37:$BM$37,Curves!$L$70:$BV$70)</f>
        <v/>
      </c>
      <c r="BN39" s="5">
        <f>SUMPRODUCT(React!$C$35:$BN$35,Curves!$K$24:$BV$24)+SUMPRODUCT(React!$C$36:$BN$36,Curves!$K$47:$BV$47)+SUMPRODUCT(React!$C$37:$BN$37,Curves!$K$70:$BV$70)</f>
        <v/>
      </c>
      <c r="BO39" s="5">
        <f>SUMPRODUCT(React!$C$35:$BO$35,Curves!$J$24:$BV$24)+SUMPRODUCT(React!$C$36:$BO$36,Curves!$J$47:$BV$47)+SUMPRODUCT(React!$C$37:$BO$37,Curves!$J$70:$BV$70)</f>
        <v/>
      </c>
      <c r="BP39" s="5">
        <f>SUMPRODUCT(React!$C$35:$BP$35,Curves!$I$24:$BV$24)+SUMPRODUCT(React!$C$36:$BP$36,Curves!$I$47:$BV$47)+SUMPRODUCT(React!$C$37:$BP$37,Curves!$I$70:$BV$70)</f>
        <v/>
      </c>
      <c r="BQ39" s="5">
        <f>SUMPRODUCT(React!$C$35:$BQ$35,Curves!$H$24:$BV$24)+SUMPRODUCT(React!$C$36:$BQ$36,Curves!$H$47:$BV$47)+SUMPRODUCT(React!$C$37:$BQ$37,Curves!$H$70:$BV$70)</f>
        <v/>
      </c>
      <c r="BR39" s="5">
        <f>SUMPRODUCT(React!$C$35:$BR$35,Curves!$G$24:$BV$24)+SUMPRODUCT(React!$C$36:$BR$36,Curves!$G$47:$BV$47)+SUMPRODUCT(React!$C$37:$BR$37,Curves!$G$70:$BV$70)</f>
        <v/>
      </c>
      <c r="BS39" s="5">
        <f>SUMPRODUCT(React!$C$35:$BS$35,Curves!$F$24:$BV$24)+SUMPRODUCT(React!$C$36:$BS$36,Curves!$F$47:$BV$47)+SUMPRODUCT(React!$C$37:$BS$37,Curves!$F$70:$BV$70)</f>
        <v/>
      </c>
      <c r="BT39" s="5">
        <f>SUMPRODUCT(React!$C$35:$BT$35,Curves!$E$24:$BV$24)+SUMPRODUCT(React!$C$36:$BT$36,Curves!$E$47:$BV$47)+SUMPRODUCT(React!$C$37:$BT$37,Curves!$E$70:$BV$70)</f>
        <v/>
      </c>
      <c r="BU39" s="5">
        <f>SUMPRODUCT(React!$C$35:$BU$35,Curves!$D$24:$BV$24)+SUMPRODUCT(React!$C$36:$BU$36,Curves!$D$47:$BV$47)+SUMPRODUCT(React!$C$37:$BU$37,Curves!$D$70:$BV$70)</f>
        <v/>
      </c>
      <c r="BV39" s="5">
        <f>SUMPRODUCT(React!$C$35:$BV$35,Curves!$C$24:$BV$24)+SUMPRODUCT(React!$C$36:$BV$36,Curves!$C$47:$BV$47)+SUMPRODUCT(React!$C$37:$BV$37,Curves!$C$70:$BV$70)</f>
        <v/>
      </c>
    </row>
    <row r="40">
      <c r="A40" t="inlineStr">
        <is>
          <t>churned</t>
        </is>
      </c>
      <c r="B40" t="inlineStr">
        <is>
          <t>US_CA|BASIC_M</t>
        </is>
      </c>
      <c r="C40" s="5">
        <f>React!$C$35*Curves!$BV$20+React!$C$36*Curves!$BV$43+React!$C$37*Curves!$BV$66</f>
        <v/>
      </c>
      <c r="D40" s="5">
        <f>SUMPRODUCT(React!$C$35:$D$35,Curves!$BU$20:$BV$20)+SUMPRODUCT(React!$C$36:$D$36,Curves!$BU$43:$BV$43)+SUMPRODUCT(React!$C$37:$D$37,Curves!$BU$66:$BV$66)</f>
        <v/>
      </c>
      <c r="E40" s="5">
        <f>SUMPRODUCT(React!$C$35:$E$35,Curves!$BT$20:$BV$20)+SUMPRODUCT(React!$C$36:$E$36,Curves!$BT$43:$BV$43)+SUMPRODUCT(React!$C$37:$E$37,Curves!$BT$66:$BV$66)</f>
        <v/>
      </c>
      <c r="F40" s="5">
        <f>SUMPRODUCT(React!$C$35:$F$35,Curves!$BS$20:$BV$20)+SUMPRODUCT(React!$C$36:$F$36,Curves!$BS$43:$BV$43)+SUMPRODUCT(React!$C$37:$F$37,Curves!$BS$66:$BV$66)</f>
        <v/>
      </c>
      <c r="G40" s="5">
        <f>SUMPRODUCT(React!$C$35:$G$35,Curves!$BR$20:$BV$20)+SUMPRODUCT(React!$C$36:$G$36,Curves!$BR$43:$BV$43)+SUMPRODUCT(React!$C$37:$G$37,Curves!$BR$66:$BV$66)</f>
        <v/>
      </c>
      <c r="H40" s="5">
        <f>SUMPRODUCT(React!$C$35:$H$35,Curves!$BQ$20:$BV$20)+SUMPRODUCT(React!$C$36:$H$36,Curves!$BQ$43:$BV$43)+SUMPRODUCT(React!$C$37:$H$37,Curves!$BQ$66:$BV$66)</f>
        <v/>
      </c>
      <c r="I40" s="5">
        <f>SUMPRODUCT(React!$C$35:$I$35,Curves!$BP$20:$BV$20)+SUMPRODUCT(React!$C$36:$I$36,Curves!$BP$43:$BV$43)+SUMPRODUCT(React!$C$37:$I$37,Curves!$BP$66:$BV$66)</f>
        <v/>
      </c>
      <c r="J40" s="5">
        <f>SUMPRODUCT(React!$C$35:$J$35,Curves!$BO$20:$BV$20)+SUMPRODUCT(React!$C$36:$J$36,Curves!$BO$43:$BV$43)+SUMPRODUCT(React!$C$37:$J$37,Curves!$BO$66:$BV$66)</f>
        <v/>
      </c>
      <c r="K40" s="5">
        <f>SUMPRODUCT(React!$C$35:$K$35,Curves!$BN$20:$BV$20)+SUMPRODUCT(React!$C$36:$K$36,Curves!$BN$43:$BV$43)+SUMPRODUCT(React!$C$37:$K$37,Curves!$BN$66:$BV$66)</f>
        <v/>
      </c>
      <c r="L40" s="5">
        <f>SUMPRODUCT(React!$C$35:$L$35,Curves!$BM$20:$BV$20)+SUMPRODUCT(React!$C$36:$L$36,Curves!$BM$43:$BV$43)+SUMPRODUCT(React!$C$37:$L$37,Curves!$BM$66:$BV$66)</f>
        <v/>
      </c>
      <c r="M40" s="5">
        <f>SUMPRODUCT(React!$C$35:$M$35,Curves!$BL$20:$BV$20)+SUMPRODUCT(React!$C$36:$M$36,Curves!$BL$43:$BV$43)+SUMPRODUCT(React!$C$37:$M$37,Curves!$BL$66:$BV$66)</f>
        <v/>
      </c>
      <c r="N40" s="5">
        <f>SUMPRODUCT(React!$C$35:$N$35,Curves!$BK$20:$BV$20)+SUMPRODUCT(React!$C$36:$N$36,Curves!$BK$43:$BV$43)+SUMPRODUCT(React!$C$37:$N$37,Curves!$BK$66:$BV$66)</f>
        <v/>
      </c>
      <c r="O40" s="5">
        <f>SUMPRODUCT(React!$C$35:$O$35,Curves!$BJ$20:$BV$20)+SUMPRODUCT(React!$C$36:$O$36,Curves!$BJ$43:$BV$43)+SUMPRODUCT(React!$C$37:$O$37,Curves!$BJ$66:$BV$66)</f>
        <v/>
      </c>
      <c r="P40" s="5">
        <f>SUMPRODUCT(React!$C$35:$P$35,Curves!$BI$20:$BV$20)+SUMPRODUCT(React!$C$36:$P$36,Curves!$BI$43:$BV$43)+SUMPRODUCT(React!$C$37:$P$37,Curves!$BI$66:$BV$66)</f>
        <v/>
      </c>
      <c r="Q40" s="5">
        <f>SUMPRODUCT(React!$C$35:$Q$35,Curves!$BH$20:$BV$20)+SUMPRODUCT(React!$C$36:$Q$36,Curves!$BH$43:$BV$43)+SUMPRODUCT(React!$C$37:$Q$37,Curves!$BH$66:$BV$66)</f>
        <v/>
      </c>
      <c r="R40" s="5">
        <f>SUMPRODUCT(React!$C$35:$R$35,Curves!$BG$20:$BV$20)+SUMPRODUCT(React!$C$36:$R$36,Curves!$BG$43:$BV$43)+SUMPRODUCT(React!$C$37:$R$37,Curves!$BG$66:$BV$66)</f>
        <v/>
      </c>
      <c r="S40" s="5">
        <f>SUMPRODUCT(React!$C$35:$S$35,Curves!$BF$20:$BV$20)+SUMPRODUCT(React!$C$36:$S$36,Curves!$BF$43:$BV$43)+SUMPRODUCT(React!$C$37:$S$37,Curves!$BF$66:$BV$66)</f>
        <v/>
      </c>
      <c r="T40" s="5">
        <f>SUMPRODUCT(React!$C$35:$T$35,Curves!$BE$20:$BV$20)+SUMPRODUCT(React!$C$36:$T$36,Curves!$BE$43:$BV$43)+SUMPRODUCT(React!$C$37:$T$37,Curves!$BE$66:$BV$66)</f>
        <v/>
      </c>
      <c r="U40" s="5">
        <f>SUMPRODUCT(React!$C$35:$U$35,Curves!$BD$20:$BV$20)+SUMPRODUCT(React!$C$36:$U$36,Curves!$BD$43:$BV$43)+SUMPRODUCT(React!$C$37:$U$37,Curves!$BD$66:$BV$66)</f>
        <v/>
      </c>
      <c r="V40" s="5">
        <f>SUMPRODUCT(React!$C$35:$V$35,Curves!$BC$20:$BV$20)+SUMPRODUCT(React!$C$36:$V$36,Curves!$BC$43:$BV$43)+SUMPRODUCT(React!$C$37:$V$37,Curves!$BC$66:$BV$66)</f>
        <v/>
      </c>
      <c r="W40" s="5">
        <f>SUMPRODUCT(React!$C$35:$W$35,Curves!$BB$20:$BV$20)+SUMPRODUCT(React!$C$36:$W$36,Curves!$BB$43:$BV$43)+SUMPRODUCT(React!$C$37:$W$37,Curves!$BB$66:$BV$66)</f>
        <v/>
      </c>
      <c r="X40" s="5">
        <f>SUMPRODUCT(React!$C$35:$X$35,Curves!$BA$20:$BV$20)+SUMPRODUCT(React!$C$36:$X$36,Curves!$BA$43:$BV$43)+SUMPRODUCT(React!$C$37:$X$37,Curves!$BA$66:$BV$66)</f>
        <v/>
      </c>
      <c r="Y40" s="5">
        <f>SUMPRODUCT(React!$C$35:$Y$35,Curves!$AZ$20:$BV$20)+SUMPRODUCT(React!$C$36:$Y$36,Curves!$AZ$43:$BV$43)+SUMPRODUCT(React!$C$37:$Y$37,Curves!$AZ$66:$BV$66)</f>
        <v/>
      </c>
      <c r="Z40" s="5">
        <f>SUMPRODUCT(React!$C$35:$Z$35,Curves!$AY$20:$BV$20)+SUMPRODUCT(React!$C$36:$Z$36,Curves!$AY$43:$BV$43)+SUMPRODUCT(React!$C$37:$Z$37,Curves!$AY$66:$BV$66)</f>
        <v/>
      </c>
      <c r="AA40" s="5">
        <f>SUMPRODUCT(React!$C$35:$AA$35,Curves!$AX$20:$BV$20)+SUMPRODUCT(React!$C$36:$AA$36,Curves!$AX$43:$BV$43)+SUMPRODUCT(React!$C$37:$AA$37,Curves!$AX$66:$BV$66)</f>
        <v/>
      </c>
      <c r="AB40" s="5">
        <f>SUMPRODUCT(React!$C$35:$AB$35,Curves!$AW$20:$BV$20)+SUMPRODUCT(React!$C$36:$AB$36,Curves!$AW$43:$BV$43)+SUMPRODUCT(React!$C$37:$AB$37,Curves!$AW$66:$BV$66)</f>
        <v/>
      </c>
      <c r="AC40" s="5">
        <f>SUMPRODUCT(React!$C$35:$AC$35,Curves!$AV$20:$BV$20)+SUMPRODUCT(React!$C$36:$AC$36,Curves!$AV$43:$BV$43)+SUMPRODUCT(React!$C$37:$AC$37,Curves!$AV$66:$BV$66)</f>
        <v/>
      </c>
      <c r="AD40" s="5">
        <f>SUMPRODUCT(React!$C$35:$AD$35,Curves!$AU$20:$BV$20)+SUMPRODUCT(React!$C$36:$AD$36,Curves!$AU$43:$BV$43)+SUMPRODUCT(React!$C$37:$AD$37,Curves!$AU$66:$BV$66)</f>
        <v/>
      </c>
      <c r="AE40" s="5">
        <f>SUMPRODUCT(React!$C$35:$AE$35,Curves!$AT$20:$BV$20)+SUMPRODUCT(React!$C$36:$AE$36,Curves!$AT$43:$BV$43)+SUMPRODUCT(React!$C$37:$AE$37,Curves!$AT$66:$BV$66)</f>
        <v/>
      </c>
      <c r="AF40" s="5">
        <f>SUMPRODUCT(React!$C$35:$AF$35,Curves!$AS$20:$BV$20)+SUMPRODUCT(React!$C$36:$AF$36,Curves!$AS$43:$BV$43)+SUMPRODUCT(React!$C$37:$AF$37,Curves!$AS$66:$BV$66)</f>
        <v/>
      </c>
      <c r="AG40" s="5">
        <f>SUMPRODUCT(React!$C$35:$AG$35,Curves!$AR$20:$BV$20)+SUMPRODUCT(React!$C$36:$AG$36,Curves!$AR$43:$BV$43)+SUMPRODUCT(React!$C$37:$AG$37,Curves!$AR$66:$BV$66)</f>
        <v/>
      </c>
      <c r="AH40" s="5">
        <f>SUMPRODUCT(React!$C$35:$AH$35,Curves!$AQ$20:$BV$20)+SUMPRODUCT(React!$C$36:$AH$36,Curves!$AQ$43:$BV$43)+SUMPRODUCT(React!$C$37:$AH$37,Curves!$AQ$66:$BV$66)</f>
        <v/>
      </c>
      <c r="AI40" s="5">
        <f>SUMPRODUCT(React!$C$35:$AI$35,Curves!$AP$20:$BV$20)+SUMPRODUCT(React!$C$36:$AI$36,Curves!$AP$43:$BV$43)+SUMPRODUCT(React!$C$37:$AI$37,Curves!$AP$66:$BV$66)</f>
        <v/>
      </c>
      <c r="AJ40" s="5">
        <f>SUMPRODUCT(React!$C$35:$AJ$35,Curves!$AO$20:$BV$20)+SUMPRODUCT(React!$C$36:$AJ$36,Curves!$AO$43:$BV$43)+SUMPRODUCT(React!$C$37:$AJ$37,Curves!$AO$66:$BV$66)</f>
        <v/>
      </c>
      <c r="AK40" s="5">
        <f>SUMPRODUCT(React!$C$35:$AK$35,Curves!$AN$20:$BV$20)+SUMPRODUCT(React!$C$36:$AK$36,Curves!$AN$43:$BV$43)+SUMPRODUCT(React!$C$37:$AK$37,Curves!$AN$66:$BV$66)</f>
        <v/>
      </c>
      <c r="AL40" s="5">
        <f>SUMPRODUCT(React!$C$35:$AL$35,Curves!$AM$20:$BV$20)+SUMPRODUCT(React!$C$36:$AL$36,Curves!$AM$43:$BV$43)+SUMPRODUCT(React!$C$37:$AL$37,Curves!$AM$66:$BV$66)</f>
        <v/>
      </c>
      <c r="AM40" s="5">
        <f>SUMPRODUCT(React!$C$35:$AM$35,Curves!$AL$20:$BV$20)+SUMPRODUCT(React!$C$36:$AM$36,Curves!$AL$43:$BV$43)+SUMPRODUCT(React!$C$37:$AM$37,Curves!$AL$66:$BV$66)</f>
        <v/>
      </c>
      <c r="AN40" s="5">
        <f>SUMPRODUCT(React!$C$35:$AN$35,Curves!$AK$20:$BV$20)+SUMPRODUCT(React!$C$36:$AN$36,Curves!$AK$43:$BV$43)+SUMPRODUCT(React!$C$37:$AN$37,Curves!$AK$66:$BV$66)</f>
        <v/>
      </c>
      <c r="AO40" s="5">
        <f>SUMPRODUCT(React!$C$35:$AO$35,Curves!$AJ$20:$BV$20)+SUMPRODUCT(React!$C$36:$AO$36,Curves!$AJ$43:$BV$43)+SUMPRODUCT(React!$C$37:$AO$37,Curves!$AJ$66:$BV$66)</f>
        <v/>
      </c>
      <c r="AP40" s="5">
        <f>SUMPRODUCT(React!$C$35:$AP$35,Curves!$AI$20:$BV$20)+SUMPRODUCT(React!$C$36:$AP$36,Curves!$AI$43:$BV$43)+SUMPRODUCT(React!$C$37:$AP$37,Curves!$AI$66:$BV$66)</f>
        <v/>
      </c>
      <c r="AQ40" s="5">
        <f>SUMPRODUCT(React!$C$35:$AQ$35,Curves!$AH$20:$BV$20)+SUMPRODUCT(React!$C$36:$AQ$36,Curves!$AH$43:$BV$43)+SUMPRODUCT(React!$C$37:$AQ$37,Curves!$AH$66:$BV$66)</f>
        <v/>
      </c>
      <c r="AR40" s="5">
        <f>SUMPRODUCT(React!$C$35:$AR$35,Curves!$AG$20:$BV$20)+SUMPRODUCT(React!$C$36:$AR$36,Curves!$AG$43:$BV$43)+SUMPRODUCT(React!$C$37:$AR$37,Curves!$AG$66:$BV$66)</f>
        <v/>
      </c>
      <c r="AS40" s="5">
        <f>SUMPRODUCT(React!$C$35:$AS$35,Curves!$AF$20:$BV$20)+SUMPRODUCT(React!$C$36:$AS$36,Curves!$AF$43:$BV$43)+SUMPRODUCT(React!$C$37:$AS$37,Curves!$AF$66:$BV$66)</f>
        <v/>
      </c>
      <c r="AT40" s="5">
        <f>SUMPRODUCT(React!$C$35:$AT$35,Curves!$AE$20:$BV$20)+SUMPRODUCT(React!$C$36:$AT$36,Curves!$AE$43:$BV$43)+SUMPRODUCT(React!$C$37:$AT$37,Curves!$AE$66:$BV$66)</f>
        <v/>
      </c>
      <c r="AU40" s="5">
        <f>SUMPRODUCT(React!$C$35:$AU$35,Curves!$AD$20:$BV$20)+SUMPRODUCT(React!$C$36:$AU$36,Curves!$AD$43:$BV$43)+SUMPRODUCT(React!$C$37:$AU$37,Curves!$AD$66:$BV$66)</f>
        <v/>
      </c>
      <c r="AV40" s="5">
        <f>SUMPRODUCT(React!$C$35:$AV$35,Curves!$AC$20:$BV$20)+SUMPRODUCT(React!$C$36:$AV$36,Curves!$AC$43:$BV$43)+SUMPRODUCT(React!$C$37:$AV$37,Curves!$AC$66:$BV$66)</f>
        <v/>
      </c>
      <c r="AW40" s="5">
        <f>SUMPRODUCT(React!$C$35:$AW$35,Curves!$AB$20:$BV$20)+SUMPRODUCT(React!$C$36:$AW$36,Curves!$AB$43:$BV$43)+SUMPRODUCT(React!$C$37:$AW$37,Curves!$AB$66:$BV$66)</f>
        <v/>
      </c>
      <c r="AX40" s="5">
        <f>SUMPRODUCT(React!$C$35:$AX$35,Curves!$AA$20:$BV$20)+SUMPRODUCT(React!$C$36:$AX$36,Curves!$AA$43:$BV$43)+SUMPRODUCT(React!$C$37:$AX$37,Curves!$AA$66:$BV$66)</f>
        <v/>
      </c>
      <c r="AY40" s="5">
        <f>SUMPRODUCT(React!$C$35:$AY$35,Curves!$Z$20:$BV$20)+SUMPRODUCT(React!$C$36:$AY$36,Curves!$Z$43:$BV$43)+SUMPRODUCT(React!$C$37:$AY$37,Curves!$Z$66:$BV$66)</f>
        <v/>
      </c>
      <c r="AZ40" s="5">
        <f>SUMPRODUCT(React!$C$35:$AZ$35,Curves!$Y$20:$BV$20)+SUMPRODUCT(React!$C$36:$AZ$36,Curves!$Y$43:$BV$43)+SUMPRODUCT(React!$C$37:$AZ$37,Curves!$Y$66:$BV$66)</f>
        <v/>
      </c>
      <c r="BA40" s="5">
        <f>SUMPRODUCT(React!$C$35:$BA$35,Curves!$X$20:$BV$20)+SUMPRODUCT(React!$C$36:$BA$36,Curves!$X$43:$BV$43)+SUMPRODUCT(React!$C$37:$BA$37,Curves!$X$66:$BV$66)</f>
        <v/>
      </c>
      <c r="BB40" s="5">
        <f>SUMPRODUCT(React!$C$35:$BB$35,Curves!$W$20:$BV$20)+SUMPRODUCT(React!$C$36:$BB$36,Curves!$W$43:$BV$43)+SUMPRODUCT(React!$C$37:$BB$37,Curves!$W$66:$BV$66)</f>
        <v/>
      </c>
      <c r="BC40" s="5">
        <f>SUMPRODUCT(React!$C$35:$BC$35,Curves!$V$20:$BV$20)+SUMPRODUCT(React!$C$36:$BC$36,Curves!$V$43:$BV$43)+SUMPRODUCT(React!$C$37:$BC$37,Curves!$V$66:$BV$66)</f>
        <v/>
      </c>
      <c r="BD40" s="5">
        <f>SUMPRODUCT(React!$C$35:$BD$35,Curves!$U$20:$BV$20)+SUMPRODUCT(React!$C$36:$BD$36,Curves!$U$43:$BV$43)+SUMPRODUCT(React!$C$37:$BD$37,Curves!$U$66:$BV$66)</f>
        <v/>
      </c>
      <c r="BE40" s="5">
        <f>SUMPRODUCT(React!$C$35:$BE$35,Curves!$T$20:$BV$20)+SUMPRODUCT(React!$C$36:$BE$36,Curves!$T$43:$BV$43)+SUMPRODUCT(React!$C$37:$BE$37,Curves!$T$66:$BV$66)</f>
        <v/>
      </c>
      <c r="BF40" s="5">
        <f>SUMPRODUCT(React!$C$35:$BF$35,Curves!$S$20:$BV$20)+SUMPRODUCT(React!$C$36:$BF$36,Curves!$S$43:$BV$43)+SUMPRODUCT(React!$C$37:$BF$37,Curves!$S$66:$BV$66)</f>
        <v/>
      </c>
      <c r="BG40" s="5">
        <f>SUMPRODUCT(React!$C$35:$BG$35,Curves!$R$20:$BV$20)+SUMPRODUCT(React!$C$36:$BG$36,Curves!$R$43:$BV$43)+SUMPRODUCT(React!$C$37:$BG$37,Curves!$R$66:$BV$66)</f>
        <v/>
      </c>
      <c r="BH40" s="5">
        <f>SUMPRODUCT(React!$C$35:$BH$35,Curves!$Q$20:$BV$20)+SUMPRODUCT(React!$C$36:$BH$36,Curves!$Q$43:$BV$43)+SUMPRODUCT(React!$C$37:$BH$37,Curves!$Q$66:$BV$66)</f>
        <v/>
      </c>
      <c r="BI40" s="5">
        <f>SUMPRODUCT(React!$C$35:$BI$35,Curves!$P$20:$BV$20)+SUMPRODUCT(React!$C$36:$BI$36,Curves!$P$43:$BV$43)+SUMPRODUCT(React!$C$37:$BI$37,Curves!$P$66:$BV$66)</f>
        <v/>
      </c>
      <c r="BJ40" s="5">
        <f>SUMPRODUCT(React!$C$35:$BJ$35,Curves!$O$20:$BV$20)+SUMPRODUCT(React!$C$36:$BJ$36,Curves!$O$43:$BV$43)+SUMPRODUCT(React!$C$37:$BJ$37,Curves!$O$66:$BV$66)</f>
        <v/>
      </c>
      <c r="BK40" s="5">
        <f>SUMPRODUCT(React!$C$35:$BK$35,Curves!$N$20:$BV$20)+SUMPRODUCT(React!$C$36:$BK$36,Curves!$N$43:$BV$43)+SUMPRODUCT(React!$C$37:$BK$37,Curves!$N$66:$BV$66)</f>
        <v/>
      </c>
      <c r="BL40" s="5">
        <f>SUMPRODUCT(React!$C$35:$BL$35,Curves!$M$20:$BV$20)+SUMPRODUCT(React!$C$36:$BL$36,Curves!$M$43:$BV$43)+SUMPRODUCT(React!$C$37:$BL$37,Curves!$M$66:$BV$66)</f>
        <v/>
      </c>
      <c r="BM40" s="5">
        <f>SUMPRODUCT(React!$C$35:$BM$35,Curves!$L$20:$BV$20)+SUMPRODUCT(React!$C$36:$BM$36,Curves!$L$43:$BV$43)+SUMPRODUCT(React!$C$37:$BM$37,Curves!$L$66:$BV$66)</f>
        <v/>
      </c>
      <c r="BN40" s="5">
        <f>SUMPRODUCT(React!$C$35:$BN$35,Curves!$K$20:$BV$20)+SUMPRODUCT(React!$C$36:$BN$36,Curves!$K$43:$BV$43)+SUMPRODUCT(React!$C$37:$BN$37,Curves!$K$66:$BV$66)</f>
        <v/>
      </c>
      <c r="BO40" s="5">
        <f>SUMPRODUCT(React!$C$35:$BO$35,Curves!$J$20:$BV$20)+SUMPRODUCT(React!$C$36:$BO$36,Curves!$J$43:$BV$43)+SUMPRODUCT(React!$C$37:$BO$37,Curves!$J$66:$BV$66)</f>
        <v/>
      </c>
      <c r="BP40" s="5">
        <f>SUMPRODUCT(React!$C$35:$BP$35,Curves!$I$20:$BV$20)+SUMPRODUCT(React!$C$36:$BP$36,Curves!$I$43:$BV$43)+SUMPRODUCT(React!$C$37:$BP$37,Curves!$I$66:$BV$66)</f>
        <v/>
      </c>
      <c r="BQ40" s="5">
        <f>SUMPRODUCT(React!$C$35:$BQ$35,Curves!$H$20:$BV$20)+SUMPRODUCT(React!$C$36:$BQ$36,Curves!$H$43:$BV$43)+SUMPRODUCT(React!$C$37:$BQ$37,Curves!$H$66:$BV$66)</f>
        <v/>
      </c>
      <c r="BR40" s="5">
        <f>SUMPRODUCT(React!$C$35:$BR$35,Curves!$G$20:$BV$20)+SUMPRODUCT(React!$C$36:$BR$36,Curves!$G$43:$BV$43)+SUMPRODUCT(React!$C$37:$BR$37,Curves!$G$66:$BV$66)</f>
        <v/>
      </c>
      <c r="BS40" s="5">
        <f>SUMPRODUCT(React!$C$35:$BS$35,Curves!$F$20:$BV$20)+SUMPRODUCT(React!$C$36:$BS$36,Curves!$F$43:$BV$43)+SUMPRODUCT(React!$C$37:$BS$37,Curves!$F$66:$BV$66)</f>
        <v/>
      </c>
      <c r="BT40" s="5">
        <f>SUMPRODUCT(React!$C$35:$BT$35,Curves!$E$20:$BV$20)+SUMPRODUCT(React!$C$36:$BT$36,Curves!$E$43:$BV$43)+SUMPRODUCT(React!$C$37:$BT$37,Curves!$E$66:$BV$66)</f>
        <v/>
      </c>
      <c r="BU40" s="5">
        <f>SUMPRODUCT(React!$C$35:$BU$35,Curves!$D$20:$BV$20)+SUMPRODUCT(React!$C$36:$BU$36,Curves!$D$43:$BV$43)+SUMPRODUCT(React!$C$37:$BU$37,Curves!$D$66:$BV$66)</f>
        <v/>
      </c>
      <c r="BV40" s="5">
        <f>SUMPRODUCT(React!$C$35:$BV$35,Curves!$C$20:$BV$20)+SUMPRODUCT(React!$C$36:$BV$36,Curves!$C$43:$BV$43)+SUMPRODUCT(React!$C$37:$BV$37,Curves!$C$66:$BV$66)</f>
        <v/>
      </c>
    </row>
    <row r="42">
      <c r="A42" t="inlineStr">
        <is>
          <t>churn pool inflow</t>
        </is>
      </c>
      <c r="B42" t="inlineStr">
        <is>
          <t>US_CA|BASIC_A</t>
        </is>
      </c>
      <c r="C42" s="5">
        <f>Paid!C17+Legacy!C19</f>
        <v/>
      </c>
      <c r="D42" s="5">
        <f>Paid!D17+Legacy!D19</f>
        <v/>
      </c>
      <c r="E42" s="5">
        <f>Paid!E17+Legacy!E19</f>
        <v/>
      </c>
      <c r="F42" s="5">
        <f>Paid!F17+Legacy!F19</f>
        <v/>
      </c>
      <c r="G42" s="5">
        <f>Paid!G17+Legacy!G19</f>
        <v/>
      </c>
      <c r="H42" s="5">
        <f>Paid!H17+Legacy!H19</f>
        <v/>
      </c>
      <c r="I42" s="5">
        <f>Paid!I17+Legacy!I19</f>
        <v/>
      </c>
      <c r="J42" s="5">
        <f>Paid!J17+Legacy!J19</f>
        <v/>
      </c>
      <c r="K42" s="5">
        <f>Paid!K17+Legacy!K19</f>
        <v/>
      </c>
      <c r="L42" s="5">
        <f>Paid!L17+Legacy!L19</f>
        <v/>
      </c>
      <c r="M42" s="5">
        <f>Paid!M17+Legacy!M19</f>
        <v/>
      </c>
      <c r="N42" s="5">
        <f>Paid!N17+Legacy!N19</f>
        <v/>
      </c>
      <c r="O42" s="5">
        <f>Paid!O17+Legacy!O19</f>
        <v/>
      </c>
      <c r="P42" s="5">
        <f>Paid!P17+Legacy!P19</f>
        <v/>
      </c>
      <c r="Q42" s="5">
        <f>Paid!Q17+Legacy!Q19</f>
        <v/>
      </c>
      <c r="R42" s="5">
        <f>Paid!R17+Legacy!R19</f>
        <v/>
      </c>
      <c r="S42" s="5">
        <f>Paid!S17+Legacy!S19</f>
        <v/>
      </c>
      <c r="T42" s="5">
        <f>Paid!T17+Legacy!T19</f>
        <v/>
      </c>
      <c r="U42" s="5">
        <f>Paid!U17+Legacy!U19</f>
        <v/>
      </c>
      <c r="V42" s="5">
        <f>Paid!V17+Legacy!V19</f>
        <v/>
      </c>
      <c r="W42" s="5">
        <f>Paid!W17+Legacy!W19</f>
        <v/>
      </c>
      <c r="X42" s="5">
        <f>Paid!X17+Legacy!X19</f>
        <v/>
      </c>
      <c r="Y42" s="5">
        <f>Paid!Y17+Legacy!Y19</f>
        <v/>
      </c>
      <c r="Z42" s="5">
        <f>Paid!Z17+Legacy!Z19</f>
        <v/>
      </c>
      <c r="AA42" s="5">
        <f>Paid!AA17+Legacy!AA19</f>
        <v/>
      </c>
      <c r="AB42" s="5">
        <f>Paid!AB17+Legacy!AB19</f>
        <v/>
      </c>
      <c r="AC42" s="5">
        <f>Paid!AC17+Legacy!AC19</f>
        <v/>
      </c>
      <c r="AD42" s="5">
        <f>Paid!AD17+Legacy!AD19</f>
        <v/>
      </c>
      <c r="AE42" s="5">
        <f>Paid!AE17+Legacy!AE19</f>
        <v/>
      </c>
      <c r="AF42" s="5">
        <f>Paid!AF17+Legacy!AF19</f>
        <v/>
      </c>
      <c r="AG42" s="5">
        <f>Paid!AG17+Legacy!AG19</f>
        <v/>
      </c>
      <c r="AH42" s="5">
        <f>Paid!AH17+Legacy!AH19</f>
        <v/>
      </c>
      <c r="AI42" s="5">
        <f>Paid!AI17+Legacy!AI19</f>
        <v/>
      </c>
      <c r="AJ42" s="5">
        <f>Paid!AJ17+Legacy!AJ19</f>
        <v/>
      </c>
      <c r="AK42" s="5">
        <f>Paid!AK17+Legacy!AK19</f>
        <v/>
      </c>
      <c r="AL42" s="5">
        <f>Paid!AL17+Legacy!AL19</f>
        <v/>
      </c>
      <c r="AM42" s="5">
        <f>Paid!AM17+Legacy!AM19</f>
        <v/>
      </c>
      <c r="AN42" s="5">
        <f>Paid!AN17+Legacy!AN19</f>
        <v/>
      </c>
      <c r="AO42" s="5">
        <f>Paid!AO17+Legacy!AO19</f>
        <v/>
      </c>
      <c r="AP42" s="5">
        <f>Paid!AP17+Legacy!AP19</f>
        <v/>
      </c>
      <c r="AQ42" s="5">
        <f>Paid!AQ17+Legacy!AQ19</f>
        <v/>
      </c>
      <c r="AR42" s="5">
        <f>Paid!AR17+Legacy!AR19</f>
        <v/>
      </c>
      <c r="AS42" s="5">
        <f>Paid!AS17+Legacy!AS19</f>
        <v/>
      </c>
      <c r="AT42" s="5">
        <f>Paid!AT17+Legacy!AT19</f>
        <v/>
      </c>
      <c r="AU42" s="5">
        <f>Paid!AU17+Legacy!AU19</f>
        <v/>
      </c>
      <c r="AV42" s="5">
        <f>Paid!AV17+Legacy!AV19</f>
        <v/>
      </c>
      <c r="AW42" s="5">
        <f>Paid!AW17+Legacy!AW19</f>
        <v/>
      </c>
      <c r="AX42" s="5">
        <f>Paid!AX17+Legacy!AX19</f>
        <v/>
      </c>
      <c r="AY42" s="5">
        <f>Paid!AY17+Legacy!AY19</f>
        <v/>
      </c>
      <c r="AZ42" s="5">
        <f>Paid!AZ17+Legacy!AZ19</f>
        <v/>
      </c>
      <c r="BA42" s="5">
        <f>Paid!BA17+Legacy!BA19</f>
        <v/>
      </c>
      <c r="BB42" s="5">
        <f>Paid!BB17+Legacy!BB19</f>
        <v/>
      </c>
      <c r="BC42" s="5">
        <f>Paid!BC17+Legacy!BC19</f>
        <v/>
      </c>
      <c r="BD42" s="5">
        <f>Paid!BD17+Legacy!BD19</f>
        <v/>
      </c>
      <c r="BE42" s="5">
        <f>Paid!BE17+Legacy!BE19</f>
        <v/>
      </c>
      <c r="BF42" s="5">
        <f>Paid!BF17+Legacy!BF19</f>
        <v/>
      </c>
      <c r="BG42" s="5">
        <f>Paid!BG17+Legacy!BG19</f>
        <v/>
      </c>
      <c r="BH42" s="5">
        <f>Paid!BH17+Legacy!BH19</f>
        <v/>
      </c>
      <c r="BI42" s="5">
        <f>Paid!BI17+Legacy!BI19</f>
        <v/>
      </c>
      <c r="BJ42" s="5">
        <f>Paid!BJ17+Legacy!BJ19</f>
        <v/>
      </c>
      <c r="BK42" s="5">
        <f>Paid!BK17+Legacy!BK19</f>
        <v/>
      </c>
      <c r="BL42" s="5">
        <f>Paid!BL17+Legacy!BL19</f>
        <v/>
      </c>
      <c r="BM42" s="5">
        <f>Paid!BM17+Legacy!BM19</f>
        <v/>
      </c>
      <c r="BN42" s="5">
        <f>Paid!BN17+Legacy!BN19</f>
        <v/>
      </c>
      <c r="BO42" s="5">
        <f>Paid!BO17+Legacy!BO19</f>
        <v/>
      </c>
      <c r="BP42" s="5">
        <f>Paid!BP17+Legacy!BP19</f>
        <v/>
      </c>
      <c r="BQ42" s="5">
        <f>Paid!BQ17+Legacy!BQ19</f>
        <v/>
      </c>
      <c r="BR42" s="5">
        <f>Paid!BR17+Legacy!BR19</f>
        <v/>
      </c>
      <c r="BS42" s="5">
        <f>Paid!BS17+Legacy!BS19</f>
        <v/>
      </c>
      <c r="BT42" s="5">
        <f>Paid!BT17+Legacy!BT19</f>
        <v/>
      </c>
      <c r="BU42" s="5">
        <f>Paid!BU17+Legacy!BU19</f>
        <v/>
      </c>
      <c r="BV42" s="5">
        <f>Paid!BV17+Legacy!BV19</f>
        <v/>
      </c>
    </row>
    <row r="43">
      <c r="A43" t="inlineStr">
        <is>
          <t>inflow @0</t>
        </is>
      </c>
      <c r="B43" t="inlineStr">
        <is>
          <t>US_CA|BASIC_A</t>
        </is>
      </c>
      <c r="C43" s="5">
        <f>C42*Eras!C$3</f>
        <v/>
      </c>
      <c r="D43" s="5">
        <f>D42*Eras!D$3</f>
        <v/>
      </c>
      <c r="E43" s="5">
        <f>E42*Eras!E$3</f>
        <v/>
      </c>
      <c r="F43" s="5">
        <f>F42*Eras!F$3</f>
        <v/>
      </c>
      <c r="G43" s="5">
        <f>G42*Eras!G$3</f>
        <v/>
      </c>
      <c r="H43" s="5">
        <f>H42*Eras!H$3</f>
        <v/>
      </c>
      <c r="I43" s="5">
        <f>I42*Eras!I$3</f>
        <v/>
      </c>
      <c r="J43" s="5">
        <f>J42*Eras!J$3</f>
        <v/>
      </c>
      <c r="K43" s="5">
        <f>K42*Eras!K$3</f>
        <v/>
      </c>
      <c r="L43" s="5">
        <f>L42*Eras!L$3</f>
        <v/>
      </c>
      <c r="M43" s="5">
        <f>M42*Eras!M$3</f>
        <v/>
      </c>
      <c r="N43" s="5">
        <f>N42*Eras!N$3</f>
        <v/>
      </c>
      <c r="O43" s="5">
        <f>O42*Eras!O$3</f>
        <v/>
      </c>
      <c r="P43" s="5">
        <f>P42*Eras!P$3</f>
        <v/>
      </c>
      <c r="Q43" s="5">
        <f>Q42*Eras!Q$3</f>
        <v/>
      </c>
      <c r="R43" s="5">
        <f>R42*Eras!R$3</f>
        <v/>
      </c>
      <c r="S43" s="5">
        <f>S42*Eras!S$3</f>
        <v/>
      </c>
      <c r="T43" s="5">
        <f>T42*Eras!T$3</f>
        <v/>
      </c>
      <c r="U43" s="5">
        <f>U42*Eras!U$3</f>
        <v/>
      </c>
      <c r="V43" s="5">
        <f>V42*Eras!V$3</f>
        <v/>
      </c>
      <c r="W43" s="5">
        <f>W42*Eras!W$3</f>
        <v/>
      </c>
      <c r="X43" s="5">
        <f>X42*Eras!X$3</f>
        <v/>
      </c>
      <c r="Y43" s="5">
        <f>Y42*Eras!Y$3</f>
        <v/>
      </c>
      <c r="Z43" s="5">
        <f>Z42*Eras!Z$3</f>
        <v/>
      </c>
      <c r="AA43" s="5">
        <f>AA42*Eras!AA$3</f>
        <v/>
      </c>
      <c r="AB43" s="5">
        <f>AB42*Eras!AB$3</f>
        <v/>
      </c>
      <c r="AC43" s="5">
        <f>AC42*Eras!AC$3</f>
        <v/>
      </c>
      <c r="AD43" s="5">
        <f>AD42*Eras!AD$3</f>
        <v/>
      </c>
      <c r="AE43" s="5">
        <f>AE42*Eras!AE$3</f>
        <v/>
      </c>
      <c r="AF43" s="5">
        <f>AF42*Eras!AF$3</f>
        <v/>
      </c>
      <c r="AG43" s="5">
        <f>AG42*Eras!AG$3</f>
        <v/>
      </c>
      <c r="AH43" s="5">
        <f>AH42*Eras!AH$3</f>
        <v/>
      </c>
      <c r="AI43" s="5">
        <f>AI42*Eras!AI$3</f>
        <v/>
      </c>
      <c r="AJ43" s="5">
        <f>AJ42*Eras!AJ$3</f>
        <v/>
      </c>
      <c r="AK43" s="5">
        <f>AK42*Eras!AK$3</f>
        <v/>
      </c>
      <c r="AL43" s="5">
        <f>AL42*Eras!AL$3</f>
        <v/>
      </c>
      <c r="AM43" s="5">
        <f>AM42*Eras!AM$3</f>
        <v/>
      </c>
      <c r="AN43" s="5">
        <f>AN42*Eras!AN$3</f>
        <v/>
      </c>
      <c r="AO43" s="5">
        <f>AO42*Eras!AO$3</f>
        <v/>
      </c>
      <c r="AP43" s="5">
        <f>AP42*Eras!AP$3</f>
        <v/>
      </c>
      <c r="AQ43" s="5">
        <f>AQ42*Eras!AQ$3</f>
        <v/>
      </c>
      <c r="AR43" s="5">
        <f>AR42*Eras!AR$3</f>
        <v/>
      </c>
      <c r="AS43" s="5">
        <f>AS42*Eras!AS$3</f>
        <v/>
      </c>
      <c r="AT43" s="5">
        <f>AT42*Eras!AT$3</f>
        <v/>
      </c>
      <c r="AU43" s="5">
        <f>AU42*Eras!AU$3</f>
        <v/>
      </c>
      <c r="AV43" s="5">
        <f>AV42*Eras!AV$3</f>
        <v/>
      </c>
      <c r="AW43" s="5">
        <f>AW42*Eras!AW$3</f>
        <v/>
      </c>
      <c r="AX43" s="5">
        <f>AX42*Eras!AX$3</f>
        <v/>
      </c>
      <c r="AY43" s="5">
        <f>AY42*Eras!AY$3</f>
        <v/>
      </c>
      <c r="AZ43" s="5">
        <f>AZ42*Eras!AZ$3</f>
        <v/>
      </c>
      <c r="BA43" s="5">
        <f>BA42*Eras!BA$3</f>
        <v/>
      </c>
      <c r="BB43" s="5">
        <f>BB42*Eras!BB$3</f>
        <v/>
      </c>
      <c r="BC43" s="5">
        <f>BC42*Eras!BC$3</f>
        <v/>
      </c>
      <c r="BD43" s="5">
        <f>BD42*Eras!BD$3</f>
        <v/>
      </c>
      <c r="BE43" s="5">
        <f>BE42*Eras!BE$3</f>
        <v/>
      </c>
      <c r="BF43" s="5">
        <f>BF42*Eras!BF$3</f>
        <v/>
      </c>
      <c r="BG43" s="5">
        <f>BG42*Eras!BG$3</f>
        <v/>
      </c>
      <c r="BH43" s="5">
        <f>BH42*Eras!BH$3</f>
        <v/>
      </c>
      <c r="BI43" s="5">
        <f>BI42*Eras!BI$3</f>
        <v/>
      </c>
      <c r="BJ43" s="5">
        <f>BJ42*Eras!BJ$3</f>
        <v/>
      </c>
      <c r="BK43" s="5">
        <f>BK42*Eras!BK$3</f>
        <v/>
      </c>
      <c r="BL43" s="5">
        <f>BL42*Eras!BL$3</f>
        <v/>
      </c>
      <c r="BM43" s="5">
        <f>BM42*Eras!BM$3</f>
        <v/>
      </c>
      <c r="BN43" s="5">
        <f>BN42*Eras!BN$3</f>
        <v/>
      </c>
      <c r="BO43" s="5">
        <f>BO42*Eras!BO$3</f>
        <v/>
      </c>
      <c r="BP43" s="5">
        <f>BP42*Eras!BP$3</f>
        <v/>
      </c>
      <c r="BQ43" s="5">
        <f>BQ42*Eras!BQ$3</f>
        <v/>
      </c>
      <c r="BR43" s="5">
        <f>BR42*Eras!BR$3</f>
        <v/>
      </c>
      <c r="BS43" s="5">
        <f>BS42*Eras!BS$3</f>
        <v/>
      </c>
      <c r="BT43" s="5">
        <f>BT42*Eras!BT$3</f>
        <v/>
      </c>
      <c r="BU43" s="5">
        <f>BU42*Eras!BU$3</f>
        <v/>
      </c>
      <c r="BV43" s="5">
        <f>BV42*Eras!BV$3</f>
        <v/>
      </c>
    </row>
    <row r="44">
      <c r="A44" t="inlineStr">
        <is>
          <t>inflow @1</t>
        </is>
      </c>
      <c r="B44" t="inlineStr">
        <is>
          <t>US_CA|BASIC_A</t>
        </is>
      </c>
      <c r="C44" s="5">
        <f>C42*Eras!C$4</f>
        <v/>
      </c>
      <c r="D44" s="5">
        <f>D42*Eras!D$4</f>
        <v/>
      </c>
      <c r="E44" s="5">
        <f>E42*Eras!E$4</f>
        <v/>
      </c>
      <c r="F44" s="5">
        <f>F42*Eras!F$4</f>
        <v/>
      </c>
      <c r="G44" s="5">
        <f>G42*Eras!G$4</f>
        <v/>
      </c>
      <c r="H44" s="5">
        <f>H42*Eras!H$4</f>
        <v/>
      </c>
      <c r="I44" s="5">
        <f>I42*Eras!I$4</f>
        <v/>
      </c>
      <c r="J44" s="5">
        <f>J42*Eras!J$4</f>
        <v/>
      </c>
      <c r="K44" s="5">
        <f>K42*Eras!K$4</f>
        <v/>
      </c>
      <c r="L44" s="5">
        <f>L42*Eras!L$4</f>
        <v/>
      </c>
      <c r="M44" s="5">
        <f>M42*Eras!M$4</f>
        <v/>
      </c>
      <c r="N44" s="5">
        <f>N42*Eras!N$4</f>
        <v/>
      </c>
      <c r="O44" s="5">
        <f>O42*Eras!O$4</f>
        <v/>
      </c>
      <c r="P44" s="5">
        <f>P42*Eras!P$4</f>
        <v/>
      </c>
      <c r="Q44" s="5">
        <f>Q42*Eras!Q$4</f>
        <v/>
      </c>
      <c r="R44" s="5">
        <f>R42*Eras!R$4</f>
        <v/>
      </c>
      <c r="S44" s="5">
        <f>S42*Eras!S$4</f>
        <v/>
      </c>
      <c r="T44" s="5">
        <f>T42*Eras!T$4</f>
        <v/>
      </c>
      <c r="U44" s="5">
        <f>U42*Eras!U$4</f>
        <v/>
      </c>
      <c r="V44" s="5">
        <f>V42*Eras!V$4</f>
        <v/>
      </c>
      <c r="W44" s="5">
        <f>W42*Eras!W$4</f>
        <v/>
      </c>
      <c r="X44" s="5">
        <f>X42*Eras!X$4</f>
        <v/>
      </c>
      <c r="Y44" s="5">
        <f>Y42*Eras!Y$4</f>
        <v/>
      </c>
      <c r="Z44" s="5">
        <f>Z42*Eras!Z$4</f>
        <v/>
      </c>
      <c r="AA44" s="5">
        <f>AA42*Eras!AA$4</f>
        <v/>
      </c>
      <c r="AB44" s="5">
        <f>AB42*Eras!AB$4</f>
        <v/>
      </c>
      <c r="AC44" s="5">
        <f>AC42*Eras!AC$4</f>
        <v/>
      </c>
      <c r="AD44" s="5">
        <f>AD42*Eras!AD$4</f>
        <v/>
      </c>
      <c r="AE44" s="5">
        <f>AE42*Eras!AE$4</f>
        <v/>
      </c>
      <c r="AF44" s="5">
        <f>AF42*Eras!AF$4</f>
        <v/>
      </c>
      <c r="AG44" s="5">
        <f>AG42*Eras!AG$4</f>
        <v/>
      </c>
      <c r="AH44" s="5">
        <f>AH42*Eras!AH$4</f>
        <v/>
      </c>
      <c r="AI44" s="5">
        <f>AI42*Eras!AI$4</f>
        <v/>
      </c>
      <c r="AJ44" s="5">
        <f>AJ42*Eras!AJ$4</f>
        <v/>
      </c>
      <c r="AK44" s="5">
        <f>AK42*Eras!AK$4</f>
        <v/>
      </c>
      <c r="AL44" s="5">
        <f>AL42*Eras!AL$4</f>
        <v/>
      </c>
      <c r="AM44" s="5">
        <f>AM42*Eras!AM$4</f>
        <v/>
      </c>
      <c r="AN44" s="5">
        <f>AN42*Eras!AN$4</f>
        <v/>
      </c>
      <c r="AO44" s="5">
        <f>AO42*Eras!AO$4</f>
        <v/>
      </c>
      <c r="AP44" s="5">
        <f>AP42*Eras!AP$4</f>
        <v/>
      </c>
      <c r="AQ44" s="5">
        <f>AQ42*Eras!AQ$4</f>
        <v/>
      </c>
      <c r="AR44" s="5">
        <f>AR42*Eras!AR$4</f>
        <v/>
      </c>
      <c r="AS44" s="5">
        <f>AS42*Eras!AS$4</f>
        <v/>
      </c>
      <c r="AT44" s="5">
        <f>AT42*Eras!AT$4</f>
        <v/>
      </c>
      <c r="AU44" s="5">
        <f>AU42*Eras!AU$4</f>
        <v/>
      </c>
      <c r="AV44" s="5">
        <f>AV42*Eras!AV$4</f>
        <v/>
      </c>
      <c r="AW44" s="5">
        <f>AW42*Eras!AW$4</f>
        <v/>
      </c>
      <c r="AX44" s="5">
        <f>AX42*Eras!AX$4</f>
        <v/>
      </c>
      <c r="AY44" s="5">
        <f>AY42*Eras!AY$4</f>
        <v/>
      </c>
      <c r="AZ44" s="5">
        <f>AZ42*Eras!AZ$4</f>
        <v/>
      </c>
      <c r="BA44" s="5">
        <f>BA42*Eras!BA$4</f>
        <v/>
      </c>
      <c r="BB44" s="5">
        <f>BB42*Eras!BB$4</f>
        <v/>
      </c>
      <c r="BC44" s="5">
        <f>BC42*Eras!BC$4</f>
        <v/>
      </c>
      <c r="BD44" s="5">
        <f>BD42*Eras!BD$4</f>
        <v/>
      </c>
      <c r="BE44" s="5">
        <f>BE42*Eras!BE$4</f>
        <v/>
      </c>
      <c r="BF44" s="5">
        <f>BF42*Eras!BF$4</f>
        <v/>
      </c>
      <c r="BG44" s="5">
        <f>BG42*Eras!BG$4</f>
        <v/>
      </c>
      <c r="BH44" s="5">
        <f>BH42*Eras!BH$4</f>
        <v/>
      </c>
      <c r="BI44" s="5">
        <f>BI42*Eras!BI$4</f>
        <v/>
      </c>
      <c r="BJ44" s="5">
        <f>BJ42*Eras!BJ$4</f>
        <v/>
      </c>
      <c r="BK44" s="5">
        <f>BK42*Eras!BK$4</f>
        <v/>
      </c>
      <c r="BL44" s="5">
        <f>BL42*Eras!BL$4</f>
        <v/>
      </c>
      <c r="BM44" s="5">
        <f>BM42*Eras!BM$4</f>
        <v/>
      </c>
      <c r="BN44" s="5">
        <f>BN42*Eras!BN$4</f>
        <v/>
      </c>
      <c r="BO44" s="5">
        <f>BO42*Eras!BO$4</f>
        <v/>
      </c>
      <c r="BP44" s="5">
        <f>BP42*Eras!BP$4</f>
        <v/>
      </c>
      <c r="BQ44" s="5">
        <f>BQ42*Eras!BQ$4</f>
        <v/>
      </c>
      <c r="BR44" s="5">
        <f>BR42*Eras!BR$4</f>
        <v/>
      </c>
      <c r="BS44" s="5">
        <f>BS42*Eras!BS$4</f>
        <v/>
      </c>
      <c r="BT44" s="5">
        <f>BT42*Eras!BT$4</f>
        <v/>
      </c>
      <c r="BU44" s="5">
        <f>BU42*Eras!BU$4</f>
        <v/>
      </c>
      <c r="BV44" s="5">
        <f>BV42*Eras!BV$4</f>
        <v/>
      </c>
    </row>
    <row r="45">
      <c r="A45" t="inlineStr">
        <is>
          <t>inflow @2</t>
        </is>
      </c>
      <c r="B45" t="inlineStr">
        <is>
          <t>US_CA|BASIC_A</t>
        </is>
      </c>
      <c r="C45" s="5">
        <f>C42*Eras!C$5</f>
        <v/>
      </c>
      <c r="D45" s="5">
        <f>D42*Eras!D$5</f>
        <v/>
      </c>
      <c r="E45" s="5">
        <f>E42*Eras!E$5</f>
        <v/>
      </c>
      <c r="F45" s="5">
        <f>F42*Eras!F$5</f>
        <v/>
      </c>
      <c r="G45" s="5">
        <f>G42*Eras!G$5</f>
        <v/>
      </c>
      <c r="H45" s="5">
        <f>H42*Eras!H$5</f>
        <v/>
      </c>
      <c r="I45" s="5">
        <f>I42*Eras!I$5</f>
        <v/>
      </c>
      <c r="J45" s="5">
        <f>J42*Eras!J$5</f>
        <v/>
      </c>
      <c r="K45" s="5">
        <f>K42*Eras!K$5</f>
        <v/>
      </c>
      <c r="L45" s="5">
        <f>L42*Eras!L$5</f>
        <v/>
      </c>
      <c r="M45" s="5">
        <f>M42*Eras!M$5</f>
        <v/>
      </c>
      <c r="N45" s="5">
        <f>N42*Eras!N$5</f>
        <v/>
      </c>
      <c r="O45" s="5">
        <f>O42*Eras!O$5</f>
        <v/>
      </c>
      <c r="P45" s="5">
        <f>P42*Eras!P$5</f>
        <v/>
      </c>
      <c r="Q45" s="5">
        <f>Q42*Eras!Q$5</f>
        <v/>
      </c>
      <c r="R45" s="5">
        <f>R42*Eras!R$5</f>
        <v/>
      </c>
      <c r="S45" s="5">
        <f>S42*Eras!S$5</f>
        <v/>
      </c>
      <c r="T45" s="5">
        <f>T42*Eras!T$5</f>
        <v/>
      </c>
      <c r="U45" s="5">
        <f>U42*Eras!U$5</f>
        <v/>
      </c>
      <c r="V45" s="5">
        <f>V42*Eras!V$5</f>
        <v/>
      </c>
      <c r="W45" s="5">
        <f>W42*Eras!W$5</f>
        <v/>
      </c>
      <c r="X45" s="5">
        <f>X42*Eras!X$5</f>
        <v/>
      </c>
      <c r="Y45" s="5">
        <f>Y42*Eras!Y$5</f>
        <v/>
      </c>
      <c r="Z45" s="5">
        <f>Z42*Eras!Z$5</f>
        <v/>
      </c>
      <c r="AA45" s="5">
        <f>AA42*Eras!AA$5</f>
        <v/>
      </c>
      <c r="AB45" s="5">
        <f>AB42*Eras!AB$5</f>
        <v/>
      </c>
      <c r="AC45" s="5">
        <f>AC42*Eras!AC$5</f>
        <v/>
      </c>
      <c r="AD45" s="5">
        <f>AD42*Eras!AD$5</f>
        <v/>
      </c>
      <c r="AE45" s="5">
        <f>AE42*Eras!AE$5</f>
        <v/>
      </c>
      <c r="AF45" s="5">
        <f>AF42*Eras!AF$5</f>
        <v/>
      </c>
      <c r="AG45" s="5">
        <f>AG42*Eras!AG$5</f>
        <v/>
      </c>
      <c r="AH45" s="5">
        <f>AH42*Eras!AH$5</f>
        <v/>
      </c>
      <c r="AI45" s="5">
        <f>AI42*Eras!AI$5</f>
        <v/>
      </c>
      <c r="AJ45" s="5">
        <f>AJ42*Eras!AJ$5</f>
        <v/>
      </c>
      <c r="AK45" s="5">
        <f>AK42*Eras!AK$5</f>
        <v/>
      </c>
      <c r="AL45" s="5">
        <f>AL42*Eras!AL$5</f>
        <v/>
      </c>
      <c r="AM45" s="5">
        <f>AM42*Eras!AM$5</f>
        <v/>
      </c>
      <c r="AN45" s="5">
        <f>AN42*Eras!AN$5</f>
        <v/>
      </c>
      <c r="AO45" s="5">
        <f>AO42*Eras!AO$5</f>
        <v/>
      </c>
      <c r="AP45" s="5">
        <f>AP42*Eras!AP$5</f>
        <v/>
      </c>
      <c r="AQ45" s="5">
        <f>AQ42*Eras!AQ$5</f>
        <v/>
      </c>
      <c r="AR45" s="5">
        <f>AR42*Eras!AR$5</f>
        <v/>
      </c>
      <c r="AS45" s="5">
        <f>AS42*Eras!AS$5</f>
        <v/>
      </c>
      <c r="AT45" s="5">
        <f>AT42*Eras!AT$5</f>
        <v/>
      </c>
      <c r="AU45" s="5">
        <f>AU42*Eras!AU$5</f>
        <v/>
      </c>
      <c r="AV45" s="5">
        <f>AV42*Eras!AV$5</f>
        <v/>
      </c>
      <c r="AW45" s="5">
        <f>AW42*Eras!AW$5</f>
        <v/>
      </c>
      <c r="AX45" s="5">
        <f>AX42*Eras!AX$5</f>
        <v/>
      </c>
      <c r="AY45" s="5">
        <f>AY42*Eras!AY$5</f>
        <v/>
      </c>
      <c r="AZ45" s="5">
        <f>AZ42*Eras!AZ$5</f>
        <v/>
      </c>
      <c r="BA45" s="5">
        <f>BA42*Eras!BA$5</f>
        <v/>
      </c>
      <c r="BB45" s="5">
        <f>BB42*Eras!BB$5</f>
        <v/>
      </c>
      <c r="BC45" s="5">
        <f>BC42*Eras!BC$5</f>
        <v/>
      </c>
      <c r="BD45" s="5">
        <f>BD42*Eras!BD$5</f>
        <v/>
      </c>
      <c r="BE45" s="5">
        <f>BE42*Eras!BE$5</f>
        <v/>
      </c>
      <c r="BF45" s="5">
        <f>BF42*Eras!BF$5</f>
        <v/>
      </c>
      <c r="BG45" s="5">
        <f>BG42*Eras!BG$5</f>
        <v/>
      </c>
      <c r="BH45" s="5">
        <f>BH42*Eras!BH$5</f>
        <v/>
      </c>
      <c r="BI45" s="5">
        <f>BI42*Eras!BI$5</f>
        <v/>
      </c>
      <c r="BJ45" s="5">
        <f>BJ42*Eras!BJ$5</f>
        <v/>
      </c>
      <c r="BK45" s="5">
        <f>BK42*Eras!BK$5</f>
        <v/>
      </c>
      <c r="BL45" s="5">
        <f>BL42*Eras!BL$5</f>
        <v/>
      </c>
      <c r="BM45" s="5">
        <f>BM42*Eras!BM$5</f>
        <v/>
      </c>
      <c r="BN45" s="5">
        <f>BN42*Eras!BN$5</f>
        <v/>
      </c>
      <c r="BO45" s="5">
        <f>BO42*Eras!BO$5</f>
        <v/>
      </c>
      <c r="BP45" s="5">
        <f>BP42*Eras!BP$5</f>
        <v/>
      </c>
      <c r="BQ45" s="5">
        <f>BQ42*Eras!BQ$5</f>
        <v/>
      </c>
      <c r="BR45" s="5">
        <f>BR42*Eras!BR$5</f>
        <v/>
      </c>
      <c r="BS45" s="5">
        <f>BS42*Eras!BS$5</f>
        <v/>
      </c>
      <c r="BT45" s="5">
        <f>BT42*Eras!BT$5</f>
        <v/>
      </c>
      <c r="BU45" s="5">
        <f>BU42*Eras!BU$5</f>
        <v/>
      </c>
      <c r="BV45" s="5">
        <f>BV42*Eras!BV$5</f>
        <v/>
      </c>
    </row>
    <row r="46">
      <c r="A46" t="inlineStr">
        <is>
          <t>reactivations out</t>
        </is>
      </c>
      <c r="B46" t="inlineStr">
        <is>
          <t>US_CA|BASIC_A</t>
        </is>
      </c>
      <c r="C46" s="5">
        <f>React!$C$43*Curves!$BV$21+React!$C$44*Curves!$BV$44+React!$C$45*Curves!$BV$67</f>
        <v/>
      </c>
      <c r="D46" s="5">
        <f>SUMPRODUCT(React!$C$43:$D$43,Curves!$BU$21:$BV$21)+SUMPRODUCT(React!$C$44:$D$44,Curves!$BU$44:$BV$44)+SUMPRODUCT(React!$C$45:$D$45,Curves!$BU$67:$BV$67)</f>
        <v/>
      </c>
      <c r="E46" s="5">
        <f>SUMPRODUCT(React!$C$43:$E$43,Curves!$BT$21:$BV$21)+SUMPRODUCT(React!$C$44:$E$44,Curves!$BT$44:$BV$44)+SUMPRODUCT(React!$C$45:$E$45,Curves!$BT$67:$BV$67)</f>
        <v/>
      </c>
      <c r="F46" s="5">
        <f>SUMPRODUCT(React!$C$43:$F$43,Curves!$BS$21:$BV$21)+SUMPRODUCT(React!$C$44:$F$44,Curves!$BS$44:$BV$44)+SUMPRODUCT(React!$C$45:$F$45,Curves!$BS$67:$BV$67)</f>
        <v/>
      </c>
      <c r="G46" s="5">
        <f>SUMPRODUCT(React!$C$43:$G$43,Curves!$BR$21:$BV$21)+SUMPRODUCT(React!$C$44:$G$44,Curves!$BR$44:$BV$44)+SUMPRODUCT(React!$C$45:$G$45,Curves!$BR$67:$BV$67)</f>
        <v/>
      </c>
      <c r="H46" s="5">
        <f>SUMPRODUCT(React!$C$43:$H$43,Curves!$BQ$21:$BV$21)+SUMPRODUCT(React!$C$44:$H$44,Curves!$BQ$44:$BV$44)+SUMPRODUCT(React!$C$45:$H$45,Curves!$BQ$67:$BV$67)</f>
        <v/>
      </c>
      <c r="I46" s="5">
        <f>SUMPRODUCT(React!$C$43:$I$43,Curves!$BP$21:$BV$21)+SUMPRODUCT(React!$C$44:$I$44,Curves!$BP$44:$BV$44)+SUMPRODUCT(React!$C$45:$I$45,Curves!$BP$67:$BV$67)</f>
        <v/>
      </c>
      <c r="J46" s="5">
        <f>SUMPRODUCT(React!$C$43:$J$43,Curves!$BO$21:$BV$21)+SUMPRODUCT(React!$C$44:$J$44,Curves!$BO$44:$BV$44)+SUMPRODUCT(React!$C$45:$J$45,Curves!$BO$67:$BV$67)</f>
        <v/>
      </c>
      <c r="K46" s="5">
        <f>SUMPRODUCT(React!$C$43:$K$43,Curves!$BN$21:$BV$21)+SUMPRODUCT(React!$C$44:$K$44,Curves!$BN$44:$BV$44)+SUMPRODUCT(React!$C$45:$K$45,Curves!$BN$67:$BV$67)</f>
        <v/>
      </c>
      <c r="L46" s="5">
        <f>SUMPRODUCT(React!$C$43:$L$43,Curves!$BM$21:$BV$21)+SUMPRODUCT(React!$C$44:$L$44,Curves!$BM$44:$BV$44)+SUMPRODUCT(React!$C$45:$L$45,Curves!$BM$67:$BV$67)</f>
        <v/>
      </c>
      <c r="M46" s="5">
        <f>SUMPRODUCT(React!$C$43:$M$43,Curves!$BL$21:$BV$21)+SUMPRODUCT(React!$C$44:$M$44,Curves!$BL$44:$BV$44)+SUMPRODUCT(React!$C$45:$M$45,Curves!$BL$67:$BV$67)</f>
        <v/>
      </c>
      <c r="N46" s="5">
        <f>SUMPRODUCT(React!$C$43:$N$43,Curves!$BK$21:$BV$21)+SUMPRODUCT(React!$C$44:$N$44,Curves!$BK$44:$BV$44)+SUMPRODUCT(React!$C$45:$N$45,Curves!$BK$67:$BV$67)</f>
        <v/>
      </c>
      <c r="O46" s="5">
        <f>SUMPRODUCT(React!$C$43:$O$43,Curves!$BJ$21:$BV$21)+SUMPRODUCT(React!$C$44:$O$44,Curves!$BJ$44:$BV$44)+SUMPRODUCT(React!$C$45:$O$45,Curves!$BJ$67:$BV$67)</f>
        <v/>
      </c>
      <c r="P46" s="5">
        <f>SUMPRODUCT(React!$C$43:$P$43,Curves!$BI$21:$BV$21)+SUMPRODUCT(React!$C$44:$P$44,Curves!$BI$44:$BV$44)+SUMPRODUCT(React!$C$45:$P$45,Curves!$BI$67:$BV$67)</f>
        <v/>
      </c>
      <c r="Q46" s="5">
        <f>SUMPRODUCT(React!$C$43:$Q$43,Curves!$BH$21:$BV$21)+SUMPRODUCT(React!$C$44:$Q$44,Curves!$BH$44:$BV$44)+SUMPRODUCT(React!$C$45:$Q$45,Curves!$BH$67:$BV$67)</f>
        <v/>
      </c>
      <c r="R46" s="5">
        <f>SUMPRODUCT(React!$C$43:$R$43,Curves!$BG$21:$BV$21)+SUMPRODUCT(React!$C$44:$R$44,Curves!$BG$44:$BV$44)+SUMPRODUCT(React!$C$45:$R$45,Curves!$BG$67:$BV$67)</f>
        <v/>
      </c>
      <c r="S46" s="5">
        <f>SUMPRODUCT(React!$C$43:$S$43,Curves!$BF$21:$BV$21)+SUMPRODUCT(React!$C$44:$S$44,Curves!$BF$44:$BV$44)+SUMPRODUCT(React!$C$45:$S$45,Curves!$BF$67:$BV$67)</f>
        <v/>
      </c>
      <c r="T46" s="5">
        <f>SUMPRODUCT(React!$C$43:$T$43,Curves!$BE$21:$BV$21)+SUMPRODUCT(React!$C$44:$T$44,Curves!$BE$44:$BV$44)+SUMPRODUCT(React!$C$45:$T$45,Curves!$BE$67:$BV$67)</f>
        <v/>
      </c>
      <c r="U46" s="5">
        <f>SUMPRODUCT(React!$C$43:$U$43,Curves!$BD$21:$BV$21)+SUMPRODUCT(React!$C$44:$U$44,Curves!$BD$44:$BV$44)+SUMPRODUCT(React!$C$45:$U$45,Curves!$BD$67:$BV$67)</f>
        <v/>
      </c>
      <c r="V46" s="5">
        <f>SUMPRODUCT(React!$C$43:$V$43,Curves!$BC$21:$BV$21)+SUMPRODUCT(React!$C$44:$V$44,Curves!$BC$44:$BV$44)+SUMPRODUCT(React!$C$45:$V$45,Curves!$BC$67:$BV$67)</f>
        <v/>
      </c>
      <c r="W46" s="5">
        <f>SUMPRODUCT(React!$C$43:$W$43,Curves!$BB$21:$BV$21)+SUMPRODUCT(React!$C$44:$W$44,Curves!$BB$44:$BV$44)+SUMPRODUCT(React!$C$45:$W$45,Curves!$BB$67:$BV$67)</f>
        <v/>
      </c>
      <c r="X46" s="5">
        <f>SUMPRODUCT(React!$C$43:$X$43,Curves!$BA$21:$BV$21)+SUMPRODUCT(React!$C$44:$X$44,Curves!$BA$44:$BV$44)+SUMPRODUCT(React!$C$45:$X$45,Curves!$BA$67:$BV$67)</f>
        <v/>
      </c>
      <c r="Y46" s="5">
        <f>SUMPRODUCT(React!$C$43:$Y$43,Curves!$AZ$21:$BV$21)+SUMPRODUCT(React!$C$44:$Y$44,Curves!$AZ$44:$BV$44)+SUMPRODUCT(React!$C$45:$Y$45,Curves!$AZ$67:$BV$67)</f>
        <v/>
      </c>
      <c r="Z46" s="5">
        <f>SUMPRODUCT(React!$C$43:$Z$43,Curves!$AY$21:$BV$21)+SUMPRODUCT(React!$C$44:$Z$44,Curves!$AY$44:$BV$44)+SUMPRODUCT(React!$C$45:$Z$45,Curves!$AY$67:$BV$67)</f>
        <v/>
      </c>
      <c r="AA46" s="5">
        <f>SUMPRODUCT(React!$C$43:$AA$43,Curves!$AX$21:$BV$21)+SUMPRODUCT(React!$C$44:$AA$44,Curves!$AX$44:$BV$44)+SUMPRODUCT(React!$C$45:$AA$45,Curves!$AX$67:$BV$67)</f>
        <v/>
      </c>
      <c r="AB46" s="5">
        <f>SUMPRODUCT(React!$C$43:$AB$43,Curves!$AW$21:$BV$21)+SUMPRODUCT(React!$C$44:$AB$44,Curves!$AW$44:$BV$44)+SUMPRODUCT(React!$C$45:$AB$45,Curves!$AW$67:$BV$67)</f>
        <v/>
      </c>
      <c r="AC46" s="5">
        <f>SUMPRODUCT(React!$C$43:$AC$43,Curves!$AV$21:$BV$21)+SUMPRODUCT(React!$C$44:$AC$44,Curves!$AV$44:$BV$44)+SUMPRODUCT(React!$C$45:$AC$45,Curves!$AV$67:$BV$67)</f>
        <v/>
      </c>
      <c r="AD46" s="5">
        <f>SUMPRODUCT(React!$C$43:$AD$43,Curves!$AU$21:$BV$21)+SUMPRODUCT(React!$C$44:$AD$44,Curves!$AU$44:$BV$44)+SUMPRODUCT(React!$C$45:$AD$45,Curves!$AU$67:$BV$67)</f>
        <v/>
      </c>
      <c r="AE46" s="5">
        <f>SUMPRODUCT(React!$C$43:$AE$43,Curves!$AT$21:$BV$21)+SUMPRODUCT(React!$C$44:$AE$44,Curves!$AT$44:$BV$44)+SUMPRODUCT(React!$C$45:$AE$45,Curves!$AT$67:$BV$67)</f>
        <v/>
      </c>
      <c r="AF46" s="5">
        <f>SUMPRODUCT(React!$C$43:$AF$43,Curves!$AS$21:$BV$21)+SUMPRODUCT(React!$C$44:$AF$44,Curves!$AS$44:$BV$44)+SUMPRODUCT(React!$C$45:$AF$45,Curves!$AS$67:$BV$67)</f>
        <v/>
      </c>
      <c r="AG46" s="5">
        <f>SUMPRODUCT(React!$C$43:$AG$43,Curves!$AR$21:$BV$21)+SUMPRODUCT(React!$C$44:$AG$44,Curves!$AR$44:$BV$44)+SUMPRODUCT(React!$C$45:$AG$45,Curves!$AR$67:$BV$67)</f>
        <v/>
      </c>
      <c r="AH46" s="5">
        <f>SUMPRODUCT(React!$C$43:$AH$43,Curves!$AQ$21:$BV$21)+SUMPRODUCT(React!$C$44:$AH$44,Curves!$AQ$44:$BV$44)+SUMPRODUCT(React!$C$45:$AH$45,Curves!$AQ$67:$BV$67)</f>
        <v/>
      </c>
      <c r="AI46" s="5">
        <f>SUMPRODUCT(React!$C$43:$AI$43,Curves!$AP$21:$BV$21)+SUMPRODUCT(React!$C$44:$AI$44,Curves!$AP$44:$BV$44)+SUMPRODUCT(React!$C$45:$AI$45,Curves!$AP$67:$BV$67)</f>
        <v/>
      </c>
      <c r="AJ46" s="5">
        <f>SUMPRODUCT(React!$C$43:$AJ$43,Curves!$AO$21:$BV$21)+SUMPRODUCT(React!$C$44:$AJ$44,Curves!$AO$44:$BV$44)+SUMPRODUCT(React!$C$45:$AJ$45,Curves!$AO$67:$BV$67)</f>
        <v/>
      </c>
      <c r="AK46" s="5">
        <f>SUMPRODUCT(React!$C$43:$AK$43,Curves!$AN$21:$BV$21)+SUMPRODUCT(React!$C$44:$AK$44,Curves!$AN$44:$BV$44)+SUMPRODUCT(React!$C$45:$AK$45,Curves!$AN$67:$BV$67)</f>
        <v/>
      </c>
      <c r="AL46" s="5">
        <f>SUMPRODUCT(React!$C$43:$AL$43,Curves!$AM$21:$BV$21)+SUMPRODUCT(React!$C$44:$AL$44,Curves!$AM$44:$BV$44)+SUMPRODUCT(React!$C$45:$AL$45,Curves!$AM$67:$BV$67)</f>
        <v/>
      </c>
      <c r="AM46" s="5">
        <f>SUMPRODUCT(React!$C$43:$AM$43,Curves!$AL$21:$BV$21)+SUMPRODUCT(React!$C$44:$AM$44,Curves!$AL$44:$BV$44)+SUMPRODUCT(React!$C$45:$AM$45,Curves!$AL$67:$BV$67)</f>
        <v/>
      </c>
      <c r="AN46" s="5">
        <f>SUMPRODUCT(React!$C$43:$AN$43,Curves!$AK$21:$BV$21)+SUMPRODUCT(React!$C$44:$AN$44,Curves!$AK$44:$BV$44)+SUMPRODUCT(React!$C$45:$AN$45,Curves!$AK$67:$BV$67)</f>
        <v/>
      </c>
      <c r="AO46" s="5">
        <f>SUMPRODUCT(React!$C$43:$AO$43,Curves!$AJ$21:$BV$21)+SUMPRODUCT(React!$C$44:$AO$44,Curves!$AJ$44:$BV$44)+SUMPRODUCT(React!$C$45:$AO$45,Curves!$AJ$67:$BV$67)</f>
        <v/>
      </c>
      <c r="AP46" s="5">
        <f>SUMPRODUCT(React!$C$43:$AP$43,Curves!$AI$21:$BV$21)+SUMPRODUCT(React!$C$44:$AP$44,Curves!$AI$44:$BV$44)+SUMPRODUCT(React!$C$45:$AP$45,Curves!$AI$67:$BV$67)</f>
        <v/>
      </c>
      <c r="AQ46" s="5">
        <f>SUMPRODUCT(React!$C$43:$AQ$43,Curves!$AH$21:$BV$21)+SUMPRODUCT(React!$C$44:$AQ$44,Curves!$AH$44:$BV$44)+SUMPRODUCT(React!$C$45:$AQ$45,Curves!$AH$67:$BV$67)</f>
        <v/>
      </c>
      <c r="AR46" s="5">
        <f>SUMPRODUCT(React!$C$43:$AR$43,Curves!$AG$21:$BV$21)+SUMPRODUCT(React!$C$44:$AR$44,Curves!$AG$44:$BV$44)+SUMPRODUCT(React!$C$45:$AR$45,Curves!$AG$67:$BV$67)</f>
        <v/>
      </c>
      <c r="AS46" s="5">
        <f>SUMPRODUCT(React!$C$43:$AS$43,Curves!$AF$21:$BV$21)+SUMPRODUCT(React!$C$44:$AS$44,Curves!$AF$44:$BV$44)+SUMPRODUCT(React!$C$45:$AS$45,Curves!$AF$67:$BV$67)</f>
        <v/>
      </c>
      <c r="AT46" s="5">
        <f>SUMPRODUCT(React!$C$43:$AT$43,Curves!$AE$21:$BV$21)+SUMPRODUCT(React!$C$44:$AT$44,Curves!$AE$44:$BV$44)+SUMPRODUCT(React!$C$45:$AT$45,Curves!$AE$67:$BV$67)</f>
        <v/>
      </c>
      <c r="AU46" s="5">
        <f>SUMPRODUCT(React!$C$43:$AU$43,Curves!$AD$21:$BV$21)+SUMPRODUCT(React!$C$44:$AU$44,Curves!$AD$44:$BV$44)+SUMPRODUCT(React!$C$45:$AU$45,Curves!$AD$67:$BV$67)</f>
        <v/>
      </c>
      <c r="AV46" s="5">
        <f>SUMPRODUCT(React!$C$43:$AV$43,Curves!$AC$21:$BV$21)+SUMPRODUCT(React!$C$44:$AV$44,Curves!$AC$44:$BV$44)+SUMPRODUCT(React!$C$45:$AV$45,Curves!$AC$67:$BV$67)</f>
        <v/>
      </c>
      <c r="AW46" s="5">
        <f>SUMPRODUCT(React!$C$43:$AW$43,Curves!$AB$21:$BV$21)+SUMPRODUCT(React!$C$44:$AW$44,Curves!$AB$44:$BV$44)+SUMPRODUCT(React!$C$45:$AW$45,Curves!$AB$67:$BV$67)</f>
        <v/>
      </c>
      <c r="AX46" s="5">
        <f>SUMPRODUCT(React!$C$43:$AX$43,Curves!$AA$21:$BV$21)+SUMPRODUCT(React!$C$44:$AX$44,Curves!$AA$44:$BV$44)+SUMPRODUCT(React!$C$45:$AX$45,Curves!$AA$67:$BV$67)</f>
        <v/>
      </c>
      <c r="AY46" s="5">
        <f>SUMPRODUCT(React!$C$43:$AY$43,Curves!$Z$21:$BV$21)+SUMPRODUCT(React!$C$44:$AY$44,Curves!$Z$44:$BV$44)+SUMPRODUCT(React!$C$45:$AY$45,Curves!$Z$67:$BV$67)</f>
        <v/>
      </c>
      <c r="AZ46" s="5">
        <f>SUMPRODUCT(React!$C$43:$AZ$43,Curves!$Y$21:$BV$21)+SUMPRODUCT(React!$C$44:$AZ$44,Curves!$Y$44:$BV$44)+SUMPRODUCT(React!$C$45:$AZ$45,Curves!$Y$67:$BV$67)</f>
        <v/>
      </c>
      <c r="BA46" s="5">
        <f>SUMPRODUCT(React!$C$43:$BA$43,Curves!$X$21:$BV$21)+SUMPRODUCT(React!$C$44:$BA$44,Curves!$X$44:$BV$44)+SUMPRODUCT(React!$C$45:$BA$45,Curves!$X$67:$BV$67)</f>
        <v/>
      </c>
      <c r="BB46" s="5">
        <f>SUMPRODUCT(React!$C$43:$BB$43,Curves!$W$21:$BV$21)+SUMPRODUCT(React!$C$44:$BB$44,Curves!$W$44:$BV$44)+SUMPRODUCT(React!$C$45:$BB$45,Curves!$W$67:$BV$67)</f>
        <v/>
      </c>
      <c r="BC46" s="5">
        <f>SUMPRODUCT(React!$C$43:$BC$43,Curves!$V$21:$BV$21)+SUMPRODUCT(React!$C$44:$BC$44,Curves!$V$44:$BV$44)+SUMPRODUCT(React!$C$45:$BC$45,Curves!$V$67:$BV$67)</f>
        <v/>
      </c>
      <c r="BD46" s="5">
        <f>SUMPRODUCT(React!$C$43:$BD$43,Curves!$U$21:$BV$21)+SUMPRODUCT(React!$C$44:$BD$44,Curves!$U$44:$BV$44)+SUMPRODUCT(React!$C$45:$BD$45,Curves!$U$67:$BV$67)</f>
        <v/>
      </c>
      <c r="BE46" s="5">
        <f>SUMPRODUCT(React!$C$43:$BE$43,Curves!$T$21:$BV$21)+SUMPRODUCT(React!$C$44:$BE$44,Curves!$T$44:$BV$44)+SUMPRODUCT(React!$C$45:$BE$45,Curves!$T$67:$BV$67)</f>
        <v/>
      </c>
      <c r="BF46" s="5">
        <f>SUMPRODUCT(React!$C$43:$BF$43,Curves!$S$21:$BV$21)+SUMPRODUCT(React!$C$44:$BF$44,Curves!$S$44:$BV$44)+SUMPRODUCT(React!$C$45:$BF$45,Curves!$S$67:$BV$67)</f>
        <v/>
      </c>
      <c r="BG46" s="5">
        <f>SUMPRODUCT(React!$C$43:$BG$43,Curves!$R$21:$BV$21)+SUMPRODUCT(React!$C$44:$BG$44,Curves!$R$44:$BV$44)+SUMPRODUCT(React!$C$45:$BG$45,Curves!$R$67:$BV$67)</f>
        <v/>
      </c>
      <c r="BH46" s="5">
        <f>SUMPRODUCT(React!$C$43:$BH$43,Curves!$Q$21:$BV$21)+SUMPRODUCT(React!$C$44:$BH$44,Curves!$Q$44:$BV$44)+SUMPRODUCT(React!$C$45:$BH$45,Curves!$Q$67:$BV$67)</f>
        <v/>
      </c>
      <c r="BI46" s="5">
        <f>SUMPRODUCT(React!$C$43:$BI$43,Curves!$P$21:$BV$21)+SUMPRODUCT(React!$C$44:$BI$44,Curves!$P$44:$BV$44)+SUMPRODUCT(React!$C$45:$BI$45,Curves!$P$67:$BV$67)</f>
        <v/>
      </c>
      <c r="BJ46" s="5">
        <f>SUMPRODUCT(React!$C$43:$BJ$43,Curves!$O$21:$BV$21)+SUMPRODUCT(React!$C$44:$BJ$44,Curves!$O$44:$BV$44)+SUMPRODUCT(React!$C$45:$BJ$45,Curves!$O$67:$BV$67)</f>
        <v/>
      </c>
      <c r="BK46" s="5">
        <f>SUMPRODUCT(React!$C$43:$BK$43,Curves!$N$21:$BV$21)+SUMPRODUCT(React!$C$44:$BK$44,Curves!$N$44:$BV$44)+SUMPRODUCT(React!$C$45:$BK$45,Curves!$N$67:$BV$67)</f>
        <v/>
      </c>
      <c r="BL46" s="5">
        <f>SUMPRODUCT(React!$C$43:$BL$43,Curves!$M$21:$BV$21)+SUMPRODUCT(React!$C$44:$BL$44,Curves!$M$44:$BV$44)+SUMPRODUCT(React!$C$45:$BL$45,Curves!$M$67:$BV$67)</f>
        <v/>
      </c>
      <c r="BM46" s="5">
        <f>SUMPRODUCT(React!$C$43:$BM$43,Curves!$L$21:$BV$21)+SUMPRODUCT(React!$C$44:$BM$44,Curves!$L$44:$BV$44)+SUMPRODUCT(React!$C$45:$BM$45,Curves!$L$67:$BV$67)</f>
        <v/>
      </c>
      <c r="BN46" s="5">
        <f>SUMPRODUCT(React!$C$43:$BN$43,Curves!$K$21:$BV$21)+SUMPRODUCT(React!$C$44:$BN$44,Curves!$K$44:$BV$44)+SUMPRODUCT(React!$C$45:$BN$45,Curves!$K$67:$BV$67)</f>
        <v/>
      </c>
      <c r="BO46" s="5">
        <f>SUMPRODUCT(React!$C$43:$BO$43,Curves!$J$21:$BV$21)+SUMPRODUCT(React!$C$44:$BO$44,Curves!$J$44:$BV$44)+SUMPRODUCT(React!$C$45:$BO$45,Curves!$J$67:$BV$67)</f>
        <v/>
      </c>
      <c r="BP46" s="5">
        <f>SUMPRODUCT(React!$C$43:$BP$43,Curves!$I$21:$BV$21)+SUMPRODUCT(React!$C$44:$BP$44,Curves!$I$44:$BV$44)+SUMPRODUCT(React!$C$45:$BP$45,Curves!$I$67:$BV$67)</f>
        <v/>
      </c>
      <c r="BQ46" s="5">
        <f>SUMPRODUCT(React!$C$43:$BQ$43,Curves!$H$21:$BV$21)+SUMPRODUCT(React!$C$44:$BQ$44,Curves!$H$44:$BV$44)+SUMPRODUCT(React!$C$45:$BQ$45,Curves!$H$67:$BV$67)</f>
        <v/>
      </c>
      <c r="BR46" s="5">
        <f>SUMPRODUCT(React!$C$43:$BR$43,Curves!$G$21:$BV$21)+SUMPRODUCT(React!$C$44:$BR$44,Curves!$G$44:$BV$44)+SUMPRODUCT(React!$C$45:$BR$45,Curves!$G$67:$BV$67)</f>
        <v/>
      </c>
      <c r="BS46" s="5">
        <f>SUMPRODUCT(React!$C$43:$BS$43,Curves!$F$21:$BV$21)+SUMPRODUCT(React!$C$44:$BS$44,Curves!$F$44:$BV$44)+SUMPRODUCT(React!$C$45:$BS$45,Curves!$F$67:$BV$67)</f>
        <v/>
      </c>
      <c r="BT46" s="5">
        <f>SUMPRODUCT(React!$C$43:$BT$43,Curves!$E$21:$BV$21)+SUMPRODUCT(React!$C$44:$BT$44,Curves!$E$44:$BV$44)+SUMPRODUCT(React!$C$45:$BT$45,Curves!$E$67:$BV$67)</f>
        <v/>
      </c>
      <c r="BU46" s="5">
        <f>SUMPRODUCT(React!$C$43:$BU$43,Curves!$D$21:$BV$21)+SUMPRODUCT(React!$C$44:$BU$44,Curves!$D$44:$BV$44)+SUMPRODUCT(React!$C$45:$BU$45,Curves!$D$67:$BV$67)</f>
        <v/>
      </c>
      <c r="BV46" s="5">
        <f>SUMPRODUCT(React!$C$43:$BV$43,Curves!$C$21:$BV$21)+SUMPRODUCT(React!$C$44:$BV$44,Curves!$C$44:$BV$44)+SUMPRODUCT(React!$C$45:$BV$45,Curves!$C$67:$BV$67)</f>
        <v/>
      </c>
    </row>
    <row r="47">
      <c r="A47" t="inlineStr">
        <is>
          <t>reactivated in</t>
        </is>
      </c>
      <c r="B47" t="inlineStr">
        <is>
          <t>US_CA|BASIC_A</t>
        </is>
      </c>
      <c r="C47" s="5">
        <f>0</f>
        <v/>
      </c>
      <c r="D47" s="5">
        <f>0</f>
        <v/>
      </c>
      <c r="E47" s="5">
        <f>0</f>
        <v/>
      </c>
      <c r="F47" s="5">
        <f>0</f>
        <v/>
      </c>
      <c r="G47" s="5">
        <f>0</f>
        <v/>
      </c>
      <c r="H47" s="5">
        <f>0</f>
        <v/>
      </c>
      <c r="I47" s="5">
        <f>0</f>
        <v/>
      </c>
      <c r="J47" s="5">
        <f>0</f>
        <v/>
      </c>
      <c r="K47" s="5">
        <f>0</f>
        <v/>
      </c>
      <c r="L47" s="5">
        <f>0</f>
        <v/>
      </c>
      <c r="M47" s="5">
        <f>0</f>
        <v/>
      </c>
      <c r="N47" s="5">
        <f>0</f>
        <v/>
      </c>
      <c r="O47" s="5">
        <f>0</f>
        <v/>
      </c>
      <c r="P47" s="5">
        <f>0</f>
        <v/>
      </c>
      <c r="Q47" s="5">
        <f>0</f>
        <v/>
      </c>
      <c r="R47" s="5">
        <f>0</f>
        <v/>
      </c>
      <c r="S47" s="5">
        <f>0</f>
        <v/>
      </c>
      <c r="T47" s="5">
        <f>0</f>
        <v/>
      </c>
      <c r="U47" s="5">
        <f>0</f>
        <v/>
      </c>
      <c r="V47" s="5">
        <f>0</f>
        <v/>
      </c>
      <c r="W47" s="5">
        <f>0</f>
        <v/>
      </c>
      <c r="X47" s="5">
        <f>0</f>
        <v/>
      </c>
      <c r="Y47" s="5">
        <f>0</f>
        <v/>
      </c>
      <c r="Z47" s="5">
        <f>0</f>
        <v/>
      </c>
      <c r="AA47" s="5">
        <f>0</f>
        <v/>
      </c>
      <c r="AB47" s="5">
        <f>0</f>
        <v/>
      </c>
      <c r="AC47" s="5">
        <f>0</f>
        <v/>
      </c>
      <c r="AD47" s="5">
        <f>0</f>
        <v/>
      </c>
      <c r="AE47" s="5">
        <f>0</f>
        <v/>
      </c>
      <c r="AF47" s="5">
        <f>0</f>
        <v/>
      </c>
      <c r="AG47" s="5">
        <f>0</f>
        <v/>
      </c>
      <c r="AH47" s="5">
        <f>0</f>
        <v/>
      </c>
      <c r="AI47" s="5">
        <f>0</f>
        <v/>
      </c>
      <c r="AJ47" s="5">
        <f>0</f>
        <v/>
      </c>
      <c r="AK47" s="5">
        <f>0</f>
        <v/>
      </c>
      <c r="AL47" s="5">
        <f>0</f>
        <v/>
      </c>
      <c r="AM47" s="5">
        <f>0</f>
        <v/>
      </c>
      <c r="AN47" s="5">
        <f>0</f>
        <v/>
      </c>
      <c r="AO47" s="5">
        <f>0</f>
        <v/>
      </c>
      <c r="AP47" s="5">
        <f>0</f>
        <v/>
      </c>
      <c r="AQ47" s="5">
        <f>0</f>
        <v/>
      </c>
      <c r="AR47" s="5">
        <f>0</f>
        <v/>
      </c>
      <c r="AS47" s="5">
        <f>0</f>
        <v/>
      </c>
      <c r="AT47" s="5">
        <f>0</f>
        <v/>
      </c>
      <c r="AU47" s="5">
        <f>0</f>
        <v/>
      </c>
      <c r="AV47" s="5">
        <f>0</f>
        <v/>
      </c>
      <c r="AW47" s="5">
        <f>0</f>
        <v/>
      </c>
      <c r="AX47" s="5">
        <f>0</f>
        <v/>
      </c>
      <c r="AY47" s="5">
        <f>0</f>
        <v/>
      </c>
      <c r="AZ47" s="5">
        <f>0</f>
        <v/>
      </c>
      <c r="BA47" s="5">
        <f>0</f>
        <v/>
      </c>
      <c r="BB47" s="5">
        <f>0</f>
        <v/>
      </c>
      <c r="BC47" s="5">
        <f>0</f>
        <v/>
      </c>
      <c r="BD47" s="5">
        <f>0</f>
        <v/>
      </c>
      <c r="BE47" s="5">
        <f>0</f>
        <v/>
      </c>
      <c r="BF47" s="5">
        <f>0</f>
        <v/>
      </c>
      <c r="BG47" s="5">
        <f>0</f>
        <v/>
      </c>
      <c r="BH47" s="5">
        <f>0</f>
        <v/>
      </c>
      <c r="BI47" s="5">
        <f>0</f>
        <v/>
      </c>
      <c r="BJ47" s="5">
        <f>0</f>
        <v/>
      </c>
      <c r="BK47" s="5">
        <f>0</f>
        <v/>
      </c>
      <c r="BL47" s="5">
        <f>0</f>
        <v/>
      </c>
      <c r="BM47" s="5">
        <f>0</f>
        <v/>
      </c>
      <c r="BN47" s="5">
        <f>0</f>
        <v/>
      </c>
      <c r="BO47" s="5">
        <f>0</f>
        <v/>
      </c>
      <c r="BP47" s="5">
        <f>0</f>
        <v/>
      </c>
      <c r="BQ47" s="5">
        <f>0</f>
        <v/>
      </c>
      <c r="BR47" s="5">
        <f>0</f>
        <v/>
      </c>
      <c r="BS47" s="5">
        <f>0</f>
        <v/>
      </c>
      <c r="BT47" s="5">
        <f>0</f>
        <v/>
      </c>
      <c r="BU47" s="5">
        <f>0</f>
        <v/>
      </c>
      <c r="BV47" s="5">
        <f>0</f>
        <v/>
      </c>
    </row>
    <row r="48">
      <c r="A48" t="inlineStr">
        <is>
          <t>reactivated in @0</t>
        </is>
      </c>
      <c r="B48" t="inlineStr">
        <is>
          <t>US_CA|BASIC_A</t>
        </is>
      </c>
      <c r="C48" s="5">
        <f>C47*Eras!C$3</f>
        <v/>
      </c>
      <c r="D48" s="5">
        <f>D47*Eras!D$3</f>
        <v/>
      </c>
      <c r="E48" s="5">
        <f>E47*Eras!E$3</f>
        <v/>
      </c>
      <c r="F48" s="5">
        <f>F47*Eras!F$3</f>
        <v/>
      </c>
      <c r="G48" s="5">
        <f>G47*Eras!G$3</f>
        <v/>
      </c>
      <c r="H48" s="5">
        <f>H47*Eras!H$3</f>
        <v/>
      </c>
      <c r="I48" s="5">
        <f>I47*Eras!I$3</f>
        <v/>
      </c>
      <c r="J48" s="5">
        <f>J47*Eras!J$3</f>
        <v/>
      </c>
      <c r="K48" s="5">
        <f>K47*Eras!K$3</f>
        <v/>
      </c>
      <c r="L48" s="5">
        <f>L47*Eras!L$3</f>
        <v/>
      </c>
      <c r="M48" s="5">
        <f>M47*Eras!M$3</f>
        <v/>
      </c>
      <c r="N48" s="5">
        <f>N47*Eras!N$3</f>
        <v/>
      </c>
      <c r="O48" s="5">
        <f>O47*Eras!O$3</f>
        <v/>
      </c>
      <c r="P48" s="5">
        <f>P47*Eras!P$3</f>
        <v/>
      </c>
      <c r="Q48" s="5">
        <f>Q47*Eras!Q$3</f>
        <v/>
      </c>
      <c r="R48" s="5">
        <f>R47*Eras!R$3</f>
        <v/>
      </c>
      <c r="S48" s="5">
        <f>S47*Eras!S$3</f>
        <v/>
      </c>
      <c r="T48" s="5">
        <f>T47*Eras!T$3</f>
        <v/>
      </c>
      <c r="U48" s="5">
        <f>U47*Eras!U$3</f>
        <v/>
      </c>
      <c r="V48" s="5">
        <f>V47*Eras!V$3</f>
        <v/>
      </c>
      <c r="W48" s="5">
        <f>W47*Eras!W$3</f>
        <v/>
      </c>
      <c r="X48" s="5">
        <f>X47*Eras!X$3</f>
        <v/>
      </c>
      <c r="Y48" s="5">
        <f>Y47*Eras!Y$3</f>
        <v/>
      </c>
      <c r="Z48" s="5">
        <f>Z47*Eras!Z$3</f>
        <v/>
      </c>
      <c r="AA48" s="5">
        <f>AA47*Eras!AA$3</f>
        <v/>
      </c>
      <c r="AB48" s="5">
        <f>AB47*Eras!AB$3</f>
        <v/>
      </c>
      <c r="AC48" s="5">
        <f>AC47*Eras!AC$3</f>
        <v/>
      </c>
      <c r="AD48" s="5">
        <f>AD47*Eras!AD$3</f>
        <v/>
      </c>
      <c r="AE48" s="5">
        <f>AE47*Eras!AE$3</f>
        <v/>
      </c>
      <c r="AF48" s="5">
        <f>AF47*Eras!AF$3</f>
        <v/>
      </c>
      <c r="AG48" s="5">
        <f>AG47*Eras!AG$3</f>
        <v/>
      </c>
      <c r="AH48" s="5">
        <f>AH47*Eras!AH$3</f>
        <v/>
      </c>
      <c r="AI48" s="5">
        <f>AI47*Eras!AI$3</f>
        <v/>
      </c>
      <c r="AJ48" s="5">
        <f>AJ47*Eras!AJ$3</f>
        <v/>
      </c>
      <c r="AK48" s="5">
        <f>AK47*Eras!AK$3</f>
        <v/>
      </c>
      <c r="AL48" s="5">
        <f>AL47*Eras!AL$3</f>
        <v/>
      </c>
      <c r="AM48" s="5">
        <f>AM47*Eras!AM$3</f>
        <v/>
      </c>
      <c r="AN48" s="5">
        <f>AN47*Eras!AN$3</f>
        <v/>
      </c>
      <c r="AO48" s="5">
        <f>AO47*Eras!AO$3</f>
        <v/>
      </c>
      <c r="AP48" s="5">
        <f>AP47*Eras!AP$3</f>
        <v/>
      </c>
      <c r="AQ48" s="5">
        <f>AQ47*Eras!AQ$3</f>
        <v/>
      </c>
      <c r="AR48" s="5">
        <f>AR47*Eras!AR$3</f>
        <v/>
      </c>
      <c r="AS48" s="5">
        <f>AS47*Eras!AS$3</f>
        <v/>
      </c>
      <c r="AT48" s="5">
        <f>AT47*Eras!AT$3</f>
        <v/>
      </c>
      <c r="AU48" s="5">
        <f>AU47*Eras!AU$3</f>
        <v/>
      </c>
      <c r="AV48" s="5">
        <f>AV47*Eras!AV$3</f>
        <v/>
      </c>
      <c r="AW48" s="5">
        <f>AW47*Eras!AW$3</f>
        <v/>
      </c>
      <c r="AX48" s="5">
        <f>AX47*Eras!AX$3</f>
        <v/>
      </c>
      <c r="AY48" s="5">
        <f>AY47*Eras!AY$3</f>
        <v/>
      </c>
      <c r="AZ48" s="5">
        <f>AZ47*Eras!AZ$3</f>
        <v/>
      </c>
      <c r="BA48" s="5">
        <f>BA47*Eras!BA$3</f>
        <v/>
      </c>
      <c r="BB48" s="5">
        <f>BB47*Eras!BB$3</f>
        <v/>
      </c>
      <c r="BC48" s="5">
        <f>BC47*Eras!BC$3</f>
        <v/>
      </c>
      <c r="BD48" s="5">
        <f>BD47*Eras!BD$3</f>
        <v/>
      </c>
      <c r="BE48" s="5">
        <f>BE47*Eras!BE$3</f>
        <v/>
      </c>
      <c r="BF48" s="5">
        <f>BF47*Eras!BF$3</f>
        <v/>
      </c>
      <c r="BG48" s="5">
        <f>BG47*Eras!BG$3</f>
        <v/>
      </c>
      <c r="BH48" s="5">
        <f>BH47*Eras!BH$3</f>
        <v/>
      </c>
      <c r="BI48" s="5">
        <f>BI47*Eras!BI$3</f>
        <v/>
      </c>
      <c r="BJ48" s="5">
        <f>BJ47*Eras!BJ$3</f>
        <v/>
      </c>
      <c r="BK48" s="5">
        <f>BK47*Eras!BK$3</f>
        <v/>
      </c>
      <c r="BL48" s="5">
        <f>BL47*Eras!BL$3</f>
        <v/>
      </c>
      <c r="BM48" s="5">
        <f>BM47*Eras!BM$3</f>
        <v/>
      </c>
      <c r="BN48" s="5">
        <f>BN47*Eras!BN$3</f>
        <v/>
      </c>
      <c r="BO48" s="5">
        <f>BO47*Eras!BO$3</f>
        <v/>
      </c>
      <c r="BP48" s="5">
        <f>BP47*Eras!BP$3</f>
        <v/>
      </c>
      <c r="BQ48" s="5">
        <f>BQ47*Eras!BQ$3</f>
        <v/>
      </c>
      <c r="BR48" s="5">
        <f>BR47*Eras!BR$3</f>
        <v/>
      </c>
      <c r="BS48" s="5">
        <f>BS47*Eras!BS$3</f>
        <v/>
      </c>
      <c r="BT48" s="5">
        <f>BT47*Eras!BT$3</f>
        <v/>
      </c>
      <c r="BU48" s="5">
        <f>BU47*Eras!BU$3</f>
        <v/>
      </c>
      <c r="BV48" s="5">
        <f>BV47*Eras!BV$3</f>
        <v/>
      </c>
    </row>
    <row r="49">
      <c r="A49" t="inlineStr">
        <is>
          <t>reactivated in @1</t>
        </is>
      </c>
      <c r="B49" t="inlineStr">
        <is>
          <t>US_CA|BASIC_A</t>
        </is>
      </c>
      <c r="C49" s="5">
        <f>C47*Eras!C$4</f>
        <v/>
      </c>
      <c r="D49" s="5">
        <f>D47*Eras!D$4</f>
        <v/>
      </c>
      <c r="E49" s="5">
        <f>E47*Eras!E$4</f>
        <v/>
      </c>
      <c r="F49" s="5">
        <f>F47*Eras!F$4</f>
        <v/>
      </c>
      <c r="G49" s="5">
        <f>G47*Eras!G$4</f>
        <v/>
      </c>
      <c r="H49" s="5">
        <f>H47*Eras!H$4</f>
        <v/>
      </c>
      <c r="I49" s="5">
        <f>I47*Eras!I$4</f>
        <v/>
      </c>
      <c r="J49" s="5">
        <f>J47*Eras!J$4</f>
        <v/>
      </c>
      <c r="K49" s="5">
        <f>K47*Eras!K$4</f>
        <v/>
      </c>
      <c r="L49" s="5">
        <f>L47*Eras!L$4</f>
        <v/>
      </c>
      <c r="M49" s="5">
        <f>M47*Eras!M$4</f>
        <v/>
      </c>
      <c r="N49" s="5">
        <f>N47*Eras!N$4</f>
        <v/>
      </c>
      <c r="O49" s="5">
        <f>O47*Eras!O$4</f>
        <v/>
      </c>
      <c r="P49" s="5">
        <f>P47*Eras!P$4</f>
        <v/>
      </c>
      <c r="Q49" s="5">
        <f>Q47*Eras!Q$4</f>
        <v/>
      </c>
      <c r="R49" s="5">
        <f>R47*Eras!R$4</f>
        <v/>
      </c>
      <c r="S49" s="5">
        <f>S47*Eras!S$4</f>
        <v/>
      </c>
      <c r="T49" s="5">
        <f>T47*Eras!T$4</f>
        <v/>
      </c>
      <c r="U49" s="5">
        <f>U47*Eras!U$4</f>
        <v/>
      </c>
      <c r="V49" s="5">
        <f>V47*Eras!V$4</f>
        <v/>
      </c>
      <c r="W49" s="5">
        <f>W47*Eras!W$4</f>
        <v/>
      </c>
      <c r="X49" s="5">
        <f>X47*Eras!X$4</f>
        <v/>
      </c>
      <c r="Y49" s="5">
        <f>Y47*Eras!Y$4</f>
        <v/>
      </c>
      <c r="Z49" s="5">
        <f>Z47*Eras!Z$4</f>
        <v/>
      </c>
      <c r="AA49" s="5">
        <f>AA47*Eras!AA$4</f>
        <v/>
      </c>
      <c r="AB49" s="5">
        <f>AB47*Eras!AB$4</f>
        <v/>
      </c>
      <c r="AC49" s="5">
        <f>AC47*Eras!AC$4</f>
        <v/>
      </c>
      <c r="AD49" s="5">
        <f>AD47*Eras!AD$4</f>
        <v/>
      </c>
      <c r="AE49" s="5">
        <f>AE47*Eras!AE$4</f>
        <v/>
      </c>
      <c r="AF49" s="5">
        <f>AF47*Eras!AF$4</f>
        <v/>
      </c>
      <c r="AG49" s="5">
        <f>AG47*Eras!AG$4</f>
        <v/>
      </c>
      <c r="AH49" s="5">
        <f>AH47*Eras!AH$4</f>
        <v/>
      </c>
      <c r="AI49" s="5">
        <f>AI47*Eras!AI$4</f>
        <v/>
      </c>
      <c r="AJ49" s="5">
        <f>AJ47*Eras!AJ$4</f>
        <v/>
      </c>
      <c r="AK49" s="5">
        <f>AK47*Eras!AK$4</f>
        <v/>
      </c>
      <c r="AL49" s="5">
        <f>AL47*Eras!AL$4</f>
        <v/>
      </c>
      <c r="AM49" s="5">
        <f>AM47*Eras!AM$4</f>
        <v/>
      </c>
      <c r="AN49" s="5">
        <f>AN47*Eras!AN$4</f>
        <v/>
      </c>
      <c r="AO49" s="5">
        <f>AO47*Eras!AO$4</f>
        <v/>
      </c>
      <c r="AP49" s="5">
        <f>AP47*Eras!AP$4</f>
        <v/>
      </c>
      <c r="AQ49" s="5">
        <f>AQ47*Eras!AQ$4</f>
        <v/>
      </c>
      <c r="AR49" s="5">
        <f>AR47*Eras!AR$4</f>
        <v/>
      </c>
      <c r="AS49" s="5">
        <f>AS47*Eras!AS$4</f>
        <v/>
      </c>
      <c r="AT49" s="5">
        <f>AT47*Eras!AT$4</f>
        <v/>
      </c>
      <c r="AU49" s="5">
        <f>AU47*Eras!AU$4</f>
        <v/>
      </c>
      <c r="AV49" s="5">
        <f>AV47*Eras!AV$4</f>
        <v/>
      </c>
      <c r="AW49" s="5">
        <f>AW47*Eras!AW$4</f>
        <v/>
      </c>
      <c r="AX49" s="5">
        <f>AX47*Eras!AX$4</f>
        <v/>
      </c>
      <c r="AY49" s="5">
        <f>AY47*Eras!AY$4</f>
        <v/>
      </c>
      <c r="AZ49" s="5">
        <f>AZ47*Eras!AZ$4</f>
        <v/>
      </c>
      <c r="BA49" s="5">
        <f>BA47*Eras!BA$4</f>
        <v/>
      </c>
      <c r="BB49" s="5">
        <f>BB47*Eras!BB$4</f>
        <v/>
      </c>
      <c r="BC49" s="5">
        <f>BC47*Eras!BC$4</f>
        <v/>
      </c>
      <c r="BD49" s="5">
        <f>BD47*Eras!BD$4</f>
        <v/>
      </c>
      <c r="BE49" s="5">
        <f>BE47*Eras!BE$4</f>
        <v/>
      </c>
      <c r="BF49" s="5">
        <f>BF47*Eras!BF$4</f>
        <v/>
      </c>
      <c r="BG49" s="5">
        <f>BG47*Eras!BG$4</f>
        <v/>
      </c>
      <c r="BH49" s="5">
        <f>BH47*Eras!BH$4</f>
        <v/>
      </c>
      <c r="BI49" s="5">
        <f>BI47*Eras!BI$4</f>
        <v/>
      </c>
      <c r="BJ49" s="5">
        <f>BJ47*Eras!BJ$4</f>
        <v/>
      </c>
      <c r="BK49" s="5">
        <f>BK47*Eras!BK$4</f>
        <v/>
      </c>
      <c r="BL49" s="5">
        <f>BL47*Eras!BL$4</f>
        <v/>
      </c>
      <c r="BM49" s="5">
        <f>BM47*Eras!BM$4</f>
        <v/>
      </c>
      <c r="BN49" s="5">
        <f>BN47*Eras!BN$4</f>
        <v/>
      </c>
      <c r="BO49" s="5">
        <f>BO47*Eras!BO$4</f>
        <v/>
      </c>
      <c r="BP49" s="5">
        <f>BP47*Eras!BP$4</f>
        <v/>
      </c>
      <c r="BQ49" s="5">
        <f>BQ47*Eras!BQ$4</f>
        <v/>
      </c>
      <c r="BR49" s="5">
        <f>BR47*Eras!BR$4</f>
        <v/>
      </c>
      <c r="BS49" s="5">
        <f>BS47*Eras!BS$4</f>
        <v/>
      </c>
      <c r="BT49" s="5">
        <f>BT47*Eras!BT$4</f>
        <v/>
      </c>
      <c r="BU49" s="5">
        <f>BU47*Eras!BU$4</f>
        <v/>
      </c>
      <c r="BV49" s="5">
        <f>BV47*Eras!BV$4</f>
        <v/>
      </c>
    </row>
    <row r="50">
      <c r="A50" t="inlineStr">
        <is>
          <t>reactivated in @2</t>
        </is>
      </c>
      <c r="B50" t="inlineStr">
        <is>
          <t>US_CA|BASIC_A</t>
        </is>
      </c>
      <c r="C50" s="5">
        <f>C47*Eras!C$5</f>
        <v/>
      </c>
      <c r="D50" s="5">
        <f>D47*Eras!D$5</f>
        <v/>
      </c>
      <c r="E50" s="5">
        <f>E47*Eras!E$5</f>
        <v/>
      </c>
      <c r="F50" s="5">
        <f>F47*Eras!F$5</f>
        <v/>
      </c>
      <c r="G50" s="5">
        <f>G47*Eras!G$5</f>
        <v/>
      </c>
      <c r="H50" s="5">
        <f>H47*Eras!H$5</f>
        <v/>
      </c>
      <c r="I50" s="5">
        <f>I47*Eras!I$5</f>
        <v/>
      </c>
      <c r="J50" s="5">
        <f>J47*Eras!J$5</f>
        <v/>
      </c>
      <c r="K50" s="5">
        <f>K47*Eras!K$5</f>
        <v/>
      </c>
      <c r="L50" s="5">
        <f>L47*Eras!L$5</f>
        <v/>
      </c>
      <c r="M50" s="5">
        <f>M47*Eras!M$5</f>
        <v/>
      </c>
      <c r="N50" s="5">
        <f>N47*Eras!N$5</f>
        <v/>
      </c>
      <c r="O50" s="5">
        <f>O47*Eras!O$5</f>
        <v/>
      </c>
      <c r="P50" s="5">
        <f>P47*Eras!P$5</f>
        <v/>
      </c>
      <c r="Q50" s="5">
        <f>Q47*Eras!Q$5</f>
        <v/>
      </c>
      <c r="R50" s="5">
        <f>R47*Eras!R$5</f>
        <v/>
      </c>
      <c r="S50" s="5">
        <f>S47*Eras!S$5</f>
        <v/>
      </c>
      <c r="T50" s="5">
        <f>T47*Eras!T$5</f>
        <v/>
      </c>
      <c r="U50" s="5">
        <f>U47*Eras!U$5</f>
        <v/>
      </c>
      <c r="V50" s="5">
        <f>V47*Eras!V$5</f>
        <v/>
      </c>
      <c r="W50" s="5">
        <f>W47*Eras!W$5</f>
        <v/>
      </c>
      <c r="X50" s="5">
        <f>X47*Eras!X$5</f>
        <v/>
      </c>
      <c r="Y50" s="5">
        <f>Y47*Eras!Y$5</f>
        <v/>
      </c>
      <c r="Z50" s="5">
        <f>Z47*Eras!Z$5</f>
        <v/>
      </c>
      <c r="AA50" s="5">
        <f>AA47*Eras!AA$5</f>
        <v/>
      </c>
      <c r="AB50" s="5">
        <f>AB47*Eras!AB$5</f>
        <v/>
      </c>
      <c r="AC50" s="5">
        <f>AC47*Eras!AC$5</f>
        <v/>
      </c>
      <c r="AD50" s="5">
        <f>AD47*Eras!AD$5</f>
        <v/>
      </c>
      <c r="AE50" s="5">
        <f>AE47*Eras!AE$5</f>
        <v/>
      </c>
      <c r="AF50" s="5">
        <f>AF47*Eras!AF$5</f>
        <v/>
      </c>
      <c r="AG50" s="5">
        <f>AG47*Eras!AG$5</f>
        <v/>
      </c>
      <c r="AH50" s="5">
        <f>AH47*Eras!AH$5</f>
        <v/>
      </c>
      <c r="AI50" s="5">
        <f>AI47*Eras!AI$5</f>
        <v/>
      </c>
      <c r="AJ50" s="5">
        <f>AJ47*Eras!AJ$5</f>
        <v/>
      </c>
      <c r="AK50" s="5">
        <f>AK47*Eras!AK$5</f>
        <v/>
      </c>
      <c r="AL50" s="5">
        <f>AL47*Eras!AL$5</f>
        <v/>
      </c>
      <c r="AM50" s="5">
        <f>AM47*Eras!AM$5</f>
        <v/>
      </c>
      <c r="AN50" s="5">
        <f>AN47*Eras!AN$5</f>
        <v/>
      </c>
      <c r="AO50" s="5">
        <f>AO47*Eras!AO$5</f>
        <v/>
      </c>
      <c r="AP50" s="5">
        <f>AP47*Eras!AP$5</f>
        <v/>
      </c>
      <c r="AQ50" s="5">
        <f>AQ47*Eras!AQ$5</f>
        <v/>
      </c>
      <c r="AR50" s="5">
        <f>AR47*Eras!AR$5</f>
        <v/>
      </c>
      <c r="AS50" s="5">
        <f>AS47*Eras!AS$5</f>
        <v/>
      </c>
      <c r="AT50" s="5">
        <f>AT47*Eras!AT$5</f>
        <v/>
      </c>
      <c r="AU50" s="5">
        <f>AU47*Eras!AU$5</f>
        <v/>
      </c>
      <c r="AV50" s="5">
        <f>AV47*Eras!AV$5</f>
        <v/>
      </c>
      <c r="AW50" s="5">
        <f>AW47*Eras!AW$5</f>
        <v/>
      </c>
      <c r="AX50" s="5">
        <f>AX47*Eras!AX$5</f>
        <v/>
      </c>
      <c r="AY50" s="5">
        <f>AY47*Eras!AY$5</f>
        <v/>
      </c>
      <c r="AZ50" s="5">
        <f>AZ47*Eras!AZ$5</f>
        <v/>
      </c>
      <c r="BA50" s="5">
        <f>BA47*Eras!BA$5</f>
        <v/>
      </c>
      <c r="BB50" s="5">
        <f>BB47*Eras!BB$5</f>
        <v/>
      </c>
      <c r="BC50" s="5">
        <f>BC47*Eras!BC$5</f>
        <v/>
      </c>
      <c r="BD50" s="5">
        <f>BD47*Eras!BD$5</f>
        <v/>
      </c>
      <c r="BE50" s="5">
        <f>BE47*Eras!BE$5</f>
        <v/>
      </c>
      <c r="BF50" s="5">
        <f>BF47*Eras!BF$5</f>
        <v/>
      </c>
      <c r="BG50" s="5">
        <f>BG47*Eras!BG$5</f>
        <v/>
      </c>
      <c r="BH50" s="5">
        <f>BH47*Eras!BH$5</f>
        <v/>
      </c>
      <c r="BI50" s="5">
        <f>BI47*Eras!BI$5</f>
        <v/>
      </c>
      <c r="BJ50" s="5">
        <f>BJ47*Eras!BJ$5</f>
        <v/>
      </c>
      <c r="BK50" s="5">
        <f>BK47*Eras!BK$5</f>
        <v/>
      </c>
      <c r="BL50" s="5">
        <f>BL47*Eras!BL$5</f>
        <v/>
      </c>
      <c r="BM50" s="5">
        <f>BM47*Eras!BM$5</f>
        <v/>
      </c>
      <c r="BN50" s="5">
        <f>BN47*Eras!BN$5</f>
        <v/>
      </c>
      <c r="BO50" s="5">
        <f>BO47*Eras!BO$5</f>
        <v/>
      </c>
      <c r="BP50" s="5">
        <f>BP47*Eras!BP$5</f>
        <v/>
      </c>
      <c r="BQ50" s="5">
        <f>BQ47*Eras!BQ$5</f>
        <v/>
      </c>
      <c r="BR50" s="5">
        <f>BR47*Eras!BR$5</f>
        <v/>
      </c>
      <c r="BS50" s="5">
        <f>BS47*Eras!BS$5</f>
        <v/>
      </c>
      <c r="BT50" s="5">
        <f>BT47*Eras!BT$5</f>
        <v/>
      </c>
      <c r="BU50" s="5">
        <f>BU47*Eras!BU$5</f>
        <v/>
      </c>
      <c r="BV50" s="5">
        <f>BV47*Eras!BV$5</f>
        <v/>
      </c>
    </row>
    <row r="51">
      <c r="A51" t="inlineStr">
        <is>
          <t>active</t>
        </is>
      </c>
      <c r="B51" t="inlineStr">
        <is>
          <t>US_CA|BASIC_A</t>
        </is>
      </c>
      <c r="C51" s="5">
        <f>React!$C$48*Curves!$BV$19+React!$C$49*Curves!$BV$42+React!$C$50*Curves!$BV$65</f>
        <v/>
      </c>
      <c r="D51" s="5">
        <f>SUMPRODUCT(React!$C$48:$D$48,Curves!$BU$19:$BV$19)+SUMPRODUCT(React!$C$49:$D$49,Curves!$BU$42:$BV$42)+SUMPRODUCT(React!$C$50:$D$50,Curves!$BU$65:$BV$65)</f>
        <v/>
      </c>
      <c r="E51" s="5">
        <f>SUMPRODUCT(React!$C$48:$E$48,Curves!$BT$19:$BV$19)+SUMPRODUCT(React!$C$49:$E$49,Curves!$BT$42:$BV$42)+SUMPRODUCT(React!$C$50:$E$50,Curves!$BT$65:$BV$65)</f>
        <v/>
      </c>
      <c r="F51" s="5">
        <f>SUMPRODUCT(React!$C$48:$F$48,Curves!$BS$19:$BV$19)+SUMPRODUCT(React!$C$49:$F$49,Curves!$BS$42:$BV$42)+SUMPRODUCT(React!$C$50:$F$50,Curves!$BS$65:$BV$65)</f>
        <v/>
      </c>
      <c r="G51" s="5">
        <f>SUMPRODUCT(React!$C$48:$G$48,Curves!$BR$19:$BV$19)+SUMPRODUCT(React!$C$49:$G$49,Curves!$BR$42:$BV$42)+SUMPRODUCT(React!$C$50:$G$50,Curves!$BR$65:$BV$65)</f>
        <v/>
      </c>
      <c r="H51" s="5">
        <f>SUMPRODUCT(React!$C$48:$H$48,Curves!$BQ$19:$BV$19)+SUMPRODUCT(React!$C$49:$H$49,Curves!$BQ$42:$BV$42)+SUMPRODUCT(React!$C$50:$H$50,Curves!$BQ$65:$BV$65)</f>
        <v/>
      </c>
      <c r="I51" s="5">
        <f>SUMPRODUCT(React!$C$48:$I$48,Curves!$BP$19:$BV$19)+SUMPRODUCT(React!$C$49:$I$49,Curves!$BP$42:$BV$42)+SUMPRODUCT(React!$C$50:$I$50,Curves!$BP$65:$BV$65)</f>
        <v/>
      </c>
      <c r="J51" s="5">
        <f>SUMPRODUCT(React!$C$48:$J$48,Curves!$BO$19:$BV$19)+SUMPRODUCT(React!$C$49:$J$49,Curves!$BO$42:$BV$42)+SUMPRODUCT(React!$C$50:$J$50,Curves!$BO$65:$BV$65)</f>
        <v/>
      </c>
      <c r="K51" s="5">
        <f>SUMPRODUCT(React!$C$48:$K$48,Curves!$BN$19:$BV$19)+SUMPRODUCT(React!$C$49:$K$49,Curves!$BN$42:$BV$42)+SUMPRODUCT(React!$C$50:$K$50,Curves!$BN$65:$BV$65)</f>
        <v/>
      </c>
      <c r="L51" s="5">
        <f>SUMPRODUCT(React!$C$48:$L$48,Curves!$BM$19:$BV$19)+SUMPRODUCT(React!$C$49:$L$49,Curves!$BM$42:$BV$42)+SUMPRODUCT(React!$C$50:$L$50,Curves!$BM$65:$BV$65)</f>
        <v/>
      </c>
      <c r="M51" s="5">
        <f>SUMPRODUCT(React!$C$48:$M$48,Curves!$BL$19:$BV$19)+SUMPRODUCT(React!$C$49:$M$49,Curves!$BL$42:$BV$42)+SUMPRODUCT(React!$C$50:$M$50,Curves!$BL$65:$BV$65)</f>
        <v/>
      </c>
      <c r="N51" s="5">
        <f>SUMPRODUCT(React!$C$48:$N$48,Curves!$BK$19:$BV$19)+SUMPRODUCT(React!$C$49:$N$49,Curves!$BK$42:$BV$42)+SUMPRODUCT(React!$C$50:$N$50,Curves!$BK$65:$BV$65)</f>
        <v/>
      </c>
      <c r="O51" s="5">
        <f>SUMPRODUCT(React!$C$48:$O$48,Curves!$BJ$19:$BV$19)+SUMPRODUCT(React!$C$49:$O$49,Curves!$BJ$42:$BV$42)+SUMPRODUCT(React!$C$50:$O$50,Curves!$BJ$65:$BV$65)</f>
        <v/>
      </c>
      <c r="P51" s="5">
        <f>SUMPRODUCT(React!$C$48:$P$48,Curves!$BI$19:$BV$19)+SUMPRODUCT(React!$C$49:$P$49,Curves!$BI$42:$BV$42)+SUMPRODUCT(React!$C$50:$P$50,Curves!$BI$65:$BV$65)</f>
        <v/>
      </c>
      <c r="Q51" s="5">
        <f>SUMPRODUCT(React!$C$48:$Q$48,Curves!$BH$19:$BV$19)+SUMPRODUCT(React!$C$49:$Q$49,Curves!$BH$42:$BV$42)+SUMPRODUCT(React!$C$50:$Q$50,Curves!$BH$65:$BV$65)</f>
        <v/>
      </c>
      <c r="R51" s="5">
        <f>SUMPRODUCT(React!$C$48:$R$48,Curves!$BG$19:$BV$19)+SUMPRODUCT(React!$C$49:$R$49,Curves!$BG$42:$BV$42)+SUMPRODUCT(React!$C$50:$R$50,Curves!$BG$65:$BV$65)</f>
        <v/>
      </c>
      <c r="S51" s="5">
        <f>SUMPRODUCT(React!$C$48:$S$48,Curves!$BF$19:$BV$19)+SUMPRODUCT(React!$C$49:$S$49,Curves!$BF$42:$BV$42)+SUMPRODUCT(React!$C$50:$S$50,Curves!$BF$65:$BV$65)</f>
        <v/>
      </c>
      <c r="T51" s="5">
        <f>SUMPRODUCT(React!$C$48:$T$48,Curves!$BE$19:$BV$19)+SUMPRODUCT(React!$C$49:$T$49,Curves!$BE$42:$BV$42)+SUMPRODUCT(React!$C$50:$T$50,Curves!$BE$65:$BV$65)</f>
        <v/>
      </c>
      <c r="U51" s="5">
        <f>SUMPRODUCT(React!$C$48:$U$48,Curves!$BD$19:$BV$19)+SUMPRODUCT(React!$C$49:$U$49,Curves!$BD$42:$BV$42)+SUMPRODUCT(React!$C$50:$U$50,Curves!$BD$65:$BV$65)</f>
        <v/>
      </c>
      <c r="V51" s="5">
        <f>SUMPRODUCT(React!$C$48:$V$48,Curves!$BC$19:$BV$19)+SUMPRODUCT(React!$C$49:$V$49,Curves!$BC$42:$BV$42)+SUMPRODUCT(React!$C$50:$V$50,Curves!$BC$65:$BV$65)</f>
        <v/>
      </c>
      <c r="W51" s="5">
        <f>SUMPRODUCT(React!$C$48:$W$48,Curves!$BB$19:$BV$19)+SUMPRODUCT(React!$C$49:$W$49,Curves!$BB$42:$BV$42)+SUMPRODUCT(React!$C$50:$W$50,Curves!$BB$65:$BV$65)</f>
        <v/>
      </c>
      <c r="X51" s="5">
        <f>SUMPRODUCT(React!$C$48:$X$48,Curves!$BA$19:$BV$19)+SUMPRODUCT(React!$C$49:$X$49,Curves!$BA$42:$BV$42)+SUMPRODUCT(React!$C$50:$X$50,Curves!$BA$65:$BV$65)</f>
        <v/>
      </c>
      <c r="Y51" s="5">
        <f>SUMPRODUCT(React!$C$48:$Y$48,Curves!$AZ$19:$BV$19)+SUMPRODUCT(React!$C$49:$Y$49,Curves!$AZ$42:$BV$42)+SUMPRODUCT(React!$C$50:$Y$50,Curves!$AZ$65:$BV$65)</f>
        <v/>
      </c>
      <c r="Z51" s="5">
        <f>SUMPRODUCT(React!$C$48:$Z$48,Curves!$AY$19:$BV$19)+SUMPRODUCT(React!$C$49:$Z$49,Curves!$AY$42:$BV$42)+SUMPRODUCT(React!$C$50:$Z$50,Curves!$AY$65:$BV$65)</f>
        <v/>
      </c>
      <c r="AA51" s="5">
        <f>SUMPRODUCT(React!$C$48:$AA$48,Curves!$AX$19:$BV$19)+SUMPRODUCT(React!$C$49:$AA$49,Curves!$AX$42:$BV$42)+SUMPRODUCT(React!$C$50:$AA$50,Curves!$AX$65:$BV$65)</f>
        <v/>
      </c>
      <c r="AB51" s="5">
        <f>SUMPRODUCT(React!$C$48:$AB$48,Curves!$AW$19:$BV$19)+SUMPRODUCT(React!$C$49:$AB$49,Curves!$AW$42:$BV$42)+SUMPRODUCT(React!$C$50:$AB$50,Curves!$AW$65:$BV$65)</f>
        <v/>
      </c>
      <c r="AC51" s="5">
        <f>SUMPRODUCT(React!$C$48:$AC$48,Curves!$AV$19:$BV$19)+SUMPRODUCT(React!$C$49:$AC$49,Curves!$AV$42:$BV$42)+SUMPRODUCT(React!$C$50:$AC$50,Curves!$AV$65:$BV$65)</f>
        <v/>
      </c>
      <c r="AD51" s="5">
        <f>SUMPRODUCT(React!$C$48:$AD$48,Curves!$AU$19:$BV$19)+SUMPRODUCT(React!$C$49:$AD$49,Curves!$AU$42:$BV$42)+SUMPRODUCT(React!$C$50:$AD$50,Curves!$AU$65:$BV$65)</f>
        <v/>
      </c>
      <c r="AE51" s="5">
        <f>SUMPRODUCT(React!$C$48:$AE$48,Curves!$AT$19:$BV$19)+SUMPRODUCT(React!$C$49:$AE$49,Curves!$AT$42:$BV$42)+SUMPRODUCT(React!$C$50:$AE$50,Curves!$AT$65:$BV$65)</f>
        <v/>
      </c>
      <c r="AF51" s="5">
        <f>SUMPRODUCT(React!$C$48:$AF$48,Curves!$AS$19:$BV$19)+SUMPRODUCT(React!$C$49:$AF$49,Curves!$AS$42:$BV$42)+SUMPRODUCT(React!$C$50:$AF$50,Curves!$AS$65:$BV$65)</f>
        <v/>
      </c>
      <c r="AG51" s="5">
        <f>SUMPRODUCT(React!$C$48:$AG$48,Curves!$AR$19:$BV$19)+SUMPRODUCT(React!$C$49:$AG$49,Curves!$AR$42:$BV$42)+SUMPRODUCT(React!$C$50:$AG$50,Curves!$AR$65:$BV$65)</f>
        <v/>
      </c>
      <c r="AH51" s="5">
        <f>SUMPRODUCT(React!$C$48:$AH$48,Curves!$AQ$19:$BV$19)+SUMPRODUCT(React!$C$49:$AH$49,Curves!$AQ$42:$BV$42)+SUMPRODUCT(React!$C$50:$AH$50,Curves!$AQ$65:$BV$65)</f>
        <v/>
      </c>
      <c r="AI51" s="5">
        <f>SUMPRODUCT(React!$C$48:$AI$48,Curves!$AP$19:$BV$19)+SUMPRODUCT(React!$C$49:$AI$49,Curves!$AP$42:$BV$42)+SUMPRODUCT(React!$C$50:$AI$50,Curves!$AP$65:$BV$65)</f>
        <v/>
      </c>
      <c r="AJ51" s="5">
        <f>SUMPRODUCT(React!$C$48:$AJ$48,Curves!$AO$19:$BV$19)+SUMPRODUCT(React!$C$49:$AJ$49,Curves!$AO$42:$BV$42)+SUMPRODUCT(React!$C$50:$AJ$50,Curves!$AO$65:$BV$65)</f>
        <v/>
      </c>
      <c r="AK51" s="5">
        <f>SUMPRODUCT(React!$C$48:$AK$48,Curves!$AN$19:$BV$19)+SUMPRODUCT(React!$C$49:$AK$49,Curves!$AN$42:$BV$42)+SUMPRODUCT(React!$C$50:$AK$50,Curves!$AN$65:$BV$65)</f>
        <v/>
      </c>
      <c r="AL51" s="5">
        <f>SUMPRODUCT(React!$C$48:$AL$48,Curves!$AM$19:$BV$19)+SUMPRODUCT(React!$C$49:$AL$49,Curves!$AM$42:$BV$42)+SUMPRODUCT(React!$C$50:$AL$50,Curves!$AM$65:$BV$65)</f>
        <v/>
      </c>
      <c r="AM51" s="5">
        <f>SUMPRODUCT(React!$C$48:$AM$48,Curves!$AL$19:$BV$19)+SUMPRODUCT(React!$C$49:$AM$49,Curves!$AL$42:$BV$42)+SUMPRODUCT(React!$C$50:$AM$50,Curves!$AL$65:$BV$65)</f>
        <v/>
      </c>
      <c r="AN51" s="5">
        <f>SUMPRODUCT(React!$C$48:$AN$48,Curves!$AK$19:$BV$19)+SUMPRODUCT(React!$C$49:$AN$49,Curves!$AK$42:$BV$42)+SUMPRODUCT(React!$C$50:$AN$50,Curves!$AK$65:$BV$65)</f>
        <v/>
      </c>
      <c r="AO51" s="5">
        <f>SUMPRODUCT(React!$C$48:$AO$48,Curves!$AJ$19:$BV$19)+SUMPRODUCT(React!$C$49:$AO$49,Curves!$AJ$42:$BV$42)+SUMPRODUCT(React!$C$50:$AO$50,Curves!$AJ$65:$BV$65)</f>
        <v/>
      </c>
      <c r="AP51" s="5">
        <f>SUMPRODUCT(React!$C$48:$AP$48,Curves!$AI$19:$BV$19)+SUMPRODUCT(React!$C$49:$AP$49,Curves!$AI$42:$BV$42)+SUMPRODUCT(React!$C$50:$AP$50,Curves!$AI$65:$BV$65)</f>
        <v/>
      </c>
      <c r="AQ51" s="5">
        <f>SUMPRODUCT(React!$C$48:$AQ$48,Curves!$AH$19:$BV$19)+SUMPRODUCT(React!$C$49:$AQ$49,Curves!$AH$42:$BV$42)+SUMPRODUCT(React!$C$50:$AQ$50,Curves!$AH$65:$BV$65)</f>
        <v/>
      </c>
      <c r="AR51" s="5">
        <f>SUMPRODUCT(React!$C$48:$AR$48,Curves!$AG$19:$BV$19)+SUMPRODUCT(React!$C$49:$AR$49,Curves!$AG$42:$BV$42)+SUMPRODUCT(React!$C$50:$AR$50,Curves!$AG$65:$BV$65)</f>
        <v/>
      </c>
      <c r="AS51" s="5">
        <f>SUMPRODUCT(React!$C$48:$AS$48,Curves!$AF$19:$BV$19)+SUMPRODUCT(React!$C$49:$AS$49,Curves!$AF$42:$BV$42)+SUMPRODUCT(React!$C$50:$AS$50,Curves!$AF$65:$BV$65)</f>
        <v/>
      </c>
      <c r="AT51" s="5">
        <f>SUMPRODUCT(React!$C$48:$AT$48,Curves!$AE$19:$BV$19)+SUMPRODUCT(React!$C$49:$AT$49,Curves!$AE$42:$BV$42)+SUMPRODUCT(React!$C$50:$AT$50,Curves!$AE$65:$BV$65)</f>
        <v/>
      </c>
      <c r="AU51" s="5">
        <f>SUMPRODUCT(React!$C$48:$AU$48,Curves!$AD$19:$BV$19)+SUMPRODUCT(React!$C$49:$AU$49,Curves!$AD$42:$BV$42)+SUMPRODUCT(React!$C$50:$AU$50,Curves!$AD$65:$BV$65)</f>
        <v/>
      </c>
      <c r="AV51" s="5">
        <f>SUMPRODUCT(React!$C$48:$AV$48,Curves!$AC$19:$BV$19)+SUMPRODUCT(React!$C$49:$AV$49,Curves!$AC$42:$BV$42)+SUMPRODUCT(React!$C$50:$AV$50,Curves!$AC$65:$BV$65)</f>
        <v/>
      </c>
      <c r="AW51" s="5">
        <f>SUMPRODUCT(React!$C$48:$AW$48,Curves!$AB$19:$BV$19)+SUMPRODUCT(React!$C$49:$AW$49,Curves!$AB$42:$BV$42)+SUMPRODUCT(React!$C$50:$AW$50,Curves!$AB$65:$BV$65)</f>
        <v/>
      </c>
      <c r="AX51" s="5">
        <f>SUMPRODUCT(React!$C$48:$AX$48,Curves!$AA$19:$BV$19)+SUMPRODUCT(React!$C$49:$AX$49,Curves!$AA$42:$BV$42)+SUMPRODUCT(React!$C$50:$AX$50,Curves!$AA$65:$BV$65)</f>
        <v/>
      </c>
      <c r="AY51" s="5">
        <f>SUMPRODUCT(React!$C$48:$AY$48,Curves!$Z$19:$BV$19)+SUMPRODUCT(React!$C$49:$AY$49,Curves!$Z$42:$BV$42)+SUMPRODUCT(React!$C$50:$AY$50,Curves!$Z$65:$BV$65)</f>
        <v/>
      </c>
      <c r="AZ51" s="5">
        <f>SUMPRODUCT(React!$C$48:$AZ$48,Curves!$Y$19:$BV$19)+SUMPRODUCT(React!$C$49:$AZ$49,Curves!$Y$42:$BV$42)+SUMPRODUCT(React!$C$50:$AZ$50,Curves!$Y$65:$BV$65)</f>
        <v/>
      </c>
      <c r="BA51" s="5">
        <f>SUMPRODUCT(React!$C$48:$BA$48,Curves!$X$19:$BV$19)+SUMPRODUCT(React!$C$49:$BA$49,Curves!$X$42:$BV$42)+SUMPRODUCT(React!$C$50:$BA$50,Curves!$X$65:$BV$65)</f>
        <v/>
      </c>
      <c r="BB51" s="5">
        <f>SUMPRODUCT(React!$C$48:$BB$48,Curves!$W$19:$BV$19)+SUMPRODUCT(React!$C$49:$BB$49,Curves!$W$42:$BV$42)+SUMPRODUCT(React!$C$50:$BB$50,Curves!$W$65:$BV$65)</f>
        <v/>
      </c>
      <c r="BC51" s="5">
        <f>SUMPRODUCT(React!$C$48:$BC$48,Curves!$V$19:$BV$19)+SUMPRODUCT(React!$C$49:$BC$49,Curves!$V$42:$BV$42)+SUMPRODUCT(React!$C$50:$BC$50,Curves!$V$65:$BV$65)</f>
        <v/>
      </c>
      <c r="BD51" s="5">
        <f>SUMPRODUCT(React!$C$48:$BD$48,Curves!$U$19:$BV$19)+SUMPRODUCT(React!$C$49:$BD$49,Curves!$U$42:$BV$42)+SUMPRODUCT(React!$C$50:$BD$50,Curves!$U$65:$BV$65)</f>
        <v/>
      </c>
      <c r="BE51" s="5">
        <f>SUMPRODUCT(React!$C$48:$BE$48,Curves!$T$19:$BV$19)+SUMPRODUCT(React!$C$49:$BE$49,Curves!$T$42:$BV$42)+SUMPRODUCT(React!$C$50:$BE$50,Curves!$T$65:$BV$65)</f>
        <v/>
      </c>
      <c r="BF51" s="5">
        <f>SUMPRODUCT(React!$C$48:$BF$48,Curves!$S$19:$BV$19)+SUMPRODUCT(React!$C$49:$BF$49,Curves!$S$42:$BV$42)+SUMPRODUCT(React!$C$50:$BF$50,Curves!$S$65:$BV$65)</f>
        <v/>
      </c>
      <c r="BG51" s="5">
        <f>SUMPRODUCT(React!$C$48:$BG$48,Curves!$R$19:$BV$19)+SUMPRODUCT(React!$C$49:$BG$49,Curves!$R$42:$BV$42)+SUMPRODUCT(React!$C$50:$BG$50,Curves!$R$65:$BV$65)</f>
        <v/>
      </c>
      <c r="BH51" s="5">
        <f>SUMPRODUCT(React!$C$48:$BH$48,Curves!$Q$19:$BV$19)+SUMPRODUCT(React!$C$49:$BH$49,Curves!$Q$42:$BV$42)+SUMPRODUCT(React!$C$50:$BH$50,Curves!$Q$65:$BV$65)</f>
        <v/>
      </c>
      <c r="BI51" s="5">
        <f>SUMPRODUCT(React!$C$48:$BI$48,Curves!$P$19:$BV$19)+SUMPRODUCT(React!$C$49:$BI$49,Curves!$P$42:$BV$42)+SUMPRODUCT(React!$C$50:$BI$50,Curves!$P$65:$BV$65)</f>
        <v/>
      </c>
      <c r="BJ51" s="5">
        <f>SUMPRODUCT(React!$C$48:$BJ$48,Curves!$O$19:$BV$19)+SUMPRODUCT(React!$C$49:$BJ$49,Curves!$O$42:$BV$42)+SUMPRODUCT(React!$C$50:$BJ$50,Curves!$O$65:$BV$65)</f>
        <v/>
      </c>
      <c r="BK51" s="5">
        <f>SUMPRODUCT(React!$C$48:$BK$48,Curves!$N$19:$BV$19)+SUMPRODUCT(React!$C$49:$BK$49,Curves!$N$42:$BV$42)+SUMPRODUCT(React!$C$50:$BK$50,Curves!$N$65:$BV$65)</f>
        <v/>
      </c>
      <c r="BL51" s="5">
        <f>SUMPRODUCT(React!$C$48:$BL$48,Curves!$M$19:$BV$19)+SUMPRODUCT(React!$C$49:$BL$49,Curves!$M$42:$BV$42)+SUMPRODUCT(React!$C$50:$BL$50,Curves!$M$65:$BV$65)</f>
        <v/>
      </c>
      <c r="BM51" s="5">
        <f>SUMPRODUCT(React!$C$48:$BM$48,Curves!$L$19:$BV$19)+SUMPRODUCT(React!$C$49:$BM$49,Curves!$L$42:$BV$42)+SUMPRODUCT(React!$C$50:$BM$50,Curves!$L$65:$BV$65)</f>
        <v/>
      </c>
      <c r="BN51" s="5">
        <f>SUMPRODUCT(React!$C$48:$BN$48,Curves!$K$19:$BV$19)+SUMPRODUCT(React!$C$49:$BN$49,Curves!$K$42:$BV$42)+SUMPRODUCT(React!$C$50:$BN$50,Curves!$K$65:$BV$65)</f>
        <v/>
      </c>
      <c r="BO51" s="5">
        <f>SUMPRODUCT(React!$C$48:$BO$48,Curves!$J$19:$BV$19)+SUMPRODUCT(React!$C$49:$BO$49,Curves!$J$42:$BV$42)+SUMPRODUCT(React!$C$50:$BO$50,Curves!$J$65:$BV$65)</f>
        <v/>
      </c>
      <c r="BP51" s="5">
        <f>SUMPRODUCT(React!$C$48:$BP$48,Curves!$I$19:$BV$19)+SUMPRODUCT(React!$C$49:$BP$49,Curves!$I$42:$BV$42)+SUMPRODUCT(React!$C$50:$BP$50,Curves!$I$65:$BV$65)</f>
        <v/>
      </c>
      <c r="BQ51" s="5">
        <f>SUMPRODUCT(React!$C$48:$BQ$48,Curves!$H$19:$BV$19)+SUMPRODUCT(React!$C$49:$BQ$49,Curves!$H$42:$BV$42)+SUMPRODUCT(React!$C$50:$BQ$50,Curves!$H$65:$BV$65)</f>
        <v/>
      </c>
      <c r="BR51" s="5">
        <f>SUMPRODUCT(React!$C$48:$BR$48,Curves!$G$19:$BV$19)+SUMPRODUCT(React!$C$49:$BR$49,Curves!$G$42:$BV$42)+SUMPRODUCT(React!$C$50:$BR$50,Curves!$G$65:$BV$65)</f>
        <v/>
      </c>
      <c r="BS51" s="5">
        <f>SUMPRODUCT(React!$C$48:$BS$48,Curves!$F$19:$BV$19)+SUMPRODUCT(React!$C$49:$BS$49,Curves!$F$42:$BV$42)+SUMPRODUCT(React!$C$50:$BS$50,Curves!$F$65:$BV$65)</f>
        <v/>
      </c>
      <c r="BT51" s="5">
        <f>SUMPRODUCT(React!$C$48:$BT$48,Curves!$E$19:$BV$19)+SUMPRODUCT(React!$C$49:$BT$49,Curves!$E$42:$BV$42)+SUMPRODUCT(React!$C$50:$BT$50,Curves!$E$65:$BV$65)</f>
        <v/>
      </c>
      <c r="BU51" s="5">
        <f>SUMPRODUCT(React!$C$48:$BU$48,Curves!$D$19:$BV$19)+SUMPRODUCT(React!$C$49:$BU$49,Curves!$D$42:$BV$42)+SUMPRODUCT(React!$C$50:$BU$50,Curves!$D$65:$BV$65)</f>
        <v/>
      </c>
      <c r="BV51" s="5">
        <f>SUMPRODUCT(React!$C$48:$BV$48,Curves!$C$19:$BV$19)+SUMPRODUCT(React!$C$49:$BV$49,Curves!$C$42:$BV$42)+SUMPRODUCT(React!$C$50:$BV$50,Curves!$C$65:$BV$65)</f>
        <v/>
      </c>
    </row>
    <row r="52">
      <c r="A52" t="inlineStr">
        <is>
          <t>active yr 1</t>
        </is>
      </c>
      <c r="B52" t="inlineStr">
        <is>
          <t>US_CA|BASIC_A</t>
        </is>
      </c>
      <c r="C52" s="5">
        <f>React!$C$48*Curves!$BV$24+React!$C$49*Curves!$BV$47+React!$C$50*Curves!$BV$70</f>
        <v/>
      </c>
      <c r="D52" s="5">
        <f>SUMPRODUCT(React!$C$48:$D$48,Curves!$BU$24:$BV$24)+SUMPRODUCT(React!$C$49:$D$49,Curves!$BU$47:$BV$47)+SUMPRODUCT(React!$C$50:$D$50,Curves!$BU$70:$BV$70)</f>
        <v/>
      </c>
      <c r="E52" s="5">
        <f>SUMPRODUCT(React!$C$48:$E$48,Curves!$BT$24:$BV$24)+SUMPRODUCT(React!$C$49:$E$49,Curves!$BT$47:$BV$47)+SUMPRODUCT(React!$C$50:$E$50,Curves!$BT$70:$BV$70)</f>
        <v/>
      </c>
      <c r="F52" s="5">
        <f>SUMPRODUCT(React!$C$48:$F$48,Curves!$BS$24:$BV$24)+SUMPRODUCT(React!$C$49:$F$49,Curves!$BS$47:$BV$47)+SUMPRODUCT(React!$C$50:$F$50,Curves!$BS$70:$BV$70)</f>
        <v/>
      </c>
      <c r="G52" s="5">
        <f>SUMPRODUCT(React!$C$48:$G$48,Curves!$BR$24:$BV$24)+SUMPRODUCT(React!$C$49:$G$49,Curves!$BR$47:$BV$47)+SUMPRODUCT(React!$C$50:$G$50,Curves!$BR$70:$BV$70)</f>
        <v/>
      </c>
      <c r="H52" s="5">
        <f>SUMPRODUCT(React!$C$48:$H$48,Curves!$BQ$24:$BV$24)+SUMPRODUCT(React!$C$49:$H$49,Curves!$BQ$47:$BV$47)+SUMPRODUCT(React!$C$50:$H$50,Curves!$BQ$70:$BV$70)</f>
        <v/>
      </c>
      <c r="I52" s="5">
        <f>SUMPRODUCT(React!$C$48:$I$48,Curves!$BP$24:$BV$24)+SUMPRODUCT(React!$C$49:$I$49,Curves!$BP$47:$BV$47)+SUMPRODUCT(React!$C$50:$I$50,Curves!$BP$70:$BV$70)</f>
        <v/>
      </c>
      <c r="J52" s="5">
        <f>SUMPRODUCT(React!$C$48:$J$48,Curves!$BO$24:$BV$24)+SUMPRODUCT(React!$C$49:$J$49,Curves!$BO$47:$BV$47)+SUMPRODUCT(React!$C$50:$J$50,Curves!$BO$70:$BV$70)</f>
        <v/>
      </c>
      <c r="K52" s="5">
        <f>SUMPRODUCT(React!$C$48:$K$48,Curves!$BN$24:$BV$24)+SUMPRODUCT(React!$C$49:$K$49,Curves!$BN$47:$BV$47)+SUMPRODUCT(React!$C$50:$K$50,Curves!$BN$70:$BV$70)</f>
        <v/>
      </c>
      <c r="L52" s="5">
        <f>SUMPRODUCT(React!$C$48:$L$48,Curves!$BM$24:$BV$24)+SUMPRODUCT(React!$C$49:$L$49,Curves!$BM$47:$BV$47)+SUMPRODUCT(React!$C$50:$L$50,Curves!$BM$70:$BV$70)</f>
        <v/>
      </c>
      <c r="M52" s="5">
        <f>SUMPRODUCT(React!$C$48:$M$48,Curves!$BL$24:$BV$24)+SUMPRODUCT(React!$C$49:$M$49,Curves!$BL$47:$BV$47)+SUMPRODUCT(React!$C$50:$M$50,Curves!$BL$70:$BV$70)</f>
        <v/>
      </c>
      <c r="N52" s="5">
        <f>SUMPRODUCT(React!$C$48:$N$48,Curves!$BK$24:$BV$24)+SUMPRODUCT(React!$C$49:$N$49,Curves!$BK$47:$BV$47)+SUMPRODUCT(React!$C$50:$N$50,Curves!$BK$70:$BV$70)</f>
        <v/>
      </c>
      <c r="O52" s="5">
        <f>SUMPRODUCT(React!$C$48:$O$48,Curves!$BJ$24:$BV$24)+SUMPRODUCT(React!$C$49:$O$49,Curves!$BJ$47:$BV$47)+SUMPRODUCT(React!$C$50:$O$50,Curves!$BJ$70:$BV$70)</f>
        <v/>
      </c>
      <c r="P52" s="5">
        <f>SUMPRODUCT(React!$C$48:$P$48,Curves!$BI$24:$BV$24)+SUMPRODUCT(React!$C$49:$P$49,Curves!$BI$47:$BV$47)+SUMPRODUCT(React!$C$50:$P$50,Curves!$BI$70:$BV$70)</f>
        <v/>
      </c>
      <c r="Q52" s="5">
        <f>SUMPRODUCT(React!$C$48:$Q$48,Curves!$BH$24:$BV$24)+SUMPRODUCT(React!$C$49:$Q$49,Curves!$BH$47:$BV$47)+SUMPRODUCT(React!$C$50:$Q$50,Curves!$BH$70:$BV$70)</f>
        <v/>
      </c>
      <c r="R52" s="5">
        <f>SUMPRODUCT(React!$C$48:$R$48,Curves!$BG$24:$BV$24)+SUMPRODUCT(React!$C$49:$R$49,Curves!$BG$47:$BV$47)+SUMPRODUCT(React!$C$50:$R$50,Curves!$BG$70:$BV$70)</f>
        <v/>
      </c>
      <c r="S52" s="5">
        <f>SUMPRODUCT(React!$C$48:$S$48,Curves!$BF$24:$BV$24)+SUMPRODUCT(React!$C$49:$S$49,Curves!$BF$47:$BV$47)+SUMPRODUCT(React!$C$50:$S$50,Curves!$BF$70:$BV$70)</f>
        <v/>
      </c>
      <c r="T52" s="5">
        <f>SUMPRODUCT(React!$C$48:$T$48,Curves!$BE$24:$BV$24)+SUMPRODUCT(React!$C$49:$T$49,Curves!$BE$47:$BV$47)+SUMPRODUCT(React!$C$50:$T$50,Curves!$BE$70:$BV$70)</f>
        <v/>
      </c>
      <c r="U52" s="5">
        <f>SUMPRODUCT(React!$C$48:$U$48,Curves!$BD$24:$BV$24)+SUMPRODUCT(React!$C$49:$U$49,Curves!$BD$47:$BV$47)+SUMPRODUCT(React!$C$50:$U$50,Curves!$BD$70:$BV$70)</f>
        <v/>
      </c>
      <c r="V52" s="5">
        <f>SUMPRODUCT(React!$C$48:$V$48,Curves!$BC$24:$BV$24)+SUMPRODUCT(React!$C$49:$V$49,Curves!$BC$47:$BV$47)+SUMPRODUCT(React!$C$50:$V$50,Curves!$BC$70:$BV$70)</f>
        <v/>
      </c>
      <c r="W52" s="5">
        <f>SUMPRODUCT(React!$C$48:$W$48,Curves!$BB$24:$BV$24)+SUMPRODUCT(React!$C$49:$W$49,Curves!$BB$47:$BV$47)+SUMPRODUCT(React!$C$50:$W$50,Curves!$BB$70:$BV$70)</f>
        <v/>
      </c>
      <c r="X52" s="5">
        <f>SUMPRODUCT(React!$C$48:$X$48,Curves!$BA$24:$BV$24)+SUMPRODUCT(React!$C$49:$X$49,Curves!$BA$47:$BV$47)+SUMPRODUCT(React!$C$50:$X$50,Curves!$BA$70:$BV$70)</f>
        <v/>
      </c>
      <c r="Y52" s="5">
        <f>SUMPRODUCT(React!$C$48:$Y$48,Curves!$AZ$24:$BV$24)+SUMPRODUCT(React!$C$49:$Y$49,Curves!$AZ$47:$BV$47)+SUMPRODUCT(React!$C$50:$Y$50,Curves!$AZ$70:$BV$70)</f>
        <v/>
      </c>
      <c r="Z52" s="5">
        <f>SUMPRODUCT(React!$C$48:$Z$48,Curves!$AY$24:$BV$24)+SUMPRODUCT(React!$C$49:$Z$49,Curves!$AY$47:$BV$47)+SUMPRODUCT(React!$C$50:$Z$50,Curves!$AY$70:$BV$70)</f>
        <v/>
      </c>
      <c r="AA52" s="5">
        <f>SUMPRODUCT(React!$C$48:$AA$48,Curves!$AX$24:$BV$24)+SUMPRODUCT(React!$C$49:$AA$49,Curves!$AX$47:$BV$47)+SUMPRODUCT(React!$C$50:$AA$50,Curves!$AX$70:$BV$70)</f>
        <v/>
      </c>
      <c r="AB52" s="5">
        <f>SUMPRODUCT(React!$C$48:$AB$48,Curves!$AW$24:$BV$24)+SUMPRODUCT(React!$C$49:$AB$49,Curves!$AW$47:$BV$47)+SUMPRODUCT(React!$C$50:$AB$50,Curves!$AW$70:$BV$70)</f>
        <v/>
      </c>
      <c r="AC52" s="5">
        <f>SUMPRODUCT(React!$C$48:$AC$48,Curves!$AV$24:$BV$24)+SUMPRODUCT(React!$C$49:$AC$49,Curves!$AV$47:$BV$47)+SUMPRODUCT(React!$C$50:$AC$50,Curves!$AV$70:$BV$70)</f>
        <v/>
      </c>
      <c r="AD52" s="5">
        <f>SUMPRODUCT(React!$C$48:$AD$48,Curves!$AU$24:$BV$24)+SUMPRODUCT(React!$C$49:$AD$49,Curves!$AU$47:$BV$47)+SUMPRODUCT(React!$C$50:$AD$50,Curves!$AU$70:$BV$70)</f>
        <v/>
      </c>
      <c r="AE52" s="5">
        <f>SUMPRODUCT(React!$C$48:$AE$48,Curves!$AT$24:$BV$24)+SUMPRODUCT(React!$C$49:$AE$49,Curves!$AT$47:$BV$47)+SUMPRODUCT(React!$C$50:$AE$50,Curves!$AT$70:$BV$70)</f>
        <v/>
      </c>
      <c r="AF52" s="5">
        <f>SUMPRODUCT(React!$C$48:$AF$48,Curves!$AS$24:$BV$24)+SUMPRODUCT(React!$C$49:$AF$49,Curves!$AS$47:$BV$47)+SUMPRODUCT(React!$C$50:$AF$50,Curves!$AS$70:$BV$70)</f>
        <v/>
      </c>
      <c r="AG52" s="5">
        <f>SUMPRODUCT(React!$C$48:$AG$48,Curves!$AR$24:$BV$24)+SUMPRODUCT(React!$C$49:$AG$49,Curves!$AR$47:$BV$47)+SUMPRODUCT(React!$C$50:$AG$50,Curves!$AR$70:$BV$70)</f>
        <v/>
      </c>
      <c r="AH52" s="5">
        <f>SUMPRODUCT(React!$C$48:$AH$48,Curves!$AQ$24:$BV$24)+SUMPRODUCT(React!$C$49:$AH$49,Curves!$AQ$47:$BV$47)+SUMPRODUCT(React!$C$50:$AH$50,Curves!$AQ$70:$BV$70)</f>
        <v/>
      </c>
      <c r="AI52" s="5">
        <f>SUMPRODUCT(React!$C$48:$AI$48,Curves!$AP$24:$BV$24)+SUMPRODUCT(React!$C$49:$AI$49,Curves!$AP$47:$BV$47)+SUMPRODUCT(React!$C$50:$AI$50,Curves!$AP$70:$BV$70)</f>
        <v/>
      </c>
      <c r="AJ52" s="5">
        <f>SUMPRODUCT(React!$C$48:$AJ$48,Curves!$AO$24:$BV$24)+SUMPRODUCT(React!$C$49:$AJ$49,Curves!$AO$47:$BV$47)+SUMPRODUCT(React!$C$50:$AJ$50,Curves!$AO$70:$BV$70)</f>
        <v/>
      </c>
      <c r="AK52" s="5">
        <f>SUMPRODUCT(React!$C$48:$AK$48,Curves!$AN$24:$BV$24)+SUMPRODUCT(React!$C$49:$AK$49,Curves!$AN$47:$BV$47)+SUMPRODUCT(React!$C$50:$AK$50,Curves!$AN$70:$BV$70)</f>
        <v/>
      </c>
      <c r="AL52" s="5">
        <f>SUMPRODUCT(React!$C$48:$AL$48,Curves!$AM$24:$BV$24)+SUMPRODUCT(React!$C$49:$AL$49,Curves!$AM$47:$BV$47)+SUMPRODUCT(React!$C$50:$AL$50,Curves!$AM$70:$BV$70)</f>
        <v/>
      </c>
      <c r="AM52" s="5">
        <f>SUMPRODUCT(React!$C$48:$AM$48,Curves!$AL$24:$BV$24)+SUMPRODUCT(React!$C$49:$AM$49,Curves!$AL$47:$BV$47)+SUMPRODUCT(React!$C$50:$AM$50,Curves!$AL$70:$BV$70)</f>
        <v/>
      </c>
      <c r="AN52" s="5">
        <f>SUMPRODUCT(React!$C$48:$AN$48,Curves!$AK$24:$BV$24)+SUMPRODUCT(React!$C$49:$AN$49,Curves!$AK$47:$BV$47)+SUMPRODUCT(React!$C$50:$AN$50,Curves!$AK$70:$BV$70)</f>
        <v/>
      </c>
      <c r="AO52" s="5">
        <f>SUMPRODUCT(React!$C$48:$AO$48,Curves!$AJ$24:$BV$24)+SUMPRODUCT(React!$C$49:$AO$49,Curves!$AJ$47:$BV$47)+SUMPRODUCT(React!$C$50:$AO$50,Curves!$AJ$70:$BV$70)</f>
        <v/>
      </c>
      <c r="AP52" s="5">
        <f>SUMPRODUCT(React!$C$48:$AP$48,Curves!$AI$24:$BV$24)+SUMPRODUCT(React!$C$49:$AP$49,Curves!$AI$47:$BV$47)+SUMPRODUCT(React!$C$50:$AP$50,Curves!$AI$70:$BV$70)</f>
        <v/>
      </c>
      <c r="AQ52" s="5">
        <f>SUMPRODUCT(React!$C$48:$AQ$48,Curves!$AH$24:$BV$24)+SUMPRODUCT(React!$C$49:$AQ$49,Curves!$AH$47:$BV$47)+SUMPRODUCT(React!$C$50:$AQ$50,Curves!$AH$70:$BV$70)</f>
        <v/>
      </c>
      <c r="AR52" s="5">
        <f>SUMPRODUCT(React!$C$48:$AR$48,Curves!$AG$24:$BV$24)+SUMPRODUCT(React!$C$49:$AR$49,Curves!$AG$47:$BV$47)+SUMPRODUCT(React!$C$50:$AR$50,Curves!$AG$70:$BV$70)</f>
        <v/>
      </c>
      <c r="AS52" s="5">
        <f>SUMPRODUCT(React!$C$48:$AS$48,Curves!$AF$24:$BV$24)+SUMPRODUCT(React!$C$49:$AS$49,Curves!$AF$47:$BV$47)+SUMPRODUCT(React!$C$50:$AS$50,Curves!$AF$70:$BV$70)</f>
        <v/>
      </c>
      <c r="AT52" s="5">
        <f>SUMPRODUCT(React!$C$48:$AT$48,Curves!$AE$24:$BV$24)+SUMPRODUCT(React!$C$49:$AT$49,Curves!$AE$47:$BV$47)+SUMPRODUCT(React!$C$50:$AT$50,Curves!$AE$70:$BV$70)</f>
        <v/>
      </c>
      <c r="AU52" s="5">
        <f>SUMPRODUCT(React!$C$48:$AU$48,Curves!$AD$24:$BV$24)+SUMPRODUCT(React!$C$49:$AU$49,Curves!$AD$47:$BV$47)+SUMPRODUCT(React!$C$50:$AU$50,Curves!$AD$70:$BV$70)</f>
        <v/>
      </c>
      <c r="AV52" s="5">
        <f>SUMPRODUCT(React!$C$48:$AV$48,Curves!$AC$24:$BV$24)+SUMPRODUCT(React!$C$49:$AV$49,Curves!$AC$47:$BV$47)+SUMPRODUCT(React!$C$50:$AV$50,Curves!$AC$70:$BV$70)</f>
        <v/>
      </c>
      <c r="AW52" s="5">
        <f>SUMPRODUCT(React!$C$48:$AW$48,Curves!$AB$24:$BV$24)+SUMPRODUCT(React!$C$49:$AW$49,Curves!$AB$47:$BV$47)+SUMPRODUCT(React!$C$50:$AW$50,Curves!$AB$70:$BV$70)</f>
        <v/>
      </c>
      <c r="AX52" s="5">
        <f>SUMPRODUCT(React!$C$48:$AX$48,Curves!$AA$24:$BV$24)+SUMPRODUCT(React!$C$49:$AX$49,Curves!$AA$47:$BV$47)+SUMPRODUCT(React!$C$50:$AX$50,Curves!$AA$70:$BV$70)</f>
        <v/>
      </c>
      <c r="AY52" s="5">
        <f>SUMPRODUCT(React!$C$48:$AY$48,Curves!$Z$24:$BV$24)+SUMPRODUCT(React!$C$49:$AY$49,Curves!$Z$47:$BV$47)+SUMPRODUCT(React!$C$50:$AY$50,Curves!$Z$70:$BV$70)</f>
        <v/>
      </c>
      <c r="AZ52" s="5">
        <f>SUMPRODUCT(React!$C$48:$AZ$48,Curves!$Y$24:$BV$24)+SUMPRODUCT(React!$C$49:$AZ$49,Curves!$Y$47:$BV$47)+SUMPRODUCT(React!$C$50:$AZ$50,Curves!$Y$70:$BV$70)</f>
        <v/>
      </c>
      <c r="BA52" s="5">
        <f>SUMPRODUCT(React!$C$48:$BA$48,Curves!$X$24:$BV$24)+SUMPRODUCT(React!$C$49:$BA$49,Curves!$X$47:$BV$47)+SUMPRODUCT(React!$C$50:$BA$50,Curves!$X$70:$BV$70)</f>
        <v/>
      </c>
      <c r="BB52" s="5">
        <f>SUMPRODUCT(React!$C$48:$BB$48,Curves!$W$24:$BV$24)+SUMPRODUCT(React!$C$49:$BB$49,Curves!$W$47:$BV$47)+SUMPRODUCT(React!$C$50:$BB$50,Curves!$W$70:$BV$70)</f>
        <v/>
      </c>
      <c r="BC52" s="5">
        <f>SUMPRODUCT(React!$C$48:$BC$48,Curves!$V$24:$BV$24)+SUMPRODUCT(React!$C$49:$BC$49,Curves!$V$47:$BV$47)+SUMPRODUCT(React!$C$50:$BC$50,Curves!$V$70:$BV$70)</f>
        <v/>
      </c>
      <c r="BD52" s="5">
        <f>SUMPRODUCT(React!$C$48:$BD$48,Curves!$U$24:$BV$24)+SUMPRODUCT(React!$C$49:$BD$49,Curves!$U$47:$BV$47)+SUMPRODUCT(React!$C$50:$BD$50,Curves!$U$70:$BV$70)</f>
        <v/>
      </c>
      <c r="BE52" s="5">
        <f>SUMPRODUCT(React!$C$48:$BE$48,Curves!$T$24:$BV$24)+SUMPRODUCT(React!$C$49:$BE$49,Curves!$T$47:$BV$47)+SUMPRODUCT(React!$C$50:$BE$50,Curves!$T$70:$BV$70)</f>
        <v/>
      </c>
      <c r="BF52" s="5">
        <f>SUMPRODUCT(React!$C$48:$BF$48,Curves!$S$24:$BV$24)+SUMPRODUCT(React!$C$49:$BF$49,Curves!$S$47:$BV$47)+SUMPRODUCT(React!$C$50:$BF$50,Curves!$S$70:$BV$70)</f>
        <v/>
      </c>
      <c r="BG52" s="5">
        <f>SUMPRODUCT(React!$C$48:$BG$48,Curves!$R$24:$BV$24)+SUMPRODUCT(React!$C$49:$BG$49,Curves!$R$47:$BV$47)+SUMPRODUCT(React!$C$50:$BG$50,Curves!$R$70:$BV$70)</f>
        <v/>
      </c>
      <c r="BH52" s="5">
        <f>SUMPRODUCT(React!$C$48:$BH$48,Curves!$Q$24:$BV$24)+SUMPRODUCT(React!$C$49:$BH$49,Curves!$Q$47:$BV$47)+SUMPRODUCT(React!$C$50:$BH$50,Curves!$Q$70:$BV$70)</f>
        <v/>
      </c>
      <c r="BI52" s="5">
        <f>SUMPRODUCT(React!$C$48:$BI$48,Curves!$P$24:$BV$24)+SUMPRODUCT(React!$C$49:$BI$49,Curves!$P$47:$BV$47)+SUMPRODUCT(React!$C$50:$BI$50,Curves!$P$70:$BV$70)</f>
        <v/>
      </c>
      <c r="BJ52" s="5">
        <f>SUMPRODUCT(React!$C$48:$BJ$48,Curves!$O$24:$BV$24)+SUMPRODUCT(React!$C$49:$BJ$49,Curves!$O$47:$BV$47)+SUMPRODUCT(React!$C$50:$BJ$50,Curves!$O$70:$BV$70)</f>
        <v/>
      </c>
      <c r="BK52" s="5">
        <f>SUMPRODUCT(React!$C$48:$BK$48,Curves!$N$24:$BV$24)+SUMPRODUCT(React!$C$49:$BK$49,Curves!$N$47:$BV$47)+SUMPRODUCT(React!$C$50:$BK$50,Curves!$N$70:$BV$70)</f>
        <v/>
      </c>
      <c r="BL52" s="5">
        <f>SUMPRODUCT(React!$C$48:$BL$48,Curves!$M$24:$BV$24)+SUMPRODUCT(React!$C$49:$BL$49,Curves!$M$47:$BV$47)+SUMPRODUCT(React!$C$50:$BL$50,Curves!$M$70:$BV$70)</f>
        <v/>
      </c>
      <c r="BM52" s="5">
        <f>SUMPRODUCT(React!$C$48:$BM$48,Curves!$L$24:$BV$24)+SUMPRODUCT(React!$C$49:$BM$49,Curves!$L$47:$BV$47)+SUMPRODUCT(React!$C$50:$BM$50,Curves!$L$70:$BV$70)</f>
        <v/>
      </c>
      <c r="BN52" s="5">
        <f>SUMPRODUCT(React!$C$48:$BN$48,Curves!$K$24:$BV$24)+SUMPRODUCT(React!$C$49:$BN$49,Curves!$K$47:$BV$47)+SUMPRODUCT(React!$C$50:$BN$50,Curves!$K$70:$BV$70)</f>
        <v/>
      </c>
      <c r="BO52" s="5">
        <f>SUMPRODUCT(React!$C$48:$BO$48,Curves!$J$24:$BV$24)+SUMPRODUCT(React!$C$49:$BO$49,Curves!$J$47:$BV$47)+SUMPRODUCT(React!$C$50:$BO$50,Curves!$J$70:$BV$70)</f>
        <v/>
      </c>
      <c r="BP52" s="5">
        <f>SUMPRODUCT(React!$C$48:$BP$48,Curves!$I$24:$BV$24)+SUMPRODUCT(React!$C$49:$BP$49,Curves!$I$47:$BV$47)+SUMPRODUCT(React!$C$50:$BP$50,Curves!$I$70:$BV$70)</f>
        <v/>
      </c>
      <c r="BQ52" s="5">
        <f>SUMPRODUCT(React!$C$48:$BQ$48,Curves!$H$24:$BV$24)+SUMPRODUCT(React!$C$49:$BQ$49,Curves!$H$47:$BV$47)+SUMPRODUCT(React!$C$50:$BQ$50,Curves!$H$70:$BV$70)</f>
        <v/>
      </c>
      <c r="BR52" s="5">
        <f>SUMPRODUCT(React!$C$48:$BR$48,Curves!$G$24:$BV$24)+SUMPRODUCT(React!$C$49:$BR$49,Curves!$G$47:$BV$47)+SUMPRODUCT(React!$C$50:$BR$50,Curves!$G$70:$BV$70)</f>
        <v/>
      </c>
      <c r="BS52" s="5">
        <f>SUMPRODUCT(React!$C$48:$BS$48,Curves!$F$24:$BV$24)+SUMPRODUCT(React!$C$49:$BS$49,Curves!$F$47:$BV$47)+SUMPRODUCT(React!$C$50:$BS$50,Curves!$F$70:$BV$70)</f>
        <v/>
      </c>
      <c r="BT52" s="5">
        <f>SUMPRODUCT(React!$C$48:$BT$48,Curves!$E$24:$BV$24)+SUMPRODUCT(React!$C$49:$BT$49,Curves!$E$47:$BV$47)+SUMPRODUCT(React!$C$50:$BT$50,Curves!$E$70:$BV$70)</f>
        <v/>
      </c>
      <c r="BU52" s="5">
        <f>SUMPRODUCT(React!$C$48:$BU$48,Curves!$D$24:$BV$24)+SUMPRODUCT(React!$C$49:$BU$49,Curves!$D$47:$BV$47)+SUMPRODUCT(React!$C$50:$BU$50,Curves!$D$70:$BV$70)</f>
        <v/>
      </c>
      <c r="BV52" s="5">
        <f>SUMPRODUCT(React!$C$48:$BV$48,Curves!$C$24:$BV$24)+SUMPRODUCT(React!$C$49:$BV$49,Curves!$C$47:$BV$47)+SUMPRODUCT(React!$C$50:$BV$50,Curves!$C$70:$BV$70)</f>
        <v/>
      </c>
    </row>
    <row r="53">
      <c r="A53" t="inlineStr">
        <is>
          <t>churned</t>
        </is>
      </c>
      <c r="B53" t="inlineStr">
        <is>
          <t>US_CA|BASIC_A</t>
        </is>
      </c>
      <c r="C53" s="5">
        <f>React!$C$48*Curves!$BV$20+React!$C$49*Curves!$BV$43+React!$C$50*Curves!$BV$66</f>
        <v/>
      </c>
      <c r="D53" s="5">
        <f>SUMPRODUCT(React!$C$48:$D$48,Curves!$BU$20:$BV$20)+SUMPRODUCT(React!$C$49:$D$49,Curves!$BU$43:$BV$43)+SUMPRODUCT(React!$C$50:$D$50,Curves!$BU$66:$BV$66)</f>
        <v/>
      </c>
      <c r="E53" s="5">
        <f>SUMPRODUCT(React!$C$48:$E$48,Curves!$BT$20:$BV$20)+SUMPRODUCT(React!$C$49:$E$49,Curves!$BT$43:$BV$43)+SUMPRODUCT(React!$C$50:$E$50,Curves!$BT$66:$BV$66)</f>
        <v/>
      </c>
      <c r="F53" s="5">
        <f>SUMPRODUCT(React!$C$48:$F$48,Curves!$BS$20:$BV$20)+SUMPRODUCT(React!$C$49:$F$49,Curves!$BS$43:$BV$43)+SUMPRODUCT(React!$C$50:$F$50,Curves!$BS$66:$BV$66)</f>
        <v/>
      </c>
      <c r="G53" s="5">
        <f>SUMPRODUCT(React!$C$48:$G$48,Curves!$BR$20:$BV$20)+SUMPRODUCT(React!$C$49:$G$49,Curves!$BR$43:$BV$43)+SUMPRODUCT(React!$C$50:$G$50,Curves!$BR$66:$BV$66)</f>
        <v/>
      </c>
      <c r="H53" s="5">
        <f>SUMPRODUCT(React!$C$48:$H$48,Curves!$BQ$20:$BV$20)+SUMPRODUCT(React!$C$49:$H$49,Curves!$BQ$43:$BV$43)+SUMPRODUCT(React!$C$50:$H$50,Curves!$BQ$66:$BV$66)</f>
        <v/>
      </c>
      <c r="I53" s="5">
        <f>SUMPRODUCT(React!$C$48:$I$48,Curves!$BP$20:$BV$20)+SUMPRODUCT(React!$C$49:$I$49,Curves!$BP$43:$BV$43)+SUMPRODUCT(React!$C$50:$I$50,Curves!$BP$66:$BV$66)</f>
        <v/>
      </c>
      <c r="J53" s="5">
        <f>SUMPRODUCT(React!$C$48:$J$48,Curves!$BO$20:$BV$20)+SUMPRODUCT(React!$C$49:$J$49,Curves!$BO$43:$BV$43)+SUMPRODUCT(React!$C$50:$J$50,Curves!$BO$66:$BV$66)</f>
        <v/>
      </c>
      <c r="K53" s="5">
        <f>SUMPRODUCT(React!$C$48:$K$48,Curves!$BN$20:$BV$20)+SUMPRODUCT(React!$C$49:$K$49,Curves!$BN$43:$BV$43)+SUMPRODUCT(React!$C$50:$K$50,Curves!$BN$66:$BV$66)</f>
        <v/>
      </c>
      <c r="L53" s="5">
        <f>SUMPRODUCT(React!$C$48:$L$48,Curves!$BM$20:$BV$20)+SUMPRODUCT(React!$C$49:$L$49,Curves!$BM$43:$BV$43)+SUMPRODUCT(React!$C$50:$L$50,Curves!$BM$66:$BV$66)</f>
        <v/>
      </c>
      <c r="M53" s="5">
        <f>SUMPRODUCT(React!$C$48:$M$48,Curves!$BL$20:$BV$20)+SUMPRODUCT(React!$C$49:$M$49,Curves!$BL$43:$BV$43)+SUMPRODUCT(React!$C$50:$M$50,Curves!$BL$66:$BV$66)</f>
        <v/>
      </c>
      <c r="N53" s="5">
        <f>SUMPRODUCT(React!$C$48:$N$48,Curves!$BK$20:$BV$20)+SUMPRODUCT(React!$C$49:$N$49,Curves!$BK$43:$BV$43)+SUMPRODUCT(React!$C$50:$N$50,Curves!$BK$66:$BV$66)</f>
        <v/>
      </c>
      <c r="O53" s="5">
        <f>SUMPRODUCT(React!$C$48:$O$48,Curves!$BJ$20:$BV$20)+SUMPRODUCT(React!$C$49:$O$49,Curves!$BJ$43:$BV$43)+SUMPRODUCT(React!$C$50:$O$50,Curves!$BJ$66:$BV$66)</f>
        <v/>
      </c>
      <c r="P53" s="5">
        <f>SUMPRODUCT(React!$C$48:$P$48,Curves!$BI$20:$BV$20)+SUMPRODUCT(React!$C$49:$P$49,Curves!$BI$43:$BV$43)+SUMPRODUCT(React!$C$50:$P$50,Curves!$BI$66:$BV$66)</f>
        <v/>
      </c>
      <c r="Q53" s="5">
        <f>SUMPRODUCT(React!$C$48:$Q$48,Curves!$BH$20:$BV$20)+SUMPRODUCT(React!$C$49:$Q$49,Curves!$BH$43:$BV$43)+SUMPRODUCT(React!$C$50:$Q$50,Curves!$BH$66:$BV$66)</f>
        <v/>
      </c>
      <c r="R53" s="5">
        <f>SUMPRODUCT(React!$C$48:$R$48,Curves!$BG$20:$BV$20)+SUMPRODUCT(React!$C$49:$R$49,Curves!$BG$43:$BV$43)+SUMPRODUCT(React!$C$50:$R$50,Curves!$BG$66:$BV$66)</f>
        <v/>
      </c>
      <c r="S53" s="5">
        <f>SUMPRODUCT(React!$C$48:$S$48,Curves!$BF$20:$BV$20)+SUMPRODUCT(React!$C$49:$S$49,Curves!$BF$43:$BV$43)+SUMPRODUCT(React!$C$50:$S$50,Curves!$BF$66:$BV$66)</f>
        <v/>
      </c>
      <c r="T53" s="5">
        <f>SUMPRODUCT(React!$C$48:$T$48,Curves!$BE$20:$BV$20)+SUMPRODUCT(React!$C$49:$T$49,Curves!$BE$43:$BV$43)+SUMPRODUCT(React!$C$50:$T$50,Curves!$BE$66:$BV$66)</f>
        <v/>
      </c>
      <c r="U53" s="5">
        <f>SUMPRODUCT(React!$C$48:$U$48,Curves!$BD$20:$BV$20)+SUMPRODUCT(React!$C$49:$U$49,Curves!$BD$43:$BV$43)+SUMPRODUCT(React!$C$50:$U$50,Curves!$BD$66:$BV$66)</f>
        <v/>
      </c>
      <c r="V53" s="5">
        <f>SUMPRODUCT(React!$C$48:$V$48,Curves!$BC$20:$BV$20)+SUMPRODUCT(React!$C$49:$V$49,Curves!$BC$43:$BV$43)+SUMPRODUCT(React!$C$50:$V$50,Curves!$BC$66:$BV$66)</f>
        <v/>
      </c>
      <c r="W53" s="5">
        <f>SUMPRODUCT(React!$C$48:$W$48,Curves!$BB$20:$BV$20)+SUMPRODUCT(React!$C$49:$W$49,Curves!$BB$43:$BV$43)+SUMPRODUCT(React!$C$50:$W$50,Curves!$BB$66:$BV$66)</f>
        <v/>
      </c>
      <c r="X53" s="5">
        <f>SUMPRODUCT(React!$C$48:$X$48,Curves!$BA$20:$BV$20)+SUMPRODUCT(React!$C$49:$X$49,Curves!$BA$43:$BV$43)+SUMPRODUCT(React!$C$50:$X$50,Curves!$BA$66:$BV$66)</f>
        <v/>
      </c>
      <c r="Y53" s="5">
        <f>SUMPRODUCT(React!$C$48:$Y$48,Curves!$AZ$20:$BV$20)+SUMPRODUCT(React!$C$49:$Y$49,Curves!$AZ$43:$BV$43)+SUMPRODUCT(React!$C$50:$Y$50,Curves!$AZ$66:$BV$66)</f>
        <v/>
      </c>
      <c r="Z53" s="5">
        <f>SUMPRODUCT(React!$C$48:$Z$48,Curves!$AY$20:$BV$20)+SUMPRODUCT(React!$C$49:$Z$49,Curves!$AY$43:$BV$43)+SUMPRODUCT(React!$C$50:$Z$50,Curves!$AY$66:$BV$66)</f>
        <v/>
      </c>
      <c r="AA53" s="5">
        <f>SUMPRODUCT(React!$C$48:$AA$48,Curves!$AX$20:$BV$20)+SUMPRODUCT(React!$C$49:$AA$49,Curves!$AX$43:$BV$43)+SUMPRODUCT(React!$C$50:$AA$50,Curves!$AX$66:$BV$66)</f>
        <v/>
      </c>
      <c r="AB53" s="5">
        <f>SUMPRODUCT(React!$C$48:$AB$48,Curves!$AW$20:$BV$20)+SUMPRODUCT(React!$C$49:$AB$49,Curves!$AW$43:$BV$43)+SUMPRODUCT(React!$C$50:$AB$50,Curves!$AW$66:$BV$66)</f>
        <v/>
      </c>
      <c r="AC53" s="5">
        <f>SUMPRODUCT(React!$C$48:$AC$48,Curves!$AV$20:$BV$20)+SUMPRODUCT(React!$C$49:$AC$49,Curves!$AV$43:$BV$43)+SUMPRODUCT(React!$C$50:$AC$50,Curves!$AV$66:$BV$66)</f>
        <v/>
      </c>
      <c r="AD53" s="5">
        <f>SUMPRODUCT(React!$C$48:$AD$48,Curves!$AU$20:$BV$20)+SUMPRODUCT(React!$C$49:$AD$49,Curves!$AU$43:$BV$43)+SUMPRODUCT(React!$C$50:$AD$50,Curves!$AU$66:$BV$66)</f>
        <v/>
      </c>
      <c r="AE53" s="5">
        <f>SUMPRODUCT(React!$C$48:$AE$48,Curves!$AT$20:$BV$20)+SUMPRODUCT(React!$C$49:$AE$49,Curves!$AT$43:$BV$43)+SUMPRODUCT(React!$C$50:$AE$50,Curves!$AT$66:$BV$66)</f>
        <v/>
      </c>
      <c r="AF53" s="5">
        <f>SUMPRODUCT(React!$C$48:$AF$48,Curves!$AS$20:$BV$20)+SUMPRODUCT(React!$C$49:$AF$49,Curves!$AS$43:$BV$43)+SUMPRODUCT(React!$C$50:$AF$50,Curves!$AS$66:$BV$66)</f>
        <v/>
      </c>
      <c r="AG53" s="5">
        <f>SUMPRODUCT(React!$C$48:$AG$48,Curves!$AR$20:$BV$20)+SUMPRODUCT(React!$C$49:$AG$49,Curves!$AR$43:$BV$43)+SUMPRODUCT(React!$C$50:$AG$50,Curves!$AR$66:$BV$66)</f>
        <v/>
      </c>
      <c r="AH53" s="5">
        <f>SUMPRODUCT(React!$C$48:$AH$48,Curves!$AQ$20:$BV$20)+SUMPRODUCT(React!$C$49:$AH$49,Curves!$AQ$43:$BV$43)+SUMPRODUCT(React!$C$50:$AH$50,Curves!$AQ$66:$BV$66)</f>
        <v/>
      </c>
      <c r="AI53" s="5">
        <f>SUMPRODUCT(React!$C$48:$AI$48,Curves!$AP$20:$BV$20)+SUMPRODUCT(React!$C$49:$AI$49,Curves!$AP$43:$BV$43)+SUMPRODUCT(React!$C$50:$AI$50,Curves!$AP$66:$BV$66)</f>
        <v/>
      </c>
      <c r="AJ53" s="5">
        <f>SUMPRODUCT(React!$C$48:$AJ$48,Curves!$AO$20:$BV$20)+SUMPRODUCT(React!$C$49:$AJ$49,Curves!$AO$43:$BV$43)+SUMPRODUCT(React!$C$50:$AJ$50,Curves!$AO$66:$BV$66)</f>
        <v/>
      </c>
      <c r="AK53" s="5">
        <f>SUMPRODUCT(React!$C$48:$AK$48,Curves!$AN$20:$BV$20)+SUMPRODUCT(React!$C$49:$AK$49,Curves!$AN$43:$BV$43)+SUMPRODUCT(React!$C$50:$AK$50,Curves!$AN$66:$BV$66)</f>
        <v/>
      </c>
      <c r="AL53" s="5">
        <f>SUMPRODUCT(React!$C$48:$AL$48,Curves!$AM$20:$BV$20)+SUMPRODUCT(React!$C$49:$AL$49,Curves!$AM$43:$BV$43)+SUMPRODUCT(React!$C$50:$AL$50,Curves!$AM$66:$BV$66)</f>
        <v/>
      </c>
      <c r="AM53" s="5">
        <f>SUMPRODUCT(React!$C$48:$AM$48,Curves!$AL$20:$BV$20)+SUMPRODUCT(React!$C$49:$AM$49,Curves!$AL$43:$BV$43)+SUMPRODUCT(React!$C$50:$AM$50,Curves!$AL$66:$BV$66)</f>
        <v/>
      </c>
      <c r="AN53" s="5">
        <f>SUMPRODUCT(React!$C$48:$AN$48,Curves!$AK$20:$BV$20)+SUMPRODUCT(React!$C$49:$AN$49,Curves!$AK$43:$BV$43)+SUMPRODUCT(React!$C$50:$AN$50,Curves!$AK$66:$BV$66)</f>
        <v/>
      </c>
      <c r="AO53" s="5">
        <f>SUMPRODUCT(React!$C$48:$AO$48,Curves!$AJ$20:$BV$20)+SUMPRODUCT(React!$C$49:$AO$49,Curves!$AJ$43:$BV$43)+SUMPRODUCT(React!$C$50:$AO$50,Curves!$AJ$66:$BV$66)</f>
        <v/>
      </c>
      <c r="AP53" s="5">
        <f>SUMPRODUCT(React!$C$48:$AP$48,Curves!$AI$20:$BV$20)+SUMPRODUCT(React!$C$49:$AP$49,Curves!$AI$43:$BV$43)+SUMPRODUCT(React!$C$50:$AP$50,Curves!$AI$66:$BV$66)</f>
        <v/>
      </c>
      <c r="AQ53" s="5">
        <f>SUMPRODUCT(React!$C$48:$AQ$48,Curves!$AH$20:$BV$20)+SUMPRODUCT(React!$C$49:$AQ$49,Curves!$AH$43:$BV$43)+SUMPRODUCT(React!$C$50:$AQ$50,Curves!$AH$66:$BV$66)</f>
        <v/>
      </c>
      <c r="AR53" s="5">
        <f>SUMPRODUCT(React!$C$48:$AR$48,Curves!$AG$20:$BV$20)+SUMPRODUCT(React!$C$49:$AR$49,Curves!$AG$43:$BV$43)+SUMPRODUCT(React!$C$50:$AR$50,Curves!$AG$66:$BV$66)</f>
        <v/>
      </c>
      <c r="AS53" s="5">
        <f>SUMPRODUCT(React!$C$48:$AS$48,Curves!$AF$20:$BV$20)+SUMPRODUCT(React!$C$49:$AS$49,Curves!$AF$43:$BV$43)+SUMPRODUCT(React!$C$50:$AS$50,Curves!$AF$66:$BV$66)</f>
        <v/>
      </c>
      <c r="AT53" s="5">
        <f>SUMPRODUCT(React!$C$48:$AT$48,Curves!$AE$20:$BV$20)+SUMPRODUCT(React!$C$49:$AT$49,Curves!$AE$43:$BV$43)+SUMPRODUCT(React!$C$50:$AT$50,Curves!$AE$66:$BV$66)</f>
        <v/>
      </c>
      <c r="AU53" s="5">
        <f>SUMPRODUCT(React!$C$48:$AU$48,Curves!$AD$20:$BV$20)+SUMPRODUCT(React!$C$49:$AU$49,Curves!$AD$43:$BV$43)+SUMPRODUCT(React!$C$50:$AU$50,Curves!$AD$66:$BV$66)</f>
        <v/>
      </c>
      <c r="AV53" s="5">
        <f>SUMPRODUCT(React!$C$48:$AV$48,Curves!$AC$20:$BV$20)+SUMPRODUCT(React!$C$49:$AV$49,Curves!$AC$43:$BV$43)+SUMPRODUCT(React!$C$50:$AV$50,Curves!$AC$66:$BV$66)</f>
        <v/>
      </c>
      <c r="AW53" s="5">
        <f>SUMPRODUCT(React!$C$48:$AW$48,Curves!$AB$20:$BV$20)+SUMPRODUCT(React!$C$49:$AW$49,Curves!$AB$43:$BV$43)+SUMPRODUCT(React!$C$50:$AW$50,Curves!$AB$66:$BV$66)</f>
        <v/>
      </c>
      <c r="AX53" s="5">
        <f>SUMPRODUCT(React!$C$48:$AX$48,Curves!$AA$20:$BV$20)+SUMPRODUCT(React!$C$49:$AX$49,Curves!$AA$43:$BV$43)+SUMPRODUCT(React!$C$50:$AX$50,Curves!$AA$66:$BV$66)</f>
        <v/>
      </c>
      <c r="AY53" s="5">
        <f>SUMPRODUCT(React!$C$48:$AY$48,Curves!$Z$20:$BV$20)+SUMPRODUCT(React!$C$49:$AY$49,Curves!$Z$43:$BV$43)+SUMPRODUCT(React!$C$50:$AY$50,Curves!$Z$66:$BV$66)</f>
        <v/>
      </c>
      <c r="AZ53" s="5">
        <f>SUMPRODUCT(React!$C$48:$AZ$48,Curves!$Y$20:$BV$20)+SUMPRODUCT(React!$C$49:$AZ$49,Curves!$Y$43:$BV$43)+SUMPRODUCT(React!$C$50:$AZ$50,Curves!$Y$66:$BV$66)</f>
        <v/>
      </c>
      <c r="BA53" s="5">
        <f>SUMPRODUCT(React!$C$48:$BA$48,Curves!$X$20:$BV$20)+SUMPRODUCT(React!$C$49:$BA$49,Curves!$X$43:$BV$43)+SUMPRODUCT(React!$C$50:$BA$50,Curves!$X$66:$BV$66)</f>
        <v/>
      </c>
      <c r="BB53" s="5">
        <f>SUMPRODUCT(React!$C$48:$BB$48,Curves!$W$20:$BV$20)+SUMPRODUCT(React!$C$49:$BB$49,Curves!$W$43:$BV$43)+SUMPRODUCT(React!$C$50:$BB$50,Curves!$W$66:$BV$66)</f>
        <v/>
      </c>
      <c r="BC53" s="5">
        <f>SUMPRODUCT(React!$C$48:$BC$48,Curves!$V$20:$BV$20)+SUMPRODUCT(React!$C$49:$BC$49,Curves!$V$43:$BV$43)+SUMPRODUCT(React!$C$50:$BC$50,Curves!$V$66:$BV$66)</f>
        <v/>
      </c>
      <c r="BD53" s="5">
        <f>SUMPRODUCT(React!$C$48:$BD$48,Curves!$U$20:$BV$20)+SUMPRODUCT(React!$C$49:$BD$49,Curves!$U$43:$BV$43)+SUMPRODUCT(React!$C$50:$BD$50,Curves!$U$66:$BV$66)</f>
        <v/>
      </c>
      <c r="BE53" s="5">
        <f>SUMPRODUCT(React!$C$48:$BE$48,Curves!$T$20:$BV$20)+SUMPRODUCT(React!$C$49:$BE$49,Curves!$T$43:$BV$43)+SUMPRODUCT(React!$C$50:$BE$50,Curves!$T$66:$BV$66)</f>
        <v/>
      </c>
      <c r="BF53" s="5">
        <f>SUMPRODUCT(React!$C$48:$BF$48,Curves!$S$20:$BV$20)+SUMPRODUCT(React!$C$49:$BF$49,Curves!$S$43:$BV$43)+SUMPRODUCT(React!$C$50:$BF$50,Curves!$S$66:$BV$66)</f>
        <v/>
      </c>
      <c r="BG53" s="5">
        <f>SUMPRODUCT(React!$C$48:$BG$48,Curves!$R$20:$BV$20)+SUMPRODUCT(React!$C$49:$BG$49,Curves!$R$43:$BV$43)+SUMPRODUCT(React!$C$50:$BG$50,Curves!$R$66:$BV$66)</f>
        <v/>
      </c>
      <c r="BH53" s="5">
        <f>SUMPRODUCT(React!$C$48:$BH$48,Curves!$Q$20:$BV$20)+SUMPRODUCT(React!$C$49:$BH$49,Curves!$Q$43:$BV$43)+SUMPRODUCT(React!$C$50:$BH$50,Curves!$Q$66:$BV$66)</f>
        <v/>
      </c>
      <c r="BI53" s="5">
        <f>SUMPRODUCT(React!$C$48:$BI$48,Curves!$P$20:$BV$20)+SUMPRODUCT(React!$C$49:$BI$49,Curves!$P$43:$BV$43)+SUMPRODUCT(React!$C$50:$BI$50,Curves!$P$66:$BV$66)</f>
        <v/>
      </c>
      <c r="BJ53" s="5">
        <f>SUMPRODUCT(React!$C$48:$BJ$48,Curves!$O$20:$BV$20)+SUMPRODUCT(React!$C$49:$BJ$49,Curves!$O$43:$BV$43)+SUMPRODUCT(React!$C$50:$BJ$50,Curves!$O$66:$BV$66)</f>
        <v/>
      </c>
      <c r="BK53" s="5">
        <f>SUMPRODUCT(React!$C$48:$BK$48,Curves!$N$20:$BV$20)+SUMPRODUCT(React!$C$49:$BK$49,Curves!$N$43:$BV$43)+SUMPRODUCT(React!$C$50:$BK$50,Curves!$N$66:$BV$66)</f>
        <v/>
      </c>
      <c r="BL53" s="5">
        <f>SUMPRODUCT(React!$C$48:$BL$48,Curves!$M$20:$BV$20)+SUMPRODUCT(React!$C$49:$BL$49,Curves!$M$43:$BV$43)+SUMPRODUCT(React!$C$50:$BL$50,Curves!$M$66:$BV$66)</f>
        <v/>
      </c>
      <c r="BM53" s="5">
        <f>SUMPRODUCT(React!$C$48:$BM$48,Curves!$L$20:$BV$20)+SUMPRODUCT(React!$C$49:$BM$49,Curves!$L$43:$BV$43)+SUMPRODUCT(React!$C$50:$BM$50,Curves!$L$66:$BV$66)</f>
        <v/>
      </c>
      <c r="BN53" s="5">
        <f>SUMPRODUCT(React!$C$48:$BN$48,Curves!$K$20:$BV$20)+SUMPRODUCT(React!$C$49:$BN$49,Curves!$K$43:$BV$43)+SUMPRODUCT(React!$C$50:$BN$50,Curves!$K$66:$BV$66)</f>
        <v/>
      </c>
      <c r="BO53" s="5">
        <f>SUMPRODUCT(React!$C$48:$BO$48,Curves!$J$20:$BV$20)+SUMPRODUCT(React!$C$49:$BO$49,Curves!$J$43:$BV$43)+SUMPRODUCT(React!$C$50:$BO$50,Curves!$J$66:$BV$66)</f>
        <v/>
      </c>
      <c r="BP53" s="5">
        <f>SUMPRODUCT(React!$C$48:$BP$48,Curves!$I$20:$BV$20)+SUMPRODUCT(React!$C$49:$BP$49,Curves!$I$43:$BV$43)+SUMPRODUCT(React!$C$50:$BP$50,Curves!$I$66:$BV$66)</f>
        <v/>
      </c>
      <c r="BQ53" s="5">
        <f>SUMPRODUCT(React!$C$48:$BQ$48,Curves!$H$20:$BV$20)+SUMPRODUCT(React!$C$49:$BQ$49,Curves!$H$43:$BV$43)+SUMPRODUCT(React!$C$50:$BQ$50,Curves!$H$66:$BV$66)</f>
        <v/>
      </c>
      <c r="BR53" s="5">
        <f>SUMPRODUCT(React!$C$48:$BR$48,Curves!$G$20:$BV$20)+SUMPRODUCT(React!$C$49:$BR$49,Curves!$G$43:$BV$43)+SUMPRODUCT(React!$C$50:$BR$50,Curves!$G$66:$BV$66)</f>
        <v/>
      </c>
      <c r="BS53" s="5">
        <f>SUMPRODUCT(React!$C$48:$BS$48,Curves!$F$20:$BV$20)+SUMPRODUCT(React!$C$49:$BS$49,Curves!$F$43:$BV$43)+SUMPRODUCT(React!$C$50:$BS$50,Curves!$F$66:$BV$66)</f>
        <v/>
      </c>
      <c r="BT53" s="5">
        <f>SUMPRODUCT(React!$C$48:$BT$48,Curves!$E$20:$BV$20)+SUMPRODUCT(React!$C$49:$BT$49,Curves!$E$43:$BV$43)+SUMPRODUCT(React!$C$50:$BT$50,Curves!$E$66:$BV$66)</f>
        <v/>
      </c>
      <c r="BU53" s="5">
        <f>SUMPRODUCT(React!$C$48:$BU$48,Curves!$D$20:$BV$20)+SUMPRODUCT(React!$C$49:$BU$49,Curves!$D$43:$BV$43)+SUMPRODUCT(React!$C$50:$BU$50,Curves!$D$66:$BV$66)</f>
        <v/>
      </c>
      <c r="BV53" s="5">
        <f>SUMPRODUCT(React!$C$48:$BV$48,Curves!$C$20:$BV$20)+SUMPRODUCT(React!$C$49:$BV$49,Curves!$C$43:$BV$43)+SUMPRODUCT(React!$C$50:$BV$50,Curves!$C$66:$BV$66)</f>
        <v/>
      </c>
    </row>
    <row r="55">
      <c r="A55" t="inlineStr">
        <is>
          <t>churn pool inflow</t>
        </is>
      </c>
      <c r="B55" t="inlineStr">
        <is>
          <t>EUROPE|NITRO_M</t>
        </is>
      </c>
      <c r="C55" s="5">
        <f>Paid!C21+Legacy!C23</f>
        <v/>
      </c>
      <c r="D55" s="5">
        <f>Paid!D21+Legacy!D23</f>
        <v/>
      </c>
      <c r="E55" s="5">
        <f>Paid!E21+Legacy!E23</f>
        <v/>
      </c>
      <c r="F55" s="5">
        <f>Paid!F21+Legacy!F23</f>
        <v/>
      </c>
      <c r="G55" s="5">
        <f>Paid!G21+Legacy!G23</f>
        <v/>
      </c>
      <c r="H55" s="5">
        <f>Paid!H21+Legacy!H23</f>
        <v/>
      </c>
      <c r="I55" s="5">
        <f>Paid!I21+Legacy!I23</f>
        <v/>
      </c>
      <c r="J55" s="5">
        <f>Paid!J21+Legacy!J23</f>
        <v/>
      </c>
      <c r="K55" s="5">
        <f>Paid!K21+Legacy!K23</f>
        <v/>
      </c>
      <c r="L55" s="5">
        <f>Paid!L21+Legacy!L23</f>
        <v/>
      </c>
      <c r="M55" s="5">
        <f>Paid!M21+Legacy!M23</f>
        <v/>
      </c>
      <c r="N55" s="5">
        <f>Paid!N21+Legacy!N23</f>
        <v/>
      </c>
      <c r="O55" s="5">
        <f>Paid!O21+Legacy!O23</f>
        <v/>
      </c>
      <c r="P55" s="5">
        <f>Paid!P21+Legacy!P23</f>
        <v/>
      </c>
      <c r="Q55" s="5">
        <f>Paid!Q21+Legacy!Q23</f>
        <v/>
      </c>
      <c r="R55" s="5">
        <f>Paid!R21+Legacy!R23</f>
        <v/>
      </c>
      <c r="S55" s="5">
        <f>Paid!S21+Legacy!S23</f>
        <v/>
      </c>
      <c r="T55" s="5">
        <f>Paid!T21+Legacy!T23</f>
        <v/>
      </c>
      <c r="U55" s="5">
        <f>Paid!U21+Legacy!U23</f>
        <v/>
      </c>
      <c r="V55" s="5">
        <f>Paid!V21+Legacy!V23</f>
        <v/>
      </c>
      <c r="W55" s="5">
        <f>Paid!W21+Legacy!W23</f>
        <v/>
      </c>
      <c r="X55" s="5">
        <f>Paid!X21+Legacy!X23</f>
        <v/>
      </c>
      <c r="Y55" s="5">
        <f>Paid!Y21+Legacy!Y23</f>
        <v/>
      </c>
      <c r="Z55" s="5">
        <f>Paid!Z21+Legacy!Z23</f>
        <v/>
      </c>
      <c r="AA55" s="5">
        <f>Paid!AA21+Legacy!AA23</f>
        <v/>
      </c>
      <c r="AB55" s="5">
        <f>Paid!AB21+Legacy!AB23</f>
        <v/>
      </c>
      <c r="AC55" s="5">
        <f>Paid!AC21+Legacy!AC23</f>
        <v/>
      </c>
      <c r="AD55" s="5">
        <f>Paid!AD21+Legacy!AD23</f>
        <v/>
      </c>
      <c r="AE55" s="5">
        <f>Paid!AE21+Legacy!AE23</f>
        <v/>
      </c>
      <c r="AF55" s="5">
        <f>Paid!AF21+Legacy!AF23</f>
        <v/>
      </c>
      <c r="AG55" s="5">
        <f>Paid!AG21+Legacy!AG23</f>
        <v/>
      </c>
      <c r="AH55" s="5">
        <f>Paid!AH21+Legacy!AH23</f>
        <v/>
      </c>
      <c r="AI55" s="5">
        <f>Paid!AI21+Legacy!AI23</f>
        <v/>
      </c>
      <c r="AJ55" s="5">
        <f>Paid!AJ21+Legacy!AJ23</f>
        <v/>
      </c>
      <c r="AK55" s="5">
        <f>Paid!AK21+Legacy!AK23</f>
        <v/>
      </c>
      <c r="AL55" s="5">
        <f>Paid!AL21+Legacy!AL23</f>
        <v/>
      </c>
      <c r="AM55" s="5">
        <f>Paid!AM21+Legacy!AM23</f>
        <v/>
      </c>
      <c r="AN55" s="5">
        <f>Paid!AN21+Legacy!AN23</f>
        <v/>
      </c>
      <c r="AO55" s="5">
        <f>Paid!AO21+Legacy!AO23</f>
        <v/>
      </c>
      <c r="AP55" s="5">
        <f>Paid!AP21+Legacy!AP23</f>
        <v/>
      </c>
      <c r="AQ55" s="5">
        <f>Paid!AQ21+Legacy!AQ23</f>
        <v/>
      </c>
      <c r="AR55" s="5">
        <f>Paid!AR21+Legacy!AR23</f>
        <v/>
      </c>
      <c r="AS55" s="5">
        <f>Paid!AS21+Legacy!AS23</f>
        <v/>
      </c>
      <c r="AT55" s="5">
        <f>Paid!AT21+Legacy!AT23</f>
        <v/>
      </c>
      <c r="AU55" s="5">
        <f>Paid!AU21+Legacy!AU23</f>
        <v/>
      </c>
      <c r="AV55" s="5">
        <f>Paid!AV21+Legacy!AV23</f>
        <v/>
      </c>
      <c r="AW55" s="5">
        <f>Paid!AW21+Legacy!AW23</f>
        <v/>
      </c>
      <c r="AX55" s="5">
        <f>Paid!AX21+Legacy!AX23</f>
        <v/>
      </c>
      <c r="AY55" s="5">
        <f>Paid!AY21+Legacy!AY23</f>
        <v/>
      </c>
      <c r="AZ55" s="5">
        <f>Paid!AZ21+Legacy!AZ23</f>
        <v/>
      </c>
      <c r="BA55" s="5">
        <f>Paid!BA21+Legacy!BA23</f>
        <v/>
      </c>
      <c r="BB55" s="5">
        <f>Paid!BB21+Legacy!BB23</f>
        <v/>
      </c>
      <c r="BC55" s="5">
        <f>Paid!BC21+Legacy!BC23</f>
        <v/>
      </c>
      <c r="BD55" s="5">
        <f>Paid!BD21+Legacy!BD23</f>
        <v/>
      </c>
      <c r="BE55" s="5">
        <f>Paid!BE21+Legacy!BE23</f>
        <v/>
      </c>
      <c r="BF55" s="5">
        <f>Paid!BF21+Legacy!BF23</f>
        <v/>
      </c>
      <c r="BG55" s="5">
        <f>Paid!BG21+Legacy!BG23</f>
        <v/>
      </c>
      <c r="BH55" s="5">
        <f>Paid!BH21+Legacy!BH23</f>
        <v/>
      </c>
      <c r="BI55" s="5">
        <f>Paid!BI21+Legacy!BI23</f>
        <v/>
      </c>
      <c r="BJ55" s="5">
        <f>Paid!BJ21+Legacy!BJ23</f>
        <v/>
      </c>
      <c r="BK55" s="5">
        <f>Paid!BK21+Legacy!BK23</f>
        <v/>
      </c>
      <c r="BL55" s="5">
        <f>Paid!BL21+Legacy!BL23</f>
        <v/>
      </c>
      <c r="BM55" s="5">
        <f>Paid!BM21+Legacy!BM23</f>
        <v/>
      </c>
      <c r="BN55" s="5">
        <f>Paid!BN21+Legacy!BN23</f>
        <v/>
      </c>
      <c r="BO55" s="5">
        <f>Paid!BO21+Legacy!BO23</f>
        <v/>
      </c>
      <c r="BP55" s="5">
        <f>Paid!BP21+Legacy!BP23</f>
        <v/>
      </c>
      <c r="BQ55" s="5">
        <f>Paid!BQ21+Legacy!BQ23</f>
        <v/>
      </c>
      <c r="BR55" s="5">
        <f>Paid!BR21+Legacy!BR23</f>
        <v/>
      </c>
      <c r="BS55" s="5">
        <f>Paid!BS21+Legacy!BS23</f>
        <v/>
      </c>
      <c r="BT55" s="5">
        <f>Paid!BT21+Legacy!BT23</f>
        <v/>
      </c>
      <c r="BU55" s="5">
        <f>Paid!BU21+Legacy!BU23</f>
        <v/>
      </c>
      <c r="BV55" s="5">
        <f>Paid!BV21+Legacy!BV23</f>
        <v/>
      </c>
    </row>
    <row r="56">
      <c r="A56" t="inlineStr">
        <is>
          <t>inflow @0</t>
        </is>
      </c>
      <c r="B56" t="inlineStr">
        <is>
          <t>EUROPE|NITRO_M</t>
        </is>
      </c>
      <c r="C56" s="5">
        <f>C55*Eras!C$3</f>
        <v/>
      </c>
      <c r="D56" s="5">
        <f>D55*Eras!D$3</f>
        <v/>
      </c>
      <c r="E56" s="5">
        <f>E55*Eras!E$3</f>
        <v/>
      </c>
      <c r="F56" s="5">
        <f>F55*Eras!F$3</f>
        <v/>
      </c>
      <c r="G56" s="5">
        <f>G55*Eras!G$3</f>
        <v/>
      </c>
      <c r="H56" s="5">
        <f>H55*Eras!H$3</f>
        <v/>
      </c>
      <c r="I56" s="5">
        <f>I55*Eras!I$3</f>
        <v/>
      </c>
      <c r="J56" s="5">
        <f>J55*Eras!J$3</f>
        <v/>
      </c>
      <c r="K56" s="5">
        <f>K55*Eras!K$3</f>
        <v/>
      </c>
      <c r="L56" s="5">
        <f>L55*Eras!L$3</f>
        <v/>
      </c>
      <c r="M56" s="5">
        <f>M55*Eras!M$3</f>
        <v/>
      </c>
      <c r="N56" s="5">
        <f>N55*Eras!N$3</f>
        <v/>
      </c>
      <c r="O56" s="5">
        <f>O55*Eras!O$3</f>
        <v/>
      </c>
      <c r="P56" s="5">
        <f>P55*Eras!P$3</f>
        <v/>
      </c>
      <c r="Q56" s="5">
        <f>Q55*Eras!Q$3</f>
        <v/>
      </c>
      <c r="R56" s="5">
        <f>R55*Eras!R$3</f>
        <v/>
      </c>
      <c r="S56" s="5">
        <f>S55*Eras!S$3</f>
        <v/>
      </c>
      <c r="T56" s="5">
        <f>T55*Eras!T$3</f>
        <v/>
      </c>
      <c r="U56" s="5">
        <f>U55*Eras!U$3</f>
        <v/>
      </c>
      <c r="V56" s="5">
        <f>V55*Eras!V$3</f>
        <v/>
      </c>
      <c r="W56" s="5">
        <f>W55*Eras!W$3</f>
        <v/>
      </c>
      <c r="X56" s="5">
        <f>X55*Eras!X$3</f>
        <v/>
      </c>
      <c r="Y56" s="5">
        <f>Y55*Eras!Y$3</f>
        <v/>
      </c>
      <c r="Z56" s="5">
        <f>Z55*Eras!Z$3</f>
        <v/>
      </c>
      <c r="AA56" s="5">
        <f>AA55*Eras!AA$3</f>
        <v/>
      </c>
      <c r="AB56" s="5">
        <f>AB55*Eras!AB$3</f>
        <v/>
      </c>
      <c r="AC56" s="5">
        <f>AC55*Eras!AC$3</f>
        <v/>
      </c>
      <c r="AD56" s="5">
        <f>AD55*Eras!AD$3</f>
        <v/>
      </c>
      <c r="AE56" s="5">
        <f>AE55*Eras!AE$3</f>
        <v/>
      </c>
      <c r="AF56" s="5">
        <f>AF55*Eras!AF$3</f>
        <v/>
      </c>
      <c r="AG56" s="5">
        <f>AG55*Eras!AG$3</f>
        <v/>
      </c>
      <c r="AH56" s="5">
        <f>AH55*Eras!AH$3</f>
        <v/>
      </c>
      <c r="AI56" s="5">
        <f>AI55*Eras!AI$3</f>
        <v/>
      </c>
      <c r="AJ56" s="5">
        <f>AJ55*Eras!AJ$3</f>
        <v/>
      </c>
      <c r="AK56" s="5">
        <f>AK55*Eras!AK$3</f>
        <v/>
      </c>
      <c r="AL56" s="5">
        <f>AL55*Eras!AL$3</f>
        <v/>
      </c>
      <c r="AM56" s="5">
        <f>AM55*Eras!AM$3</f>
        <v/>
      </c>
      <c r="AN56" s="5">
        <f>AN55*Eras!AN$3</f>
        <v/>
      </c>
      <c r="AO56" s="5">
        <f>AO55*Eras!AO$3</f>
        <v/>
      </c>
      <c r="AP56" s="5">
        <f>AP55*Eras!AP$3</f>
        <v/>
      </c>
      <c r="AQ56" s="5">
        <f>AQ55*Eras!AQ$3</f>
        <v/>
      </c>
      <c r="AR56" s="5">
        <f>AR55*Eras!AR$3</f>
        <v/>
      </c>
      <c r="AS56" s="5">
        <f>AS55*Eras!AS$3</f>
        <v/>
      </c>
      <c r="AT56" s="5">
        <f>AT55*Eras!AT$3</f>
        <v/>
      </c>
      <c r="AU56" s="5">
        <f>AU55*Eras!AU$3</f>
        <v/>
      </c>
      <c r="AV56" s="5">
        <f>AV55*Eras!AV$3</f>
        <v/>
      </c>
      <c r="AW56" s="5">
        <f>AW55*Eras!AW$3</f>
        <v/>
      </c>
      <c r="AX56" s="5">
        <f>AX55*Eras!AX$3</f>
        <v/>
      </c>
      <c r="AY56" s="5">
        <f>AY55*Eras!AY$3</f>
        <v/>
      </c>
      <c r="AZ56" s="5">
        <f>AZ55*Eras!AZ$3</f>
        <v/>
      </c>
      <c r="BA56" s="5">
        <f>BA55*Eras!BA$3</f>
        <v/>
      </c>
      <c r="BB56" s="5">
        <f>BB55*Eras!BB$3</f>
        <v/>
      </c>
      <c r="BC56" s="5">
        <f>BC55*Eras!BC$3</f>
        <v/>
      </c>
      <c r="BD56" s="5">
        <f>BD55*Eras!BD$3</f>
        <v/>
      </c>
      <c r="BE56" s="5">
        <f>BE55*Eras!BE$3</f>
        <v/>
      </c>
      <c r="BF56" s="5">
        <f>BF55*Eras!BF$3</f>
        <v/>
      </c>
      <c r="BG56" s="5">
        <f>BG55*Eras!BG$3</f>
        <v/>
      </c>
      <c r="BH56" s="5">
        <f>BH55*Eras!BH$3</f>
        <v/>
      </c>
      <c r="BI56" s="5">
        <f>BI55*Eras!BI$3</f>
        <v/>
      </c>
      <c r="BJ56" s="5">
        <f>BJ55*Eras!BJ$3</f>
        <v/>
      </c>
      <c r="BK56" s="5">
        <f>BK55*Eras!BK$3</f>
        <v/>
      </c>
      <c r="BL56" s="5">
        <f>BL55*Eras!BL$3</f>
        <v/>
      </c>
      <c r="BM56" s="5">
        <f>BM55*Eras!BM$3</f>
        <v/>
      </c>
      <c r="BN56" s="5">
        <f>BN55*Eras!BN$3</f>
        <v/>
      </c>
      <c r="BO56" s="5">
        <f>BO55*Eras!BO$3</f>
        <v/>
      </c>
      <c r="BP56" s="5">
        <f>BP55*Eras!BP$3</f>
        <v/>
      </c>
      <c r="BQ56" s="5">
        <f>BQ55*Eras!BQ$3</f>
        <v/>
      </c>
      <c r="BR56" s="5">
        <f>BR55*Eras!BR$3</f>
        <v/>
      </c>
      <c r="BS56" s="5">
        <f>BS55*Eras!BS$3</f>
        <v/>
      </c>
      <c r="BT56" s="5">
        <f>BT55*Eras!BT$3</f>
        <v/>
      </c>
      <c r="BU56" s="5">
        <f>BU55*Eras!BU$3</f>
        <v/>
      </c>
      <c r="BV56" s="5">
        <f>BV55*Eras!BV$3</f>
        <v/>
      </c>
    </row>
    <row r="57">
      <c r="A57" t="inlineStr">
        <is>
          <t>inflow @1</t>
        </is>
      </c>
      <c r="B57" t="inlineStr">
        <is>
          <t>EUROPE|NITRO_M</t>
        </is>
      </c>
      <c r="C57" s="5">
        <f>C55*Eras!C$4</f>
        <v/>
      </c>
      <c r="D57" s="5">
        <f>D55*Eras!D$4</f>
        <v/>
      </c>
      <c r="E57" s="5">
        <f>E55*Eras!E$4</f>
        <v/>
      </c>
      <c r="F57" s="5">
        <f>F55*Eras!F$4</f>
        <v/>
      </c>
      <c r="G57" s="5">
        <f>G55*Eras!G$4</f>
        <v/>
      </c>
      <c r="H57" s="5">
        <f>H55*Eras!H$4</f>
        <v/>
      </c>
      <c r="I57" s="5">
        <f>I55*Eras!I$4</f>
        <v/>
      </c>
      <c r="J57" s="5">
        <f>J55*Eras!J$4</f>
        <v/>
      </c>
      <c r="K57" s="5">
        <f>K55*Eras!K$4</f>
        <v/>
      </c>
      <c r="L57" s="5">
        <f>L55*Eras!L$4</f>
        <v/>
      </c>
      <c r="M57" s="5">
        <f>M55*Eras!M$4</f>
        <v/>
      </c>
      <c r="N57" s="5">
        <f>N55*Eras!N$4</f>
        <v/>
      </c>
      <c r="O57" s="5">
        <f>O55*Eras!O$4</f>
        <v/>
      </c>
      <c r="P57" s="5">
        <f>P55*Eras!P$4</f>
        <v/>
      </c>
      <c r="Q57" s="5">
        <f>Q55*Eras!Q$4</f>
        <v/>
      </c>
      <c r="R57" s="5">
        <f>R55*Eras!R$4</f>
        <v/>
      </c>
      <c r="S57" s="5">
        <f>S55*Eras!S$4</f>
        <v/>
      </c>
      <c r="T57" s="5">
        <f>T55*Eras!T$4</f>
        <v/>
      </c>
      <c r="U57" s="5">
        <f>U55*Eras!U$4</f>
        <v/>
      </c>
      <c r="V57" s="5">
        <f>V55*Eras!V$4</f>
        <v/>
      </c>
      <c r="W57" s="5">
        <f>W55*Eras!W$4</f>
        <v/>
      </c>
      <c r="X57" s="5">
        <f>X55*Eras!X$4</f>
        <v/>
      </c>
      <c r="Y57" s="5">
        <f>Y55*Eras!Y$4</f>
        <v/>
      </c>
      <c r="Z57" s="5">
        <f>Z55*Eras!Z$4</f>
        <v/>
      </c>
      <c r="AA57" s="5">
        <f>AA55*Eras!AA$4</f>
        <v/>
      </c>
      <c r="AB57" s="5">
        <f>AB55*Eras!AB$4</f>
        <v/>
      </c>
      <c r="AC57" s="5">
        <f>AC55*Eras!AC$4</f>
        <v/>
      </c>
      <c r="AD57" s="5">
        <f>AD55*Eras!AD$4</f>
        <v/>
      </c>
      <c r="AE57" s="5">
        <f>AE55*Eras!AE$4</f>
        <v/>
      </c>
      <c r="AF57" s="5">
        <f>AF55*Eras!AF$4</f>
        <v/>
      </c>
      <c r="AG57" s="5">
        <f>AG55*Eras!AG$4</f>
        <v/>
      </c>
      <c r="AH57" s="5">
        <f>AH55*Eras!AH$4</f>
        <v/>
      </c>
      <c r="AI57" s="5">
        <f>AI55*Eras!AI$4</f>
        <v/>
      </c>
      <c r="AJ57" s="5">
        <f>AJ55*Eras!AJ$4</f>
        <v/>
      </c>
      <c r="AK57" s="5">
        <f>AK55*Eras!AK$4</f>
        <v/>
      </c>
      <c r="AL57" s="5">
        <f>AL55*Eras!AL$4</f>
        <v/>
      </c>
      <c r="AM57" s="5">
        <f>AM55*Eras!AM$4</f>
        <v/>
      </c>
      <c r="AN57" s="5">
        <f>AN55*Eras!AN$4</f>
        <v/>
      </c>
      <c r="AO57" s="5">
        <f>AO55*Eras!AO$4</f>
        <v/>
      </c>
      <c r="AP57" s="5">
        <f>AP55*Eras!AP$4</f>
        <v/>
      </c>
      <c r="AQ57" s="5">
        <f>AQ55*Eras!AQ$4</f>
        <v/>
      </c>
      <c r="AR57" s="5">
        <f>AR55*Eras!AR$4</f>
        <v/>
      </c>
      <c r="AS57" s="5">
        <f>AS55*Eras!AS$4</f>
        <v/>
      </c>
      <c r="AT57" s="5">
        <f>AT55*Eras!AT$4</f>
        <v/>
      </c>
      <c r="AU57" s="5">
        <f>AU55*Eras!AU$4</f>
        <v/>
      </c>
      <c r="AV57" s="5">
        <f>AV55*Eras!AV$4</f>
        <v/>
      </c>
      <c r="AW57" s="5">
        <f>AW55*Eras!AW$4</f>
        <v/>
      </c>
      <c r="AX57" s="5">
        <f>AX55*Eras!AX$4</f>
        <v/>
      </c>
      <c r="AY57" s="5">
        <f>AY55*Eras!AY$4</f>
        <v/>
      </c>
      <c r="AZ57" s="5">
        <f>AZ55*Eras!AZ$4</f>
        <v/>
      </c>
      <c r="BA57" s="5">
        <f>BA55*Eras!BA$4</f>
        <v/>
      </c>
      <c r="BB57" s="5">
        <f>BB55*Eras!BB$4</f>
        <v/>
      </c>
      <c r="BC57" s="5">
        <f>BC55*Eras!BC$4</f>
        <v/>
      </c>
      <c r="BD57" s="5">
        <f>BD55*Eras!BD$4</f>
        <v/>
      </c>
      <c r="BE57" s="5">
        <f>BE55*Eras!BE$4</f>
        <v/>
      </c>
      <c r="BF57" s="5">
        <f>BF55*Eras!BF$4</f>
        <v/>
      </c>
      <c r="BG57" s="5">
        <f>BG55*Eras!BG$4</f>
        <v/>
      </c>
      <c r="BH57" s="5">
        <f>BH55*Eras!BH$4</f>
        <v/>
      </c>
      <c r="BI57" s="5">
        <f>BI55*Eras!BI$4</f>
        <v/>
      </c>
      <c r="BJ57" s="5">
        <f>BJ55*Eras!BJ$4</f>
        <v/>
      </c>
      <c r="BK57" s="5">
        <f>BK55*Eras!BK$4</f>
        <v/>
      </c>
      <c r="BL57" s="5">
        <f>BL55*Eras!BL$4</f>
        <v/>
      </c>
      <c r="BM57" s="5">
        <f>BM55*Eras!BM$4</f>
        <v/>
      </c>
      <c r="BN57" s="5">
        <f>BN55*Eras!BN$4</f>
        <v/>
      </c>
      <c r="BO57" s="5">
        <f>BO55*Eras!BO$4</f>
        <v/>
      </c>
      <c r="BP57" s="5">
        <f>BP55*Eras!BP$4</f>
        <v/>
      </c>
      <c r="BQ57" s="5">
        <f>BQ55*Eras!BQ$4</f>
        <v/>
      </c>
      <c r="BR57" s="5">
        <f>BR55*Eras!BR$4</f>
        <v/>
      </c>
      <c r="BS57" s="5">
        <f>BS55*Eras!BS$4</f>
        <v/>
      </c>
      <c r="BT57" s="5">
        <f>BT55*Eras!BT$4</f>
        <v/>
      </c>
      <c r="BU57" s="5">
        <f>BU55*Eras!BU$4</f>
        <v/>
      </c>
      <c r="BV57" s="5">
        <f>BV55*Eras!BV$4</f>
        <v/>
      </c>
    </row>
    <row r="58">
      <c r="A58" t="inlineStr">
        <is>
          <t>inflow @2</t>
        </is>
      </c>
      <c r="B58" t="inlineStr">
        <is>
          <t>EUROPE|NITRO_M</t>
        </is>
      </c>
      <c r="C58" s="5">
        <f>C55*Eras!C$5</f>
        <v/>
      </c>
      <c r="D58" s="5">
        <f>D55*Eras!D$5</f>
        <v/>
      </c>
      <c r="E58" s="5">
        <f>E55*Eras!E$5</f>
        <v/>
      </c>
      <c r="F58" s="5">
        <f>F55*Eras!F$5</f>
        <v/>
      </c>
      <c r="G58" s="5">
        <f>G55*Eras!G$5</f>
        <v/>
      </c>
      <c r="H58" s="5">
        <f>H55*Eras!H$5</f>
        <v/>
      </c>
      <c r="I58" s="5">
        <f>I55*Eras!I$5</f>
        <v/>
      </c>
      <c r="J58" s="5">
        <f>J55*Eras!J$5</f>
        <v/>
      </c>
      <c r="K58" s="5">
        <f>K55*Eras!K$5</f>
        <v/>
      </c>
      <c r="L58" s="5">
        <f>L55*Eras!L$5</f>
        <v/>
      </c>
      <c r="M58" s="5">
        <f>M55*Eras!M$5</f>
        <v/>
      </c>
      <c r="N58" s="5">
        <f>N55*Eras!N$5</f>
        <v/>
      </c>
      <c r="O58" s="5">
        <f>O55*Eras!O$5</f>
        <v/>
      </c>
      <c r="P58" s="5">
        <f>P55*Eras!P$5</f>
        <v/>
      </c>
      <c r="Q58" s="5">
        <f>Q55*Eras!Q$5</f>
        <v/>
      </c>
      <c r="R58" s="5">
        <f>R55*Eras!R$5</f>
        <v/>
      </c>
      <c r="S58" s="5">
        <f>S55*Eras!S$5</f>
        <v/>
      </c>
      <c r="T58" s="5">
        <f>T55*Eras!T$5</f>
        <v/>
      </c>
      <c r="U58" s="5">
        <f>U55*Eras!U$5</f>
        <v/>
      </c>
      <c r="V58" s="5">
        <f>V55*Eras!V$5</f>
        <v/>
      </c>
      <c r="W58" s="5">
        <f>W55*Eras!W$5</f>
        <v/>
      </c>
      <c r="X58" s="5">
        <f>X55*Eras!X$5</f>
        <v/>
      </c>
      <c r="Y58" s="5">
        <f>Y55*Eras!Y$5</f>
        <v/>
      </c>
      <c r="Z58" s="5">
        <f>Z55*Eras!Z$5</f>
        <v/>
      </c>
      <c r="AA58" s="5">
        <f>AA55*Eras!AA$5</f>
        <v/>
      </c>
      <c r="AB58" s="5">
        <f>AB55*Eras!AB$5</f>
        <v/>
      </c>
      <c r="AC58" s="5">
        <f>AC55*Eras!AC$5</f>
        <v/>
      </c>
      <c r="AD58" s="5">
        <f>AD55*Eras!AD$5</f>
        <v/>
      </c>
      <c r="AE58" s="5">
        <f>AE55*Eras!AE$5</f>
        <v/>
      </c>
      <c r="AF58" s="5">
        <f>AF55*Eras!AF$5</f>
        <v/>
      </c>
      <c r="AG58" s="5">
        <f>AG55*Eras!AG$5</f>
        <v/>
      </c>
      <c r="AH58" s="5">
        <f>AH55*Eras!AH$5</f>
        <v/>
      </c>
      <c r="AI58" s="5">
        <f>AI55*Eras!AI$5</f>
        <v/>
      </c>
      <c r="AJ58" s="5">
        <f>AJ55*Eras!AJ$5</f>
        <v/>
      </c>
      <c r="AK58" s="5">
        <f>AK55*Eras!AK$5</f>
        <v/>
      </c>
      <c r="AL58" s="5">
        <f>AL55*Eras!AL$5</f>
        <v/>
      </c>
      <c r="AM58" s="5">
        <f>AM55*Eras!AM$5</f>
        <v/>
      </c>
      <c r="AN58" s="5">
        <f>AN55*Eras!AN$5</f>
        <v/>
      </c>
      <c r="AO58" s="5">
        <f>AO55*Eras!AO$5</f>
        <v/>
      </c>
      <c r="AP58" s="5">
        <f>AP55*Eras!AP$5</f>
        <v/>
      </c>
      <c r="AQ58" s="5">
        <f>AQ55*Eras!AQ$5</f>
        <v/>
      </c>
      <c r="AR58" s="5">
        <f>AR55*Eras!AR$5</f>
        <v/>
      </c>
      <c r="AS58" s="5">
        <f>AS55*Eras!AS$5</f>
        <v/>
      </c>
      <c r="AT58" s="5">
        <f>AT55*Eras!AT$5</f>
        <v/>
      </c>
      <c r="AU58" s="5">
        <f>AU55*Eras!AU$5</f>
        <v/>
      </c>
      <c r="AV58" s="5">
        <f>AV55*Eras!AV$5</f>
        <v/>
      </c>
      <c r="AW58" s="5">
        <f>AW55*Eras!AW$5</f>
        <v/>
      </c>
      <c r="AX58" s="5">
        <f>AX55*Eras!AX$5</f>
        <v/>
      </c>
      <c r="AY58" s="5">
        <f>AY55*Eras!AY$5</f>
        <v/>
      </c>
      <c r="AZ58" s="5">
        <f>AZ55*Eras!AZ$5</f>
        <v/>
      </c>
      <c r="BA58" s="5">
        <f>BA55*Eras!BA$5</f>
        <v/>
      </c>
      <c r="BB58" s="5">
        <f>BB55*Eras!BB$5</f>
        <v/>
      </c>
      <c r="BC58" s="5">
        <f>BC55*Eras!BC$5</f>
        <v/>
      </c>
      <c r="BD58" s="5">
        <f>BD55*Eras!BD$5</f>
        <v/>
      </c>
      <c r="BE58" s="5">
        <f>BE55*Eras!BE$5</f>
        <v/>
      </c>
      <c r="BF58" s="5">
        <f>BF55*Eras!BF$5</f>
        <v/>
      </c>
      <c r="BG58" s="5">
        <f>BG55*Eras!BG$5</f>
        <v/>
      </c>
      <c r="BH58" s="5">
        <f>BH55*Eras!BH$5</f>
        <v/>
      </c>
      <c r="BI58" s="5">
        <f>BI55*Eras!BI$5</f>
        <v/>
      </c>
      <c r="BJ58" s="5">
        <f>BJ55*Eras!BJ$5</f>
        <v/>
      </c>
      <c r="BK58" s="5">
        <f>BK55*Eras!BK$5</f>
        <v/>
      </c>
      <c r="BL58" s="5">
        <f>BL55*Eras!BL$5</f>
        <v/>
      </c>
      <c r="BM58" s="5">
        <f>BM55*Eras!BM$5</f>
        <v/>
      </c>
      <c r="BN58" s="5">
        <f>BN55*Eras!BN$5</f>
        <v/>
      </c>
      <c r="BO58" s="5">
        <f>BO55*Eras!BO$5</f>
        <v/>
      </c>
      <c r="BP58" s="5">
        <f>BP55*Eras!BP$5</f>
        <v/>
      </c>
      <c r="BQ58" s="5">
        <f>BQ55*Eras!BQ$5</f>
        <v/>
      </c>
      <c r="BR58" s="5">
        <f>BR55*Eras!BR$5</f>
        <v/>
      </c>
      <c r="BS58" s="5">
        <f>BS55*Eras!BS$5</f>
        <v/>
      </c>
      <c r="BT58" s="5">
        <f>BT55*Eras!BT$5</f>
        <v/>
      </c>
      <c r="BU58" s="5">
        <f>BU55*Eras!BU$5</f>
        <v/>
      </c>
      <c r="BV58" s="5">
        <f>BV55*Eras!BV$5</f>
        <v/>
      </c>
    </row>
    <row r="59">
      <c r="A59" t="inlineStr">
        <is>
          <t>reactivations out</t>
        </is>
      </c>
      <c r="B59" t="inlineStr">
        <is>
          <t>EUROPE|NITRO_M</t>
        </is>
      </c>
      <c r="C59" s="5">
        <f>React!$C$56*Curves!$BV$21+React!$C$57*Curves!$BV$44+React!$C$58*Curves!$BV$67</f>
        <v/>
      </c>
      <c r="D59" s="5">
        <f>SUMPRODUCT(React!$C$56:$D$56,Curves!$BU$21:$BV$21)+SUMPRODUCT(React!$C$57:$D$57,Curves!$BU$44:$BV$44)+SUMPRODUCT(React!$C$58:$D$58,Curves!$BU$67:$BV$67)</f>
        <v/>
      </c>
      <c r="E59" s="5">
        <f>SUMPRODUCT(React!$C$56:$E$56,Curves!$BT$21:$BV$21)+SUMPRODUCT(React!$C$57:$E$57,Curves!$BT$44:$BV$44)+SUMPRODUCT(React!$C$58:$E$58,Curves!$BT$67:$BV$67)</f>
        <v/>
      </c>
      <c r="F59" s="5">
        <f>SUMPRODUCT(React!$C$56:$F$56,Curves!$BS$21:$BV$21)+SUMPRODUCT(React!$C$57:$F$57,Curves!$BS$44:$BV$44)+SUMPRODUCT(React!$C$58:$F$58,Curves!$BS$67:$BV$67)</f>
        <v/>
      </c>
      <c r="G59" s="5">
        <f>SUMPRODUCT(React!$C$56:$G$56,Curves!$BR$21:$BV$21)+SUMPRODUCT(React!$C$57:$G$57,Curves!$BR$44:$BV$44)+SUMPRODUCT(React!$C$58:$G$58,Curves!$BR$67:$BV$67)</f>
        <v/>
      </c>
      <c r="H59" s="5">
        <f>SUMPRODUCT(React!$C$56:$H$56,Curves!$BQ$21:$BV$21)+SUMPRODUCT(React!$C$57:$H$57,Curves!$BQ$44:$BV$44)+SUMPRODUCT(React!$C$58:$H$58,Curves!$BQ$67:$BV$67)</f>
        <v/>
      </c>
      <c r="I59" s="5">
        <f>SUMPRODUCT(React!$C$56:$I$56,Curves!$BP$21:$BV$21)+SUMPRODUCT(React!$C$57:$I$57,Curves!$BP$44:$BV$44)+SUMPRODUCT(React!$C$58:$I$58,Curves!$BP$67:$BV$67)</f>
        <v/>
      </c>
      <c r="J59" s="5">
        <f>SUMPRODUCT(React!$C$56:$J$56,Curves!$BO$21:$BV$21)+SUMPRODUCT(React!$C$57:$J$57,Curves!$BO$44:$BV$44)+SUMPRODUCT(React!$C$58:$J$58,Curves!$BO$67:$BV$67)</f>
        <v/>
      </c>
      <c r="K59" s="5">
        <f>SUMPRODUCT(React!$C$56:$K$56,Curves!$BN$21:$BV$21)+SUMPRODUCT(React!$C$57:$K$57,Curves!$BN$44:$BV$44)+SUMPRODUCT(React!$C$58:$K$58,Curves!$BN$67:$BV$67)</f>
        <v/>
      </c>
      <c r="L59" s="5">
        <f>SUMPRODUCT(React!$C$56:$L$56,Curves!$BM$21:$BV$21)+SUMPRODUCT(React!$C$57:$L$57,Curves!$BM$44:$BV$44)+SUMPRODUCT(React!$C$58:$L$58,Curves!$BM$67:$BV$67)</f>
        <v/>
      </c>
      <c r="M59" s="5">
        <f>SUMPRODUCT(React!$C$56:$M$56,Curves!$BL$21:$BV$21)+SUMPRODUCT(React!$C$57:$M$57,Curves!$BL$44:$BV$44)+SUMPRODUCT(React!$C$58:$M$58,Curves!$BL$67:$BV$67)</f>
        <v/>
      </c>
      <c r="N59" s="5">
        <f>SUMPRODUCT(React!$C$56:$N$56,Curves!$BK$21:$BV$21)+SUMPRODUCT(React!$C$57:$N$57,Curves!$BK$44:$BV$44)+SUMPRODUCT(React!$C$58:$N$58,Curves!$BK$67:$BV$67)</f>
        <v/>
      </c>
      <c r="O59" s="5">
        <f>SUMPRODUCT(React!$C$56:$O$56,Curves!$BJ$21:$BV$21)+SUMPRODUCT(React!$C$57:$O$57,Curves!$BJ$44:$BV$44)+SUMPRODUCT(React!$C$58:$O$58,Curves!$BJ$67:$BV$67)</f>
        <v/>
      </c>
      <c r="P59" s="5">
        <f>SUMPRODUCT(React!$C$56:$P$56,Curves!$BI$21:$BV$21)+SUMPRODUCT(React!$C$57:$P$57,Curves!$BI$44:$BV$44)+SUMPRODUCT(React!$C$58:$P$58,Curves!$BI$67:$BV$67)</f>
        <v/>
      </c>
      <c r="Q59" s="5">
        <f>SUMPRODUCT(React!$C$56:$Q$56,Curves!$BH$21:$BV$21)+SUMPRODUCT(React!$C$57:$Q$57,Curves!$BH$44:$BV$44)+SUMPRODUCT(React!$C$58:$Q$58,Curves!$BH$67:$BV$67)</f>
        <v/>
      </c>
      <c r="R59" s="5">
        <f>SUMPRODUCT(React!$C$56:$R$56,Curves!$BG$21:$BV$21)+SUMPRODUCT(React!$C$57:$R$57,Curves!$BG$44:$BV$44)+SUMPRODUCT(React!$C$58:$R$58,Curves!$BG$67:$BV$67)</f>
        <v/>
      </c>
      <c r="S59" s="5">
        <f>SUMPRODUCT(React!$C$56:$S$56,Curves!$BF$21:$BV$21)+SUMPRODUCT(React!$C$57:$S$57,Curves!$BF$44:$BV$44)+SUMPRODUCT(React!$C$58:$S$58,Curves!$BF$67:$BV$67)</f>
        <v/>
      </c>
      <c r="T59" s="5">
        <f>SUMPRODUCT(React!$C$56:$T$56,Curves!$BE$21:$BV$21)+SUMPRODUCT(React!$C$57:$T$57,Curves!$BE$44:$BV$44)+SUMPRODUCT(React!$C$58:$T$58,Curves!$BE$67:$BV$67)</f>
        <v/>
      </c>
      <c r="U59" s="5">
        <f>SUMPRODUCT(React!$C$56:$U$56,Curves!$BD$21:$BV$21)+SUMPRODUCT(React!$C$57:$U$57,Curves!$BD$44:$BV$44)+SUMPRODUCT(React!$C$58:$U$58,Curves!$BD$67:$BV$67)</f>
        <v/>
      </c>
      <c r="V59" s="5">
        <f>SUMPRODUCT(React!$C$56:$V$56,Curves!$BC$21:$BV$21)+SUMPRODUCT(React!$C$57:$V$57,Curves!$BC$44:$BV$44)+SUMPRODUCT(React!$C$58:$V$58,Curves!$BC$67:$BV$67)</f>
        <v/>
      </c>
      <c r="W59" s="5">
        <f>SUMPRODUCT(React!$C$56:$W$56,Curves!$BB$21:$BV$21)+SUMPRODUCT(React!$C$57:$W$57,Curves!$BB$44:$BV$44)+SUMPRODUCT(React!$C$58:$W$58,Curves!$BB$67:$BV$67)</f>
        <v/>
      </c>
      <c r="X59" s="5">
        <f>SUMPRODUCT(React!$C$56:$X$56,Curves!$BA$21:$BV$21)+SUMPRODUCT(React!$C$57:$X$57,Curves!$BA$44:$BV$44)+SUMPRODUCT(React!$C$58:$X$58,Curves!$BA$67:$BV$67)</f>
        <v/>
      </c>
      <c r="Y59" s="5">
        <f>SUMPRODUCT(React!$C$56:$Y$56,Curves!$AZ$21:$BV$21)+SUMPRODUCT(React!$C$57:$Y$57,Curves!$AZ$44:$BV$44)+SUMPRODUCT(React!$C$58:$Y$58,Curves!$AZ$67:$BV$67)</f>
        <v/>
      </c>
      <c r="Z59" s="5">
        <f>SUMPRODUCT(React!$C$56:$Z$56,Curves!$AY$21:$BV$21)+SUMPRODUCT(React!$C$57:$Z$57,Curves!$AY$44:$BV$44)+SUMPRODUCT(React!$C$58:$Z$58,Curves!$AY$67:$BV$67)</f>
        <v/>
      </c>
      <c r="AA59" s="5">
        <f>SUMPRODUCT(React!$C$56:$AA$56,Curves!$AX$21:$BV$21)+SUMPRODUCT(React!$C$57:$AA$57,Curves!$AX$44:$BV$44)+SUMPRODUCT(React!$C$58:$AA$58,Curves!$AX$67:$BV$67)</f>
        <v/>
      </c>
      <c r="AB59" s="5">
        <f>SUMPRODUCT(React!$C$56:$AB$56,Curves!$AW$21:$BV$21)+SUMPRODUCT(React!$C$57:$AB$57,Curves!$AW$44:$BV$44)+SUMPRODUCT(React!$C$58:$AB$58,Curves!$AW$67:$BV$67)</f>
        <v/>
      </c>
      <c r="AC59" s="5">
        <f>SUMPRODUCT(React!$C$56:$AC$56,Curves!$AV$21:$BV$21)+SUMPRODUCT(React!$C$57:$AC$57,Curves!$AV$44:$BV$44)+SUMPRODUCT(React!$C$58:$AC$58,Curves!$AV$67:$BV$67)</f>
        <v/>
      </c>
      <c r="AD59" s="5">
        <f>SUMPRODUCT(React!$C$56:$AD$56,Curves!$AU$21:$BV$21)+SUMPRODUCT(React!$C$57:$AD$57,Curves!$AU$44:$BV$44)+SUMPRODUCT(React!$C$58:$AD$58,Curves!$AU$67:$BV$67)</f>
        <v/>
      </c>
      <c r="AE59" s="5">
        <f>SUMPRODUCT(React!$C$56:$AE$56,Curves!$AT$21:$BV$21)+SUMPRODUCT(React!$C$57:$AE$57,Curves!$AT$44:$BV$44)+SUMPRODUCT(React!$C$58:$AE$58,Curves!$AT$67:$BV$67)</f>
        <v/>
      </c>
      <c r="AF59" s="5">
        <f>SUMPRODUCT(React!$C$56:$AF$56,Curves!$AS$21:$BV$21)+SUMPRODUCT(React!$C$57:$AF$57,Curves!$AS$44:$BV$44)+SUMPRODUCT(React!$C$58:$AF$58,Curves!$AS$67:$BV$67)</f>
        <v/>
      </c>
      <c r="AG59" s="5">
        <f>SUMPRODUCT(React!$C$56:$AG$56,Curves!$AR$21:$BV$21)+SUMPRODUCT(React!$C$57:$AG$57,Curves!$AR$44:$BV$44)+SUMPRODUCT(React!$C$58:$AG$58,Curves!$AR$67:$BV$67)</f>
        <v/>
      </c>
      <c r="AH59" s="5">
        <f>SUMPRODUCT(React!$C$56:$AH$56,Curves!$AQ$21:$BV$21)+SUMPRODUCT(React!$C$57:$AH$57,Curves!$AQ$44:$BV$44)+SUMPRODUCT(React!$C$58:$AH$58,Curves!$AQ$67:$BV$67)</f>
        <v/>
      </c>
      <c r="AI59" s="5">
        <f>SUMPRODUCT(React!$C$56:$AI$56,Curves!$AP$21:$BV$21)+SUMPRODUCT(React!$C$57:$AI$57,Curves!$AP$44:$BV$44)+SUMPRODUCT(React!$C$58:$AI$58,Curves!$AP$67:$BV$67)</f>
        <v/>
      </c>
      <c r="AJ59" s="5">
        <f>SUMPRODUCT(React!$C$56:$AJ$56,Curves!$AO$21:$BV$21)+SUMPRODUCT(React!$C$57:$AJ$57,Curves!$AO$44:$BV$44)+SUMPRODUCT(React!$C$58:$AJ$58,Curves!$AO$67:$BV$67)</f>
        <v/>
      </c>
      <c r="AK59" s="5">
        <f>SUMPRODUCT(React!$C$56:$AK$56,Curves!$AN$21:$BV$21)+SUMPRODUCT(React!$C$57:$AK$57,Curves!$AN$44:$BV$44)+SUMPRODUCT(React!$C$58:$AK$58,Curves!$AN$67:$BV$67)</f>
        <v/>
      </c>
      <c r="AL59" s="5">
        <f>SUMPRODUCT(React!$C$56:$AL$56,Curves!$AM$21:$BV$21)+SUMPRODUCT(React!$C$57:$AL$57,Curves!$AM$44:$BV$44)+SUMPRODUCT(React!$C$58:$AL$58,Curves!$AM$67:$BV$67)</f>
        <v/>
      </c>
      <c r="AM59" s="5">
        <f>SUMPRODUCT(React!$C$56:$AM$56,Curves!$AL$21:$BV$21)+SUMPRODUCT(React!$C$57:$AM$57,Curves!$AL$44:$BV$44)+SUMPRODUCT(React!$C$58:$AM$58,Curves!$AL$67:$BV$67)</f>
        <v/>
      </c>
      <c r="AN59" s="5">
        <f>SUMPRODUCT(React!$C$56:$AN$56,Curves!$AK$21:$BV$21)+SUMPRODUCT(React!$C$57:$AN$57,Curves!$AK$44:$BV$44)+SUMPRODUCT(React!$C$58:$AN$58,Curves!$AK$67:$BV$67)</f>
        <v/>
      </c>
      <c r="AO59" s="5">
        <f>SUMPRODUCT(React!$C$56:$AO$56,Curves!$AJ$21:$BV$21)+SUMPRODUCT(React!$C$57:$AO$57,Curves!$AJ$44:$BV$44)+SUMPRODUCT(React!$C$58:$AO$58,Curves!$AJ$67:$BV$67)</f>
        <v/>
      </c>
      <c r="AP59" s="5">
        <f>SUMPRODUCT(React!$C$56:$AP$56,Curves!$AI$21:$BV$21)+SUMPRODUCT(React!$C$57:$AP$57,Curves!$AI$44:$BV$44)+SUMPRODUCT(React!$C$58:$AP$58,Curves!$AI$67:$BV$67)</f>
        <v/>
      </c>
      <c r="AQ59" s="5">
        <f>SUMPRODUCT(React!$C$56:$AQ$56,Curves!$AH$21:$BV$21)+SUMPRODUCT(React!$C$57:$AQ$57,Curves!$AH$44:$BV$44)+SUMPRODUCT(React!$C$58:$AQ$58,Curves!$AH$67:$BV$67)</f>
        <v/>
      </c>
      <c r="AR59" s="5">
        <f>SUMPRODUCT(React!$C$56:$AR$56,Curves!$AG$21:$BV$21)+SUMPRODUCT(React!$C$57:$AR$57,Curves!$AG$44:$BV$44)+SUMPRODUCT(React!$C$58:$AR$58,Curves!$AG$67:$BV$67)</f>
        <v/>
      </c>
      <c r="AS59" s="5">
        <f>SUMPRODUCT(React!$C$56:$AS$56,Curves!$AF$21:$BV$21)+SUMPRODUCT(React!$C$57:$AS$57,Curves!$AF$44:$BV$44)+SUMPRODUCT(React!$C$58:$AS$58,Curves!$AF$67:$BV$67)</f>
        <v/>
      </c>
      <c r="AT59" s="5">
        <f>SUMPRODUCT(React!$C$56:$AT$56,Curves!$AE$21:$BV$21)+SUMPRODUCT(React!$C$57:$AT$57,Curves!$AE$44:$BV$44)+SUMPRODUCT(React!$C$58:$AT$58,Curves!$AE$67:$BV$67)</f>
        <v/>
      </c>
      <c r="AU59" s="5">
        <f>SUMPRODUCT(React!$C$56:$AU$56,Curves!$AD$21:$BV$21)+SUMPRODUCT(React!$C$57:$AU$57,Curves!$AD$44:$BV$44)+SUMPRODUCT(React!$C$58:$AU$58,Curves!$AD$67:$BV$67)</f>
        <v/>
      </c>
      <c r="AV59" s="5">
        <f>SUMPRODUCT(React!$C$56:$AV$56,Curves!$AC$21:$BV$21)+SUMPRODUCT(React!$C$57:$AV$57,Curves!$AC$44:$BV$44)+SUMPRODUCT(React!$C$58:$AV$58,Curves!$AC$67:$BV$67)</f>
        <v/>
      </c>
      <c r="AW59" s="5">
        <f>SUMPRODUCT(React!$C$56:$AW$56,Curves!$AB$21:$BV$21)+SUMPRODUCT(React!$C$57:$AW$57,Curves!$AB$44:$BV$44)+SUMPRODUCT(React!$C$58:$AW$58,Curves!$AB$67:$BV$67)</f>
        <v/>
      </c>
      <c r="AX59" s="5">
        <f>SUMPRODUCT(React!$C$56:$AX$56,Curves!$AA$21:$BV$21)+SUMPRODUCT(React!$C$57:$AX$57,Curves!$AA$44:$BV$44)+SUMPRODUCT(React!$C$58:$AX$58,Curves!$AA$67:$BV$67)</f>
        <v/>
      </c>
      <c r="AY59" s="5">
        <f>SUMPRODUCT(React!$C$56:$AY$56,Curves!$Z$21:$BV$21)+SUMPRODUCT(React!$C$57:$AY$57,Curves!$Z$44:$BV$44)+SUMPRODUCT(React!$C$58:$AY$58,Curves!$Z$67:$BV$67)</f>
        <v/>
      </c>
      <c r="AZ59" s="5">
        <f>SUMPRODUCT(React!$C$56:$AZ$56,Curves!$Y$21:$BV$21)+SUMPRODUCT(React!$C$57:$AZ$57,Curves!$Y$44:$BV$44)+SUMPRODUCT(React!$C$58:$AZ$58,Curves!$Y$67:$BV$67)</f>
        <v/>
      </c>
      <c r="BA59" s="5">
        <f>SUMPRODUCT(React!$C$56:$BA$56,Curves!$X$21:$BV$21)+SUMPRODUCT(React!$C$57:$BA$57,Curves!$X$44:$BV$44)+SUMPRODUCT(React!$C$58:$BA$58,Curves!$X$67:$BV$67)</f>
        <v/>
      </c>
      <c r="BB59" s="5">
        <f>SUMPRODUCT(React!$C$56:$BB$56,Curves!$W$21:$BV$21)+SUMPRODUCT(React!$C$57:$BB$57,Curves!$W$44:$BV$44)+SUMPRODUCT(React!$C$58:$BB$58,Curves!$W$67:$BV$67)</f>
        <v/>
      </c>
      <c r="BC59" s="5">
        <f>SUMPRODUCT(React!$C$56:$BC$56,Curves!$V$21:$BV$21)+SUMPRODUCT(React!$C$57:$BC$57,Curves!$V$44:$BV$44)+SUMPRODUCT(React!$C$58:$BC$58,Curves!$V$67:$BV$67)</f>
        <v/>
      </c>
      <c r="BD59" s="5">
        <f>SUMPRODUCT(React!$C$56:$BD$56,Curves!$U$21:$BV$21)+SUMPRODUCT(React!$C$57:$BD$57,Curves!$U$44:$BV$44)+SUMPRODUCT(React!$C$58:$BD$58,Curves!$U$67:$BV$67)</f>
        <v/>
      </c>
      <c r="BE59" s="5">
        <f>SUMPRODUCT(React!$C$56:$BE$56,Curves!$T$21:$BV$21)+SUMPRODUCT(React!$C$57:$BE$57,Curves!$T$44:$BV$44)+SUMPRODUCT(React!$C$58:$BE$58,Curves!$T$67:$BV$67)</f>
        <v/>
      </c>
      <c r="BF59" s="5">
        <f>SUMPRODUCT(React!$C$56:$BF$56,Curves!$S$21:$BV$21)+SUMPRODUCT(React!$C$57:$BF$57,Curves!$S$44:$BV$44)+SUMPRODUCT(React!$C$58:$BF$58,Curves!$S$67:$BV$67)</f>
        <v/>
      </c>
      <c r="BG59" s="5">
        <f>SUMPRODUCT(React!$C$56:$BG$56,Curves!$R$21:$BV$21)+SUMPRODUCT(React!$C$57:$BG$57,Curves!$R$44:$BV$44)+SUMPRODUCT(React!$C$58:$BG$58,Curves!$R$67:$BV$67)</f>
        <v/>
      </c>
      <c r="BH59" s="5">
        <f>SUMPRODUCT(React!$C$56:$BH$56,Curves!$Q$21:$BV$21)+SUMPRODUCT(React!$C$57:$BH$57,Curves!$Q$44:$BV$44)+SUMPRODUCT(React!$C$58:$BH$58,Curves!$Q$67:$BV$67)</f>
        <v/>
      </c>
      <c r="BI59" s="5">
        <f>SUMPRODUCT(React!$C$56:$BI$56,Curves!$P$21:$BV$21)+SUMPRODUCT(React!$C$57:$BI$57,Curves!$P$44:$BV$44)+SUMPRODUCT(React!$C$58:$BI$58,Curves!$P$67:$BV$67)</f>
        <v/>
      </c>
      <c r="BJ59" s="5">
        <f>SUMPRODUCT(React!$C$56:$BJ$56,Curves!$O$21:$BV$21)+SUMPRODUCT(React!$C$57:$BJ$57,Curves!$O$44:$BV$44)+SUMPRODUCT(React!$C$58:$BJ$58,Curves!$O$67:$BV$67)</f>
        <v/>
      </c>
      <c r="BK59" s="5">
        <f>SUMPRODUCT(React!$C$56:$BK$56,Curves!$N$21:$BV$21)+SUMPRODUCT(React!$C$57:$BK$57,Curves!$N$44:$BV$44)+SUMPRODUCT(React!$C$58:$BK$58,Curves!$N$67:$BV$67)</f>
        <v/>
      </c>
      <c r="BL59" s="5">
        <f>SUMPRODUCT(React!$C$56:$BL$56,Curves!$M$21:$BV$21)+SUMPRODUCT(React!$C$57:$BL$57,Curves!$M$44:$BV$44)+SUMPRODUCT(React!$C$58:$BL$58,Curves!$M$67:$BV$67)</f>
        <v/>
      </c>
      <c r="BM59" s="5">
        <f>SUMPRODUCT(React!$C$56:$BM$56,Curves!$L$21:$BV$21)+SUMPRODUCT(React!$C$57:$BM$57,Curves!$L$44:$BV$44)+SUMPRODUCT(React!$C$58:$BM$58,Curves!$L$67:$BV$67)</f>
        <v/>
      </c>
      <c r="BN59" s="5">
        <f>SUMPRODUCT(React!$C$56:$BN$56,Curves!$K$21:$BV$21)+SUMPRODUCT(React!$C$57:$BN$57,Curves!$K$44:$BV$44)+SUMPRODUCT(React!$C$58:$BN$58,Curves!$K$67:$BV$67)</f>
        <v/>
      </c>
      <c r="BO59" s="5">
        <f>SUMPRODUCT(React!$C$56:$BO$56,Curves!$J$21:$BV$21)+SUMPRODUCT(React!$C$57:$BO$57,Curves!$J$44:$BV$44)+SUMPRODUCT(React!$C$58:$BO$58,Curves!$J$67:$BV$67)</f>
        <v/>
      </c>
      <c r="BP59" s="5">
        <f>SUMPRODUCT(React!$C$56:$BP$56,Curves!$I$21:$BV$21)+SUMPRODUCT(React!$C$57:$BP$57,Curves!$I$44:$BV$44)+SUMPRODUCT(React!$C$58:$BP$58,Curves!$I$67:$BV$67)</f>
        <v/>
      </c>
      <c r="BQ59" s="5">
        <f>SUMPRODUCT(React!$C$56:$BQ$56,Curves!$H$21:$BV$21)+SUMPRODUCT(React!$C$57:$BQ$57,Curves!$H$44:$BV$44)+SUMPRODUCT(React!$C$58:$BQ$58,Curves!$H$67:$BV$67)</f>
        <v/>
      </c>
      <c r="BR59" s="5">
        <f>SUMPRODUCT(React!$C$56:$BR$56,Curves!$G$21:$BV$21)+SUMPRODUCT(React!$C$57:$BR$57,Curves!$G$44:$BV$44)+SUMPRODUCT(React!$C$58:$BR$58,Curves!$G$67:$BV$67)</f>
        <v/>
      </c>
      <c r="BS59" s="5">
        <f>SUMPRODUCT(React!$C$56:$BS$56,Curves!$F$21:$BV$21)+SUMPRODUCT(React!$C$57:$BS$57,Curves!$F$44:$BV$44)+SUMPRODUCT(React!$C$58:$BS$58,Curves!$F$67:$BV$67)</f>
        <v/>
      </c>
      <c r="BT59" s="5">
        <f>SUMPRODUCT(React!$C$56:$BT$56,Curves!$E$21:$BV$21)+SUMPRODUCT(React!$C$57:$BT$57,Curves!$E$44:$BV$44)+SUMPRODUCT(React!$C$58:$BT$58,Curves!$E$67:$BV$67)</f>
        <v/>
      </c>
      <c r="BU59" s="5">
        <f>SUMPRODUCT(React!$C$56:$BU$56,Curves!$D$21:$BV$21)+SUMPRODUCT(React!$C$57:$BU$57,Curves!$D$44:$BV$44)+SUMPRODUCT(React!$C$58:$BU$58,Curves!$D$67:$BV$67)</f>
        <v/>
      </c>
      <c r="BV59" s="5">
        <f>SUMPRODUCT(React!$C$56:$BV$56,Curves!$C$21:$BV$21)+SUMPRODUCT(React!$C$57:$BV$57,Curves!$C$44:$BV$44)+SUMPRODUCT(React!$C$58:$BV$58,Curves!$C$67:$BV$67)</f>
        <v/>
      </c>
    </row>
    <row r="60">
      <c r="A60" t="inlineStr">
        <is>
          <t>reactivated in</t>
        </is>
      </c>
      <c r="B60" t="inlineStr">
        <is>
          <t>EUROPE|NITRO_M</t>
        </is>
      </c>
      <c r="C60" s="5">
        <f>C59+C72</f>
        <v/>
      </c>
      <c r="D60" s="5">
        <f>D59+D72</f>
        <v/>
      </c>
      <c r="E60" s="5">
        <f>E59+E72</f>
        <v/>
      </c>
      <c r="F60" s="5">
        <f>F59+F72</f>
        <v/>
      </c>
      <c r="G60" s="5">
        <f>G59+G72</f>
        <v/>
      </c>
      <c r="H60" s="5">
        <f>H59+H72</f>
        <v/>
      </c>
      <c r="I60" s="5">
        <f>I59+I72</f>
        <v/>
      </c>
      <c r="J60" s="5">
        <f>J59+J72</f>
        <v/>
      </c>
      <c r="K60" s="5">
        <f>K59+K72</f>
        <v/>
      </c>
      <c r="L60" s="5">
        <f>L59+L72</f>
        <v/>
      </c>
      <c r="M60" s="5">
        <f>M59+M72</f>
        <v/>
      </c>
      <c r="N60" s="5">
        <f>N59+N72</f>
        <v/>
      </c>
      <c r="O60" s="5">
        <f>O59+O72</f>
        <v/>
      </c>
      <c r="P60" s="5">
        <f>P59+P72</f>
        <v/>
      </c>
      <c r="Q60" s="5">
        <f>Q59+Q72</f>
        <v/>
      </c>
      <c r="R60" s="5">
        <f>R59+R72</f>
        <v/>
      </c>
      <c r="S60" s="5">
        <f>S59+S72</f>
        <v/>
      </c>
      <c r="T60" s="5">
        <f>T59+T72</f>
        <v/>
      </c>
      <c r="U60" s="5">
        <f>U59+U72</f>
        <v/>
      </c>
      <c r="V60" s="5">
        <f>V59+V72</f>
        <v/>
      </c>
      <c r="W60" s="5">
        <f>W59+W72</f>
        <v/>
      </c>
      <c r="X60" s="5">
        <f>X59+X72</f>
        <v/>
      </c>
      <c r="Y60" s="5">
        <f>Y59+Y72</f>
        <v/>
      </c>
      <c r="Z60" s="5">
        <f>Z59+Z72</f>
        <v/>
      </c>
      <c r="AA60" s="5">
        <f>AA59+AA72</f>
        <v/>
      </c>
      <c r="AB60" s="5">
        <f>AB59+AB72</f>
        <v/>
      </c>
      <c r="AC60" s="5">
        <f>AC59+AC72</f>
        <v/>
      </c>
      <c r="AD60" s="5">
        <f>AD59+AD72</f>
        <v/>
      </c>
      <c r="AE60" s="5">
        <f>AE59+AE72</f>
        <v/>
      </c>
      <c r="AF60" s="5">
        <f>AF59+AF72</f>
        <v/>
      </c>
      <c r="AG60" s="5">
        <f>AG59+AG72</f>
        <v/>
      </c>
      <c r="AH60" s="5">
        <f>AH59+AH72</f>
        <v/>
      </c>
      <c r="AI60" s="5">
        <f>AI59+AI72</f>
        <v/>
      </c>
      <c r="AJ60" s="5">
        <f>AJ59+AJ72</f>
        <v/>
      </c>
      <c r="AK60" s="5">
        <f>AK59+AK72</f>
        <v/>
      </c>
      <c r="AL60" s="5">
        <f>AL59+AL72</f>
        <v/>
      </c>
      <c r="AM60" s="5">
        <f>AM59+AM72</f>
        <v/>
      </c>
      <c r="AN60" s="5">
        <f>AN59+AN72</f>
        <v/>
      </c>
      <c r="AO60" s="5">
        <f>AO59+AO72</f>
        <v/>
      </c>
      <c r="AP60" s="5">
        <f>AP59+AP72</f>
        <v/>
      </c>
      <c r="AQ60" s="5">
        <f>AQ59+AQ72</f>
        <v/>
      </c>
      <c r="AR60" s="5">
        <f>AR59+AR72</f>
        <v/>
      </c>
      <c r="AS60" s="5">
        <f>AS59+AS72</f>
        <v/>
      </c>
      <c r="AT60" s="5">
        <f>AT59+AT72</f>
        <v/>
      </c>
      <c r="AU60" s="5">
        <f>AU59+AU72</f>
        <v/>
      </c>
      <c r="AV60" s="5">
        <f>AV59+AV72</f>
        <v/>
      </c>
      <c r="AW60" s="5">
        <f>AW59+AW72</f>
        <v/>
      </c>
      <c r="AX60" s="5">
        <f>AX59+AX72</f>
        <v/>
      </c>
      <c r="AY60" s="5">
        <f>AY59+AY72</f>
        <v/>
      </c>
      <c r="AZ60" s="5">
        <f>AZ59+AZ72</f>
        <v/>
      </c>
      <c r="BA60" s="5">
        <f>BA59+BA72</f>
        <v/>
      </c>
      <c r="BB60" s="5">
        <f>BB59+BB72</f>
        <v/>
      </c>
      <c r="BC60" s="5">
        <f>BC59+BC72</f>
        <v/>
      </c>
      <c r="BD60" s="5">
        <f>BD59+BD72</f>
        <v/>
      </c>
      <c r="BE60" s="5">
        <f>BE59+BE72</f>
        <v/>
      </c>
      <c r="BF60" s="5">
        <f>BF59+BF72</f>
        <v/>
      </c>
      <c r="BG60" s="5">
        <f>BG59+BG72</f>
        <v/>
      </c>
      <c r="BH60" s="5">
        <f>BH59+BH72</f>
        <v/>
      </c>
      <c r="BI60" s="5">
        <f>BI59+BI72</f>
        <v/>
      </c>
      <c r="BJ60" s="5">
        <f>BJ59+BJ72</f>
        <v/>
      </c>
      <c r="BK60" s="5">
        <f>BK59+BK72</f>
        <v/>
      </c>
      <c r="BL60" s="5">
        <f>BL59+BL72</f>
        <v/>
      </c>
      <c r="BM60" s="5">
        <f>BM59+BM72</f>
        <v/>
      </c>
      <c r="BN60" s="5">
        <f>BN59+BN72</f>
        <v/>
      </c>
      <c r="BO60" s="5">
        <f>BO59+BO72</f>
        <v/>
      </c>
      <c r="BP60" s="5">
        <f>BP59+BP72</f>
        <v/>
      </c>
      <c r="BQ60" s="5">
        <f>BQ59+BQ72</f>
        <v/>
      </c>
      <c r="BR60" s="5">
        <f>BR59+BR72</f>
        <v/>
      </c>
      <c r="BS60" s="5">
        <f>BS59+BS72</f>
        <v/>
      </c>
      <c r="BT60" s="5">
        <f>BT59+BT72</f>
        <v/>
      </c>
      <c r="BU60" s="5">
        <f>BU59+BU72</f>
        <v/>
      </c>
      <c r="BV60" s="5">
        <f>BV59+BV72</f>
        <v/>
      </c>
    </row>
    <row r="61">
      <c r="A61" t="inlineStr">
        <is>
          <t>reactivated in @0</t>
        </is>
      </c>
      <c r="B61" t="inlineStr">
        <is>
          <t>EUROPE|NITRO_M</t>
        </is>
      </c>
      <c r="C61" s="5">
        <f>C60*Eras!C$3</f>
        <v/>
      </c>
      <c r="D61" s="5">
        <f>D60*Eras!D$3</f>
        <v/>
      </c>
      <c r="E61" s="5">
        <f>E60*Eras!E$3</f>
        <v/>
      </c>
      <c r="F61" s="5">
        <f>F60*Eras!F$3</f>
        <v/>
      </c>
      <c r="G61" s="5">
        <f>G60*Eras!G$3</f>
        <v/>
      </c>
      <c r="H61" s="5">
        <f>H60*Eras!H$3</f>
        <v/>
      </c>
      <c r="I61" s="5">
        <f>I60*Eras!I$3</f>
        <v/>
      </c>
      <c r="J61" s="5">
        <f>J60*Eras!J$3</f>
        <v/>
      </c>
      <c r="K61" s="5">
        <f>K60*Eras!K$3</f>
        <v/>
      </c>
      <c r="L61" s="5">
        <f>L60*Eras!L$3</f>
        <v/>
      </c>
      <c r="M61" s="5">
        <f>M60*Eras!M$3</f>
        <v/>
      </c>
      <c r="N61" s="5">
        <f>N60*Eras!N$3</f>
        <v/>
      </c>
      <c r="O61" s="5">
        <f>O60*Eras!O$3</f>
        <v/>
      </c>
      <c r="P61" s="5">
        <f>P60*Eras!P$3</f>
        <v/>
      </c>
      <c r="Q61" s="5">
        <f>Q60*Eras!Q$3</f>
        <v/>
      </c>
      <c r="R61" s="5">
        <f>R60*Eras!R$3</f>
        <v/>
      </c>
      <c r="S61" s="5">
        <f>S60*Eras!S$3</f>
        <v/>
      </c>
      <c r="T61" s="5">
        <f>T60*Eras!T$3</f>
        <v/>
      </c>
      <c r="U61" s="5">
        <f>U60*Eras!U$3</f>
        <v/>
      </c>
      <c r="V61" s="5">
        <f>V60*Eras!V$3</f>
        <v/>
      </c>
      <c r="W61" s="5">
        <f>W60*Eras!W$3</f>
        <v/>
      </c>
      <c r="X61" s="5">
        <f>X60*Eras!X$3</f>
        <v/>
      </c>
      <c r="Y61" s="5">
        <f>Y60*Eras!Y$3</f>
        <v/>
      </c>
      <c r="Z61" s="5">
        <f>Z60*Eras!Z$3</f>
        <v/>
      </c>
      <c r="AA61" s="5">
        <f>AA60*Eras!AA$3</f>
        <v/>
      </c>
      <c r="AB61" s="5">
        <f>AB60*Eras!AB$3</f>
        <v/>
      </c>
      <c r="AC61" s="5">
        <f>AC60*Eras!AC$3</f>
        <v/>
      </c>
      <c r="AD61" s="5">
        <f>AD60*Eras!AD$3</f>
        <v/>
      </c>
      <c r="AE61" s="5">
        <f>AE60*Eras!AE$3</f>
        <v/>
      </c>
      <c r="AF61" s="5">
        <f>AF60*Eras!AF$3</f>
        <v/>
      </c>
      <c r="AG61" s="5">
        <f>AG60*Eras!AG$3</f>
        <v/>
      </c>
      <c r="AH61" s="5">
        <f>AH60*Eras!AH$3</f>
        <v/>
      </c>
      <c r="AI61" s="5">
        <f>AI60*Eras!AI$3</f>
        <v/>
      </c>
      <c r="AJ61" s="5">
        <f>AJ60*Eras!AJ$3</f>
        <v/>
      </c>
      <c r="AK61" s="5">
        <f>AK60*Eras!AK$3</f>
        <v/>
      </c>
      <c r="AL61" s="5">
        <f>AL60*Eras!AL$3</f>
        <v/>
      </c>
      <c r="AM61" s="5">
        <f>AM60*Eras!AM$3</f>
        <v/>
      </c>
      <c r="AN61" s="5">
        <f>AN60*Eras!AN$3</f>
        <v/>
      </c>
      <c r="AO61" s="5">
        <f>AO60*Eras!AO$3</f>
        <v/>
      </c>
      <c r="AP61" s="5">
        <f>AP60*Eras!AP$3</f>
        <v/>
      </c>
      <c r="AQ61" s="5">
        <f>AQ60*Eras!AQ$3</f>
        <v/>
      </c>
      <c r="AR61" s="5">
        <f>AR60*Eras!AR$3</f>
        <v/>
      </c>
      <c r="AS61" s="5">
        <f>AS60*Eras!AS$3</f>
        <v/>
      </c>
      <c r="AT61" s="5">
        <f>AT60*Eras!AT$3</f>
        <v/>
      </c>
      <c r="AU61" s="5">
        <f>AU60*Eras!AU$3</f>
        <v/>
      </c>
      <c r="AV61" s="5">
        <f>AV60*Eras!AV$3</f>
        <v/>
      </c>
      <c r="AW61" s="5">
        <f>AW60*Eras!AW$3</f>
        <v/>
      </c>
      <c r="AX61" s="5">
        <f>AX60*Eras!AX$3</f>
        <v/>
      </c>
      <c r="AY61" s="5">
        <f>AY60*Eras!AY$3</f>
        <v/>
      </c>
      <c r="AZ61" s="5">
        <f>AZ60*Eras!AZ$3</f>
        <v/>
      </c>
      <c r="BA61" s="5">
        <f>BA60*Eras!BA$3</f>
        <v/>
      </c>
      <c r="BB61" s="5">
        <f>BB60*Eras!BB$3</f>
        <v/>
      </c>
      <c r="BC61" s="5">
        <f>BC60*Eras!BC$3</f>
        <v/>
      </c>
      <c r="BD61" s="5">
        <f>BD60*Eras!BD$3</f>
        <v/>
      </c>
      <c r="BE61" s="5">
        <f>BE60*Eras!BE$3</f>
        <v/>
      </c>
      <c r="BF61" s="5">
        <f>BF60*Eras!BF$3</f>
        <v/>
      </c>
      <c r="BG61" s="5">
        <f>BG60*Eras!BG$3</f>
        <v/>
      </c>
      <c r="BH61" s="5">
        <f>BH60*Eras!BH$3</f>
        <v/>
      </c>
      <c r="BI61" s="5">
        <f>BI60*Eras!BI$3</f>
        <v/>
      </c>
      <c r="BJ61" s="5">
        <f>BJ60*Eras!BJ$3</f>
        <v/>
      </c>
      <c r="BK61" s="5">
        <f>BK60*Eras!BK$3</f>
        <v/>
      </c>
      <c r="BL61" s="5">
        <f>BL60*Eras!BL$3</f>
        <v/>
      </c>
      <c r="BM61" s="5">
        <f>BM60*Eras!BM$3</f>
        <v/>
      </c>
      <c r="BN61" s="5">
        <f>BN60*Eras!BN$3</f>
        <v/>
      </c>
      <c r="BO61" s="5">
        <f>BO60*Eras!BO$3</f>
        <v/>
      </c>
      <c r="BP61" s="5">
        <f>BP60*Eras!BP$3</f>
        <v/>
      </c>
      <c r="BQ61" s="5">
        <f>BQ60*Eras!BQ$3</f>
        <v/>
      </c>
      <c r="BR61" s="5">
        <f>BR60*Eras!BR$3</f>
        <v/>
      </c>
      <c r="BS61" s="5">
        <f>BS60*Eras!BS$3</f>
        <v/>
      </c>
      <c r="BT61" s="5">
        <f>BT60*Eras!BT$3</f>
        <v/>
      </c>
      <c r="BU61" s="5">
        <f>BU60*Eras!BU$3</f>
        <v/>
      </c>
      <c r="BV61" s="5">
        <f>BV60*Eras!BV$3</f>
        <v/>
      </c>
    </row>
    <row r="62">
      <c r="A62" t="inlineStr">
        <is>
          <t>reactivated in @1</t>
        </is>
      </c>
      <c r="B62" t="inlineStr">
        <is>
          <t>EUROPE|NITRO_M</t>
        </is>
      </c>
      <c r="C62" s="5">
        <f>C60*Eras!C$4</f>
        <v/>
      </c>
      <c r="D62" s="5">
        <f>D60*Eras!D$4</f>
        <v/>
      </c>
      <c r="E62" s="5">
        <f>E60*Eras!E$4</f>
        <v/>
      </c>
      <c r="F62" s="5">
        <f>F60*Eras!F$4</f>
        <v/>
      </c>
      <c r="G62" s="5">
        <f>G60*Eras!G$4</f>
        <v/>
      </c>
      <c r="H62" s="5">
        <f>H60*Eras!H$4</f>
        <v/>
      </c>
      <c r="I62" s="5">
        <f>I60*Eras!I$4</f>
        <v/>
      </c>
      <c r="J62" s="5">
        <f>J60*Eras!J$4</f>
        <v/>
      </c>
      <c r="K62" s="5">
        <f>K60*Eras!K$4</f>
        <v/>
      </c>
      <c r="L62" s="5">
        <f>L60*Eras!L$4</f>
        <v/>
      </c>
      <c r="M62" s="5">
        <f>M60*Eras!M$4</f>
        <v/>
      </c>
      <c r="N62" s="5">
        <f>N60*Eras!N$4</f>
        <v/>
      </c>
      <c r="O62" s="5">
        <f>O60*Eras!O$4</f>
        <v/>
      </c>
      <c r="P62" s="5">
        <f>P60*Eras!P$4</f>
        <v/>
      </c>
      <c r="Q62" s="5">
        <f>Q60*Eras!Q$4</f>
        <v/>
      </c>
      <c r="R62" s="5">
        <f>R60*Eras!R$4</f>
        <v/>
      </c>
      <c r="S62" s="5">
        <f>S60*Eras!S$4</f>
        <v/>
      </c>
      <c r="T62" s="5">
        <f>T60*Eras!T$4</f>
        <v/>
      </c>
      <c r="U62" s="5">
        <f>U60*Eras!U$4</f>
        <v/>
      </c>
      <c r="V62" s="5">
        <f>V60*Eras!V$4</f>
        <v/>
      </c>
      <c r="W62" s="5">
        <f>W60*Eras!W$4</f>
        <v/>
      </c>
      <c r="X62" s="5">
        <f>X60*Eras!X$4</f>
        <v/>
      </c>
      <c r="Y62" s="5">
        <f>Y60*Eras!Y$4</f>
        <v/>
      </c>
      <c r="Z62" s="5">
        <f>Z60*Eras!Z$4</f>
        <v/>
      </c>
      <c r="AA62" s="5">
        <f>AA60*Eras!AA$4</f>
        <v/>
      </c>
      <c r="AB62" s="5">
        <f>AB60*Eras!AB$4</f>
        <v/>
      </c>
      <c r="AC62" s="5">
        <f>AC60*Eras!AC$4</f>
        <v/>
      </c>
      <c r="AD62" s="5">
        <f>AD60*Eras!AD$4</f>
        <v/>
      </c>
      <c r="AE62" s="5">
        <f>AE60*Eras!AE$4</f>
        <v/>
      </c>
      <c r="AF62" s="5">
        <f>AF60*Eras!AF$4</f>
        <v/>
      </c>
      <c r="AG62" s="5">
        <f>AG60*Eras!AG$4</f>
        <v/>
      </c>
      <c r="AH62" s="5">
        <f>AH60*Eras!AH$4</f>
        <v/>
      </c>
      <c r="AI62" s="5">
        <f>AI60*Eras!AI$4</f>
        <v/>
      </c>
      <c r="AJ62" s="5">
        <f>AJ60*Eras!AJ$4</f>
        <v/>
      </c>
      <c r="AK62" s="5">
        <f>AK60*Eras!AK$4</f>
        <v/>
      </c>
      <c r="AL62" s="5">
        <f>AL60*Eras!AL$4</f>
        <v/>
      </c>
      <c r="AM62" s="5">
        <f>AM60*Eras!AM$4</f>
        <v/>
      </c>
      <c r="AN62" s="5">
        <f>AN60*Eras!AN$4</f>
        <v/>
      </c>
      <c r="AO62" s="5">
        <f>AO60*Eras!AO$4</f>
        <v/>
      </c>
      <c r="AP62" s="5">
        <f>AP60*Eras!AP$4</f>
        <v/>
      </c>
      <c r="AQ62" s="5">
        <f>AQ60*Eras!AQ$4</f>
        <v/>
      </c>
      <c r="AR62" s="5">
        <f>AR60*Eras!AR$4</f>
        <v/>
      </c>
      <c r="AS62" s="5">
        <f>AS60*Eras!AS$4</f>
        <v/>
      </c>
      <c r="AT62" s="5">
        <f>AT60*Eras!AT$4</f>
        <v/>
      </c>
      <c r="AU62" s="5">
        <f>AU60*Eras!AU$4</f>
        <v/>
      </c>
      <c r="AV62" s="5">
        <f>AV60*Eras!AV$4</f>
        <v/>
      </c>
      <c r="AW62" s="5">
        <f>AW60*Eras!AW$4</f>
        <v/>
      </c>
      <c r="AX62" s="5">
        <f>AX60*Eras!AX$4</f>
        <v/>
      </c>
      <c r="AY62" s="5">
        <f>AY60*Eras!AY$4</f>
        <v/>
      </c>
      <c r="AZ62" s="5">
        <f>AZ60*Eras!AZ$4</f>
        <v/>
      </c>
      <c r="BA62" s="5">
        <f>BA60*Eras!BA$4</f>
        <v/>
      </c>
      <c r="BB62" s="5">
        <f>BB60*Eras!BB$4</f>
        <v/>
      </c>
      <c r="BC62" s="5">
        <f>BC60*Eras!BC$4</f>
        <v/>
      </c>
      <c r="BD62" s="5">
        <f>BD60*Eras!BD$4</f>
        <v/>
      </c>
      <c r="BE62" s="5">
        <f>BE60*Eras!BE$4</f>
        <v/>
      </c>
      <c r="BF62" s="5">
        <f>BF60*Eras!BF$4</f>
        <v/>
      </c>
      <c r="BG62" s="5">
        <f>BG60*Eras!BG$4</f>
        <v/>
      </c>
      <c r="BH62" s="5">
        <f>BH60*Eras!BH$4</f>
        <v/>
      </c>
      <c r="BI62" s="5">
        <f>BI60*Eras!BI$4</f>
        <v/>
      </c>
      <c r="BJ62" s="5">
        <f>BJ60*Eras!BJ$4</f>
        <v/>
      </c>
      <c r="BK62" s="5">
        <f>BK60*Eras!BK$4</f>
        <v/>
      </c>
      <c r="BL62" s="5">
        <f>BL60*Eras!BL$4</f>
        <v/>
      </c>
      <c r="BM62" s="5">
        <f>BM60*Eras!BM$4</f>
        <v/>
      </c>
      <c r="BN62" s="5">
        <f>BN60*Eras!BN$4</f>
        <v/>
      </c>
      <c r="BO62" s="5">
        <f>BO60*Eras!BO$4</f>
        <v/>
      </c>
      <c r="BP62" s="5">
        <f>BP60*Eras!BP$4</f>
        <v/>
      </c>
      <c r="BQ62" s="5">
        <f>BQ60*Eras!BQ$4</f>
        <v/>
      </c>
      <c r="BR62" s="5">
        <f>BR60*Eras!BR$4</f>
        <v/>
      </c>
      <c r="BS62" s="5">
        <f>BS60*Eras!BS$4</f>
        <v/>
      </c>
      <c r="BT62" s="5">
        <f>BT60*Eras!BT$4</f>
        <v/>
      </c>
      <c r="BU62" s="5">
        <f>BU60*Eras!BU$4</f>
        <v/>
      </c>
      <c r="BV62" s="5">
        <f>BV60*Eras!BV$4</f>
        <v/>
      </c>
    </row>
    <row r="63">
      <c r="A63" t="inlineStr">
        <is>
          <t>reactivated in @2</t>
        </is>
      </c>
      <c r="B63" t="inlineStr">
        <is>
          <t>EUROPE|NITRO_M</t>
        </is>
      </c>
      <c r="C63" s="5">
        <f>C60*Eras!C$5</f>
        <v/>
      </c>
      <c r="D63" s="5">
        <f>D60*Eras!D$5</f>
        <v/>
      </c>
      <c r="E63" s="5">
        <f>E60*Eras!E$5</f>
        <v/>
      </c>
      <c r="F63" s="5">
        <f>F60*Eras!F$5</f>
        <v/>
      </c>
      <c r="G63" s="5">
        <f>G60*Eras!G$5</f>
        <v/>
      </c>
      <c r="H63" s="5">
        <f>H60*Eras!H$5</f>
        <v/>
      </c>
      <c r="I63" s="5">
        <f>I60*Eras!I$5</f>
        <v/>
      </c>
      <c r="J63" s="5">
        <f>J60*Eras!J$5</f>
        <v/>
      </c>
      <c r="K63" s="5">
        <f>K60*Eras!K$5</f>
        <v/>
      </c>
      <c r="L63" s="5">
        <f>L60*Eras!L$5</f>
        <v/>
      </c>
      <c r="M63" s="5">
        <f>M60*Eras!M$5</f>
        <v/>
      </c>
      <c r="N63" s="5">
        <f>N60*Eras!N$5</f>
        <v/>
      </c>
      <c r="O63" s="5">
        <f>O60*Eras!O$5</f>
        <v/>
      </c>
      <c r="P63" s="5">
        <f>P60*Eras!P$5</f>
        <v/>
      </c>
      <c r="Q63" s="5">
        <f>Q60*Eras!Q$5</f>
        <v/>
      </c>
      <c r="R63" s="5">
        <f>R60*Eras!R$5</f>
        <v/>
      </c>
      <c r="S63" s="5">
        <f>S60*Eras!S$5</f>
        <v/>
      </c>
      <c r="T63" s="5">
        <f>T60*Eras!T$5</f>
        <v/>
      </c>
      <c r="U63" s="5">
        <f>U60*Eras!U$5</f>
        <v/>
      </c>
      <c r="V63" s="5">
        <f>V60*Eras!V$5</f>
        <v/>
      </c>
      <c r="W63" s="5">
        <f>W60*Eras!W$5</f>
        <v/>
      </c>
      <c r="X63" s="5">
        <f>X60*Eras!X$5</f>
        <v/>
      </c>
      <c r="Y63" s="5">
        <f>Y60*Eras!Y$5</f>
        <v/>
      </c>
      <c r="Z63" s="5">
        <f>Z60*Eras!Z$5</f>
        <v/>
      </c>
      <c r="AA63" s="5">
        <f>AA60*Eras!AA$5</f>
        <v/>
      </c>
      <c r="AB63" s="5">
        <f>AB60*Eras!AB$5</f>
        <v/>
      </c>
      <c r="AC63" s="5">
        <f>AC60*Eras!AC$5</f>
        <v/>
      </c>
      <c r="AD63" s="5">
        <f>AD60*Eras!AD$5</f>
        <v/>
      </c>
      <c r="AE63" s="5">
        <f>AE60*Eras!AE$5</f>
        <v/>
      </c>
      <c r="AF63" s="5">
        <f>AF60*Eras!AF$5</f>
        <v/>
      </c>
      <c r="AG63" s="5">
        <f>AG60*Eras!AG$5</f>
        <v/>
      </c>
      <c r="AH63" s="5">
        <f>AH60*Eras!AH$5</f>
        <v/>
      </c>
      <c r="AI63" s="5">
        <f>AI60*Eras!AI$5</f>
        <v/>
      </c>
      <c r="AJ63" s="5">
        <f>AJ60*Eras!AJ$5</f>
        <v/>
      </c>
      <c r="AK63" s="5">
        <f>AK60*Eras!AK$5</f>
        <v/>
      </c>
      <c r="AL63" s="5">
        <f>AL60*Eras!AL$5</f>
        <v/>
      </c>
      <c r="AM63" s="5">
        <f>AM60*Eras!AM$5</f>
        <v/>
      </c>
      <c r="AN63" s="5">
        <f>AN60*Eras!AN$5</f>
        <v/>
      </c>
      <c r="AO63" s="5">
        <f>AO60*Eras!AO$5</f>
        <v/>
      </c>
      <c r="AP63" s="5">
        <f>AP60*Eras!AP$5</f>
        <v/>
      </c>
      <c r="AQ63" s="5">
        <f>AQ60*Eras!AQ$5</f>
        <v/>
      </c>
      <c r="AR63" s="5">
        <f>AR60*Eras!AR$5</f>
        <v/>
      </c>
      <c r="AS63" s="5">
        <f>AS60*Eras!AS$5</f>
        <v/>
      </c>
      <c r="AT63" s="5">
        <f>AT60*Eras!AT$5</f>
        <v/>
      </c>
      <c r="AU63" s="5">
        <f>AU60*Eras!AU$5</f>
        <v/>
      </c>
      <c r="AV63" s="5">
        <f>AV60*Eras!AV$5</f>
        <v/>
      </c>
      <c r="AW63" s="5">
        <f>AW60*Eras!AW$5</f>
        <v/>
      </c>
      <c r="AX63" s="5">
        <f>AX60*Eras!AX$5</f>
        <v/>
      </c>
      <c r="AY63" s="5">
        <f>AY60*Eras!AY$5</f>
        <v/>
      </c>
      <c r="AZ63" s="5">
        <f>AZ60*Eras!AZ$5</f>
        <v/>
      </c>
      <c r="BA63" s="5">
        <f>BA60*Eras!BA$5</f>
        <v/>
      </c>
      <c r="BB63" s="5">
        <f>BB60*Eras!BB$5</f>
        <v/>
      </c>
      <c r="BC63" s="5">
        <f>BC60*Eras!BC$5</f>
        <v/>
      </c>
      <c r="BD63" s="5">
        <f>BD60*Eras!BD$5</f>
        <v/>
      </c>
      <c r="BE63" s="5">
        <f>BE60*Eras!BE$5</f>
        <v/>
      </c>
      <c r="BF63" s="5">
        <f>BF60*Eras!BF$5</f>
        <v/>
      </c>
      <c r="BG63" s="5">
        <f>BG60*Eras!BG$5</f>
        <v/>
      </c>
      <c r="BH63" s="5">
        <f>BH60*Eras!BH$5</f>
        <v/>
      </c>
      <c r="BI63" s="5">
        <f>BI60*Eras!BI$5</f>
        <v/>
      </c>
      <c r="BJ63" s="5">
        <f>BJ60*Eras!BJ$5</f>
        <v/>
      </c>
      <c r="BK63" s="5">
        <f>BK60*Eras!BK$5</f>
        <v/>
      </c>
      <c r="BL63" s="5">
        <f>BL60*Eras!BL$5</f>
        <v/>
      </c>
      <c r="BM63" s="5">
        <f>BM60*Eras!BM$5</f>
        <v/>
      </c>
      <c r="BN63" s="5">
        <f>BN60*Eras!BN$5</f>
        <v/>
      </c>
      <c r="BO63" s="5">
        <f>BO60*Eras!BO$5</f>
        <v/>
      </c>
      <c r="BP63" s="5">
        <f>BP60*Eras!BP$5</f>
        <v/>
      </c>
      <c r="BQ63" s="5">
        <f>BQ60*Eras!BQ$5</f>
        <v/>
      </c>
      <c r="BR63" s="5">
        <f>BR60*Eras!BR$5</f>
        <v/>
      </c>
      <c r="BS63" s="5">
        <f>BS60*Eras!BS$5</f>
        <v/>
      </c>
      <c r="BT63" s="5">
        <f>BT60*Eras!BT$5</f>
        <v/>
      </c>
      <c r="BU63" s="5">
        <f>BU60*Eras!BU$5</f>
        <v/>
      </c>
      <c r="BV63" s="5">
        <f>BV60*Eras!BV$5</f>
        <v/>
      </c>
    </row>
    <row r="64">
      <c r="A64" t="inlineStr">
        <is>
          <t>active</t>
        </is>
      </c>
      <c r="B64" t="inlineStr">
        <is>
          <t>EUROPE|NITRO_M</t>
        </is>
      </c>
      <c r="C64" s="5">
        <f>React!$C$61*Curves!$BV$19+React!$C$62*Curves!$BV$42+React!$C$63*Curves!$BV$65</f>
        <v/>
      </c>
      <c r="D64" s="5">
        <f>SUMPRODUCT(React!$C$61:$D$61,Curves!$BU$19:$BV$19)+SUMPRODUCT(React!$C$62:$D$62,Curves!$BU$42:$BV$42)+SUMPRODUCT(React!$C$63:$D$63,Curves!$BU$65:$BV$65)</f>
        <v/>
      </c>
      <c r="E64" s="5">
        <f>SUMPRODUCT(React!$C$61:$E$61,Curves!$BT$19:$BV$19)+SUMPRODUCT(React!$C$62:$E$62,Curves!$BT$42:$BV$42)+SUMPRODUCT(React!$C$63:$E$63,Curves!$BT$65:$BV$65)</f>
        <v/>
      </c>
      <c r="F64" s="5">
        <f>SUMPRODUCT(React!$C$61:$F$61,Curves!$BS$19:$BV$19)+SUMPRODUCT(React!$C$62:$F$62,Curves!$BS$42:$BV$42)+SUMPRODUCT(React!$C$63:$F$63,Curves!$BS$65:$BV$65)</f>
        <v/>
      </c>
      <c r="G64" s="5">
        <f>SUMPRODUCT(React!$C$61:$G$61,Curves!$BR$19:$BV$19)+SUMPRODUCT(React!$C$62:$G$62,Curves!$BR$42:$BV$42)+SUMPRODUCT(React!$C$63:$G$63,Curves!$BR$65:$BV$65)</f>
        <v/>
      </c>
      <c r="H64" s="5">
        <f>SUMPRODUCT(React!$C$61:$H$61,Curves!$BQ$19:$BV$19)+SUMPRODUCT(React!$C$62:$H$62,Curves!$BQ$42:$BV$42)+SUMPRODUCT(React!$C$63:$H$63,Curves!$BQ$65:$BV$65)</f>
        <v/>
      </c>
      <c r="I64" s="5">
        <f>SUMPRODUCT(React!$C$61:$I$61,Curves!$BP$19:$BV$19)+SUMPRODUCT(React!$C$62:$I$62,Curves!$BP$42:$BV$42)+SUMPRODUCT(React!$C$63:$I$63,Curves!$BP$65:$BV$65)</f>
        <v/>
      </c>
      <c r="J64" s="5">
        <f>SUMPRODUCT(React!$C$61:$J$61,Curves!$BO$19:$BV$19)+SUMPRODUCT(React!$C$62:$J$62,Curves!$BO$42:$BV$42)+SUMPRODUCT(React!$C$63:$J$63,Curves!$BO$65:$BV$65)</f>
        <v/>
      </c>
      <c r="K64" s="5">
        <f>SUMPRODUCT(React!$C$61:$K$61,Curves!$BN$19:$BV$19)+SUMPRODUCT(React!$C$62:$K$62,Curves!$BN$42:$BV$42)+SUMPRODUCT(React!$C$63:$K$63,Curves!$BN$65:$BV$65)</f>
        <v/>
      </c>
      <c r="L64" s="5">
        <f>SUMPRODUCT(React!$C$61:$L$61,Curves!$BM$19:$BV$19)+SUMPRODUCT(React!$C$62:$L$62,Curves!$BM$42:$BV$42)+SUMPRODUCT(React!$C$63:$L$63,Curves!$BM$65:$BV$65)</f>
        <v/>
      </c>
      <c r="M64" s="5">
        <f>SUMPRODUCT(React!$C$61:$M$61,Curves!$BL$19:$BV$19)+SUMPRODUCT(React!$C$62:$M$62,Curves!$BL$42:$BV$42)+SUMPRODUCT(React!$C$63:$M$63,Curves!$BL$65:$BV$65)</f>
        <v/>
      </c>
      <c r="N64" s="5">
        <f>SUMPRODUCT(React!$C$61:$N$61,Curves!$BK$19:$BV$19)+SUMPRODUCT(React!$C$62:$N$62,Curves!$BK$42:$BV$42)+SUMPRODUCT(React!$C$63:$N$63,Curves!$BK$65:$BV$65)</f>
        <v/>
      </c>
      <c r="O64" s="5">
        <f>SUMPRODUCT(React!$C$61:$O$61,Curves!$BJ$19:$BV$19)+SUMPRODUCT(React!$C$62:$O$62,Curves!$BJ$42:$BV$42)+SUMPRODUCT(React!$C$63:$O$63,Curves!$BJ$65:$BV$65)</f>
        <v/>
      </c>
      <c r="P64" s="5">
        <f>SUMPRODUCT(React!$C$61:$P$61,Curves!$BI$19:$BV$19)+SUMPRODUCT(React!$C$62:$P$62,Curves!$BI$42:$BV$42)+SUMPRODUCT(React!$C$63:$P$63,Curves!$BI$65:$BV$65)</f>
        <v/>
      </c>
      <c r="Q64" s="5">
        <f>SUMPRODUCT(React!$C$61:$Q$61,Curves!$BH$19:$BV$19)+SUMPRODUCT(React!$C$62:$Q$62,Curves!$BH$42:$BV$42)+SUMPRODUCT(React!$C$63:$Q$63,Curves!$BH$65:$BV$65)</f>
        <v/>
      </c>
      <c r="R64" s="5">
        <f>SUMPRODUCT(React!$C$61:$R$61,Curves!$BG$19:$BV$19)+SUMPRODUCT(React!$C$62:$R$62,Curves!$BG$42:$BV$42)+SUMPRODUCT(React!$C$63:$R$63,Curves!$BG$65:$BV$65)</f>
        <v/>
      </c>
      <c r="S64" s="5">
        <f>SUMPRODUCT(React!$C$61:$S$61,Curves!$BF$19:$BV$19)+SUMPRODUCT(React!$C$62:$S$62,Curves!$BF$42:$BV$42)+SUMPRODUCT(React!$C$63:$S$63,Curves!$BF$65:$BV$65)</f>
        <v/>
      </c>
      <c r="T64" s="5">
        <f>SUMPRODUCT(React!$C$61:$T$61,Curves!$BE$19:$BV$19)+SUMPRODUCT(React!$C$62:$T$62,Curves!$BE$42:$BV$42)+SUMPRODUCT(React!$C$63:$T$63,Curves!$BE$65:$BV$65)</f>
        <v/>
      </c>
      <c r="U64" s="5">
        <f>SUMPRODUCT(React!$C$61:$U$61,Curves!$BD$19:$BV$19)+SUMPRODUCT(React!$C$62:$U$62,Curves!$BD$42:$BV$42)+SUMPRODUCT(React!$C$63:$U$63,Curves!$BD$65:$BV$65)</f>
        <v/>
      </c>
      <c r="V64" s="5">
        <f>SUMPRODUCT(React!$C$61:$V$61,Curves!$BC$19:$BV$19)+SUMPRODUCT(React!$C$62:$V$62,Curves!$BC$42:$BV$42)+SUMPRODUCT(React!$C$63:$V$63,Curves!$BC$65:$BV$65)</f>
        <v/>
      </c>
      <c r="W64" s="5">
        <f>SUMPRODUCT(React!$C$61:$W$61,Curves!$BB$19:$BV$19)+SUMPRODUCT(React!$C$62:$W$62,Curves!$BB$42:$BV$42)+SUMPRODUCT(React!$C$63:$W$63,Curves!$BB$65:$BV$65)</f>
        <v/>
      </c>
      <c r="X64" s="5">
        <f>SUMPRODUCT(React!$C$61:$X$61,Curves!$BA$19:$BV$19)+SUMPRODUCT(React!$C$62:$X$62,Curves!$BA$42:$BV$42)+SUMPRODUCT(React!$C$63:$X$63,Curves!$BA$65:$BV$65)</f>
        <v/>
      </c>
      <c r="Y64" s="5">
        <f>SUMPRODUCT(React!$C$61:$Y$61,Curves!$AZ$19:$BV$19)+SUMPRODUCT(React!$C$62:$Y$62,Curves!$AZ$42:$BV$42)+SUMPRODUCT(React!$C$63:$Y$63,Curves!$AZ$65:$BV$65)</f>
        <v/>
      </c>
      <c r="Z64" s="5">
        <f>SUMPRODUCT(React!$C$61:$Z$61,Curves!$AY$19:$BV$19)+SUMPRODUCT(React!$C$62:$Z$62,Curves!$AY$42:$BV$42)+SUMPRODUCT(React!$C$63:$Z$63,Curves!$AY$65:$BV$65)</f>
        <v/>
      </c>
      <c r="AA64" s="5">
        <f>SUMPRODUCT(React!$C$61:$AA$61,Curves!$AX$19:$BV$19)+SUMPRODUCT(React!$C$62:$AA$62,Curves!$AX$42:$BV$42)+SUMPRODUCT(React!$C$63:$AA$63,Curves!$AX$65:$BV$65)</f>
        <v/>
      </c>
      <c r="AB64" s="5">
        <f>SUMPRODUCT(React!$C$61:$AB$61,Curves!$AW$19:$BV$19)+SUMPRODUCT(React!$C$62:$AB$62,Curves!$AW$42:$BV$42)+SUMPRODUCT(React!$C$63:$AB$63,Curves!$AW$65:$BV$65)</f>
        <v/>
      </c>
      <c r="AC64" s="5">
        <f>SUMPRODUCT(React!$C$61:$AC$61,Curves!$AV$19:$BV$19)+SUMPRODUCT(React!$C$62:$AC$62,Curves!$AV$42:$BV$42)+SUMPRODUCT(React!$C$63:$AC$63,Curves!$AV$65:$BV$65)</f>
        <v/>
      </c>
      <c r="AD64" s="5">
        <f>SUMPRODUCT(React!$C$61:$AD$61,Curves!$AU$19:$BV$19)+SUMPRODUCT(React!$C$62:$AD$62,Curves!$AU$42:$BV$42)+SUMPRODUCT(React!$C$63:$AD$63,Curves!$AU$65:$BV$65)</f>
        <v/>
      </c>
      <c r="AE64" s="5">
        <f>SUMPRODUCT(React!$C$61:$AE$61,Curves!$AT$19:$BV$19)+SUMPRODUCT(React!$C$62:$AE$62,Curves!$AT$42:$BV$42)+SUMPRODUCT(React!$C$63:$AE$63,Curves!$AT$65:$BV$65)</f>
        <v/>
      </c>
      <c r="AF64" s="5">
        <f>SUMPRODUCT(React!$C$61:$AF$61,Curves!$AS$19:$BV$19)+SUMPRODUCT(React!$C$62:$AF$62,Curves!$AS$42:$BV$42)+SUMPRODUCT(React!$C$63:$AF$63,Curves!$AS$65:$BV$65)</f>
        <v/>
      </c>
      <c r="AG64" s="5">
        <f>SUMPRODUCT(React!$C$61:$AG$61,Curves!$AR$19:$BV$19)+SUMPRODUCT(React!$C$62:$AG$62,Curves!$AR$42:$BV$42)+SUMPRODUCT(React!$C$63:$AG$63,Curves!$AR$65:$BV$65)</f>
        <v/>
      </c>
      <c r="AH64" s="5">
        <f>SUMPRODUCT(React!$C$61:$AH$61,Curves!$AQ$19:$BV$19)+SUMPRODUCT(React!$C$62:$AH$62,Curves!$AQ$42:$BV$42)+SUMPRODUCT(React!$C$63:$AH$63,Curves!$AQ$65:$BV$65)</f>
        <v/>
      </c>
      <c r="AI64" s="5">
        <f>SUMPRODUCT(React!$C$61:$AI$61,Curves!$AP$19:$BV$19)+SUMPRODUCT(React!$C$62:$AI$62,Curves!$AP$42:$BV$42)+SUMPRODUCT(React!$C$63:$AI$63,Curves!$AP$65:$BV$65)</f>
        <v/>
      </c>
      <c r="AJ64" s="5">
        <f>SUMPRODUCT(React!$C$61:$AJ$61,Curves!$AO$19:$BV$19)+SUMPRODUCT(React!$C$62:$AJ$62,Curves!$AO$42:$BV$42)+SUMPRODUCT(React!$C$63:$AJ$63,Curves!$AO$65:$BV$65)</f>
        <v/>
      </c>
      <c r="AK64" s="5">
        <f>SUMPRODUCT(React!$C$61:$AK$61,Curves!$AN$19:$BV$19)+SUMPRODUCT(React!$C$62:$AK$62,Curves!$AN$42:$BV$42)+SUMPRODUCT(React!$C$63:$AK$63,Curves!$AN$65:$BV$65)</f>
        <v/>
      </c>
      <c r="AL64" s="5">
        <f>SUMPRODUCT(React!$C$61:$AL$61,Curves!$AM$19:$BV$19)+SUMPRODUCT(React!$C$62:$AL$62,Curves!$AM$42:$BV$42)+SUMPRODUCT(React!$C$63:$AL$63,Curves!$AM$65:$BV$65)</f>
        <v/>
      </c>
      <c r="AM64" s="5">
        <f>SUMPRODUCT(React!$C$61:$AM$61,Curves!$AL$19:$BV$19)+SUMPRODUCT(React!$C$62:$AM$62,Curves!$AL$42:$BV$42)+SUMPRODUCT(React!$C$63:$AM$63,Curves!$AL$65:$BV$65)</f>
        <v/>
      </c>
      <c r="AN64" s="5">
        <f>SUMPRODUCT(React!$C$61:$AN$61,Curves!$AK$19:$BV$19)+SUMPRODUCT(React!$C$62:$AN$62,Curves!$AK$42:$BV$42)+SUMPRODUCT(React!$C$63:$AN$63,Curves!$AK$65:$BV$65)</f>
        <v/>
      </c>
      <c r="AO64" s="5">
        <f>SUMPRODUCT(React!$C$61:$AO$61,Curves!$AJ$19:$BV$19)+SUMPRODUCT(React!$C$62:$AO$62,Curves!$AJ$42:$BV$42)+SUMPRODUCT(React!$C$63:$AO$63,Curves!$AJ$65:$BV$65)</f>
        <v/>
      </c>
      <c r="AP64" s="5">
        <f>SUMPRODUCT(React!$C$61:$AP$61,Curves!$AI$19:$BV$19)+SUMPRODUCT(React!$C$62:$AP$62,Curves!$AI$42:$BV$42)+SUMPRODUCT(React!$C$63:$AP$63,Curves!$AI$65:$BV$65)</f>
        <v/>
      </c>
      <c r="AQ64" s="5">
        <f>SUMPRODUCT(React!$C$61:$AQ$61,Curves!$AH$19:$BV$19)+SUMPRODUCT(React!$C$62:$AQ$62,Curves!$AH$42:$BV$42)+SUMPRODUCT(React!$C$63:$AQ$63,Curves!$AH$65:$BV$65)</f>
        <v/>
      </c>
      <c r="AR64" s="5">
        <f>SUMPRODUCT(React!$C$61:$AR$61,Curves!$AG$19:$BV$19)+SUMPRODUCT(React!$C$62:$AR$62,Curves!$AG$42:$BV$42)+SUMPRODUCT(React!$C$63:$AR$63,Curves!$AG$65:$BV$65)</f>
        <v/>
      </c>
      <c r="AS64" s="5">
        <f>SUMPRODUCT(React!$C$61:$AS$61,Curves!$AF$19:$BV$19)+SUMPRODUCT(React!$C$62:$AS$62,Curves!$AF$42:$BV$42)+SUMPRODUCT(React!$C$63:$AS$63,Curves!$AF$65:$BV$65)</f>
        <v/>
      </c>
      <c r="AT64" s="5">
        <f>SUMPRODUCT(React!$C$61:$AT$61,Curves!$AE$19:$BV$19)+SUMPRODUCT(React!$C$62:$AT$62,Curves!$AE$42:$BV$42)+SUMPRODUCT(React!$C$63:$AT$63,Curves!$AE$65:$BV$65)</f>
        <v/>
      </c>
      <c r="AU64" s="5">
        <f>SUMPRODUCT(React!$C$61:$AU$61,Curves!$AD$19:$BV$19)+SUMPRODUCT(React!$C$62:$AU$62,Curves!$AD$42:$BV$42)+SUMPRODUCT(React!$C$63:$AU$63,Curves!$AD$65:$BV$65)</f>
        <v/>
      </c>
      <c r="AV64" s="5">
        <f>SUMPRODUCT(React!$C$61:$AV$61,Curves!$AC$19:$BV$19)+SUMPRODUCT(React!$C$62:$AV$62,Curves!$AC$42:$BV$42)+SUMPRODUCT(React!$C$63:$AV$63,Curves!$AC$65:$BV$65)</f>
        <v/>
      </c>
      <c r="AW64" s="5">
        <f>SUMPRODUCT(React!$C$61:$AW$61,Curves!$AB$19:$BV$19)+SUMPRODUCT(React!$C$62:$AW$62,Curves!$AB$42:$BV$42)+SUMPRODUCT(React!$C$63:$AW$63,Curves!$AB$65:$BV$65)</f>
        <v/>
      </c>
      <c r="AX64" s="5">
        <f>SUMPRODUCT(React!$C$61:$AX$61,Curves!$AA$19:$BV$19)+SUMPRODUCT(React!$C$62:$AX$62,Curves!$AA$42:$BV$42)+SUMPRODUCT(React!$C$63:$AX$63,Curves!$AA$65:$BV$65)</f>
        <v/>
      </c>
      <c r="AY64" s="5">
        <f>SUMPRODUCT(React!$C$61:$AY$61,Curves!$Z$19:$BV$19)+SUMPRODUCT(React!$C$62:$AY$62,Curves!$Z$42:$BV$42)+SUMPRODUCT(React!$C$63:$AY$63,Curves!$Z$65:$BV$65)</f>
        <v/>
      </c>
      <c r="AZ64" s="5">
        <f>SUMPRODUCT(React!$C$61:$AZ$61,Curves!$Y$19:$BV$19)+SUMPRODUCT(React!$C$62:$AZ$62,Curves!$Y$42:$BV$42)+SUMPRODUCT(React!$C$63:$AZ$63,Curves!$Y$65:$BV$65)</f>
        <v/>
      </c>
      <c r="BA64" s="5">
        <f>SUMPRODUCT(React!$C$61:$BA$61,Curves!$X$19:$BV$19)+SUMPRODUCT(React!$C$62:$BA$62,Curves!$X$42:$BV$42)+SUMPRODUCT(React!$C$63:$BA$63,Curves!$X$65:$BV$65)</f>
        <v/>
      </c>
      <c r="BB64" s="5">
        <f>SUMPRODUCT(React!$C$61:$BB$61,Curves!$W$19:$BV$19)+SUMPRODUCT(React!$C$62:$BB$62,Curves!$W$42:$BV$42)+SUMPRODUCT(React!$C$63:$BB$63,Curves!$W$65:$BV$65)</f>
        <v/>
      </c>
      <c r="BC64" s="5">
        <f>SUMPRODUCT(React!$C$61:$BC$61,Curves!$V$19:$BV$19)+SUMPRODUCT(React!$C$62:$BC$62,Curves!$V$42:$BV$42)+SUMPRODUCT(React!$C$63:$BC$63,Curves!$V$65:$BV$65)</f>
        <v/>
      </c>
      <c r="BD64" s="5">
        <f>SUMPRODUCT(React!$C$61:$BD$61,Curves!$U$19:$BV$19)+SUMPRODUCT(React!$C$62:$BD$62,Curves!$U$42:$BV$42)+SUMPRODUCT(React!$C$63:$BD$63,Curves!$U$65:$BV$65)</f>
        <v/>
      </c>
      <c r="BE64" s="5">
        <f>SUMPRODUCT(React!$C$61:$BE$61,Curves!$T$19:$BV$19)+SUMPRODUCT(React!$C$62:$BE$62,Curves!$T$42:$BV$42)+SUMPRODUCT(React!$C$63:$BE$63,Curves!$T$65:$BV$65)</f>
        <v/>
      </c>
      <c r="BF64" s="5">
        <f>SUMPRODUCT(React!$C$61:$BF$61,Curves!$S$19:$BV$19)+SUMPRODUCT(React!$C$62:$BF$62,Curves!$S$42:$BV$42)+SUMPRODUCT(React!$C$63:$BF$63,Curves!$S$65:$BV$65)</f>
        <v/>
      </c>
      <c r="BG64" s="5">
        <f>SUMPRODUCT(React!$C$61:$BG$61,Curves!$R$19:$BV$19)+SUMPRODUCT(React!$C$62:$BG$62,Curves!$R$42:$BV$42)+SUMPRODUCT(React!$C$63:$BG$63,Curves!$R$65:$BV$65)</f>
        <v/>
      </c>
      <c r="BH64" s="5">
        <f>SUMPRODUCT(React!$C$61:$BH$61,Curves!$Q$19:$BV$19)+SUMPRODUCT(React!$C$62:$BH$62,Curves!$Q$42:$BV$42)+SUMPRODUCT(React!$C$63:$BH$63,Curves!$Q$65:$BV$65)</f>
        <v/>
      </c>
      <c r="BI64" s="5">
        <f>SUMPRODUCT(React!$C$61:$BI$61,Curves!$P$19:$BV$19)+SUMPRODUCT(React!$C$62:$BI$62,Curves!$P$42:$BV$42)+SUMPRODUCT(React!$C$63:$BI$63,Curves!$P$65:$BV$65)</f>
        <v/>
      </c>
      <c r="BJ64" s="5">
        <f>SUMPRODUCT(React!$C$61:$BJ$61,Curves!$O$19:$BV$19)+SUMPRODUCT(React!$C$62:$BJ$62,Curves!$O$42:$BV$42)+SUMPRODUCT(React!$C$63:$BJ$63,Curves!$O$65:$BV$65)</f>
        <v/>
      </c>
      <c r="BK64" s="5">
        <f>SUMPRODUCT(React!$C$61:$BK$61,Curves!$N$19:$BV$19)+SUMPRODUCT(React!$C$62:$BK$62,Curves!$N$42:$BV$42)+SUMPRODUCT(React!$C$63:$BK$63,Curves!$N$65:$BV$65)</f>
        <v/>
      </c>
      <c r="BL64" s="5">
        <f>SUMPRODUCT(React!$C$61:$BL$61,Curves!$M$19:$BV$19)+SUMPRODUCT(React!$C$62:$BL$62,Curves!$M$42:$BV$42)+SUMPRODUCT(React!$C$63:$BL$63,Curves!$M$65:$BV$65)</f>
        <v/>
      </c>
      <c r="BM64" s="5">
        <f>SUMPRODUCT(React!$C$61:$BM$61,Curves!$L$19:$BV$19)+SUMPRODUCT(React!$C$62:$BM$62,Curves!$L$42:$BV$42)+SUMPRODUCT(React!$C$63:$BM$63,Curves!$L$65:$BV$65)</f>
        <v/>
      </c>
      <c r="BN64" s="5">
        <f>SUMPRODUCT(React!$C$61:$BN$61,Curves!$K$19:$BV$19)+SUMPRODUCT(React!$C$62:$BN$62,Curves!$K$42:$BV$42)+SUMPRODUCT(React!$C$63:$BN$63,Curves!$K$65:$BV$65)</f>
        <v/>
      </c>
      <c r="BO64" s="5">
        <f>SUMPRODUCT(React!$C$61:$BO$61,Curves!$J$19:$BV$19)+SUMPRODUCT(React!$C$62:$BO$62,Curves!$J$42:$BV$42)+SUMPRODUCT(React!$C$63:$BO$63,Curves!$J$65:$BV$65)</f>
        <v/>
      </c>
      <c r="BP64" s="5">
        <f>SUMPRODUCT(React!$C$61:$BP$61,Curves!$I$19:$BV$19)+SUMPRODUCT(React!$C$62:$BP$62,Curves!$I$42:$BV$42)+SUMPRODUCT(React!$C$63:$BP$63,Curves!$I$65:$BV$65)</f>
        <v/>
      </c>
      <c r="BQ64" s="5">
        <f>SUMPRODUCT(React!$C$61:$BQ$61,Curves!$H$19:$BV$19)+SUMPRODUCT(React!$C$62:$BQ$62,Curves!$H$42:$BV$42)+SUMPRODUCT(React!$C$63:$BQ$63,Curves!$H$65:$BV$65)</f>
        <v/>
      </c>
      <c r="BR64" s="5">
        <f>SUMPRODUCT(React!$C$61:$BR$61,Curves!$G$19:$BV$19)+SUMPRODUCT(React!$C$62:$BR$62,Curves!$G$42:$BV$42)+SUMPRODUCT(React!$C$63:$BR$63,Curves!$G$65:$BV$65)</f>
        <v/>
      </c>
      <c r="BS64" s="5">
        <f>SUMPRODUCT(React!$C$61:$BS$61,Curves!$F$19:$BV$19)+SUMPRODUCT(React!$C$62:$BS$62,Curves!$F$42:$BV$42)+SUMPRODUCT(React!$C$63:$BS$63,Curves!$F$65:$BV$65)</f>
        <v/>
      </c>
      <c r="BT64" s="5">
        <f>SUMPRODUCT(React!$C$61:$BT$61,Curves!$E$19:$BV$19)+SUMPRODUCT(React!$C$62:$BT$62,Curves!$E$42:$BV$42)+SUMPRODUCT(React!$C$63:$BT$63,Curves!$E$65:$BV$65)</f>
        <v/>
      </c>
      <c r="BU64" s="5">
        <f>SUMPRODUCT(React!$C$61:$BU$61,Curves!$D$19:$BV$19)+SUMPRODUCT(React!$C$62:$BU$62,Curves!$D$42:$BV$42)+SUMPRODUCT(React!$C$63:$BU$63,Curves!$D$65:$BV$65)</f>
        <v/>
      </c>
      <c r="BV64" s="5">
        <f>SUMPRODUCT(React!$C$61:$BV$61,Curves!$C$19:$BV$19)+SUMPRODUCT(React!$C$62:$BV$62,Curves!$C$42:$BV$42)+SUMPRODUCT(React!$C$63:$BV$63,Curves!$C$65:$BV$65)</f>
        <v/>
      </c>
    </row>
    <row r="65">
      <c r="A65" t="inlineStr">
        <is>
          <t>active yr 1</t>
        </is>
      </c>
      <c r="B65" t="inlineStr">
        <is>
          <t>EUROPE|NITRO_M</t>
        </is>
      </c>
      <c r="C65" s="5">
        <f>React!$C$61*Curves!$BV$24+React!$C$62*Curves!$BV$47+React!$C$63*Curves!$BV$70</f>
        <v/>
      </c>
      <c r="D65" s="5">
        <f>SUMPRODUCT(React!$C$61:$D$61,Curves!$BU$24:$BV$24)+SUMPRODUCT(React!$C$62:$D$62,Curves!$BU$47:$BV$47)+SUMPRODUCT(React!$C$63:$D$63,Curves!$BU$70:$BV$70)</f>
        <v/>
      </c>
      <c r="E65" s="5">
        <f>SUMPRODUCT(React!$C$61:$E$61,Curves!$BT$24:$BV$24)+SUMPRODUCT(React!$C$62:$E$62,Curves!$BT$47:$BV$47)+SUMPRODUCT(React!$C$63:$E$63,Curves!$BT$70:$BV$70)</f>
        <v/>
      </c>
      <c r="F65" s="5">
        <f>SUMPRODUCT(React!$C$61:$F$61,Curves!$BS$24:$BV$24)+SUMPRODUCT(React!$C$62:$F$62,Curves!$BS$47:$BV$47)+SUMPRODUCT(React!$C$63:$F$63,Curves!$BS$70:$BV$70)</f>
        <v/>
      </c>
      <c r="G65" s="5">
        <f>SUMPRODUCT(React!$C$61:$G$61,Curves!$BR$24:$BV$24)+SUMPRODUCT(React!$C$62:$G$62,Curves!$BR$47:$BV$47)+SUMPRODUCT(React!$C$63:$G$63,Curves!$BR$70:$BV$70)</f>
        <v/>
      </c>
      <c r="H65" s="5">
        <f>SUMPRODUCT(React!$C$61:$H$61,Curves!$BQ$24:$BV$24)+SUMPRODUCT(React!$C$62:$H$62,Curves!$BQ$47:$BV$47)+SUMPRODUCT(React!$C$63:$H$63,Curves!$BQ$70:$BV$70)</f>
        <v/>
      </c>
      <c r="I65" s="5">
        <f>SUMPRODUCT(React!$C$61:$I$61,Curves!$BP$24:$BV$24)+SUMPRODUCT(React!$C$62:$I$62,Curves!$BP$47:$BV$47)+SUMPRODUCT(React!$C$63:$I$63,Curves!$BP$70:$BV$70)</f>
        <v/>
      </c>
      <c r="J65" s="5">
        <f>SUMPRODUCT(React!$C$61:$J$61,Curves!$BO$24:$BV$24)+SUMPRODUCT(React!$C$62:$J$62,Curves!$BO$47:$BV$47)+SUMPRODUCT(React!$C$63:$J$63,Curves!$BO$70:$BV$70)</f>
        <v/>
      </c>
      <c r="K65" s="5">
        <f>SUMPRODUCT(React!$C$61:$K$61,Curves!$BN$24:$BV$24)+SUMPRODUCT(React!$C$62:$K$62,Curves!$BN$47:$BV$47)+SUMPRODUCT(React!$C$63:$K$63,Curves!$BN$70:$BV$70)</f>
        <v/>
      </c>
      <c r="L65" s="5">
        <f>SUMPRODUCT(React!$C$61:$L$61,Curves!$BM$24:$BV$24)+SUMPRODUCT(React!$C$62:$L$62,Curves!$BM$47:$BV$47)+SUMPRODUCT(React!$C$63:$L$63,Curves!$BM$70:$BV$70)</f>
        <v/>
      </c>
      <c r="M65" s="5">
        <f>SUMPRODUCT(React!$C$61:$M$61,Curves!$BL$24:$BV$24)+SUMPRODUCT(React!$C$62:$M$62,Curves!$BL$47:$BV$47)+SUMPRODUCT(React!$C$63:$M$63,Curves!$BL$70:$BV$70)</f>
        <v/>
      </c>
      <c r="N65" s="5">
        <f>SUMPRODUCT(React!$C$61:$N$61,Curves!$BK$24:$BV$24)+SUMPRODUCT(React!$C$62:$N$62,Curves!$BK$47:$BV$47)+SUMPRODUCT(React!$C$63:$N$63,Curves!$BK$70:$BV$70)</f>
        <v/>
      </c>
      <c r="O65" s="5">
        <f>SUMPRODUCT(React!$C$61:$O$61,Curves!$BJ$24:$BV$24)+SUMPRODUCT(React!$C$62:$O$62,Curves!$BJ$47:$BV$47)+SUMPRODUCT(React!$C$63:$O$63,Curves!$BJ$70:$BV$70)</f>
        <v/>
      </c>
      <c r="P65" s="5">
        <f>SUMPRODUCT(React!$C$61:$P$61,Curves!$BI$24:$BV$24)+SUMPRODUCT(React!$C$62:$P$62,Curves!$BI$47:$BV$47)+SUMPRODUCT(React!$C$63:$P$63,Curves!$BI$70:$BV$70)</f>
        <v/>
      </c>
      <c r="Q65" s="5">
        <f>SUMPRODUCT(React!$C$61:$Q$61,Curves!$BH$24:$BV$24)+SUMPRODUCT(React!$C$62:$Q$62,Curves!$BH$47:$BV$47)+SUMPRODUCT(React!$C$63:$Q$63,Curves!$BH$70:$BV$70)</f>
        <v/>
      </c>
      <c r="R65" s="5">
        <f>SUMPRODUCT(React!$C$61:$R$61,Curves!$BG$24:$BV$24)+SUMPRODUCT(React!$C$62:$R$62,Curves!$BG$47:$BV$47)+SUMPRODUCT(React!$C$63:$R$63,Curves!$BG$70:$BV$70)</f>
        <v/>
      </c>
      <c r="S65" s="5">
        <f>SUMPRODUCT(React!$C$61:$S$61,Curves!$BF$24:$BV$24)+SUMPRODUCT(React!$C$62:$S$62,Curves!$BF$47:$BV$47)+SUMPRODUCT(React!$C$63:$S$63,Curves!$BF$70:$BV$70)</f>
        <v/>
      </c>
      <c r="T65" s="5">
        <f>SUMPRODUCT(React!$C$61:$T$61,Curves!$BE$24:$BV$24)+SUMPRODUCT(React!$C$62:$T$62,Curves!$BE$47:$BV$47)+SUMPRODUCT(React!$C$63:$T$63,Curves!$BE$70:$BV$70)</f>
        <v/>
      </c>
      <c r="U65" s="5">
        <f>SUMPRODUCT(React!$C$61:$U$61,Curves!$BD$24:$BV$24)+SUMPRODUCT(React!$C$62:$U$62,Curves!$BD$47:$BV$47)+SUMPRODUCT(React!$C$63:$U$63,Curves!$BD$70:$BV$70)</f>
        <v/>
      </c>
      <c r="V65" s="5">
        <f>SUMPRODUCT(React!$C$61:$V$61,Curves!$BC$24:$BV$24)+SUMPRODUCT(React!$C$62:$V$62,Curves!$BC$47:$BV$47)+SUMPRODUCT(React!$C$63:$V$63,Curves!$BC$70:$BV$70)</f>
        <v/>
      </c>
      <c r="W65" s="5">
        <f>SUMPRODUCT(React!$C$61:$W$61,Curves!$BB$24:$BV$24)+SUMPRODUCT(React!$C$62:$W$62,Curves!$BB$47:$BV$47)+SUMPRODUCT(React!$C$63:$W$63,Curves!$BB$70:$BV$70)</f>
        <v/>
      </c>
      <c r="X65" s="5">
        <f>SUMPRODUCT(React!$C$61:$X$61,Curves!$BA$24:$BV$24)+SUMPRODUCT(React!$C$62:$X$62,Curves!$BA$47:$BV$47)+SUMPRODUCT(React!$C$63:$X$63,Curves!$BA$70:$BV$70)</f>
        <v/>
      </c>
      <c r="Y65" s="5">
        <f>SUMPRODUCT(React!$C$61:$Y$61,Curves!$AZ$24:$BV$24)+SUMPRODUCT(React!$C$62:$Y$62,Curves!$AZ$47:$BV$47)+SUMPRODUCT(React!$C$63:$Y$63,Curves!$AZ$70:$BV$70)</f>
        <v/>
      </c>
      <c r="Z65" s="5">
        <f>SUMPRODUCT(React!$C$61:$Z$61,Curves!$AY$24:$BV$24)+SUMPRODUCT(React!$C$62:$Z$62,Curves!$AY$47:$BV$47)+SUMPRODUCT(React!$C$63:$Z$63,Curves!$AY$70:$BV$70)</f>
        <v/>
      </c>
      <c r="AA65" s="5">
        <f>SUMPRODUCT(React!$C$61:$AA$61,Curves!$AX$24:$BV$24)+SUMPRODUCT(React!$C$62:$AA$62,Curves!$AX$47:$BV$47)+SUMPRODUCT(React!$C$63:$AA$63,Curves!$AX$70:$BV$70)</f>
        <v/>
      </c>
      <c r="AB65" s="5">
        <f>SUMPRODUCT(React!$C$61:$AB$61,Curves!$AW$24:$BV$24)+SUMPRODUCT(React!$C$62:$AB$62,Curves!$AW$47:$BV$47)+SUMPRODUCT(React!$C$63:$AB$63,Curves!$AW$70:$BV$70)</f>
        <v/>
      </c>
      <c r="AC65" s="5">
        <f>SUMPRODUCT(React!$C$61:$AC$61,Curves!$AV$24:$BV$24)+SUMPRODUCT(React!$C$62:$AC$62,Curves!$AV$47:$BV$47)+SUMPRODUCT(React!$C$63:$AC$63,Curves!$AV$70:$BV$70)</f>
        <v/>
      </c>
      <c r="AD65" s="5">
        <f>SUMPRODUCT(React!$C$61:$AD$61,Curves!$AU$24:$BV$24)+SUMPRODUCT(React!$C$62:$AD$62,Curves!$AU$47:$BV$47)+SUMPRODUCT(React!$C$63:$AD$63,Curves!$AU$70:$BV$70)</f>
        <v/>
      </c>
      <c r="AE65" s="5">
        <f>SUMPRODUCT(React!$C$61:$AE$61,Curves!$AT$24:$BV$24)+SUMPRODUCT(React!$C$62:$AE$62,Curves!$AT$47:$BV$47)+SUMPRODUCT(React!$C$63:$AE$63,Curves!$AT$70:$BV$70)</f>
        <v/>
      </c>
      <c r="AF65" s="5">
        <f>SUMPRODUCT(React!$C$61:$AF$61,Curves!$AS$24:$BV$24)+SUMPRODUCT(React!$C$62:$AF$62,Curves!$AS$47:$BV$47)+SUMPRODUCT(React!$C$63:$AF$63,Curves!$AS$70:$BV$70)</f>
        <v/>
      </c>
      <c r="AG65" s="5">
        <f>SUMPRODUCT(React!$C$61:$AG$61,Curves!$AR$24:$BV$24)+SUMPRODUCT(React!$C$62:$AG$62,Curves!$AR$47:$BV$47)+SUMPRODUCT(React!$C$63:$AG$63,Curves!$AR$70:$BV$70)</f>
        <v/>
      </c>
      <c r="AH65" s="5">
        <f>SUMPRODUCT(React!$C$61:$AH$61,Curves!$AQ$24:$BV$24)+SUMPRODUCT(React!$C$62:$AH$62,Curves!$AQ$47:$BV$47)+SUMPRODUCT(React!$C$63:$AH$63,Curves!$AQ$70:$BV$70)</f>
        <v/>
      </c>
      <c r="AI65" s="5">
        <f>SUMPRODUCT(React!$C$61:$AI$61,Curves!$AP$24:$BV$24)+SUMPRODUCT(React!$C$62:$AI$62,Curves!$AP$47:$BV$47)+SUMPRODUCT(React!$C$63:$AI$63,Curves!$AP$70:$BV$70)</f>
        <v/>
      </c>
      <c r="AJ65" s="5">
        <f>SUMPRODUCT(React!$C$61:$AJ$61,Curves!$AO$24:$BV$24)+SUMPRODUCT(React!$C$62:$AJ$62,Curves!$AO$47:$BV$47)+SUMPRODUCT(React!$C$63:$AJ$63,Curves!$AO$70:$BV$70)</f>
        <v/>
      </c>
      <c r="AK65" s="5">
        <f>SUMPRODUCT(React!$C$61:$AK$61,Curves!$AN$24:$BV$24)+SUMPRODUCT(React!$C$62:$AK$62,Curves!$AN$47:$BV$47)+SUMPRODUCT(React!$C$63:$AK$63,Curves!$AN$70:$BV$70)</f>
        <v/>
      </c>
      <c r="AL65" s="5">
        <f>SUMPRODUCT(React!$C$61:$AL$61,Curves!$AM$24:$BV$24)+SUMPRODUCT(React!$C$62:$AL$62,Curves!$AM$47:$BV$47)+SUMPRODUCT(React!$C$63:$AL$63,Curves!$AM$70:$BV$70)</f>
        <v/>
      </c>
      <c r="AM65" s="5">
        <f>SUMPRODUCT(React!$C$61:$AM$61,Curves!$AL$24:$BV$24)+SUMPRODUCT(React!$C$62:$AM$62,Curves!$AL$47:$BV$47)+SUMPRODUCT(React!$C$63:$AM$63,Curves!$AL$70:$BV$70)</f>
        <v/>
      </c>
      <c r="AN65" s="5">
        <f>SUMPRODUCT(React!$C$61:$AN$61,Curves!$AK$24:$BV$24)+SUMPRODUCT(React!$C$62:$AN$62,Curves!$AK$47:$BV$47)+SUMPRODUCT(React!$C$63:$AN$63,Curves!$AK$70:$BV$70)</f>
        <v/>
      </c>
      <c r="AO65" s="5">
        <f>SUMPRODUCT(React!$C$61:$AO$61,Curves!$AJ$24:$BV$24)+SUMPRODUCT(React!$C$62:$AO$62,Curves!$AJ$47:$BV$47)+SUMPRODUCT(React!$C$63:$AO$63,Curves!$AJ$70:$BV$70)</f>
        <v/>
      </c>
      <c r="AP65" s="5">
        <f>SUMPRODUCT(React!$C$61:$AP$61,Curves!$AI$24:$BV$24)+SUMPRODUCT(React!$C$62:$AP$62,Curves!$AI$47:$BV$47)+SUMPRODUCT(React!$C$63:$AP$63,Curves!$AI$70:$BV$70)</f>
        <v/>
      </c>
      <c r="AQ65" s="5">
        <f>SUMPRODUCT(React!$C$61:$AQ$61,Curves!$AH$24:$BV$24)+SUMPRODUCT(React!$C$62:$AQ$62,Curves!$AH$47:$BV$47)+SUMPRODUCT(React!$C$63:$AQ$63,Curves!$AH$70:$BV$70)</f>
        <v/>
      </c>
      <c r="AR65" s="5">
        <f>SUMPRODUCT(React!$C$61:$AR$61,Curves!$AG$24:$BV$24)+SUMPRODUCT(React!$C$62:$AR$62,Curves!$AG$47:$BV$47)+SUMPRODUCT(React!$C$63:$AR$63,Curves!$AG$70:$BV$70)</f>
        <v/>
      </c>
      <c r="AS65" s="5">
        <f>SUMPRODUCT(React!$C$61:$AS$61,Curves!$AF$24:$BV$24)+SUMPRODUCT(React!$C$62:$AS$62,Curves!$AF$47:$BV$47)+SUMPRODUCT(React!$C$63:$AS$63,Curves!$AF$70:$BV$70)</f>
        <v/>
      </c>
      <c r="AT65" s="5">
        <f>SUMPRODUCT(React!$C$61:$AT$61,Curves!$AE$24:$BV$24)+SUMPRODUCT(React!$C$62:$AT$62,Curves!$AE$47:$BV$47)+SUMPRODUCT(React!$C$63:$AT$63,Curves!$AE$70:$BV$70)</f>
        <v/>
      </c>
      <c r="AU65" s="5">
        <f>SUMPRODUCT(React!$C$61:$AU$61,Curves!$AD$24:$BV$24)+SUMPRODUCT(React!$C$62:$AU$62,Curves!$AD$47:$BV$47)+SUMPRODUCT(React!$C$63:$AU$63,Curves!$AD$70:$BV$70)</f>
        <v/>
      </c>
      <c r="AV65" s="5">
        <f>SUMPRODUCT(React!$C$61:$AV$61,Curves!$AC$24:$BV$24)+SUMPRODUCT(React!$C$62:$AV$62,Curves!$AC$47:$BV$47)+SUMPRODUCT(React!$C$63:$AV$63,Curves!$AC$70:$BV$70)</f>
        <v/>
      </c>
      <c r="AW65" s="5">
        <f>SUMPRODUCT(React!$C$61:$AW$61,Curves!$AB$24:$BV$24)+SUMPRODUCT(React!$C$62:$AW$62,Curves!$AB$47:$BV$47)+SUMPRODUCT(React!$C$63:$AW$63,Curves!$AB$70:$BV$70)</f>
        <v/>
      </c>
      <c r="AX65" s="5">
        <f>SUMPRODUCT(React!$C$61:$AX$61,Curves!$AA$24:$BV$24)+SUMPRODUCT(React!$C$62:$AX$62,Curves!$AA$47:$BV$47)+SUMPRODUCT(React!$C$63:$AX$63,Curves!$AA$70:$BV$70)</f>
        <v/>
      </c>
      <c r="AY65" s="5">
        <f>SUMPRODUCT(React!$C$61:$AY$61,Curves!$Z$24:$BV$24)+SUMPRODUCT(React!$C$62:$AY$62,Curves!$Z$47:$BV$47)+SUMPRODUCT(React!$C$63:$AY$63,Curves!$Z$70:$BV$70)</f>
        <v/>
      </c>
      <c r="AZ65" s="5">
        <f>SUMPRODUCT(React!$C$61:$AZ$61,Curves!$Y$24:$BV$24)+SUMPRODUCT(React!$C$62:$AZ$62,Curves!$Y$47:$BV$47)+SUMPRODUCT(React!$C$63:$AZ$63,Curves!$Y$70:$BV$70)</f>
        <v/>
      </c>
      <c r="BA65" s="5">
        <f>SUMPRODUCT(React!$C$61:$BA$61,Curves!$X$24:$BV$24)+SUMPRODUCT(React!$C$62:$BA$62,Curves!$X$47:$BV$47)+SUMPRODUCT(React!$C$63:$BA$63,Curves!$X$70:$BV$70)</f>
        <v/>
      </c>
      <c r="BB65" s="5">
        <f>SUMPRODUCT(React!$C$61:$BB$61,Curves!$W$24:$BV$24)+SUMPRODUCT(React!$C$62:$BB$62,Curves!$W$47:$BV$47)+SUMPRODUCT(React!$C$63:$BB$63,Curves!$W$70:$BV$70)</f>
        <v/>
      </c>
      <c r="BC65" s="5">
        <f>SUMPRODUCT(React!$C$61:$BC$61,Curves!$V$24:$BV$24)+SUMPRODUCT(React!$C$62:$BC$62,Curves!$V$47:$BV$47)+SUMPRODUCT(React!$C$63:$BC$63,Curves!$V$70:$BV$70)</f>
        <v/>
      </c>
      <c r="BD65" s="5">
        <f>SUMPRODUCT(React!$C$61:$BD$61,Curves!$U$24:$BV$24)+SUMPRODUCT(React!$C$62:$BD$62,Curves!$U$47:$BV$47)+SUMPRODUCT(React!$C$63:$BD$63,Curves!$U$70:$BV$70)</f>
        <v/>
      </c>
      <c r="BE65" s="5">
        <f>SUMPRODUCT(React!$C$61:$BE$61,Curves!$T$24:$BV$24)+SUMPRODUCT(React!$C$62:$BE$62,Curves!$T$47:$BV$47)+SUMPRODUCT(React!$C$63:$BE$63,Curves!$T$70:$BV$70)</f>
        <v/>
      </c>
      <c r="BF65" s="5">
        <f>SUMPRODUCT(React!$C$61:$BF$61,Curves!$S$24:$BV$24)+SUMPRODUCT(React!$C$62:$BF$62,Curves!$S$47:$BV$47)+SUMPRODUCT(React!$C$63:$BF$63,Curves!$S$70:$BV$70)</f>
        <v/>
      </c>
      <c r="BG65" s="5">
        <f>SUMPRODUCT(React!$C$61:$BG$61,Curves!$R$24:$BV$24)+SUMPRODUCT(React!$C$62:$BG$62,Curves!$R$47:$BV$47)+SUMPRODUCT(React!$C$63:$BG$63,Curves!$R$70:$BV$70)</f>
        <v/>
      </c>
      <c r="BH65" s="5">
        <f>SUMPRODUCT(React!$C$61:$BH$61,Curves!$Q$24:$BV$24)+SUMPRODUCT(React!$C$62:$BH$62,Curves!$Q$47:$BV$47)+SUMPRODUCT(React!$C$63:$BH$63,Curves!$Q$70:$BV$70)</f>
        <v/>
      </c>
      <c r="BI65" s="5">
        <f>SUMPRODUCT(React!$C$61:$BI$61,Curves!$P$24:$BV$24)+SUMPRODUCT(React!$C$62:$BI$62,Curves!$P$47:$BV$47)+SUMPRODUCT(React!$C$63:$BI$63,Curves!$P$70:$BV$70)</f>
        <v/>
      </c>
      <c r="BJ65" s="5">
        <f>SUMPRODUCT(React!$C$61:$BJ$61,Curves!$O$24:$BV$24)+SUMPRODUCT(React!$C$62:$BJ$62,Curves!$O$47:$BV$47)+SUMPRODUCT(React!$C$63:$BJ$63,Curves!$O$70:$BV$70)</f>
        <v/>
      </c>
      <c r="BK65" s="5">
        <f>SUMPRODUCT(React!$C$61:$BK$61,Curves!$N$24:$BV$24)+SUMPRODUCT(React!$C$62:$BK$62,Curves!$N$47:$BV$47)+SUMPRODUCT(React!$C$63:$BK$63,Curves!$N$70:$BV$70)</f>
        <v/>
      </c>
      <c r="BL65" s="5">
        <f>SUMPRODUCT(React!$C$61:$BL$61,Curves!$M$24:$BV$24)+SUMPRODUCT(React!$C$62:$BL$62,Curves!$M$47:$BV$47)+SUMPRODUCT(React!$C$63:$BL$63,Curves!$M$70:$BV$70)</f>
        <v/>
      </c>
      <c r="BM65" s="5">
        <f>SUMPRODUCT(React!$C$61:$BM$61,Curves!$L$24:$BV$24)+SUMPRODUCT(React!$C$62:$BM$62,Curves!$L$47:$BV$47)+SUMPRODUCT(React!$C$63:$BM$63,Curves!$L$70:$BV$70)</f>
        <v/>
      </c>
      <c r="BN65" s="5">
        <f>SUMPRODUCT(React!$C$61:$BN$61,Curves!$K$24:$BV$24)+SUMPRODUCT(React!$C$62:$BN$62,Curves!$K$47:$BV$47)+SUMPRODUCT(React!$C$63:$BN$63,Curves!$K$70:$BV$70)</f>
        <v/>
      </c>
      <c r="BO65" s="5">
        <f>SUMPRODUCT(React!$C$61:$BO$61,Curves!$J$24:$BV$24)+SUMPRODUCT(React!$C$62:$BO$62,Curves!$J$47:$BV$47)+SUMPRODUCT(React!$C$63:$BO$63,Curves!$J$70:$BV$70)</f>
        <v/>
      </c>
      <c r="BP65" s="5">
        <f>SUMPRODUCT(React!$C$61:$BP$61,Curves!$I$24:$BV$24)+SUMPRODUCT(React!$C$62:$BP$62,Curves!$I$47:$BV$47)+SUMPRODUCT(React!$C$63:$BP$63,Curves!$I$70:$BV$70)</f>
        <v/>
      </c>
      <c r="BQ65" s="5">
        <f>SUMPRODUCT(React!$C$61:$BQ$61,Curves!$H$24:$BV$24)+SUMPRODUCT(React!$C$62:$BQ$62,Curves!$H$47:$BV$47)+SUMPRODUCT(React!$C$63:$BQ$63,Curves!$H$70:$BV$70)</f>
        <v/>
      </c>
      <c r="BR65" s="5">
        <f>SUMPRODUCT(React!$C$61:$BR$61,Curves!$G$24:$BV$24)+SUMPRODUCT(React!$C$62:$BR$62,Curves!$G$47:$BV$47)+SUMPRODUCT(React!$C$63:$BR$63,Curves!$G$70:$BV$70)</f>
        <v/>
      </c>
      <c r="BS65" s="5">
        <f>SUMPRODUCT(React!$C$61:$BS$61,Curves!$F$24:$BV$24)+SUMPRODUCT(React!$C$62:$BS$62,Curves!$F$47:$BV$47)+SUMPRODUCT(React!$C$63:$BS$63,Curves!$F$70:$BV$70)</f>
        <v/>
      </c>
      <c r="BT65" s="5">
        <f>SUMPRODUCT(React!$C$61:$BT$61,Curves!$E$24:$BV$24)+SUMPRODUCT(React!$C$62:$BT$62,Curves!$E$47:$BV$47)+SUMPRODUCT(React!$C$63:$BT$63,Curves!$E$70:$BV$70)</f>
        <v/>
      </c>
      <c r="BU65" s="5">
        <f>SUMPRODUCT(React!$C$61:$BU$61,Curves!$D$24:$BV$24)+SUMPRODUCT(React!$C$62:$BU$62,Curves!$D$47:$BV$47)+SUMPRODUCT(React!$C$63:$BU$63,Curves!$D$70:$BV$70)</f>
        <v/>
      </c>
      <c r="BV65" s="5">
        <f>SUMPRODUCT(React!$C$61:$BV$61,Curves!$C$24:$BV$24)+SUMPRODUCT(React!$C$62:$BV$62,Curves!$C$47:$BV$47)+SUMPRODUCT(React!$C$63:$BV$63,Curves!$C$70:$BV$70)</f>
        <v/>
      </c>
    </row>
    <row r="66">
      <c r="A66" t="inlineStr">
        <is>
          <t>churned</t>
        </is>
      </c>
      <c r="B66" t="inlineStr">
        <is>
          <t>EUROPE|NITRO_M</t>
        </is>
      </c>
      <c r="C66" s="5">
        <f>React!$C$61*Curves!$BV$20+React!$C$62*Curves!$BV$43+React!$C$63*Curves!$BV$66</f>
        <v/>
      </c>
      <c r="D66" s="5">
        <f>SUMPRODUCT(React!$C$61:$D$61,Curves!$BU$20:$BV$20)+SUMPRODUCT(React!$C$62:$D$62,Curves!$BU$43:$BV$43)+SUMPRODUCT(React!$C$63:$D$63,Curves!$BU$66:$BV$66)</f>
        <v/>
      </c>
      <c r="E66" s="5">
        <f>SUMPRODUCT(React!$C$61:$E$61,Curves!$BT$20:$BV$20)+SUMPRODUCT(React!$C$62:$E$62,Curves!$BT$43:$BV$43)+SUMPRODUCT(React!$C$63:$E$63,Curves!$BT$66:$BV$66)</f>
        <v/>
      </c>
      <c r="F66" s="5">
        <f>SUMPRODUCT(React!$C$61:$F$61,Curves!$BS$20:$BV$20)+SUMPRODUCT(React!$C$62:$F$62,Curves!$BS$43:$BV$43)+SUMPRODUCT(React!$C$63:$F$63,Curves!$BS$66:$BV$66)</f>
        <v/>
      </c>
      <c r="G66" s="5">
        <f>SUMPRODUCT(React!$C$61:$G$61,Curves!$BR$20:$BV$20)+SUMPRODUCT(React!$C$62:$G$62,Curves!$BR$43:$BV$43)+SUMPRODUCT(React!$C$63:$G$63,Curves!$BR$66:$BV$66)</f>
        <v/>
      </c>
      <c r="H66" s="5">
        <f>SUMPRODUCT(React!$C$61:$H$61,Curves!$BQ$20:$BV$20)+SUMPRODUCT(React!$C$62:$H$62,Curves!$BQ$43:$BV$43)+SUMPRODUCT(React!$C$63:$H$63,Curves!$BQ$66:$BV$66)</f>
        <v/>
      </c>
      <c r="I66" s="5">
        <f>SUMPRODUCT(React!$C$61:$I$61,Curves!$BP$20:$BV$20)+SUMPRODUCT(React!$C$62:$I$62,Curves!$BP$43:$BV$43)+SUMPRODUCT(React!$C$63:$I$63,Curves!$BP$66:$BV$66)</f>
        <v/>
      </c>
      <c r="J66" s="5">
        <f>SUMPRODUCT(React!$C$61:$J$61,Curves!$BO$20:$BV$20)+SUMPRODUCT(React!$C$62:$J$62,Curves!$BO$43:$BV$43)+SUMPRODUCT(React!$C$63:$J$63,Curves!$BO$66:$BV$66)</f>
        <v/>
      </c>
      <c r="K66" s="5">
        <f>SUMPRODUCT(React!$C$61:$K$61,Curves!$BN$20:$BV$20)+SUMPRODUCT(React!$C$62:$K$62,Curves!$BN$43:$BV$43)+SUMPRODUCT(React!$C$63:$K$63,Curves!$BN$66:$BV$66)</f>
        <v/>
      </c>
      <c r="L66" s="5">
        <f>SUMPRODUCT(React!$C$61:$L$61,Curves!$BM$20:$BV$20)+SUMPRODUCT(React!$C$62:$L$62,Curves!$BM$43:$BV$43)+SUMPRODUCT(React!$C$63:$L$63,Curves!$BM$66:$BV$66)</f>
        <v/>
      </c>
      <c r="M66" s="5">
        <f>SUMPRODUCT(React!$C$61:$M$61,Curves!$BL$20:$BV$20)+SUMPRODUCT(React!$C$62:$M$62,Curves!$BL$43:$BV$43)+SUMPRODUCT(React!$C$63:$M$63,Curves!$BL$66:$BV$66)</f>
        <v/>
      </c>
      <c r="N66" s="5">
        <f>SUMPRODUCT(React!$C$61:$N$61,Curves!$BK$20:$BV$20)+SUMPRODUCT(React!$C$62:$N$62,Curves!$BK$43:$BV$43)+SUMPRODUCT(React!$C$63:$N$63,Curves!$BK$66:$BV$66)</f>
        <v/>
      </c>
      <c r="O66" s="5">
        <f>SUMPRODUCT(React!$C$61:$O$61,Curves!$BJ$20:$BV$20)+SUMPRODUCT(React!$C$62:$O$62,Curves!$BJ$43:$BV$43)+SUMPRODUCT(React!$C$63:$O$63,Curves!$BJ$66:$BV$66)</f>
        <v/>
      </c>
      <c r="P66" s="5">
        <f>SUMPRODUCT(React!$C$61:$P$61,Curves!$BI$20:$BV$20)+SUMPRODUCT(React!$C$62:$P$62,Curves!$BI$43:$BV$43)+SUMPRODUCT(React!$C$63:$P$63,Curves!$BI$66:$BV$66)</f>
        <v/>
      </c>
      <c r="Q66" s="5">
        <f>SUMPRODUCT(React!$C$61:$Q$61,Curves!$BH$20:$BV$20)+SUMPRODUCT(React!$C$62:$Q$62,Curves!$BH$43:$BV$43)+SUMPRODUCT(React!$C$63:$Q$63,Curves!$BH$66:$BV$66)</f>
        <v/>
      </c>
      <c r="R66" s="5">
        <f>SUMPRODUCT(React!$C$61:$R$61,Curves!$BG$20:$BV$20)+SUMPRODUCT(React!$C$62:$R$62,Curves!$BG$43:$BV$43)+SUMPRODUCT(React!$C$63:$R$63,Curves!$BG$66:$BV$66)</f>
        <v/>
      </c>
      <c r="S66" s="5">
        <f>SUMPRODUCT(React!$C$61:$S$61,Curves!$BF$20:$BV$20)+SUMPRODUCT(React!$C$62:$S$62,Curves!$BF$43:$BV$43)+SUMPRODUCT(React!$C$63:$S$63,Curves!$BF$66:$BV$66)</f>
        <v/>
      </c>
      <c r="T66" s="5">
        <f>SUMPRODUCT(React!$C$61:$T$61,Curves!$BE$20:$BV$20)+SUMPRODUCT(React!$C$62:$T$62,Curves!$BE$43:$BV$43)+SUMPRODUCT(React!$C$63:$T$63,Curves!$BE$66:$BV$66)</f>
        <v/>
      </c>
      <c r="U66" s="5">
        <f>SUMPRODUCT(React!$C$61:$U$61,Curves!$BD$20:$BV$20)+SUMPRODUCT(React!$C$62:$U$62,Curves!$BD$43:$BV$43)+SUMPRODUCT(React!$C$63:$U$63,Curves!$BD$66:$BV$66)</f>
        <v/>
      </c>
      <c r="V66" s="5">
        <f>SUMPRODUCT(React!$C$61:$V$61,Curves!$BC$20:$BV$20)+SUMPRODUCT(React!$C$62:$V$62,Curves!$BC$43:$BV$43)+SUMPRODUCT(React!$C$63:$V$63,Curves!$BC$66:$BV$66)</f>
        <v/>
      </c>
      <c r="W66" s="5">
        <f>SUMPRODUCT(React!$C$61:$W$61,Curves!$BB$20:$BV$20)+SUMPRODUCT(React!$C$62:$W$62,Curves!$BB$43:$BV$43)+SUMPRODUCT(React!$C$63:$W$63,Curves!$BB$66:$BV$66)</f>
        <v/>
      </c>
      <c r="X66" s="5">
        <f>SUMPRODUCT(React!$C$61:$X$61,Curves!$BA$20:$BV$20)+SUMPRODUCT(React!$C$62:$X$62,Curves!$BA$43:$BV$43)+SUMPRODUCT(React!$C$63:$X$63,Curves!$BA$66:$BV$66)</f>
        <v/>
      </c>
      <c r="Y66" s="5">
        <f>SUMPRODUCT(React!$C$61:$Y$61,Curves!$AZ$20:$BV$20)+SUMPRODUCT(React!$C$62:$Y$62,Curves!$AZ$43:$BV$43)+SUMPRODUCT(React!$C$63:$Y$63,Curves!$AZ$66:$BV$66)</f>
        <v/>
      </c>
      <c r="Z66" s="5">
        <f>SUMPRODUCT(React!$C$61:$Z$61,Curves!$AY$20:$BV$20)+SUMPRODUCT(React!$C$62:$Z$62,Curves!$AY$43:$BV$43)+SUMPRODUCT(React!$C$63:$Z$63,Curves!$AY$66:$BV$66)</f>
        <v/>
      </c>
      <c r="AA66" s="5">
        <f>SUMPRODUCT(React!$C$61:$AA$61,Curves!$AX$20:$BV$20)+SUMPRODUCT(React!$C$62:$AA$62,Curves!$AX$43:$BV$43)+SUMPRODUCT(React!$C$63:$AA$63,Curves!$AX$66:$BV$66)</f>
        <v/>
      </c>
      <c r="AB66" s="5">
        <f>SUMPRODUCT(React!$C$61:$AB$61,Curves!$AW$20:$BV$20)+SUMPRODUCT(React!$C$62:$AB$62,Curves!$AW$43:$BV$43)+SUMPRODUCT(React!$C$63:$AB$63,Curves!$AW$66:$BV$66)</f>
        <v/>
      </c>
      <c r="AC66" s="5">
        <f>SUMPRODUCT(React!$C$61:$AC$61,Curves!$AV$20:$BV$20)+SUMPRODUCT(React!$C$62:$AC$62,Curves!$AV$43:$BV$43)+SUMPRODUCT(React!$C$63:$AC$63,Curves!$AV$66:$BV$66)</f>
        <v/>
      </c>
      <c r="AD66" s="5">
        <f>SUMPRODUCT(React!$C$61:$AD$61,Curves!$AU$20:$BV$20)+SUMPRODUCT(React!$C$62:$AD$62,Curves!$AU$43:$BV$43)+SUMPRODUCT(React!$C$63:$AD$63,Curves!$AU$66:$BV$66)</f>
        <v/>
      </c>
      <c r="AE66" s="5">
        <f>SUMPRODUCT(React!$C$61:$AE$61,Curves!$AT$20:$BV$20)+SUMPRODUCT(React!$C$62:$AE$62,Curves!$AT$43:$BV$43)+SUMPRODUCT(React!$C$63:$AE$63,Curves!$AT$66:$BV$66)</f>
        <v/>
      </c>
      <c r="AF66" s="5">
        <f>SUMPRODUCT(React!$C$61:$AF$61,Curves!$AS$20:$BV$20)+SUMPRODUCT(React!$C$62:$AF$62,Curves!$AS$43:$BV$43)+SUMPRODUCT(React!$C$63:$AF$63,Curves!$AS$66:$BV$66)</f>
        <v/>
      </c>
      <c r="AG66" s="5">
        <f>SUMPRODUCT(React!$C$61:$AG$61,Curves!$AR$20:$BV$20)+SUMPRODUCT(React!$C$62:$AG$62,Curves!$AR$43:$BV$43)+SUMPRODUCT(React!$C$63:$AG$63,Curves!$AR$66:$BV$66)</f>
        <v/>
      </c>
      <c r="AH66" s="5">
        <f>SUMPRODUCT(React!$C$61:$AH$61,Curves!$AQ$20:$BV$20)+SUMPRODUCT(React!$C$62:$AH$62,Curves!$AQ$43:$BV$43)+SUMPRODUCT(React!$C$63:$AH$63,Curves!$AQ$66:$BV$66)</f>
        <v/>
      </c>
      <c r="AI66" s="5">
        <f>SUMPRODUCT(React!$C$61:$AI$61,Curves!$AP$20:$BV$20)+SUMPRODUCT(React!$C$62:$AI$62,Curves!$AP$43:$BV$43)+SUMPRODUCT(React!$C$63:$AI$63,Curves!$AP$66:$BV$66)</f>
        <v/>
      </c>
      <c r="AJ66" s="5">
        <f>SUMPRODUCT(React!$C$61:$AJ$61,Curves!$AO$20:$BV$20)+SUMPRODUCT(React!$C$62:$AJ$62,Curves!$AO$43:$BV$43)+SUMPRODUCT(React!$C$63:$AJ$63,Curves!$AO$66:$BV$66)</f>
        <v/>
      </c>
      <c r="AK66" s="5">
        <f>SUMPRODUCT(React!$C$61:$AK$61,Curves!$AN$20:$BV$20)+SUMPRODUCT(React!$C$62:$AK$62,Curves!$AN$43:$BV$43)+SUMPRODUCT(React!$C$63:$AK$63,Curves!$AN$66:$BV$66)</f>
        <v/>
      </c>
      <c r="AL66" s="5">
        <f>SUMPRODUCT(React!$C$61:$AL$61,Curves!$AM$20:$BV$20)+SUMPRODUCT(React!$C$62:$AL$62,Curves!$AM$43:$BV$43)+SUMPRODUCT(React!$C$63:$AL$63,Curves!$AM$66:$BV$66)</f>
        <v/>
      </c>
      <c r="AM66" s="5">
        <f>SUMPRODUCT(React!$C$61:$AM$61,Curves!$AL$20:$BV$20)+SUMPRODUCT(React!$C$62:$AM$62,Curves!$AL$43:$BV$43)+SUMPRODUCT(React!$C$63:$AM$63,Curves!$AL$66:$BV$66)</f>
        <v/>
      </c>
      <c r="AN66" s="5">
        <f>SUMPRODUCT(React!$C$61:$AN$61,Curves!$AK$20:$BV$20)+SUMPRODUCT(React!$C$62:$AN$62,Curves!$AK$43:$BV$43)+SUMPRODUCT(React!$C$63:$AN$63,Curves!$AK$66:$BV$66)</f>
        <v/>
      </c>
      <c r="AO66" s="5">
        <f>SUMPRODUCT(React!$C$61:$AO$61,Curves!$AJ$20:$BV$20)+SUMPRODUCT(React!$C$62:$AO$62,Curves!$AJ$43:$BV$43)+SUMPRODUCT(React!$C$63:$AO$63,Curves!$AJ$66:$BV$66)</f>
        <v/>
      </c>
      <c r="AP66" s="5">
        <f>SUMPRODUCT(React!$C$61:$AP$61,Curves!$AI$20:$BV$20)+SUMPRODUCT(React!$C$62:$AP$62,Curves!$AI$43:$BV$43)+SUMPRODUCT(React!$C$63:$AP$63,Curves!$AI$66:$BV$66)</f>
        <v/>
      </c>
      <c r="AQ66" s="5">
        <f>SUMPRODUCT(React!$C$61:$AQ$61,Curves!$AH$20:$BV$20)+SUMPRODUCT(React!$C$62:$AQ$62,Curves!$AH$43:$BV$43)+SUMPRODUCT(React!$C$63:$AQ$63,Curves!$AH$66:$BV$66)</f>
        <v/>
      </c>
      <c r="AR66" s="5">
        <f>SUMPRODUCT(React!$C$61:$AR$61,Curves!$AG$20:$BV$20)+SUMPRODUCT(React!$C$62:$AR$62,Curves!$AG$43:$BV$43)+SUMPRODUCT(React!$C$63:$AR$63,Curves!$AG$66:$BV$66)</f>
        <v/>
      </c>
      <c r="AS66" s="5">
        <f>SUMPRODUCT(React!$C$61:$AS$61,Curves!$AF$20:$BV$20)+SUMPRODUCT(React!$C$62:$AS$62,Curves!$AF$43:$BV$43)+SUMPRODUCT(React!$C$63:$AS$63,Curves!$AF$66:$BV$66)</f>
        <v/>
      </c>
      <c r="AT66" s="5">
        <f>SUMPRODUCT(React!$C$61:$AT$61,Curves!$AE$20:$BV$20)+SUMPRODUCT(React!$C$62:$AT$62,Curves!$AE$43:$BV$43)+SUMPRODUCT(React!$C$63:$AT$63,Curves!$AE$66:$BV$66)</f>
        <v/>
      </c>
      <c r="AU66" s="5">
        <f>SUMPRODUCT(React!$C$61:$AU$61,Curves!$AD$20:$BV$20)+SUMPRODUCT(React!$C$62:$AU$62,Curves!$AD$43:$BV$43)+SUMPRODUCT(React!$C$63:$AU$63,Curves!$AD$66:$BV$66)</f>
        <v/>
      </c>
      <c r="AV66" s="5">
        <f>SUMPRODUCT(React!$C$61:$AV$61,Curves!$AC$20:$BV$20)+SUMPRODUCT(React!$C$62:$AV$62,Curves!$AC$43:$BV$43)+SUMPRODUCT(React!$C$63:$AV$63,Curves!$AC$66:$BV$66)</f>
        <v/>
      </c>
      <c r="AW66" s="5">
        <f>SUMPRODUCT(React!$C$61:$AW$61,Curves!$AB$20:$BV$20)+SUMPRODUCT(React!$C$62:$AW$62,Curves!$AB$43:$BV$43)+SUMPRODUCT(React!$C$63:$AW$63,Curves!$AB$66:$BV$66)</f>
        <v/>
      </c>
      <c r="AX66" s="5">
        <f>SUMPRODUCT(React!$C$61:$AX$61,Curves!$AA$20:$BV$20)+SUMPRODUCT(React!$C$62:$AX$62,Curves!$AA$43:$BV$43)+SUMPRODUCT(React!$C$63:$AX$63,Curves!$AA$66:$BV$66)</f>
        <v/>
      </c>
      <c r="AY66" s="5">
        <f>SUMPRODUCT(React!$C$61:$AY$61,Curves!$Z$20:$BV$20)+SUMPRODUCT(React!$C$62:$AY$62,Curves!$Z$43:$BV$43)+SUMPRODUCT(React!$C$63:$AY$63,Curves!$Z$66:$BV$66)</f>
        <v/>
      </c>
      <c r="AZ66" s="5">
        <f>SUMPRODUCT(React!$C$61:$AZ$61,Curves!$Y$20:$BV$20)+SUMPRODUCT(React!$C$62:$AZ$62,Curves!$Y$43:$BV$43)+SUMPRODUCT(React!$C$63:$AZ$63,Curves!$Y$66:$BV$66)</f>
        <v/>
      </c>
      <c r="BA66" s="5">
        <f>SUMPRODUCT(React!$C$61:$BA$61,Curves!$X$20:$BV$20)+SUMPRODUCT(React!$C$62:$BA$62,Curves!$X$43:$BV$43)+SUMPRODUCT(React!$C$63:$BA$63,Curves!$X$66:$BV$66)</f>
        <v/>
      </c>
      <c r="BB66" s="5">
        <f>SUMPRODUCT(React!$C$61:$BB$61,Curves!$W$20:$BV$20)+SUMPRODUCT(React!$C$62:$BB$62,Curves!$W$43:$BV$43)+SUMPRODUCT(React!$C$63:$BB$63,Curves!$W$66:$BV$66)</f>
        <v/>
      </c>
      <c r="BC66" s="5">
        <f>SUMPRODUCT(React!$C$61:$BC$61,Curves!$V$20:$BV$20)+SUMPRODUCT(React!$C$62:$BC$62,Curves!$V$43:$BV$43)+SUMPRODUCT(React!$C$63:$BC$63,Curves!$V$66:$BV$66)</f>
        <v/>
      </c>
      <c r="BD66" s="5">
        <f>SUMPRODUCT(React!$C$61:$BD$61,Curves!$U$20:$BV$20)+SUMPRODUCT(React!$C$62:$BD$62,Curves!$U$43:$BV$43)+SUMPRODUCT(React!$C$63:$BD$63,Curves!$U$66:$BV$66)</f>
        <v/>
      </c>
      <c r="BE66" s="5">
        <f>SUMPRODUCT(React!$C$61:$BE$61,Curves!$T$20:$BV$20)+SUMPRODUCT(React!$C$62:$BE$62,Curves!$T$43:$BV$43)+SUMPRODUCT(React!$C$63:$BE$63,Curves!$T$66:$BV$66)</f>
        <v/>
      </c>
      <c r="BF66" s="5">
        <f>SUMPRODUCT(React!$C$61:$BF$61,Curves!$S$20:$BV$20)+SUMPRODUCT(React!$C$62:$BF$62,Curves!$S$43:$BV$43)+SUMPRODUCT(React!$C$63:$BF$63,Curves!$S$66:$BV$66)</f>
        <v/>
      </c>
      <c r="BG66" s="5">
        <f>SUMPRODUCT(React!$C$61:$BG$61,Curves!$R$20:$BV$20)+SUMPRODUCT(React!$C$62:$BG$62,Curves!$R$43:$BV$43)+SUMPRODUCT(React!$C$63:$BG$63,Curves!$R$66:$BV$66)</f>
        <v/>
      </c>
      <c r="BH66" s="5">
        <f>SUMPRODUCT(React!$C$61:$BH$61,Curves!$Q$20:$BV$20)+SUMPRODUCT(React!$C$62:$BH$62,Curves!$Q$43:$BV$43)+SUMPRODUCT(React!$C$63:$BH$63,Curves!$Q$66:$BV$66)</f>
        <v/>
      </c>
      <c r="BI66" s="5">
        <f>SUMPRODUCT(React!$C$61:$BI$61,Curves!$P$20:$BV$20)+SUMPRODUCT(React!$C$62:$BI$62,Curves!$P$43:$BV$43)+SUMPRODUCT(React!$C$63:$BI$63,Curves!$P$66:$BV$66)</f>
        <v/>
      </c>
      <c r="BJ66" s="5">
        <f>SUMPRODUCT(React!$C$61:$BJ$61,Curves!$O$20:$BV$20)+SUMPRODUCT(React!$C$62:$BJ$62,Curves!$O$43:$BV$43)+SUMPRODUCT(React!$C$63:$BJ$63,Curves!$O$66:$BV$66)</f>
        <v/>
      </c>
      <c r="BK66" s="5">
        <f>SUMPRODUCT(React!$C$61:$BK$61,Curves!$N$20:$BV$20)+SUMPRODUCT(React!$C$62:$BK$62,Curves!$N$43:$BV$43)+SUMPRODUCT(React!$C$63:$BK$63,Curves!$N$66:$BV$66)</f>
        <v/>
      </c>
      <c r="BL66" s="5">
        <f>SUMPRODUCT(React!$C$61:$BL$61,Curves!$M$20:$BV$20)+SUMPRODUCT(React!$C$62:$BL$62,Curves!$M$43:$BV$43)+SUMPRODUCT(React!$C$63:$BL$63,Curves!$M$66:$BV$66)</f>
        <v/>
      </c>
      <c r="BM66" s="5">
        <f>SUMPRODUCT(React!$C$61:$BM$61,Curves!$L$20:$BV$20)+SUMPRODUCT(React!$C$62:$BM$62,Curves!$L$43:$BV$43)+SUMPRODUCT(React!$C$63:$BM$63,Curves!$L$66:$BV$66)</f>
        <v/>
      </c>
      <c r="BN66" s="5">
        <f>SUMPRODUCT(React!$C$61:$BN$61,Curves!$K$20:$BV$20)+SUMPRODUCT(React!$C$62:$BN$62,Curves!$K$43:$BV$43)+SUMPRODUCT(React!$C$63:$BN$63,Curves!$K$66:$BV$66)</f>
        <v/>
      </c>
      <c r="BO66" s="5">
        <f>SUMPRODUCT(React!$C$61:$BO$61,Curves!$J$20:$BV$20)+SUMPRODUCT(React!$C$62:$BO$62,Curves!$J$43:$BV$43)+SUMPRODUCT(React!$C$63:$BO$63,Curves!$J$66:$BV$66)</f>
        <v/>
      </c>
      <c r="BP66" s="5">
        <f>SUMPRODUCT(React!$C$61:$BP$61,Curves!$I$20:$BV$20)+SUMPRODUCT(React!$C$62:$BP$62,Curves!$I$43:$BV$43)+SUMPRODUCT(React!$C$63:$BP$63,Curves!$I$66:$BV$66)</f>
        <v/>
      </c>
      <c r="BQ66" s="5">
        <f>SUMPRODUCT(React!$C$61:$BQ$61,Curves!$H$20:$BV$20)+SUMPRODUCT(React!$C$62:$BQ$62,Curves!$H$43:$BV$43)+SUMPRODUCT(React!$C$63:$BQ$63,Curves!$H$66:$BV$66)</f>
        <v/>
      </c>
      <c r="BR66" s="5">
        <f>SUMPRODUCT(React!$C$61:$BR$61,Curves!$G$20:$BV$20)+SUMPRODUCT(React!$C$62:$BR$62,Curves!$G$43:$BV$43)+SUMPRODUCT(React!$C$63:$BR$63,Curves!$G$66:$BV$66)</f>
        <v/>
      </c>
      <c r="BS66" s="5">
        <f>SUMPRODUCT(React!$C$61:$BS$61,Curves!$F$20:$BV$20)+SUMPRODUCT(React!$C$62:$BS$62,Curves!$F$43:$BV$43)+SUMPRODUCT(React!$C$63:$BS$63,Curves!$F$66:$BV$66)</f>
        <v/>
      </c>
      <c r="BT66" s="5">
        <f>SUMPRODUCT(React!$C$61:$BT$61,Curves!$E$20:$BV$20)+SUMPRODUCT(React!$C$62:$BT$62,Curves!$E$43:$BV$43)+SUMPRODUCT(React!$C$63:$BT$63,Curves!$E$66:$BV$66)</f>
        <v/>
      </c>
      <c r="BU66" s="5">
        <f>SUMPRODUCT(React!$C$61:$BU$61,Curves!$D$20:$BV$20)+SUMPRODUCT(React!$C$62:$BU$62,Curves!$D$43:$BV$43)+SUMPRODUCT(React!$C$63:$BU$63,Curves!$D$66:$BV$66)</f>
        <v/>
      </c>
      <c r="BV66" s="5">
        <f>SUMPRODUCT(React!$C$61:$BV$61,Curves!$C$20:$BV$20)+SUMPRODUCT(React!$C$62:$BV$62,Curves!$C$43:$BV$43)+SUMPRODUCT(React!$C$63:$BV$63,Curves!$C$66:$BV$66)</f>
        <v/>
      </c>
    </row>
    <row r="68">
      <c r="A68" t="inlineStr">
        <is>
          <t>churn pool inflow</t>
        </is>
      </c>
      <c r="B68" t="inlineStr">
        <is>
          <t>EUROPE|NITRO_A</t>
        </is>
      </c>
      <c r="C68" s="5">
        <f>Paid!C25+Legacy!C27</f>
        <v/>
      </c>
      <c r="D68" s="5">
        <f>Paid!D25+Legacy!D27</f>
        <v/>
      </c>
      <c r="E68" s="5">
        <f>Paid!E25+Legacy!E27</f>
        <v/>
      </c>
      <c r="F68" s="5">
        <f>Paid!F25+Legacy!F27</f>
        <v/>
      </c>
      <c r="G68" s="5">
        <f>Paid!G25+Legacy!G27</f>
        <v/>
      </c>
      <c r="H68" s="5">
        <f>Paid!H25+Legacy!H27</f>
        <v/>
      </c>
      <c r="I68" s="5">
        <f>Paid!I25+Legacy!I27</f>
        <v/>
      </c>
      <c r="J68" s="5">
        <f>Paid!J25+Legacy!J27</f>
        <v/>
      </c>
      <c r="K68" s="5">
        <f>Paid!K25+Legacy!K27</f>
        <v/>
      </c>
      <c r="L68" s="5">
        <f>Paid!L25+Legacy!L27</f>
        <v/>
      </c>
      <c r="M68" s="5">
        <f>Paid!M25+Legacy!M27</f>
        <v/>
      </c>
      <c r="N68" s="5">
        <f>Paid!N25+Legacy!N27</f>
        <v/>
      </c>
      <c r="O68" s="5">
        <f>Paid!O25+Legacy!O27</f>
        <v/>
      </c>
      <c r="P68" s="5">
        <f>Paid!P25+Legacy!P27</f>
        <v/>
      </c>
      <c r="Q68" s="5">
        <f>Paid!Q25+Legacy!Q27</f>
        <v/>
      </c>
      <c r="R68" s="5">
        <f>Paid!R25+Legacy!R27</f>
        <v/>
      </c>
      <c r="S68" s="5">
        <f>Paid!S25+Legacy!S27</f>
        <v/>
      </c>
      <c r="T68" s="5">
        <f>Paid!T25+Legacy!T27</f>
        <v/>
      </c>
      <c r="U68" s="5">
        <f>Paid!U25+Legacy!U27</f>
        <v/>
      </c>
      <c r="V68" s="5">
        <f>Paid!V25+Legacy!V27</f>
        <v/>
      </c>
      <c r="W68" s="5">
        <f>Paid!W25+Legacy!W27</f>
        <v/>
      </c>
      <c r="X68" s="5">
        <f>Paid!X25+Legacy!X27</f>
        <v/>
      </c>
      <c r="Y68" s="5">
        <f>Paid!Y25+Legacy!Y27</f>
        <v/>
      </c>
      <c r="Z68" s="5">
        <f>Paid!Z25+Legacy!Z27</f>
        <v/>
      </c>
      <c r="AA68" s="5">
        <f>Paid!AA25+Legacy!AA27</f>
        <v/>
      </c>
      <c r="AB68" s="5">
        <f>Paid!AB25+Legacy!AB27</f>
        <v/>
      </c>
      <c r="AC68" s="5">
        <f>Paid!AC25+Legacy!AC27</f>
        <v/>
      </c>
      <c r="AD68" s="5">
        <f>Paid!AD25+Legacy!AD27</f>
        <v/>
      </c>
      <c r="AE68" s="5">
        <f>Paid!AE25+Legacy!AE27</f>
        <v/>
      </c>
      <c r="AF68" s="5">
        <f>Paid!AF25+Legacy!AF27</f>
        <v/>
      </c>
      <c r="AG68" s="5">
        <f>Paid!AG25+Legacy!AG27</f>
        <v/>
      </c>
      <c r="AH68" s="5">
        <f>Paid!AH25+Legacy!AH27</f>
        <v/>
      </c>
      <c r="AI68" s="5">
        <f>Paid!AI25+Legacy!AI27</f>
        <v/>
      </c>
      <c r="AJ68" s="5">
        <f>Paid!AJ25+Legacy!AJ27</f>
        <v/>
      </c>
      <c r="AK68" s="5">
        <f>Paid!AK25+Legacy!AK27</f>
        <v/>
      </c>
      <c r="AL68" s="5">
        <f>Paid!AL25+Legacy!AL27</f>
        <v/>
      </c>
      <c r="AM68" s="5">
        <f>Paid!AM25+Legacy!AM27</f>
        <v/>
      </c>
      <c r="AN68" s="5">
        <f>Paid!AN25+Legacy!AN27</f>
        <v/>
      </c>
      <c r="AO68" s="5">
        <f>Paid!AO25+Legacy!AO27</f>
        <v/>
      </c>
      <c r="AP68" s="5">
        <f>Paid!AP25+Legacy!AP27</f>
        <v/>
      </c>
      <c r="AQ68" s="5">
        <f>Paid!AQ25+Legacy!AQ27</f>
        <v/>
      </c>
      <c r="AR68" s="5">
        <f>Paid!AR25+Legacy!AR27</f>
        <v/>
      </c>
      <c r="AS68" s="5">
        <f>Paid!AS25+Legacy!AS27</f>
        <v/>
      </c>
      <c r="AT68" s="5">
        <f>Paid!AT25+Legacy!AT27</f>
        <v/>
      </c>
      <c r="AU68" s="5">
        <f>Paid!AU25+Legacy!AU27</f>
        <v/>
      </c>
      <c r="AV68" s="5">
        <f>Paid!AV25+Legacy!AV27</f>
        <v/>
      </c>
      <c r="AW68" s="5">
        <f>Paid!AW25+Legacy!AW27</f>
        <v/>
      </c>
      <c r="AX68" s="5">
        <f>Paid!AX25+Legacy!AX27</f>
        <v/>
      </c>
      <c r="AY68" s="5">
        <f>Paid!AY25+Legacy!AY27</f>
        <v/>
      </c>
      <c r="AZ68" s="5">
        <f>Paid!AZ25+Legacy!AZ27</f>
        <v/>
      </c>
      <c r="BA68" s="5">
        <f>Paid!BA25+Legacy!BA27</f>
        <v/>
      </c>
      <c r="BB68" s="5">
        <f>Paid!BB25+Legacy!BB27</f>
        <v/>
      </c>
      <c r="BC68" s="5">
        <f>Paid!BC25+Legacy!BC27</f>
        <v/>
      </c>
      <c r="BD68" s="5">
        <f>Paid!BD25+Legacy!BD27</f>
        <v/>
      </c>
      <c r="BE68" s="5">
        <f>Paid!BE25+Legacy!BE27</f>
        <v/>
      </c>
      <c r="BF68" s="5">
        <f>Paid!BF25+Legacy!BF27</f>
        <v/>
      </c>
      <c r="BG68" s="5">
        <f>Paid!BG25+Legacy!BG27</f>
        <v/>
      </c>
      <c r="BH68" s="5">
        <f>Paid!BH25+Legacy!BH27</f>
        <v/>
      </c>
      <c r="BI68" s="5">
        <f>Paid!BI25+Legacy!BI27</f>
        <v/>
      </c>
      <c r="BJ68" s="5">
        <f>Paid!BJ25+Legacy!BJ27</f>
        <v/>
      </c>
      <c r="BK68" s="5">
        <f>Paid!BK25+Legacy!BK27</f>
        <v/>
      </c>
      <c r="BL68" s="5">
        <f>Paid!BL25+Legacy!BL27</f>
        <v/>
      </c>
      <c r="BM68" s="5">
        <f>Paid!BM25+Legacy!BM27</f>
        <v/>
      </c>
      <c r="BN68" s="5">
        <f>Paid!BN25+Legacy!BN27</f>
        <v/>
      </c>
      <c r="BO68" s="5">
        <f>Paid!BO25+Legacy!BO27</f>
        <v/>
      </c>
      <c r="BP68" s="5">
        <f>Paid!BP25+Legacy!BP27</f>
        <v/>
      </c>
      <c r="BQ68" s="5">
        <f>Paid!BQ25+Legacy!BQ27</f>
        <v/>
      </c>
      <c r="BR68" s="5">
        <f>Paid!BR25+Legacy!BR27</f>
        <v/>
      </c>
      <c r="BS68" s="5">
        <f>Paid!BS25+Legacy!BS27</f>
        <v/>
      </c>
      <c r="BT68" s="5">
        <f>Paid!BT25+Legacy!BT27</f>
        <v/>
      </c>
      <c r="BU68" s="5">
        <f>Paid!BU25+Legacy!BU27</f>
        <v/>
      </c>
      <c r="BV68" s="5">
        <f>Paid!BV25+Legacy!BV27</f>
        <v/>
      </c>
    </row>
    <row r="69">
      <c r="A69" t="inlineStr">
        <is>
          <t>inflow @0</t>
        </is>
      </c>
      <c r="B69" t="inlineStr">
        <is>
          <t>EUROPE|NITRO_A</t>
        </is>
      </c>
      <c r="C69" s="5">
        <f>C68*Eras!C$3</f>
        <v/>
      </c>
      <c r="D69" s="5">
        <f>D68*Eras!D$3</f>
        <v/>
      </c>
      <c r="E69" s="5">
        <f>E68*Eras!E$3</f>
        <v/>
      </c>
      <c r="F69" s="5">
        <f>F68*Eras!F$3</f>
        <v/>
      </c>
      <c r="G69" s="5">
        <f>G68*Eras!G$3</f>
        <v/>
      </c>
      <c r="H69" s="5">
        <f>H68*Eras!H$3</f>
        <v/>
      </c>
      <c r="I69" s="5">
        <f>I68*Eras!I$3</f>
        <v/>
      </c>
      <c r="J69" s="5">
        <f>J68*Eras!J$3</f>
        <v/>
      </c>
      <c r="K69" s="5">
        <f>K68*Eras!K$3</f>
        <v/>
      </c>
      <c r="L69" s="5">
        <f>L68*Eras!L$3</f>
        <v/>
      </c>
      <c r="M69" s="5">
        <f>M68*Eras!M$3</f>
        <v/>
      </c>
      <c r="N69" s="5">
        <f>N68*Eras!N$3</f>
        <v/>
      </c>
      <c r="O69" s="5">
        <f>O68*Eras!O$3</f>
        <v/>
      </c>
      <c r="P69" s="5">
        <f>P68*Eras!P$3</f>
        <v/>
      </c>
      <c r="Q69" s="5">
        <f>Q68*Eras!Q$3</f>
        <v/>
      </c>
      <c r="R69" s="5">
        <f>R68*Eras!R$3</f>
        <v/>
      </c>
      <c r="S69" s="5">
        <f>S68*Eras!S$3</f>
        <v/>
      </c>
      <c r="T69" s="5">
        <f>T68*Eras!T$3</f>
        <v/>
      </c>
      <c r="U69" s="5">
        <f>U68*Eras!U$3</f>
        <v/>
      </c>
      <c r="V69" s="5">
        <f>V68*Eras!V$3</f>
        <v/>
      </c>
      <c r="W69" s="5">
        <f>W68*Eras!W$3</f>
        <v/>
      </c>
      <c r="X69" s="5">
        <f>X68*Eras!X$3</f>
        <v/>
      </c>
      <c r="Y69" s="5">
        <f>Y68*Eras!Y$3</f>
        <v/>
      </c>
      <c r="Z69" s="5">
        <f>Z68*Eras!Z$3</f>
        <v/>
      </c>
      <c r="AA69" s="5">
        <f>AA68*Eras!AA$3</f>
        <v/>
      </c>
      <c r="AB69" s="5">
        <f>AB68*Eras!AB$3</f>
        <v/>
      </c>
      <c r="AC69" s="5">
        <f>AC68*Eras!AC$3</f>
        <v/>
      </c>
      <c r="AD69" s="5">
        <f>AD68*Eras!AD$3</f>
        <v/>
      </c>
      <c r="AE69" s="5">
        <f>AE68*Eras!AE$3</f>
        <v/>
      </c>
      <c r="AF69" s="5">
        <f>AF68*Eras!AF$3</f>
        <v/>
      </c>
      <c r="AG69" s="5">
        <f>AG68*Eras!AG$3</f>
        <v/>
      </c>
      <c r="AH69" s="5">
        <f>AH68*Eras!AH$3</f>
        <v/>
      </c>
      <c r="AI69" s="5">
        <f>AI68*Eras!AI$3</f>
        <v/>
      </c>
      <c r="AJ69" s="5">
        <f>AJ68*Eras!AJ$3</f>
        <v/>
      </c>
      <c r="AK69" s="5">
        <f>AK68*Eras!AK$3</f>
        <v/>
      </c>
      <c r="AL69" s="5">
        <f>AL68*Eras!AL$3</f>
        <v/>
      </c>
      <c r="AM69" s="5">
        <f>AM68*Eras!AM$3</f>
        <v/>
      </c>
      <c r="AN69" s="5">
        <f>AN68*Eras!AN$3</f>
        <v/>
      </c>
      <c r="AO69" s="5">
        <f>AO68*Eras!AO$3</f>
        <v/>
      </c>
      <c r="AP69" s="5">
        <f>AP68*Eras!AP$3</f>
        <v/>
      </c>
      <c r="AQ69" s="5">
        <f>AQ68*Eras!AQ$3</f>
        <v/>
      </c>
      <c r="AR69" s="5">
        <f>AR68*Eras!AR$3</f>
        <v/>
      </c>
      <c r="AS69" s="5">
        <f>AS68*Eras!AS$3</f>
        <v/>
      </c>
      <c r="AT69" s="5">
        <f>AT68*Eras!AT$3</f>
        <v/>
      </c>
      <c r="AU69" s="5">
        <f>AU68*Eras!AU$3</f>
        <v/>
      </c>
      <c r="AV69" s="5">
        <f>AV68*Eras!AV$3</f>
        <v/>
      </c>
      <c r="AW69" s="5">
        <f>AW68*Eras!AW$3</f>
        <v/>
      </c>
      <c r="AX69" s="5">
        <f>AX68*Eras!AX$3</f>
        <v/>
      </c>
      <c r="AY69" s="5">
        <f>AY68*Eras!AY$3</f>
        <v/>
      </c>
      <c r="AZ69" s="5">
        <f>AZ68*Eras!AZ$3</f>
        <v/>
      </c>
      <c r="BA69" s="5">
        <f>BA68*Eras!BA$3</f>
        <v/>
      </c>
      <c r="BB69" s="5">
        <f>BB68*Eras!BB$3</f>
        <v/>
      </c>
      <c r="BC69" s="5">
        <f>BC68*Eras!BC$3</f>
        <v/>
      </c>
      <c r="BD69" s="5">
        <f>BD68*Eras!BD$3</f>
        <v/>
      </c>
      <c r="BE69" s="5">
        <f>BE68*Eras!BE$3</f>
        <v/>
      </c>
      <c r="BF69" s="5">
        <f>BF68*Eras!BF$3</f>
        <v/>
      </c>
      <c r="BG69" s="5">
        <f>BG68*Eras!BG$3</f>
        <v/>
      </c>
      <c r="BH69" s="5">
        <f>BH68*Eras!BH$3</f>
        <v/>
      </c>
      <c r="BI69" s="5">
        <f>BI68*Eras!BI$3</f>
        <v/>
      </c>
      <c r="BJ69" s="5">
        <f>BJ68*Eras!BJ$3</f>
        <v/>
      </c>
      <c r="BK69" s="5">
        <f>BK68*Eras!BK$3</f>
        <v/>
      </c>
      <c r="BL69" s="5">
        <f>BL68*Eras!BL$3</f>
        <v/>
      </c>
      <c r="BM69" s="5">
        <f>BM68*Eras!BM$3</f>
        <v/>
      </c>
      <c r="BN69" s="5">
        <f>BN68*Eras!BN$3</f>
        <v/>
      </c>
      <c r="BO69" s="5">
        <f>BO68*Eras!BO$3</f>
        <v/>
      </c>
      <c r="BP69" s="5">
        <f>BP68*Eras!BP$3</f>
        <v/>
      </c>
      <c r="BQ69" s="5">
        <f>BQ68*Eras!BQ$3</f>
        <v/>
      </c>
      <c r="BR69" s="5">
        <f>BR68*Eras!BR$3</f>
        <v/>
      </c>
      <c r="BS69" s="5">
        <f>BS68*Eras!BS$3</f>
        <v/>
      </c>
      <c r="BT69" s="5">
        <f>BT68*Eras!BT$3</f>
        <v/>
      </c>
      <c r="BU69" s="5">
        <f>BU68*Eras!BU$3</f>
        <v/>
      </c>
      <c r="BV69" s="5">
        <f>BV68*Eras!BV$3</f>
        <v/>
      </c>
    </row>
    <row r="70">
      <c r="A70" t="inlineStr">
        <is>
          <t>inflow @1</t>
        </is>
      </c>
      <c r="B70" t="inlineStr">
        <is>
          <t>EUROPE|NITRO_A</t>
        </is>
      </c>
      <c r="C70" s="5">
        <f>C68*Eras!C$4</f>
        <v/>
      </c>
      <c r="D70" s="5">
        <f>D68*Eras!D$4</f>
        <v/>
      </c>
      <c r="E70" s="5">
        <f>E68*Eras!E$4</f>
        <v/>
      </c>
      <c r="F70" s="5">
        <f>F68*Eras!F$4</f>
        <v/>
      </c>
      <c r="G70" s="5">
        <f>G68*Eras!G$4</f>
        <v/>
      </c>
      <c r="H70" s="5">
        <f>H68*Eras!H$4</f>
        <v/>
      </c>
      <c r="I70" s="5">
        <f>I68*Eras!I$4</f>
        <v/>
      </c>
      <c r="J70" s="5">
        <f>J68*Eras!J$4</f>
        <v/>
      </c>
      <c r="K70" s="5">
        <f>K68*Eras!K$4</f>
        <v/>
      </c>
      <c r="L70" s="5">
        <f>L68*Eras!L$4</f>
        <v/>
      </c>
      <c r="M70" s="5">
        <f>M68*Eras!M$4</f>
        <v/>
      </c>
      <c r="N70" s="5">
        <f>N68*Eras!N$4</f>
        <v/>
      </c>
      <c r="O70" s="5">
        <f>O68*Eras!O$4</f>
        <v/>
      </c>
      <c r="P70" s="5">
        <f>P68*Eras!P$4</f>
        <v/>
      </c>
      <c r="Q70" s="5">
        <f>Q68*Eras!Q$4</f>
        <v/>
      </c>
      <c r="R70" s="5">
        <f>R68*Eras!R$4</f>
        <v/>
      </c>
      <c r="S70" s="5">
        <f>S68*Eras!S$4</f>
        <v/>
      </c>
      <c r="T70" s="5">
        <f>T68*Eras!T$4</f>
        <v/>
      </c>
      <c r="U70" s="5">
        <f>U68*Eras!U$4</f>
        <v/>
      </c>
      <c r="V70" s="5">
        <f>V68*Eras!V$4</f>
        <v/>
      </c>
      <c r="W70" s="5">
        <f>W68*Eras!W$4</f>
        <v/>
      </c>
      <c r="X70" s="5">
        <f>X68*Eras!X$4</f>
        <v/>
      </c>
      <c r="Y70" s="5">
        <f>Y68*Eras!Y$4</f>
        <v/>
      </c>
      <c r="Z70" s="5">
        <f>Z68*Eras!Z$4</f>
        <v/>
      </c>
      <c r="AA70" s="5">
        <f>AA68*Eras!AA$4</f>
        <v/>
      </c>
      <c r="AB70" s="5">
        <f>AB68*Eras!AB$4</f>
        <v/>
      </c>
      <c r="AC70" s="5">
        <f>AC68*Eras!AC$4</f>
        <v/>
      </c>
      <c r="AD70" s="5">
        <f>AD68*Eras!AD$4</f>
        <v/>
      </c>
      <c r="AE70" s="5">
        <f>AE68*Eras!AE$4</f>
        <v/>
      </c>
      <c r="AF70" s="5">
        <f>AF68*Eras!AF$4</f>
        <v/>
      </c>
      <c r="AG70" s="5">
        <f>AG68*Eras!AG$4</f>
        <v/>
      </c>
      <c r="AH70" s="5">
        <f>AH68*Eras!AH$4</f>
        <v/>
      </c>
      <c r="AI70" s="5">
        <f>AI68*Eras!AI$4</f>
        <v/>
      </c>
      <c r="AJ70" s="5">
        <f>AJ68*Eras!AJ$4</f>
        <v/>
      </c>
      <c r="AK70" s="5">
        <f>AK68*Eras!AK$4</f>
        <v/>
      </c>
      <c r="AL70" s="5">
        <f>AL68*Eras!AL$4</f>
        <v/>
      </c>
      <c r="AM70" s="5">
        <f>AM68*Eras!AM$4</f>
        <v/>
      </c>
      <c r="AN70" s="5">
        <f>AN68*Eras!AN$4</f>
        <v/>
      </c>
      <c r="AO70" s="5">
        <f>AO68*Eras!AO$4</f>
        <v/>
      </c>
      <c r="AP70" s="5">
        <f>AP68*Eras!AP$4</f>
        <v/>
      </c>
      <c r="AQ70" s="5">
        <f>AQ68*Eras!AQ$4</f>
        <v/>
      </c>
      <c r="AR70" s="5">
        <f>AR68*Eras!AR$4</f>
        <v/>
      </c>
      <c r="AS70" s="5">
        <f>AS68*Eras!AS$4</f>
        <v/>
      </c>
      <c r="AT70" s="5">
        <f>AT68*Eras!AT$4</f>
        <v/>
      </c>
      <c r="AU70" s="5">
        <f>AU68*Eras!AU$4</f>
        <v/>
      </c>
      <c r="AV70" s="5">
        <f>AV68*Eras!AV$4</f>
        <v/>
      </c>
      <c r="AW70" s="5">
        <f>AW68*Eras!AW$4</f>
        <v/>
      </c>
      <c r="AX70" s="5">
        <f>AX68*Eras!AX$4</f>
        <v/>
      </c>
      <c r="AY70" s="5">
        <f>AY68*Eras!AY$4</f>
        <v/>
      </c>
      <c r="AZ70" s="5">
        <f>AZ68*Eras!AZ$4</f>
        <v/>
      </c>
      <c r="BA70" s="5">
        <f>BA68*Eras!BA$4</f>
        <v/>
      </c>
      <c r="BB70" s="5">
        <f>BB68*Eras!BB$4</f>
        <v/>
      </c>
      <c r="BC70" s="5">
        <f>BC68*Eras!BC$4</f>
        <v/>
      </c>
      <c r="BD70" s="5">
        <f>BD68*Eras!BD$4</f>
        <v/>
      </c>
      <c r="BE70" s="5">
        <f>BE68*Eras!BE$4</f>
        <v/>
      </c>
      <c r="BF70" s="5">
        <f>BF68*Eras!BF$4</f>
        <v/>
      </c>
      <c r="BG70" s="5">
        <f>BG68*Eras!BG$4</f>
        <v/>
      </c>
      <c r="BH70" s="5">
        <f>BH68*Eras!BH$4</f>
        <v/>
      </c>
      <c r="BI70" s="5">
        <f>BI68*Eras!BI$4</f>
        <v/>
      </c>
      <c r="BJ70" s="5">
        <f>BJ68*Eras!BJ$4</f>
        <v/>
      </c>
      <c r="BK70" s="5">
        <f>BK68*Eras!BK$4</f>
        <v/>
      </c>
      <c r="BL70" s="5">
        <f>BL68*Eras!BL$4</f>
        <v/>
      </c>
      <c r="BM70" s="5">
        <f>BM68*Eras!BM$4</f>
        <v/>
      </c>
      <c r="BN70" s="5">
        <f>BN68*Eras!BN$4</f>
        <v/>
      </c>
      <c r="BO70" s="5">
        <f>BO68*Eras!BO$4</f>
        <v/>
      </c>
      <c r="BP70" s="5">
        <f>BP68*Eras!BP$4</f>
        <v/>
      </c>
      <c r="BQ70" s="5">
        <f>BQ68*Eras!BQ$4</f>
        <v/>
      </c>
      <c r="BR70" s="5">
        <f>BR68*Eras!BR$4</f>
        <v/>
      </c>
      <c r="BS70" s="5">
        <f>BS68*Eras!BS$4</f>
        <v/>
      </c>
      <c r="BT70" s="5">
        <f>BT68*Eras!BT$4</f>
        <v/>
      </c>
      <c r="BU70" s="5">
        <f>BU68*Eras!BU$4</f>
        <v/>
      </c>
      <c r="BV70" s="5">
        <f>BV68*Eras!BV$4</f>
        <v/>
      </c>
    </row>
    <row r="71">
      <c r="A71" t="inlineStr">
        <is>
          <t>inflow @2</t>
        </is>
      </c>
      <c r="B71" t="inlineStr">
        <is>
          <t>EUROPE|NITRO_A</t>
        </is>
      </c>
      <c r="C71" s="5">
        <f>C68*Eras!C$5</f>
        <v/>
      </c>
      <c r="D71" s="5">
        <f>D68*Eras!D$5</f>
        <v/>
      </c>
      <c r="E71" s="5">
        <f>E68*Eras!E$5</f>
        <v/>
      </c>
      <c r="F71" s="5">
        <f>F68*Eras!F$5</f>
        <v/>
      </c>
      <c r="G71" s="5">
        <f>G68*Eras!G$5</f>
        <v/>
      </c>
      <c r="H71" s="5">
        <f>H68*Eras!H$5</f>
        <v/>
      </c>
      <c r="I71" s="5">
        <f>I68*Eras!I$5</f>
        <v/>
      </c>
      <c r="J71" s="5">
        <f>J68*Eras!J$5</f>
        <v/>
      </c>
      <c r="K71" s="5">
        <f>K68*Eras!K$5</f>
        <v/>
      </c>
      <c r="L71" s="5">
        <f>L68*Eras!L$5</f>
        <v/>
      </c>
      <c r="M71" s="5">
        <f>M68*Eras!M$5</f>
        <v/>
      </c>
      <c r="N71" s="5">
        <f>N68*Eras!N$5</f>
        <v/>
      </c>
      <c r="O71" s="5">
        <f>O68*Eras!O$5</f>
        <v/>
      </c>
      <c r="P71" s="5">
        <f>P68*Eras!P$5</f>
        <v/>
      </c>
      <c r="Q71" s="5">
        <f>Q68*Eras!Q$5</f>
        <v/>
      </c>
      <c r="R71" s="5">
        <f>R68*Eras!R$5</f>
        <v/>
      </c>
      <c r="S71" s="5">
        <f>S68*Eras!S$5</f>
        <v/>
      </c>
      <c r="T71" s="5">
        <f>T68*Eras!T$5</f>
        <v/>
      </c>
      <c r="U71" s="5">
        <f>U68*Eras!U$5</f>
        <v/>
      </c>
      <c r="V71" s="5">
        <f>V68*Eras!V$5</f>
        <v/>
      </c>
      <c r="W71" s="5">
        <f>W68*Eras!W$5</f>
        <v/>
      </c>
      <c r="X71" s="5">
        <f>X68*Eras!X$5</f>
        <v/>
      </c>
      <c r="Y71" s="5">
        <f>Y68*Eras!Y$5</f>
        <v/>
      </c>
      <c r="Z71" s="5">
        <f>Z68*Eras!Z$5</f>
        <v/>
      </c>
      <c r="AA71" s="5">
        <f>AA68*Eras!AA$5</f>
        <v/>
      </c>
      <c r="AB71" s="5">
        <f>AB68*Eras!AB$5</f>
        <v/>
      </c>
      <c r="AC71" s="5">
        <f>AC68*Eras!AC$5</f>
        <v/>
      </c>
      <c r="AD71" s="5">
        <f>AD68*Eras!AD$5</f>
        <v/>
      </c>
      <c r="AE71" s="5">
        <f>AE68*Eras!AE$5</f>
        <v/>
      </c>
      <c r="AF71" s="5">
        <f>AF68*Eras!AF$5</f>
        <v/>
      </c>
      <c r="AG71" s="5">
        <f>AG68*Eras!AG$5</f>
        <v/>
      </c>
      <c r="AH71" s="5">
        <f>AH68*Eras!AH$5</f>
        <v/>
      </c>
      <c r="AI71" s="5">
        <f>AI68*Eras!AI$5</f>
        <v/>
      </c>
      <c r="AJ71" s="5">
        <f>AJ68*Eras!AJ$5</f>
        <v/>
      </c>
      <c r="AK71" s="5">
        <f>AK68*Eras!AK$5</f>
        <v/>
      </c>
      <c r="AL71" s="5">
        <f>AL68*Eras!AL$5</f>
        <v/>
      </c>
      <c r="AM71" s="5">
        <f>AM68*Eras!AM$5</f>
        <v/>
      </c>
      <c r="AN71" s="5">
        <f>AN68*Eras!AN$5</f>
        <v/>
      </c>
      <c r="AO71" s="5">
        <f>AO68*Eras!AO$5</f>
        <v/>
      </c>
      <c r="AP71" s="5">
        <f>AP68*Eras!AP$5</f>
        <v/>
      </c>
      <c r="AQ71" s="5">
        <f>AQ68*Eras!AQ$5</f>
        <v/>
      </c>
      <c r="AR71" s="5">
        <f>AR68*Eras!AR$5</f>
        <v/>
      </c>
      <c r="AS71" s="5">
        <f>AS68*Eras!AS$5</f>
        <v/>
      </c>
      <c r="AT71" s="5">
        <f>AT68*Eras!AT$5</f>
        <v/>
      </c>
      <c r="AU71" s="5">
        <f>AU68*Eras!AU$5</f>
        <v/>
      </c>
      <c r="AV71" s="5">
        <f>AV68*Eras!AV$5</f>
        <v/>
      </c>
      <c r="AW71" s="5">
        <f>AW68*Eras!AW$5</f>
        <v/>
      </c>
      <c r="AX71" s="5">
        <f>AX68*Eras!AX$5</f>
        <v/>
      </c>
      <c r="AY71" s="5">
        <f>AY68*Eras!AY$5</f>
        <v/>
      </c>
      <c r="AZ71" s="5">
        <f>AZ68*Eras!AZ$5</f>
        <v/>
      </c>
      <c r="BA71" s="5">
        <f>BA68*Eras!BA$5</f>
        <v/>
      </c>
      <c r="BB71" s="5">
        <f>BB68*Eras!BB$5</f>
        <v/>
      </c>
      <c r="BC71" s="5">
        <f>BC68*Eras!BC$5</f>
        <v/>
      </c>
      <c r="BD71" s="5">
        <f>BD68*Eras!BD$5</f>
        <v/>
      </c>
      <c r="BE71" s="5">
        <f>BE68*Eras!BE$5</f>
        <v/>
      </c>
      <c r="BF71" s="5">
        <f>BF68*Eras!BF$5</f>
        <v/>
      </c>
      <c r="BG71" s="5">
        <f>BG68*Eras!BG$5</f>
        <v/>
      </c>
      <c r="BH71" s="5">
        <f>BH68*Eras!BH$5</f>
        <v/>
      </c>
      <c r="BI71" s="5">
        <f>BI68*Eras!BI$5</f>
        <v/>
      </c>
      <c r="BJ71" s="5">
        <f>BJ68*Eras!BJ$5</f>
        <v/>
      </c>
      <c r="BK71" s="5">
        <f>BK68*Eras!BK$5</f>
        <v/>
      </c>
      <c r="BL71" s="5">
        <f>BL68*Eras!BL$5</f>
        <v/>
      </c>
      <c r="BM71" s="5">
        <f>BM68*Eras!BM$5</f>
        <v/>
      </c>
      <c r="BN71" s="5">
        <f>BN68*Eras!BN$5</f>
        <v/>
      </c>
      <c r="BO71" s="5">
        <f>BO68*Eras!BO$5</f>
        <v/>
      </c>
      <c r="BP71" s="5">
        <f>BP68*Eras!BP$5</f>
        <v/>
      </c>
      <c r="BQ71" s="5">
        <f>BQ68*Eras!BQ$5</f>
        <v/>
      </c>
      <c r="BR71" s="5">
        <f>BR68*Eras!BR$5</f>
        <v/>
      </c>
      <c r="BS71" s="5">
        <f>BS68*Eras!BS$5</f>
        <v/>
      </c>
      <c r="BT71" s="5">
        <f>BT68*Eras!BT$5</f>
        <v/>
      </c>
      <c r="BU71" s="5">
        <f>BU68*Eras!BU$5</f>
        <v/>
      </c>
      <c r="BV71" s="5">
        <f>BV68*Eras!BV$5</f>
        <v/>
      </c>
    </row>
    <row r="72">
      <c r="A72" t="inlineStr">
        <is>
          <t>reactivations out</t>
        </is>
      </c>
      <c r="B72" t="inlineStr">
        <is>
          <t>EUROPE|NITRO_A</t>
        </is>
      </c>
      <c r="C72" s="5">
        <f>React!$C$69*Curves!$BV$21+React!$C$70*Curves!$BV$44+React!$C$71*Curves!$BV$67</f>
        <v/>
      </c>
      <c r="D72" s="5">
        <f>SUMPRODUCT(React!$C$69:$D$69,Curves!$BU$21:$BV$21)+SUMPRODUCT(React!$C$70:$D$70,Curves!$BU$44:$BV$44)+SUMPRODUCT(React!$C$71:$D$71,Curves!$BU$67:$BV$67)</f>
        <v/>
      </c>
      <c r="E72" s="5">
        <f>SUMPRODUCT(React!$C$69:$E$69,Curves!$BT$21:$BV$21)+SUMPRODUCT(React!$C$70:$E$70,Curves!$BT$44:$BV$44)+SUMPRODUCT(React!$C$71:$E$71,Curves!$BT$67:$BV$67)</f>
        <v/>
      </c>
      <c r="F72" s="5">
        <f>SUMPRODUCT(React!$C$69:$F$69,Curves!$BS$21:$BV$21)+SUMPRODUCT(React!$C$70:$F$70,Curves!$BS$44:$BV$44)+SUMPRODUCT(React!$C$71:$F$71,Curves!$BS$67:$BV$67)</f>
        <v/>
      </c>
      <c r="G72" s="5">
        <f>SUMPRODUCT(React!$C$69:$G$69,Curves!$BR$21:$BV$21)+SUMPRODUCT(React!$C$70:$G$70,Curves!$BR$44:$BV$44)+SUMPRODUCT(React!$C$71:$G$71,Curves!$BR$67:$BV$67)</f>
        <v/>
      </c>
      <c r="H72" s="5">
        <f>SUMPRODUCT(React!$C$69:$H$69,Curves!$BQ$21:$BV$21)+SUMPRODUCT(React!$C$70:$H$70,Curves!$BQ$44:$BV$44)+SUMPRODUCT(React!$C$71:$H$71,Curves!$BQ$67:$BV$67)</f>
        <v/>
      </c>
      <c r="I72" s="5">
        <f>SUMPRODUCT(React!$C$69:$I$69,Curves!$BP$21:$BV$21)+SUMPRODUCT(React!$C$70:$I$70,Curves!$BP$44:$BV$44)+SUMPRODUCT(React!$C$71:$I$71,Curves!$BP$67:$BV$67)</f>
        <v/>
      </c>
      <c r="J72" s="5">
        <f>SUMPRODUCT(React!$C$69:$J$69,Curves!$BO$21:$BV$21)+SUMPRODUCT(React!$C$70:$J$70,Curves!$BO$44:$BV$44)+SUMPRODUCT(React!$C$71:$J$71,Curves!$BO$67:$BV$67)</f>
        <v/>
      </c>
      <c r="K72" s="5">
        <f>SUMPRODUCT(React!$C$69:$K$69,Curves!$BN$21:$BV$21)+SUMPRODUCT(React!$C$70:$K$70,Curves!$BN$44:$BV$44)+SUMPRODUCT(React!$C$71:$K$71,Curves!$BN$67:$BV$67)</f>
        <v/>
      </c>
      <c r="L72" s="5">
        <f>SUMPRODUCT(React!$C$69:$L$69,Curves!$BM$21:$BV$21)+SUMPRODUCT(React!$C$70:$L$70,Curves!$BM$44:$BV$44)+SUMPRODUCT(React!$C$71:$L$71,Curves!$BM$67:$BV$67)</f>
        <v/>
      </c>
      <c r="M72" s="5">
        <f>SUMPRODUCT(React!$C$69:$M$69,Curves!$BL$21:$BV$21)+SUMPRODUCT(React!$C$70:$M$70,Curves!$BL$44:$BV$44)+SUMPRODUCT(React!$C$71:$M$71,Curves!$BL$67:$BV$67)</f>
        <v/>
      </c>
      <c r="N72" s="5">
        <f>SUMPRODUCT(React!$C$69:$N$69,Curves!$BK$21:$BV$21)+SUMPRODUCT(React!$C$70:$N$70,Curves!$BK$44:$BV$44)+SUMPRODUCT(React!$C$71:$N$71,Curves!$BK$67:$BV$67)</f>
        <v/>
      </c>
      <c r="O72" s="5">
        <f>SUMPRODUCT(React!$C$69:$O$69,Curves!$BJ$21:$BV$21)+SUMPRODUCT(React!$C$70:$O$70,Curves!$BJ$44:$BV$44)+SUMPRODUCT(React!$C$71:$O$71,Curves!$BJ$67:$BV$67)</f>
        <v/>
      </c>
      <c r="P72" s="5">
        <f>SUMPRODUCT(React!$C$69:$P$69,Curves!$BI$21:$BV$21)+SUMPRODUCT(React!$C$70:$P$70,Curves!$BI$44:$BV$44)+SUMPRODUCT(React!$C$71:$P$71,Curves!$BI$67:$BV$67)</f>
        <v/>
      </c>
      <c r="Q72" s="5">
        <f>SUMPRODUCT(React!$C$69:$Q$69,Curves!$BH$21:$BV$21)+SUMPRODUCT(React!$C$70:$Q$70,Curves!$BH$44:$BV$44)+SUMPRODUCT(React!$C$71:$Q$71,Curves!$BH$67:$BV$67)</f>
        <v/>
      </c>
      <c r="R72" s="5">
        <f>SUMPRODUCT(React!$C$69:$R$69,Curves!$BG$21:$BV$21)+SUMPRODUCT(React!$C$70:$R$70,Curves!$BG$44:$BV$44)+SUMPRODUCT(React!$C$71:$R$71,Curves!$BG$67:$BV$67)</f>
        <v/>
      </c>
      <c r="S72" s="5">
        <f>SUMPRODUCT(React!$C$69:$S$69,Curves!$BF$21:$BV$21)+SUMPRODUCT(React!$C$70:$S$70,Curves!$BF$44:$BV$44)+SUMPRODUCT(React!$C$71:$S$71,Curves!$BF$67:$BV$67)</f>
        <v/>
      </c>
      <c r="T72" s="5">
        <f>SUMPRODUCT(React!$C$69:$T$69,Curves!$BE$21:$BV$21)+SUMPRODUCT(React!$C$70:$T$70,Curves!$BE$44:$BV$44)+SUMPRODUCT(React!$C$71:$T$71,Curves!$BE$67:$BV$67)</f>
        <v/>
      </c>
      <c r="U72" s="5">
        <f>SUMPRODUCT(React!$C$69:$U$69,Curves!$BD$21:$BV$21)+SUMPRODUCT(React!$C$70:$U$70,Curves!$BD$44:$BV$44)+SUMPRODUCT(React!$C$71:$U$71,Curves!$BD$67:$BV$67)</f>
        <v/>
      </c>
      <c r="V72" s="5">
        <f>SUMPRODUCT(React!$C$69:$V$69,Curves!$BC$21:$BV$21)+SUMPRODUCT(React!$C$70:$V$70,Curves!$BC$44:$BV$44)+SUMPRODUCT(React!$C$71:$V$71,Curves!$BC$67:$BV$67)</f>
        <v/>
      </c>
      <c r="W72" s="5">
        <f>SUMPRODUCT(React!$C$69:$W$69,Curves!$BB$21:$BV$21)+SUMPRODUCT(React!$C$70:$W$70,Curves!$BB$44:$BV$44)+SUMPRODUCT(React!$C$71:$W$71,Curves!$BB$67:$BV$67)</f>
        <v/>
      </c>
      <c r="X72" s="5">
        <f>SUMPRODUCT(React!$C$69:$X$69,Curves!$BA$21:$BV$21)+SUMPRODUCT(React!$C$70:$X$70,Curves!$BA$44:$BV$44)+SUMPRODUCT(React!$C$71:$X$71,Curves!$BA$67:$BV$67)</f>
        <v/>
      </c>
      <c r="Y72" s="5">
        <f>SUMPRODUCT(React!$C$69:$Y$69,Curves!$AZ$21:$BV$21)+SUMPRODUCT(React!$C$70:$Y$70,Curves!$AZ$44:$BV$44)+SUMPRODUCT(React!$C$71:$Y$71,Curves!$AZ$67:$BV$67)</f>
        <v/>
      </c>
      <c r="Z72" s="5">
        <f>SUMPRODUCT(React!$C$69:$Z$69,Curves!$AY$21:$BV$21)+SUMPRODUCT(React!$C$70:$Z$70,Curves!$AY$44:$BV$44)+SUMPRODUCT(React!$C$71:$Z$71,Curves!$AY$67:$BV$67)</f>
        <v/>
      </c>
      <c r="AA72" s="5">
        <f>SUMPRODUCT(React!$C$69:$AA$69,Curves!$AX$21:$BV$21)+SUMPRODUCT(React!$C$70:$AA$70,Curves!$AX$44:$BV$44)+SUMPRODUCT(React!$C$71:$AA$71,Curves!$AX$67:$BV$67)</f>
        <v/>
      </c>
      <c r="AB72" s="5">
        <f>SUMPRODUCT(React!$C$69:$AB$69,Curves!$AW$21:$BV$21)+SUMPRODUCT(React!$C$70:$AB$70,Curves!$AW$44:$BV$44)+SUMPRODUCT(React!$C$71:$AB$71,Curves!$AW$67:$BV$67)</f>
        <v/>
      </c>
      <c r="AC72" s="5">
        <f>SUMPRODUCT(React!$C$69:$AC$69,Curves!$AV$21:$BV$21)+SUMPRODUCT(React!$C$70:$AC$70,Curves!$AV$44:$BV$44)+SUMPRODUCT(React!$C$71:$AC$71,Curves!$AV$67:$BV$67)</f>
        <v/>
      </c>
      <c r="AD72" s="5">
        <f>SUMPRODUCT(React!$C$69:$AD$69,Curves!$AU$21:$BV$21)+SUMPRODUCT(React!$C$70:$AD$70,Curves!$AU$44:$BV$44)+SUMPRODUCT(React!$C$71:$AD$71,Curves!$AU$67:$BV$67)</f>
        <v/>
      </c>
      <c r="AE72" s="5">
        <f>SUMPRODUCT(React!$C$69:$AE$69,Curves!$AT$21:$BV$21)+SUMPRODUCT(React!$C$70:$AE$70,Curves!$AT$44:$BV$44)+SUMPRODUCT(React!$C$71:$AE$71,Curves!$AT$67:$BV$67)</f>
        <v/>
      </c>
      <c r="AF72" s="5">
        <f>SUMPRODUCT(React!$C$69:$AF$69,Curves!$AS$21:$BV$21)+SUMPRODUCT(React!$C$70:$AF$70,Curves!$AS$44:$BV$44)+SUMPRODUCT(React!$C$71:$AF$71,Curves!$AS$67:$BV$67)</f>
        <v/>
      </c>
      <c r="AG72" s="5">
        <f>SUMPRODUCT(React!$C$69:$AG$69,Curves!$AR$21:$BV$21)+SUMPRODUCT(React!$C$70:$AG$70,Curves!$AR$44:$BV$44)+SUMPRODUCT(React!$C$71:$AG$71,Curves!$AR$67:$BV$67)</f>
        <v/>
      </c>
      <c r="AH72" s="5">
        <f>SUMPRODUCT(React!$C$69:$AH$69,Curves!$AQ$21:$BV$21)+SUMPRODUCT(React!$C$70:$AH$70,Curves!$AQ$44:$BV$44)+SUMPRODUCT(React!$C$71:$AH$71,Curves!$AQ$67:$BV$67)</f>
        <v/>
      </c>
      <c r="AI72" s="5">
        <f>SUMPRODUCT(React!$C$69:$AI$69,Curves!$AP$21:$BV$21)+SUMPRODUCT(React!$C$70:$AI$70,Curves!$AP$44:$BV$44)+SUMPRODUCT(React!$C$71:$AI$71,Curves!$AP$67:$BV$67)</f>
        <v/>
      </c>
      <c r="AJ72" s="5">
        <f>SUMPRODUCT(React!$C$69:$AJ$69,Curves!$AO$21:$BV$21)+SUMPRODUCT(React!$C$70:$AJ$70,Curves!$AO$44:$BV$44)+SUMPRODUCT(React!$C$71:$AJ$71,Curves!$AO$67:$BV$67)</f>
        <v/>
      </c>
      <c r="AK72" s="5">
        <f>SUMPRODUCT(React!$C$69:$AK$69,Curves!$AN$21:$BV$21)+SUMPRODUCT(React!$C$70:$AK$70,Curves!$AN$44:$BV$44)+SUMPRODUCT(React!$C$71:$AK$71,Curves!$AN$67:$BV$67)</f>
        <v/>
      </c>
      <c r="AL72" s="5">
        <f>SUMPRODUCT(React!$C$69:$AL$69,Curves!$AM$21:$BV$21)+SUMPRODUCT(React!$C$70:$AL$70,Curves!$AM$44:$BV$44)+SUMPRODUCT(React!$C$71:$AL$71,Curves!$AM$67:$BV$67)</f>
        <v/>
      </c>
      <c r="AM72" s="5">
        <f>SUMPRODUCT(React!$C$69:$AM$69,Curves!$AL$21:$BV$21)+SUMPRODUCT(React!$C$70:$AM$70,Curves!$AL$44:$BV$44)+SUMPRODUCT(React!$C$71:$AM$71,Curves!$AL$67:$BV$67)</f>
        <v/>
      </c>
      <c r="AN72" s="5">
        <f>SUMPRODUCT(React!$C$69:$AN$69,Curves!$AK$21:$BV$21)+SUMPRODUCT(React!$C$70:$AN$70,Curves!$AK$44:$BV$44)+SUMPRODUCT(React!$C$71:$AN$71,Curves!$AK$67:$BV$67)</f>
        <v/>
      </c>
      <c r="AO72" s="5">
        <f>SUMPRODUCT(React!$C$69:$AO$69,Curves!$AJ$21:$BV$21)+SUMPRODUCT(React!$C$70:$AO$70,Curves!$AJ$44:$BV$44)+SUMPRODUCT(React!$C$71:$AO$71,Curves!$AJ$67:$BV$67)</f>
        <v/>
      </c>
      <c r="AP72" s="5">
        <f>SUMPRODUCT(React!$C$69:$AP$69,Curves!$AI$21:$BV$21)+SUMPRODUCT(React!$C$70:$AP$70,Curves!$AI$44:$BV$44)+SUMPRODUCT(React!$C$71:$AP$71,Curves!$AI$67:$BV$67)</f>
        <v/>
      </c>
      <c r="AQ72" s="5">
        <f>SUMPRODUCT(React!$C$69:$AQ$69,Curves!$AH$21:$BV$21)+SUMPRODUCT(React!$C$70:$AQ$70,Curves!$AH$44:$BV$44)+SUMPRODUCT(React!$C$71:$AQ$71,Curves!$AH$67:$BV$67)</f>
        <v/>
      </c>
      <c r="AR72" s="5">
        <f>SUMPRODUCT(React!$C$69:$AR$69,Curves!$AG$21:$BV$21)+SUMPRODUCT(React!$C$70:$AR$70,Curves!$AG$44:$BV$44)+SUMPRODUCT(React!$C$71:$AR$71,Curves!$AG$67:$BV$67)</f>
        <v/>
      </c>
      <c r="AS72" s="5">
        <f>SUMPRODUCT(React!$C$69:$AS$69,Curves!$AF$21:$BV$21)+SUMPRODUCT(React!$C$70:$AS$70,Curves!$AF$44:$BV$44)+SUMPRODUCT(React!$C$71:$AS$71,Curves!$AF$67:$BV$67)</f>
        <v/>
      </c>
      <c r="AT72" s="5">
        <f>SUMPRODUCT(React!$C$69:$AT$69,Curves!$AE$21:$BV$21)+SUMPRODUCT(React!$C$70:$AT$70,Curves!$AE$44:$BV$44)+SUMPRODUCT(React!$C$71:$AT$71,Curves!$AE$67:$BV$67)</f>
        <v/>
      </c>
      <c r="AU72" s="5">
        <f>SUMPRODUCT(React!$C$69:$AU$69,Curves!$AD$21:$BV$21)+SUMPRODUCT(React!$C$70:$AU$70,Curves!$AD$44:$BV$44)+SUMPRODUCT(React!$C$71:$AU$71,Curves!$AD$67:$BV$67)</f>
        <v/>
      </c>
      <c r="AV72" s="5">
        <f>SUMPRODUCT(React!$C$69:$AV$69,Curves!$AC$21:$BV$21)+SUMPRODUCT(React!$C$70:$AV$70,Curves!$AC$44:$BV$44)+SUMPRODUCT(React!$C$71:$AV$71,Curves!$AC$67:$BV$67)</f>
        <v/>
      </c>
      <c r="AW72" s="5">
        <f>SUMPRODUCT(React!$C$69:$AW$69,Curves!$AB$21:$BV$21)+SUMPRODUCT(React!$C$70:$AW$70,Curves!$AB$44:$BV$44)+SUMPRODUCT(React!$C$71:$AW$71,Curves!$AB$67:$BV$67)</f>
        <v/>
      </c>
      <c r="AX72" s="5">
        <f>SUMPRODUCT(React!$C$69:$AX$69,Curves!$AA$21:$BV$21)+SUMPRODUCT(React!$C$70:$AX$70,Curves!$AA$44:$BV$44)+SUMPRODUCT(React!$C$71:$AX$71,Curves!$AA$67:$BV$67)</f>
        <v/>
      </c>
      <c r="AY72" s="5">
        <f>SUMPRODUCT(React!$C$69:$AY$69,Curves!$Z$21:$BV$21)+SUMPRODUCT(React!$C$70:$AY$70,Curves!$Z$44:$BV$44)+SUMPRODUCT(React!$C$71:$AY$71,Curves!$Z$67:$BV$67)</f>
        <v/>
      </c>
      <c r="AZ72" s="5">
        <f>SUMPRODUCT(React!$C$69:$AZ$69,Curves!$Y$21:$BV$21)+SUMPRODUCT(React!$C$70:$AZ$70,Curves!$Y$44:$BV$44)+SUMPRODUCT(React!$C$71:$AZ$71,Curves!$Y$67:$BV$67)</f>
        <v/>
      </c>
      <c r="BA72" s="5">
        <f>SUMPRODUCT(React!$C$69:$BA$69,Curves!$X$21:$BV$21)+SUMPRODUCT(React!$C$70:$BA$70,Curves!$X$44:$BV$44)+SUMPRODUCT(React!$C$71:$BA$71,Curves!$X$67:$BV$67)</f>
        <v/>
      </c>
      <c r="BB72" s="5">
        <f>SUMPRODUCT(React!$C$69:$BB$69,Curves!$W$21:$BV$21)+SUMPRODUCT(React!$C$70:$BB$70,Curves!$W$44:$BV$44)+SUMPRODUCT(React!$C$71:$BB$71,Curves!$W$67:$BV$67)</f>
        <v/>
      </c>
      <c r="BC72" s="5">
        <f>SUMPRODUCT(React!$C$69:$BC$69,Curves!$V$21:$BV$21)+SUMPRODUCT(React!$C$70:$BC$70,Curves!$V$44:$BV$44)+SUMPRODUCT(React!$C$71:$BC$71,Curves!$V$67:$BV$67)</f>
        <v/>
      </c>
      <c r="BD72" s="5">
        <f>SUMPRODUCT(React!$C$69:$BD$69,Curves!$U$21:$BV$21)+SUMPRODUCT(React!$C$70:$BD$70,Curves!$U$44:$BV$44)+SUMPRODUCT(React!$C$71:$BD$71,Curves!$U$67:$BV$67)</f>
        <v/>
      </c>
      <c r="BE72" s="5">
        <f>SUMPRODUCT(React!$C$69:$BE$69,Curves!$T$21:$BV$21)+SUMPRODUCT(React!$C$70:$BE$70,Curves!$T$44:$BV$44)+SUMPRODUCT(React!$C$71:$BE$71,Curves!$T$67:$BV$67)</f>
        <v/>
      </c>
      <c r="BF72" s="5">
        <f>SUMPRODUCT(React!$C$69:$BF$69,Curves!$S$21:$BV$21)+SUMPRODUCT(React!$C$70:$BF$70,Curves!$S$44:$BV$44)+SUMPRODUCT(React!$C$71:$BF$71,Curves!$S$67:$BV$67)</f>
        <v/>
      </c>
      <c r="BG72" s="5">
        <f>SUMPRODUCT(React!$C$69:$BG$69,Curves!$R$21:$BV$21)+SUMPRODUCT(React!$C$70:$BG$70,Curves!$R$44:$BV$44)+SUMPRODUCT(React!$C$71:$BG$71,Curves!$R$67:$BV$67)</f>
        <v/>
      </c>
      <c r="BH72" s="5">
        <f>SUMPRODUCT(React!$C$69:$BH$69,Curves!$Q$21:$BV$21)+SUMPRODUCT(React!$C$70:$BH$70,Curves!$Q$44:$BV$44)+SUMPRODUCT(React!$C$71:$BH$71,Curves!$Q$67:$BV$67)</f>
        <v/>
      </c>
      <c r="BI72" s="5">
        <f>SUMPRODUCT(React!$C$69:$BI$69,Curves!$P$21:$BV$21)+SUMPRODUCT(React!$C$70:$BI$70,Curves!$P$44:$BV$44)+SUMPRODUCT(React!$C$71:$BI$71,Curves!$P$67:$BV$67)</f>
        <v/>
      </c>
      <c r="BJ72" s="5">
        <f>SUMPRODUCT(React!$C$69:$BJ$69,Curves!$O$21:$BV$21)+SUMPRODUCT(React!$C$70:$BJ$70,Curves!$O$44:$BV$44)+SUMPRODUCT(React!$C$71:$BJ$71,Curves!$O$67:$BV$67)</f>
        <v/>
      </c>
      <c r="BK72" s="5">
        <f>SUMPRODUCT(React!$C$69:$BK$69,Curves!$N$21:$BV$21)+SUMPRODUCT(React!$C$70:$BK$70,Curves!$N$44:$BV$44)+SUMPRODUCT(React!$C$71:$BK$71,Curves!$N$67:$BV$67)</f>
        <v/>
      </c>
      <c r="BL72" s="5">
        <f>SUMPRODUCT(React!$C$69:$BL$69,Curves!$M$21:$BV$21)+SUMPRODUCT(React!$C$70:$BL$70,Curves!$M$44:$BV$44)+SUMPRODUCT(React!$C$71:$BL$71,Curves!$M$67:$BV$67)</f>
        <v/>
      </c>
      <c r="BM72" s="5">
        <f>SUMPRODUCT(React!$C$69:$BM$69,Curves!$L$21:$BV$21)+SUMPRODUCT(React!$C$70:$BM$70,Curves!$L$44:$BV$44)+SUMPRODUCT(React!$C$71:$BM$71,Curves!$L$67:$BV$67)</f>
        <v/>
      </c>
      <c r="BN72" s="5">
        <f>SUMPRODUCT(React!$C$69:$BN$69,Curves!$K$21:$BV$21)+SUMPRODUCT(React!$C$70:$BN$70,Curves!$K$44:$BV$44)+SUMPRODUCT(React!$C$71:$BN$71,Curves!$K$67:$BV$67)</f>
        <v/>
      </c>
      <c r="BO72" s="5">
        <f>SUMPRODUCT(React!$C$69:$BO$69,Curves!$J$21:$BV$21)+SUMPRODUCT(React!$C$70:$BO$70,Curves!$J$44:$BV$44)+SUMPRODUCT(React!$C$71:$BO$71,Curves!$J$67:$BV$67)</f>
        <v/>
      </c>
      <c r="BP72" s="5">
        <f>SUMPRODUCT(React!$C$69:$BP$69,Curves!$I$21:$BV$21)+SUMPRODUCT(React!$C$70:$BP$70,Curves!$I$44:$BV$44)+SUMPRODUCT(React!$C$71:$BP$71,Curves!$I$67:$BV$67)</f>
        <v/>
      </c>
      <c r="BQ72" s="5">
        <f>SUMPRODUCT(React!$C$69:$BQ$69,Curves!$H$21:$BV$21)+SUMPRODUCT(React!$C$70:$BQ$70,Curves!$H$44:$BV$44)+SUMPRODUCT(React!$C$71:$BQ$71,Curves!$H$67:$BV$67)</f>
        <v/>
      </c>
      <c r="BR72" s="5">
        <f>SUMPRODUCT(React!$C$69:$BR$69,Curves!$G$21:$BV$21)+SUMPRODUCT(React!$C$70:$BR$70,Curves!$G$44:$BV$44)+SUMPRODUCT(React!$C$71:$BR$71,Curves!$G$67:$BV$67)</f>
        <v/>
      </c>
      <c r="BS72" s="5">
        <f>SUMPRODUCT(React!$C$69:$BS$69,Curves!$F$21:$BV$21)+SUMPRODUCT(React!$C$70:$BS$70,Curves!$F$44:$BV$44)+SUMPRODUCT(React!$C$71:$BS$71,Curves!$F$67:$BV$67)</f>
        <v/>
      </c>
      <c r="BT72" s="5">
        <f>SUMPRODUCT(React!$C$69:$BT$69,Curves!$E$21:$BV$21)+SUMPRODUCT(React!$C$70:$BT$70,Curves!$E$44:$BV$44)+SUMPRODUCT(React!$C$71:$BT$71,Curves!$E$67:$BV$67)</f>
        <v/>
      </c>
      <c r="BU72" s="5">
        <f>SUMPRODUCT(React!$C$69:$BU$69,Curves!$D$21:$BV$21)+SUMPRODUCT(React!$C$70:$BU$70,Curves!$D$44:$BV$44)+SUMPRODUCT(React!$C$71:$BU$71,Curves!$D$67:$BV$67)</f>
        <v/>
      </c>
      <c r="BV72" s="5">
        <f>SUMPRODUCT(React!$C$69:$BV$69,Curves!$C$21:$BV$21)+SUMPRODUCT(React!$C$70:$BV$70,Curves!$C$44:$BV$44)+SUMPRODUCT(React!$C$71:$BV$71,Curves!$C$67:$BV$67)</f>
        <v/>
      </c>
    </row>
    <row r="73">
      <c r="A73" t="inlineStr">
        <is>
          <t>reactivated in</t>
        </is>
      </c>
      <c r="B73" t="inlineStr">
        <is>
          <t>EUROPE|NITRO_A</t>
        </is>
      </c>
      <c r="C73" s="5">
        <f>0</f>
        <v/>
      </c>
      <c r="D73" s="5">
        <f>0</f>
        <v/>
      </c>
      <c r="E73" s="5">
        <f>0</f>
        <v/>
      </c>
      <c r="F73" s="5">
        <f>0</f>
        <v/>
      </c>
      <c r="G73" s="5">
        <f>0</f>
        <v/>
      </c>
      <c r="H73" s="5">
        <f>0</f>
        <v/>
      </c>
      <c r="I73" s="5">
        <f>0</f>
        <v/>
      </c>
      <c r="J73" s="5">
        <f>0</f>
        <v/>
      </c>
      <c r="K73" s="5">
        <f>0</f>
        <v/>
      </c>
      <c r="L73" s="5">
        <f>0</f>
        <v/>
      </c>
      <c r="M73" s="5">
        <f>0</f>
        <v/>
      </c>
      <c r="N73" s="5">
        <f>0</f>
        <v/>
      </c>
      <c r="O73" s="5">
        <f>0</f>
        <v/>
      </c>
      <c r="P73" s="5">
        <f>0</f>
        <v/>
      </c>
      <c r="Q73" s="5">
        <f>0</f>
        <v/>
      </c>
      <c r="R73" s="5">
        <f>0</f>
        <v/>
      </c>
      <c r="S73" s="5">
        <f>0</f>
        <v/>
      </c>
      <c r="T73" s="5">
        <f>0</f>
        <v/>
      </c>
      <c r="U73" s="5">
        <f>0</f>
        <v/>
      </c>
      <c r="V73" s="5">
        <f>0</f>
        <v/>
      </c>
      <c r="W73" s="5">
        <f>0</f>
        <v/>
      </c>
      <c r="X73" s="5">
        <f>0</f>
        <v/>
      </c>
      <c r="Y73" s="5">
        <f>0</f>
        <v/>
      </c>
      <c r="Z73" s="5">
        <f>0</f>
        <v/>
      </c>
      <c r="AA73" s="5">
        <f>0</f>
        <v/>
      </c>
      <c r="AB73" s="5">
        <f>0</f>
        <v/>
      </c>
      <c r="AC73" s="5">
        <f>0</f>
        <v/>
      </c>
      <c r="AD73" s="5">
        <f>0</f>
        <v/>
      </c>
      <c r="AE73" s="5">
        <f>0</f>
        <v/>
      </c>
      <c r="AF73" s="5">
        <f>0</f>
        <v/>
      </c>
      <c r="AG73" s="5">
        <f>0</f>
        <v/>
      </c>
      <c r="AH73" s="5">
        <f>0</f>
        <v/>
      </c>
      <c r="AI73" s="5">
        <f>0</f>
        <v/>
      </c>
      <c r="AJ73" s="5">
        <f>0</f>
        <v/>
      </c>
      <c r="AK73" s="5">
        <f>0</f>
        <v/>
      </c>
      <c r="AL73" s="5">
        <f>0</f>
        <v/>
      </c>
      <c r="AM73" s="5">
        <f>0</f>
        <v/>
      </c>
      <c r="AN73" s="5">
        <f>0</f>
        <v/>
      </c>
      <c r="AO73" s="5">
        <f>0</f>
        <v/>
      </c>
      <c r="AP73" s="5">
        <f>0</f>
        <v/>
      </c>
      <c r="AQ73" s="5">
        <f>0</f>
        <v/>
      </c>
      <c r="AR73" s="5">
        <f>0</f>
        <v/>
      </c>
      <c r="AS73" s="5">
        <f>0</f>
        <v/>
      </c>
      <c r="AT73" s="5">
        <f>0</f>
        <v/>
      </c>
      <c r="AU73" s="5">
        <f>0</f>
        <v/>
      </c>
      <c r="AV73" s="5">
        <f>0</f>
        <v/>
      </c>
      <c r="AW73" s="5">
        <f>0</f>
        <v/>
      </c>
      <c r="AX73" s="5">
        <f>0</f>
        <v/>
      </c>
      <c r="AY73" s="5">
        <f>0</f>
        <v/>
      </c>
      <c r="AZ73" s="5">
        <f>0</f>
        <v/>
      </c>
      <c r="BA73" s="5">
        <f>0</f>
        <v/>
      </c>
      <c r="BB73" s="5">
        <f>0</f>
        <v/>
      </c>
      <c r="BC73" s="5">
        <f>0</f>
        <v/>
      </c>
      <c r="BD73" s="5">
        <f>0</f>
        <v/>
      </c>
      <c r="BE73" s="5">
        <f>0</f>
        <v/>
      </c>
      <c r="BF73" s="5">
        <f>0</f>
        <v/>
      </c>
      <c r="BG73" s="5">
        <f>0</f>
        <v/>
      </c>
      <c r="BH73" s="5">
        <f>0</f>
        <v/>
      </c>
      <c r="BI73" s="5">
        <f>0</f>
        <v/>
      </c>
      <c r="BJ73" s="5">
        <f>0</f>
        <v/>
      </c>
      <c r="BK73" s="5">
        <f>0</f>
        <v/>
      </c>
      <c r="BL73" s="5">
        <f>0</f>
        <v/>
      </c>
      <c r="BM73" s="5">
        <f>0</f>
        <v/>
      </c>
      <c r="BN73" s="5">
        <f>0</f>
        <v/>
      </c>
      <c r="BO73" s="5">
        <f>0</f>
        <v/>
      </c>
      <c r="BP73" s="5">
        <f>0</f>
        <v/>
      </c>
      <c r="BQ73" s="5">
        <f>0</f>
        <v/>
      </c>
      <c r="BR73" s="5">
        <f>0</f>
        <v/>
      </c>
      <c r="BS73" s="5">
        <f>0</f>
        <v/>
      </c>
      <c r="BT73" s="5">
        <f>0</f>
        <v/>
      </c>
      <c r="BU73" s="5">
        <f>0</f>
        <v/>
      </c>
      <c r="BV73" s="5">
        <f>0</f>
        <v/>
      </c>
    </row>
    <row r="74">
      <c r="A74" t="inlineStr">
        <is>
          <t>reactivated in @0</t>
        </is>
      </c>
      <c r="B74" t="inlineStr">
        <is>
          <t>EUROPE|NITRO_A</t>
        </is>
      </c>
      <c r="C74" s="5">
        <f>C73*Eras!C$3</f>
        <v/>
      </c>
      <c r="D74" s="5">
        <f>D73*Eras!D$3</f>
        <v/>
      </c>
      <c r="E74" s="5">
        <f>E73*Eras!E$3</f>
        <v/>
      </c>
      <c r="F74" s="5">
        <f>F73*Eras!F$3</f>
        <v/>
      </c>
      <c r="G74" s="5">
        <f>G73*Eras!G$3</f>
        <v/>
      </c>
      <c r="H74" s="5">
        <f>H73*Eras!H$3</f>
        <v/>
      </c>
      <c r="I74" s="5">
        <f>I73*Eras!I$3</f>
        <v/>
      </c>
      <c r="J74" s="5">
        <f>J73*Eras!J$3</f>
        <v/>
      </c>
      <c r="K74" s="5">
        <f>K73*Eras!K$3</f>
        <v/>
      </c>
      <c r="L74" s="5">
        <f>L73*Eras!L$3</f>
        <v/>
      </c>
      <c r="M74" s="5">
        <f>M73*Eras!M$3</f>
        <v/>
      </c>
      <c r="N74" s="5">
        <f>N73*Eras!N$3</f>
        <v/>
      </c>
      <c r="O74" s="5">
        <f>O73*Eras!O$3</f>
        <v/>
      </c>
      <c r="P74" s="5">
        <f>P73*Eras!P$3</f>
        <v/>
      </c>
      <c r="Q74" s="5">
        <f>Q73*Eras!Q$3</f>
        <v/>
      </c>
      <c r="R74" s="5">
        <f>R73*Eras!R$3</f>
        <v/>
      </c>
      <c r="S74" s="5">
        <f>S73*Eras!S$3</f>
        <v/>
      </c>
      <c r="T74" s="5">
        <f>T73*Eras!T$3</f>
        <v/>
      </c>
      <c r="U74" s="5">
        <f>U73*Eras!U$3</f>
        <v/>
      </c>
      <c r="V74" s="5">
        <f>V73*Eras!V$3</f>
        <v/>
      </c>
      <c r="W74" s="5">
        <f>W73*Eras!W$3</f>
        <v/>
      </c>
      <c r="X74" s="5">
        <f>X73*Eras!X$3</f>
        <v/>
      </c>
      <c r="Y74" s="5">
        <f>Y73*Eras!Y$3</f>
        <v/>
      </c>
      <c r="Z74" s="5">
        <f>Z73*Eras!Z$3</f>
        <v/>
      </c>
      <c r="AA74" s="5">
        <f>AA73*Eras!AA$3</f>
        <v/>
      </c>
      <c r="AB74" s="5">
        <f>AB73*Eras!AB$3</f>
        <v/>
      </c>
      <c r="AC74" s="5">
        <f>AC73*Eras!AC$3</f>
        <v/>
      </c>
      <c r="AD74" s="5">
        <f>AD73*Eras!AD$3</f>
        <v/>
      </c>
      <c r="AE74" s="5">
        <f>AE73*Eras!AE$3</f>
        <v/>
      </c>
      <c r="AF74" s="5">
        <f>AF73*Eras!AF$3</f>
        <v/>
      </c>
      <c r="AG74" s="5">
        <f>AG73*Eras!AG$3</f>
        <v/>
      </c>
      <c r="AH74" s="5">
        <f>AH73*Eras!AH$3</f>
        <v/>
      </c>
      <c r="AI74" s="5">
        <f>AI73*Eras!AI$3</f>
        <v/>
      </c>
      <c r="AJ74" s="5">
        <f>AJ73*Eras!AJ$3</f>
        <v/>
      </c>
      <c r="AK74" s="5">
        <f>AK73*Eras!AK$3</f>
        <v/>
      </c>
      <c r="AL74" s="5">
        <f>AL73*Eras!AL$3</f>
        <v/>
      </c>
      <c r="AM74" s="5">
        <f>AM73*Eras!AM$3</f>
        <v/>
      </c>
      <c r="AN74" s="5">
        <f>AN73*Eras!AN$3</f>
        <v/>
      </c>
      <c r="AO74" s="5">
        <f>AO73*Eras!AO$3</f>
        <v/>
      </c>
      <c r="AP74" s="5">
        <f>AP73*Eras!AP$3</f>
        <v/>
      </c>
      <c r="AQ74" s="5">
        <f>AQ73*Eras!AQ$3</f>
        <v/>
      </c>
      <c r="AR74" s="5">
        <f>AR73*Eras!AR$3</f>
        <v/>
      </c>
      <c r="AS74" s="5">
        <f>AS73*Eras!AS$3</f>
        <v/>
      </c>
      <c r="AT74" s="5">
        <f>AT73*Eras!AT$3</f>
        <v/>
      </c>
      <c r="AU74" s="5">
        <f>AU73*Eras!AU$3</f>
        <v/>
      </c>
      <c r="AV74" s="5">
        <f>AV73*Eras!AV$3</f>
        <v/>
      </c>
      <c r="AW74" s="5">
        <f>AW73*Eras!AW$3</f>
        <v/>
      </c>
      <c r="AX74" s="5">
        <f>AX73*Eras!AX$3</f>
        <v/>
      </c>
      <c r="AY74" s="5">
        <f>AY73*Eras!AY$3</f>
        <v/>
      </c>
      <c r="AZ74" s="5">
        <f>AZ73*Eras!AZ$3</f>
        <v/>
      </c>
      <c r="BA74" s="5">
        <f>BA73*Eras!BA$3</f>
        <v/>
      </c>
      <c r="BB74" s="5">
        <f>BB73*Eras!BB$3</f>
        <v/>
      </c>
      <c r="BC74" s="5">
        <f>BC73*Eras!BC$3</f>
        <v/>
      </c>
      <c r="BD74" s="5">
        <f>BD73*Eras!BD$3</f>
        <v/>
      </c>
      <c r="BE74" s="5">
        <f>BE73*Eras!BE$3</f>
        <v/>
      </c>
      <c r="BF74" s="5">
        <f>BF73*Eras!BF$3</f>
        <v/>
      </c>
      <c r="BG74" s="5">
        <f>BG73*Eras!BG$3</f>
        <v/>
      </c>
      <c r="BH74" s="5">
        <f>BH73*Eras!BH$3</f>
        <v/>
      </c>
      <c r="BI74" s="5">
        <f>BI73*Eras!BI$3</f>
        <v/>
      </c>
      <c r="BJ74" s="5">
        <f>BJ73*Eras!BJ$3</f>
        <v/>
      </c>
      <c r="BK74" s="5">
        <f>BK73*Eras!BK$3</f>
        <v/>
      </c>
      <c r="BL74" s="5">
        <f>BL73*Eras!BL$3</f>
        <v/>
      </c>
      <c r="BM74" s="5">
        <f>BM73*Eras!BM$3</f>
        <v/>
      </c>
      <c r="BN74" s="5">
        <f>BN73*Eras!BN$3</f>
        <v/>
      </c>
      <c r="BO74" s="5">
        <f>BO73*Eras!BO$3</f>
        <v/>
      </c>
      <c r="BP74" s="5">
        <f>BP73*Eras!BP$3</f>
        <v/>
      </c>
      <c r="BQ74" s="5">
        <f>BQ73*Eras!BQ$3</f>
        <v/>
      </c>
      <c r="BR74" s="5">
        <f>BR73*Eras!BR$3</f>
        <v/>
      </c>
      <c r="BS74" s="5">
        <f>BS73*Eras!BS$3</f>
        <v/>
      </c>
      <c r="BT74" s="5">
        <f>BT73*Eras!BT$3</f>
        <v/>
      </c>
      <c r="BU74" s="5">
        <f>BU73*Eras!BU$3</f>
        <v/>
      </c>
      <c r="BV74" s="5">
        <f>BV73*Eras!BV$3</f>
        <v/>
      </c>
    </row>
    <row r="75">
      <c r="A75" t="inlineStr">
        <is>
          <t>reactivated in @1</t>
        </is>
      </c>
      <c r="B75" t="inlineStr">
        <is>
          <t>EUROPE|NITRO_A</t>
        </is>
      </c>
      <c r="C75" s="5">
        <f>C73*Eras!C$4</f>
        <v/>
      </c>
      <c r="D75" s="5">
        <f>D73*Eras!D$4</f>
        <v/>
      </c>
      <c r="E75" s="5">
        <f>E73*Eras!E$4</f>
        <v/>
      </c>
      <c r="F75" s="5">
        <f>F73*Eras!F$4</f>
        <v/>
      </c>
      <c r="G75" s="5">
        <f>G73*Eras!G$4</f>
        <v/>
      </c>
      <c r="H75" s="5">
        <f>H73*Eras!H$4</f>
        <v/>
      </c>
      <c r="I75" s="5">
        <f>I73*Eras!I$4</f>
        <v/>
      </c>
      <c r="J75" s="5">
        <f>J73*Eras!J$4</f>
        <v/>
      </c>
      <c r="K75" s="5">
        <f>K73*Eras!K$4</f>
        <v/>
      </c>
      <c r="L75" s="5">
        <f>L73*Eras!L$4</f>
        <v/>
      </c>
      <c r="M75" s="5">
        <f>M73*Eras!M$4</f>
        <v/>
      </c>
      <c r="N75" s="5">
        <f>N73*Eras!N$4</f>
        <v/>
      </c>
      <c r="O75" s="5">
        <f>O73*Eras!O$4</f>
        <v/>
      </c>
      <c r="P75" s="5">
        <f>P73*Eras!P$4</f>
        <v/>
      </c>
      <c r="Q75" s="5">
        <f>Q73*Eras!Q$4</f>
        <v/>
      </c>
      <c r="R75" s="5">
        <f>R73*Eras!R$4</f>
        <v/>
      </c>
      <c r="S75" s="5">
        <f>S73*Eras!S$4</f>
        <v/>
      </c>
      <c r="T75" s="5">
        <f>T73*Eras!T$4</f>
        <v/>
      </c>
      <c r="U75" s="5">
        <f>U73*Eras!U$4</f>
        <v/>
      </c>
      <c r="V75" s="5">
        <f>V73*Eras!V$4</f>
        <v/>
      </c>
      <c r="W75" s="5">
        <f>W73*Eras!W$4</f>
        <v/>
      </c>
      <c r="X75" s="5">
        <f>X73*Eras!X$4</f>
        <v/>
      </c>
      <c r="Y75" s="5">
        <f>Y73*Eras!Y$4</f>
        <v/>
      </c>
      <c r="Z75" s="5">
        <f>Z73*Eras!Z$4</f>
        <v/>
      </c>
      <c r="AA75" s="5">
        <f>AA73*Eras!AA$4</f>
        <v/>
      </c>
      <c r="AB75" s="5">
        <f>AB73*Eras!AB$4</f>
        <v/>
      </c>
      <c r="AC75" s="5">
        <f>AC73*Eras!AC$4</f>
        <v/>
      </c>
      <c r="AD75" s="5">
        <f>AD73*Eras!AD$4</f>
        <v/>
      </c>
      <c r="AE75" s="5">
        <f>AE73*Eras!AE$4</f>
        <v/>
      </c>
      <c r="AF75" s="5">
        <f>AF73*Eras!AF$4</f>
        <v/>
      </c>
      <c r="AG75" s="5">
        <f>AG73*Eras!AG$4</f>
        <v/>
      </c>
      <c r="AH75" s="5">
        <f>AH73*Eras!AH$4</f>
        <v/>
      </c>
      <c r="AI75" s="5">
        <f>AI73*Eras!AI$4</f>
        <v/>
      </c>
      <c r="AJ75" s="5">
        <f>AJ73*Eras!AJ$4</f>
        <v/>
      </c>
      <c r="AK75" s="5">
        <f>AK73*Eras!AK$4</f>
        <v/>
      </c>
      <c r="AL75" s="5">
        <f>AL73*Eras!AL$4</f>
        <v/>
      </c>
      <c r="AM75" s="5">
        <f>AM73*Eras!AM$4</f>
        <v/>
      </c>
      <c r="AN75" s="5">
        <f>AN73*Eras!AN$4</f>
        <v/>
      </c>
      <c r="AO75" s="5">
        <f>AO73*Eras!AO$4</f>
        <v/>
      </c>
      <c r="AP75" s="5">
        <f>AP73*Eras!AP$4</f>
        <v/>
      </c>
      <c r="AQ75" s="5">
        <f>AQ73*Eras!AQ$4</f>
        <v/>
      </c>
      <c r="AR75" s="5">
        <f>AR73*Eras!AR$4</f>
        <v/>
      </c>
      <c r="AS75" s="5">
        <f>AS73*Eras!AS$4</f>
        <v/>
      </c>
      <c r="AT75" s="5">
        <f>AT73*Eras!AT$4</f>
        <v/>
      </c>
      <c r="AU75" s="5">
        <f>AU73*Eras!AU$4</f>
        <v/>
      </c>
      <c r="AV75" s="5">
        <f>AV73*Eras!AV$4</f>
        <v/>
      </c>
      <c r="AW75" s="5">
        <f>AW73*Eras!AW$4</f>
        <v/>
      </c>
      <c r="AX75" s="5">
        <f>AX73*Eras!AX$4</f>
        <v/>
      </c>
      <c r="AY75" s="5">
        <f>AY73*Eras!AY$4</f>
        <v/>
      </c>
      <c r="AZ75" s="5">
        <f>AZ73*Eras!AZ$4</f>
        <v/>
      </c>
      <c r="BA75" s="5">
        <f>BA73*Eras!BA$4</f>
        <v/>
      </c>
      <c r="BB75" s="5">
        <f>BB73*Eras!BB$4</f>
        <v/>
      </c>
      <c r="BC75" s="5">
        <f>BC73*Eras!BC$4</f>
        <v/>
      </c>
      <c r="BD75" s="5">
        <f>BD73*Eras!BD$4</f>
        <v/>
      </c>
      <c r="BE75" s="5">
        <f>BE73*Eras!BE$4</f>
        <v/>
      </c>
      <c r="BF75" s="5">
        <f>BF73*Eras!BF$4</f>
        <v/>
      </c>
      <c r="BG75" s="5">
        <f>BG73*Eras!BG$4</f>
        <v/>
      </c>
      <c r="BH75" s="5">
        <f>BH73*Eras!BH$4</f>
        <v/>
      </c>
      <c r="BI75" s="5">
        <f>BI73*Eras!BI$4</f>
        <v/>
      </c>
      <c r="BJ75" s="5">
        <f>BJ73*Eras!BJ$4</f>
        <v/>
      </c>
      <c r="BK75" s="5">
        <f>BK73*Eras!BK$4</f>
        <v/>
      </c>
      <c r="BL75" s="5">
        <f>BL73*Eras!BL$4</f>
        <v/>
      </c>
      <c r="BM75" s="5">
        <f>BM73*Eras!BM$4</f>
        <v/>
      </c>
      <c r="BN75" s="5">
        <f>BN73*Eras!BN$4</f>
        <v/>
      </c>
      <c r="BO75" s="5">
        <f>BO73*Eras!BO$4</f>
        <v/>
      </c>
      <c r="BP75" s="5">
        <f>BP73*Eras!BP$4</f>
        <v/>
      </c>
      <c r="BQ75" s="5">
        <f>BQ73*Eras!BQ$4</f>
        <v/>
      </c>
      <c r="BR75" s="5">
        <f>BR73*Eras!BR$4</f>
        <v/>
      </c>
      <c r="BS75" s="5">
        <f>BS73*Eras!BS$4</f>
        <v/>
      </c>
      <c r="BT75" s="5">
        <f>BT73*Eras!BT$4</f>
        <v/>
      </c>
      <c r="BU75" s="5">
        <f>BU73*Eras!BU$4</f>
        <v/>
      </c>
      <c r="BV75" s="5">
        <f>BV73*Eras!BV$4</f>
        <v/>
      </c>
    </row>
    <row r="76">
      <c r="A76" t="inlineStr">
        <is>
          <t>reactivated in @2</t>
        </is>
      </c>
      <c r="B76" t="inlineStr">
        <is>
          <t>EUROPE|NITRO_A</t>
        </is>
      </c>
      <c r="C76" s="5">
        <f>C73*Eras!C$5</f>
        <v/>
      </c>
      <c r="D76" s="5">
        <f>D73*Eras!D$5</f>
        <v/>
      </c>
      <c r="E76" s="5">
        <f>E73*Eras!E$5</f>
        <v/>
      </c>
      <c r="F76" s="5">
        <f>F73*Eras!F$5</f>
        <v/>
      </c>
      <c r="G76" s="5">
        <f>G73*Eras!G$5</f>
        <v/>
      </c>
      <c r="H76" s="5">
        <f>H73*Eras!H$5</f>
        <v/>
      </c>
      <c r="I76" s="5">
        <f>I73*Eras!I$5</f>
        <v/>
      </c>
      <c r="J76" s="5">
        <f>J73*Eras!J$5</f>
        <v/>
      </c>
      <c r="K76" s="5">
        <f>K73*Eras!K$5</f>
        <v/>
      </c>
      <c r="L76" s="5">
        <f>L73*Eras!L$5</f>
        <v/>
      </c>
      <c r="M76" s="5">
        <f>M73*Eras!M$5</f>
        <v/>
      </c>
      <c r="N76" s="5">
        <f>N73*Eras!N$5</f>
        <v/>
      </c>
      <c r="O76" s="5">
        <f>O73*Eras!O$5</f>
        <v/>
      </c>
      <c r="P76" s="5">
        <f>P73*Eras!P$5</f>
        <v/>
      </c>
      <c r="Q76" s="5">
        <f>Q73*Eras!Q$5</f>
        <v/>
      </c>
      <c r="R76" s="5">
        <f>R73*Eras!R$5</f>
        <v/>
      </c>
      <c r="S76" s="5">
        <f>S73*Eras!S$5</f>
        <v/>
      </c>
      <c r="T76" s="5">
        <f>T73*Eras!T$5</f>
        <v/>
      </c>
      <c r="U76" s="5">
        <f>U73*Eras!U$5</f>
        <v/>
      </c>
      <c r="V76" s="5">
        <f>V73*Eras!V$5</f>
        <v/>
      </c>
      <c r="W76" s="5">
        <f>W73*Eras!W$5</f>
        <v/>
      </c>
      <c r="X76" s="5">
        <f>X73*Eras!X$5</f>
        <v/>
      </c>
      <c r="Y76" s="5">
        <f>Y73*Eras!Y$5</f>
        <v/>
      </c>
      <c r="Z76" s="5">
        <f>Z73*Eras!Z$5</f>
        <v/>
      </c>
      <c r="AA76" s="5">
        <f>AA73*Eras!AA$5</f>
        <v/>
      </c>
      <c r="AB76" s="5">
        <f>AB73*Eras!AB$5</f>
        <v/>
      </c>
      <c r="AC76" s="5">
        <f>AC73*Eras!AC$5</f>
        <v/>
      </c>
      <c r="AD76" s="5">
        <f>AD73*Eras!AD$5</f>
        <v/>
      </c>
      <c r="AE76" s="5">
        <f>AE73*Eras!AE$5</f>
        <v/>
      </c>
      <c r="AF76" s="5">
        <f>AF73*Eras!AF$5</f>
        <v/>
      </c>
      <c r="AG76" s="5">
        <f>AG73*Eras!AG$5</f>
        <v/>
      </c>
      <c r="AH76" s="5">
        <f>AH73*Eras!AH$5</f>
        <v/>
      </c>
      <c r="AI76" s="5">
        <f>AI73*Eras!AI$5</f>
        <v/>
      </c>
      <c r="AJ76" s="5">
        <f>AJ73*Eras!AJ$5</f>
        <v/>
      </c>
      <c r="AK76" s="5">
        <f>AK73*Eras!AK$5</f>
        <v/>
      </c>
      <c r="AL76" s="5">
        <f>AL73*Eras!AL$5</f>
        <v/>
      </c>
      <c r="AM76" s="5">
        <f>AM73*Eras!AM$5</f>
        <v/>
      </c>
      <c r="AN76" s="5">
        <f>AN73*Eras!AN$5</f>
        <v/>
      </c>
      <c r="AO76" s="5">
        <f>AO73*Eras!AO$5</f>
        <v/>
      </c>
      <c r="AP76" s="5">
        <f>AP73*Eras!AP$5</f>
        <v/>
      </c>
      <c r="AQ76" s="5">
        <f>AQ73*Eras!AQ$5</f>
        <v/>
      </c>
      <c r="AR76" s="5">
        <f>AR73*Eras!AR$5</f>
        <v/>
      </c>
      <c r="AS76" s="5">
        <f>AS73*Eras!AS$5</f>
        <v/>
      </c>
      <c r="AT76" s="5">
        <f>AT73*Eras!AT$5</f>
        <v/>
      </c>
      <c r="AU76" s="5">
        <f>AU73*Eras!AU$5</f>
        <v/>
      </c>
      <c r="AV76" s="5">
        <f>AV73*Eras!AV$5</f>
        <v/>
      </c>
      <c r="AW76" s="5">
        <f>AW73*Eras!AW$5</f>
        <v/>
      </c>
      <c r="AX76" s="5">
        <f>AX73*Eras!AX$5</f>
        <v/>
      </c>
      <c r="AY76" s="5">
        <f>AY73*Eras!AY$5</f>
        <v/>
      </c>
      <c r="AZ76" s="5">
        <f>AZ73*Eras!AZ$5</f>
        <v/>
      </c>
      <c r="BA76" s="5">
        <f>BA73*Eras!BA$5</f>
        <v/>
      </c>
      <c r="BB76" s="5">
        <f>BB73*Eras!BB$5</f>
        <v/>
      </c>
      <c r="BC76" s="5">
        <f>BC73*Eras!BC$5</f>
        <v/>
      </c>
      <c r="BD76" s="5">
        <f>BD73*Eras!BD$5</f>
        <v/>
      </c>
      <c r="BE76" s="5">
        <f>BE73*Eras!BE$5</f>
        <v/>
      </c>
      <c r="BF76" s="5">
        <f>BF73*Eras!BF$5</f>
        <v/>
      </c>
      <c r="BG76" s="5">
        <f>BG73*Eras!BG$5</f>
        <v/>
      </c>
      <c r="BH76" s="5">
        <f>BH73*Eras!BH$5</f>
        <v/>
      </c>
      <c r="BI76" s="5">
        <f>BI73*Eras!BI$5</f>
        <v/>
      </c>
      <c r="BJ76" s="5">
        <f>BJ73*Eras!BJ$5</f>
        <v/>
      </c>
      <c r="BK76" s="5">
        <f>BK73*Eras!BK$5</f>
        <v/>
      </c>
      <c r="BL76" s="5">
        <f>BL73*Eras!BL$5</f>
        <v/>
      </c>
      <c r="BM76" s="5">
        <f>BM73*Eras!BM$5</f>
        <v/>
      </c>
      <c r="BN76" s="5">
        <f>BN73*Eras!BN$5</f>
        <v/>
      </c>
      <c r="BO76" s="5">
        <f>BO73*Eras!BO$5</f>
        <v/>
      </c>
      <c r="BP76" s="5">
        <f>BP73*Eras!BP$5</f>
        <v/>
      </c>
      <c r="BQ76" s="5">
        <f>BQ73*Eras!BQ$5</f>
        <v/>
      </c>
      <c r="BR76" s="5">
        <f>BR73*Eras!BR$5</f>
        <v/>
      </c>
      <c r="BS76" s="5">
        <f>BS73*Eras!BS$5</f>
        <v/>
      </c>
      <c r="BT76" s="5">
        <f>BT73*Eras!BT$5</f>
        <v/>
      </c>
      <c r="BU76" s="5">
        <f>BU73*Eras!BU$5</f>
        <v/>
      </c>
      <c r="BV76" s="5">
        <f>BV73*Eras!BV$5</f>
        <v/>
      </c>
    </row>
    <row r="77">
      <c r="A77" t="inlineStr">
        <is>
          <t>active</t>
        </is>
      </c>
      <c r="B77" t="inlineStr">
        <is>
          <t>EUROPE|NITRO_A</t>
        </is>
      </c>
      <c r="C77" s="5">
        <f>React!$C$74*Curves!$BV$19+React!$C$75*Curves!$BV$42+React!$C$76*Curves!$BV$65</f>
        <v/>
      </c>
      <c r="D77" s="5">
        <f>SUMPRODUCT(React!$C$74:$D$74,Curves!$BU$19:$BV$19)+SUMPRODUCT(React!$C$75:$D$75,Curves!$BU$42:$BV$42)+SUMPRODUCT(React!$C$76:$D$76,Curves!$BU$65:$BV$65)</f>
        <v/>
      </c>
      <c r="E77" s="5">
        <f>SUMPRODUCT(React!$C$74:$E$74,Curves!$BT$19:$BV$19)+SUMPRODUCT(React!$C$75:$E$75,Curves!$BT$42:$BV$42)+SUMPRODUCT(React!$C$76:$E$76,Curves!$BT$65:$BV$65)</f>
        <v/>
      </c>
      <c r="F77" s="5">
        <f>SUMPRODUCT(React!$C$74:$F$74,Curves!$BS$19:$BV$19)+SUMPRODUCT(React!$C$75:$F$75,Curves!$BS$42:$BV$42)+SUMPRODUCT(React!$C$76:$F$76,Curves!$BS$65:$BV$65)</f>
        <v/>
      </c>
      <c r="G77" s="5">
        <f>SUMPRODUCT(React!$C$74:$G$74,Curves!$BR$19:$BV$19)+SUMPRODUCT(React!$C$75:$G$75,Curves!$BR$42:$BV$42)+SUMPRODUCT(React!$C$76:$G$76,Curves!$BR$65:$BV$65)</f>
        <v/>
      </c>
      <c r="H77" s="5">
        <f>SUMPRODUCT(React!$C$74:$H$74,Curves!$BQ$19:$BV$19)+SUMPRODUCT(React!$C$75:$H$75,Curves!$BQ$42:$BV$42)+SUMPRODUCT(React!$C$76:$H$76,Curves!$BQ$65:$BV$65)</f>
        <v/>
      </c>
      <c r="I77" s="5">
        <f>SUMPRODUCT(React!$C$74:$I$74,Curves!$BP$19:$BV$19)+SUMPRODUCT(React!$C$75:$I$75,Curves!$BP$42:$BV$42)+SUMPRODUCT(React!$C$76:$I$76,Curves!$BP$65:$BV$65)</f>
        <v/>
      </c>
      <c r="J77" s="5">
        <f>SUMPRODUCT(React!$C$74:$J$74,Curves!$BO$19:$BV$19)+SUMPRODUCT(React!$C$75:$J$75,Curves!$BO$42:$BV$42)+SUMPRODUCT(React!$C$76:$J$76,Curves!$BO$65:$BV$65)</f>
        <v/>
      </c>
      <c r="K77" s="5">
        <f>SUMPRODUCT(React!$C$74:$K$74,Curves!$BN$19:$BV$19)+SUMPRODUCT(React!$C$75:$K$75,Curves!$BN$42:$BV$42)+SUMPRODUCT(React!$C$76:$K$76,Curves!$BN$65:$BV$65)</f>
        <v/>
      </c>
      <c r="L77" s="5">
        <f>SUMPRODUCT(React!$C$74:$L$74,Curves!$BM$19:$BV$19)+SUMPRODUCT(React!$C$75:$L$75,Curves!$BM$42:$BV$42)+SUMPRODUCT(React!$C$76:$L$76,Curves!$BM$65:$BV$65)</f>
        <v/>
      </c>
      <c r="M77" s="5">
        <f>SUMPRODUCT(React!$C$74:$M$74,Curves!$BL$19:$BV$19)+SUMPRODUCT(React!$C$75:$M$75,Curves!$BL$42:$BV$42)+SUMPRODUCT(React!$C$76:$M$76,Curves!$BL$65:$BV$65)</f>
        <v/>
      </c>
      <c r="N77" s="5">
        <f>SUMPRODUCT(React!$C$74:$N$74,Curves!$BK$19:$BV$19)+SUMPRODUCT(React!$C$75:$N$75,Curves!$BK$42:$BV$42)+SUMPRODUCT(React!$C$76:$N$76,Curves!$BK$65:$BV$65)</f>
        <v/>
      </c>
      <c r="O77" s="5">
        <f>SUMPRODUCT(React!$C$74:$O$74,Curves!$BJ$19:$BV$19)+SUMPRODUCT(React!$C$75:$O$75,Curves!$BJ$42:$BV$42)+SUMPRODUCT(React!$C$76:$O$76,Curves!$BJ$65:$BV$65)</f>
        <v/>
      </c>
      <c r="P77" s="5">
        <f>SUMPRODUCT(React!$C$74:$P$74,Curves!$BI$19:$BV$19)+SUMPRODUCT(React!$C$75:$P$75,Curves!$BI$42:$BV$42)+SUMPRODUCT(React!$C$76:$P$76,Curves!$BI$65:$BV$65)</f>
        <v/>
      </c>
      <c r="Q77" s="5">
        <f>SUMPRODUCT(React!$C$74:$Q$74,Curves!$BH$19:$BV$19)+SUMPRODUCT(React!$C$75:$Q$75,Curves!$BH$42:$BV$42)+SUMPRODUCT(React!$C$76:$Q$76,Curves!$BH$65:$BV$65)</f>
        <v/>
      </c>
      <c r="R77" s="5">
        <f>SUMPRODUCT(React!$C$74:$R$74,Curves!$BG$19:$BV$19)+SUMPRODUCT(React!$C$75:$R$75,Curves!$BG$42:$BV$42)+SUMPRODUCT(React!$C$76:$R$76,Curves!$BG$65:$BV$65)</f>
        <v/>
      </c>
      <c r="S77" s="5">
        <f>SUMPRODUCT(React!$C$74:$S$74,Curves!$BF$19:$BV$19)+SUMPRODUCT(React!$C$75:$S$75,Curves!$BF$42:$BV$42)+SUMPRODUCT(React!$C$76:$S$76,Curves!$BF$65:$BV$65)</f>
        <v/>
      </c>
      <c r="T77" s="5">
        <f>SUMPRODUCT(React!$C$74:$T$74,Curves!$BE$19:$BV$19)+SUMPRODUCT(React!$C$75:$T$75,Curves!$BE$42:$BV$42)+SUMPRODUCT(React!$C$76:$T$76,Curves!$BE$65:$BV$65)</f>
        <v/>
      </c>
      <c r="U77" s="5">
        <f>SUMPRODUCT(React!$C$74:$U$74,Curves!$BD$19:$BV$19)+SUMPRODUCT(React!$C$75:$U$75,Curves!$BD$42:$BV$42)+SUMPRODUCT(React!$C$76:$U$76,Curves!$BD$65:$BV$65)</f>
        <v/>
      </c>
      <c r="V77" s="5">
        <f>SUMPRODUCT(React!$C$74:$V$74,Curves!$BC$19:$BV$19)+SUMPRODUCT(React!$C$75:$V$75,Curves!$BC$42:$BV$42)+SUMPRODUCT(React!$C$76:$V$76,Curves!$BC$65:$BV$65)</f>
        <v/>
      </c>
      <c r="W77" s="5">
        <f>SUMPRODUCT(React!$C$74:$W$74,Curves!$BB$19:$BV$19)+SUMPRODUCT(React!$C$75:$W$75,Curves!$BB$42:$BV$42)+SUMPRODUCT(React!$C$76:$W$76,Curves!$BB$65:$BV$65)</f>
        <v/>
      </c>
      <c r="X77" s="5">
        <f>SUMPRODUCT(React!$C$74:$X$74,Curves!$BA$19:$BV$19)+SUMPRODUCT(React!$C$75:$X$75,Curves!$BA$42:$BV$42)+SUMPRODUCT(React!$C$76:$X$76,Curves!$BA$65:$BV$65)</f>
        <v/>
      </c>
      <c r="Y77" s="5">
        <f>SUMPRODUCT(React!$C$74:$Y$74,Curves!$AZ$19:$BV$19)+SUMPRODUCT(React!$C$75:$Y$75,Curves!$AZ$42:$BV$42)+SUMPRODUCT(React!$C$76:$Y$76,Curves!$AZ$65:$BV$65)</f>
        <v/>
      </c>
      <c r="Z77" s="5">
        <f>SUMPRODUCT(React!$C$74:$Z$74,Curves!$AY$19:$BV$19)+SUMPRODUCT(React!$C$75:$Z$75,Curves!$AY$42:$BV$42)+SUMPRODUCT(React!$C$76:$Z$76,Curves!$AY$65:$BV$65)</f>
        <v/>
      </c>
      <c r="AA77" s="5">
        <f>SUMPRODUCT(React!$C$74:$AA$74,Curves!$AX$19:$BV$19)+SUMPRODUCT(React!$C$75:$AA$75,Curves!$AX$42:$BV$42)+SUMPRODUCT(React!$C$76:$AA$76,Curves!$AX$65:$BV$65)</f>
        <v/>
      </c>
      <c r="AB77" s="5">
        <f>SUMPRODUCT(React!$C$74:$AB$74,Curves!$AW$19:$BV$19)+SUMPRODUCT(React!$C$75:$AB$75,Curves!$AW$42:$BV$42)+SUMPRODUCT(React!$C$76:$AB$76,Curves!$AW$65:$BV$65)</f>
        <v/>
      </c>
      <c r="AC77" s="5">
        <f>SUMPRODUCT(React!$C$74:$AC$74,Curves!$AV$19:$BV$19)+SUMPRODUCT(React!$C$75:$AC$75,Curves!$AV$42:$BV$42)+SUMPRODUCT(React!$C$76:$AC$76,Curves!$AV$65:$BV$65)</f>
        <v/>
      </c>
      <c r="AD77" s="5">
        <f>SUMPRODUCT(React!$C$74:$AD$74,Curves!$AU$19:$BV$19)+SUMPRODUCT(React!$C$75:$AD$75,Curves!$AU$42:$BV$42)+SUMPRODUCT(React!$C$76:$AD$76,Curves!$AU$65:$BV$65)</f>
        <v/>
      </c>
      <c r="AE77" s="5">
        <f>SUMPRODUCT(React!$C$74:$AE$74,Curves!$AT$19:$BV$19)+SUMPRODUCT(React!$C$75:$AE$75,Curves!$AT$42:$BV$42)+SUMPRODUCT(React!$C$76:$AE$76,Curves!$AT$65:$BV$65)</f>
        <v/>
      </c>
      <c r="AF77" s="5">
        <f>SUMPRODUCT(React!$C$74:$AF$74,Curves!$AS$19:$BV$19)+SUMPRODUCT(React!$C$75:$AF$75,Curves!$AS$42:$BV$42)+SUMPRODUCT(React!$C$76:$AF$76,Curves!$AS$65:$BV$65)</f>
        <v/>
      </c>
      <c r="AG77" s="5">
        <f>SUMPRODUCT(React!$C$74:$AG$74,Curves!$AR$19:$BV$19)+SUMPRODUCT(React!$C$75:$AG$75,Curves!$AR$42:$BV$42)+SUMPRODUCT(React!$C$76:$AG$76,Curves!$AR$65:$BV$65)</f>
        <v/>
      </c>
      <c r="AH77" s="5">
        <f>SUMPRODUCT(React!$C$74:$AH$74,Curves!$AQ$19:$BV$19)+SUMPRODUCT(React!$C$75:$AH$75,Curves!$AQ$42:$BV$42)+SUMPRODUCT(React!$C$76:$AH$76,Curves!$AQ$65:$BV$65)</f>
        <v/>
      </c>
      <c r="AI77" s="5">
        <f>SUMPRODUCT(React!$C$74:$AI$74,Curves!$AP$19:$BV$19)+SUMPRODUCT(React!$C$75:$AI$75,Curves!$AP$42:$BV$42)+SUMPRODUCT(React!$C$76:$AI$76,Curves!$AP$65:$BV$65)</f>
        <v/>
      </c>
      <c r="AJ77" s="5">
        <f>SUMPRODUCT(React!$C$74:$AJ$74,Curves!$AO$19:$BV$19)+SUMPRODUCT(React!$C$75:$AJ$75,Curves!$AO$42:$BV$42)+SUMPRODUCT(React!$C$76:$AJ$76,Curves!$AO$65:$BV$65)</f>
        <v/>
      </c>
      <c r="AK77" s="5">
        <f>SUMPRODUCT(React!$C$74:$AK$74,Curves!$AN$19:$BV$19)+SUMPRODUCT(React!$C$75:$AK$75,Curves!$AN$42:$BV$42)+SUMPRODUCT(React!$C$76:$AK$76,Curves!$AN$65:$BV$65)</f>
        <v/>
      </c>
      <c r="AL77" s="5">
        <f>SUMPRODUCT(React!$C$74:$AL$74,Curves!$AM$19:$BV$19)+SUMPRODUCT(React!$C$75:$AL$75,Curves!$AM$42:$BV$42)+SUMPRODUCT(React!$C$76:$AL$76,Curves!$AM$65:$BV$65)</f>
        <v/>
      </c>
      <c r="AM77" s="5">
        <f>SUMPRODUCT(React!$C$74:$AM$74,Curves!$AL$19:$BV$19)+SUMPRODUCT(React!$C$75:$AM$75,Curves!$AL$42:$BV$42)+SUMPRODUCT(React!$C$76:$AM$76,Curves!$AL$65:$BV$65)</f>
        <v/>
      </c>
      <c r="AN77" s="5">
        <f>SUMPRODUCT(React!$C$74:$AN$74,Curves!$AK$19:$BV$19)+SUMPRODUCT(React!$C$75:$AN$75,Curves!$AK$42:$BV$42)+SUMPRODUCT(React!$C$76:$AN$76,Curves!$AK$65:$BV$65)</f>
        <v/>
      </c>
      <c r="AO77" s="5">
        <f>SUMPRODUCT(React!$C$74:$AO$74,Curves!$AJ$19:$BV$19)+SUMPRODUCT(React!$C$75:$AO$75,Curves!$AJ$42:$BV$42)+SUMPRODUCT(React!$C$76:$AO$76,Curves!$AJ$65:$BV$65)</f>
        <v/>
      </c>
      <c r="AP77" s="5">
        <f>SUMPRODUCT(React!$C$74:$AP$74,Curves!$AI$19:$BV$19)+SUMPRODUCT(React!$C$75:$AP$75,Curves!$AI$42:$BV$42)+SUMPRODUCT(React!$C$76:$AP$76,Curves!$AI$65:$BV$65)</f>
        <v/>
      </c>
      <c r="AQ77" s="5">
        <f>SUMPRODUCT(React!$C$74:$AQ$74,Curves!$AH$19:$BV$19)+SUMPRODUCT(React!$C$75:$AQ$75,Curves!$AH$42:$BV$42)+SUMPRODUCT(React!$C$76:$AQ$76,Curves!$AH$65:$BV$65)</f>
        <v/>
      </c>
      <c r="AR77" s="5">
        <f>SUMPRODUCT(React!$C$74:$AR$74,Curves!$AG$19:$BV$19)+SUMPRODUCT(React!$C$75:$AR$75,Curves!$AG$42:$BV$42)+SUMPRODUCT(React!$C$76:$AR$76,Curves!$AG$65:$BV$65)</f>
        <v/>
      </c>
      <c r="AS77" s="5">
        <f>SUMPRODUCT(React!$C$74:$AS$74,Curves!$AF$19:$BV$19)+SUMPRODUCT(React!$C$75:$AS$75,Curves!$AF$42:$BV$42)+SUMPRODUCT(React!$C$76:$AS$76,Curves!$AF$65:$BV$65)</f>
        <v/>
      </c>
      <c r="AT77" s="5">
        <f>SUMPRODUCT(React!$C$74:$AT$74,Curves!$AE$19:$BV$19)+SUMPRODUCT(React!$C$75:$AT$75,Curves!$AE$42:$BV$42)+SUMPRODUCT(React!$C$76:$AT$76,Curves!$AE$65:$BV$65)</f>
        <v/>
      </c>
      <c r="AU77" s="5">
        <f>SUMPRODUCT(React!$C$74:$AU$74,Curves!$AD$19:$BV$19)+SUMPRODUCT(React!$C$75:$AU$75,Curves!$AD$42:$BV$42)+SUMPRODUCT(React!$C$76:$AU$76,Curves!$AD$65:$BV$65)</f>
        <v/>
      </c>
      <c r="AV77" s="5">
        <f>SUMPRODUCT(React!$C$74:$AV$74,Curves!$AC$19:$BV$19)+SUMPRODUCT(React!$C$75:$AV$75,Curves!$AC$42:$BV$42)+SUMPRODUCT(React!$C$76:$AV$76,Curves!$AC$65:$BV$65)</f>
        <v/>
      </c>
      <c r="AW77" s="5">
        <f>SUMPRODUCT(React!$C$74:$AW$74,Curves!$AB$19:$BV$19)+SUMPRODUCT(React!$C$75:$AW$75,Curves!$AB$42:$BV$42)+SUMPRODUCT(React!$C$76:$AW$76,Curves!$AB$65:$BV$65)</f>
        <v/>
      </c>
      <c r="AX77" s="5">
        <f>SUMPRODUCT(React!$C$74:$AX$74,Curves!$AA$19:$BV$19)+SUMPRODUCT(React!$C$75:$AX$75,Curves!$AA$42:$BV$42)+SUMPRODUCT(React!$C$76:$AX$76,Curves!$AA$65:$BV$65)</f>
        <v/>
      </c>
      <c r="AY77" s="5">
        <f>SUMPRODUCT(React!$C$74:$AY$74,Curves!$Z$19:$BV$19)+SUMPRODUCT(React!$C$75:$AY$75,Curves!$Z$42:$BV$42)+SUMPRODUCT(React!$C$76:$AY$76,Curves!$Z$65:$BV$65)</f>
        <v/>
      </c>
      <c r="AZ77" s="5">
        <f>SUMPRODUCT(React!$C$74:$AZ$74,Curves!$Y$19:$BV$19)+SUMPRODUCT(React!$C$75:$AZ$75,Curves!$Y$42:$BV$42)+SUMPRODUCT(React!$C$76:$AZ$76,Curves!$Y$65:$BV$65)</f>
        <v/>
      </c>
      <c r="BA77" s="5">
        <f>SUMPRODUCT(React!$C$74:$BA$74,Curves!$X$19:$BV$19)+SUMPRODUCT(React!$C$75:$BA$75,Curves!$X$42:$BV$42)+SUMPRODUCT(React!$C$76:$BA$76,Curves!$X$65:$BV$65)</f>
        <v/>
      </c>
      <c r="BB77" s="5">
        <f>SUMPRODUCT(React!$C$74:$BB$74,Curves!$W$19:$BV$19)+SUMPRODUCT(React!$C$75:$BB$75,Curves!$W$42:$BV$42)+SUMPRODUCT(React!$C$76:$BB$76,Curves!$W$65:$BV$65)</f>
        <v/>
      </c>
      <c r="BC77" s="5">
        <f>SUMPRODUCT(React!$C$74:$BC$74,Curves!$V$19:$BV$19)+SUMPRODUCT(React!$C$75:$BC$75,Curves!$V$42:$BV$42)+SUMPRODUCT(React!$C$76:$BC$76,Curves!$V$65:$BV$65)</f>
        <v/>
      </c>
      <c r="BD77" s="5">
        <f>SUMPRODUCT(React!$C$74:$BD$74,Curves!$U$19:$BV$19)+SUMPRODUCT(React!$C$75:$BD$75,Curves!$U$42:$BV$42)+SUMPRODUCT(React!$C$76:$BD$76,Curves!$U$65:$BV$65)</f>
        <v/>
      </c>
      <c r="BE77" s="5">
        <f>SUMPRODUCT(React!$C$74:$BE$74,Curves!$T$19:$BV$19)+SUMPRODUCT(React!$C$75:$BE$75,Curves!$T$42:$BV$42)+SUMPRODUCT(React!$C$76:$BE$76,Curves!$T$65:$BV$65)</f>
        <v/>
      </c>
      <c r="BF77" s="5">
        <f>SUMPRODUCT(React!$C$74:$BF$74,Curves!$S$19:$BV$19)+SUMPRODUCT(React!$C$75:$BF$75,Curves!$S$42:$BV$42)+SUMPRODUCT(React!$C$76:$BF$76,Curves!$S$65:$BV$65)</f>
        <v/>
      </c>
      <c r="BG77" s="5">
        <f>SUMPRODUCT(React!$C$74:$BG$74,Curves!$R$19:$BV$19)+SUMPRODUCT(React!$C$75:$BG$75,Curves!$R$42:$BV$42)+SUMPRODUCT(React!$C$76:$BG$76,Curves!$R$65:$BV$65)</f>
        <v/>
      </c>
      <c r="BH77" s="5">
        <f>SUMPRODUCT(React!$C$74:$BH$74,Curves!$Q$19:$BV$19)+SUMPRODUCT(React!$C$75:$BH$75,Curves!$Q$42:$BV$42)+SUMPRODUCT(React!$C$76:$BH$76,Curves!$Q$65:$BV$65)</f>
        <v/>
      </c>
      <c r="BI77" s="5">
        <f>SUMPRODUCT(React!$C$74:$BI$74,Curves!$P$19:$BV$19)+SUMPRODUCT(React!$C$75:$BI$75,Curves!$P$42:$BV$42)+SUMPRODUCT(React!$C$76:$BI$76,Curves!$P$65:$BV$65)</f>
        <v/>
      </c>
      <c r="BJ77" s="5">
        <f>SUMPRODUCT(React!$C$74:$BJ$74,Curves!$O$19:$BV$19)+SUMPRODUCT(React!$C$75:$BJ$75,Curves!$O$42:$BV$42)+SUMPRODUCT(React!$C$76:$BJ$76,Curves!$O$65:$BV$65)</f>
        <v/>
      </c>
      <c r="BK77" s="5">
        <f>SUMPRODUCT(React!$C$74:$BK$74,Curves!$N$19:$BV$19)+SUMPRODUCT(React!$C$75:$BK$75,Curves!$N$42:$BV$42)+SUMPRODUCT(React!$C$76:$BK$76,Curves!$N$65:$BV$65)</f>
        <v/>
      </c>
      <c r="BL77" s="5">
        <f>SUMPRODUCT(React!$C$74:$BL$74,Curves!$M$19:$BV$19)+SUMPRODUCT(React!$C$75:$BL$75,Curves!$M$42:$BV$42)+SUMPRODUCT(React!$C$76:$BL$76,Curves!$M$65:$BV$65)</f>
        <v/>
      </c>
      <c r="BM77" s="5">
        <f>SUMPRODUCT(React!$C$74:$BM$74,Curves!$L$19:$BV$19)+SUMPRODUCT(React!$C$75:$BM$75,Curves!$L$42:$BV$42)+SUMPRODUCT(React!$C$76:$BM$76,Curves!$L$65:$BV$65)</f>
        <v/>
      </c>
      <c r="BN77" s="5">
        <f>SUMPRODUCT(React!$C$74:$BN$74,Curves!$K$19:$BV$19)+SUMPRODUCT(React!$C$75:$BN$75,Curves!$K$42:$BV$42)+SUMPRODUCT(React!$C$76:$BN$76,Curves!$K$65:$BV$65)</f>
        <v/>
      </c>
      <c r="BO77" s="5">
        <f>SUMPRODUCT(React!$C$74:$BO$74,Curves!$J$19:$BV$19)+SUMPRODUCT(React!$C$75:$BO$75,Curves!$J$42:$BV$42)+SUMPRODUCT(React!$C$76:$BO$76,Curves!$J$65:$BV$65)</f>
        <v/>
      </c>
      <c r="BP77" s="5">
        <f>SUMPRODUCT(React!$C$74:$BP$74,Curves!$I$19:$BV$19)+SUMPRODUCT(React!$C$75:$BP$75,Curves!$I$42:$BV$42)+SUMPRODUCT(React!$C$76:$BP$76,Curves!$I$65:$BV$65)</f>
        <v/>
      </c>
      <c r="BQ77" s="5">
        <f>SUMPRODUCT(React!$C$74:$BQ$74,Curves!$H$19:$BV$19)+SUMPRODUCT(React!$C$75:$BQ$75,Curves!$H$42:$BV$42)+SUMPRODUCT(React!$C$76:$BQ$76,Curves!$H$65:$BV$65)</f>
        <v/>
      </c>
      <c r="BR77" s="5">
        <f>SUMPRODUCT(React!$C$74:$BR$74,Curves!$G$19:$BV$19)+SUMPRODUCT(React!$C$75:$BR$75,Curves!$G$42:$BV$42)+SUMPRODUCT(React!$C$76:$BR$76,Curves!$G$65:$BV$65)</f>
        <v/>
      </c>
      <c r="BS77" s="5">
        <f>SUMPRODUCT(React!$C$74:$BS$74,Curves!$F$19:$BV$19)+SUMPRODUCT(React!$C$75:$BS$75,Curves!$F$42:$BV$42)+SUMPRODUCT(React!$C$76:$BS$76,Curves!$F$65:$BV$65)</f>
        <v/>
      </c>
      <c r="BT77" s="5">
        <f>SUMPRODUCT(React!$C$74:$BT$74,Curves!$E$19:$BV$19)+SUMPRODUCT(React!$C$75:$BT$75,Curves!$E$42:$BV$42)+SUMPRODUCT(React!$C$76:$BT$76,Curves!$E$65:$BV$65)</f>
        <v/>
      </c>
      <c r="BU77" s="5">
        <f>SUMPRODUCT(React!$C$74:$BU$74,Curves!$D$19:$BV$19)+SUMPRODUCT(React!$C$75:$BU$75,Curves!$D$42:$BV$42)+SUMPRODUCT(React!$C$76:$BU$76,Curves!$D$65:$BV$65)</f>
        <v/>
      </c>
      <c r="BV77" s="5">
        <f>SUMPRODUCT(React!$C$74:$BV$74,Curves!$C$19:$BV$19)+SUMPRODUCT(React!$C$75:$BV$75,Curves!$C$42:$BV$42)+SUMPRODUCT(React!$C$76:$BV$76,Curves!$C$65:$BV$65)</f>
        <v/>
      </c>
    </row>
    <row r="78">
      <c r="A78" t="inlineStr">
        <is>
          <t>active yr 1</t>
        </is>
      </c>
      <c r="B78" t="inlineStr">
        <is>
          <t>EUROPE|NITRO_A</t>
        </is>
      </c>
      <c r="C78" s="5">
        <f>React!$C$74*Curves!$BV$24+React!$C$75*Curves!$BV$47+React!$C$76*Curves!$BV$70</f>
        <v/>
      </c>
      <c r="D78" s="5">
        <f>SUMPRODUCT(React!$C$74:$D$74,Curves!$BU$24:$BV$24)+SUMPRODUCT(React!$C$75:$D$75,Curves!$BU$47:$BV$47)+SUMPRODUCT(React!$C$76:$D$76,Curves!$BU$70:$BV$70)</f>
        <v/>
      </c>
      <c r="E78" s="5">
        <f>SUMPRODUCT(React!$C$74:$E$74,Curves!$BT$24:$BV$24)+SUMPRODUCT(React!$C$75:$E$75,Curves!$BT$47:$BV$47)+SUMPRODUCT(React!$C$76:$E$76,Curves!$BT$70:$BV$70)</f>
        <v/>
      </c>
      <c r="F78" s="5">
        <f>SUMPRODUCT(React!$C$74:$F$74,Curves!$BS$24:$BV$24)+SUMPRODUCT(React!$C$75:$F$75,Curves!$BS$47:$BV$47)+SUMPRODUCT(React!$C$76:$F$76,Curves!$BS$70:$BV$70)</f>
        <v/>
      </c>
      <c r="G78" s="5">
        <f>SUMPRODUCT(React!$C$74:$G$74,Curves!$BR$24:$BV$24)+SUMPRODUCT(React!$C$75:$G$75,Curves!$BR$47:$BV$47)+SUMPRODUCT(React!$C$76:$G$76,Curves!$BR$70:$BV$70)</f>
        <v/>
      </c>
      <c r="H78" s="5">
        <f>SUMPRODUCT(React!$C$74:$H$74,Curves!$BQ$24:$BV$24)+SUMPRODUCT(React!$C$75:$H$75,Curves!$BQ$47:$BV$47)+SUMPRODUCT(React!$C$76:$H$76,Curves!$BQ$70:$BV$70)</f>
        <v/>
      </c>
      <c r="I78" s="5">
        <f>SUMPRODUCT(React!$C$74:$I$74,Curves!$BP$24:$BV$24)+SUMPRODUCT(React!$C$75:$I$75,Curves!$BP$47:$BV$47)+SUMPRODUCT(React!$C$76:$I$76,Curves!$BP$70:$BV$70)</f>
        <v/>
      </c>
      <c r="J78" s="5">
        <f>SUMPRODUCT(React!$C$74:$J$74,Curves!$BO$24:$BV$24)+SUMPRODUCT(React!$C$75:$J$75,Curves!$BO$47:$BV$47)+SUMPRODUCT(React!$C$76:$J$76,Curves!$BO$70:$BV$70)</f>
        <v/>
      </c>
      <c r="K78" s="5">
        <f>SUMPRODUCT(React!$C$74:$K$74,Curves!$BN$24:$BV$24)+SUMPRODUCT(React!$C$75:$K$75,Curves!$BN$47:$BV$47)+SUMPRODUCT(React!$C$76:$K$76,Curves!$BN$70:$BV$70)</f>
        <v/>
      </c>
      <c r="L78" s="5">
        <f>SUMPRODUCT(React!$C$74:$L$74,Curves!$BM$24:$BV$24)+SUMPRODUCT(React!$C$75:$L$75,Curves!$BM$47:$BV$47)+SUMPRODUCT(React!$C$76:$L$76,Curves!$BM$70:$BV$70)</f>
        <v/>
      </c>
      <c r="M78" s="5">
        <f>SUMPRODUCT(React!$C$74:$M$74,Curves!$BL$24:$BV$24)+SUMPRODUCT(React!$C$75:$M$75,Curves!$BL$47:$BV$47)+SUMPRODUCT(React!$C$76:$M$76,Curves!$BL$70:$BV$70)</f>
        <v/>
      </c>
      <c r="N78" s="5">
        <f>SUMPRODUCT(React!$C$74:$N$74,Curves!$BK$24:$BV$24)+SUMPRODUCT(React!$C$75:$N$75,Curves!$BK$47:$BV$47)+SUMPRODUCT(React!$C$76:$N$76,Curves!$BK$70:$BV$70)</f>
        <v/>
      </c>
      <c r="O78" s="5">
        <f>SUMPRODUCT(React!$C$74:$O$74,Curves!$BJ$24:$BV$24)+SUMPRODUCT(React!$C$75:$O$75,Curves!$BJ$47:$BV$47)+SUMPRODUCT(React!$C$76:$O$76,Curves!$BJ$70:$BV$70)</f>
        <v/>
      </c>
      <c r="P78" s="5">
        <f>SUMPRODUCT(React!$C$74:$P$74,Curves!$BI$24:$BV$24)+SUMPRODUCT(React!$C$75:$P$75,Curves!$BI$47:$BV$47)+SUMPRODUCT(React!$C$76:$P$76,Curves!$BI$70:$BV$70)</f>
        <v/>
      </c>
      <c r="Q78" s="5">
        <f>SUMPRODUCT(React!$C$74:$Q$74,Curves!$BH$24:$BV$24)+SUMPRODUCT(React!$C$75:$Q$75,Curves!$BH$47:$BV$47)+SUMPRODUCT(React!$C$76:$Q$76,Curves!$BH$70:$BV$70)</f>
        <v/>
      </c>
      <c r="R78" s="5">
        <f>SUMPRODUCT(React!$C$74:$R$74,Curves!$BG$24:$BV$24)+SUMPRODUCT(React!$C$75:$R$75,Curves!$BG$47:$BV$47)+SUMPRODUCT(React!$C$76:$R$76,Curves!$BG$70:$BV$70)</f>
        <v/>
      </c>
      <c r="S78" s="5">
        <f>SUMPRODUCT(React!$C$74:$S$74,Curves!$BF$24:$BV$24)+SUMPRODUCT(React!$C$75:$S$75,Curves!$BF$47:$BV$47)+SUMPRODUCT(React!$C$76:$S$76,Curves!$BF$70:$BV$70)</f>
        <v/>
      </c>
      <c r="T78" s="5">
        <f>SUMPRODUCT(React!$C$74:$T$74,Curves!$BE$24:$BV$24)+SUMPRODUCT(React!$C$75:$T$75,Curves!$BE$47:$BV$47)+SUMPRODUCT(React!$C$76:$T$76,Curves!$BE$70:$BV$70)</f>
        <v/>
      </c>
      <c r="U78" s="5">
        <f>SUMPRODUCT(React!$C$74:$U$74,Curves!$BD$24:$BV$24)+SUMPRODUCT(React!$C$75:$U$75,Curves!$BD$47:$BV$47)+SUMPRODUCT(React!$C$76:$U$76,Curves!$BD$70:$BV$70)</f>
        <v/>
      </c>
      <c r="V78" s="5">
        <f>SUMPRODUCT(React!$C$74:$V$74,Curves!$BC$24:$BV$24)+SUMPRODUCT(React!$C$75:$V$75,Curves!$BC$47:$BV$47)+SUMPRODUCT(React!$C$76:$V$76,Curves!$BC$70:$BV$70)</f>
        <v/>
      </c>
      <c r="W78" s="5">
        <f>SUMPRODUCT(React!$C$74:$W$74,Curves!$BB$24:$BV$24)+SUMPRODUCT(React!$C$75:$W$75,Curves!$BB$47:$BV$47)+SUMPRODUCT(React!$C$76:$W$76,Curves!$BB$70:$BV$70)</f>
        <v/>
      </c>
      <c r="X78" s="5">
        <f>SUMPRODUCT(React!$C$74:$X$74,Curves!$BA$24:$BV$24)+SUMPRODUCT(React!$C$75:$X$75,Curves!$BA$47:$BV$47)+SUMPRODUCT(React!$C$76:$X$76,Curves!$BA$70:$BV$70)</f>
        <v/>
      </c>
      <c r="Y78" s="5">
        <f>SUMPRODUCT(React!$C$74:$Y$74,Curves!$AZ$24:$BV$24)+SUMPRODUCT(React!$C$75:$Y$75,Curves!$AZ$47:$BV$47)+SUMPRODUCT(React!$C$76:$Y$76,Curves!$AZ$70:$BV$70)</f>
        <v/>
      </c>
      <c r="Z78" s="5">
        <f>SUMPRODUCT(React!$C$74:$Z$74,Curves!$AY$24:$BV$24)+SUMPRODUCT(React!$C$75:$Z$75,Curves!$AY$47:$BV$47)+SUMPRODUCT(React!$C$76:$Z$76,Curves!$AY$70:$BV$70)</f>
        <v/>
      </c>
      <c r="AA78" s="5">
        <f>SUMPRODUCT(React!$C$74:$AA$74,Curves!$AX$24:$BV$24)+SUMPRODUCT(React!$C$75:$AA$75,Curves!$AX$47:$BV$47)+SUMPRODUCT(React!$C$76:$AA$76,Curves!$AX$70:$BV$70)</f>
        <v/>
      </c>
      <c r="AB78" s="5">
        <f>SUMPRODUCT(React!$C$74:$AB$74,Curves!$AW$24:$BV$24)+SUMPRODUCT(React!$C$75:$AB$75,Curves!$AW$47:$BV$47)+SUMPRODUCT(React!$C$76:$AB$76,Curves!$AW$70:$BV$70)</f>
        <v/>
      </c>
      <c r="AC78" s="5">
        <f>SUMPRODUCT(React!$C$74:$AC$74,Curves!$AV$24:$BV$24)+SUMPRODUCT(React!$C$75:$AC$75,Curves!$AV$47:$BV$47)+SUMPRODUCT(React!$C$76:$AC$76,Curves!$AV$70:$BV$70)</f>
        <v/>
      </c>
      <c r="AD78" s="5">
        <f>SUMPRODUCT(React!$C$74:$AD$74,Curves!$AU$24:$BV$24)+SUMPRODUCT(React!$C$75:$AD$75,Curves!$AU$47:$BV$47)+SUMPRODUCT(React!$C$76:$AD$76,Curves!$AU$70:$BV$70)</f>
        <v/>
      </c>
      <c r="AE78" s="5">
        <f>SUMPRODUCT(React!$C$74:$AE$74,Curves!$AT$24:$BV$24)+SUMPRODUCT(React!$C$75:$AE$75,Curves!$AT$47:$BV$47)+SUMPRODUCT(React!$C$76:$AE$76,Curves!$AT$70:$BV$70)</f>
        <v/>
      </c>
      <c r="AF78" s="5">
        <f>SUMPRODUCT(React!$C$74:$AF$74,Curves!$AS$24:$BV$24)+SUMPRODUCT(React!$C$75:$AF$75,Curves!$AS$47:$BV$47)+SUMPRODUCT(React!$C$76:$AF$76,Curves!$AS$70:$BV$70)</f>
        <v/>
      </c>
      <c r="AG78" s="5">
        <f>SUMPRODUCT(React!$C$74:$AG$74,Curves!$AR$24:$BV$24)+SUMPRODUCT(React!$C$75:$AG$75,Curves!$AR$47:$BV$47)+SUMPRODUCT(React!$C$76:$AG$76,Curves!$AR$70:$BV$70)</f>
        <v/>
      </c>
      <c r="AH78" s="5">
        <f>SUMPRODUCT(React!$C$74:$AH$74,Curves!$AQ$24:$BV$24)+SUMPRODUCT(React!$C$75:$AH$75,Curves!$AQ$47:$BV$47)+SUMPRODUCT(React!$C$76:$AH$76,Curves!$AQ$70:$BV$70)</f>
        <v/>
      </c>
      <c r="AI78" s="5">
        <f>SUMPRODUCT(React!$C$74:$AI$74,Curves!$AP$24:$BV$24)+SUMPRODUCT(React!$C$75:$AI$75,Curves!$AP$47:$BV$47)+SUMPRODUCT(React!$C$76:$AI$76,Curves!$AP$70:$BV$70)</f>
        <v/>
      </c>
      <c r="AJ78" s="5">
        <f>SUMPRODUCT(React!$C$74:$AJ$74,Curves!$AO$24:$BV$24)+SUMPRODUCT(React!$C$75:$AJ$75,Curves!$AO$47:$BV$47)+SUMPRODUCT(React!$C$76:$AJ$76,Curves!$AO$70:$BV$70)</f>
        <v/>
      </c>
      <c r="AK78" s="5">
        <f>SUMPRODUCT(React!$C$74:$AK$74,Curves!$AN$24:$BV$24)+SUMPRODUCT(React!$C$75:$AK$75,Curves!$AN$47:$BV$47)+SUMPRODUCT(React!$C$76:$AK$76,Curves!$AN$70:$BV$70)</f>
        <v/>
      </c>
      <c r="AL78" s="5">
        <f>SUMPRODUCT(React!$C$74:$AL$74,Curves!$AM$24:$BV$24)+SUMPRODUCT(React!$C$75:$AL$75,Curves!$AM$47:$BV$47)+SUMPRODUCT(React!$C$76:$AL$76,Curves!$AM$70:$BV$70)</f>
        <v/>
      </c>
      <c r="AM78" s="5">
        <f>SUMPRODUCT(React!$C$74:$AM$74,Curves!$AL$24:$BV$24)+SUMPRODUCT(React!$C$75:$AM$75,Curves!$AL$47:$BV$47)+SUMPRODUCT(React!$C$76:$AM$76,Curves!$AL$70:$BV$70)</f>
        <v/>
      </c>
      <c r="AN78" s="5">
        <f>SUMPRODUCT(React!$C$74:$AN$74,Curves!$AK$24:$BV$24)+SUMPRODUCT(React!$C$75:$AN$75,Curves!$AK$47:$BV$47)+SUMPRODUCT(React!$C$76:$AN$76,Curves!$AK$70:$BV$70)</f>
        <v/>
      </c>
      <c r="AO78" s="5">
        <f>SUMPRODUCT(React!$C$74:$AO$74,Curves!$AJ$24:$BV$24)+SUMPRODUCT(React!$C$75:$AO$75,Curves!$AJ$47:$BV$47)+SUMPRODUCT(React!$C$76:$AO$76,Curves!$AJ$70:$BV$70)</f>
        <v/>
      </c>
      <c r="AP78" s="5">
        <f>SUMPRODUCT(React!$C$74:$AP$74,Curves!$AI$24:$BV$24)+SUMPRODUCT(React!$C$75:$AP$75,Curves!$AI$47:$BV$47)+SUMPRODUCT(React!$C$76:$AP$76,Curves!$AI$70:$BV$70)</f>
        <v/>
      </c>
      <c r="AQ78" s="5">
        <f>SUMPRODUCT(React!$C$74:$AQ$74,Curves!$AH$24:$BV$24)+SUMPRODUCT(React!$C$75:$AQ$75,Curves!$AH$47:$BV$47)+SUMPRODUCT(React!$C$76:$AQ$76,Curves!$AH$70:$BV$70)</f>
        <v/>
      </c>
      <c r="AR78" s="5">
        <f>SUMPRODUCT(React!$C$74:$AR$74,Curves!$AG$24:$BV$24)+SUMPRODUCT(React!$C$75:$AR$75,Curves!$AG$47:$BV$47)+SUMPRODUCT(React!$C$76:$AR$76,Curves!$AG$70:$BV$70)</f>
        <v/>
      </c>
      <c r="AS78" s="5">
        <f>SUMPRODUCT(React!$C$74:$AS$74,Curves!$AF$24:$BV$24)+SUMPRODUCT(React!$C$75:$AS$75,Curves!$AF$47:$BV$47)+SUMPRODUCT(React!$C$76:$AS$76,Curves!$AF$70:$BV$70)</f>
        <v/>
      </c>
      <c r="AT78" s="5">
        <f>SUMPRODUCT(React!$C$74:$AT$74,Curves!$AE$24:$BV$24)+SUMPRODUCT(React!$C$75:$AT$75,Curves!$AE$47:$BV$47)+SUMPRODUCT(React!$C$76:$AT$76,Curves!$AE$70:$BV$70)</f>
        <v/>
      </c>
      <c r="AU78" s="5">
        <f>SUMPRODUCT(React!$C$74:$AU$74,Curves!$AD$24:$BV$24)+SUMPRODUCT(React!$C$75:$AU$75,Curves!$AD$47:$BV$47)+SUMPRODUCT(React!$C$76:$AU$76,Curves!$AD$70:$BV$70)</f>
        <v/>
      </c>
      <c r="AV78" s="5">
        <f>SUMPRODUCT(React!$C$74:$AV$74,Curves!$AC$24:$BV$24)+SUMPRODUCT(React!$C$75:$AV$75,Curves!$AC$47:$BV$47)+SUMPRODUCT(React!$C$76:$AV$76,Curves!$AC$70:$BV$70)</f>
        <v/>
      </c>
      <c r="AW78" s="5">
        <f>SUMPRODUCT(React!$C$74:$AW$74,Curves!$AB$24:$BV$24)+SUMPRODUCT(React!$C$75:$AW$75,Curves!$AB$47:$BV$47)+SUMPRODUCT(React!$C$76:$AW$76,Curves!$AB$70:$BV$70)</f>
        <v/>
      </c>
      <c r="AX78" s="5">
        <f>SUMPRODUCT(React!$C$74:$AX$74,Curves!$AA$24:$BV$24)+SUMPRODUCT(React!$C$75:$AX$75,Curves!$AA$47:$BV$47)+SUMPRODUCT(React!$C$76:$AX$76,Curves!$AA$70:$BV$70)</f>
        <v/>
      </c>
      <c r="AY78" s="5">
        <f>SUMPRODUCT(React!$C$74:$AY$74,Curves!$Z$24:$BV$24)+SUMPRODUCT(React!$C$75:$AY$75,Curves!$Z$47:$BV$47)+SUMPRODUCT(React!$C$76:$AY$76,Curves!$Z$70:$BV$70)</f>
        <v/>
      </c>
      <c r="AZ78" s="5">
        <f>SUMPRODUCT(React!$C$74:$AZ$74,Curves!$Y$24:$BV$24)+SUMPRODUCT(React!$C$75:$AZ$75,Curves!$Y$47:$BV$47)+SUMPRODUCT(React!$C$76:$AZ$76,Curves!$Y$70:$BV$70)</f>
        <v/>
      </c>
      <c r="BA78" s="5">
        <f>SUMPRODUCT(React!$C$74:$BA$74,Curves!$X$24:$BV$24)+SUMPRODUCT(React!$C$75:$BA$75,Curves!$X$47:$BV$47)+SUMPRODUCT(React!$C$76:$BA$76,Curves!$X$70:$BV$70)</f>
        <v/>
      </c>
      <c r="BB78" s="5">
        <f>SUMPRODUCT(React!$C$74:$BB$74,Curves!$W$24:$BV$24)+SUMPRODUCT(React!$C$75:$BB$75,Curves!$W$47:$BV$47)+SUMPRODUCT(React!$C$76:$BB$76,Curves!$W$70:$BV$70)</f>
        <v/>
      </c>
      <c r="BC78" s="5">
        <f>SUMPRODUCT(React!$C$74:$BC$74,Curves!$V$24:$BV$24)+SUMPRODUCT(React!$C$75:$BC$75,Curves!$V$47:$BV$47)+SUMPRODUCT(React!$C$76:$BC$76,Curves!$V$70:$BV$70)</f>
        <v/>
      </c>
      <c r="BD78" s="5">
        <f>SUMPRODUCT(React!$C$74:$BD$74,Curves!$U$24:$BV$24)+SUMPRODUCT(React!$C$75:$BD$75,Curves!$U$47:$BV$47)+SUMPRODUCT(React!$C$76:$BD$76,Curves!$U$70:$BV$70)</f>
        <v/>
      </c>
      <c r="BE78" s="5">
        <f>SUMPRODUCT(React!$C$74:$BE$74,Curves!$T$24:$BV$24)+SUMPRODUCT(React!$C$75:$BE$75,Curves!$T$47:$BV$47)+SUMPRODUCT(React!$C$76:$BE$76,Curves!$T$70:$BV$70)</f>
        <v/>
      </c>
      <c r="BF78" s="5">
        <f>SUMPRODUCT(React!$C$74:$BF$74,Curves!$S$24:$BV$24)+SUMPRODUCT(React!$C$75:$BF$75,Curves!$S$47:$BV$47)+SUMPRODUCT(React!$C$76:$BF$76,Curves!$S$70:$BV$70)</f>
        <v/>
      </c>
      <c r="BG78" s="5">
        <f>SUMPRODUCT(React!$C$74:$BG$74,Curves!$R$24:$BV$24)+SUMPRODUCT(React!$C$75:$BG$75,Curves!$R$47:$BV$47)+SUMPRODUCT(React!$C$76:$BG$76,Curves!$R$70:$BV$70)</f>
        <v/>
      </c>
      <c r="BH78" s="5">
        <f>SUMPRODUCT(React!$C$74:$BH$74,Curves!$Q$24:$BV$24)+SUMPRODUCT(React!$C$75:$BH$75,Curves!$Q$47:$BV$47)+SUMPRODUCT(React!$C$76:$BH$76,Curves!$Q$70:$BV$70)</f>
        <v/>
      </c>
      <c r="BI78" s="5">
        <f>SUMPRODUCT(React!$C$74:$BI$74,Curves!$P$24:$BV$24)+SUMPRODUCT(React!$C$75:$BI$75,Curves!$P$47:$BV$47)+SUMPRODUCT(React!$C$76:$BI$76,Curves!$P$70:$BV$70)</f>
        <v/>
      </c>
      <c r="BJ78" s="5">
        <f>SUMPRODUCT(React!$C$74:$BJ$74,Curves!$O$24:$BV$24)+SUMPRODUCT(React!$C$75:$BJ$75,Curves!$O$47:$BV$47)+SUMPRODUCT(React!$C$76:$BJ$76,Curves!$O$70:$BV$70)</f>
        <v/>
      </c>
      <c r="BK78" s="5">
        <f>SUMPRODUCT(React!$C$74:$BK$74,Curves!$N$24:$BV$24)+SUMPRODUCT(React!$C$75:$BK$75,Curves!$N$47:$BV$47)+SUMPRODUCT(React!$C$76:$BK$76,Curves!$N$70:$BV$70)</f>
        <v/>
      </c>
      <c r="BL78" s="5">
        <f>SUMPRODUCT(React!$C$74:$BL$74,Curves!$M$24:$BV$24)+SUMPRODUCT(React!$C$75:$BL$75,Curves!$M$47:$BV$47)+SUMPRODUCT(React!$C$76:$BL$76,Curves!$M$70:$BV$70)</f>
        <v/>
      </c>
      <c r="BM78" s="5">
        <f>SUMPRODUCT(React!$C$74:$BM$74,Curves!$L$24:$BV$24)+SUMPRODUCT(React!$C$75:$BM$75,Curves!$L$47:$BV$47)+SUMPRODUCT(React!$C$76:$BM$76,Curves!$L$70:$BV$70)</f>
        <v/>
      </c>
      <c r="BN78" s="5">
        <f>SUMPRODUCT(React!$C$74:$BN$74,Curves!$K$24:$BV$24)+SUMPRODUCT(React!$C$75:$BN$75,Curves!$K$47:$BV$47)+SUMPRODUCT(React!$C$76:$BN$76,Curves!$K$70:$BV$70)</f>
        <v/>
      </c>
      <c r="BO78" s="5">
        <f>SUMPRODUCT(React!$C$74:$BO$74,Curves!$J$24:$BV$24)+SUMPRODUCT(React!$C$75:$BO$75,Curves!$J$47:$BV$47)+SUMPRODUCT(React!$C$76:$BO$76,Curves!$J$70:$BV$70)</f>
        <v/>
      </c>
      <c r="BP78" s="5">
        <f>SUMPRODUCT(React!$C$74:$BP$74,Curves!$I$24:$BV$24)+SUMPRODUCT(React!$C$75:$BP$75,Curves!$I$47:$BV$47)+SUMPRODUCT(React!$C$76:$BP$76,Curves!$I$70:$BV$70)</f>
        <v/>
      </c>
      <c r="BQ78" s="5">
        <f>SUMPRODUCT(React!$C$74:$BQ$74,Curves!$H$24:$BV$24)+SUMPRODUCT(React!$C$75:$BQ$75,Curves!$H$47:$BV$47)+SUMPRODUCT(React!$C$76:$BQ$76,Curves!$H$70:$BV$70)</f>
        <v/>
      </c>
      <c r="BR78" s="5">
        <f>SUMPRODUCT(React!$C$74:$BR$74,Curves!$G$24:$BV$24)+SUMPRODUCT(React!$C$75:$BR$75,Curves!$G$47:$BV$47)+SUMPRODUCT(React!$C$76:$BR$76,Curves!$G$70:$BV$70)</f>
        <v/>
      </c>
      <c r="BS78" s="5">
        <f>SUMPRODUCT(React!$C$74:$BS$74,Curves!$F$24:$BV$24)+SUMPRODUCT(React!$C$75:$BS$75,Curves!$F$47:$BV$47)+SUMPRODUCT(React!$C$76:$BS$76,Curves!$F$70:$BV$70)</f>
        <v/>
      </c>
      <c r="BT78" s="5">
        <f>SUMPRODUCT(React!$C$74:$BT$74,Curves!$E$24:$BV$24)+SUMPRODUCT(React!$C$75:$BT$75,Curves!$E$47:$BV$47)+SUMPRODUCT(React!$C$76:$BT$76,Curves!$E$70:$BV$70)</f>
        <v/>
      </c>
      <c r="BU78" s="5">
        <f>SUMPRODUCT(React!$C$74:$BU$74,Curves!$D$24:$BV$24)+SUMPRODUCT(React!$C$75:$BU$75,Curves!$D$47:$BV$47)+SUMPRODUCT(React!$C$76:$BU$76,Curves!$D$70:$BV$70)</f>
        <v/>
      </c>
      <c r="BV78" s="5">
        <f>SUMPRODUCT(React!$C$74:$BV$74,Curves!$C$24:$BV$24)+SUMPRODUCT(React!$C$75:$BV$75,Curves!$C$47:$BV$47)+SUMPRODUCT(React!$C$76:$BV$76,Curves!$C$70:$BV$70)</f>
        <v/>
      </c>
    </row>
    <row r="79">
      <c r="A79" t="inlineStr">
        <is>
          <t>churned</t>
        </is>
      </c>
      <c r="B79" t="inlineStr">
        <is>
          <t>EUROPE|NITRO_A</t>
        </is>
      </c>
      <c r="C79" s="5">
        <f>React!$C$74*Curves!$BV$20+React!$C$75*Curves!$BV$43+React!$C$76*Curves!$BV$66</f>
        <v/>
      </c>
      <c r="D79" s="5">
        <f>SUMPRODUCT(React!$C$74:$D$74,Curves!$BU$20:$BV$20)+SUMPRODUCT(React!$C$75:$D$75,Curves!$BU$43:$BV$43)+SUMPRODUCT(React!$C$76:$D$76,Curves!$BU$66:$BV$66)</f>
        <v/>
      </c>
      <c r="E79" s="5">
        <f>SUMPRODUCT(React!$C$74:$E$74,Curves!$BT$20:$BV$20)+SUMPRODUCT(React!$C$75:$E$75,Curves!$BT$43:$BV$43)+SUMPRODUCT(React!$C$76:$E$76,Curves!$BT$66:$BV$66)</f>
        <v/>
      </c>
      <c r="F79" s="5">
        <f>SUMPRODUCT(React!$C$74:$F$74,Curves!$BS$20:$BV$20)+SUMPRODUCT(React!$C$75:$F$75,Curves!$BS$43:$BV$43)+SUMPRODUCT(React!$C$76:$F$76,Curves!$BS$66:$BV$66)</f>
        <v/>
      </c>
      <c r="G79" s="5">
        <f>SUMPRODUCT(React!$C$74:$G$74,Curves!$BR$20:$BV$20)+SUMPRODUCT(React!$C$75:$G$75,Curves!$BR$43:$BV$43)+SUMPRODUCT(React!$C$76:$G$76,Curves!$BR$66:$BV$66)</f>
        <v/>
      </c>
      <c r="H79" s="5">
        <f>SUMPRODUCT(React!$C$74:$H$74,Curves!$BQ$20:$BV$20)+SUMPRODUCT(React!$C$75:$H$75,Curves!$BQ$43:$BV$43)+SUMPRODUCT(React!$C$76:$H$76,Curves!$BQ$66:$BV$66)</f>
        <v/>
      </c>
      <c r="I79" s="5">
        <f>SUMPRODUCT(React!$C$74:$I$74,Curves!$BP$20:$BV$20)+SUMPRODUCT(React!$C$75:$I$75,Curves!$BP$43:$BV$43)+SUMPRODUCT(React!$C$76:$I$76,Curves!$BP$66:$BV$66)</f>
        <v/>
      </c>
      <c r="J79" s="5">
        <f>SUMPRODUCT(React!$C$74:$J$74,Curves!$BO$20:$BV$20)+SUMPRODUCT(React!$C$75:$J$75,Curves!$BO$43:$BV$43)+SUMPRODUCT(React!$C$76:$J$76,Curves!$BO$66:$BV$66)</f>
        <v/>
      </c>
      <c r="K79" s="5">
        <f>SUMPRODUCT(React!$C$74:$K$74,Curves!$BN$20:$BV$20)+SUMPRODUCT(React!$C$75:$K$75,Curves!$BN$43:$BV$43)+SUMPRODUCT(React!$C$76:$K$76,Curves!$BN$66:$BV$66)</f>
        <v/>
      </c>
      <c r="L79" s="5">
        <f>SUMPRODUCT(React!$C$74:$L$74,Curves!$BM$20:$BV$20)+SUMPRODUCT(React!$C$75:$L$75,Curves!$BM$43:$BV$43)+SUMPRODUCT(React!$C$76:$L$76,Curves!$BM$66:$BV$66)</f>
        <v/>
      </c>
      <c r="M79" s="5">
        <f>SUMPRODUCT(React!$C$74:$M$74,Curves!$BL$20:$BV$20)+SUMPRODUCT(React!$C$75:$M$75,Curves!$BL$43:$BV$43)+SUMPRODUCT(React!$C$76:$M$76,Curves!$BL$66:$BV$66)</f>
        <v/>
      </c>
      <c r="N79" s="5">
        <f>SUMPRODUCT(React!$C$74:$N$74,Curves!$BK$20:$BV$20)+SUMPRODUCT(React!$C$75:$N$75,Curves!$BK$43:$BV$43)+SUMPRODUCT(React!$C$76:$N$76,Curves!$BK$66:$BV$66)</f>
        <v/>
      </c>
      <c r="O79" s="5">
        <f>SUMPRODUCT(React!$C$74:$O$74,Curves!$BJ$20:$BV$20)+SUMPRODUCT(React!$C$75:$O$75,Curves!$BJ$43:$BV$43)+SUMPRODUCT(React!$C$76:$O$76,Curves!$BJ$66:$BV$66)</f>
        <v/>
      </c>
      <c r="P79" s="5">
        <f>SUMPRODUCT(React!$C$74:$P$74,Curves!$BI$20:$BV$20)+SUMPRODUCT(React!$C$75:$P$75,Curves!$BI$43:$BV$43)+SUMPRODUCT(React!$C$76:$P$76,Curves!$BI$66:$BV$66)</f>
        <v/>
      </c>
      <c r="Q79" s="5">
        <f>SUMPRODUCT(React!$C$74:$Q$74,Curves!$BH$20:$BV$20)+SUMPRODUCT(React!$C$75:$Q$75,Curves!$BH$43:$BV$43)+SUMPRODUCT(React!$C$76:$Q$76,Curves!$BH$66:$BV$66)</f>
        <v/>
      </c>
      <c r="R79" s="5">
        <f>SUMPRODUCT(React!$C$74:$R$74,Curves!$BG$20:$BV$20)+SUMPRODUCT(React!$C$75:$R$75,Curves!$BG$43:$BV$43)+SUMPRODUCT(React!$C$76:$R$76,Curves!$BG$66:$BV$66)</f>
        <v/>
      </c>
      <c r="S79" s="5">
        <f>SUMPRODUCT(React!$C$74:$S$74,Curves!$BF$20:$BV$20)+SUMPRODUCT(React!$C$75:$S$75,Curves!$BF$43:$BV$43)+SUMPRODUCT(React!$C$76:$S$76,Curves!$BF$66:$BV$66)</f>
        <v/>
      </c>
      <c r="T79" s="5">
        <f>SUMPRODUCT(React!$C$74:$T$74,Curves!$BE$20:$BV$20)+SUMPRODUCT(React!$C$75:$T$75,Curves!$BE$43:$BV$43)+SUMPRODUCT(React!$C$76:$T$76,Curves!$BE$66:$BV$66)</f>
        <v/>
      </c>
      <c r="U79" s="5">
        <f>SUMPRODUCT(React!$C$74:$U$74,Curves!$BD$20:$BV$20)+SUMPRODUCT(React!$C$75:$U$75,Curves!$BD$43:$BV$43)+SUMPRODUCT(React!$C$76:$U$76,Curves!$BD$66:$BV$66)</f>
        <v/>
      </c>
      <c r="V79" s="5">
        <f>SUMPRODUCT(React!$C$74:$V$74,Curves!$BC$20:$BV$20)+SUMPRODUCT(React!$C$75:$V$75,Curves!$BC$43:$BV$43)+SUMPRODUCT(React!$C$76:$V$76,Curves!$BC$66:$BV$66)</f>
        <v/>
      </c>
      <c r="W79" s="5">
        <f>SUMPRODUCT(React!$C$74:$W$74,Curves!$BB$20:$BV$20)+SUMPRODUCT(React!$C$75:$W$75,Curves!$BB$43:$BV$43)+SUMPRODUCT(React!$C$76:$W$76,Curves!$BB$66:$BV$66)</f>
        <v/>
      </c>
      <c r="X79" s="5">
        <f>SUMPRODUCT(React!$C$74:$X$74,Curves!$BA$20:$BV$20)+SUMPRODUCT(React!$C$75:$X$75,Curves!$BA$43:$BV$43)+SUMPRODUCT(React!$C$76:$X$76,Curves!$BA$66:$BV$66)</f>
        <v/>
      </c>
      <c r="Y79" s="5">
        <f>SUMPRODUCT(React!$C$74:$Y$74,Curves!$AZ$20:$BV$20)+SUMPRODUCT(React!$C$75:$Y$75,Curves!$AZ$43:$BV$43)+SUMPRODUCT(React!$C$76:$Y$76,Curves!$AZ$66:$BV$66)</f>
        <v/>
      </c>
      <c r="Z79" s="5">
        <f>SUMPRODUCT(React!$C$74:$Z$74,Curves!$AY$20:$BV$20)+SUMPRODUCT(React!$C$75:$Z$75,Curves!$AY$43:$BV$43)+SUMPRODUCT(React!$C$76:$Z$76,Curves!$AY$66:$BV$66)</f>
        <v/>
      </c>
      <c r="AA79" s="5">
        <f>SUMPRODUCT(React!$C$74:$AA$74,Curves!$AX$20:$BV$20)+SUMPRODUCT(React!$C$75:$AA$75,Curves!$AX$43:$BV$43)+SUMPRODUCT(React!$C$76:$AA$76,Curves!$AX$66:$BV$66)</f>
        <v/>
      </c>
      <c r="AB79" s="5">
        <f>SUMPRODUCT(React!$C$74:$AB$74,Curves!$AW$20:$BV$20)+SUMPRODUCT(React!$C$75:$AB$75,Curves!$AW$43:$BV$43)+SUMPRODUCT(React!$C$76:$AB$76,Curves!$AW$66:$BV$66)</f>
        <v/>
      </c>
      <c r="AC79" s="5">
        <f>SUMPRODUCT(React!$C$74:$AC$74,Curves!$AV$20:$BV$20)+SUMPRODUCT(React!$C$75:$AC$75,Curves!$AV$43:$BV$43)+SUMPRODUCT(React!$C$76:$AC$76,Curves!$AV$66:$BV$66)</f>
        <v/>
      </c>
      <c r="AD79" s="5">
        <f>SUMPRODUCT(React!$C$74:$AD$74,Curves!$AU$20:$BV$20)+SUMPRODUCT(React!$C$75:$AD$75,Curves!$AU$43:$BV$43)+SUMPRODUCT(React!$C$76:$AD$76,Curves!$AU$66:$BV$66)</f>
        <v/>
      </c>
      <c r="AE79" s="5">
        <f>SUMPRODUCT(React!$C$74:$AE$74,Curves!$AT$20:$BV$20)+SUMPRODUCT(React!$C$75:$AE$75,Curves!$AT$43:$BV$43)+SUMPRODUCT(React!$C$76:$AE$76,Curves!$AT$66:$BV$66)</f>
        <v/>
      </c>
      <c r="AF79" s="5">
        <f>SUMPRODUCT(React!$C$74:$AF$74,Curves!$AS$20:$BV$20)+SUMPRODUCT(React!$C$75:$AF$75,Curves!$AS$43:$BV$43)+SUMPRODUCT(React!$C$76:$AF$76,Curves!$AS$66:$BV$66)</f>
        <v/>
      </c>
      <c r="AG79" s="5">
        <f>SUMPRODUCT(React!$C$74:$AG$74,Curves!$AR$20:$BV$20)+SUMPRODUCT(React!$C$75:$AG$75,Curves!$AR$43:$BV$43)+SUMPRODUCT(React!$C$76:$AG$76,Curves!$AR$66:$BV$66)</f>
        <v/>
      </c>
      <c r="AH79" s="5">
        <f>SUMPRODUCT(React!$C$74:$AH$74,Curves!$AQ$20:$BV$20)+SUMPRODUCT(React!$C$75:$AH$75,Curves!$AQ$43:$BV$43)+SUMPRODUCT(React!$C$76:$AH$76,Curves!$AQ$66:$BV$66)</f>
        <v/>
      </c>
      <c r="AI79" s="5">
        <f>SUMPRODUCT(React!$C$74:$AI$74,Curves!$AP$20:$BV$20)+SUMPRODUCT(React!$C$75:$AI$75,Curves!$AP$43:$BV$43)+SUMPRODUCT(React!$C$76:$AI$76,Curves!$AP$66:$BV$66)</f>
        <v/>
      </c>
      <c r="AJ79" s="5">
        <f>SUMPRODUCT(React!$C$74:$AJ$74,Curves!$AO$20:$BV$20)+SUMPRODUCT(React!$C$75:$AJ$75,Curves!$AO$43:$BV$43)+SUMPRODUCT(React!$C$76:$AJ$76,Curves!$AO$66:$BV$66)</f>
        <v/>
      </c>
      <c r="AK79" s="5">
        <f>SUMPRODUCT(React!$C$74:$AK$74,Curves!$AN$20:$BV$20)+SUMPRODUCT(React!$C$75:$AK$75,Curves!$AN$43:$BV$43)+SUMPRODUCT(React!$C$76:$AK$76,Curves!$AN$66:$BV$66)</f>
        <v/>
      </c>
      <c r="AL79" s="5">
        <f>SUMPRODUCT(React!$C$74:$AL$74,Curves!$AM$20:$BV$20)+SUMPRODUCT(React!$C$75:$AL$75,Curves!$AM$43:$BV$43)+SUMPRODUCT(React!$C$76:$AL$76,Curves!$AM$66:$BV$66)</f>
        <v/>
      </c>
      <c r="AM79" s="5">
        <f>SUMPRODUCT(React!$C$74:$AM$74,Curves!$AL$20:$BV$20)+SUMPRODUCT(React!$C$75:$AM$75,Curves!$AL$43:$BV$43)+SUMPRODUCT(React!$C$76:$AM$76,Curves!$AL$66:$BV$66)</f>
        <v/>
      </c>
      <c r="AN79" s="5">
        <f>SUMPRODUCT(React!$C$74:$AN$74,Curves!$AK$20:$BV$20)+SUMPRODUCT(React!$C$75:$AN$75,Curves!$AK$43:$BV$43)+SUMPRODUCT(React!$C$76:$AN$76,Curves!$AK$66:$BV$66)</f>
        <v/>
      </c>
      <c r="AO79" s="5">
        <f>SUMPRODUCT(React!$C$74:$AO$74,Curves!$AJ$20:$BV$20)+SUMPRODUCT(React!$C$75:$AO$75,Curves!$AJ$43:$BV$43)+SUMPRODUCT(React!$C$76:$AO$76,Curves!$AJ$66:$BV$66)</f>
        <v/>
      </c>
      <c r="AP79" s="5">
        <f>SUMPRODUCT(React!$C$74:$AP$74,Curves!$AI$20:$BV$20)+SUMPRODUCT(React!$C$75:$AP$75,Curves!$AI$43:$BV$43)+SUMPRODUCT(React!$C$76:$AP$76,Curves!$AI$66:$BV$66)</f>
        <v/>
      </c>
      <c r="AQ79" s="5">
        <f>SUMPRODUCT(React!$C$74:$AQ$74,Curves!$AH$20:$BV$20)+SUMPRODUCT(React!$C$75:$AQ$75,Curves!$AH$43:$BV$43)+SUMPRODUCT(React!$C$76:$AQ$76,Curves!$AH$66:$BV$66)</f>
        <v/>
      </c>
      <c r="AR79" s="5">
        <f>SUMPRODUCT(React!$C$74:$AR$74,Curves!$AG$20:$BV$20)+SUMPRODUCT(React!$C$75:$AR$75,Curves!$AG$43:$BV$43)+SUMPRODUCT(React!$C$76:$AR$76,Curves!$AG$66:$BV$66)</f>
        <v/>
      </c>
      <c r="AS79" s="5">
        <f>SUMPRODUCT(React!$C$74:$AS$74,Curves!$AF$20:$BV$20)+SUMPRODUCT(React!$C$75:$AS$75,Curves!$AF$43:$BV$43)+SUMPRODUCT(React!$C$76:$AS$76,Curves!$AF$66:$BV$66)</f>
        <v/>
      </c>
      <c r="AT79" s="5">
        <f>SUMPRODUCT(React!$C$74:$AT$74,Curves!$AE$20:$BV$20)+SUMPRODUCT(React!$C$75:$AT$75,Curves!$AE$43:$BV$43)+SUMPRODUCT(React!$C$76:$AT$76,Curves!$AE$66:$BV$66)</f>
        <v/>
      </c>
      <c r="AU79" s="5">
        <f>SUMPRODUCT(React!$C$74:$AU$74,Curves!$AD$20:$BV$20)+SUMPRODUCT(React!$C$75:$AU$75,Curves!$AD$43:$BV$43)+SUMPRODUCT(React!$C$76:$AU$76,Curves!$AD$66:$BV$66)</f>
        <v/>
      </c>
      <c r="AV79" s="5">
        <f>SUMPRODUCT(React!$C$74:$AV$74,Curves!$AC$20:$BV$20)+SUMPRODUCT(React!$C$75:$AV$75,Curves!$AC$43:$BV$43)+SUMPRODUCT(React!$C$76:$AV$76,Curves!$AC$66:$BV$66)</f>
        <v/>
      </c>
      <c r="AW79" s="5">
        <f>SUMPRODUCT(React!$C$74:$AW$74,Curves!$AB$20:$BV$20)+SUMPRODUCT(React!$C$75:$AW$75,Curves!$AB$43:$BV$43)+SUMPRODUCT(React!$C$76:$AW$76,Curves!$AB$66:$BV$66)</f>
        <v/>
      </c>
      <c r="AX79" s="5">
        <f>SUMPRODUCT(React!$C$74:$AX$74,Curves!$AA$20:$BV$20)+SUMPRODUCT(React!$C$75:$AX$75,Curves!$AA$43:$BV$43)+SUMPRODUCT(React!$C$76:$AX$76,Curves!$AA$66:$BV$66)</f>
        <v/>
      </c>
      <c r="AY79" s="5">
        <f>SUMPRODUCT(React!$C$74:$AY$74,Curves!$Z$20:$BV$20)+SUMPRODUCT(React!$C$75:$AY$75,Curves!$Z$43:$BV$43)+SUMPRODUCT(React!$C$76:$AY$76,Curves!$Z$66:$BV$66)</f>
        <v/>
      </c>
      <c r="AZ79" s="5">
        <f>SUMPRODUCT(React!$C$74:$AZ$74,Curves!$Y$20:$BV$20)+SUMPRODUCT(React!$C$75:$AZ$75,Curves!$Y$43:$BV$43)+SUMPRODUCT(React!$C$76:$AZ$76,Curves!$Y$66:$BV$66)</f>
        <v/>
      </c>
      <c r="BA79" s="5">
        <f>SUMPRODUCT(React!$C$74:$BA$74,Curves!$X$20:$BV$20)+SUMPRODUCT(React!$C$75:$BA$75,Curves!$X$43:$BV$43)+SUMPRODUCT(React!$C$76:$BA$76,Curves!$X$66:$BV$66)</f>
        <v/>
      </c>
      <c r="BB79" s="5">
        <f>SUMPRODUCT(React!$C$74:$BB$74,Curves!$W$20:$BV$20)+SUMPRODUCT(React!$C$75:$BB$75,Curves!$W$43:$BV$43)+SUMPRODUCT(React!$C$76:$BB$76,Curves!$W$66:$BV$66)</f>
        <v/>
      </c>
      <c r="BC79" s="5">
        <f>SUMPRODUCT(React!$C$74:$BC$74,Curves!$V$20:$BV$20)+SUMPRODUCT(React!$C$75:$BC$75,Curves!$V$43:$BV$43)+SUMPRODUCT(React!$C$76:$BC$76,Curves!$V$66:$BV$66)</f>
        <v/>
      </c>
      <c r="BD79" s="5">
        <f>SUMPRODUCT(React!$C$74:$BD$74,Curves!$U$20:$BV$20)+SUMPRODUCT(React!$C$75:$BD$75,Curves!$U$43:$BV$43)+SUMPRODUCT(React!$C$76:$BD$76,Curves!$U$66:$BV$66)</f>
        <v/>
      </c>
      <c r="BE79" s="5">
        <f>SUMPRODUCT(React!$C$74:$BE$74,Curves!$T$20:$BV$20)+SUMPRODUCT(React!$C$75:$BE$75,Curves!$T$43:$BV$43)+SUMPRODUCT(React!$C$76:$BE$76,Curves!$T$66:$BV$66)</f>
        <v/>
      </c>
      <c r="BF79" s="5">
        <f>SUMPRODUCT(React!$C$74:$BF$74,Curves!$S$20:$BV$20)+SUMPRODUCT(React!$C$75:$BF$75,Curves!$S$43:$BV$43)+SUMPRODUCT(React!$C$76:$BF$76,Curves!$S$66:$BV$66)</f>
        <v/>
      </c>
      <c r="BG79" s="5">
        <f>SUMPRODUCT(React!$C$74:$BG$74,Curves!$R$20:$BV$20)+SUMPRODUCT(React!$C$75:$BG$75,Curves!$R$43:$BV$43)+SUMPRODUCT(React!$C$76:$BG$76,Curves!$R$66:$BV$66)</f>
        <v/>
      </c>
      <c r="BH79" s="5">
        <f>SUMPRODUCT(React!$C$74:$BH$74,Curves!$Q$20:$BV$20)+SUMPRODUCT(React!$C$75:$BH$75,Curves!$Q$43:$BV$43)+SUMPRODUCT(React!$C$76:$BH$76,Curves!$Q$66:$BV$66)</f>
        <v/>
      </c>
      <c r="BI79" s="5">
        <f>SUMPRODUCT(React!$C$74:$BI$74,Curves!$P$20:$BV$20)+SUMPRODUCT(React!$C$75:$BI$75,Curves!$P$43:$BV$43)+SUMPRODUCT(React!$C$76:$BI$76,Curves!$P$66:$BV$66)</f>
        <v/>
      </c>
      <c r="BJ79" s="5">
        <f>SUMPRODUCT(React!$C$74:$BJ$74,Curves!$O$20:$BV$20)+SUMPRODUCT(React!$C$75:$BJ$75,Curves!$O$43:$BV$43)+SUMPRODUCT(React!$C$76:$BJ$76,Curves!$O$66:$BV$66)</f>
        <v/>
      </c>
      <c r="BK79" s="5">
        <f>SUMPRODUCT(React!$C$74:$BK$74,Curves!$N$20:$BV$20)+SUMPRODUCT(React!$C$75:$BK$75,Curves!$N$43:$BV$43)+SUMPRODUCT(React!$C$76:$BK$76,Curves!$N$66:$BV$66)</f>
        <v/>
      </c>
      <c r="BL79" s="5">
        <f>SUMPRODUCT(React!$C$74:$BL$74,Curves!$M$20:$BV$20)+SUMPRODUCT(React!$C$75:$BL$75,Curves!$M$43:$BV$43)+SUMPRODUCT(React!$C$76:$BL$76,Curves!$M$66:$BV$66)</f>
        <v/>
      </c>
      <c r="BM79" s="5">
        <f>SUMPRODUCT(React!$C$74:$BM$74,Curves!$L$20:$BV$20)+SUMPRODUCT(React!$C$75:$BM$75,Curves!$L$43:$BV$43)+SUMPRODUCT(React!$C$76:$BM$76,Curves!$L$66:$BV$66)</f>
        <v/>
      </c>
      <c r="BN79" s="5">
        <f>SUMPRODUCT(React!$C$74:$BN$74,Curves!$K$20:$BV$20)+SUMPRODUCT(React!$C$75:$BN$75,Curves!$K$43:$BV$43)+SUMPRODUCT(React!$C$76:$BN$76,Curves!$K$66:$BV$66)</f>
        <v/>
      </c>
      <c r="BO79" s="5">
        <f>SUMPRODUCT(React!$C$74:$BO$74,Curves!$J$20:$BV$20)+SUMPRODUCT(React!$C$75:$BO$75,Curves!$J$43:$BV$43)+SUMPRODUCT(React!$C$76:$BO$76,Curves!$J$66:$BV$66)</f>
        <v/>
      </c>
      <c r="BP79" s="5">
        <f>SUMPRODUCT(React!$C$74:$BP$74,Curves!$I$20:$BV$20)+SUMPRODUCT(React!$C$75:$BP$75,Curves!$I$43:$BV$43)+SUMPRODUCT(React!$C$76:$BP$76,Curves!$I$66:$BV$66)</f>
        <v/>
      </c>
      <c r="BQ79" s="5">
        <f>SUMPRODUCT(React!$C$74:$BQ$74,Curves!$H$20:$BV$20)+SUMPRODUCT(React!$C$75:$BQ$75,Curves!$H$43:$BV$43)+SUMPRODUCT(React!$C$76:$BQ$76,Curves!$H$66:$BV$66)</f>
        <v/>
      </c>
      <c r="BR79" s="5">
        <f>SUMPRODUCT(React!$C$74:$BR$74,Curves!$G$20:$BV$20)+SUMPRODUCT(React!$C$75:$BR$75,Curves!$G$43:$BV$43)+SUMPRODUCT(React!$C$76:$BR$76,Curves!$G$66:$BV$66)</f>
        <v/>
      </c>
      <c r="BS79" s="5">
        <f>SUMPRODUCT(React!$C$74:$BS$74,Curves!$F$20:$BV$20)+SUMPRODUCT(React!$C$75:$BS$75,Curves!$F$43:$BV$43)+SUMPRODUCT(React!$C$76:$BS$76,Curves!$F$66:$BV$66)</f>
        <v/>
      </c>
      <c r="BT79" s="5">
        <f>SUMPRODUCT(React!$C$74:$BT$74,Curves!$E$20:$BV$20)+SUMPRODUCT(React!$C$75:$BT$75,Curves!$E$43:$BV$43)+SUMPRODUCT(React!$C$76:$BT$76,Curves!$E$66:$BV$66)</f>
        <v/>
      </c>
      <c r="BU79" s="5">
        <f>SUMPRODUCT(React!$C$74:$BU$74,Curves!$D$20:$BV$20)+SUMPRODUCT(React!$C$75:$BU$75,Curves!$D$43:$BV$43)+SUMPRODUCT(React!$C$76:$BU$76,Curves!$D$66:$BV$66)</f>
        <v/>
      </c>
      <c r="BV79" s="5">
        <f>SUMPRODUCT(React!$C$74:$BV$74,Curves!$C$20:$BV$20)+SUMPRODUCT(React!$C$75:$BV$75,Curves!$C$43:$BV$43)+SUMPRODUCT(React!$C$76:$BV$76,Curves!$C$66:$BV$66)</f>
        <v/>
      </c>
    </row>
    <row r="81">
      <c r="A81" t="inlineStr">
        <is>
          <t>churn pool inflow</t>
        </is>
      </c>
      <c r="B81" t="inlineStr">
        <is>
          <t>EUROPE|BASIC_M</t>
        </is>
      </c>
      <c r="C81" s="5">
        <f>Paid!C29+Legacy!C31</f>
        <v/>
      </c>
      <c r="D81" s="5">
        <f>Paid!D29+Legacy!D31</f>
        <v/>
      </c>
      <c r="E81" s="5">
        <f>Paid!E29+Legacy!E31</f>
        <v/>
      </c>
      <c r="F81" s="5">
        <f>Paid!F29+Legacy!F31</f>
        <v/>
      </c>
      <c r="G81" s="5">
        <f>Paid!G29+Legacy!G31</f>
        <v/>
      </c>
      <c r="H81" s="5">
        <f>Paid!H29+Legacy!H31</f>
        <v/>
      </c>
      <c r="I81" s="5">
        <f>Paid!I29+Legacy!I31</f>
        <v/>
      </c>
      <c r="J81" s="5">
        <f>Paid!J29+Legacy!J31</f>
        <v/>
      </c>
      <c r="K81" s="5">
        <f>Paid!K29+Legacy!K31</f>
        <v/>
      </c>
      <c r="L81" s="5">
        <f>Paid!L29+Legacy!L31</f>
        <v/>
      </c>
      <c r="M81" s="5">
        <f>Paid!M29+Legacy!M31</f>
        <v/>
      </c>
      <c r="N81" s="5">
        <f>Paid!N29+Legacy!N31</f>
        <v/>
      </c>
      <c r="O81" s="5">
        <f>Paid!O29+Legacy!O31</f>
        <v/>
      </c>
      <c r="P81" s="5">
        <f>Paid!P29+Legacy!P31</f>
        <v/>
      </c>
      <c r="Q81" s="5">
        <f>Paid!Q29+Legacy!Q31</f>
        <v/>
      </c>
      <c r="R81" s="5">
        <f>Paid!R29+Legacy!R31</f>
        <v/>
      </c>
      <c r="S81" s="5">
        <f>Paid!S29+Legacy!S31</f>
        <v/>
      </c>
      <c r="T81" s="5">
        <f>Paid!T29+Legacy!T31</f>
        <v/>
      </c>
      <c r="U81" s="5">
        <f>Paid!U29+Legacy!U31</f>
        <v/>
      </c>
      <c r="V81" s="5">
        <f>Paid!V29+Legacy!V31</f>
        <v/>
      </c>
      <c r="W81" s="5">
        <f>Paid!W29+Legacy!W31</f>
        <v/>
      </c>
      <c r="X81" s="5">
        <f>Paid!X29+Legacy!X31</f>
        <v/>
      </c>
      <c r="Y81" s="5">
        <f>Paid!Y29+Legacy!Y31</f>
        <v/>
      </c>
      <c r="Z81" s="5">
        <f>Paid!Z29+Legacy!Z31</f>
        <v/>
      </c>
      <c r="AA81" s="5">
        <f>Paid!AA29+Legacy!AA31</f>
        <v/>
      </c>
      <c r="AB81" s="5">
        <f>Paid!AB29+Legacy!AB31</f>
        <v/>
      </c>
      <c r="AC81" s="5">
        <f>Paid!AC29+Legacy!AC31</f>
        <v/>
      </c>
      <c r="AD81" s="5">
        <f>Paid!AD29+Legacy!AD31</f>
        <v/>
      </c>
      <c r="AE81" s="5">
        <f>Paid!AE29+Legacy!AE31</f>
        <v/>
      </c>
      <c r="AF81" s="5">
        <f>Paid!AF29+Legacy!AF31</f>
        <v/>
      </c>
      <c r="AG81" s="5">
        <f>Paid!AG29+Legacy!AG31</f>
        <v/>
      </c>
      <c r="AH81" s="5">
        <f>Paid!AH29+Legacy!AH31</f>
        <v/>
      </c>
      <c r="AI81" s="5">
        <f>Paid!AI29+Legacy!AI31</f>
        <v/>
      </c>
      <c r="AJ81" s="5">
        <f>Paid!AJ29+Legacy!AJ31</f>
        <v/>
      </c>
      <c r="AK81" s="5">
        <f>Paid!AK29+Legacy!AK31</f>
        <v/>
      </c>
      <c r="AL81" s="5">
        <f>Paid!AL29+Legacy!AL31</f>
        <v/>
      </c>
      <c r="AM81" s="5">
        <f>Paid!AM29+Legacy!AM31</f>
        <v/>
      </c>
      <c r="AN81" s="5">
        <f>Paid!AN29+Legacy!AN31</f>
        <v/>
      </c>
      <c r="AO81" s="5">
        <f>Paid!AO29+Legacy!AO31</f>
        <v/>
      </c>
      <c r="AP81" s="5">
        <f>Paid!AP29+Legacy!AP31</f>
        <v/>
      </c>
      <c r="AQ81" s="5">
        <f>Paid!AQ29+Legacy!AQ31</f>
        <v/>
      </c>
      <c r="AR81" s="5">
        <f>Paid!AR29+Legacy!AR31</f>
        <v/>
      </c>
      <c r="AS81" s="5">
        <f>Paid!AS29+Legacy!AS31</f>
        <v/>
      </c>
      <c r="AT81" s="5">
        <f>Paid!AT29+Legacy!AT31</f>
        <v/>
      </c>
      <c r="AU81" s="5">
        <f>Paid!AU29+Legacy!AU31</f>
        <v/>
      </c>
      <c r="AV81" s="5">
        <f>Paid!AV29+Legacy!AV31</f>
        <v/>
      </c>
      <c r="AW81" s="5">
        <f>Paid!AW29+Legacy!AW31</f>
        <v/>
      </c>
      <c r="AX81" s="5">
        <f>Paid!AX29+Legacy!AX31</f>
        <v/>
      </c>
      <c r="AY81" s="5">
        <f>Paid!AY29+Legacy!AY31</f>
        <v/>
      </c>
      <c r="AZ81" s="5">
        <f>Paid!AZ29+Legacy!AZ31</f>
        <v/>
      </c>
      <c r="BA81" s="5">
        <f>Paid!BA29+Legacy!BA31</f>
        <v/>
      </c>
      <c r="BB81" s="5">
        <f>Paid!BB29+Legacy!BB31</f>
        <v/>
      </c>
      <c r="BC81" s="5">
        <f>Paid!BC29+Legacy!BC31</f>
        <v/>
      </c>
      <c r="BD81" s="5">
        <f>Paid!BD29+Legacy!BD31</f>
        <v/>
      </c>
      <c r="BE81" s="5">
        <f>Paid!BE29+Legacy!BE31</f>
        <v/>
      </c>
      <c r="BF81" s="5">
        <f>Paid!BF29+Legacy!BF31</f>
        <v/>
      </c>
      <c r="BG81" s="5">
        <f>Paid!BG29+Legacy!BG31</f>
        <v/>
      </c>
      <c r="BH81" s="5">
        <f>Paid!BH29+Legacy!BH31</f>
        <v/>
      </c>
      <c r="BI81" s="5">
        <f>Paid!BI29+Legacy!BI31</f>
        <v/>
      </c>
      <c r="BJ81" s="5">
        <f>Paid!BJ29+Legacy!BJ31</f>
        <v/>
      </c>
      <c r="BK81" s="5">
        <f>Paid!BK29+Legacy!BK31</f>
        <v/>
      </c>
      <c r="BL81" s="5">
        <f>Paid!BL29+Legacy!BL31</f>
        <v/>
      </c>
      <c r="BM81" s="5">
        <f>Paid!BM29+Legacy!BM31</f>
        <v/>
      </c>
      <c r="BN81" s="5">
        <f>Paid!BN29+Legacy!BN31</f>
        <v/>
      </c>
      <c r="BO81" s="5">
        <f>Paid!BO29+Legacy!BO31</f>
        <v/>
      </c>
      <c r="BP81" s="5">
        <f>Paid!BP29+Legacy!BP31</f>
        <v/>
      </c>
      <c r="BQ81" s="5">
        <f>Paid!BQ29+Legacy!BQ31</f>
        <v/>
      </c>
      <c r="BR81" s="5">
        <f>Paid!BR29+Legacy!BR31</f>
        <v/>
      </c>
      <c r="BS81" s="5">
        <f>Paid!BS29+Legacy!BS31</f>
        <v/>
      </c>
      <c r="BT81" s="5">
        <f>Paid!BT29+Legacy!BT31</f>
        <v/>
      </c>
      <c r="BU81" s="5">
        <f>Paid!BU29+Legacy!BU31</f>
        <v/>
      </c>
      <c r="BV81" s="5">
        <f>Paid!BV29+Legacy!BV31</f>
        <v/>
      </c>
    </row>
    <row r="82">
      <c r="A82" t="inlineStr">
        <is>
          <t>inflow @0</t>
        </is>
      </c>
      <c r="B82" t="inlineStr">
        <is>
          <t>EUROPE|BASIC_M</t>
        </is>
      </c>
      <c r="C82" s="5">
        <f>C81*Eras!C$3</f>
        <v/>
      </c>
      <c r="D82" s="5">
        <f>D81*Eras!D$3</f>
        <v/>
      </c>
      <c r="E82" s="5">
        <f>E81*Eras!E$3</f>
        <v/>
      </c>
      <c r="F82" s="5">
        <f>F81*Eras!F$3</f>
        <v/>
      </c>
      <c r="G82" s="5">
        <f>G81*Eras!G$3</f>
        <v/>
      </c>
      <c r="H82" s="5">
        <f>H81*Eras!H$3</f>
        <v/>
      </c>
      <c r="I82" s="5">
        <f>I81*Eras!I$3</f>
        <v/>
      </c>
      <c r="J82" s="5">
        <f>J81*Eras!J$3</f>
        <v/>
      </c>
      <c r="K82" s="5">
        <f>K81*Eras!K$3</f>
        <v/>
      </c>
      <c r="L82" s="5">
        <f>L81*Eras!L$3</f>
        <v/>
      </c>
      <c r="M82" s="5">
        <f>M81*Eras!M$3</f>
        <v/>
      </c>
      <c r="N82" s="5">
        <f>N81*Eras!N$3</f>
        <v/>
      </c>
      <c r="O82" s="5">
        <f>O81*Eras!O$3</f>
        <v/>
      </c>
      <c r="P82" s="5">
        <f>P81*Eras!P$3</f>
        <v/>
      </c>
      <c r="Q82" s="5">
        <f>Q81*Eras!Q$3</f>
        <v/>
      </c>
      <c r="R82" s="5">
        <f>R81*Eras!R$3</f>
        <v/>
      </c>
      <c r="S82" s="5">
        <f>S81*Eras!S$3</f>
        <v/>
      </c>
      <c r="T82" s="5">
        <f>T81*Eras!T$3</f>
        <v/>
      </c>
      <c r="U82" s="5">
        <f>U81*Eras!U$3</f>
        <v/>
      </c>
      <c r="V82" s="5">
        <f>V81*Eras!V$3</f>
        <v/>
      </c>
      <c r="W82" s="5">
        <f>W81*Eras!W$3</f>
        <v/>
      </c>
      <c r="X82" s="5">
        <f>X81*Eras!X$3</f>
        <v/>
      </c>
      <c r="Y82" s="5">
        <f>Y81*Eras!Y$3</f>
        <v/>
      </c>
      <c r="Z82" s="5">
        <f>Z81*Eras!Z$3</f>
        <v/>
      </c>
      <c r="AA82" s="5">
        <f>AA81*Eras!AA$3</f>
        <v/>
      </c>
      <c r="AB82" s="5">
        <f>AB81*Eras!AB$3</f>
        <v/>
      </c>
      <c r="AC82" s="5">
        <f>AC81*Eras!AC$3</f>
        <v/>
      </c>
      <c r="AD82" s="5">
        <f>AD81*Eras!AD$3</f>
        <v/>
      </c>
      <c r="AE82" s="5">
        <f>AE81*Eras!AE$3</f>
        <v/>
      </c>
      <c r="AF82" s="5">
        <f>AF81*Eras!AF$3</f>
        <v/>
      </c>
      <c r="AG82" s="5">
        <f>AG81*Eras!AG$3</f>
        <v/>
      </c>
      <c r="AH82" s="5">
        <f>AH81*Eras!AH$3</f>
        <v/>
      </c>
      <c r="AI82" s="5">
        <f>AI81*Eras!AI$3</f>
        <v/>
      </c>
      <c r="AJ82" s="5">
        <f>AJ81*Eras!AJ$3</f>
        <v/>
      </c>
      <c r="AK82" s="5">
        <f>AK81*Eras!AK$3</f>
        <v/>
      </c>
      <c r="AL82" s="5">
        <f>AL81*Eras!AL$3</f>
        <v/>
      </c>
      <c r="AM82" s="5">
        <f>AM81*Eras!AM$3</f>
        <v/>
      </c>
      <c r="AN82" s="5">
        <f>AN81*Eras!AN$3</f>
        <v/>
      </c>
      <c r="AO82" s="5">
        <f>AO81*Eras!AO$3</f>
        <v/>
      </c>
      <c r="AP82" s="5">
        <f>AP81*Eras!AP$3</f>
        <v/>
      </c>
      <c r="AQ82" s="5">
        <f>AQ81*Eras!AQ$3</f>
        <v/>
      </c>
      <c r="AR82" s="5">
        <f>AR81*Eras!AR$3</f>
        <v/>
      </c>
      <c r="AS82" s="5">
        <f>AS81*Eras!AS$3</f>
        <v/>
      </c>
      <c r="AT82" s="5">
        <f>AT81*Eras!AT$3</f>
        <v/>
      </c>
      <c r="AU82" s="5">
        <f>AU81*Eras!AU$3</f>
        <v/>
      </c>
      <c r="AV82" s="5">
        <f>AV81*Eras!AV$3</f>
        <v/>
      </c>
      <c r="AW82" s="5">
        <f>AW81*Eras!AW$3</f>
        <v/>
      </c>
      <c r="AX82" s="5">
        <f>AX81*Eras!AX$3</f>
        <v/>
      </c>
      <c r="AY82" s="5">
        <f>AY81*Eras!AY$3</f>
        <v/>
      </c>
      <c r="AZ82" s="5">
        <f>AZ81*Eras!AZ$3</f>
        <v/>
      </c>
      <c r="BA82" s="5">
        <f>BA81*Eras!BA$3</f>
        <v/>
      </c>
      <c r="BB82" s="5">
        <f>BB81*Eras!BB$3</f>
        <v/>
      </c>
      <c r="BC82" s="5">
        <f>BC81*Eras!BC$3</f>
        <v/>
      </c>
      <c r="BD82" s="5">
        <f>BD81*Eras!BD$3</f>
        <v/>
      </c>
      <c r="BE82" s="5">
        <f>BE81*Eras!BE$3</f>
        <v/>
      </c>
      <c r="BF82" s="5">
        <f>BF81*Eras!BF$3</f>
        <v/>
      </c>
      <c r="BG82" s="5">
        <f>BG81*Eras!BG$3</f>
        <v/>
      </c>
      <c r="BH82" s="5">
        <f>BH81*Eras!BH$3</f>
        <v/>
      </c>
      <c r="BI82" s="5">
        <f>BI81*Eras!BI$3</f>
        <v/>
      </c>
      <c r="BJ82" s="5">
        <f>BJ81*Eras!BJ$3</f>
        <v/>
      </c>
      <c r="BK82" s="5">
        <f>BK81*Eras!BK$3</f>
        <v/>
      </c>
      <c r="BL82" s="5">
        <f>BL81*Eras!BL$3</f>
        <v/>
      </c>
      <c r="BM82" s="5">
        <f>BM81*Eras!BM$3</f>
        <v/>
      </c>
      <c r="BN82" s="5">
        <f>BN81*Eras!BN$3</f>
        <v/>
      </c>
      <c r="BO82" s="5">
        <f>BO81*Eras!BO$3</f>
        <v/>
      </c>
      <c r="BP82" s="5">
        <f>BP81*Eras!BP$3</f>
        <v/>
      </c>
      <c r="BQ82" s="5">
        <f>BQ81*Eras!BQ$3</f>
        <v/>
      </c>
      <c r="BR82" s="5">
        <f>BR81*Eras!BR$3</f>
        <v/>
      </c>
      <c r="BS82" s="5">
        <f>BS81*Eras!BS$3</f>
        <v/>
      </c>
      <c r="BT82" s="5">
        <f>BT81*Eras!BT$3</f>
        <v/>
      </c>
      <c r="BU82" s="5">
        <f>BU81*Eras!BU$3</f>
        <v/>
      </c>
      <c r="BV82" s="5">
        <f>BV81*Eras!BV$3</f>
        <v/>
      </c>
    </row>
    <row r="83">
      <c r="A83" t="inlineStr">
        <is>
          <t>inflow @1</t>
        </is>
      </c>
      <c r="B83" t="inlineStr">
        <is>
          <t>EUROPE|BASIC_M</t>
        </is>
      </c>
      <c r="C83" s="5">
        <f>C81*Eras!C$4</f>
        <v/>
      </c>
      <c r="D83" s="5">
        <f>D81*Eras!D$4</f>
        <v/>
      </c>
      <c r="E83" s="5">
        <f>E81*Eras!E$4</f>
        <v/>
      </c>
      <c r="F83" s="5">
        <f>F81*Eras!F$4</f>
        <v/>
      </c>
      <c r="G83" s="5">
        <f>G81*Eras!G$4</f>
        <v/>
      </c>
      <c r="H83" s="5">
        <f>H81*Eras!H$4</f>
        <v/>
      </c>
      <c r="I83" s="5">
        <f>I81*Eras!I$4</f>
        <v/>
      </c>
      <c r="J83" s="5">
        <f>J81*Eras!J$4</f>
        <v/>
      </c>
      <c r="K83" s="5">
        <f>K81*Eras!K$4</f>
        <v/>
      </c>
      <c r="L83" s="5">
        <f>L81*Eras!L$4</f>
        <v/>
      </c>
      <c r="M83" s="5">
        <f>M81*Eras!M$4</f>
        <v/>
      </c>
      <c r="N83" s="5">
        <f>N81*Eras!N$4</f>
        <v/>
      </c>
      <c r="O83" s="5">
        <f>O81*Eras!O$4</f>
        <v/>
      </c>
      <c r="P83" s="5">
        <f>P81*Eras!P$4</f>
        <v/>
      </c>
      <c r="Q83" s="5">
        <f>Q81*Eras!Q$4</f>
        <v/>
      </c>
      <c r="R83" s="5">
        <f>R81*Eras!R$4</f>
        <v/>
      </c>
      <c r="S83" s="5">
        <f>S81*Eras!S$4</f>
        <v/>
      </c>
      <c r="T83" s="5">
        <f>T81*Eras!T$4</f>
        <v/>
      </c>
      <c r="U83" s="5">
        <f>U81*Eras!U$4</f>
        <v/>
      </c>
      <c r="V83" s="5">
        <f>V81*Eras!V$4</f>
        <v/>
      </c>
      <c r="W83" s="5">
        <f>W81*Eras!W$4</f>
        <v/>
      </c>
      <c r="X83" s="5">
        <f>X81*Eras!X$4</f>
        <v/>
      </c>
      <c r="Y83" s="5">
        <f>Y81*Eras!Y$4</f>
        <v/>
      </c>
      <c r="Z83" s="5">
        <f>Z81*Eras!Z$4</f>
        <v/>
      </c>
      <c r="AA83" s="5">
        <f>AA81*Eras!AA$4</f>
        <v/>
      </c>
      <c r="AB83" s="5">
        <f>AB81*Eras!AB$4</f>
        <v/>
      </c>
      <c r="AC83" s="5">
        <f>AC81*Eras!AC$4</f>
        <v/>
      </c>
      <c r="AD83" s="5">
        <f>AD81*Eras!AD$4</f>
        <v/>
      </c>
      <c r="AE83" s="5">
        <f>AE81*Eras!AE$4</f>
        <v/>
      </c>
      <c r="AF83" s="5">
        <f>AF81*Eras!AF$4</f>
        <v/>
      </c>
      <c r="AG83" s="5">
        <f>AG81*Eras!AG$4</f>
        <v/>
      </c>
      <c r="AH83" s="5">
        <f>AH81*Eras!AH$4</f>
        <v/>
      </c>
      <c r="AI83" s="5">
        <f>AI81*Eras!AI$4</f>
        <v/>
      </c>
      <c r="AJ83" s="5">
        <f>AJ81*Eras!AJ$4</f>
        <v/>
      </c>
      <c r="AK83" s="5">
        <f>AK81*Eras!AK$4</f>
        <v/>
      </c>
      <c r="AL83" s="5">
        <f>AL81*Eras!AL$4</f>
        <v/>
      </c>
      <c r="AM83" s="5">
        <f>AM81*Eras!AM$4</f>
        <v/>
      </c>
      <c r="AN83" s="5">
        <f>AN81*Eras!AN$4</f>
        <v/>
      </c>
      <c r="AO83" s="5">
        <f>AO81*Eras!AO$4</f>
        <v/>
      </c>
      <c r="AP83" s="5">
        <f>AP81*Eras!AP$4</f>
        <v/>
      </c>
      <c r="AQ83" s="5">
        <f>AQ81*Eras!AQ$4</f>
        <v/>
      </c>
      <c r="AR83" s="5">
        <f>AR81*Eras!AR$4</f>
        <v/>
      </c>
      <c r="AS83" s="5">
        <f>AS81*Eras!AS$4</f>
        <v/>
      </c>
      <c r="AT83" s="5">
        <f>AT81*Eras!AT$4</f>
        <v/>
      </c>
      <c r="AU83" s="5">
        <f>AU81*Eras!AU$4</f>
        <v/>
      </c>
      <c r="AV83" s="5">
        <f>AV81*Eras!AV$4</f>
        <v/>
      </c>
      <c r="AW83" s="5">
        <f>AW81*Eras!AW$4</f>
        <v/>
      </c>
      <c r="AX83" s="5">
        <f>AX81*Eras!AX$4</f>
        <v/>
      </c>
      <c r="AY83" s="5">
        <f>AY81*Eras!AY$4</f>
        <v/>
      </c>
      <c r="AZ83" s="5">
        <f>AZ81*Eras!AZ$4</f>
        <v/>
      </c>
      <c r="BA83" s="5">
        <f>BA81*Eras!BA$4</f>
        <v/>
      </c>
      <c r="BB83" s="5">
        <f>BB81*Eras!BB$4</f>
        <v/>
      </c>
      <c r="BC83" s="5">
        <f>BC81*Eras!BC$4</f>
        <v/>
      </c>
      <c r="BD83" s="5">
        <f>BD81*Eras!BD$4</f>
        <v/>
      </c>
      <c r="BE83" s="5">
        <f>BE81*Eras!BE$4</f>
        <v/>
      </c>
      <c r="BF83" s="5">
        <f>BF81*Eras!BF$4</f>
        <v/>
      </c>
      <c r="BG83" s="5">
        <f>BG81*Eras!BG$4</f>
        <v/>
      </c>
      <c r="BH83" s="5">
        <f>BH81*Eras!BH$4</f>
        <v/>
      </c>
      <c r="BI83" s="5">
        <f>BI81*Eras!BI$4</f>
        <v/>
      </c>
      <c r="BJ83" s="5">
        <f>BJ81*Eras!BJ$4</f>
        <v/>
      </c>
      <c r="BK83" s="5">
        <f>BK81*Eras!BK$4</f>
        <v/>
      </c>
      <c r="BL83" s="5">
        <f>BL81*Eras!BL$4</f>
        <v/>
      </c>
      <c r="BM83" s="5">
        <f>BM81*Eras!BM$4</f>
        <v/>
      </c>
      <c r="BN83" s="5">
        <f>BN81*Eras!BN$4</f>
        <v/>
      </c>
      <c r="BO83" s="5">
        <f>BO81*Eras!BO$4</f>
        <v/>
      </c>
      <c r="BP83" s="5">
        <f>BP81*Eras!BP$4</f>
        <v/>
      </c>
      <c r="BQ83" s="5">
        <f>BQ81*Eras!BQ$4</f>
        <v/>
      </c>
      <c r="BR83" s="5">
        <f>BR81*Eras!BR$4</f>
        <v/>
      </c>
      <c r="BS83" s="5">
        <f>BS81*Eras!BS$4</f>
        <v/>
      </c>
      <c r="BT83" s="5">
        <f>BT81*Eras!BT$4</f>
        <v/>
      </c>
      <c r="BU83" s="5">
        <f>BU81*Eras!BU$4</f>
        <v/>
      </c>
      <c r="BV83" s="5">
        <f>BV81*Eras!BV$4</f>
        <v/>
      </c>
    </row>
    <row r="84">
      <c r="A84" t="inlineStr">
        <is>
          <t>inflow @2</t>
        </is>
      </c>
      <c r="B84" t="inlineStr">
        <is>
          <t>EUROPE|BASIC_M</t>
        </is>
      </c>
      <c r="C84" s="5">
        <f>C81*Eras!C$5</f>
        <v/>
      </c>
      <c r="D84" s="5">
        <f>D81*Eras!D$5</f>
        <v/>
      </c>
      <c r="E84" s="5">
        <f>E81*Eras!E$5</f>
        <v/>
      </c>
      <c r="F84" s="5">
        <f>F81*Eras!F$5</f>
        <v/>
      </c>
      <c r="G84" s="5">
        <f>G81*Eras!G$5</f>
        <v/>
      </c>
      <c r="H84" s="5">
        <f>H81*Eras!H$5</f>
        <v/>
      </c>
      <c r="I84" s="5">
        <f>I81*Eras!I$5</f>
        <v/>
      </c>
      <c r="J84" s="5">
        <f>J81*Eras!J$5</f>
        <v/>
      </c>
      <c r="K84" s="5">
        <f>K81*Eras!K$5</f>
        <v/>
      </c>
      <c r="L84" s="5">
        <f>L81*Eras!L$5</f>
        <v/>
      </c>
      <c r="M84" s="5">
        <f>M81*Eras!M$5</f>
        <v/>
      </c>
      <c r="N84" s="5">
        <f>N81*Eras!N$5</f>
        <v/>
      </c>
      <c r="O84" s="5">
        <f>O81*Eras!O$5</f>
        <v/>
      </c>
      <c r="P84" s="5">
        <f>P81*Eras!P$5</f>
        <v/>
      </c>
      <c r="Q84" s="5">
        <f>Q81*Eras!Q$5</f>
        <v/>
      </c>
      <c r="R84" s="5">
        <f>R81*Eras!R$5</f>
        <v/>
      </c>
      <c r="S84" s="5">
        <f>S81*Eras!S$5</f>
        <v/>
      </c>
      <c r="T84" s="5">
        <f>T81*Eras!T$5</f>
        <v/>
      </c>
      <c r="U84" s="5">
        <f>U81*Eras!U$5</f>
        <v/>
      </c>
      <c r="V84" s="5">
        <f>V81*Eras!V$5</f>
        <v/>
      </c>
      <c r="W84" s="5">
        <f>W81*Eras!W$5</f>
        <v/>
      </c>
      <c r="X84" s="5">
        <f>X81*Eras!X$5</f>
        <v/>
      </c>
      <c r="Y84" s="5">
        <f>Y81*Eras!Y$5</f>
        <v/>
      </c>
      <c r="Z84" s="5">
        <f>Z81*Eras!Z$5</f>
        <v/>
      </c>
      <c r="AA84" s="5">
        <f>AA81*Eras!AA$5</f>
        <v/>
      </c>
      <c r="AB84" s="5">
        <f>AB81*Eras!AB$5</f>
        <v/>
      </c>
      <c r="AC84" s="5">
        <f>AC81*Eras!AC$5</f>
        <v/>
      </c>
      <c r="AD84" s="5">
        <f>AD81*Eras!AD$5</f>
        <v/>
      </c>
      <c r="AE84" s="5">
        <f>AE81*Eras!AE$5</f>
        <v/>
      </c>
      <c r="AF84" s="5">
        <f>AF81*Eras!AF$5</f>
        <v/>
      </c>
      <c r="AG84" s="5">
        <f>AG81*Eras!AG$5</f>
        <v/>
      </c>
      <c r="AH84" s="5">
        <f>AH81*Eras!AH$5</f>
        <v/>
      </c>
      <c r="AI84" s="5">
        <f>AI81*Eras!AI$5</f>
        <v/>
      </c>
      <c r="AJ84" s="5">
        <f>AJ81*Eras!AJ$5</f>
        <v/>
      </c>
      <c r="AK84" s="5">
        <f>AK81*Eras!AK$5</f>
        <v/>
      </c>
      <c r="AL84" s="5">
        <f>AL81*Eras!AL$5</f>
        <v/>
      </c>
      <c r="AM84" s="5">
        <f>AM81*Eras!AM$5</f>
        <v/>
      </c>
      <c r="AN84" s="5">
        <f>AN81*Eras!AN$5</f>
        <v/>
      </c>
      <c r="AO84" s="5">
        <f>AO81*Eras!AO$5</f>
        <v/>
      </c>
      <c r="AP84" s="5">
        <f>AP81*Eras!AP$5</f>
        <v/>
      </c>
      <c r="AQ84" s="5">
        <f>AQ81*Eras!AQ$5</f>
        <v/>
      </c>
      <c r="AR84" s="5">
        <f>AR81*Eras!AR$5</f>
        <v/>
      </c>
      <c r="AS84" s="5">
        <f>AS81*Eras!AS$5</f>
        <v/>
      </c>
      <c r="AT84" s="5">
        <f>AT81*Eras!AT$5</f>
        <v/>
      </c>
      <c r="AU84" s="5">
        <f>AU81*Eras!AU$5</f>
        <v/>
      </c>
      <c r="AV84" s="5">
        <f>AV81*Eras!AV$5</f>
        <v/>
      </c>
      <c r="AW84" s="5">
        <f>AW81*Eras!AW$5</f>
        <v/>
      </c>
      <c r="AX84" s="5">
        <f>AX81*Eras!AX$5</f>
        <v/>
      </c>
      <c r="AY84" s="5">
        <f>AY81*Eras!AY$5</f>
        <v/>
      </c>
      <c r="AZ84" s="5">
        <f>AZ81*Eras!AZ$5</f>
        <v/>
      </c>
      <c r="BA84" s="5">
        <f>BA81*Eras!BA$5</f>
        <v/>
      </c>
      <c r="BB84" s="5">
        <f>BB81*Eras!BB$5</f>
        <v/>
      </c>
      <c r="BC84" s="5">
        <f>BC81*Eras!BC$5</f>
        <v/>
      </c>
      <c r="BD84" s="5">
        <f>BD81*Eras!BD$5</f>
        <v/>
      </c>
      <c r="BE84" s="5">
        <f>BE81*Eras!BE$5</f>
        <v/>
      </c>
      <c r="BF84" s="5">
        <f>BF81*Eras!BF$5</f>
        <v/>
      </c>
      <c r="BG84" s="5">
        <f>BG81*Eras!BG$5</f>
        <v/>
      </c>
      <c r="BH84" s="5">
        <f>BH81*Eras!BH$5</f>
        <v/>
      </c>
      <c r="BI84" s="5">
        <f>BI81*Eras!BI$5</f>
        <v/>
      </c>
      <c r="BJ84" s="5">
        <f>BJ81*Eras!BJ$5</f>
        <v/>
      </c>
      <c r="BK84" s="5">
        <f>BK81*Eras!BK$5</f>
        <v/>
      </c>
      <c r="BL84" s="5">
        <f>BL81*Eras!BL$5</f>
        <v/>
      </c>
      <c r="BM84" s="5">
        <f>BM81*Eras!BM$5</f>
        <v/>
      </c>
      <c r="BN84" s="5">
        <f>BN81*Eras!BN$5</f>
        <v/>
      </c>
      <c r="BO84" s="5">
        <f>BO81*Eras!BO$5</f>
        <v/>
      </c>
      <c r="BP84" s="5">
        <f>BP81*Eras!BP$5</f>
        <v/>
      </c>
      <c r="BQ84" s="5">
        <f>BQ81*Eras!BQ$5</f>
        <v/>
      </c>
      <c r="BR84" s="5">
        <f>BR81*Eras!BR$5</f>
        <v/>
      </c>
      <c r="BS84" s="5">
        <f>BS81*Eras!BS$5</f>
        <v/>
      </c>
      <c r="BT84" s="5">
        <f>BT81*Eras!BT$5</f>
        <v/>
      </c>
      <c r="BU84" s="5">
        <f>BU81*Eras!BU$5</f>
        <v/>
      </c>
      <c r="BV84" s="5">
        <f>BV81*Eras!BV$5</f>
        <v/>
      </c>
    </row>
    <row r="85">
      <c r="A85" t="inlineStr">
        <is>
          <t>reactivations out</t>
        </is>
      </c>
      <c r="B85" t="inlineStr">
        <is>
          <t>EUROPE|BASIC_M</t>
        </is>
      </c>
      <c r="C85" s="5">
        <f>React!$C$82*Curves!$BV$21+React!$C$83*Curves!$BV$44+React!$C$84*Curves!$BV$67</f>
        <v/>
      </c>
      <c r="D85" s="5">
        <f>SUMPRODUCT(React!$C$82:$D$82,Curves!$BU$21:$BV$21)+SUMPRODUCT(React!$C$83:$D$83,Curves!$BU$44:$BV$44)+SUMPRODUCT(React!$C$84:$D$84,Curves!$BU$67:$BV$67)</f>
        <v/>
      </c>
      <c r="E85" s="5">
        <f>SUMPRODUCT(React!$C$82:$E$82,Curves!$BT$21:$BV$21)+SUMPRODUCT(React!$C$83:$E$83,Curves!$BT$44:$BV$44)+SUMPRODUCT(React!$C$84:$E$84,Curves!$BT$67:$BV$67)</f>
        <v/>
      </c>
      <c r="F85" s="5">
        <f>SUMPRODUCT(React!$C$82:$F$82,Curves!$BS$21:$BV$21)+SUMPRODUCT(React!$C$83:$F$83,Curves!$BS$44:$BV$44)+SUMPRODUCT(React!$C$84:$F$84,Curves!$BS$67:$BV$67)</f>
        <v/>
      </c>
      <c r="G85" s="5">
        <f>SUMPRODUCT(React!$C$82:$G$82,Curves!$BR$21:$BV$21)+SUMPRODUCT(React!$C$83:$G$83,Curves!$BR$44:$BV$44)+SUMPRODUCT(React!$C$84:$G$84,Curves!$BR$67:$BV$67)</f>
        <v/>
      </c>
      <c r="H85" s="5">
        <f>SUMPRODUCT(React!$C$82:$H$82,Curves!$BQ$21:$BV$21)+SUMPRODUCT(React!$C$83:$H$83,Curves!$BQ$44:$BV$44)+SUMPRODUCT(React!$C$84:$H$84,Curves!$BQ$67:$BV$67)</f>
        <v/>
      </c>
      <c r="I85" s="5">
        <f>SUMPRODUCT(React!$C$82:$I$82,Curves!$BP$21:$BV$21)+SUMPRODUCT(React!$C$83:$I$83,Curves!$BP$44:$BV$44)+SUMPRODUCT(React!$C$84:$I$84,Curves!$BP$67:$BV$67)</f>
        <v/>
      </c>
      <c r="J85" s="5">
        <f>SUMPRODUCT(React!$C$82:$J$82,Curves!$BO$21:$BV$21)+SUMPRODUCT(React!$C$83:$J$83,Curves!$BO$44:$BV$44)+SUMPRODUCT(React!$C$84:$J$84,Curves!$BO$67:$BV$67)</f>
        <v/>
      </c>
      <c r="K85" s="5">
        <f>SUMPRODUCT(React!$C$82:$K$82,Curves!$BN$21:$BV$21)+SUMPRODUCT(React!$C$83:$K$83,Curves!$BN$44:$BV$44)+SUMPRODUCT(React!$C$84:$K$84,Curves!$BN$67:$BV$67)</f>
        <v/>
      </c>
      <c r="L85" s="5">
        <f>SUMPRODUCT(React!$C$82:$L$82,Curves!$BM$21:$BV$21)+SUMPRODUCT(React!$C$83:$L$83,Curves!$BM$44:$BV$44)+SUMPRODUCT(React!$C$84:$L$84,Curves!$BM$67:$BV$67)</f>
        <v/>
      </c>
      <c r="M85" s="5">
        <f>SUMPRODUCT(React!$C$82:$M$82,Curves!$BL$21:$BV$21)+SUMPRODUCT(React!$C$83:$M$83,Curves!$BL$44:$BV$44)+SUMPRODUCT(React!$C$84:$M$84,Curves!$BL$67:$BV$67)</f>
        <v/>
      </c>
      <c r="N85" s="5">
        <f>SUMPRODUCT(React!$C$82:$N$82,Curves!$BK$21:$BV$21)+SUMPRODUCT(React!$C$83:$N$83,Curves!$BK$44:$BV$44)+SUMPRODUCT(React!$C$84:$N$84,Curves!$BK$67:$BV$67)</f>
        <v/>
      </c>
      <c r="O85" s="5">
        <f>SUMPRODUCT(React!$C$82:$O$82,Curves!$BJ$21:$BV$21)+SUMPRODUCT(React!$C$83:$O$83,Curves!$BJ$44:$BV$44)+SUMPRODUCT(React!$C$84:$O$84,Curves!$BJ$67:$BV$67)</f>
        <v/>
      </c>
      <c r="P85" s="5">
        <f>SUMPRODUCT(React!$C$82:$P$82,Curves!$BI$21:$BV$21)+SUMPRODUCT(React!$C$83:$P$83,Curves!$BI$44:$BV$44)+SUMPRODUCT(React!$C$84:$P$84,Curves!$BI$67:$BV$67)</f>
        <v/>
      </c>
      <c r="Q85" s="5">
        <f>SUMPRODUCT(React!$C$82:$Q$82,Curves!$BH$21:$BV$21)+SUMPRODUCT(React!$C$83:$Q$83,Curves!$BH$44:$BV$44)+SUMPRODUCT(React!$C$84:$Q$84,Curves!$BH$67:$BV$67)</f>
        <v/>
      </c>
      <c r="R85" s="5">
        <f>SUMPRODUCT(React!$C$82:$R$82,Curves!$BG$21:$BV$21)+SUMPRODUCT(React!$C$83:$R$83,Curves!$BG$44:$BV$44)+SUMPRODUCT(React!$C$84:$R$84,Curves!$BG$67:$BV$67)</f>
        <v/>
      </c>
      <c r="S85" s="5">
        <f>SUMPRODUCT(React!$C$82:$S$82,Curves!$BF$21:$BV$21)+SUMPRODUCT(React!$C$83:$S$83,Curves!$BF$44:$BV$44)+SUMPRODUCT(React!$C$84:$S$84,Curves!$BF$67:$BV$67)</f>
        <v/>
      </c>
      <c r="T85" s="5">
        <f>SUMPRODUCT(React!$C$82:$T$82,Curves!$BE$21:$BV$21)+SUMPRODUCT(React!$C$83:$T$83,Curves!$BE$44:$BV$44)+SUMPRODUCT(React!$C$84:$T$84,Curves!$BE$67:$BV$67)</f>
        <v/>
      </c>
      <c r="U85" s="5">
        <f>SUMPRODUCT(React!$C$82:$U$82,Curves!$BD$21:$BV$21)+SUMPRODUCT(React!$C$83:$U$83,Curves!$BD$44:$BV$44)+SUMPRODUCT(React!$C$84:$U$84,Curves!$BD$67:$BV$67)</f>
        <v/>
      </c>
      <c r="V85" s="5">
        <f>SUMPRODUCT(React!$C$82:$V$82,Curves!$BC$21:$BV$21)+SUMPRODUCT(React!$C$83:$V$83,Curves!$BC$44:$BV$44)+SUMPRODUCT(React!$C$84:$V$84,Curves!$BC$67:$BV$67)</f>
        <v/>
      </c>
      <c r="W85" s="5">
        <f>SUMPRODUCT(React!$C$82:$W$82,Curves!$BB$21:$BV$21)+SUMPRODUCT(React!$C$83:$W$83,Curves!$BB$44:$BV$44)+SUMPRODUCT(React!$C$84:$W$84,Curves!$BB$67:$BV$67)</f>
        <v/>
      </c>
      <c r="X85" s="5">
        <f>SUMPRODUCT(React!$C$82:$X$82,Curves!$BA$21:$BV$21)+SUMPRODUCT(React!$C$83:$X$83,Curves!$BA$44:$BV$44)+SUMPRODUCT(React!$C$84:$X$84,Curves!$BA$67:$BV$67)</f>
        <v/>
      </c>
      <c r="Y85" s="5">
        <f>SUMPRODUCT(React!$C$82:$Y$82,Curves!$AZ$21:$BV$21)+SUMPRODUCT(React!$C$83:$Y$83,Curves!$AZ$44:$BV$44)+SUMPRODUCT(React!$C$84:$Y$84,Curves!$AZ$67:$BV$67)</f>
        <v/>
      </c>
      <c r="Z85" s="5">
        <f>SUMPRODUCT(React!$C$82:$Z$82,Curves!$AY$21:$BV$21)+SUMPRODUCT(React!$C$83:$Z$83,Curves!$AY$44:$BV$44)+SUMPRODUCT(React!$C$84:$Z$84,Curves!$AY$67:$BV$67)</f>
        <v/>
      </c>
      <c r="AA85" s="5">
        <f>SUMPRODUCT(React!$C$82:$AA$82,Curves!$AX$21:$BV$21)+SUMPRODUCT(React!$C$83:$AA$83,Curves!$AX$44:$BV$44)+SUMPRODUCT(React!$C$84:$AA$84,Curves!$AX$67:$BV$67)</f>
        <v/>
      </c>
      <c r="AB85" s="5">
        <f>SUMPRODUCT(React!$C$82:$AB$82,Curves!$AW$21:$BV$21)+SUMPRODUCT(React!$C$83:$AB$83,Curves!$AW$44:$BV$44)+SUMPRODUCT(React!$C$84:$AB$84,Curves!$AW$67:$BV$67)</f>
        <v/>
      </c>
      <c r="AC85" s="5">
        <f>SUMPRODUCT(React!$C$82:$AC$82,Curves!$AV$21:$BV$21)+SUMPRODUCT(React!$C$83:$AC$83,Curves!$AV$44:$BV$44)+SUMPRODUCT(React!$C$84:$AC$84,Curves!$AV$67:$BV$67)</f>
        <v/>
      </c>
      <c r="AD85" s="5">
        <f>SUMPRODUCT(React!$C$82:$AD$82,Curves!$AU$21:$BV$21)+SUMPRODUCT(React!$C$83:$AD$83,Curves!$AU$44:$BV$44)+SUMPRODUCT(React!$C$84:$AD$84,Curves!$AU$67:$BV$67)</f>
        <v/>
      </c>
      <c r="AE85" s="5">
        <f>SUMPRODUCT(React!$C$82:$AE$82,Curves!$AT$21:$BV$21)+SUMPRODUCT(React!$C$83:$AE$83,Curves!$AT$44:$BV$44)+SUMPRODUCT(React!$C$84:$AE$84,Curves!$AT$67:$BV$67)</f>
        <v/>
      </c>
      <c r="AF85" s="5">
        <f>SUMPRODUCT(React!$C$82:$AF$82,Curves!$AS$21:$BV$21)+SUMPRODUCT(React!$C$83:$AF$83,Curves!$AS$44:$BV$44)+SUMPRODUCT(React!$C$84:$AF$84,Curves!$AS$67:$BV$67)</f>
        <v/>
      </c>
      <c r="AG85" s="5">
        <f>SUMPRODUCT(React!$C$82:$AG$82,Curves!$AR$21:$BV$21)+SUMPRODUCT(React!$C$83:$AG$83,Curves!$AR$44:$BV$44)+SUMPRODUCT(React!$C$84:$AG$84,Curves!$AR$67:$BV$67)</f>
        <v/>
      </c>
      <c r="AH85" s="5">
        <f>SUMPRODUCT(React!$C$82:$AH$82,Curves!$AQ$21:$BV$21)+SUMPRODUCT(React!$C$83:$AH$83,Curves!$AQ$44:$BV$44)+SUMPRODUCT(React!$C$84:$AH$84,Curves!$AQ$67:$BV$67)</f>
        <v/>
      </c>
      <c r="AI85" s="5">
        <f>SUMPRODUCT(React!$C$82:$AI$82,Curves!$AP$21:$BV$21)+SUMPRODUCT(React!$C$83:$AI$83,Curves!$AP$44:$BV$44)+SUMPRODUCT(React!$C$84:$AI$84,Curves!$AP$67:$BV$67)</f>
        <v/>
      </c>
      <c r="AJ85" s="5">
        <f>SUMPRODUCT(React!$C$82:$AJ$82,Curves!$AO$21:$BV$21)+SUMPRODUCT(React!$C$83:$AJ$83,Curves!$AO$44:$BV$44)+SUMPRODUCT(React!$C$84:$AJ$84,Curves!$AO$67:$BV$67)</f>
        <v/>
      </c>
      <c r="AK85" s="5">
        <f>SUMPRODUCT(React!$C$82:$AK$82,Curves!$AN$21:$BV$21)+SUMPRODUCT(React!$C$83:$AK$83,Curves!$AN$44:$BV$44)+SUMPRODUCT(React!$C$84:$AK$84,Curves!$AN$67:$BV$67)</f>
        <v/>
      </c>
      <c r="AL85" s="5">
        <f>SUMPRODUCT(React!$C$82:$AL$82,Curves!$AM$21:$BV$21)+SUMPRODUCT(React!$C$83:$AL$83,Curves!$AM$44:$BV$44)+SUMPRODUCT(React!$C$84:$AL$84,Curves!$AM$67:$BV$67)</f>
        <v/>
      </c>
      <c r="AM85" s="5">
        <f>SUMPRODUCT(React!$C$82:$AM$82,Curves!$AL$21:$BV$21)+SUMPRODUCT(React!$C$83:$AM$83,Curves!$AL$44:$BV$44)+SUMPRODUCT(React!$C$84:$AM$84,Curves!$AL$67:$BV$67)</f>
        <v/>
      </c>
      <c r="AN85" s="5">
        <f>SUMPRODUCT(React!$C$82:$AN$82,Curves!$AK$21:$BV$21)+SUMPRODUCT(React!$C$83:$AN$83,Curves!$AK$44:$BV$44)+SUMPRODUCT(React!$C$84:$AN$84,Curves!$AK$67:$BV$67)</f>
        <v/>
      </c>
      <c r="AO85" s="5">
        <f>SUMPRODUCT(React!$C$82:$AO$82,Curves!$AJ$21:$BV$21)+SUMPRODUCT(React!$C$83:$AO$83,Curves!$AJ$44:$BV$44)+SUMPRODUCT(React!$C$84:$AO$84,Curves!$AJ$67:$BV$67)</f>
        <v/>
      </c>
      <c r="AP85" s="5">
        <f>SUMPRODUCT(React!$C$82:$AP$82,Curves!$AI$21:$BV$21)+SUMPRODUCT(React!$C$83:$AP$83,Curves!$AI$44:$BV$44)+SUMPRODUCT(React!$C$84:$AP$84,Curves!$AI$67:$BV$67)</f>
        <v/>
      </c>
      <c r="AQ85" s="5">
        <f>SUMPRODUCT(React!$C$82:$AQ$82,Curves!$AH$21:$BV$21)+SUMPRODUCT(React!$C$83:$AQ$83,Curves!$AH$44:$BV$44)+SUMPRODUCT(React!$C$84:$AQ$84,Curves!$AH$67:$BV$67)</f>
        <v/>
      </c>
      <c r="AR85" s="5">
        <f>SUMPRODUCT(React!$C$82:$AR$82,Curves!$AG$21:$BV$21)+SUMPRODUCT(React!$C$83:$AR$83,Curves!$AG$44:$BV$44)+SUMPRODUCT(React!$C$84:$AR$84,Curves!$AG$67:$BV$67)</f>
        <v/>
      </c>
      <c r="AS85" s="5">
        <f>SUMPRODUCT(React!$C$82:$AS$82,Curves!$AF$21:$BV$21)+SUMPRODUCT(React!$C$83:$AS$83,Curves!$AF$44:$BV$44)+SUMPRODUCT(React!$C$84:$AS$84,Curves!$AF$67:$BV$67)</f>
        <v/>
      </c>
      <c r="AT85" s="5">
        <f>SUMPRODUCT(React!$C$82:$AT$82,Curves!$AE$21:$BV$21)+SUMPRODUCT(React!$C$83:$AT$83,Curves!$AE$44:$BV$44)+SUMPRODUCT(React!$C$84:$AT$84,Curves!$AE$67:$BV$67)</f>
        <v/>
      </c>
      <c r="AU85" s="5">
        <f>SUMPRODUCT(React!$C$82:$AU$82,Curves!$AD$21:$BV$21)+SUMPRODUCT(React!$C$83:$AU$83,Curves!$AD$44:$BV$44)+SUMPRODUCT(React!$C$84:$AU$84,Curves!$AD$67:$BV$67)</f>
        <v/>
      </c>
      <c r="AV85" s="5">
        <f>SUMPRODUCT(React!$C$82:$AV$82,Curves!$AC$21:$BV$21)+SUMPRODUCT(React!$C$83:$AV$83,Curves!$AC$44:$BV$44)+SUMPRODUCT(React!$C$84:$AV$84,Curves!$AC$67:$BV$67)</f>
        <v/>
      </c>
      <c r="AW85" s="5">
        <f>SUMPRODUCT(React!$C$82:$AW$82,Curves!$AB$21:$BV$21)+SUMPRODUCT(React!$C$83:$AW$83,Curves!$AB$44:$BV$44)+SUMPRODUCT(React!$C$84:$AW$84,Curves!$AB$67:$BV$67)</f>
        <v/>
      </c>
      <c r="AX85" s="5">
        <f>SUMPRODUCT(React!$C$82:$AX$82,Curves!$AA$21:$BV$21)+SUMPRODUCT(React!$C$83:$AX$83,Curves!$AA$44:$BV$44)+SUMPRODUCT(React!$C$84:$AX$84,Curves!$AA$67:$BV$67)</f>
        <v/>
      </c>
      <c r="AY85" s="5">
        <f>SUMPRODUCT(React!$C$82:$AY$82,Curves!$Z$21:$BV$21)+SUMPRODUCT(React!$C$83:$AY$83,Curves!$Z$44:$BV$44)+SUMPRODUCT(React!$C$84:$AY$84,Curves!$Z$67:$BV$67)</f>
        <v/>
      </c>
      <c r="AZ85" s="5">
        <f>SUMPRODUCT(React!$C$82:$AZ$82,Curves!$Y$21:$BV$21)+SUMPRODUCT(React!$C$83:$AZ$83,Curves!$Y$44:$BV$44)+SUMPRODUCT(React!$C$84:$AZ$84,Curves!$Y$67:$BV$67)</f>
        <v/>
      </c>
      <c r="BA85" s="5">
        <f>SUMPRODUCT(React!$C$82:$BA$82,Curves!$X$21:$BV$21)+SUMPRODUCT(React!$C$83:$BA$83,Curves!$X$44:$BV$44)+SUMPRODUCT(React!$C$84:$BA$84,Curves!$X$67:$BV$67)</f>
        <v/>
      </c>
      <c r="BB85" s="5">
        <f>SUMPRODUCT(React!$C$82:$BB$82,Curves!$W$21:$BV$21)+SUMPRODUCT(React!$C$83:$BB$83,Curves!$W$44:$BV$44)+SUMPRODUCT(React!$C$84:$BB$84,Curves!$W$67:$BV$67)</f>
        <v/>
      </c>
      <c r="BC85" s="5">
        <f>SUMPRODUCT(React!$C$82:$BC$82,Curves!$V$21:$BV$21)+SUMPRODUCT(React!$C$83:$BC$83,Curves!$V$44:$BV$44)+SUMPRODUCT(React!$C$84:$BC$84,Curves!$V$67:$BV$67)</f>
        <v/>
      </c>
      <c r="BD85" s="5">
        <f>SUMPRODUCT(React!$C$82:$BD$82,Curves!$U$21:$BV$21)+SUMPRODUCT(React!$C$83:$BD$83,Curves!$U$44:$BV$44)+SUMPRODUCT(React!$C$84:$BD$84,Curves!$U$67:$BV$67)</f>
        <v/>
      </c>
      <c r="BE85" s="5">
        <f>SUMPRODUCT(React!$C$82:$BE$82,Curves!$T$21:$BV$21)+SUMPRODUCT(React!$C$83:$BE$83,Curves!$T$44:$BV$44)+SUMPRODUCT(React!$C$84:$BE$84,Curves!$T$67:$BV$67)</f>
        <v/>
      </c>
      <c r="BF85" s="5">
        <f>SUMPRODUCT(React!$C$82:$BF$82,Curves!$S$21:$BV$21)+SUMPRODUCT(React!$C$83:$BF$83,Curves!$S$44:$BV$44)+SUMPRODUCT(React!$C$84:$BF$84,Curves!$S$67:$BV$67)</f>
        <v/>
      </c>
      <c r="BG85" s="5">
        <f>SUMPRODUCT(React!$C$82:$BG$82,Curves!$R$21:$BV$21)+SUMPRODUCT(React!$C$83:$BG$83,Curves!$R$44:$BV$44)+SUMPRODUCT(React!$C$84:$BG$84,Curves!$R$67:$BV$67)</f>
        <v/>
      </c>
      <c r="BH85" s="5">
        <f>SUMPRODUCT(React!$C$82:$BH$82,Curves!$Q$21:$BV$21)+SUMPRODUCT(React!$C$83:$BH$83,Curves!$Q$44:$BV$44)+SUMPRODUCT(React!$C$84:$BH$84,Curves!$Q$67:$BV$67)</f>
        <v/>
      </c>
      <c r="BI85" s="5">
        <f>SUMPRODUCT(React!$C$82:$BI$82,Curves!$P$21:$BV$21)+SUMPRODUCT(React!$C$83:$BI$83,Curves!$P$44:$BV$44)+SUMPRODUCT(React!$C$84:$BI$84,Curves!$P$67:$BV$67)</f>
        <v/>
      </c>
      <c r="BJ85" s="5">
        <f>SUMPRODUCT(React!$C$82:$BJ$82,Curves!$O$21:$BV$21)+SUMPRODUCT(React!$C$83:$BJ$83,Curves!$O$44:$BV$44)+SUMPRODUCT(React!$C$84:$BJ$84,Curves!$O$67:$BV$67)</f>
        <v/>
      </c>
      <c r="BK85" s="5">
        <f>SUMPRODUCT(React!$C$82:$BK$82,Curves!$N$21:$BV$21)+SUMPRODUCT(React!$C$83:$BK$83,Curves!$N$44:$BV$44)+SUMPRODUCT(React!$C$84:$BK$84,Curves!$N$67:$BV$67)</f>
        <v/>
      </c>
      <c r="BL85" s="5">
        <f>SUMPRODUCT(React!$C$82:$BL$82,Curves!$M$21:$BV$21)+SUMPRODUCT(React!$C$83:$BL$83,Curves!$M$44:$BV$44)+SUMPRODUCT(React!$C$84:$BL$84,Curves!$M$67:$BV$67)</f>
        <v/>
      </c>
      <c r="BM85" s="5">
        <f>SUMPRODUCT(React!$C$82:$BM$82,Curves!$L$21:$BV$21)+SUMPRODUCT(React!$C$83:$BM$83,Curves!$L$44:$BV$44)+SUMPRODUCT(React!$C$84:$BM$84,Curves!$L$67:$BV$67)</f>
        <v/>
      </c>
      <c r="BN85" s="5">
        <f>SUMPRODUCT(React!$C$82:$BN$82,Curves!$K$21:$BV$21)+SUMPRODUCT(React!$C$83:$BN$83,Curves!$K$44:$BV$44)+SUMPRODUCT(React!$C$84:$BN$84,Curves!$K$67:$BV$67)</f>
        <v/>
      </c>
      <c r="BO85" s="5">
        <f>SUMPRODUCT(React!$C$82:$BO$82,Curves!$J$21:$BV$21)+SUMPRODUCT(React!$C$83:$BO$83,Curves!$J$44:$BV$44)+SUMPRODUCT(React!$C$84:$BO$84,Curves!$J$67:$BV$67)</f>
        <v/>
      </c>
      <c r="BP85" s="5">
        <f>SUMPRODUCT(React!$C$82:$BP$82,Curves!$I$21:$BV$21)+SUMPRODUCT(React!$C$83:$BP$83,Curves!$I$44:$BV$44)+SUMPRODUCT(React!$C$84:$BP$84,Curves!$I$67:$BV$67)</f>
        <v/>
      </c>
      <c r="BQ85" s="5">
        <f>SUMPRODUCT(React!$C$82:$BQ$82,Curves!$H$21:$BV$21)+SUMPRODUCT(React!$C$83:$BQ$83,Curves!$H$44:$BV$44)+SUMPRODUCT(React!$C$84:$BQ$84,Curves!$H$67:$BV$67)</f>
        <v/>
      </c>
      <c r="BR85" s="5">
        <f>SUMPRODUCT(React!$C$82:$BR$82,Curves!$G$21:$BV$21)+SUMPRODUCT(React!$C$83:$BR$83,Curves!$G$44:$BV$44)+SUMPRODUCT(React!$C$84:$BR$84,Curves!$G$67:$BV$67)</f>
        <v/>
      </c>
      <c r="BS85" s="5">
        <f>SUMPRODUCT(React!$C$82:$BS$82,Curves!$F$21:$BV$21)+SUMPRODUCT(React!$C$83:$BS$83,Curves!$F$44:$BV$44)+SUMPRODUCT(React!$C$84:$BS$84,Curves!$F$67:$BV$67)</f>
        <v/>
      </c>
      <c r="BT85" s="5">
        <f>SUMPRODUCT(React!$C$82:$BT$82,Curves!$E$21:$BV$21)+SUMPRODUCT(React!$C$83:$BT$83,Curves!$E$44:$BV$44)+SUMPRODUCT(React!$C$84:$BT$84,Curves!$E$67:$BV$67)</f>
        <v/>
      </c>
      <c r="BU85" s="5">
        <f>SUMPRODUCT(React!$C$82:$BU$82,Curves!$D$21:$BV$21)+SUMPRODUCT(React!$C$83:$BU$83,Curves!$D$44:$BV$44)+SUMPRODUCT(React!$C$84:$BU$84,Curves!$D$67:$BV$67)</f>
        <v/>
      </c>
      <c r="BV85" s="5">
        <f>SUMPRODUCT(React!$C$82:$BV$82,Curves!$C$21:$BV$21)+SUMPRODUCT(React!$C$83:$BV$83,Curves!$C$44:$BV$44)+SUMPRODUCT(React!$C$84:$BV$84,Curves!$C$67:$BV$67)</f>
        <v/>
      </c>
    </row>
    <row r="86">
      <c r="A86" t="inlineStr">
        <is>
          <t>reactivated in</t>
        </is>
      </c>
      <c r="B86" t="inlineStr">
        <is>
          <t>EUROPE|BASIC_M</t>
        </is>
      </c>
      <c r="C86" s="5">
        <f>C85+C98</f>
        <v/>
      </c>
      <c r="D86" s="5">
        <f>D85+D98</f>
        <v/>
      </c>
      <c r="E86" s="5">
        <f>E85+E98</f>
        <v/>
      </c>
      <c r="F86" s="5">
        <f>F85+F98</f>
        <v/>
      </c>
      <c r="G86" s="5">
        <f>G85+G98</f>
        <v/>
      </c>
      <c r="H86" s="5">
        <f>H85+H98</f>
        <v/>
      </c>
      <c r="I86" s="5">
        <f>I85+I98</f>
        <v/>
      </c>
      <c r="J86" s="5">
        <f>J85+J98</f>
        <v/>
      </c>
      <c r="K86" s="5">
        <f>K85+K98</f>
        <v/>
      </c>
      <c r="L86" s="5">
        <f>L85+L98</f>
        <v/>
      </c>
      <c r="M86" s="5">
        <f>M85+M98</f>
        <v/>
      </c>
      <c r="N86" s="5">
        <f>N85+N98</f>
        <v/>
      </c>
      <c r="O86" s="5">
        <f>O85+O98</f>
        <v/>
      </c>
      <c r="P86" s="5">
        <f>P85+P98</f>
        <v/>
      </c>
      <c r="Q86" s="5">
        <f>Q85+Q98</f>
        <v/>
      </c>
      <c r="R86" s="5">
        <f>R85+R98</f>
        <v/>
      </c>
      <c r="S86" s="5">
        <f>S85+S98</f>
        <v/>
      </c>
      <c r="T86" s="5">
        <f>T85+T98</f>
        <v/>
      </c>
      <c r="U86" s="5">
        <f>U85+U98</f>
        <v/>
      </c>
      <c r="V86" s="5">
        <f>V85+V98</f>
        <v/>
      </c>
      <c r="W86" s="5">
        <f>W85+W98</f>
        <v/>
      </c>
      <c r="X86" s="5">
        <f>X85+X98</f>
        <v/>
      </c>
      <c r="Y86" s="5">
        <f>Y85+Y98</f>
        <v/>
      </c>
      <c r="Z86" s="5">
        <f>Z85+Z98</f>
        <v/>
      </c>
      <c r="AA86" s="5">
        <f>AA85+AA98</f>
        <v/>
      </c>
      <c r="AB86" s="5">
        <f>AB85+AB98</f>
        <v/>
      </c>
      <c r="AC86" s="5">
        <f>AC85+AC98</f>
        <v/>
      </c>
      <c r="AD86" s="5">
        <f>AD85+AD98</f>
        <v/>
      </c>
      <c r="AE86" s="5">
        <f>AE85+AE98</f>
        <v/>
      </c>
      <c r="AF86" s="5">
        <f>AF85+AF98</f>
        <v/>
      </c>
      <c r="AG86" s="5">
        <f>AG85+AG98</f>
        <v/>
      </c>
      <c r="AH86" s="5">
        <f>AH85+AH98</f>
        <v/>
      </c>
      <c r="AI86" s="5">
        <f>AI85+AI98</f>
        <v/>
      </c>
      <c r="AJ86" s="5">
        <f>AJ85+AJ98</f>
        <v/>
      </c>
      <c r="AK86" s="5">
        <f>AK85+AK98</f>
        <v/>
      </c>
      <c r="AL86" s="5">
        <f>AL85+AL98</f>
        <v/>
      </c>
      <c r="AM86" s="5">
        <f>AM85+AM98</f>
        <v/>
      </c>
      <c r="AN86" s="5">
        <f>AN85+AN98</f>
        <v/>
      </c>
      <c r="AO86" s="5">
        <f>AO85+AO98</f>
        <v/>
      </c>
      <c r="AP86" s="5">
        <f>AP85+AP98</f>
        <v/>
      </c>
      <c r="AQ86" s="5">
        <f>AQ85+AQ98</f>
        <v/>
      </c>
      <c r="AR86" s="5">
        <f>AR85+AR98</f>
        <v/>
      </c>
      <c r="AS86" s="5">
        <f>AS85+AS98</f>
        <v/>
      </c>
      <c r="AT86" s="5">
        <f>AT85+AT98</f>
        <v/>
      </c>
      <c r="AU86" s="5">
        <f>AU85+AU98</f>
        <v/>
      </c>
      <c r="AV86" s="5">
        <f>AV85+AV98</f>
        <v/>
      </c>
      <c r="AW86" s="5">
        <f>AW85+AW98</f>
        <v/>
      </c>
      <c r="AX86" s="5">
        <f>AX85+AX98</f>
        <v/>
      </c>
      <c r="AY86" s="5">
        <f>AY85+AY98</f>
        <v/>
      </c>
      <c r="AZ86" s="5">
        <f>AZ85+AZ98</f>
        <v/>
      </c>
      <c r="BA86" s="5">
        <f>BA85+BA98</f>
        <v/>
      </c>
      <c r="BB86" s="5">
        <f>BB85+BB98</f>
        <v/>
      </c>
      <c r="BC86" s="5">
        <f>BC85+BC98</f>
        <v/>
      </c>
      <c r="BD86" s="5">
        <f>BD85+BD98</f>
        <v/>
      </c>
      <c r="BE86" s="5">
        <f>BE85+BE98</f>
        <v/>
      </c>
      <c r="BF86" s="5">
        <f>BF85+BF98</f>
        <v/>
      </c>
      <c r="BG86" s="5">
        <f>BG85+BG98</f>
        <v/>
      </c>
      <c r="BH86" s="5">
        <f>BH85+BH98</f>
        <v/>
      </c>
      <c r="BI86" s="5">
        <f>BI85+BI98</f>
        <v/>
      </c>
      <c r="BJ86" s="5">
        <f>BJ85+BJ98</f>
        <v/>
      </c>
      <c r="BK86" s="5">
        <f>BK85+BK98</f>
        <v/>
      </c>
      <c r="BL86" s="5">
        <f>BL85+BL98</f>
        <v/>
      </c>
      <c r="BM86" s="5">
        <f>BM85+BM98</f>
        <v/>
      </c>
      <c r="BN86" s="5">
        <f>BN85+BN98</f>
        <v/>
      </c>
      <c r="BO86" s="5">
        <f>BO85+BO98</f>
        <v/>
      </c>
      <c r="BP86" s="5">
        <f>BP85+BP98</f>
        <v/>
      </c>
      <c r="BQ86" s="5">
        <f>BQ85+BQ98</f>
        <v/>
      </c>
      <c r="BR86" s="5">
        <f>BR85+BR98</f>
        <v/>
      </c>
      <c r="BS86" s="5">
        <f>BS85+BS98</f>
        <v/>
      </c>
      <c r="BT86" s="5">
        <f>BT85+BT98</f>
        <v/>
      </c>
      <c r="BU86" s="5">
        <f>BU85+BU98</f>
        <v/>
      </c>
      <c r="BV86" s="5">
        <f>BV85+BV98</f>
        <v/>
      </c>
    </row>
    <row r="87">
      <c r="A87" t="inlineStr">
        <is>
          <t>reactivated in @0</t>
        </is>
      </c>
      <c r="B87" t="inlineStr">
        <is>
          <t>EUROPE|BASIC_M</t>
        </is>
      </c>
      <c r="C87" s="5">
        <f>C86*Eras!C$3</f>
        <v/>
      </c>
      <c r="D87" s="5">
        <f>D86*Eras!D$3</f>
        <v/>
      </c>
      <c r="E87" s="5">
        <f>E86*Eras!E$3</f>
        <v/>
      </c>
      <c r="F87" s="5">
        <f>F86*Eras!F$3</f>
        <v/>
      </c>
      <c r="G87" s="5">
        <f>G86*Eras!G$3</f>
        <v/>
      </c>
      <c r="H87" s="5">
        <f>H86*Eras!H$3</f>
        <v/>
      </c>
      <c r="I87" s="5">
        <f>I86*Eras!I$3</f>
        <v/>
      </c>
      <c r="J87" s="5">
        <f>J86*Eras!J$3</f>
        <v/>
      </c>
      <c r="K87" s="5">
        <f>K86*Eras!K$3</f>
        <v/>
      </c>
      <c r="L87" s="5">
        <f>L86*Eras!L$3</f>
        <v/>
      </c>
      <c r="M87" s="5">
        <f>M86*Eras!M$3</f>
        <v/>
      </c>
      <c r="N87" s="5">
        <f>N86*Eras!N$3</f>
        <v/>
      </c>
      <c r="O87" s="5">
        <f>O86*Eras!O$3</f>
        <v/>
      </c>
      <c r="P87" s="5">
        <f>P86*Eras!P$3</f>
        <v/>
      </c>
      <c r="Q87" s="5">
        <f>Q86*Eras!Q$3</f>
        <v/>
      </c>
      <c r="R87" s="5">
        <f>R86*Eras!R$3</f>
        <v/>
      </c>
      <c r="S87" s="5">
        <f>S86*Eras!S$3</f>
        <v/>
      </c>
      <c r="T87" s="5">
        <f>T86*Eras!T$3</f>
        <v/>
      </c>
      <c r="U87" s="5">
        <f>U86*Eras!U$3</f>
        <v/>
      </c>
      <c r="V87" s="5">
        <f>V86*Eras!V$3</f>
        <v/>
      </c>
      <c r="W87" s="5">
        <f>W86*Eras!W$3</f>
        <v/>
      </c>
      <c r="X87" s="5">
        <f>X86*Eras!X$3</f>
        <v/>
      </c>
      <c r="Y87" s="5">
        <f>Y86*Eras!Y$3</f>
        <v/>
      </c>
      <c r="Z87" s="5">
        <f>Z86*Eras!Z$3</f>
        <v/>
      </c>
      <c r="AA87" s="5">
        <f>AA86*Eras!AA$3</f>
        <v/>
      </c>
      <c r="AB87" s="5">
        <f>AB86*Eras!AB$3</f>
        <v/>
      </c>
      <c r="AC87" s="5">
        <f>AC86*Eras!AC$3</f>
        <v/>
      </c>
      <c r="AD87" s="5">
        <f>AD86*Eras!AD$3</f>
        <v/>
      </c>
      <c r="AE87" s="5">
        <f>AE86*Eras!AE$3</f>
        <v/>
      </c>
      <c r="AF87" s="5">
        <f>AF86*Eras!AF$3</f>
        <v/>
      </c>
      <c r="AG87" s="5">
        <f>AG86*Eras!AG$3</f>
        <v/>
      </c>
      <c r="AH87" s="5">
        <f>AH86*Eras!AH$3</f>
        <v/>
      </c>
      <c r="AI87" s="5">
        <f>AI86*Eras!AI$3</f>
        <v/>
      </c>
      <c r="AJ87" s="5">
        <f>AJ86*Eras!AJ$3</f>
        <v/>
      </c>
      <c r="AK87" s="5">
        <f>AK86*Eras!AK$3</f>
        <v/>
      </c>
      <c r="AL87" s="5">
        <f>AL86*Eras!AL$3</f>
        <v/>
      </c>
      <c r="AM87" s="5">
        <f>AM86*Eras!AM$3</f>
        <v/>
      </c>
      <c r="AN87" s="5">
        <f>AN86*Eras!AN$3</f>
        <v/>
      </c>
      <c r="AO87" s="5">
        <f>AO86*Eras!AO$3</f>
        <v/>
      </c>
      <c r="AP87" s="5">
        <f>AP86*Eras!AP$3</f>
        <v/>
      </c>
      <c r="AQ87" s="5">
        <f>AQ86*Eras!AQ$3</f>
        <v/>
      </c>
      <c r="AR87" s="5">
        <f>AR86*Eras!AR$3</f>
        <v/>
      </c>
      <c r="AS87" s="5">
        <f>AS86*Eras!AS$3</f>
        <v/>
      </c>
      <c r="AT87" s="5">
        <f>AT86*Eras!AT$3</f>
        <v/>
      </c>
      <c r="AU87" s="5">
        <f>AU86*Eras!AU$3</f>
        <v/>
      </c>
      <c r="AV87" s="5">
        <f>AV86*Eras!AV$3</f>
        <v/>
      </c>
      <c r="AW87" s="5">
        <f>AW86*Eras!AW$3</f>
        <v/>
      </c>
      <c r="AX87" s="5">
        <f>AX86*Eras!AX$3</f>
        <v/>
      </c>
      <c r="AY87" s="5">
        <f>AY86*Eras!AY$3</f>
        <v/>
      </c>
      <c r="AZ87" s="5">
        <f>AZ86*Eras!AZ$3</f>
        <v/>
      </c>
      <c r="BA87" s="5">
        <f>BA86*Eras!BA$3</f>
        <v/>
      </c>
      <c r="BB87" s="5">
        <f>BB86*Eras!BB$3</f>
        <v/>
      </c>
      <c r="BC87" s="5">
        <f>BC86*Eras!BC$3</f>
        <v/>
      </c>
      <c r="BD87" s="5">
        <f>BD86*Eras!BD$3</f>
        <v/>
      </c>
      <c r="BE87" s="5">
        <f>BE86*Eras!BE$3</f>
        <v/>
      </c>
      <c r="BF87" s="5">
        <f>BF86*Eras!BF$3</f>
        <v/>
      </c>
      <c r="BG87" s="5">
        <f>BG86*Eras!BG$3</f>
        <v/>
      </c>
      <c r="BH87" s="5">
        <f>BH86*Eras!BH$3</f>
        <v/>
      </c>
      <c r="BI87" s="5">
        <f>BI86*Eras!BI$3</f>
        <v/>
      </c>
      <c r="BJ87" s="5">
        <f>BJ86*Eras!BJ$3</f>
        <v/>
      </c>
      <c r="BK87" s="5">
        <f>BK86*Eras!BK$3</f>
        <v/>
      </c>
      <c r="BL87" s="5">
        <f>BL86*Eras!BL$3</f>
        <v/>
      </c>
      <c r="BM87" s="5">
        <f>BM86*Eras!BM$3</f>
        <v/>
      </c>
      <c r="BN87" s="5">
        <f>BN86*Eras!BN$3</f>
        <v/>
      </c>
      <c r="BO87" s="5">
        <f>BO86*Eras!BO$3</f>
        <v/>
      </c>
      <c r="BP87" s="5">
        <f>BP86*Eras!BP$3</f>
        <v/>
      </c>
      <c r="BQ87" s="5">
        <f>BQ86*Eras!BQ$3</f>
        <v/>
      </c>
      <c r="BR87" s="5">
        <f>BR86*Eras!BR$3</f>
        <v/>
      </c>
      <c r="BS87" s="5">
        <f>BS86*Eras!BS$3</f>
        <v/>
      </c>
      <c r="BT87" s="5">
        <f>BT86*Eras!BT$3</f>
        <v/>
      </c>
      <c r="BU87" s="5">
        <f>BU86*Eras!BU$3</f>
        <v/>
      </c>
      <c r="BV87" s="5">
        <f>BV86*Eras!BV$3</f>
        <v/>
      </c>
    </row>
    <row r="88">
      <c r="A88" t="inlineStr">
        <is>
          <t>reactivated in @1</t>
        </is>
      </c>
      <c r="B88" t="inlineStr">
        <is>
          <t>EUROPE|BASIC_M</t>
        </is>
      </c>
      <c r="C88" s="5">
        <f>C86*Eras!C$4</f>
        <v/>
      </c>
      <c r="D88" s="5">
        <f>D86*Eras!D$4</f>
        <v/>
      </c>
      <c r="E88" s="5">
        <f>E86*Eras!E$4</f>
        <v/>
      </c>
      <c r="F88" s="5">
        <f>F86*Eras!F$4</f>
        <v/>
      </c>
      <c r="G88" s="5">
        <f>G86*Eras!G$4</f>
        <v/>
      </c>
      <c r="H88" s="5">
        <f>H86*Eras!H$4</f>
        <v/>
      </c>
      <c r="I88" s="5">
        <f>I86*Eras!I$4</f>
        <v/>
      </c>
      <c r="J88" s="5">
        <f>J86*Eras!J$4</f>
        <v/>
      </c>
      <c r="K88" s="5">
        <f>K86*Eras!K$4</f>
        <v/>
      </c>
      <c r="L88" s="5">
        <f>L86*Eras!L$4</f>
        <v/>
      </c>
      <c r="M88" s="5">
        <f>M86*Eras!M$4</f>
        <v/>
      </c>
      <c r="N88" s="5">
        <f>N86*Eras!N$4</f>
        <v/>
      </c>
      <c r="O88" s="5">
        <f>O86*Eras!O$4</f>
        <v/>
      </c>
      <c r="P88" s="5">
        <f>P86*Eras!P$4</f>
        <v/>
      </c>
      <c r="Q88" s="5">
        <f>Q86*Eras!Q$4</f>
        <v/>
      </c>
      <c r="R88" s="5">
        <f>R86*Eras!R$4</f>
        <v/>
      </c>
      <c r="S88" s="5">
        <f>S86*Eras!S$4</f>
        <v/>
      </c>
      <c r="T88" s="5">
        <f>T86*Eras!T$4</f>
        <v/>
      </c>
      <c r="U88" s="5">
        <f>U86*Eras!U$4</f>
        <v/>
      </c>
      <c r="V88" s="5">
        <f>V86*Eras!V$4</f>
        <v/>
      </c>
      <c r="W88" s="5">
        <f>W86*Eras!W$4</f>
        <v/>
      </c>
      <c r="X88" s="5">
        <f>X86*Eras!X$4</f>
        <v/>
      </c>
      <c r="Y88" s="5">
        <f>Y86*Eras!Y$4</f>
        <v/>
      </c>
      <c r="Z88" s="5">
        <f>Z86*Eras!Z$4</f>
        <v/>
      </c>
      <c r="AA88" s="5">
        <f>AA86*Eras!AA$4</f>
        <v/>
      </c>
      <c r="AB88" s="5">
        <f>AB86*Eras!AB$4</f>
        <v/>
      </c>
      <c r="AC88" s="5">
        <f>AC86*Eras!AC$4</f>
        <v/>
      </c>
      <c r="AD88" s="5">
        <f>AD86*Eras!AD$4</f>
        <v/>
      </c>
      <c r="AE88" s="5">
        <f>AE86*Eras!AE$4</f>
        <v/>
      </c>
      <c r="AF88" s="5">
        <f>AF86*Eras!AF$4</f>
        <v/>
      </c>
      <c r="AG88" s="5">
        <f>AG86*Eras!AG$4</f>
        <v/>
      </c>
      <c r="AH88" s="5">
        <f>AH86*Eras!AH$4</f>
        <v/>
      </c>
      <c r="AI88" s="5">
        <f>AI86*Eras!AI$4</f>
        <v/>
      </c>
      <c r="AJ88" s="5">
        <f>AJ86*Eras!AJ$4</f>
        <v/>
      </c>
      <c r="AK88" s="5">
        <f>AK86*Eras!AK$4</f>
        <v/>
      </c>
      <c r="AL88" s="5">
        <f>AL86*Eras!AL$4</f>
        <v/>
      </c>
      <c r="AM88" s="5">
        <f>AM86*Eras!AM$4</f>
        <v/>
      </c>
      <c r="AN88" s="5">
        <f>AN86*Eras!AN$4</f>
        <v/>
      </c>
      <c r="AO88" s="5">
        <f>AO86*Eras!AO$4</f>
        <v/>
      </c>
      <c r="AP88" s="5">
        <f>AP86*Eras!AP$4</f>
        <v/>
      </c>
      <c r="AQ88" s="5">
        <f>AQ86*Eras!AQ$4</f>
        <v/>
      </c>
      <c r="AR88" s="5">
        <f>AR86*Eras!AR$4</f>
        <v/>
      </c>
      <c r="AS88" s="5">
        <f>AS86*Eras!AS$4</f>
        <v/>
      </c>
      <c r="AT88" s="5">
        <f>AT86*Eras!AT$4</f>
        <v/>
      </c>
      <c r="AU88" s="5">
        <f>AU86*Eras!AU$4</f>
        <v/>
      </c>
      <c r="AV88" s="5">
        <f>AV86*Eras!AV$4</f>
        <v/>
      </c>
      <c r="AW88" s="5">
        <f>AW86*Eras!AW$4</f>
        <v/>
      </c>
      <c r="AX88" s="5">
        <f>AX86*Eras!AX$4</f>
        <v/>
      </c>
      <c r="AY88" s="5">
        <f>AY86*Eras!AY$4</f>
        <v/>
      </c>
      <c r="AZ88" s="5">
        <f>AZ86*Eras!AZ$4</f>
        <v/>
      </c>
      <c r="BA88" s="5">
        <f>BA86*Eras!BA$4</f>
        <v/>
      </c>
      <c r="BB88" s="5">
        <f>BB86*Eras!BB$4</f>
        <v/>
      </c>
      <c r="BC88" s="5">
        <f>BC86*Eras!BC$4</f>
        <v/>
      </c>
      <c r="BD88" s="5">
        <f>BD86*Eras!BD$4</f>
        <v/>
      </c>
      <c r="BE88" s="5">
        <f>BE86*Eras!BE$4</f>
        <v/>
      </c>
      <c r="BF88" s="5">
        <f>BF86*Eras!BF$4</f>
        <v/>
      </c>
      <c r="BG88" s="5">
        <f>BG86*Eras!BG$4</f>
        <v/>
      </c>
      <c r="BH88" s="5">
        <f>BH86*Eras!BH$4</f>
        <v/>
      </c>
      <c r="BI88" s="5">
        <f>BI86*Eras!BI$4</f>
        <v/>
      </c>
      <c r="BJ88" s="5">
        <f>BJ86*Eras!BJ$4</f>
        <v/>
      </c>
      <c r="BK88" s="5">
        <f>BK86*Eras!BK$4</f>
        <v/>
      </c>
      <c r="BL88" s="5">
        <f>BL86*Eras!BL$4</f>
        <v/>
      </c>
      <c r="BM88" s="5">
        <f>BM86*Eras!BM$4</f>
        <v/>
      </c>
      <c r="BN88" s="5">
        <f>BN86*Eras!BN$4</f>
        <v/>
      </c>
      <c r="BO88" s="5">
        <f>BO86*Eras!BO$4</f>
        <v/>
      </c>
      <c r="BP88" s="5">
        <f>BP86*Eras!BP$4</f>
        <v/>
      </c>
      <c r="BQ88" s="5">
        <f>BQ86*Eras!BQ$4</f>
        <v/>
      </c>
      <c r="BR88" s="5">
        <f>BR86*Eras!BR$4</f>
        <v/>
      </c>
      <c r="BS88" s="5">
        <f>BS86*Eras!BS$4</f>
        <v/>
      </c>
      <c r="BT88" s="5">
        <f>BT86*Eras!BT$4</f>
        <v/>
      </c>
      <c r="BU88" s="5">
        <f>BU86*Eras!BU$4</f>
        <v/>
      </c>
      <c r="BV88" s="5">
        <f>BV86*Eras!BV$4</f>
        <v/>
      </c>
    </row>
    <row r="89">
      <c r="A89" t="inlineStr">
        <is>
          <t>reactivated in @2</t>
        </is>
      </c>
      <c r="B89" t="inlineStr">
        <is>
          <t>EUROPE|BASIC_M</t>
        </is>
      </c>
      <c r="C89" s="5">
        <f>C86*Eras!C$5</f>
        <v/>
      </c>
      <c r="D89" s="5">
        <f>D86*Eras!D$5</f>
        <v/>
      </c>
      <c r="E89" s="5">
        <f>E86*Eras!E$5</f>
        <v/>
      </c>
      <c r="F89" s="5">
        <f>F86*Eras!F$5</f>
        <v/>
      </c>
      <c r="G89" s="5">
        <f>G86*Eras!G$5</f>
        <v/>
      </c>
      <c r="H89" s="5">
        <f>H86*Eras!H$5</f>
        <v/>
      </c>
      <c r="I89" s="5">
        <f>I86*Eras!I$5</f>
        <v/>
      </c>
      <c r="J89" s="5">
        <f>J86*Eras!J$5</f>
        <v/>
      </c>
      <c r="K89" s="5">
        <f>K86*Eras!K$5</f>
        <v/>
      </c>
      <c r="L89" s="5">
        <f>L86*Eras!L$5</f>
        <v/>
      </c>
      <c r="M89" s="5">
        <f>M86*Eras!M$5</f>
        <v/>
      </c>
      <c r="N89" s="5">
        <f>N86*Eras!N$5</f>
        <v/>
      </c>
      <c r="O89" s="5">
        <f>O86*Eras!O$5</f>
        <v/>
      </c>
      <c r="P89" s="5">
        <f>P86*Eras!P$5</f>
        <v/>
      </c>
      <c r="Q89" s="5">
        <f>Q86*Eras!Q$5</f>
        <v/>
      </c>
      <c r="R89" s="5">
        <f>R86*Eras!R$5</f>
        <v/>
      </c>
      <c r="S89" s="5">
        <f>S86*Eras!S$5</f>
        <v/>
      </c>
      <c r="T89" s="5">
        <f>T86*Eras!T$5</f>
        <v/>
      </c>
      <c r="U89" s="5">
        <f>U86*Eras!U$5</f>
        <v/>
      </c>
      <c r="V89" s="5">
        <f>V86*Eras!V$5</f>
        <v/>
      </c>
      <c r="W89" s="5">
        <f>W86*Eras!W$5</f>
        <v/>
      </c>
      <c r="X89" s="5">
        <f>X86*Eras!X$5</f>
        <v/>
      </c>
      <c r="Y89" s="5">
        <f>Y86*Eras!Y$5</f>
        <v/>
      </c>
      <c r="Z89" s="5">
        <f>Z86*Eras!Z$5</f>
        <v/>
      </c>
      <c r="AA89" s="5">
        <f>AA86*Eras!AA$5</f>
        <v/>
      </c>
      <c r="AB89" s="5">
        <f>AB86*Eras!AB$5</f>
        <v/>
      </c>
      <c r="AC89" s="5">
        <f>AC86*Eras!AC$5</f>
        <v/>
      </c>
      <c r="AD89" s="5">
        <f>AD86*Eras!AD$5</f>
        <v/>
      </c>
      <c r="AE89" s="5">
        <f>AE86*Eras!AE$5</f>
        <v/>
      </c>
      <c r="AF89" s="5">
        <f>AF86*Eras!AF$5</f>
        <v/>
      </c>
      <c r="AG89" s="5">
        <f>AG86*Eras!AG$5</f>
        <v/>
      </c>
      <c r="AH89" s="5">
        <f>AH86*Eras!AH$5</f>
        <v/>
      </c>
      <c r="AI89" s="5">
        <f>AI86*Eras!AI$5</f>
        <v/>
      </c>
      <c r="AJ89" s="5">
        <f>AJ86*Eras!AJ$5</f>
        <v/>
      </c>
      <c r="AK89" s="5">
        <f>AK86*Eras!AK$5</f>
        <v/>
      </c>
      <c r="AL89" s="5">
        <f>AL86*Eras!AL$5</f>
        <v/>
      </c>
      <c r="AM89" s="5">
        <f>AM86*Eras!AM$5</f>
        <v/>
      </c>
      <c r="AN89" s="5">
        <f>AN86*Eras!AN$5</f>
        <v/>
      </c>
      <c r="AO89" s="5">
        <f>AO86*Eras!AO$5</f>
        <v/>
      </c>
      <c r="AP89" s="5">
        <f>AP86*Eras!AP$5</f>
        <v/>
      </c>
      <c r="AQ89" s="5">
        <f>AQ86*Eras!AQ$5</f>
        <v/>
      </c>
      <c r="AR89" s="5">
        <f>AR86*Eras!AR$5</f>
        <v/>
      </c>
      <c r="AS89" s="5">
        <f>AS86*Eras!AS$5</f>
        <v/>
      </c>
      <c r="AT89" s="5">
        <f>AT86*Eras!AT$5</f>
        <v/>
      </c>
      <c r="AU89" s="5">
        <f>AU86*Eras!AU$5</f>
        <v/>
      </c>
      <c r="AV89" s="5">
        <f>AV86*Eras!AV$5</f>
        <v/>
      </c>
      <c r="AW89" s="5">
        <f>AW86*Eras!AW$5</f>
        <v/>
      </c>
      <c r="AX89" s="5">
        <f>AX86*Eras!AX$5</f>
        <v/>
      </c>
      <c r="AY89" s="5">
        <f>AY86*Eras!AY$5</f>
        <v/>
      </c>
      <c r="AZ89" s="5">
        <f>AZ86*Eras!AZ$5</f>
        <v/>
      </c>
      <c r="BA89" s="5">
        <f>BA86*Eras!BA$5</f>
        <v/>
      </c>
      <c r="BB89" s="5">
        <f>BB86*Eras!BB$5</f>
        <v/>
      </c>
      <c r="BC89" s="5">
        <f>BC86*Eras!BC$5</f>
        <v/>
      </c>
      <c r="BD89" s="5">
        <f>BD86*Eras!BD$5</f>
        <v/>
      </c>
      <c r="BE89" s="5">
        <f>BE86*Eras!BE$5</f>
        <v/>
      </c>
      <c r="BF89" s="5">
        <f>BF86*Eras!BF$5</f>
        <v/>
      </c>
      <c r="BG89" s="5">
        <f>BG86*Eras!BG$5</f>
        <v/>
      </c>
      <c r="BH89" s="5">
        <f>BH86*Eras!BH$5</f>
        <v/>
      </c>
      <c r="BI89" s="5">
        <f>BI86*Eras!BI$5</f>
        <v/>
      </c>
      <c r="BJ89" s="5">
        <f>BJ86*Eras!BJ$5</f>
        <v/>
      </c>
      <c r="BK89" s="5">
        <f>BK86*Eras!BK$5</f>
        <v/>
      </c>
      <c r="BL89" s="5">
        <f>BL86*Eras!BL$5</f>
        <v/>
      </c>
      <c r="BM89" s="5">
        <f>BM86*Eras!BM$5</f>
        <v/>
      </c>
      <c r="BN89" s="5">
        <f>BN86*Eras!BN$5</f>
        <v/>
      </c>
      <c r="BO89" s="5">
        <f>BO86*Eras!BO$5</f>
        <v/>
      </c>
      <c r="BP89" s="5">
        <f>BP86*Eras!BP$5</f>
        <v/>
      </c>
      <c r="BQ89" s="5">
        <f>BQ86*Eras!BQ$5</f>
        <v/>
      </c>
      <c r="BR89" s="5">
        <f>BR86*Eras!BR$5</f>
        <v/>
      </c>
      <c r="BS89" s="5">
        <f>BS86*Eras!BS$5</f>
        <v/>
      </c>
      <c r="BT89" s="5">
        <f>BT86*Eras!BT$5</f>
        <v/>
      </c>
      <c r="BU89" s="5">
        <f>BU86*Eras!BU$5</f>
        <v/>
      </c>
      <c r="BV89" s="5">
        <f>BV86*Eras!BV$5</f>
        <v/>
      </c>
    </row>
    <row r="90">
      <c r="A90" t="inlineStr">
        <is>
          <t>active</t>
        </is>
      </c>
      <c r="B90" t="inlineStr">
        <is>
          <t>EUROPE|BASIC_M</t>
        </is>
      </c>
      <c r="C90" s="5">
        <f>React!$C$87*Curves!$BV$19+React!$C$88*Curves!$BV$42+React!$C$89*Curves!$BV$65</f>
        <v/>
      </c>
      <c r="D90" s="5">
        <f>SUMPRODUCT(React!$C$87:$D$87,Curves!$BU$19:$BV$19)+SUMPRODUCT(React!$C$88:$D$88,Curves!$BU$42:$BV$42)+SUMPRODUCT(React!$C$89:$D$89,Curves!$BU$65:$BV$65)</f>
        <v/>
      </c>
      <c r="E90" s="5">
        <f>SUMPRODUCT(React!$C$87:$E$87,Curves!$BT$19:$BV$19)+SUMPRODUCT(React!$C$88:$E$88,Curves!$BT$42:$BV$42)+SUMPRODUCT(React!$C$89:$E$89,Curves!$BT$65:$BV$65)</f>
        <v/>
      </c>
      <c r="F90" s="5">
        <f>SUMPRODUCT(React!$C$87:$F$87,Curves!$BS$19:$BV$19)+SUMPRODUCT(React!$C$88:$F$88,Curves!$BS$42:$BV$42)+SUMPRODUCT(React!$C$89:$F$89,Curves!$BS$65:$BV$65)</f>
        <v/>
      </c>
      <c r="G90" s="5">
        <f>SUMPRODUCT(React!$C$87:$G$87,Curves!$BR$19:$BV$19)+SUMPRODUCT(React!$C$88:$G$88,Curves!$BR$42:$BV$42)+SUMPRODUCT(React!$C$89:$G$89,Curves!$BR$65:$BV$65)</f>
        <v/>
      </c>
      <c r="H90" s="5">
        <f>SUMPRODUCT(React!$C$87:$H$87,Curves!$BQ$19:$BV$19)+SUMPRODUCT(React!$C$88:$H$88,Curves!$BQ$42:$BV$42)+SUMPRODUCT(React!$C$89:$H$89,Curves!$BQ$65:$BV$65)</f>
        <v/>
      </c>
      <c r="I90" s="5">
        <f>SUMPRODUCT(React!$C$87:$I$87,Curves!$BP$19:$BV$19)+SUMPRODUCT(React!$C$88:$I$88,Curves!$BP$42:$BV$42)+SUMPRODUCT(React!$C$89:$I$89,Curves!$BP$65:$BV$65)</f>
        <v/>
      </c>
      <c r="J90" s="5">
        <f>SUMPRODUCT(React!$C$87:$J$87,Curves!$BO$19:$BV$19)+SUMPRODUCT(React!$C$88:$J$88,Curves!$BO$42:$BV$42)+SUMPRODUCT(React!$C$89:$J$89,Curves!$BO$65:$BV$65)</f>
        <v/>
      </c>
      <c r="K90" s="5">
        <f>SUMPRODUCT(React!$C$87:$K$87,Curves!$BN$19:$BV$19)+SUMPRODUCT(React!$C$88:$K$88,Curves!$BN$42:$BV$42)+SUMPRODUCT(React!$C$89:$K$89,Curves!$BN$65:$BV$65)</f>
        <v/>
      </c>
      <c r="L90" s="5">
        <f>SUMPRODUCT(React!$C$87:$L$87,Curves!$BM$19:$BV$19)+SUMPRODUCT(React!$C$88:$L$88,Curves!$BM$42:$BV$42)+SUMPRODUCT(React!$C$89:$L$89,Curves!$BM$65:$BV$65)</f>
        <v/>
      </c>
      <c r="M90" s="5">
        <f>SUMPRODUCT(React!$C$87:$M$87,Curves!$BL$19:$BV$19)+SUMPRODUCT(React!$C$88:$M$88,Curves!$BL$42:$BV$42)+SUMPRODUCT(React!$C$89:$M$89,Curves!$BL$65:$BV$65)</f>
        <v/>
      </c>
      <c r="N90" s="5">
        <f>SUMPRODUCT(React!$C$87:$N$87,Curves!$BK$19:$BV$19)+SUMPRODUCT(React!$C$88:$N$88,Curves!$BK$42:$BV$42)+SUMPRODUCT(React!$C$89:$N$89,Curves!$BK$65:$BV$65)</f>
        <v/>
      </c>
      <c r="O90" s="5">
        <f>SUMPRODUCT(React!$C$87:$O$87,Curves!$BJ$19:$BV$19)+SUMPRODUCT(React!$C$88:$O$88,Curves!$BJ$42:$BV$42)+SUMPRODUCT(React!$C$89:$O$89,Curves!$BJ$65:$BV$65)</f>
        <v/>
      </c>
      <c r="P90" s="5">
        <f>SUMPRODUCT(React!$C$87:$P$87,Curves!$BI$19:$BV$19)+SUMPRODUCT(React!$C$88:$P$88,Curves!$BI$42:$BV$42)+SUMPRODUCT(React!$C$89:$P$89,Curves!$BI$65:$BV$65)</f>
        <v/>
      </c>
      <c r="Q90" s="5">
        <f>SUMPRODUCT(React!$C$87:$Q$87,Curves!$BH$19:$BV$19)+SUMPRODUCT(React!$C$88:$Q$88,Curves!$BH$42:$BV$42)+SUMPRODUCT(React!$C$89:$Q$89,Curves!$BH$65:$BV$65)</f>
        <v/>
      </c>
      <c r="R90" s="5">
        <f>SUMPRODUCT(React!$C$87:$R$87,Curves!$BG$19:$BV$19)+SUMPRODUCT(React!$C$88:$R$88,Curves!$BG$42:$BV$42)+SUMPRODUCT(React!$C$89:$R$89,Curves!$BG$65:$BV$65)</f>
        <v/>
      </c>
      <c r="S90" s="5">
        <f>SUMPRODUCT(React!$C$87:$S$87,Curves!$BF$19:$BV$19)+SUMPRODUCT(React!$C$88:$S$88,Curves!$BF$42:$BV$42)+SUMPRODUCT(React!$C$89:$S$89,Curves!$BF$65:$BV$65)</f>
        <v/>
      </c>
      <c r="T90" s="5">
        <f>SUMPRODUCT(React!$C$87:$T$87,Curves!$BE$19:$BV$19)+SUMPRODUCT(React!$C$88:$T$88,Curves!$BE$42:$BV$42)+SUMPRODUCT(React!$C$89:$T$89,Curves!$BE$65:$BV$65)</f>
        <v/>
      </c>
      <c r="U90" s="5">
        <f>SUMPRODUCT(React!$C$87:$U$87,Curves!$BD$19:$BV$19)+SUMPRODUCT(React!$C$88:$U$88,Curves!$BD$42:$BV$42)+SUMPRODUCT(React!$C$89:$U$89,Curves!$BD$65:$BV$65)</f>
        <v/>
      </c>
      <c r="V90" s="5">
        <f>SUMPRODUCT(React!$C$87:$V$87,Curves!$BC$19:$BV$19)+SUMPRODUCT(React!$C$88:$V$88,Curves!$BC$42:$BV$42)+SUMPRODUCT(React!$C$89:$V$89,Curves!$BC$65:$BV$65)</f>
        <v/>
      </c>
      <c r="W90" s="5">
        <f>SUMPRODUCT(React!$C$87:$W$87,Curves!$BB$19:$BV$19)+SUMPRODUCT(React!$C$88:$W$88,Curves!$BB$42:$BV$42)+SUMPRODUCT(React!$C$89:$W$89,Curves!$BB$65:$BV$65)</f>
        <v/>
      </c>
      <c r="X90" s="5">
        <f>SUMPRODUCT(React!$C$87:$X$87,Curves!$BA$19:$BV$19)+SUMPRODUCT(React!$C$88:$X$88,Curves!$BA$42:$BV$42)+SUMPRODUCT(React!$C$89:$X$89,Curves!$BA$65:$BV$65)</f>
        <v/>
      </c>
      <c r="Y90" s="5">
        <f>SUMPRODUCT(React!$C$87:$Y$87,Curves!$AZ$19:$BV$19)+SUMPRODUCT(React!$C$88:$Y$88,Curves!$AZ$42:$BV$42)+SUMPRODUCT(React!$C$89:$Y$89,Curves!$AZ$65:$BV$65)</f>
        <v/>
      </c>
      <c r="Z90" s="5">
        <f>SUMPRODUCT(React!$C$87:$Z$87,Curves!$AY$19:$BV$19)+SUMPRODUCT(React!$C$88:$Z$88,Curves!$AY$42:$BV$42)+SUMPRODUCT(React!$C$89:$Z$89,Curves!$AY$65:$BV$65)</f>
        <v/>
      </c>
      <c r="AA90" s="5">
        <f>SUMPRODUCT(React!$C$87:$AA$87,Curves!$AX$19:$BV$19)+SUMPRODUCT(React!$C$88:$AA$88,Curves!$AX$42:$BV$42)+SUMPRODUCT(React!$C$89:$AA$89,Curves!$AX$65:$BV$65)</f>
        <v/>
      </c>
      <c r="AB90" s="5">
        <f>SUMPRODUCT(React!$C$87:$AB$87,Curves!$AW$19:$BV$19)+SUMPRODUCT(React!$C$88:$AB$88,Curves!$AW$42:$BV$42)+SUMPRODUCT(React!$C$89:$AB$89,Curves!$AW$65:$BV$65)</f>
        <v/>
      </c>
      <c r="AC90" s="5">
        <f>SUMPRODUCT(React!$C$87:$AC$87,Curves!$AV$19:$BV$19)+SUMPRODUCT(React!$C$88:$AC$88,Curves!$AV$42:$BV$42)+SUMPRODUCT(React!$C$89:$AC$89,Curves!$AV$65:$BV$65)</f>
        <v/>
      </c>
      <c r="AD90" s="5">
        <f>SUMPRODUCT(React!$C$87:$AD$87,Curves!$AU$19:$BV$19)+SUMPRODUCT(React!$C$88:$AD$88,Curves!$AU$42:$BV$42)+SUMPRODUCT(React!$C$89:$AD$89,Curves!$AU$65:$BV$65)</f>
        <v/>
      </c>
      <c r="AE90" s="5">
        <f>SUMPRODUCT(React!$C$87:$AE$87,Curves!$AT$19:$BV$19)+SUMPRODUCT(React!$C$88:$AE$88,Curves!$AT$42:$BV$42)+SUMPRODUCT(React!$C$89:$AE$89,Curves!$AT$65:$BV$65)</f>
        <v/>
      </c>
      <c r="AF90" s="5">
        <f>SUMPRODUCT(React!$C$87:$AF$87,Curves!$AS$19:$BV$19)+SUMPRODUCT(React!$C$88:$AF$88,Curves!$AS$42:$BV$42)+SUMPRODUCT(React!$C$89:$AF$89,Curves!$AS$65:$BV$65)</f>
        <v/>
      </c>
      <c r="AG90" s="5">
        <f>SUMPRODUCT(React!$C$87:$AG$87,Curves!$AR$19:$BV$19)+SUMPRODUCT(React!$C$88:$AG$88,Curves!$AR$42:$BV$42)+SUMPRODUCT(React!$C$89:$AG$89,Curves!$AR$65:$BV$65)</f>
        <v/>
      </c>
      <c r="AH90" s="5">
        <f>SUMPRODUCT(React!$C$87:$AH$87,Curves!$AQ$19:$BV$19)+SUMPRODUCT(React!$C$88:$AH$88,Curves!$AQ$42:$BV$42)+SUMPRODUCT(React!$C$89:$AH$89,Curves!$AQ$65:$BV$65)</f>
        <v/>
      </c>
      <c r="AI90" s="5">
        <f>SUMPRODUCT(React!$C$87:$AI$87,Curves!$AP$19:$BV$19)+SUMPRODUCT(React!$C$88:$AI$88,Curves!$AP$42:$BV$42)+SUMPRODUCT(React!$C$89:$AI$89,Curves!$AP$65:$BV$65)</f>
        <v/>
      </c>
      <c r="AJ90" s="5">
        <f>SUMPRODUCT(React!$C$87:$AJ$87,Curves!$AO$19:$BV$19)+SUMPRODUCT(React!$C$88:$AJ$88,Curves!$AO$42:$BV$42)+SUMPRODUCT(React!$C$89:$AJ$89,Curves!$AO$65:$BV$65)</f>
        <v/>
      </c>
      <c r="AK90" s="5">
        <f>SUMPRODUCT(React!$C$87:$AK$87,Curves!$AN$19:$BV$19)+SUMPRODUCT(React!$C$88:$AK$88,Curves!$AN$42:$BV$42)+SUMPRODUCT(React!$C$89:$AK$89,Curves!$AN$65:$BV$65)</f>
        <v/>
      </c>
      <c r="AL90" s="5">
        <f>SUMPRODUCT(React!$C$87:$AL$87,Curves!$AM$19:$BV$19)+SUMPRODUCT(React!$C$88:$AL$88,Curves!$AM$42:$BV$42)+SUMPRODUCT(React!$C$89:$AL$89,Curves!$AM$65:$BV$65)</f>
        <v/>
      </c>
      <c r="AM90" s="5">
        <f>SUMPRODUCT(React!$C$87:$AM$87,Curves!$AL$19:$BV$19)+SUMPRODUCT(React!$C$88:$AM$88,Curves!$AL$42:$BV$42)+SUMPRODUCT(React!$C$89:$AM$89,Curves!$AL$65:$BV$65)</f>
        <v/>
      </c>
      <c r="AN90" s="5">
        <f>SUMPRODUCT(React!$C$87:$AN$87,Curves!$AK$19:$BV$19)+SUMPRODUCT(React!$C$88:$AN$88,Curves!$AK$42:$BV$42)+SUMPRODUCT(React!$C$89:$AN$89,Curves!$AK$65:$BV$65)</f>
        <v/>
      </c>
      <c r="AO90" s="5">
        <f>SUMPRODUCT(React!$C$87:$AO$87,Curves!$AJ$19:$BV$19)+SUMPRODUCT(React!$C$88:$AO$88,Curves!$AJ$42:$BV$42)+SUMPRODUCT(React!$C$89:$AO$89,Curves!$AJ$65:$BV$65)</f>
        <v/>
      </c>
      <c r="AP90" s="5">
        <f>SUMPRODUCT(React!$C$87:$AP$87,Curves!$AI$19:$BV$19)+SUMPRODUCT(React!$C$88:$AP$88,Curves!$AI$42:$BV$42)+SUMPRODUCT(React!$C$89:$AP$89,Curves!$AI$65:$BV$65)</f>
        <v/>
      </c>
      <c r="AQ90" s="5">
        <f>SUMPRODUCT(React!$C$87:$AQ$87,Curves!$AH$19:$BV$19)+SUMPRODUCT(React!$C$88:$AQ$88,Curves!$AH$42:$BV$42)+SUMPRODUCT(React!$C$89:$AQ$89,Curves!$AH$65:$BV$65)</f>
        <v/>
      </c>
      <c r="AR90" s="5">
        <f>SUMPRODUCT(React!$C$87:$AR$87,Curves!$AG$19:$BV$19)+SUMPRODUCT(React!$C$88:$AR$88,Curves!$AG$42:$BV$42)+SUMPRODUCT(React!$C$89:$AR$89,Curves!$AG$65:$BV$65)</f>
        <v/>
      </c>
      <c r="AS90" s="5">
        <f>SUMPRODUCT(React!$C$87:$AS$87,Curves!$AF$19:$BV$19)+SUMPRODUCT(React!$C$88:$AS$88,Curves!$AF$42:$BV$42)+SUMPRODUCT(React!$C$89:$AS$89,Curves!$AF$65:$BV$65)</f>
        <v/>
      </c>
      <c r="AT90" s="5">
        <f>SUMPRODUCT(React!$C$87:$AT$87,Curves!$AE$19:$BV$19)+SUMPRODUCT(React!$C$88:$AT$88,Curves!$AE$42:$BV$42)+SUMPRODUCT(React!$C$89:$AT$89,Curves!$AE$65:$BV$65)</f>
        <v/>
      </c>
      <c r="AU90" s="5">
        <f>SUMPRODUCT(React!$C$87:$AU$87,Curves!$AD$19:$BV$19)+SUMPRODUCT(React!$C$88:$AU$88,Curves!$AD$42:$BV$42)+SUMPRODUCT(React!$C$89:$AU$89,Curves!$AD$65:$BV$65)</f>
        <v/>
      </c>
      <c r="AV90" s="5">
        <f>SUMPRODUCT(React!$C$87:$AV$87,Curves!$AC$19:$BV$19)+SUMPRODUCT(React!$C$88:$AV$88,Curves!$AC$42:$BV$42)+SUMPRODUCT(React!$C$89:$AV$89,Curves!$AC$65:$BV$65)</f>
        <v/>
      </c>
      <c r="AW90" s="5">
        <f>SUMPRODUCT(React!$C$87:$AW$87,Curves!$AB$19:$BV$19)+SUMPRODUCT(React!$C$88:$AW$88,Curves!$AB$42:$BV$42)+SUMPRODUCT(React!$C$89:$AW$89,Curves!$AB$65:$BV$65)</f>
        <v/>
      </c>
      <c r="AX90" s="5">
        <f>SUMPRODUCT(React!$C$87:$AX$87,Curves!$AA$19:$BV$19)+SUMPRODUCT(React!$C$88:$AX$88,Curves!$AA$42:$BV$42)+SUMPRODUCT(React!$C$89:$AX$89,Curves!$AA$65:$BV$65)</f>
        <v/>
      </c>
      <c r="AY90" s="5">
        <f>SUMPRODUCT(React!$C$87:$AY$87,Curves!$Z$19:$BV$19)+SUMPRODUCT(React!$C$88:$AY$88,Curves!$Z$42:$BV$42)+SUMPRODUCT(React!$C$89:$AY$89,Curves!$Z$65:$BV$65)</f>
        <v/>
      </c>
      <c r="AZ90" s="5">
        <f>SUMPRODUCT(React!$C$87:$AZ$87,Curves!$Y$19:$BV$19)+SUMPRODUCT(React!$C$88:$AZ$88,Curves!$Y$42:$BV$42)+SUMPRODUCT(React!$C$89:$AZ$89,Curves!$Y$65:$BV$65)</f>
        <v/>
      </c>
      <c r="BA90" s="5">
        <f>SUMPRODUCT(React!$C$87:$BA$87,Curves!$X$19:$BV$19)+SUMPRODUCT(React!$C$88:$BA$88,Curves!$X$42:$BV$42)+SUMPRODUCT(React!$C$89:$BA$89,Curves!$X$65:$BV$65)</f>
        <v/>
      </c>
      <c r="BB90" s="5">
        <f>SUMPRODUCT(React!$C$87:$BB$87,Curves!$W$19:$BV$19)+SUMPRODUCT(React!$C$88:$BB$88,Curves!$W$42:$BV$42)+SUMPRODUCT(React!$C$89:$BB$89,Curves!$W$65:$BV$65)</f>
        <v/>
      </c>
      <c r="BC90" s="5">
        <f>SUMPRODUCT(React!$C$87:$BC$87,Curves!$V$19:$BV$19)+SUMPRODUCT(React!$C$88:$BC$88,Curves!$V$42:$BV$42)+SUMPRODUCT(React!$C$89:$BC$89,Curves!$V$65:$BV$65)</f>
        <v/>
      </c>
      <c r="BD90" s="5">
        <f>SUMPRODUCT(React!$C$87:$BD$87,Curves!$U$19:$BV$19)+SUMPRODUCT(React!$C$88:$BD$88,Curves!$U$42:$BV$42)+SUMPRODUCT(React!$C$89:$BD$89,Curves!$U$65:$BV$65)</f>
        <v/>
      </c>
      <c r="BE90" s="5">
        <f>SUMPRODUCT(React!$C$87:$BE$87,Curves!$T$19:$BV$19)+SUMPRODUCT(React!$C$88:$BE$88,Curves!$T$42:$BV$42)+SUMPRODUCT(React!$C$89:$BE$89,Curves!$T$65:$BV$65)</f>
        <v/>
      </c>
      <c r="BF90" s="5">
        <f>SUMPRODUCT(React!$C$87:$BF$87,Curves!$S$19:$BV$19)+SUMPRODUCT(React!$C$88:$BF$88,Curves!$S$42:$BV$42)+SUMPRODUCT(React!$C$89:$BF$89,Curves!$S$65:$BV$65)</f>
        <v/>
      </c>
      <c r="BG90" s="5">
        <f>SUMPRODUCT(React!$C$87:$BG$87,Curves!$R$19:$BV$19)+SUMPRODUCT(React!$C$88:$BG$88,Curves!$R$42:$BV$42)+SUMPRODUCT(React!$C$89:$BG$89,Curves!$R$65:$BV$65)</f>
        <v/>
      </c>
      <c r="BH90" s="5">
        <f>SUMPRODUCT(React!$C$87:$BH$87,Curves!$Q$19:$BV$19)+SUMPRODUCT(React!$C$88:$BH$88,Curves!$Q$42:$BV$42)+SUMPRODUCT(React!$C$89:$BH$89,Curves!$Q$65:$BV$65)</f>
        <v/>
      </c>
      <c r="BI90" s="5">
        <f>SUMPRODUCT(React!$C$87:$BI$87,Curves!$P$19:$BV$19)+SUMPRODUCT(React!$C$88:$BI$88,Curves!$P$42:$BV$42)+SUMPRODUCT(React!$C$89:$BI$89,Curves!$P$65:$BV$65)</f>
        <v/>
      </c>
      <c r="BJ90" s="5">
        <f>SUMPRODUCT(React!$C$87:$BJ$87,Curves!$O$19:$BV$19)+SUMPRODUCT(React!$C$88:$BJ$88,Curves!$O$42:$BV$42)+SUMPRODUCT(React!$C$89:$BJ$89,Curves!$O$65:$BV$65)</f>
        <v/>
      </c>
      <c r="BK90" s="5">
        <f>SUMPRODUCT(React!$C$87:$BK$87,Curves!$N$19:$BV$19)+SUMPRODUCT(React!$C$88:$BK$88,Curves!$N$42:$BV$42)+SUMPRODUCT(React!$C$89:$BK$89,Curves!$N$65:$BV$65)</f>
        <v/>
      </c>
      <c r="BL90" s="5">
        <f>SUMPRODUCT(React!$C$87:$BL$87,Curves!$M$19:$BV$19)+SUMPRODUCT(React!$C$88:$BL$88,Curves!$M$42:$BV$42)+SUMPRODUCT(React!$C$89:$BL$89,Curves!$M$65:$BV$65)</f>
        <v/>
      </c>
      <c r="BM90" s="5">
        <f>SUMPRODUCT(React!$C$87:$BM$87,Curves!$L$19:$BV$19)+SUMPRODUCT(React!$C$88:$BM$88,Curves!$L$42:$BV$42)+SUMPRODUCT(React!$C$89:$BM$89,Curves!$L$65:$BV$65)</f>
        <v/>
      </c>
      <c r="BN90" s="5">
        <f>SUMPRODUCT(React!$C$87:$BN$87,Curves!$K$19:$BV$19)+SUMPRODUCT(React!$C$88:$BN$88,Curves!$K$42:$BV$42)+SUMPRODUCT(React!$C$89:$BN$89,Curves!$K$65:$BV$65)</f>
        <v/>
      </c>
      <c r="BO90" s="5">
        <f>SUMPRODUCT(React!$C$87:$BO$87,Curves!$J$19:$BV$19)+SUMPRODUCT(React!$C$88:$BO$88,Curves!$J$42:$BV$42)+SUMPRODUCT(React!$C$89:$BO$89,Curves!$J$65:$BV$65)</f>
        <v/>
      </c>
      <c r="BP90" s="5">
        <f>SUMPRODUCT(React!$C$87:$BP$87,Curves!$I$19:$BV$19)+SUMPRODUCT(React!$C$88:$BP$88,Curves!$I$42:$BV$42)+SUMPRODUCT(React!$C$89:$BP$89,Curves!$I$65:$BV$65)</f>
        <v/>
      </c>
      <c r="BQ90" s="5">
        <f>SUMPRODUCT(React!$C$87:$BQ$87,Curves!$H$19:$BV$19)+SUMPRODUCT(React!$C$88:$BQ$88,Curves!$H$42:$BV$42)+SUMPRODUCT(React!$C$89:$BQ$89,Curves!$H$65:$BV$65)</f>
        <v/>
      </c>
      <c r="BR90" s="5">
        <f>SUMPRODUCT(React!$C$87:$BR$87,Curves!$G$19:$BV$19)+SUMPRODUCT(React!$C$88:$BR$88,Curves!$G$42:$BV$42)+SUMPRODUCT(React!$C$89:$BR$89,Curves!$G$65:$BV$65)</f>
        <v/>
      </c>
      <c r="BS90" s="5">
        <f>SUMPRODUCT(React!$C$87:$BS$87,Curves!$F$19:$BV$19)+SUMPRODUCT(React!$C$88:$BS$88,Curves!$F$42:$BV$42)+SUMPRODUCT(React!$C$89:$BS$89,Curves!$F$65:$BV$65)</f>
        <v/>
      </c>
      <c r="BT90" s="5">
        <f>SUMPRODUCT(React!$C$87:$BT$87,Curves!$E$19:$BV$19)+SUMPRODUCT(React!$C$88:$BT$88,Curves!$E$42:$BV$42)+SUMPRODUCT(React!$C$89:$BT$89,Curves!$E$65:$BV$65)</f>
        <v/>
      </c>
      <c r="BU90" s="5">
        <f>SUMPRODUCT(React!$C$87:$BU$87,Curves!$D$19:$BV$19)+SUMPRODUCT(React!$C$88:$BU$88,Curves!$D$42:$BV$42)+SUMPRODUCT(React!$C$89:$BU$89,Curves!$D$65:$BV$65)</f>
        <v/>
      </c>
      <c r="BV90" s="5">
        <f>SUMPRODUCT(React!$C$87:$BV$87,Curves!$C$19:$BV$19)+SUMPRODUCT(React!$C$88:$BV$88,Curves!$C$42:$BV$42)+SUMPRODUCT(React!$C$89:$BV$89,Curves!$C$65:$BV$65)</f>
        <v/>
      </c>
    </row>
    <row r="91">
      <c r="A91" t="inlineStr">
        <is>
          <t>active yr 1</t>
        </is>
      </c>
      <c r="B91" t="inlineStr">
        <is>
          <t>EUROPE|BASIC_M</t>
        </is>
      </c>
      <c r="C91" s="5">
        <f>React!$C$87*Curves!$BV$24+React!$C$88*Curves!$BV$47+React!$C$89*Curves!$BV$70</f>
        <v/>
      </c>
      <c r="D91" s="5">
        <f>SUMPRODUCT(React!$C$87:$D$87,Curves!$BU$24:$BV$24)+SUMPRODUCT(React!$C$88:$D$88,Curves!$BU$47:$BV$47)+SUMPRODUCT(React!$C$89:$D$89,Curves!$BU$70:$BV$70)</f>
        <v/>
      </c>
      <c r="E91" s="5">
        <f>SUMPRODUCT(React!$C$87:$E$87,Curves!$BT$24:$BV$24)+SUMPRODUCT(React!$C$88:$E$88,Curves!$BT$47:$BV$47)+SUMPRODUCT(React!$C$89:$E$89,Curves!$BT$70:$BV$70)</f>
        <v/>
      </c>
      <c r="F91" s="5">
        <f>SUMPRODUCT(React!$C$87:$F$87,Curves!$BS$24:$BV$24)+SUMPRODUCT(React!$C$88:$F$88,Curves!$BS$47:$BV$47)+SUMPRODUCT(React!$C$89:$F$89,Curves!$BS$70:$BV$70)</f>
        <v/>
      </c>
      <c r="G91" s="5">
        <f>SUMPRODUCT(React!$C$87:$G$87,Curves!$BR$24:$BV$24)+SUMPRODUCT(React!$C$88:$G$88,Curves!$BR$47:$BV$47)+SUMPRODUCT(React!$C$89:$G$89,Curves!$BR$70:$BV$70)</f>
        <v/>
      </c>
      <c r="H91" s="5">
        <f>SUMPRODUCT(React!$C$87:$H$87,Curves!$BQ$24:$BV$24)+SUMPRODUCT(React!$C$88:$H$88,Curves!$BQ$47:$BV$47)+SUMPRODUCT(React!$C$89:$H$89,Curves!$BQ$70:$BV$70)</f>
        <v/>
      </c>
      <c r="I91" s="5">
        <f>SUMPRODUCT(React!$C$87:$I$87,Curves!$BP$24:$BV$24)+SUMPRODUCT(React!$C$88:$I$88,Curves!$BP$47:$BV$47)+SUMPRODUCT(React!$C$89:$I$89,Curves!$BP$70:$BV$70)</f>
        <v/>
      </c>
      <c r="J91" s="5">
        <f>SUMPRODUCT(React!$C$87:$J$87,Curves!$BO$24:$BV$24)+SUMPRODUCT(React!$C$88:$J$88,Curves!$BO$47:$BV$47)+SUMPRODUCT(React!$C$89:$J$89,Curves!$BO$70:$BV$70)</f>
        <v/>
      </c>
      <c r="K91" s="5">
        <f>SUMPRODUCT(React!$C$87:$K$87,Curves!$BN$24:$BV$24)+SUMPRODUCT(React!$C$88:$K$88,Curves!$BN$47:$BV$47)+SUMPRODUCT(React!$C$89:$K$89,Curves!$BN$70:$BV$70)</f>
        <v/>
      </c>
      <c r="L91" s="5">
        <f>SUMPRODUCT(React!$C$87:$L$87,Curves!$BM$24:$BV$24)+SUMPRODUCT(React!$C$88:$L$88,Curves!$BM$47:$BV$47)+SUMPRODUCT(React!$C$89:$L$89,Curves!$BM$70:$BV$70)</f>
        <v/>
      </c>
      <c r="M91" s="5">
        <f>SUMPRODUCT(React!$C$87:$M$87,Curves!$BL$24:$BV$24)+SUMPRODUCT(React!$C$88:$M$88,Curves!$BL$47:$BV$47)+SUMPRODUCT(React!$C$89:$M$89,Curves!$BL$70:$BV$70)</f>
        <v/>
      </c>
      <c r="N91" s="5">
        <f>SUMPRODUCT(React!$C$87:$N$87,Curves!$BK$24:$BV$24)+SUMPRODUCT(React!$C$88:$N$88,Curves!$BK$47:$BV$47)+SUMPRODUCT(React!$C$89:$N$89,Curves!$BK$70:$BV$70)</f>
        <v/>
      </c>
      <c r="O91" s="5">
        <f>SUMPRODUCT(React!$C$87:$O$87,Curves!$BJ$24:$BV$24)+SUMPRODUCT(React!$C$88:$O$88,Curves!$BJ$47:$BV$47)+SUMPRODUCT(React!$C$89:$O$89,Curves!$BJ$70:$BV$70)</f>
        <v/>
      </c>
      <c r="P91" s="5">
        <f>SUMPRODUCT(React!$C$87:$P$87,Curves!$BI$24:$BV$24)+SUMPRODUCT(React!$C$88:$P$88,Curves!$BI$47:$BV$47)+SUMPRODUCT(React!$C$89:$P$89,Curves!$BI$70:$BV$70)</f>
        <v/>
      </c>
      <c r="Q91" s="5">
        <f>SUMPRODUCT(React!$C$87:$Q$87,Curves!$BH$24:$BV$24)+SUMPRODUCT(React!$C$88:$Q$88,Curves!$BH$47:$BV$47)+SUMPRODUCT(React!$C$89:$Q$89,Curves!$BH$70:$BV$70)</f>
        <v/>
      </c>
      <c r="R91" s="5">
        <f>SUMPRODUCT(React!$C$87:$R$87,Curves!$BG$24:$BV$24)+SUMPRODUCT(React!$C$88:$R$88,Curves!$BG$47:$BV$47)+SUMPRODUCT(React!$C$89:$R$89,Curves!$BG$70:$BV$70)</f>
        <v/>
      </c>
      <c r="S91" s="5">
        <f>SUMPRODUCT(React!$C$87:$S$87,Curves!$BF$24:$BV$24)+SUMPRODUCT(React!$C$88:$S$88,Curves!$BF$47:$BV$47)+SUMPRODUCT(React!$C$89:$S$89,Curves!$BF$70:$BV$70)</f>
        <v/>
      </c>
      <c r="T91" s="5">
        <f>SUMPRODUCT(React!$C$87:$T$87,Curves!$BE$24:$BV$24)+SUMPRODUCT(React!$C$88:$T$88,Curves!$BE$47:$BV$47)+SUMPRODUCT(React!$C$89:$T$89,Curves!$BE$70:$BV$70)</f>
        <v/>
      </c>
      <c r="U91" s="5">
        <f>SUMPRODUCT(React!$C$87:$U$87,Curves!$BD$24:$BV$24)+SUMPRODUCT(React!$C$88:$U$88,Curves!$BD$47:$BV$47)+SUMPRODUCT(React!$C$89:$U$89,Curves!$BD$70:$BV$70)</f>
        <v/>
      </c>
      <c r="V91" s="5">
        <f>SUMPRODUCT(React!$C$87:$V$87,Curves!$BC$24:$BV$24)+SUMPRODUCT(React!$C$88:$V$88,Curves!$BC$47:$BV$47)+SUMPRODUCT(React!$C$89:$V$89,Curves!$BC$70:$BV$70)</f>
        <v/>
      </c>
      <c r="W91" s="5">
        <f>SUMPRODUCT(React!$C$87:$W$87,Curves!$BB$24:$BV$24)+SUMPRODUCT(React!$C$88:$W$88,Curves!$BB$47:$BV$47)+SUMPRODUCT(React!$C$89:$W$89,Curves!$BB$70:$BV$70)</f>
        <v/>
      </c>
      <c r="X91" s="5">
        <f>SUMPRODUCT(React!$C$87:$X$87,Curves!$BA$24:$BV$24)+SUMPRODUCT(React!$C$88:$X$88,Curves!$BA$47:$BV$47)+SUMPRODUCT(React!$C$89:$X$89,Curves!$BA$70:$BV$70)</f>
        <v/>
      </c>
      <c r="Y91" s="5">
        <f>SUMPRODUCT(React!$C$87:$Y$87,Curves!$AZ$24:$BV$24)+SUMPRODUCT(React!$C$88:$Y$88,Curves!$AZ$47:$BV$47)+SUMPRODUCT(React!$C$89:$Y$89,Curves!$AZ$70:$BV$70)</f>
        <v/>
      </c>
      <c r="Z91" s="5">
        <f>SUMPRODUCT(React!$C$87:$Z$87,Curves!$AY$24:$BV$24)+SUMPRODUCT(React!$C$88:$Z$88,Curves!$AY$47:$BV$47)+SUMPRODUCT(React!$C$89:$Z$89,Curves!$AY$70:$BV$70)</f>
        <v/>
      </c>
      <c r="AA91" s="5">
        <f>SUMPRODUCT(React!$C$87:$AA$87,Curves!$AX$24:$BV$24)+SUMPRODUCT(React!$C$88:$AA$88,Curves!$AX$47:$BV$47)+SUMPRODUCT(React!$C$89:$AA$89,Curves!$AX$70:$BV$70)</f>
        <v/>
      </c>
      <c r="AB91" s="5">
        <f>SUMPRODUCT(React!$C$87:$AB$87,Curves!$AW$24:$BV$24)+SUMPRODUCT(React!$C$88:$AB$88,Curves!$AW$47:$BV$47)+SUMPRODUCT(React!$C$89:$AB$89,Curves!$AW$70:$BV$70)</f>
        <v/>
      </c>
      <c r="AC91" s="5">
        <f>SUMPRODUCT(React!$C$87:$AC$87,Curves!$AV$24:$BV$24)+SUMPRODUCT(React!$C$88:$AC$88,Curves!$AV$47:$BV$47)+SUMPRODUCT(React!$C$89:$AC$89,Curves!$AV$70:$BV$70)</f>
        <v/>
      </c>
      <c r="AD91" s="5">
        <f>SUMPRODUCT(React!$C$87:$AD$87,Curves!$AU$24:$BV$24)+SUMPRODUCT(React!$C$88:$AD$88,Curves!$AU$47:$BV$47)+SUMPRODUCT(React!$C$89:$AD$89,Curves!$AU$70:$BV$70)</f>
        <v/>
      </c>
      <c r="AE91" s="5">
        <f>SUMPRODUCT(React!$C$87:$AE$87,Curves!$AT$24:$BV$24)+SUMPRODUCT(React!$C$88:$AE$88,Curves!$AT$47:$BV$47)+SUMPRODUCT(React!$C$89:$AE$89,Curves!$AT$70:$BV$70)</f>
        <v/>
      </c>
      <c r="AF91" s="5">
        <f>SUMPRODUCT(React!$C$87:$AF$87,Curves!$AS$24:$BV$24)+SUMPRODUCT(React!$C$88:$AF$88,Curves!$AS$47:$BV$47)+SUMPRODUCT(React!$C$89:$AF$89,Curves!$AS$70:$BV$70)</f>
        <v/>
      </c>
      <c r="AG91" s="5">
        <f>SUMPRODUCT(React!$C$87:$AG$87,Curves!$AR$24:$BV$24)+SUMPRODUCT(React!$C$88:$AG$88,Curves!$AR$47:$BV$47)+SUMPRODUCT(React!$C$89:$AG$89,Curves!$AR$70:$BV$70)</f>
        <v/>
      </c>
      <c r="AH91" s="5">
        <f>SUMPRODUCT(React!$C$87:$AH$87,Curves!$AQ$24:$BV$24)+SUMPRODUCT(React!$C$88:$AH$88,Curves!$AQ$47:$BV$47)+SUMPRODUCT(React!$C$89:$AH$89,Curves!$AQ$70:$BV$70)</f>
        <v/>
      </c>
      <c r="AI91" s="5">
        <f>SUMPRODUCT(React!$C$87:$AI$87,Curves!$AP$24:$BV$24)+SUMPRODUCT(React!$C$88:$AI$88,Curves!$AP$47:$BV$47)+SUMPRODUCT(React!$C$89:$AI$89,Curves!$AP$70:$BV$70)</f>
        <v/>
      </c>
      <c r="AJ91" s="5">
        <f>SUMPRODUCT(React!$C$87:$AJ$87,Curves!$AO$24:$BV$24)+SUMPRODUCT(React!$C$88:$AJ$88,Curves!$AO$47:$BV$47)+SUMPRODUCT(React!$C$89:$AJ$89,Curves!$AO$70:$BV$70)</f>
        <v/>
      </c>
      <c r="AK91" s="5">
        <f>SUMPRODUCT(React!$C$87:$AK$87,Curves!$AN$24:$BV$24)+SUMPRODUCT(React!$C$88:$AK$88,Curves!$AN$47:$BV$47)+SUMPRODUCT(React!$C$89:$AK$89,Curves!$AN$70:$BV$70)</f>
        <v/>
      </c>
      <c r="AL91" s="5">
        <f>SUMPRODUCT(React!$C$87:$AL$87,Curves!$AM$24:$BV$24)+SUMPRODUCT(React!$C$88:$AL$88,Curves!$AM$47:$BV$47)+SUMPRODUCT(React!$C$89:$AL$89,Curves!$AM$70:$BV$70)</f>
        <v/>
      </c>
      <c r="AM91" s="5">
        <f>SUMPRODUCT(React!$C$87:$AM$87,Curves!$AL$24:$BV$24)+SUMPRODUCT(React!$C$88:$AM$88,Curves!$AL$47:$BV$47)+SUMPRODUCT(React!$C$89:$AM$89,Curves!$AL$70:$BV$70)</f>
        <v/>
      </c>
      <c r="AN91" s="5">
        <f>SUMPRODUCT(React!$C$87:$AN$87,Curves!$AK$24:$BV$24)+SUMPRODUCT(React!$C$88:$AN$88,Curves!$AK$47:$BV$47)+SUMPRODUCT(React!$C$89:$AN$89,Curves!$AK$70:$BV$70)</f>
        <v/>
      </c>
      <c r="AO91" s="5">
        <f>SUMPRODUCT(React!$C$87:$AO$87,Curves!$AJ$24:$BV$24)+SUMPRODUCT(React!$C$88:$AO$88,Curves!$AJ$47:$BV$47)+SUMPRODUCT(React!$C$89:$AO$89,Curves!$AJ$70:$BV$70)</f>
        <v/>
      </c>
      <c r="AP91" s="5">
        <f>SUMPRODUCT(React!$C$87:$AP$87,Curves!$AI$24:$BV$24)+SUMPRODUCT(React!$C$88:$AP$88,Curves!$AI$47:$BV$47)+SUMPRODUCT(React!$C$89:$AP$89,Curves!$AI$70:$BV$70)</f>
        <v/>
      </c>
      <c r="AQ91" s="5">
        <f>SUMPRODUCT(React!$C$87:$AQ$87,Curves!$AH$24:$BV$24)+SUMPRODUCT(React!$C$88:$AQ$88,Curves!$AH$47:$BV$47)+SUMPRODUCT(React!$C$89:$AQ$89,Curves!$AH$70:$BV$70)</f>
        <v/>
      </c>
      <c r="AR91" s="5">
        <f>SUMPRODUCT(React!$C$87:$AR$87,Curves!$AG$24:$BV$24)+SUMPRODUCT(React!$C$88:$AR$88,Curves!$AG$47:$BV$47)+SUMPRODUCT(React!$C$89:$AR$89,Curves!$AG$70:$BV$70)</f>
        <v/>
      </c>
      <c r="AS91" s="5">
        <f>SUMPRODUCT(React!$C$87:$AS$87,Curves!$AF$24:$BV$24)+SUMPRODUCT(React!$C$88:$AS$88,Curves!$AF$47:$BV$47)+SUMPRODUCT(React!$C$89:$AS$89,Curves!$AF$70:$BV$70)</f>
        <v/>
      </c>
      <c r="AT91" s="5">
        <f>SUMPRODUCT(React!$C$87:$AT$87,Curves!$AE$24:$BV$24)+SUMPRODUCT(React!$C$88:$AT$88,Curves!$AE$47:$BV$47)+SUMPRODUCT(React!$C$89:$AT$89,Curves!$AE$70:$BV$70)</f>
        <v/>
      </c>
      <c r="AU91" s="5">
        <f>SUMPRODUCT(React!$C$87:$AU$87,Curves!$AD$24:$BV$24)+SUMPRODUCT(React!$C$88:$AU$88,Curves!$AD$47:$BV$47)+SUMPRODUCT(React!$C$89:$AU$89,Curves!$AD$70:$BV$70)</f>
        <v/>
      </c>
      <c r="AV91" s="5">
        <f>SUMPRODUCT(React!$C$87:$AV$87,Curves!$AC$24:$BV$24)+SUMPRODUCT(React!$C$88:$AV$88,Curves!$AC$47:$BV$47)+SUMPRODUCT(React!$C$89:$AV$89,Curves!$AC$70:$BV$70)</f>
        <v/>
      </c>
      <c r="AW91" s="5">
        <f>SUMPRODUCT(React!$C$87:$AW$87,Curves!$AB$24:$BV$24)+SUMPRODUCT(React!$C$88:$AW$88,Curves!$AB$47:$BV$47)+SUMPRODUCT(React!$C$89:$AW$89,Curves!$AB$70:$BV$70)</f>
        <v/>
      </c>
      <c r="AX91" s="5">
        <f>SUMPRODUCT(React!$C$87:$AX$87,Curves!$AA$24:$BV$24)+SUMPRODUCT(React!$C$88:$AX$88,Curves!$AA$47:$BV$47)+SUMPRODUCT(React!$C$89:$AX$89,Curves!$AA$70:$BV$70)</f>
        <v/>
      </c>
      <c r="AY91" s="5">
        <f>SUMPRODUCT(React!$C$87:$AY$87,Curves!$Z$24:$BV$24)+SUMPRODUCT(React!$C$88:$AY$88,Curves!$Z$47:$BV$47)+SUMPRODUCT(React!$C$89:$AY$89,Curves!$Z$70:$BV$70)</f>
        <v/>
      </c>
      <c r="AZ91" s="5">
        <f>SUMPRODUCT(React!$C$87:$AZ$87,Curves!$Y$24:$BV$24)+SUMPRODUCT(React!$C$88:$AZ$88,Curves!$Y$47:$BV$47)+SUMPRODUCT(React!$C$89:$AZ$89,Curves!$Y$70:$BV$70)</f>
        <v/>
      </c>
      <c r="BA91" s="5">
        <f>SUMPRODUCT(React!$C$87:$BA$87,Curves!$X$24:$BV$24)+SUMPRODUCT(React!$C$88:$BA$88,Curves!$X$47:$BV$47)+SUMPRODUCT(React!$C$89:$BA$89,Curves!$X$70:$BV$70)</f>
        <v/>
      </c>
      <c r="BB91" s="5">
        <f>SUMPRODUCT(React!$C$87:$BB$87,Curves!$W$24:$BV$24)+SUMPRODUCT(React!$C$88:$BB$88,Curves!$W$47:$BV$47)+SUMPRODUCT(React!$C$89:$BB$89,Curves!$W$70:$BV$70)</f>
        <v/>
      </c>
      <c r="BC91" s="5">
        <f>SUMPRODUCT(React!$C$87:$BC$87,Curves!$V$24:$BV$24)+SUMPRODUCT(React!$C$88:$BC$88,Curves!$V$47:$BV$47)+SUMPRODUCT(React!$C$89:$BC$89,Curves!$V$70:$BV$70)</f>
        <v/>
      </c>
      <c r="BD91" s="5">
        <f>SUMPRODUCT(React!$C$87:$BD$87,Curves!$U$24:$BV$24)+SUMPRODUCT(React!$C$88:$BD$88,Curves!$U$47:$BV$47)+SUMPRODUCT(React!$C$89:$BD$89,Curves!$U$70:$BV$70)</f>
        <v/>
      </c>
      <c r="BE91" s="5">
        <f>SUMPRODUCT(React!$C$87:$BE$87,Curves!$T$24:$BV$24)+SUMPRODUCT(React!$C$88:$BE$88,Curves!$T$47:$BV$47)+SUMPRODUCT(React!$C$89:$BE$89,Curves!$T$70:$BV$70)</f>
        <v/>
      </c>
      <c r="BF91" s="5">
        <f>SUMPRODUCT(React!$C$87:$BF$87,Curves!$S$24:$BV$24)+SUMPRODUCT(React!$C$88:$BF$88,Curves!$S$47:$BV$47)+SUMPRODUCT(React!$C$89:$BF$89,Curves!$S$70:$BV$70)</f>
        <v/>
      </c>
      <c r="BG91" s="5">
        <f>SUMPRODUCT(React!$C$87:$BG$87,Curves!$R$24:$BV$24)+SUMPRODUCT(React!$C$88:$BG$88,Curves!$R$47:$BV$47)+SUMPRODUCT(React!$C$89:$BG$89,Curves!$R$70:$BV$70)</f>
        <v/>
      </c>
      <c r="BH91" s="5">
        <f>SUMPRODUCT(React!$C$87:$BH$87,Curves!$Q$24:$BV$24)+SUMPRODUCT(React!$C$88:$BH$88,Curves!$Q$47:$BV$47)+SUMPRODUCT(React!$C$89:$BH$89,Curves!$Q$70:$BV$70)</f>
        <v/>
      </c>
      <c r="BI91" s="5">
        <f>SUMPRODUCT(React!$C$87:$BI$87,Curves!$P$24:$BV$24)+SUMPRODUCT(React!$C$88:$BI$88,Curves!$P$47:$BV$47)+SUMPRODUCT(React!$C$89:$BI$89,Curves!$P$70:$BV$70)</f>
        <v/>
      </c>
      <c r="BJ91" s="5">
        <f>SUMPRODUCT(React!$C$87:$BJ$87,Curves!$O$24:$BV$24)+SUMPRODUCT(React!$C$88:$BJ$88,Curves!$O$47:$BV$47)+SUMPRODUCT(React!$C$89:$BJ$89,Curves!$O$70:$BV$70)</f>
        <v/>
      </c>
      <c r="BK91" s="5">
        <f>SUMPRODUCT(React!$C$87:$BK$87,Curves!$N$24:$BV$24)+SUMPRODUCT(React!$C$88:$BK$88,Curves!$N$47:$BV$47)+SUMPRODUCT(React!$C$89:$BK$89,Curves!$N$70:$BV$70)</f>
        <v/>
      </c>
      <c r="BL91" s="5">
        <f>SUMPRODUCT(React!$C$87:$BL$87,Curves!$M$24:$BV$24)+SUMPRODUCT(React!$C$88:$BL$88,Curves!$M$47:$BV$47)+SUMPRODUCT(React!$C$89:$BL$89,Curves!$M$70:$BV$70)</f>
        <v/>
      </c>
      <c r="BM91" s="5">
        <f>SUMPRODUCT(React!$C$87:$BM$87,Curves!$L$24:$BV$24)+SUMPRODUCT(React!$C$88:$BM$88,Curves!$L$47:$BV$47)+SUMPRODUCT(React!$C$89:$BM$89,Curves!$L$70:$BV$70)</f>
        <v/>
      </c>
      <c r="BN91" s="5">
        <f>SUMPRODUCT(React!$C$87:$BN$87,Curves!$K$24:$BV$24)+SUMPRODUCT(React!$C$88:$BN$88,Curves!$K$47:$BV$47)+SUMPRODUCT(React!$C$89:$BN$89,Curves!$K$70:$BV$70)</f>
        <v/>
      </c>
      <c r="BO91" s="5">
        <f>SUMPRODUCT(React!$C$87:$BO$87,Curves!$J$24:$BV$24)+SUMPRODUCT(React!$C$88:$BO$88,Curves!$J$47:$BV$47)+SUMPRODUCT(React!$C$89:$BO$89,Curves!$J$70:$BV$70)</f>
        <v/>
      </c>
      <c r="BP91" s="5">
        <f>SUMPRODUCT(React!$C$87:$BP$87,Curves!$I$24:$BV$24)+SUMPRODUCT(React!$C$88:$BP$88,Curves!$I$47:$BV$47)+SUMPRODUCT(React!$C$89:$BP$89,Curves!$I$70:$BV$70)</f>
        <v/>
      </c>
      <c r="BQ91" s="5">
        <f>SUMPRODUCT(React!$C$87:$BQ$87,Curves!$H$24:$BV$24)+SUMPRODUCT(React!$C$88:$BQ$88,Curves!$H$47:$BV$47)+SUMPRODUCT(React!$C$89:$BQ$89,Curves!$H$70:$BV$70)</f>
        <v/>
      </c>
      <c r="BR91" s="5">
        <f>SUMPRODUCT(React!$C$87:$BR$87,Curves!$G$24:$BV$24)+SUMPRODUCT(React!$C$88:$BR$88,Curves!$G$47:$BV$47)+SUMPRODUCT(React!$C$89:$BR$89,Curves!$G$70:$BV$70)</f>
        <v/>
      </c>
      <c r="BS91" s="5">
        <f>SUMPRODUCT(React!$C$87:$BS$87,Curves!$F$24:$BV$24)+SUMPRODUCT(React!$C$88:$BS$88,Curves!$F$47:$BV$47)+SUMPRODUCT(React!$C$89:$BS$89,Curves!$F$70:$BV$70)</f>
        <v/>
      </c>
      <c r="BT91" s="5">
        <f>SUMPRODUCT(React!$C$87:$BT$87,Curves!$E$24:$BV$24)+SUMPRODUCT(React!$C$88:$BT$88,Curves!$E$47:$BV$47)+SUMPRODUCT(React!$C$89:$BT$89,Curves!$E$70:$BV$70)</f>
        <v/>
      </c>
      <c r="BU91" s="5">
        <f>SUMPRODUCT(React!$C$87:$BU$87,Curves!$D$24:$BV$24)+SUMPRODUCT(React!$C$88:$BU$88,Curves!$D$47:$BV$47)+SUMPRODUCT(React!$C$89:$BU$89,Curves!$D$70:$BV$70)</f>
        <v/>
      </c>
      <c r="BV91" s="5">
        <f>SUMPRODUCT(React!$C$87:$BV$87,Curves!$C$24:$BV$24)+SUMPRODUCT(React!$C$88:$BV$88,Curves!$C$47:$BV$47)+SUMPRODUCT(React!$C$89:$BV$89,Curves!$C$70:$BV$70)</f>
        <v/>
      </c>
    </row>
    <row r="92">
      <c r="A92" t="inlineStr">
        <is>
          <t>churned</t>
        </is>
      </c>
      <c r="B92" t="inlineStr">
        <is>
          <t>EUROPE|BASIC_M</t>
        </is>
      </c>
      <c r="C92" s="5">
        <f>React!$C$87*Curves!$BV$20+React!$C$88*Curves!$BV$43+React!$C$89*Curves!$BV$66</f>
        <v/>
      </c>
      <c r="D92" s="5">
        <f>SUMPRODUCT(React!$C$87:$D$87,Curves!$BU$20:$BV$20)+SUMPRODUCT(React!$C$88:$D$88,Curves!$BU$43:$BV$43)+SUMPRODUCT(React!$C$89:$D$89,Curves!$BU$66:$BV$66)</f>
        <v/>
      </c>
      <c r="E92" s="5">
        <f>SUMPRODUCT(React!$C$87:$E$87,Curves!$BT$20:$BV$20)+SUMPRODUCT(React!$C$88:$E$88,Curves!$BT$43:$BV$43)+SUMPRODUCT(React!$C$89:$E$89,Curves!$BT$66:$BV$66)</f>
        <v/>
      </c>
      <c r="F92" s="5">
        <f>SUMPRODUCT(React!$C$87:$F$87,Curves!$BS$20:$BV$20)+SUMPRODUCT(React!$C$88:$F$88,Curves!$BS$43:$BV$43)+SUMPRODUCT(React!$C$89:$F$89,Curves!$BS$66:$BV$66)</f>
        <v/>
      </c>
      <c r="G92" s="5">
        <f>SUMPRODUCT(React!$C$87:$G$87,Curves!$BR$20:$BV$20)+SUMPRODUCT(React!$C$88:$G$88,Curves!$BR$43:$BV$43)+SUMPRODUCT(React!$C$89:$G$89,Curves!$BR$66:$BV$66)</f>
        <v/>
      </c>
      <c r="H92" s="5">
        <f>SUMPRODUCT(React!$C$87:$H$87,Curves!$BQ$20:$BV$20)+SUMPRODUCT(React!$C$88:$H$88,Curves!$BQ$43:$BV$43)+SUMPRODUCT(React!$C$89:$H$89,Curves!$BQ$66:$BV$66)</f>
        <v/>
      </c>
      <c r="I92" s="5">
        <f>SUMPRODUCT(React!$C$87:$I$87,Curves!$BP$20:$BV$20)+SUMPRODUCT(React!$C$88:$I$88,Curves!$BP$43:$BV$43)+SUMPRODUCT(React!$C$89:$I$89,Curves!$BP$66:$BV$66)</f>
        <v/>
      </c>
      <c r="J92" s="5">
        <f>SUMPRODUCT(React!$C$87:$J$87,Curves!$BO$20:$BV$20)+SUMPRODUCT(React!$C$88:$J$88,Curves!$BO$43:$BV$43)+SUMPRODUCT(React!$C$89:$J$89,Curves!$BO$66:$BV$66)</f>
        <v/>
      </c>
      <c r="K92" s="5">
        <f>SUMPRODUCT(React!$C$87:$K$87,Curves!$BN$20:$BV$20)+SUMPRODUCT(React!$C$88:$K$88,Curves!$BN$43:$BV$43)+SUMPRODUCT(React!$C$89:$K$89,Curves!$BN$66:$BV$66)</f>
        <v/>
      </c>
      <c r="L92" s="5">
        <f>SUMPRODUCT(React!$C$87:$L$87,Curves!$BM$20:$BV$20)+SUMPRODUCT(React!$C$88:$L$88,Curves!$BM$43:$BV$43)+SUMPRODUCT(React!$C$89:$L$89,Curves!$BM$66:$BV$66)</f>
        <v/>
      </c>
      <c r="M92" s="5">
        <f>SUMPRODUCT(React!$C$87:$M$87,Curves!$BL$20:$BV$20)+SUMPRODUCT(React!$C$88:$M$88,Curves!$BL$43:$BV$43)+SUMPRODUCT(React!$C$89:$M$89,Curves!$BL$66:$BV$66)</f>
        <v/>
      </c>
      <c r="N92" s="5">
        <f>SUMPRODUCT(React!$C$87:$N$87,Curves!$BK$20:$BV$20)+SUMPRODUCT(React!$C$88:$N$88,Curves!$BK$43:$BV$43)+SUMPRODUCT(React!$C$89:$N$89,Curves!$BK$66:$BV$66)</f>
        <v/>
      </c>
      <c r="O92" s="5">
        <f>SUMPRODUCT(React!$C$87:$O$87,Curves!$BJ$20:$BV$20)+SUMPRODUCT(React!$C$88:$O$88,Curves!$BJ$43:$BV$43)+SUMPRODUCT(React!$C$89:$O$89,Curves!$BJ$66:$BV$66)</f>
        <v/>
      </c>
      <c r="P92" s="5">
        <f>SUMPRODUCT(React!$C$87:$P$87,Curves!$BI$20:$BV$20)+SUMPRODUCT(React!$C$88:$P$88,Curves!$BI$43:$BV$43)+SUMPRODUCT(React!$C$89:$P$89,Curves!$BI$66:$BV$66)</f>
        <v/>
      </c>
      <c r="Q92" s="5">
        <f>SUMPRODUCT(React!$C$87:$Q$87,Curves!$BH$20:$BV$20)+SUMPRODUCT(React!$C$88:$Q$88,Curves!$BH$43:$BV$43)+SUMPRODUCT(React!$C$89:$Q$89,Curves!$BH$66:$BV$66)</f>
        <v/>
      </c>
      <c r="R92" s="5">
        <f>SUMPRODUCT(React!$C$87:$R$87,Curves!$BG$20:$BV$20)+SUMPRODUCT(React!$C$88:$R$88,Curves!$BG$43:$BV$43)+SUMPRODUCT(React!$C$89:$R$89,Curves!$BG$66:$BV$66)</f>
        <v/>
      </c>
      <c r="S92" s="5">
        <f>SUMPRODUCT(React!$C$87:$S$87,Curves!$BF$20:$BV$20)+SUMPRODUCT(React!$C$88:$S$88,Curves!$BF$43:$BV$43)+SUMPRODUCT(React!$C$89:$S$89,Curves!$BF$66:$BV$66)</f>
        <v/>
      </c>
      <c r="T92" s="5">
        <f>SUMPRODUCT(React!$C$87:$T$87,Curves!$BE$20:$BV$20)+SUMPRODUCT(React!$C$88:$T$88,Curves!$BE$43:$BV$43)+SUMPRODUCT(React!$C$89:$T$89,Curves!$BE$66:$BV$66)</f>
        <v/>
      </c>
      <c r="U92" s="5">
        <f>SUMPRODUCT(React!$C$87:$U$87,Curves!$BD$20:$BV$20)+SUMPRODUCT(React!$C$88:$U$88,Curves!$BD$43:$BV$43)+SUMPRODUCT(React!$C$89:$U$89,Curves!$BD$66:$BV$66)</f>
        <v/>
      </c>
      <c r="V92" s="5">
        <f>SUMPRODUCT(React!$C$87:$V$87,Curves!$BC$20:$BV$20)+SUMPRODUCT(React!$C$88:$V$88,Curves!$BC$43:$BV$43)+SUMPRODUCT(React!$C$89:$V$89,Curves!$BC$66:$BV$66)</f>
        <v/>
      </c>
      <c r="W92" s="5">
        <f>SUMPRODUCT(React!$C$87:$W$87,Curves!$BB$20:$BV$20)+SUMPRODUCT(React!$C$88:$W$88,Curves!$BB$43:$BV$43)+SUMPRODUCT(React!$C$89:$W$89,Curves!$BB$66:$BV$66)</f>
        <v/>
      </c>
      <c r="X92" s="5">
        <f>SUMPRODUCT(React!$C$87:$X$87,Curves!$BA$20:$BV$20)+SUMPRODUCT(React!$C$88:$X$88,Curves!$BA$43:$BV$43)+SUMPRODUCT(React!$C$89:$X$89,Curves!$BA$66:$BV$66)</f>
        <v/>
      </c>
      <c r="Y92" s="5">
        <f>SUMPRODUCT(React!$C$87:$Y$87,Curves!$AZ$20:$BV$20)+SUMPRODUCT(React!$C$88:$Y$88,Curves!$AZ$43:$BV$43)+SUMPRODUCT(React!$C$89:$Y$89,Curves!$AZ$66:$BV$66)</f>
        <v/>
      </c>
      <c r="Z92" s="5">
        <f>SUMPRODUCT(React!$C$87:$Z$87,Curves!$AY$20:$BV$20)+SUMPRODUCT(React!$C$88:$Z$88,Curves!$AY$43:$BV$43)+SUMPRODUCT(React!$C$89:$Z$89,Curves!$AY$66:$BV$66)</f>
        <v/>
      </c>
      <c r="AA92" s="5">
        <f>SUMPRODUCT(React!$C$87:$AA$87,Curves!$AX$20:$BV$20)+SUMPRODUCT(React!$C$88:$AA$88,Curves!$AX$43:$BV$43)+SUMPRODUCT(React!$C$89:$AA$89,Curves!$AX$66:$BV$66)</f>
        <v/>
      </c>
      <c r="AB92" s="5">
        <f>SUMPRODUCT(React!$C$87:$AB$87,Curves!$AW$20:$BV$20)+SUMPRODUCT(React!$C$88:$AB$88,Curves!$AW$43:$BV$43)+SUMPRODUCT(React!$C$89:$AB$89,Curves!$AW$66:$BV$66)</f>
        <v/>
      </c>
      <c r="AC92" s="5">
        <f>SUMPRODUCT(React!$C$87:$AC$87,Curves!$AV$20:$BV$20)+SUMPRODUCT(React!$C$88:$AC$88,Curves!$AV$43:$BV$43)+SUMPRODUCT(React!$C$89:$AC$89,Curves!$AV$66:$BV$66)</f>
        <v/>
      </c>
      <c r="AD92" s="5">
        <f>SUMPRODUCT(React!$C$87:$AD$87,Curves!$AU$20:$BV$20)+SUMPRODUCT(React!$C$88:$AD$88,Curves!$AU$43:$BV$43)+SUMPRODUCT(React!$C$89:$AD$89,Curves!$AU$66:$BV$66)</f>
        <v/>
      </c>
      <c r="AE92" s="5">
        <f>SUMPRODUCT(React!$C$87:$AE$87,Curves!$AT$20:$BV$20)+SUMPRODUCT(React!$C$88:$AE$88,Curves!$AT$43:$BV$43)+SUMPRODUCT(React!$C$89:$AE$89,Curves!$AT$66:$BV$66)</f>
        <v/>
      </c>
      <c r="AF92" s="5">
        <f>SUMPRODUCT(React!$C$87:$AF$87,Curves!$AS$20:$BV$20)+SUMPRODUCT(React!$C$88:$AF$88,Curves!$AS$43:$BV$43)+SUMPRODUCT(React!$C$89:$AF$89,Curves!$AS$66:$BV$66)</f>
        <v/>
      </c>
      <c r="AG92" s="5">
        <f>SUMPRODUCT(React!$C$87:$AG$87,Curves!$AR$20:$BV$20)+SUMPRODUCT(React!$C$88:$AG$88,Curves!$AR$43:$BV$43)+SUMPRODUCT(React!$C$89:$AG$89,Curves!$AR$66:$BV$66)</f>
        <v/>
      </c>
      <c r="AH92" s="5">
        <f>SUMPRODUCT(React!$C$87:$AH$87,Curves!$AQ$20:$BV$20)+SUMPRODUCT(React!$C$88:$AH$88,Curves!$AQ$43:$BV$43)+SUMPRODUCT(React!$C$89:$AH$89,Curves!$AQ$66:$BV$66)</f>
        <v/>
      </c>
      <c r="AI92" s="5">
        <f>SUMPRODUCT(React!$C$87:$AI$87,Curves!$AP$20:$BV$20)+SUMPRODUCT(React!$C$88:$AI$88,Curves!$AP$43:$BV$43)+SUMPRODUCT(React!$C$89:$AI$89,Curves!$AP$66:$BV$66)</f>
        <v/>
      </c>
      <c r="AJ92" s="5">
        <f>SUMPRODUCT(React!$C$87:$AJ$87,Curves!$AO$20:$BV$20)+SUMPRODUCT(React!$C$88:$AJ$88,Curves!$AO$43:$BV$43)+SUMPRODUCT(React!$C$89:$AJ$89,Curves!$AO$66:$BV$66)</f>
        <v/>
      </c>
      <c r="AK92" s="5">
        <f>SUMPRODUCT(React!$C$87:$AK$87,Curves!$AN$20:$BV$20)+SUMPRODUCT(React!$C$88:$AK$88,Curves!$AN$43:$BV$43)+SUMPRODUCT(React!$C$89:$AK$89,Curves!$AN$66:$BV$66)</f>
        <v/>
      </c>
      <c r="AL92" s="5">
        <f>SUMPRODUCT(React!$C$87:$AL$87,Curves!$AM$20:$BV$20)+SUMPRODUCT(React!$C$88:$AL$88,Curves!$AM$43:$BV$43)+SUMPRODUCT(React!$C$89:$AL$89,Curves!$AM$66:$BV$66)</f>
        <v/>
      </c>
      <c r="AM92" s="5">
        <f>SUMPRODUCT(React!$C$87:$AM$87,Curves!$AL$20:$BV$20)+SUMPRODUCT(React!$C$88:$AM$88,Curves!$AL$43:$BV$43)+SUMPRODUCT(React!$C$89:$AM$89,Curves!$AL$66:$BV$66)</f>
        <v/>
      </c>
      <c r="AN92" s="5">
        <f>SUMPRODUCT(React!$C$87:$AN$87,Curves!$AK$20:$BV$20)+SUMPRODUCT(React!$C$88:$AN$88,Curves!$AK$43:$BV$43)+SUMPRODUCT(React!$C$89:$AN$89,Curves!$AK$66:$BV$66)</f>
        <v/>
      </c>
      <c r="AO92" s="5">
        <f>SUMPRODUCT(React!$C$87:$AO$87,Curves!$AJ$20:$BV$20)+SUMPRODUCT(React!$C$88:$AO$88,Curves!$AJ$43:$BV$43)+SUMPRODUCT(React!$C$89:$AO$89,Curves!$AJ$66:$BV$66)</f>
        <v/>
      </c>
      <c r="AP92" s="5">
        <f>SUMPRODUCT(React!$C$87:$AP$87,Curves!$AI$20:$BV$20)+SUMPRODUCT(React!$C$88:$AP$88,Curves!$AI$43:$BV$43)+SUMPRODUCT(React!$C$89:$AP$89,Curves!$AI$66:$BV$66)</f>
        <v/>
      </c>
      <c r="AQ92" s="5">
        <f>SUMPRODUCT(React!$C$87:$AQ$87,Curves!$AH$20:$BV$20)+SUMPRODUCT(React!$C$88:$AQ$88,Curves!$AH$43:$BV$43)+SUMPRODUCT(React!$C$89:$AQ$89,Curves!$AH$66:$BV$66)</f>
        <v/>
      </c>
      <c r="AR92" s="5">
        <f>SUMPRODUCT(React!$C$87:$AR$87,Curves!$AG$20:$BV$20)+SUMPRODUCT(React!$C$88:$AR$88,Curves!$AG$43:$BV$43)+SUMPRODUCT(React!$C$89:$AR$89,Curves!$AG$66:$BV$66)</f>
        <v/>
      </c>
      <c r="AS92" s="5">
        <f>SUMPRODUCT(React!$C$87:$AS$87,Curves!$AF$20:$BV$20)+SUMPRODUCT(React!$C$88:$AS$88,Curves!$AF$43:$BV$43)+SUMPRODUCT(React!$C$89:$AS$89,Curves!$AF$66:$BV$66)</f>
        <v/>
      </c>
      <c r="AT92" s="5">
        <f>SUMPRODUCT(React!$C$87:$AT$87,Curves!$AE$20:$BV$20)+SUMPRODUCT(React!$C$88:$AT$88,Curves!$AE$43:$BV$43)+SUMPRODUCT(React!$C$89:$AT$89,Curves!$AE$66:$BV$66)</f>
        <v/>
      </c>
      <c r="AU92" s="5">
        <f>SUMPRODUCT(React!$C$87:$AU$87,Curves!$AD$20:$BV$20)+SUMPRODUCT(React!$C$88:$AU$88,Curves!$AD$43:$BV$43)+SUMPRODUCT(React!$C$89:$AU$89,Curves!$AD$66:$BV$66)</f>
        <v/>
      </c>
      <c r="AV92" s="5">
        <f>SUMPRODUCT(React!$C$87:$AV$87,Curves!$AC$20:$BV$20)+SUMPRODUCT(React!$C$88:$AV$88,Curves!$AC$43:$BV$43)+SUMPRODUCT(React!$C$89:$AV$89,Curves!$AC$66:$BV$66)</f>
        <v/>
      </c>
      <c r="AW92" s="5">
        <f>SUMPRODUCT(React!$C$87:$AW$87,Curves!$AB$20:$BV$20)+SUMPRODUCT(React!$C$88:$AW$88,Curves!$AB$43:$BV$43)+SUMPRODUCT(React!$C$89:$AW$89,Curves!$AB$66:$BV$66)</f>
        <v/>
      </c>
      <c r="AX92" s="5">
        <f>SUMPRODUCT(React!$C$87:$AX$87,Curves!$AA$20:$BV$20)+SUMPRODUCT(React!$C$88:$AX$88,Curves!$AA$43:$BV$43)+SUMPRODUCT(React!$C$89:$AX$89,Curves!$AA$66:$BV$66)</f>
        <v/>
      </c>
      <c r="AY92" s="5">
        <f>SUMPRODUCT(React!$C$87:$AY$87,Curves!$Z$20:$BV$20)+SUMPRODUCT(React!$C$88:$AY$88,Curves!$Z$43:$BV$43)+SUMPRODUCT(React!$C$89:$AY$89,Curves!$Z$66:$BV$66)</f>
        <v/>
      </c>
      <c r="AZ92" s="5">
        <f>SUMPRODUCT(React!$C$87:$AZ$87,Curves!$Y$20:$BV$20)+SUMPRODUCT(React!$C$88:$AZ$88,Curves!$Y$43:$BV$43)+SUMPRODUCT(React!$C$89:$AZ$89,Curves!$Y$66:$BV$66)</f>
        <v/>
      </c>
      <c r="BA92" s="5">
        <f>SUMPRODUCT(React!$C$87:$BA$87,Curves!$X$20:$BV$20)+SUMPRODUCT(React!$C$88:$BA$88,Curves!$X$43:$BV$43)+SUMPRODUCT(React!$C$89:$BA$89,Curves!$X$66:$BV$66)</f>
        <v/>
      </c>
      <c r="BB92" s="5">
        <f>SUMPRODUCT(React!$C$87:$BB$87,Curves!$W$20:$BV$20)+SUMPRODUCT(React!$C$88:$BB$88,Curves!$W$43:$BV$43)+SUMPRODUCT(React!$C$89:$BB$89,Curves!$W$66:$BV$66)</f>
        <v/>
      </c>
      <c r="BC92" s="5">
        <f>SUMPRODUCT(React!$C$87:$BC$87,Curves!$V$20:$BV$20)+SUMPRODUCT(React!$C$88:$BC$88,Curves!$V$43:$BV$43)+SUMPRODUCT(React!$C$89:$BC$89,Curves!$V$66:$BV$66)</f>
        <v/>
      </c>
      <c r="BD92" s="5">
        <f>SUMPRODUCT(React!$C$87:$BD$87,Curves!$U$20:$BV$20)+SUMPRODUCT(React!$C$88:$BD$88,Curves!$U$43:$BV$43)+SUMPRODUCT(React!$C$89:$BD$89,Curves!$U$66:$BV$66)</f>
        <v/>
      </c>
      <c r="BE92" s="5">
        <f>SUMPRODUCT(React!$C$87:$BE$87,Curves!$T$20:$BV$20)+SUMPRODUCT(React!$C$88:$BE$88,Curves!$T$43:$BV$43)+SUMPRODUCT(React!$C$89:$BE$89,Curves!$T$66:$BV$66)</f>
        <v/>
      </c>
      <c r="BF92" s="5">
        <f>SUMPRODUCT(React!$C$87:$BF$87,Curves!$S$20:$BV$20)+SUMPRODUCT(React!$C$88:$BF$88,Curves!$S$43:$BV$43)+SUMPRODUCT(React!$C$89:$BF$89,Curves!$S$66:$BV$66)</f>
        <v/>
      </c>
      <c r="BG92" s="5">
        <f>SUMPRODUCT(React!$C$87:$BG$87,Curves!$R$20:$BV$20)+SUMPRODUCT(React!$C$88:$BG$88,Curves!$R$43:$BV$43)+SUMPRODUCT(React!$C$89:$BG$89,Curves!$R$66:$BV$66)</f>
        <v/>
      </c>
      <c r="BH92" s="5">
        <f>SUMPRODUCT(React!$C$87:$BH$87,Curves!$Q$20:$BV$20)+SUMPRODUCT(React!$C$88:$BH$88,Curves!$Q$43:$BV$43)+SUMPRODUCT(React!$C$89:$BH$89,Curves!$Q$66:$BV$66)</f>
        <v/>
      </c>
      <c r="BI92" s="5">
        <f>SUMPRODUCT(React!$C$87:$BI$87,Curves!$P$20:$BV$20)+SUMPRODUCT(React!$C$88:$BI$88,Curves!$P$43:$BV$43)+SUMPRODUCT(React!$C$89:$BI$89,Curves!$P$66:$BV$66)</f>
        <v/>
      </c>
      <c r="BJ92" s="5">
        <f>SUMPRODUCT(React!$C$87:$BJ$87,Curves!$O$20:$BV$20)+SUMPRODUCT(React!$C$88:$BJ$88,Curves!$O$43:$BV$43)+SUMPRODUCT(React!$C$89:$BJ$89,Curves!$O$66:$BV$66)</f>
        <v/>
      </c>
      <c r="BK92" s="5">
        <f>SUMPRODUCT(React!$C$87:$BK$87,Curves!$N$20:$BV$20)+SUMPRODUCT(React!$C$88:$BK$88,Curves!$N$43:$BV$43)+SUMPRODUCT(React!$C$89:$BK$89,Curves!$N$66:$BV$66)</f>
        <v/>
      </c>
      <c r="BL92" s="5">
        <f>SUMPRODUCT(React!$C$87:$BL$87,Curves!$M$20:$BV$20)+SUMPRODUCT(React!$C$88:$BL$88,Curves!$M$43:$BV$43)+SUMPRODUCT(React!$C$89:$BL$89,Curves!$M$66:$BV$66)</f>
        <v/>
      </c>
      <c r="BM92" s="5">
        <f>SUMPRODUCT(React!$C$87:$BM$87,Curves!$L$20:$BV$20)+SUMPRODUCT(React!$C$88:$BM$88,Curves!$L$43:$BV$43)+SUMPRODUCT(React!$C$89:$BM$89,Curves!$L$66:$BV$66)</f>
        <v/>
      </c>
      <c r="BN92" s="5">
        <f>SUMPRODUCT(React!$C$87:$BN$87,Curves!$K$20:$BV$20)+SUMPRODUCT(React!$C$88:$BN$88,Curves!$K$43:$BV$43)+SUMPRODUCT(React!$C$89:$BN$89,Curves!$K$66:$BV$66)</f>
        <v/>
      </c>
      <c r="BO92" s="5">
        <f>SUMPRODUCT(React!$C$87:$BO$87,Curves!$J$20:$BV$20)+SUMPRODUCT(React!$C$88:$BO$88,Curves!$J$43:$BV$43)+SUMPRODUCT(React!$C$89:$BO$89,Curves!$J$66:$BV$66)</f>
        <v/>
      </c>
      <c r="BP92" s="5">
        <f>SUMPRODUCT(React!$C$87:$BP$87,Curves!$I$20:$BV$20)+SUMPRODUCT(React!$C$88:$BP$88,Curves!$I$43:$BV$43)+SUMPRODUCT(React!$C$89:$BP$89,Curves!$I$66:$BV$66)</f>
        <v/>
      </c>
      <c r="BQ92" s="5">
        <f>SUMPRODUCT(React!$C$87:$BQ$87,Curves!$H$20:$BV$20)+SUMPRODUCT(React!$C$88:$BQ$88,Curves!$H$43:$BV$43)+SUMPRODUCT(React!$C$89:$BQ$89,Curves!$H$66:$BV$66)</f>
        <v/>
      </c>
      <c r="BR92" s="5">
        <f>SUMPRODUCT(React!$C$87:$BR$87,Curves!$G$20:$BV$20)+SUMPRODUCT(React!$C$88:$BR$88,Curves!$G$43:$BV$43)+SUMPRODUCT(React!$C$89:$BR$89,Curves!$G$66:$BV$66)</f>
        <v/>
      </c>
      <c r="BS92" s="5">
        <f>SUMPRODUCT(React!$C$87:$BS$87,Curves!$F$20:$BV$20)+SUMPRODUCT(React!$C$88:$BS$88,Curves!$F$43:$BV$43)+SUMPRODUCT(React!$C$89:$BS$89,Curves!$F$66:$BV$66)</f>
        <v/>
      </c>
      <c r="BT92" s="5">
        <f>SUMPRODUCT(React!$C$87:$BT$87,Curves!$E$20:$BV$20)+SUMPRODUCT(React!$C$88:$BT$88,Curves!$E$43:$BV$43)+SUMPRODUCT(React!$C$89:$BT$89,Curves!$E$66:$BV$66)</f>
        <v/>
      </c>
      <c r="BU92" s="5">
        <f>SUMPRODUCT(React!$C$87:$BU$87,Curves!$D$20:$BV$20)+SUMPRODUCT(React!$C$88:$BU$88,Curves!$D$43:$BV$43)+SUMPRODUCT(React!$C$89:$BU$89,Curves!$D$66:$BV$66)</f>
        <v/>
      </c>
      <c r="BV92" s="5">
        <f>SUMPRODUCT(React!$C$87:$BV$87,Curves!$C$20:$BV$20)+SUMPRODUCT(React!$C$88:$BV$88,Curves!$C$43:$BV$43)+SUMPRODUCT(React!$C$89:$BV$89,Curves!$C$66:$BV$66)</f>
        <v/>
      </c>
    </row>
    <row r="94">
      <c r="A94" t="inlineStr">
        <is>
          <t>churn pool inflow</t>
        </is>
      </c>
      <c r="B94" t="inlineStr">
        <is>
          <t>EUROPE|BASIC_A</t>
        </is>
      </c>
      <c r="C94" s="5">
        <f>Paid!C33+Legacy!C35</f>
        <v/>
      </c>
      <c r="D94" s="5">
        <f>Paid!D33+Legacy!D35</f>
        <v/>
      </c>
      <c r="E94" s="5">
        <f>Paid!E33+Legacy!E35</f>
        <v/>
      </c>
      <c r="F94" s="5">
        <f>Paid!F33+Legacy!F35</f>
        <v/>
      </c>
      <c r="G94" s="5">
        <f>Paid!G33+Legacy!G35</f>
        <v/>
      </c>
      <c r="H94" s="5">
        <f>Paid!H33+Legacy!H35</f>
        <v/>
      </c>
      <c r="I94" s="5">
        <f>Paid!I33+Legacy!I35</f>
        <v/>
      </c>
      <c r="J94" s="5">
        <f>Paid!J33+Legacy!J35</f>
        <v/>
      </c>
      <c r="K94" s="5">
        <f>Paid!K33+Legacy!K35</f>
        <v/>
      </c>
      <c r="L94" s="5">
        <f>Paid!L33+Legacy!L35</f>
        <v/>
      </c>
      <c r="M94" s="5">
        <f>Paid!M33+Legacy!M35</f>
        <v/>
      </c>
      <c r="N94" s="5">
        <f>Paid!N33+Legacy!N35</f>
        <v/>
      </c>
      <c r="O94" s="5">
        <f>Paid!O33+Legacy!O35</f>
        <v/>
      </c>
      <c r="P94" s="5">
        <f>Paid!P33+Legacy!P35</f>
        <v/>
      </c>
      <c r="Q94" s="5">
        <f>Paid!Q33+Legacy!Q35</f>
        <v/>
      </c>
      <c r="R94" s="5">
        <f>Paid!R33+Legacy!R35</f>
        <v/>
      </c>
      <c r="S94" s="5">
        <f>Paid!S33+Legacy!S35</f>
        <v/>
      </c>
      <c r="T94" s="5">
        <f>Paid!T33+Legacy!T35</f>
        <v/>
      </c>
      <c r="U94" s="5">
        <f>Paid!U33+Legacy!U35</f>
        <v/>
      </c>
      <c r="V94" s="5">
        <f>Paid!V33+Legacy!V35</f>
        <v/>
      </c>
      <c r="W94" s="5">
        <f>Paid!W33+Legacy!W35</f>
        <v/>
      </c>
      <c r="X94" s="5">
        <f>Paid!X33+Legacy!X35</f>
        <v/>
      </c>
      <c r="Y94" s="5">
        <f>Paid!Y33+Legacy!Y35</f>
        <v/>
      </c>
      <c r="Z94" s="5">
        <f>Paid!Z33+Legacy!Z35</f>
        <v/>
      </c>
      <c r="AA94" s="5">
        <f>Paid!AA33+Legacy!AA35</f>
        <v/>
      </c>
      <c r="AB94" s="5">
        <f>Paid!AB33+Legacy!AB35</f>
        <v/>
      </c>
      <c r="AC94" s="5">
        <f>Paid!AC33+Legacy!AC35</f>
        <v/>
      </c>
      <c r="AD94" s="5">
        <f>Paid!AD33+Legacy!AD35</f>
        <v/>
      </c>
      <c r="AE94" s="5">
        <f>Paid!AE33+Legacy!AE35</f>
        <v/>
      </c>
      <c r="AF94" s="5">
        <f>Paid!AF33+Legacy!AF35</f>
        <v/>
      </c>
      <c r="AG94" s="5">
        <f>Paid!AG33+Legacy!AG35</f>
        <v/>
      </c>
      <c r="AH94" s="5">
        <f>Paid!AH33+Legacy!AH35</f>
        <v/>
      </c>
      <c r="AI94" s="5">
        <f>Paid!AI33+Legacy!AI35</f>
        <v/>
      </c>
      <c r="AJ94" s="5">
        <f>Paid!AJ33+Legacy!AJ35</f>
        <v/>
      </c>
      <c r="AK94" s="5">
        <f>Paid!AK33+Legacy!AK35</f>
        <v/>
      </c>
      <c r="AL94" s="5">
        <f>Paid!AL33+Legacy!AL35</f>
        <v/>
      </c>
      <c r="AM94" s="5">
        <f>Paid!AM33+Legacy!AM35</f>
        <v/>
      </c>
      <c r="AN94" s="5">
        <f>Paid!AN33+Legacy!AN35</f>
        <v/>
      </c>
      <c r="AO94" s="5">
        <f>Paid!AO33+Legacy!AO35</f>
        <v/>
      </c>
      <c r="AP94" s="5">
        <f>Paid!AP33+Legacy!AP35</f>
        <v/>
      </c>
      <c r="AQ94" s="5">
        <f>Paid!AQ33+Legacy!AQ35</f>
        <v/>
      </c>
      <c r="AR94" s="5">
        <f>Paid!AR33+Legacy!AR35</f>
        <v/>
      </c>
      <c r="AS94" s="5">
        <f>Paid!AS33+Legacy!AS35</f>
        <v/>
      </c>
      <c r="AT94" s="5">
        <f>Paid!AT33+Legacy!AT35</f>
        <v/>
      </c>
      <c r="AU94" s="5">
        <f>Paid!AU33+Legacy!AU35</f>
        <v/>
      </c>
      <c r="AV94" s="5">
        <f>Paid!AV33+Legacy!AV35</f>
        <v/>
      </c>
      <c r="AW94" s="5">
        <f>Paid!AW33+Legacy!AW35</f>
        <v/>
      </c>
      <c r="AX94" s="5">
        <f>Paid!AX33+Legacy!AX35</f>
        <v/>
      </c>
      <c r="AY94" s="5">
        <f>Paid!AY33+Legacy!AY35</f>
        <v/>
      </c>
      <c r="AZ94" s="5">
        <f>Paid!AZ33+Legacy!AZ35</f>
        <v/>
      </c>
      <c r="BA94" s="5">
        <f>Paid!BA33+Legacy!BA35</f>
        <v/>
      </c>
      <c r="BB94" s="5">
        <f>Paid!BB33+Legacy!BB35</f>
        <v/>
      </c>
      <c r="BC94" s="5">
        <f>Paid!BC33+Legacy!BC35</f>
        <v/>
      </c>
      <c r="BD94" s="5">
        <f>Paid!BD33+Legacy!BD35</f>
        <v/>
      </c>
      <c r="BE94" s="5">
        <f>Paid!BE33+Legacy!BE35</f>
        <v/>
      </c>
      <c r="BF94" s="5">
        <f>Paid!BF33+Legacy!BF35</f>
        <v/>
      </c>
      <c r="BG94" s="5">
        <f>Paid!BG33+Legacy!BG35</f>
        <v/>
      </c>
      <c r="BH94" s="5">
        <f>Paid!BH33+Legacy!BH35</f>
        <v/>
      </c>
      <c r="BI94" s="5">
        <f>Paid!BI33+Legacy!BI35</f>
        <v/>
      </c>
      <c r="BJ94" s="5">
        <f>Paid!BJ33+Legacy!BJ35</f>
        <v/>
      </c>
      <c r="BK94" s="5">
        <f>Paid!BK33+Legacy!BK35</f>
        <v/>
      </c>
      <c r="BL94" s="5">
        <f>Paid!BL33+Legacy!BL35</f>
        <v/>
      </c>
      <c r="BM94" s="5">
        <f>Paid!BM33+Legacy!BM35</f>
        <v/>
      </c>
      <c r="BN94" s="5">
        <f>Paid!BN33+Legacy!BN35</f>
        <v/>
      </c>
      <c r="BO94" s="5">
        <f>Paid!BO33+Legacy!BO35</f>
        <v/>
      </c>
      <c r="BP94" s="5">
        <f>Paid!BP33+Legacy!BP35</f>
        <v/>
      </c>
      <c r="BQ94" s="5">
        <f>Paid!BQ33+Legacy!BQ35</f>
        <v/>
      </c>
      <c r="BR94" s="5">
        <f>Paid!BR33+Legacy!BR35</f>
        <v/>
      </c>
      <c r="BS94" s="5">
        <f>Paid!BS33+Legacy!BS35</f>
        <v/>
      </c>
      <c r="BT94" s="5">
        <f>Paid!BT33+Legacy!BT35</f>
        <v/>
      </c>
      <c r="BU94" s="5">
        <f>Paid!BU33+Legacy!BU35</f>
        <v/>
      </c>
      <c r="BV94" s="5">
        <f>Paid!BV33+Legacy!BV35</f>
        <v/>
      </c>
    </row>
    <row r="95">
      <c r="A95" t="inlineStr">
        <is>
          <t>inflow @0</t>
        </is>
      </c>
      <c r="B95" t="inlineStr">
        <is>
          <t>EUROPE|BASIC_A</t>
        </is>
      </c>
      <c r="C95" s="5">
        <f>C94*Eras!C$3</f>
        <v/>
      </c>
      <c r="D95" s="5">
        <f>D94*Eras!D$3</f>
        <v/>
      </c>
      <c r="E95" s="5">
        <f>E94*Eras!E$3</f>
        <v/>
      </c>
      <c r="F95" s="5">
        <f>F94*Eras!F$3</f>
        <v/>
      </c>
      <c r="G95" s="5">
        <f>G94*Eras!G$3</f>
        <v/>
      </c>
      <c r="H95" s="5">
        <f>H94*Eras!H$3</f>
        <v/>
      </c>
      <c r="I95" s="5">
        <f>I94*Eras!I$3</f>
        <v/>
      </c>
      <c r="J95" s="5">
        <f>J94*Eras!J$3</f>
        <v/>
      </c>
      <c r="K95" s="5">
        <f>K94*Eras!K$3</f>
        <v/>
      </c>
      <c r="L95" s="5">
        <f>L94*Eras!L$3</f>
        <v/>
      </c>
      <c r="M95" s="5">
        <f>M94*Eras!M$3</f>
        <v/>
      </c>
      <c r="N95" s="5">
        <f>N94*Eras!N$3</f>
        <v/>
      </c>
      <c r="O95" s="5">
        <f>O94*Eras!O$3</f>
        <v/>
      </c>
      <c r="P95" s="5">
        <f>P94*Eras!P$3</f>
        <v/>
      </c>
      <c r="Q95" s="5">
        <f>Q94*Eras!Q$3</f>
        <v/>
      </c>
      <c r="R95" s="5">
        <f>R94*Eras!R$3</f>
        <v/>
      </c>
      <c r="S95" s="5">
        <f>S94*Eras!S$3</f>
        <v/>
      </c>
      <c r="T95" s="5">
        <f>T94*Eras!T$3</f>
        <v/>
      </c>
      <c r="U95" s="5">
        <f>U94*Eras!U$3</f>
        <v/>
      </c>
      <c r="V95" s="5">
        <f>V94*Eras!V$3</f>
        <v/>
      </c>
      <c r="W95" s="5">
        <f>W94*Eras!W$3</f>
        <v/>
      </c>
      <c r="X95" s="5">
        <f>X94*Eras!X$3</f>
        <v/>
      </c>
      <c r="Y95" s="5">
        <f>Y94*Eras!Y$3</f>
        <v/>
      </c>
      <c r="Z95" s="5">
        <f>Z94*Eras!Z$3</f>
        <v/>
      </c>
      <c r="AA95" s="5">
        <f>AA94*Eras!AA$3</f>
        <v/>
      </c>
      <c r="AB95" s="5">
        <f>AB94*Eras!AB$3</f>
        <v/>
      </c>
      <c r="AC95" s="5">
        <f>AC94*Eras!AC$3</f>
        <v/>
      </c>
      <c r="AD95" s="5">
        <f>AD94*Eras!AD$3</f>
        <v/>
      </c>
      <c r="AE95" s="5">
        <f>AE94*Eras!AE$3</f>
        <v/>
      </c>
      <c r="AF95" s="5">
        <f>AF94*Eras!AF$3</f>
        <v/>
      </c>
      <c r="AG95" s="5">
        <f>AG94*Eras!AG$3</f>
        <v/>
      </c>
      <c r="AH95" s="5">
        <f>AH94*Eras!AH$3</f>
        <v/>
      </c>
      <c r="AI95" s="5">
        <f>AI94*Eras!AI$3</f>
        <v/>
      </c>
      <c r="AJ95" s="5">
        <f>AJ94*Eras!AJ$3</f>
        <v/>
      </c>
      <c r="AK95" s="5">
        <f>AK94*Eras!AK$3</f>
        <v/>
      </c>
      <c r="AL95" s="5">
        <f>AL94*Eras!AL$3</f>
        <v/>
      </c>
      <c r="AM95" s="5">
        <f>AM94*Eras!AM$3</f>
        <v/>
      </c>
      <c r="AN95" s="5">
        <f>AN94*Eras!AN$3</f>
        <v/>
      </c>
      <c r="AO95" s="5">
        <f>AO94*Eras!AO$3</f>
        <v/>
      </c>
      <c r="AP95" s="5">
        <f>AP94*Eras!AP$3</f>
        <v/>
      </c>
      <c r="AQ95" s="5">
        <f>AQ94*Eras!AQ$3</f>
        <v/>
      </c>
      <c r="AR95" s="5">
        <f>AR94*Eras!AR$3</f>
        <v/>
      </c>
      <c r="AS95" s="5">
        <f>AS94*Eras!AS$3</f>
        <v/>
      </c>
      <c r="AT95" s="5">
        <f>AT94*Eras!AT$3</f>
        <v/>
      </c>
      <c r="AU95" s="5">
        <f>AU94*Eras!AU$3</f>
        <v/>
      </c>
      <c r="AV95" s="5">
        <f>AV94*Eras!AV$3</f>
        <v/>
      </c>
      <c r="AW95" s="5">
        <f>AW94*Eras!AW$3</f>
        <v/>
      </c>
      <c r="AX95" s="5">
        <f>AX94*Eras!AX$3</f>
        <v/>
      </c>
      <c r="AY95" s="5">
        <f>AY94*Eras!AY$3</f>
        <v/>
      </c>
      <c r="AZ95" s="5">
        <f>AZ94*Eras!AZ$3</f>
        <v/>
      </c>
      <c r="BA95" s="5">
        <f>BA94*Eras!BA$3</f>
        <v/>
      </c>
      <c r="BB95" s="5">
        <f>BB94*Eras!BB$3</f>
        <v/>
      </c>
      <c r="BC95" s="5">
        <f>BC94*Eras!BC$3</f>
        <v/>
      </c>
      <c r="BD95" s="5">
        <f>BD94*Eras!BD$3</f>
        <v/>
      </c>
      <c r="BE95" s="5">
        <f>BE94*Eras!BE$3</f>
        <v/>
      </c>
      <c r="BF95" s="5">
        <f>BF94*Eras!BF$3</f>
        <v/>
      </c>
      <c r="BG95" s="5">
        <f>BG94*Eras!BG$3</f>
        <v/>
      </c>
      <c r="BH95" s="5">
        <f>BH94*Eras!BH$3</f>
        <v/>
      </c>
      <c r="BI95" s="5">
        <f>BI94*Eras!BI$3</f>
        <v/>
      </c>
      <c r="BJ95" s="5">
        <f>BJ94*Eras!BJ$3</f>
        <v/>
      </c>
      <c r="BK95" s="5">
        <f>BK94*Eras!BK$3</f>
        <v/>
      </c>
      <c r="BL95" s="5">
        <f>BL94*Eras!BL$3</f>
        <v/>
      </c>
      <c r="BM95" s="5">
        <f>BM94*Eras!BM$3</f>
        <v/>
      </c>
      <c r="BN95" s="5">
        <f>BN94*Eras!BN$3</f>
        <v/>
      </c>
      <c r="BO95" s="5">
        <f>BO94*Eras!BO$3</f>
        <v/>
      </c>
      <c r="BP95" s="5">
        <f>BP94*Eras!BP$3</f>
        <v/>
      </c>
      <c r="BQ95" s="5">
        <f>BQ94*Eras!BQ$3</f>
        <v/>
      </c>
      <c r="BR95" s="5">
        <f>BR94*Eras!BR$3</f>
        <v/>
      </c>
      <c r="BS95" s="5">
        <f>BS94*Eras!BS$3</f>
        <v/>
      </c>
      <c r="BT95" s="5">
        <f>BT94*Eras!BT$3</f>
        <v/>
      </c>
      <c r="BU95" s="5">
        <f>BU94*Eras!BU$3</f>
        <v/>
      </c>
      <c r="BV95" s="5">
        <f>BV94*Eras!BV$3</f>
        <v/>
      </c>
    </row>
    <row r="96">
      <c r="A96" t="inlineStr">
        <is>
          <t>inflow @1</t>
        </is>
      </c>
      <c r="B96" t="inlineStr">
        <is>
          <t>EUROPE|BASIC_A</t>
        </is>
      </c>
      <c r="C96" s="5">
        <f>C94*Eras!C$4</f>
        <v/>
      </c>
      <c r="D96" s="5">
        <f>D94*Eras!D$4</f>
        <v/>
      </c>
      <c r="E96" s="5">
        <f>E94*Eras!E$4</f>
        <v/>
      </c>
      <c r="F96" s="5">
        <f>F94*Eras!F$4</f>
        <v/>
      </c>
      <c r="G96" s="5">
        <f>G94*Eras!G$4</f>
        <v/>
      </c>
      <c r="H96" s="5">
        <f>H94*Eras!H$4</f>
        <v/>
      </c>
      <c r="I96" s="5">
        <f>I94*Eras!I$4</f>
        <v/>
      </c>
      <c r="J96" s="5">
        <f>J94*Eras!J$4</f>
        <v/>
      </c>
      <c r="K96" s="5">
        <f>K94*Eras!K$4</f>
        <v/>
      </c>
      <c r="L96" s="5">
        <f>L94*Eras!L$4</f>
        <v/>
      </c>
      <c r="M96" s="5">
        <f>M94*Eras!M$4</f>
        <v/>
      </c>
      <c r="N96" s="5">
        <f>N94*Eras!N$4</f>
        <v/>
      </c>
      <c r="O96" s="5">
        <f>O94*Eras!O$4</f>
        <v/>
      </c>
      <c r="P96" s="5">
        <f>P94*Eras!P$4</f>
        <v/>
      </c>
      <c r="Q96" s="5">
        <f>Q94*Eras!Q$4</f>
        <v/>
      </c>
      <c r="R96" s="5">
        <f>R94*Eras!R$4</f>
        <v/>
      </c>
      <c r="S96" s="5">
        <f>S94*Eras!S$4</f>
        <v/>
      </c>
      <c r="T96" s="5">
        <f>T94*Eras!T$4</f>
        <v/>
      </c>
      <c r="U96" s="5">
        <f>U94*Eras!U$4</f>
        <v/>
      </c>
      <c r="V96" s="5">
        <f>V94*Eras!V$4</f>
        <v/>
      </c>
      <c r="W96" s="5">
        <f>W94*Eras!W$4</f>
        <v/>
      </c>
      <c r="X96" s="5">
        <f>X94*Eras!X$4</f>
        <v/>
      </c>
      <c r="Y96" s="5">
        <f>Y94*Eras!Y$4</f>
        <v/>
      </c>
      <c r="Z96" s="5">
        <f>Z94*Eras!Z$4</f>
        <v/>
      </c>
      <c r="AA96" s="5">
        <f>AA94*Eras!AA$4</f>
        <v/>
      </c>
      <c r="AB96" s="5">
        <f>AB94*Eras!AB$4</f>
        <v/>
      </c>
      <c r="AC96" s="5">
        <f>AC94*Eras!AC$4</f>
        <v/>
      </c>
      <c r="AD96" s="5">
        <f>AD94*Eras!AD$4</f>
        <v/>
      </c>
      <c r="AE96" s="5">
        <f>AE94*Eras!AE$4</f>
        <v/>
      </c>
      <c r="AF96" s="5">
        <f>AF94*Eras!AF$4</f>
        <v/>
      </c>
      <c r="AG96" s="5">
        <f>AG94*Eras!AG$4</f>
        <v/>
      </c>
      <c r="AH96" s="5">
        <f>AH94*Eras!AH$4</f>
        <v/>
      </c>
      <c r="AI96" s="5">
        <f>AI94*Eras!AI$4</f>
        <v/>
      </c>
      <c r="AJ96" s="5">
        <f>AJ94*Eras!AJ$4</f>
        <v/>
      </c>
      <c r="AK96" s="5">
        <f>AK94*Eras!AK$4</f>
        <v/>
      </c>
      <c r="AL96" s="5">
        <f>AL94*Eras!AL$4</f>
        <v/>
      </c>
      <c r="AM96" s="5">
        <f>AM94*Eras!AM$4</f>
        <v/>
      </c>
      <c r="AN96" s="5">
        <f>AN94*Eras!AN$4</f>
        <v/>
      </c>
      <c r="AO96" s="5">
        <f>AO94*Eras!AO$4</f>
        <v/>
      </c>
      <c r="AP96" s="5">
        <f>AP94*Eras!AP$4</f>
        <v/>
      </c>
      <c r="AQ96" s="5">
        <f>AQ94*Eras!AQ$4</f>
        <v/>
      </c>
      <c r="AR96" s="5">
        <f>AR94*Eras!AR$4</f>
        <v/>
      </c>
      <c r="AS96" s="5">
        <f>AS94*Eras!AS$4</f>
        <v/>
      </c>
      <c r="AT96" s="5">
        <f>AT94*Eras!AT$4</f>
        <v/>
      </c>
      <c r="AU96" s="5">
        <f>AU94*Eras!AU$4</f>
        <v/>
      </c>
      <c r="AV96" s="5">
        <f>AV94*Eras!AV$4</f>
        <v/>
      </c>
      <c r="AW96" s="5">
        <f>AW94*Eras!AW$4</f>
        <v/>
      </c>
      <c r="AX96" s="5">
        <f>AX94*Eras!AX$4</f>
        <v/>
      </c>
      <c r="AY96" s="5">
        <f>AY94*Eras!AY$4</f>
        <v/>
      </c>
      <c r="AZ96" s="5">
        <f>AZ94*Eras!AZ$4</f>
        <v/>
      </c>
      <c r="BA96" s="5">
        <f>BA94*Eras!BA$4</f>
        <v/>
      </c>
      <c r="BB96" s="5">
        <f>BB94*Eras!BB$4</f>
        <v/>
      </c>
      <c r="BC96" s="5">
        <f>BC94*Eras!BC$4</f>
        <v/>
      </c>
      <c r="BD96" s="5">
        <f>BD94*Eras!BD$4</f>
        <v/>
      </c>
      <c r="BE96" s="5">
        <f>BE94*Eras!BE$4</f>
        <v/>
      </c>
      <c r="BF96" s="5">
        <f>BF94*Eras!BF$4</f>
        <v/>
      </c>
      <c r="BG96" s="5">
        <f>BG94*Eras!BG$4</f>
        <v/>
      </c>
      <c r="BH96" s="5">
        <f>BH94*Eras!BH$4</f>
        <v/>
      </c>
      <c r="BI96" s="5">
        <f>BI94*Eras!BI$4</f>
        <v/>
      </c>
      <c r="BJ96" s="5">
        <f>BJ94*Eras!BJ$4</f>
        <v/>
      </c>
      <c r="BK96" s="5">
        <f>BK94*Eras!BK$4</f>
        <v/>
      </c>
      <c r="BL96" s="5">
        <f>BL94*Eras!BL$4</f>
        <v/>
      </c>
      <c r="BM96" s="5">
        <f>BM94*Eras!BM$4</f>
        <v/>
      </c>
      <c r="BN96" s="5">
        <f>BN94*Eras!BN$4</f>
        <v/>
      </c>
      <c r="BO96" s="5">
        <f>BO94*Eras!BO$4</f>
        <v/>
      </c>
      <c r="BP96" s="5">
        <f>BP94*Eras!BP$4</f>
        <v/>
      </c>
      <c r="BQ96" s="5">
        <f>BQ94*Eras!BQ$4</f>
        <v/>
      </c>
      <c r="BR96" s="5">
        <f>BR94*Eras!BR$4</f>
        <v/>
      </c>
      <c r="BS96" s="5">
        <f>BS94*Eras!BS$4</f>
        <v/>
      </c>
      <c r="BT96" s="5">
        <f>BT94*Eras!BT$4</f>
        <v/>
      </c>
      <c r="BU96" s="5">
        <f>BU94*Eras!BU$4</f>
        <v/>
      </c>
      <c r="BV96" s="5">
        <f>BV94*Eras!BV$4</f>
        <v/>
      </c>
    </row>
    <row r="97">
      <c r="A97" t="inlineStr">
        <is>
          <t>inflow @2</t>
        </is>
      </c>
      <c r="B97" t="inlineStr">
        <is>
          <t>EUROPE|BASIC_A</t>
        </is>
      </c>
      <c r="C97" s="5">
        <f>C94*Eras!C$5</f>
        <v/>
      </c>
      <c r="D97" s="5">
        <f>D94*Eras!D$5</f>
        <v/>
      </c>
      <c r="E97" s="5">
        <f>E94*Eras!E$5</f>
        <v/>
      </c>
      <c r="F97" s="5">
        <f>F94*Eras!F$5</f>
        <v/>
      </c>
      <c r="G97" s="5">
        <f>G94*Eras!G$5</f>
        <v/>
      </c>
      <c r="H97" s="5">
        <f>H94*Eras!H$5</f>
        <v/>
      </c>
      <c r="I97" s="5">
        <f>I94*Eras!I$5</f>
        <v/>
      </c>
      <c r="J97" s="5">
        <f>J94*Eras!J$5</f>
        <v/>
      </c>
      <c r="K97" s="5">
        <f>K94*Eras!K$5</f>
        <v/>
      </c>
      <c r="L97" s="5">
        <f>L94*Eras!L$5</f>
        <v/>
      </c>
      <c r="M97" s="5">
        <f>M94*Eras!M$5</f>
        <v/>
      </c>
      <c r="N97" s="5">
        <f>N94*Eras!N$5</f>
        <v/>
      </c>
      <c r="O97" s="5">
        <f>O94*Eras!O$5</f>
        <v/>
      </c>
      <c r="P97" s="5">
        <f>P94*Eras!P$5</f>
        <v/>
      </c>
      <c r="Q97" s="5">
        <f>Q94*Eras!Q$5</f>
        <v/>
      </c>
      <c r="R97" s="5">
        <f>R94*Eras!R$5</f>
        <v/>
      </c>
      <c r="S97" s="5">
        <f>S94*Eras!S$5</f>
        <v/>
      </c>
      <c r="T97" s="5">
        <f>T94*Eras!T$5</f>
        <v/>
      </c>
      <c r="U97" s="5">
        <f>U94*Eras!U$5</f>
        <v/>
      </c>
      <c r="V97" s="5">
        <f>V94*Eras!V$5</f>
        <v/>
      </c>
      <c r="W97" s="5">
        <f>W94*Eras!W$5</f>
        <v/>
      </c>
      <c r="X97" s="5">
        <f>X94*Eras!X$5</f>
        <v/>
      </c>
      <c r="Y97" s="5">
        <f>Y94*Eras!Y$5</f>
        <v/>
      </c>
      <c r="Z97" s="5">
        <f>Z94*Eras!Z$5</f>
        <v/>
      </c>
      <c r="AA97" s="5">
        <f>AA94*Eras!AA$5</f>
        <v/>
      </c>
      <c r="AB97" s="5">
        <f>AB94*Eras!AB$5</f>
        <v/>
      </c>
      <c r="AC97" s="5">
        <f>AC94*Eras!AC$5</f>
        <v/>
      </c>
      <c r="AD97" s="5">
        <f>AD94*Eras!AD$5</f>
        <v/>
      </c>
      <c r="AE97" s="5">
        <f>AE94*Eras!AE$5</f>
        <v/>
      </c>
      <c r="AF97" s="5">
        <f>AF94*Eras!AF$5</f>
        <v/>
      </c>
      <c r="AG97" s="5">
        <f>AG94*Eras!AG$5</f>
        <v/>
      </c>
      <c r="AH97" s="5">
        <f>AH94*Eras!AH$5</f>
        <v/>
      </c>
      <c r="AI97" s="5">
        <f>AI94*Eras!AI$5</f>
        <v/>
      </c>
      <c r="AJ97" s="5">
        <f>AJ94*Eras!AJ$5</f>
        <v/>
      </c>
      <c r="AK97" s="5">
        <f>AK94*Eras!AK$5</f>
        <v/>
      </c>
      <c r="AL97" s="5">
        <f>AL94*Eras!AL$5</f>
        <v/>
      </c>
      <c r="AM97" s="5">
        <f>AM94*Eras!AM$5</f>
        <v/>
      </c>
      <c r="AN97" s="5">
        <f>AN94*Eras!AN$5</f>
        <v/>
      </c>
      <c r="AO97" s="5">
        <f>AO94*Eras!AO$5</f>
        <v/>
      </c>
      <c r="AP97" s="5">
        <f>AP94*Eras!AP$5</f>
        <v/>
      </c>
      <c r="AQ97" s="5">
        <f>AQ94*Eras!AQ$5</f>
        <v/>
      </c>
      <c r="AR97" s="5">
        <f>AR94*Eras!AR$5</f>
        <v/>
      </c>
      <c r="AS97" s="5">
        <f>AS94*Eras!AS$5</f>
        <v/>
      </c>
      <c r="AT97" s="5">
        <f>AT94*Eras!AT$5</f>
        <v/>
      </c>
      <c r="AU97" s="5">
        <f>AU94*Eras!AU$5</f>
        <v/>
      </c>
      <c r="AV97" s="5">
        <f>AV94*Eras!AV$5</f>
        <v/>
      </c>
      <c r="AW97" s="5">
        <f>AW94*Eras!AW$5</f>
        <v/>
      </c>
      <c r="AX97" s="5">
        <f>AX94*Eras!AX$5</f>
        <v/>
      </c>
      <c r="AY97" s="5">
        <f>AY94*Eras!AY$5</f>
        <v/>
      </c>
      <c r="AZ97" s="5">
        <f>AZ94*Eras!AZ$5</f>
        <v/>
      </c>
      <c r="BA97" s="5">
        <f>BA94*Eras!BA$5</f>
        <v/>
      </c>
      <c r="BB97" s="5">
        <f>BB94*Eras!BB$5</f>
        <v/>
      </c>
      <c r="BC97" s="5">
        <f>BC94*Eras!BC$5</f>
        <v/>
      </c>
      <c r="BD97" s="5">
        <f>BD94*Eras!BD$5</f>
        <v/>
      </c>
      <c r="BE97" s="5">
        <f>BE94*Eras!BE$5</f>
        <v/>
      </c>
      <c r="BF97" s="5">
        <f>BF94*Eras!BF$5</f>
        <v/>
      </c>
      <c r="BG97" s="5">
        <f>BG94*Eras!BG$5</f>
        <v/>
      </c>
      <c r="BH97" s="5">
        <f>BH94*Eras!BH$5</f>
        <v/>
      </c>
      <c r="BI97" s="5">
        <f>BI94*Eras!BI$5</f>
        <v/>
      </c>
      <c r="BJ97" s="5">
        <f>BJ94*Eras!BJ$5</f>
        <v/>
      </c>
      <c r="BK97" s="5">
        <f>BK94*Eras!BK$5</f>
        <v/>
      </c>
      <c r="BL97" s="5">
        <f>BL94*Eras!BL$5</f>
        <v/>
      </c>
      <c r="BM97" s="5">
        <f>BM94*Eras!BM$5</f>
        <v/>
      </c>
      <c r="BN97" s="5">
        <f>BN94*Eras!BN$5</f>
        <v/>
      </c>
      <c r="BO97" s="5">
        <f>BO94*Eras!BO$5</f>
        <v/>
      </c>
      <c r="BP97" s="5">
        <f>BP94*Eras!BP$5</f>
        <v/>
      </c>
      <c r="BQ97" s="5">
        <f>BQ94*Eras!BQ$5</f>
        <v/>
      </c>
      <c r="BR97" s="5">
        <f>BR94*Eras!BR$5</f>
        <v/>
      </c>
      <c r="BS97" s="5">
        <f>BS94*Eras!BS$5</f>
        <v/>
      </c>
      <c r="BT97" s="5">
        <f>BT94*Eras!BT$5</f>
        <v/>
      </c>
      <c r="BU97" s="5">
        <f>BU94*Eras!BU$5</f>
        <v/>
      </c>
      <c r="BV97" s="5">
        <f>BV94*Eras!BV$5</f>
        <v/>
      </c>
    </row>
    <row r="98">
      <c r="A98" t="inlineStr">
        <is>
          <t>reactivations out</t>
        </is>
      </c>
      <c r="B98" t="inlineStr">
        <is>
          <t>EUROPE|BASIC_A</t>
        </is>
      </c>
      <c r="C98" s="5">
        <f>React!$C$95*Curves!$BV$21+React!$C$96*Curves!$BV$44+React!$C$97*Curves!$BV$67</f>
        <v/>
      </c>
      <c r="D98" s="5">
        <f>SUMPRODUCT(React!$C$95:$D$95,Curves!$BU$21:$BV$21)+SUMPRODUCT(React!$C$96:$D$96,Curves!$BU$44:$BV$44)+SUMPRODUCT(React!$C$97:$D$97,Curves!$BU$67:$BV$67)</f>
        <v/>
      </c>
      <c r="E98" s="5">
        <f>SUMPRODUCT(React!$C$95:$E$95,Curves!$BT$21:$BV$21)+SUMPRODUCT(React!$C$96:$E$96,Curves!$BT$44:$BV$44)+SUMPRODUCT(React!$C$97:$E$97,Curves!$BT$67:$BV$67)</f>
        <v/>
      </c>
      <c r="F98" s="5">
        <f>SUMPRODUCT(React!$C$95:$F$95,Curves!$BS$21:$BV$21)+SUMPRODUCT(React!$C$96:$F$96,Curves!$BS$44:$BV$44)+SUMPRODUCT(React!$C$97:$F$97,Curves!$BS$67:$BV$67)</f>
        <v/>
      </c>
      <c r="G98" s="5">
        <f>SUMPRODUCT(React!$C$95:$G$95,Curves!$BR$21:$BV$21)+SUMPRODUCT(React!$C$96:$G$96,Curves!$BR$44:$BV$44)+SUMPRODUCT(React!$C$97:$G$97,Curves!$BR$67:$BV$67)</f>
        <v/>
      </c>
      <c r="H98" s="5">
        <f>SUMPRODUCT(React!$C$95:$H$95,Curves!$BQ$21:$BV$21)+SUMPRODUCT(React!$C$96:$H$96,Curves!$BQ$44:$BV$44)+SUMPRODUCT(React!$C$97:$H$97,Curves!$BQ$67:$BV$67)</f>
        <v/>
      </c>
      <c r="I98" s="5">
        <f>SUMPRODUCT(React!$C$95:$I$95,Curves!$BP$21:$BV$21)+SUMPRODUCT(React!$C$96:$I$96,Curves!$BP$44:$BV$44)+SUMPRODUCT(React!$C$97:$I$97,Curves!$BP$67:$BV$67)</f>
        <v/>
      </c>
      <c r="J98" s="5">
        <f>SUMPRODUCT(React!$C$95:$J$95,Curves!$BO$21:$BV$21)+SUMPRODUCT(React!$C$96:$J$96,Curves!$BO$44:$BV$44)+SUMPRODUCT(React!$C$97:$J$97,Curves!$BO$67:$BV$67)</f>
        <v/>
      </c>
      <c r="K98" s="5">
        <f>SUMPRODUCT(React!$C$95:$K$95,Curves!$BN$21:$BV$21)+SUMPRODUCT(React!$C$96:$K$96,Curves!$BN$44:$BV$44)+SUMPRODUCT(React!$C$97:$K$97,Curves!$BN$67:$BV$67)</f>
        <v/>
      </c>
      <c r="L98" s="5">
        <f>SUMPRODUCT(React!$C$95:$L$95,Curves!$BM$21:$BV$21)+SUMPRODUCT(React!$C$96:$L$96,Curves!$BM$44:$BV$44)+SUMPRODUCT(React!$C$97:$L$97,Curves!$BM$67:$BV$67)</f>
        <v/>
      </c>
      <c r="M98" s="5">
        <f>SUMPRODUCT(React!$C$95:$M$95,Curves!$BL$21:$BV$21)+SUMPRODUCT(React!$C$96:$M$96,Curves!$BL$44:$BV$44)+SUMPRODUCT(React!$C$97:$M$97,Curves!$BL$67:$BV$67)</f>
        <v/>
      </c>
      <c r="N98" s="5">
        <f>SUMPRODUCT(React!$C$95:$N$95,Curves!$BK$21:$BV$21)+SUMPRODUCT(React!$C$96:$N$96,Curves!$BK$44:$BV$44)+SUMPRODUCT(React!$C$97:$N$97,Curves!$BK$67:$BV$67)</f>
        <v/>
      </c>
      <c r="O98" s="5">
        <f>SUMPRODUCT(React!$C$95:$O$95,Curves!$BJ$21:$BV$21)+SUMPRODUCT(React!$C$96:$O$96,Curves!$BJ$44:$BV$44)+SUMPRODUCT(React!$C$97:$O$97,Curves!$BJ$67:$BV$67)</f>
        <v/>
      </c>
      <c r="P98" s="5">
        <f>SUMPRODUCT(React!$C$95:$P$95,Curves!$BI$21:$BV$21)+SUMPRODUCT(React!$C$96:$P$96,Curves!$BI$44:$BV$44)+SUMPRODUCT(React!$C$97:$P$97,Curves!$BI$67:$BV$67)</f>
        <v/>
      </c>
      <c r="Q98" s="5">
        <f>SUMPRODUCT(React!$C$95:$Q$95,Curves!$BH$21:$BV$21)+SUMPRODUCT(React!$C$96:$Q$96,Curves!$BH$44:$BV$44)+SUMPRODUCT(React!$C$97:$Q$97,Curves!$BH$67:$BV$67)</f>
        <v/>
      </c>
      <c r="R98" s="5">
        <f>SUMPRODUCT(React!$C$95:$R$95,Curves!$BG$21:$BV$21)+SUMPRODUCT(React!$C$96:$R$96,Curves!$BG$44:$BV$44)+SUMPRODUCT(React!$C$97:$R$97,Curves!$BG$67:$BV$67)</f>
        <v/>
      </c>
      <c r="S98" s="5">
        <f>SUMPRODUCT(React!$C$95:$S$95,Curves!$BF$21:$BV$21)+SUMPRODUCT(React!$C$96:$S$96,Curves!$BF$44:$BV$44)+SUMPRODUCT(React!$C$97:$S$97,Curves!$BF$67:$BV$67)</f>
        <v/>
      </c>
      <c r="T98" s="5">
        <f>SUMPRODUCT(React!$C$95:$T$95,Curves!$BE$21:$BV$21)+SUMPRODUCT(React!$C$96:$T$96,Curves!$BE$44:$BV$44)+SUMPRODUCT(React!$C$97:$T$97,Curves!$BE$67:$BV$67)</f>
        <v/>
      </c>
      <c r="U98" s="5">
        <f>SUMPRODUCT(React!$C$95:$U$95,Curves!$BD$21:$BV$21)+SUMPRODUCT(React!$C$96:$U$96,Curves!$BD$44:$BV$44)+SUMPRODUCT(React!$C$97:$U$97,Curves!$BD$67:$BV$67)</f>
        <v/>
      </c>
      <c r="V98" s="5">
        <f>SUMPRODUCT(React!$C$95:$V$95,Curves!$BC$21:$BV$21)+SUMPRODUCT(React!$C$96:$V$96,Curves!$BC$44:$BV$44)+SUMPRODUCT(React!$C$97:$V$97,Curves!$BC$67:$BV$67)</f>
        <v/>
      </c>
      <c r="W98" s="5">
        <f>SUMPRODUCT(React!$C$95:$W$95,Curves!$BB$21:$BV$21)+SUMPRODUCT(React!$C$96:$W$96,Curves!$BB$44:$BV$44)+SUMPRODUCT(React!$C$97:$W$97,Curves!$BB$67:$BV$67)</f>
        <v/>
      </c>
      <c r="X98" s="5">
        <f>SUMPRODUCT(React!$C$95:$X$95,Curves!$BA$21:$BV$21)+SUMPRODUCT(React!$C$96:$X$96,Curves!$BA$44:$BV$44)+SUMPRODUCT(React!$C$97:$X$97,Curves!$BA$67:$BV$67)</f>
        <v/>
      </c>
      <c r="Y98" s="5">
        <f>SUMPRODUCT(React!$C$95:$Y$95,Curves!$AZ$21:$BV$21)+SUMPRODUCT(React!$C$96:$Y$96,Curves!$AZ$44:$BV$44)+SUMPRODUCT(React!$C$97:$Y$97,Curves!$AZ$67:$BV$67)</f>
        <v/>
      </c>
      <c r="Z98" s="5">
        <f>SUMPRODUCT(React!$C$95:$Z$95,Curves!$AY$21:$BV$21)+SUMPRODUCT(React!$C$96:$Z$96,Curves!$AY$44:$BV$44)+SUMPRODUCT(React!$C$97:$Z$97,Curves!$AY$67:$BV$67)</f>
        <v/>
      </c>
      <c r="AA98" s="5">
        <f>SUMPRODUCT(React!$C$95:$AA$95,Curves!$AX$21:$BV$21)+SUMPRODUCT(React!$C$96:$AA$96,Curves!$AX$44:$BV$44)+SUMPRODUCT(React!$C$97:$AA$97,Curves!$AX$67:$BV$67)</f>
        <v/>
      </c>
      <c r="AB98" s="5">
        <f>SUMPRODUCT(React!$C$95:$AB$95,Curves!$AW$21:$BV$21)+SUMPRODUCT(React!$C$96:$AB$96,Curves!$AW$44:$BV$44)+SUMPRODUCT(React!$C$97:$AB$97,Curves!$AW$67:$BV$67)</f>
        <v/>
      </c>
      <c r="AC98" s="5">
        <f>SUMPRODUCT(React!$C$95:$AC$95,Curves!$AV$21:$BV$21)+SUMPRODUCT(React!$C$96:$AC$96,Curves!$AV$44:$BV$44)+SUMPRODUCT(React!$C$97:$AC$97,Curves!$AV$67:$BV$67)</f>
        <v/>
      </c>
      <c r="AD98" s="5">
        <f>SUMPRODUCT(React!$C$95:$AD$95,Curves!$AU$21:$BV$21)+SUMPRODUCT(React!$C$96:$AD$96,Curves!$AU$44:$BV$44)+SUMPRODUCT(React!$C$97:$AD$97,Curves!$AU$67:$BV$67)</f>
        <v/>
      </c>
      <c r="AE98" s="5">
        <f>SUMPRODUCT(React!$C$95:$AE$95,Curves!$AT$21:$BV$21)+SUMPRODUCT(React!$C$96:$AE$96,Curves!$AT$44:$BV$44)+SUMPRODUCT(React!$C$97:$AE$97,Curves!$AT$67:$BV$67)</f>
        <v/>
      </c>
      <c r="AF98" s="5">
        <f>SUMPRODUCT(React!$C$95:$AF$95,Curves!$AS$21:$BV$21)+SUMPRODUCT(React!$C$96:$AF$96,Curves!$AS$44:$BV$44)+SUMPRODUCT(React!$C$97:$AF$97,Curves!$AS$67:$BV$67)</f>
        <v/>
      </c>
      <c r="AG98" s="5">
        <f>SUMPRODUCT(React!$C$95:$AG$95,Curves!$AR$21:$BV$21)+SUMPRODUCT(React!$C$96:$AG$96,Curves!$AR$44:$BV$44)+SUMPRODUCT(React!$C$97:$AG$97,Curves!$AR$67:$BV$67)</f>
        <v/>
      </c>
      <c r="AH98" s="5">
        <f>SUMPRODUCT(React!$C$95:$AH$95,Curves!$AQ$21:$BV$21)+SUMPRODUCT(React!$C$96:$AH$96,Curves!$AQ$44:$BV$44)+SUMPRODUCT(React!$C$97:$AH$97,Curves!$AQ$67:$BV$67)</f>
        <v/>
      </c>
      <c r="AI98" s="5">
        <f>SUMPRODUCT(React!$C$95:$AI$95,Curves!$AP$21:$BV$21)+SUMPRODUCT(React!$C$96:$AI$96,Curves!$AP$44:$BV$44)+SUMPRODUCT(React!$C$97:$AI$97,Curves!$AP$67:$BV$67)</f>
        <v/>
      </c>
      <c r="AJ98" s="5">
        <f>SUMPRODUCT(React!$C$95:$AJ$95,Curves!$AO$21:$BV$21)+SUMPRODUCT(React!$C$96:$AJ$96,Curves!$AO$44:$BV$44)+SUMPRODUCT(React!$C$97:$AJ$97,Curves!$AO$67:$BV$67)</f>
        <v/>
      </c>
      <c r="AK98" s="5">
        <f>SUMPRODUCT(React!$C$95:$AK$95,Curves!$AN$21:$BV$21)+SUMPRODUCT(React!$C$96:$AK$96,Curves!$AN$44:$BV$44)+SUMPRODUCT(React!$C$97:$AK$97,Curves!$AN$67:$BV$67)</f>
        <v/>
      </c>
      <c r="AL98" s="5">
        <f>SUMPRODUCT(React!$C$95:$AL$95,Curves!$AM$21:$BV$21)+SUMPRODUCT(React!$C$96:$AL$96,Curves!$AM$44:$BV$44)+SUMPRODUCT(React!$C$97:$AL$97,Curves!$AM$67:$BV$67)</f>
        <v/>
      </c>
      <c r="AM98" s="5">
        <f>SUMPRODUCT(React!$C$95:$AM$95,Curves!$AL$21:$BV$21)+SUMPRODUCT(React!$C$96:$AM$96,Curves!$AL$44:$BV$44)+SUMPRODUCT(React!$C$97:$AM$97,Curves!$AL$67:$BV$67)</f>
        <v/>
      </c>
      <c r="AN98" s="5">
        <f>SUMPRODUCT(React!$C$95:$AN$95,Curves!$AK$21:$BV$21)+SUMPRODUCT(React!$C$96:$AN$96,Curves!$AK$44:$BV$44)+SUMPRODUCT(React!$C$97:$AN$97,Curves!$AK$67:$BV$67)</f>
        <v/>
      </c>
      <c r="AO98" s="5">
        <f>SUMPRODUCT(React!$C$95:$AO$95,Curves!$AJ$21:$BV$21)+SUMPRODUCT(React!$C$96:$AO$96,Curves!$AJ$44:$BV$44)+SUMPRODUCT(React!$C$97:$AO$97,Curves!$AJ$67:$BV$67)</f>
        <v/>
      </c>
      <c r="AP98" s="5">
        <f>SUMPRODUCT(React!$C$95:$AP$95,Curves!$AI$21:$BV$21)+SUMPRODUCT(React!$C$96:$AP$96,Curves!$AI$44:$BV$44)+SUMPRODUCT(React!$C$97:$AP$97,Curves!$AI$67:$BV$67)</f>
        <v/>
      </c>
      <c r="AQ98" s="5">
        <f>SUMPRODUCT(React!$C$95:$AQ$95,Curves!$AH$21:$BV$21)+SUMPRODUCT(React!$C$96:$AQ$96,Curves!$AH$44:$BV$44)+SUMPRODUCT(React!$C$97:$AQ$97,Curves!$AH$67:$BV$67)</f>
        <v/>
      </c>
      <c r="AR98" s="5">
        <f>SUMPRODUCT(React!$C$95:$AR$95,Curves!$AG$21:$BV$21)+SUMPRODUCT(React!$C$96:$AR$96,Curves!$AG$44:$BV$44)+SUMPRODUCT(React!$C$97:$AR$97,Curves!$AG$67:$BV$67)</f>
        <v/>
      </c>
      <c r="AS98" s="5">
        <f>SUMPRODUCT(React!$C$95:$AS$95,Curves!$AF$21:$BV$21)+SUMPRODUCT(React!$C$96:$AS$96,Curves!$AF$44:$BV$44)+SUMPRODUCT(React!$C$97:$AS$97,Curves!$AF$67:$BV$67)</f>
        <v/>
      </c>
      <c r="AT98" s="5">
        <f>SUMPRODUCT(React!$C$95:$AT$95,Curves!$AE$21:$BV$21)+SUMPRODUCT(React!$C$96:$AT$96,Curves!$AE$44:$BV$44)+SUMPRODUCT(React!$C$97:$AT$97,Curves!$AE$67:$BV$67)</f>
        <v/>
      </c>
      <c r="AU98" s="5">
        <f>SUMPRODUCT(React!$C$95:$AU$95,Curves!$AD$21:$BV$21)+SUMPRODUCT(React!$C$96:$AU$96,Curves!$AD$44:$BV$44)+SUMPRODUCT(React!$C$97:$AU$97,Curves!$AD$67:$BV$67)</f>
        <v/>
      </c>
      <c r="AV98" s="5">
        <f>SUMPRODUCT(React!$C$95:$AV$95,Curves!$AC$21:$BV$21)+SUMPRODUCT(React!$C$96:$AV$96,Curves!$AC$44:$BV$44)+SUMPRODUCT(React!$C$97:$AV$97,Curves!$AC$67:$BV$67)</f>
        <v/>
      </c>
      <c r="AW98" s="5">
        <f>SUMPRODUCT(React!$C$95:$AW$95,Curves!$AB$21:$BV$21)+SUMPRODUCT(React!$C$96:$AW$96,Curves!$AB$44:$BV$44)+SUMPRODUCT(React!$C$97:$AW$97,Curves!$AB$67:$BV$67)</f>
        <v/>
      </c>
      <c r="AX98" s="5">
        <f>SUMPRODUCT(React!$C$95:$AX$95,Curves!$AA$21:$BV$21)+SUMPRODUCT(React!$C$96:$AX$96,Curves!$AA$44:$BV$44)+SUMPRODUCT(React!$C$97:$AX$97,Curves!$AA$67:$BV$67)</f>
        <v/>
      </c>
      <c r="AY98" s="5">
        <f>SUMPRODUCT(React!$C$95:$AY$95,Curves!$Z$21:$BV$21)+SUMPRODUCT(React!$C$96:$AY$96,Curves!$Z$44:$BV$44)+SUMPRODUCT(React!$C$97:$AY$97,Curves!$Z$67:$BV$67)</f>
        <v/>
      </c>
      <c r="AZ98" s="5">
        <f>SUMPRODUCT(React!$C$95:$AZ$95,Curves!$Y$21:$BV$21)+SUMPRODUCT(React!$C$96:$AZ$96,Curves!$Y$44:$BV$44)+SUMPRODUCT(React!$C$97:$AZ$97,Curves!$Y$67:$BV$67)</f>
        <v/>
      </c>
      <c r="BA98" s="5">
        <f>SUMPRODUCT(React!$C$95:$BA$95,Curves!$X$21:$BV$21)+SUMPRODUCT(React!$C$96:$BA$96,Curves!$X$44:$BV$44)+SUMPRODUCT(React!$C$97:$BA$97,Curves!$X$67:$BV$67)</f>
        <v/>
      </c>
      <c r="BB98" s="5">
        <f>SUMPRODUCT(React!$C$95:$BB$95,Curves!$W$21:$BV$21)+SUMPRODUCT(React!$C$96:$BB$96,Curves!$W$44:$BV$44)+SUMPRODUCT(React!$C$97:$BB$97,Curves!$W$67:$BV$67)</f>
        <v/>
      </c>
      <c r="BC98" s="5">
        <f>SUMPRODUCT(React!$C$95:$BC$95,Curves!$V$21:$BV$21)+SUMPRODUCT(React!$C$96:$BC$96,Curves!$V$44:$BV$44)+SUMPRODUCT(React!$C$97:$BC$97,Curves!$V$67:$BV$67)</f>
        <v/>
      </c>
      <c r="BD98" s="5">
        <f>SUMPRODUCT(React!$C$95:$BD$95,Curves!$U$21:$BV$21)+SUMPRODUCT(React!$C$96:$BD$96,Curves!$U$44:$BV$44)+SUMPRODUCT(React!$C$97:$BD$97,Curves!$U$67:$BV$67)</f>
        <v/>
      </c>
      <c r="BE98" s="5">
        <f>SUMPRODUCT(React!$C$95:$BE$95,Curves!$T$21:$BV$21)+SUMPRODUCT(React!$C$96:$BE$96,Curves!$T$44:$BV$44)+SUMPRODUCT(React!$C$97:$BE$97,Curves!$T$67:$BV$67)</f>
        <v/>
      </c>
      <c r="BF98" s="5">
        <f>SUMPRODUCT(React!$C$95:$BF$95,Curves!$S$21:$BV$21)+SUMPRODUCT(React!$C$96:$BF$96,Curves!$S$44:$BV$44)+SUMPRODUCT(React!$C$97:$BF$97,Curves!$S$67:$BV$67)</f>
        <v/>
      </c>
      <c r="BG98" s="5">
        <f>SUMPRODUCT(React!$C$95:$BG$95,Curves!$R$21:$BV$21)+SUMPRODUCT(React!$C$96:$BG$96,Curves!$R$44:$BV$44)+SUMPRODUCT(React!$C$97:$BG$97,Curves!$R$67:$BV$67)</f>
        <v/>
      </c>
      <c r="BH98" s="5">
        <f>SUMPRODUCT(React!$C$95:$BH$95,Curves!$Q$21:$BV$21)+SUMPRODUCT(React!$C$96:$BH$96,Curves!$Q$44:$BV$44)+SUMPRODUCT(React!$C$97:$BH$97,Curves!$Q$67:$BV$67)</f>
        <v/>
      </c>
      <c r="BI98" s="5">
        <f>SUMPRODUCT(React!$C$95:$BI$95,Curves!$P$21:$BV$21)+SUMPRODUCT(React!$C$96:$BI$96,Curves!$P$44:$BV$44)+SUMPRODUCT(React!$C$97:$BI$97,Curves!$P$67:$BV$67)</f>
        <v/>
      </c>
      <c r="BJ98" s="5">
        <f>SUMPRODUCT(React!$C$95:$BJ$95,Curves!$O$21:$BV$21)+SUMPRODUCT(React!$C$96:$BJ$96,Curves!$O$44:$BV$44)+SUMPRODUCT(React!$C$97:$BJ$97,Curves!$O$67:$BV$67)</f>
        <v/>
      </c>
      <c r="BK98" s="5">
        <f>SUMPRODUCT(React!$C$95:$BK$95,Curves!$N$21:$BV$21)+SUMPRODUCT(React!$C$96:$BK$96,Curves!$N$44:$BV$44)+SUMPRODUCT(React!$C$97:$BK$97,Curves!$N$67:$BV$67)</f>
        <v/>
      </c>
      <c r="BL98" s="5">
        <f>SUMPRODUCT(React!$C$95:$BL$95,Curves!$M$21:$BV$21)+SUMPRODUCT(React!$C$96:$BL$96,Curves!$M$44:$BV$44)+SUMPRODUCT(React!$C$97:$BL$97,Curves!$M$67:$BV$67)</f>
        <v/>
      </c>
      <c r="BM98" s="5">
        <f>SUMPRODUCT(React!$C$95:$BM$95,Curves!$L$21:$BV$21)+SUMPRODUCT(React!$C$96:$BM$96,Curves!$L$44:$BV$44)+SUMPRODUCT(React!$C$97:$BM$97,Curves!$L$67:$BV$67)</f>
        <v/>
      </c>
      <c r="BN98" s="5">
        <f>SUMPRODUCT(React!$C$95:$BN$95,Curves!$K$21:$BV$21)+SUMPRODUCT(React!$C$96:$BN$96,Curves!$K$44:$BV$44)+SUMPRODUCT(React!$C$97:$BN$97,Curves!$K$67:$BV$67)</f>
        <v/>
      </c>
      <c r="BO98" s="5">
        <f>SUMPRODUCT(React!$C$95:$BO$95,Curves!$J$21:$BV$21)+SUMPRODUCT(React!$C$96:$BO$96,Curves!$J$44:$BV$44)+SUMPRODUCT(React!$C$97:$BO$97,Curves!$J$67:$BV$67)</f>
        <v/>
      </c>
      <c r="BP98" s="5">
        <f>SUMPRODUCT(React!$C$95:$BP$95,Curves!$I$21:$BV$21)+SUMPRODUCT(React!$C$96:$BP$96,Curves!$I$44:$BV$44)+SUMPRODUCT(React!$C$97:$BP$97,Curves!$I$67:$BV$67)</f>
        <v/>
      </c>
      <c r="BQ98" s="5">
        <f>SUMPRODUCT(React!$C$95:$BQ$95,Curves!$H$21:$BV$21)+SUMPRODUCT(React!$C$96:$BQ$96,Curves!$H$44:$BV$44)+SUMPRODUCT(React!$C$97:$BQ$97,Curves!$H$67:$BV$67)</f>
        <v/>
      </c>
      <c r="BR98" s="5">
        <f>SUMPRODUCT(React!$C$95:$BR$95,Curves!$G$21:$BV$21)+SUMPRODUCT(React!$C$96:$BR$96,Curves!$G$44:$BV$44)+SUMPRODUCT(React!$C$97:$BR$97,Curves!$G$67:$BV$67)</f>
        <v/>
      </c>
      <c r="BS98" s="5">
        <f>SUMPRODUCT(React!$C$95:$BS$95,Curves!$F$21:$BV$21)+SUMPRODUCT(React!$C$96:$BS$96,Curves!$F$44:$BV$44)+SUMPRODUCT(React!$C$97:$BS$97,Curves!$F$67:$BV$67)</f>
        <v/>
      </c>
      <c r="BT98" s="5">
        <f>SUMPRODUCT(React!$C$95:$BT$95,Curves!$E$21:$BV$21)+SUMPRODUCT(React!$C$96:$BT$96,Curves!$E$44:$BV$44)+SUMPRODUCT(React!$C$97:$BT$97,Curves!$E$67:$BV$67)</f>
        <v/>
      </c>
      <c r="BU98" s="5">
        <f>SUMPRODUCT(React!$C$95:$BU$95,Curves!$D$21:$BV$21)+SUMPRODUCT(React!$C$96:$BU$96,Curves!$D$44:$BV$44)+SUMPRODUCT(React!$C$97:$BU$97,Curves!$D$67:$BV$67)</f>
        <v/>
      </c>
      <c r="BV98" s="5">
        <f>SUMPRODUCT(React!$C$95:$BV$95,Curves!$C$21:$BV$21)+SUMPRODUCT(React!$C$96:$BV$96,Curves!$C$44:$BV$44)+SUMPRODUCT(React!$C$97:$BV$97,Curves!$C$67:$BV$67)</f>
        <v/>
      </c>
    </row>
    <row r="99">
      <c r="A99" t="inlineStr">
        <is>
          <t>reactivated in</t>
        </is>
      </c>
      <c r="B99" t="inlineStr">
        <is>
          <t>EUROPE|BASIC_A</t>
        </is>
      </c>
      <c r="C99" s="5">
        <f>0</f>
        <v/>
      </c>
      <c r="D99" s="5">
        <f>0</f>
        <v/>
      </c>
      <c r="E99" s="5">
        <f>0</f>
        <v/>
      </c>
      <c r="F99" s="5">
        <f>0</f>
        <v/>
      </c>
      <c r="G99" s="5">
        <f>0</f>
        <v/>
      </c>
      <c r="H99" s="5">
        <f>0</f>
        <v/>
      </c>
      <c r="I99" s="5">
        <f>0</f>
        <v/>
      </c>
      <c r="J99" s="5">
        <f>0</f>
        <v/>
      </c>
      <c r="K99" s="5">
        <f>0</f>
        <v/>
      </c>
      <c r="L99" s="5">
        <f>0</f>
        <v/>
      </c>
      <c r="M99" s="5">
        <f>0</f>
        <v/>
      </c>
      <c r="N99" s="5">
        <f>0</f>
        <v/>
      </c>
      <c r="O99" s="5">
        <f>0</f>
        <v/>
      </c>
      <c r="P99" s="5">
        <f>0</f>
        <v/>
      </c>
      <c r="Q99" s="5">
        <f>0</f>
        <v/>
      </c>
      <c r="R99" s="5">
        <f>0</f>
        <v/>
      </c>
      <c r="S99" s="5">
        <f>0</f>
        <v/>
      </c>
      <c r="T99" s="5">
        <f>0</f>
        <v/>
      </c>
      <c r="U99" s="5">
        <f>0</f>
        <v/>
      </c>
      <c r="V99" s="5">
        <f>0</f>
        <v/>
      </c>
      <c r="W99" s="5">
        <f>0</f>
        <v/>
      </c>
      <c r="X99" s="5">
        <f>0</f>
        <v/>
      </c>
      <c r="Y99" s="5">
        <f>0</f>
        <v/>
      </c>
      <c r="Z99" s="5">
        <f>0</f>
        <v/>
      </c>
      <c r="AA99" s="5">
        <f>0</f>
        <v/>
      </c>
      <c r="AB99" s="5">
        <f>0</f>
        <v/>
      </c>
      <c r="AC99" s="5">
        <f>0</f>
        <v/>
      </c>
      <c r="AD99" s="5">
        <f>0</f>
        <v/>
      </c>
      <c r="AE99" s="5">
        <f>0</f>
        <v/>
      </c>
      <c r="AF99" s="5">
        <f>0</f>
        <v/>
      </c>
      <c r="AG99" s="5">
        <f>0</f>
        <v/>
      </c>
      <c r="AH99" s="5">
        <f>0</f>
        <v/>
      </c>
      <c r="AI99" s="5">
        <f>0</f>
        <v/>
      </c>
      <c r="AJ99" s="5">
        <f>0</f>
        <v/>
      </c>
      <c r="AK99" s="5">
        <f>0</f>
        <v/>
      </c>
      <c r="AL99" s="5">
        <f>0</f>
        <v/>
      </c>
      <c r="AM99" s="5">
        <f>0</f>
        <v/>
      </c>
      <c r="AN99" s="5">
        <f>0</f>
        <v/>
      </c>
      <c r="AO99" s="5">
        <f>0</f>
        <v/>
      </c>
      <c r="AP99" s="5">
        <f>0</f>
        <v/>
      </c>
      <c r="AQ99" s="5">
        <f>0</f>
        <v/>
      </c>
      <c r="AR99" s="5">
        <f>0</f>
        <v/>
      </c>
      <c r="AS99" s="5">
        <f>0</f>
        <v/>
      </c>
      <c r="AT99" s="5">
        <f>0</f>
        <v/>
      </c>
      <c r="AU99" s="5">
        <f>0</f>
        <v/>
      </c>
      <c r="AV99" s="5">
        <f>0</f>
        <v/>
      </c>
      <c r="AW99" s="5">
        <f>0</f>
        <v/>
      </c>
      <c r="AX99" s="5">
        <f>0</f>
        <v/>
      </c>
      <c r="AY99" s="5">
        <f>0</f>
        <v/>
      </c>
      <c r="AZ99" s="5">
        <f>0</f>
        <v/>
      </c>
      <c r="BA99" s="5">
        <f>0</f>
        <v/>
      </c>
      <c r="BB99" s="5">
        <f>0</f>
        <v/>
      </c>
      <c r="BC99" s="5">
        <f>0</f>
        <v/>
      </c>
      <c r="BD99" s="5">
        <f>0</f>
        <v/>
      </c>
      <c r="BE99" s="5">
        <f>0</f>
        <v/>
      </c>
      <c r="BF99" s="5">
        <f>0</f>
        <v/>
      </c>
      <c r="BG99" s="5">
        <f>0</f>
        <v/>
      </c>
      <c r="BH99" s="5">
        <f>0</f>
        <v/>
      </c>
      <c r="BI99" s="5">
        <f>0</f>
        <v/>
      </c>
      <c r="BJ99" s="5">
        <f>0</f>
        <v/>
      </c>
      <c r="BK99" s="5">
        <f>0</f>
        <v/>
      </c>
      <c r="BL99" s="5">
        <f>0</f>
        <v/>
      </c>
      <c r="BM99" s="5">
        <f>0</f>
        <v/>
      </c>
      <c r="BN99" s="5">
        <f>0</f>
        <v/>
      </c>
      <c r="BO99" s="5">
        <f>0</f>
        <v/>
      </c>
      <c r="BP99" s="5">
        <f>0</f>
        <v/>
      </c>
      <c r="BQ99" s="5">
        <f>0</f>
        <v/>
      </c>
      <c r="BR99" s="5">
        <f>0</f>
        <v/>
      </c>
      <c r="BS99" s="5">
        <f>0</f>
        <v/>
      </c>
      <c r="BT99" s="5">
        <f>0</f>
        <v/>
      </c>
      <c r="BU99" s="5">
        <f>0</f>
        <v/>
      </c>
      <c r="BV99" s="5">
        <f>0</f>
        <v/>
      </c>
    </row>
    <row r="100">
      <c r="A100" t="inlineStr">
        <is>
          <t>reactivated in @0</t>
        </is>
      </c>
      <c r="B100" t="inlineStr">
        <is>
          <t>EUROPE|BASIC_A</t>
        </is>
      </c>
      <c r="C100" s="5">
        <f>C99*Eras!C$3</f>
        <v/>
      </c>
      <c r="D100" s="5">
        <f>D99*Eras!D$3</f>
        <v/>
      </c>
      <c r="E100" s="5">
        <f>E99*Eras!E$3</f>
        <v/>
      </c>
      <c r="F100" s="5">
        <f>F99*Eras!F$3</f>
        <v/>
      </c>
      <c r="G100" s="5">
        <f>G99*Eras!G$3</f>
        <v/>
      </c>
      <c r="H100" s="5">
        <f>H99*Eras!H$3</f>
        <v/>
      </c>
      <c r="I100" s="5">
        <f>I99*Eras!I$3</f>
        <v/>
      </c>
      <c r="J100" s="5">
        <f>J99*Eras!J$3</f>
        <v/>
      </c>
      <c r="K100" s="5">
        <f>K99*Eras!K$3</f>
        <v/>
      </c>
      <c r="L100" s="5">
        <f>L99*Eras!L$3</f>
        <v/>
      </c>
      <c r="M100" s="5">
        <f>M99*Eras!M$3</f>
        <v/>
      </c>
      <c r="N100" s="5">
        <f>N99*Eras!N$3</f>
        <v/>
      </c>
      <c r="O100" s="5">
        <f>O99*Eras!O$3</f>
        <v/>
      </c>
      <c r="P100" s="5">
        <f>P99*Eras!P$3</f>
        <v/>
      </c>
      <c r="Q100" s="5">
        <f>Q99*Eras!Q$3</f>
        <v/>
      </c>
      <c r="R100" s="5">
        <f>R99*Eras!R$3</f>
        <v/>
      </c>
      <c r="S100" s="5">
        <f>S99*Eras!S$3</f>
        <v/>
      </c>
      <c r="T100" s="5">
        <f>T99*Eras!T$3</f>
        <v/>
      </c>
      <c r="U100" s="5">
        <f>U99*Eras!U$3</f>
        <v/>
      </c>
      <c r="V100" s="5">
        <f>V99*Eras!V$3</f>
        <v/>
      </c>
      <c r="W100" s="5">
        <f>W99*Eras!W$3</f>
        <v/>
      </c>
      <c r="X100" s="5">
        <f>X99*Eras!X$3</f>
        <v/>
      </c>
      <c r="Y100" s="5">
        <f>Y99*Eras!Y$3</f>
        <v/>
      </c>
      <c r="Z100" s="5">
        <f>Z99*Eras!Z$3</f>
        <v/>
      </c>
      <c r="AA100" s="5">
        <f>AA99*Eras!AA$3</f>
        <v/>
      </c>
      <c r="AB100" s="5">
        <f>AB99*Eras!AB$3</f>
        <v/>
      </c>
      <c r="AC100" s="5">
        <f>AC99*Eras!AC$3</f>
        <v/>
      </c>
      <c r="AD100" s="5">
        <f>AD99*Eras!AD$3</f>
        <v/>
      </c>
      <c r="AE100" s="5">
        <f>AE99*Eras!AE$3</f>
        <v/>
      </c>
      <c r="AF100" s="5">
        <f>AF99*Eras!AF$3</f>
        <v/>
      </c>
      <c r="AG100" s="5">
        <f>AG99*Eras!AG$3</f>
        <v/>
      </c>
      <c r="AH100" s="5">
        <f>AH99*Eras!AH$3</f>
        <v/>
      </c>
      <c r="AI100" s="5">
        <f>AI99*Eras!AI$3</f>
        <v/>
      </c>
      <c r="AJ100" s="5">
        <f>AJ99*Eras!AJ$3</f>
        <v/>
      </c>
      <c r="AK100" s="5">
        <f>AK99*Eras!AK$3</f>
        <v/>
      </c>
      <c r="AL100" s="5">
        <f>AL99*Eras!AL$3</f>
        <v/>
      </c>
      <c r="AM100" s="5">
        <f>AM99*Eras!AM$3</f>
        <v/>
      </c>
      <c r="AN100" s="5">
        <f>AN99*Eras!AN$3</f>
        <v/>
      </c>
      <c r="AO100" s="5">
        <f>AO99*Eras!AO$3</f>
        <v/>
      </c>
      <c r="AP100" s="5">
        <f>AP99*Eras!AP$3</f>
        <v/>
      </c>
      <c r="AQ100" s="5">
        <f>AQ99*Eras!AQ$3</f>
        <v/>
      </c>
      <c r="AR100" s="5">
        <f>AR99*Eras!AR$3</f>
        <v/>
      </c>
      <c r="AS100" s="5">
        <f>AS99*Eras!AS$3</f>
        <v/>
      </c>
      <c r="AT100" s="5">
        <f>AT99*Eras!AT$3</f>
        <v/>
      </c>
      <c r="AU100" s="5">
        <f>AU99*Eras!AU$3</f>
        <v/>
      </c>
      <c r="AV100" s="5">
        <f>AV99*Eras!AV$3</f>
        <v/>
      </c>
      <c r="AW100" s="5">
        <f>AW99*Eras!AW$3</f>
        <v/>
      </c>
      <c r="AX100" s="5">
        <f>AX99*Eras!AX$3</f>
        <v/>
      </c>
      <c r="AY100" s="5">
        <f>AY99*Eras!AY$3</f>
        <v/>
      </c>
      <c r="AZ100" s="5">
        <f>AZ99*Eras!AZ$3</f>
        <v/>
      </c>
      <c r="BA100" s="5">
        <f>BA99*Eras!BA$3</f>
        <v/>
      </c>
      <c r="BB100" s="5">
        <f>BB99*Eras!BB$3</f>
        <v/>
      </c>
      <c r="BC100" s="5">
        <f>BC99*Eras!BC$3</f>
        <v/>
      </c>
      <c r="BD100" s="5">
        <f>BD99*Eras!BD$3</f>
        <v/>
      </c>
      <c r="BE100" s="5">
        <f>BE99*Eras!BE$3</f>
        <v/>
      </c>
      <c r="BF100" s="5">
        <f>BF99*Eras!BF$3</f>
        <v/>
      </c>
      <c r="BG100" s="5">
        <f>BG99*Eras!BG$3</f>
        <v/>
      </c>
      <c r="BH100" s="5">
        <f>BH99*Eras!BH$3</f>
        <v/>
      </c>
      <c r="BI100" s="5">
        <f>BI99*Eras!BI$3</f>
        <v/>
      </c>
      <c r="BJ100" s="5">
        <f>BJ99*Eras!BJ$3</f>
        <v/>
      </c>
      <c r="BK100" s="5">
        <f>BK99*Eras!BK$3</f>
        <v/>
      </c>
      <c r="BL100" s="5">
        <f>BL99*Eras!BL$3</f>
        <v/>
      </c>
      <c r="BM100" s="5">
        <f>BM99*Eras!BM$3</f>
        <v/>
      </c>
      <c r="BN100" s="5">
        <f>BN99*Eras!BN$3</f>
        <v/>
      </c>
      <c r="BO100" s="5">
        <f>BO99*Eras!BO$3</f>
        <v/>
      </c>
      <c r="BP100" s="5">
        <f>BP99*Eras!BP$3</f>
        <v/>
      </c>
      <c r="BQ100" s="5">
        <f>BQ99*Eras!BQ$3</f>
        <v/>
      </c>
      <c r="BR100" s="5">
        <f>BR99*Eras!BR$3</f>
        <v/>
      </c>
      <c r="BS100" s="5">
        <f>BS99*Eras!BS$3</f>
        <v/>
      </c>
      <c r="BT100" s="5">
        <f>BT99*Eras!BT$3</f>
        <v/>
      </c>
      <c r="BU100" s="5">
        <f>BU99*Eras!BU$3</f>
        <v/>
      </c>
      <c r="BV100" s="5">
        <f>BV99*Eras!BV$3</f>
        <v/>
      </c>
    </row>
    <row r="101">
      <c r="A101" t="inlineStr">
        <is>
          <t>reactivated in @1</t>
        </is>
      </c>
      <c r="B101" t="inlineStr">
        <is>
          <t>EUROPE|BASIC_A</t>
        </is>
      </c>
      <c r="C101" s="5">
        <f>C99*Eras!C$4</f>
        <v/>
      </c>
      <c r="D101" s="5">
        <f>D99*Eras!D$4</f>
        <v/>
      </c>
      <c r="E101" s="5">
        <f>E99*Eras!E$4</f>
        <v/>
      </c>
      <c r="F101" s="5">
        <f>F99*Eras!F$4</f>
        <v/>
      </c>
      <c r="G101" s="5">
        <f>G99*Eras!G$4</f>
        <v/>
      </c>
      <c r="H101" s="5">
        <f>H99*Eras!H$4</f>
        <v/>
      </c>
      <c r="I101" s="5">
        <f>I99*Eras!I$4</f>
        <v/>
      </c>
      <c r="J101" s="5">
        <f>J99*Eras!J$4</f>
        <v/>
      </c>
      <c r="K101" s="5">
        <f>K99*Eras!K$4</f>
        <v/>
      </c>
      <c r="L101" s="5">
        <f>L99*Eras!L$4</f>
        <v/>
      </c>
      <c r="M101" s="5">
        <f>M99*Eras!M$4</f>
        <v/>
      </c>
      <c r="N101" s="5">
        <f>N99*Eras!N$4</f>
        <v/>
      </c>
      <c r="O101" s="5">
        <f>O99*Eras!O$4</f>
        <v/>
      </c>
      <c r="P101" s="5">
        <f>P99*Eras!P$4</f>
        <v/>
      </c>
      <c r="Q101" s="5">
        <f>Q99*Eras!Q$4</f>
        <v/>
      </c>
      <c r="R101" s="5">
        <f>R99*Eras!R$4</f>
        <v/>
      </c>
      <c r="S101" s="5">
        <f>S99*Eras!S$4</f>
        <v/>
      </c>
      <c r="T101" s="5">
        <f>T99*Eras!T$4</f>
        <v/>
      </c>
      <c r="U101" s="5">
        <f>U99*Eras!U$4</f>
        <v/>
      </c>
      <c r="V101" s="5">
        <f>V99*Eras!V$4</f>
        <v/>
      </c>
      <c r="W101" s="5">
        <f>W99*Eras!W$4</f>
        <v/>
      </c>
      <c r="X101" s="5">
        <f>X99*Eras!X$4</f>
        <v/>
      </c>
      <c r="Y101" s="5">
        <f>Y99*Eras!Y$4</f>
        <v/>
      </c>
      <c r="Z101" s="5">
        <f>Z99*Eras!Z$4</f>
        <v/>
      </c>
      <c r="AA101" s="5">
        <f>AA99*Eras!AA$4</f>
        <v/>
      </c>
      <c r="AB101" s="5">
        <f>AB99*Eras!AB$4</f>
        <v/>
      </c>
      <c r="AC101" s="5">
        <f>AC99*Eras!AC$4</f>
        <v/>
      </c>
      <c r="AD101" s="5">
        <f>AD99*Eras!AD$4</f>
        <v/>
      </c>
      <c r="AE101" s="5">
        <f>AE99*Eras!AE$4</f>
        <v/>
      </c>
      <c r="AF101" s="5">
        <f>AF99*Eras!AF$4</f>
        <v/>
      </c>
      <c r="AG101" s="5">
        <f>AG99*Eras!AG$4</f>
        <v/>
      </c>
      <c r="AH101" s="5">
        <f>AH99*Eras!AH$4</f>
        <v/>
      </c>
      <c r="AI101" s="5">
        <f>AI99*Eras!AI$4</f>
        <v/>
      </c>
      <c r="AJ101" s="5">
        <f>AJ99*Eras!AJ$4</f>
        <v/>
      </c>
      <c r="AK101" s="5">
        <f>AK99*Eras!AK$4</f>
        <v/>
      </c>
      <c r="AL101" s="5">
        <f>AL99*Eras!AL$4</f>
        <v/>
      </c>
      <c r="AM101" s="5">
        <f>AM99*Eras!AM$4</f>
        <v/>
      </c>
      <c r="AN101" s="5">
        <f>AN99*Eras!AN$4</f>
        <v/>
      </c>
      <c r="AO101" s="5">
        <f>AO99*Eras!AO$4</f>
        <v/>
      </c>
      <c r="AP101" s="5">
        <f>AP99*Eras!AP$4</f>
        <v/>
      </c>
      <c r="AQ101" s="5">
        <f>AQ99*Eras!AQ$4</f>
        <v/>
      </c>
      <c r="AR101" s="5">
        <f>AR99*Eras!AR$4</f>
        <v/>
      </c>
      <c r="AS101" s="5">
        <f>AS99*Eras!AS$4</f>
        <v/>
      </c>
      <c r="AT101" s="5">
        <f>AT99*Eras!AT$4</f>
        <v/>
      </c>
      <c r="AU101" s="5">
        <f>AU99*Eras!AU$4</f>
        <v/>
      </c>
      <c r="AV101" s="5">
        <f>AV99*Eras!AV$4</f>
        <v/>
      </c>
      <c r="AW101" s="5">
        <f>AW99*Eras!AW$4</f>
        <v/>
      </c>
      <c r="AX101" s="5">
        <f>AX99*Eras!AX$4</f>
        <v/>
      </c>
      <c r="AY101" s="5">
        <f>AY99*Eras!AY$4</f>
        <v/>
      </c>
      <c r="AZ101" s="5">
        <f>AZ99*Eras!AZ$4</f>
        <v/>
      </c>
      <c r="BA101" s="5">
        <f>BA99*Eras!BA$4</f>
        <v/>
      </c>
      <c r="BB101" s="5">
        <f>BB99*Eras!BB$4</f>
        <v/>
      </c>
      <c r="BC101" s="5">
        <f>BC99*Eras!BC$4</f>
        <v/>
      </c>
      <c r="BD101" s="5">
        <f>BD99*Eras!BD$4</f>
        <v/>
      </c>
      <c r="BE101" s="5">
        <f>BE99*Eras!BE$4</f>
        <v/>
      </c>
      <c r="BF101" s="5">
        <f>BF99*Eras!BF$4</f>
        <v/>
      </c>
      <c r="BG101" s="5">
        <f>BG99*Eras!BG$4</f>
        <v/>
      </c>
      <c r="BH101" s="5">
        <f>BH99*Eras!BH$4</f>
        <v/>
      </c>
      <c r="BI101" s="5">
        <f>BI99*Eras!BI$4</f>
        <v/>
      </c>
      <c r="BJ101" s="5">
        <f>BJ99*Eras!BJ$4</f>
        <v/>
      </c>
      <c r="BK101" s="5">
        <f>BK99*Eras!BK$4</f>
        <v/>
      </c>
      <c r="BL101" s="5">
        <f>BL99*Eras!BL$4</f>
        <v/>
      </c>
      <c r="BM101" s="5">
        <f>BM99*Eras!BM$4</f>
        <v/>
      </c>
      <c r="BN101" s="5">
        <f>BN99*Eras!BN$4</f>
        <v/>
      </c>
      <c r="BO101" s="5">
        <f>BO99*Eras!BO$4</f>
        <v/>
      </c>
      <c r="BP101" s="5">
        <f>BP99*Eras!BP$4</f>
        <v/>
      </c>
      <c r="BQ101" s="5">
        <f>BQ99*Eras!BQ$4</f>
        <v/>
      </c>
      <c r="BR101" s="5">
        <f>BR99*Eras!BR$4</f>
        <v/>
      </c>
      <c r="BS101" s="5">
        <f>BS99*Eras!BS$4</f>
        <v/>
      </c>
      <c r="BT101" s="5">
        <f>BT99*Eras!BT$4</f>
        <v/>
      </c>
      <c r="BU101" s="5">
        <f>BU99*Eras!BU$4</f>
        <v/>
      </c>
      <c r="BV101" s="5">
        <f>BV99*Eras!BV$4</f>
        <v/>
      </c>
    </row>
    <row r="102">
      <c r="A102" t="inlineStr">
        <is>
          <t>reactivated in @2</t>
        </is>
      </c>
      <c r="B102" t="inlineStr">
        <is>
          <t>EUROPE|BASIC_A</t>
        </is>
      </c>
      <c r="C102" s="5">
        <f>C99*Eras!C$5</f>
        <v/>
      </c>
      <c r="D102" s="5">
        <f>D99*Eras!D$5</f>
        <v/>
      </c>
      <c r="E102" s="5">
        <f>E99*Eras!E$5</f>
        <v/>
      </c>
      <c r="F102" s="5">
        <f>F99*Eras!F$5</f>
        <v/>
      </c>
      <c r="G102" s="5">
        <f>G99*Eras!G$5</f>
        <v/>
      </c>
      <c r="H102" s="5">
        <f>H99*Eras!H$5</f>
        <v/>
      </c>
      <c r="I102" s="5">
        <f>I99*Eras!I$5</f>
        <v/>
      </c>
      <c r="J102" s="5">
        <f>J99*Eras!J$5</f>
        <v/>
      </c>
      <c r="K102" s="5">
        <f>K99*Eras!K$5</f>
        <v/>
      </c>
      <c r="L102" s="5">
        <f>L99*Eras!L$5</f>
        <v/>
      </c>
      <c r="M102" s="5">
        <f>M99*Eras!M$5</f>
        <v/>
      </c>
      <c r="N102" s="5">
        <f>N99*Eras!N$5</f>
        <v/>
      </c>
      <c r="O102" s="5">
        <f>O99*Eras!O$5</f>
        <v/>
      </c>
      <c r="P102" s="5">
        <f>P99*Eras!P$5</f>
        <v/>
      </c>
      <c r="Q102" s="5">
        <f>Q99*Eras!Q$5</f>
        <v/>
      </c>
      <c r="R102" s="5">
        <f>R99*Eras!R$5</f>
        <v/>
      </c>
      <c r="S102" s="5">
        <f>S99*Eras!S$5</f>
        <v/>
      </c>
      <c r="T102" s="5">
        <f>T99*Eras!T$5</f>
        <v/>
      </c>
      <c r="U102" s="5">
        <f>U99*Eras!U$5</f>
        <v/>
      </c>
      <c r="V102" s="5">
        <f>V99*Eras!V$5</f>
        <v/>
      </c>
      <c r="W102" s="5">
        <f>W99*Eras!W$5</f>
        <v/>
      </c>
      <c r="X102" s="5">
        <f>X99*Eras!X$5</f>
        <v/>
      </c>
      <c r="Y102" s="5">
        <f>Y99*Eras!Y$5</f>
        <v/>
      </c>
      <c r="Z102" s="5">
        <f>Z99*Eras!Z$5</f>
        <v/>
      </c>
      <c r="AA102" s="5">
        <f>AA99*Eras!AA$5</f>
        <v/>
      </c>
      <c r="AB102" s="5">
        <f>AB99*Eras!AB$5</f>
        <v/>
      </c>
      <c r="AC102" s="5">
        <f>AC99*Eras!AC$5</f>
        <v/>
      </c>
      <c r="AD102" s="5">
        <f>AD99*Eras!AD$5</f>
        <v/>
      </c>
      <c r="AE102" s="5">
        <f>AE99*Eras!AE$5</f>
        <v/>
      </c>
      <c r="AF102" s="5">
        <f>AF99*Eras!AF$5</f>
        <v/>
      </c>
      <c r="AG102" s="5">
        <f>AG99*Eras!AG$5</f>
        <v/>
      </c>
      <c r="AH102" s="5">
        <f>AH99*Eras!AH$5</f>
        <v/>
      </c>
      <c r="AI102" s="5">
        <f>AI99*Eras!AI$5</f>
        <v/>
      </c>
      <c r="AJ102" s="5">
        <f>AJ99*Eras!AJ$5</f>
        <v/>
      </c>
      <c r="AK102" s="5">
        <f>AK99*Eras!AK$5</f>
        <v/>
      </c>
      <c r="AL102" s="5">
        <f>AL99*Eras!AL$5</f>
        <v/>
      </c>
      <c r="AM102" s="5">
        <f>AM99*Eras!AM$5</f>
        <v/>
      </c>
      <c r="AN102" s="5">
        <f>AN99*Eras!AN$5</f>
        <v/>
      </c>
      <c r="AO102" s="5">
        <f>AO99*Eras!AO$5</f>
        <v/>
      </c>
      <c r="AP102" s="5">
        <f>AP99*Eras!AP$5</f>
        <v/>
      </c>
      <c r="AQ102" s="5">
        <f>AQ99*Eras!AQ$5</f>
        <v/>
      </c>
      <c r="AR102" s="5">
        <f>AR99*Eras!AR$5</f>
        <v/>
      </c>
      <c r="AS102" s="5">
        <f>AS99*Eras!AS$5</f>
        <v/>
      </c>
      <c r="AT102" s="5">
        <f>AT99*Eras!AT$5</f>
        <v/>
      </c>
      <c r="AU102" s="5">
        <f>AU99*Eras!AU$5</f>
        <v/>
      </c>
      <c r="AV102" s="5">
        <f>AV99*Eras!AV$5</f>
        <v/>
      </c>
      <c r="AW102" s="5">
        <f>AW99*Eras!AW$5</f>
        <v/>
      </c>
      <c r="AX102" s="5">
        <f>AX99*Eras!AX$5</f>
        <v/>
      </c>
      <c r="AY102" s="5">
        <f>AY99*Eras!AY$5</f>
        <v/>
      </c>
      <c r="AZ102" s="5">
        <f>AZ99*Eras!AZ$5</f>
        <v/>
      </c>
      <c r="BA102" s="5">
        <f>BA99*Eras!BA$5</f>
        <v/>
      </c>
      <c r="BB102" s="5">
        <f>BB99*Eras!BB$5</f>
        <v/>
      </c>
      <c r="BC102" s="5">
        <f>BC99*Eras!BC$5</f>
        <v/>
      </c>
      <c r="BD102" s="5">
        <f>BD99*Eras!BD$5</f>
        <v/>
      </c>
      <c r="BE102" s="5">
        <f>BE99*Eras!BE$5</f>
        <v/>
      </c>
      <c r="BF102" s="5">
        <f>BF99*Eras!BF$5</f>
        <v/>
      </c>
      <c r="BG102" s="5">
        <f>BG99*Eras!BG$5</f>
        <v/>
      </c>
      <c r="BH102" s="5">
        <f>BH99*Eras!BH$5</f>
        <v/>
      </c>
      <c r="BI102" s="5">
        <f>BI99*Eras!BI$5</f>
        <v/>
      </c>
      <c r="BJ102" s="5">
        <f>BJ99*Eras!BJ$5</f>
        <v/>
      </c>
      <c r="BK102" s="5">
        <f>BK99*Eras!BK$5</f>
        <v/>
      </c>
      <c r="BL102" s="5">
        <f>BL99*Eras!BL$5</f>
        <v/>
      </c>
      <c r="BM102" s="5">
        <f>BM99*Eras!BM$5</f>
        <v/>
      </c>
      <c r="BN102" s="5">
        <f>BN99*Eras!BN$5</f>
        <v/>
      </c>
      <c r="BO102" s="5">
        <f>BO99*Eras!BO$5</f>
        <v/>
      </c>
      <c r="BP102" s="5">
        <f>BP99*Eras!BP$5</f>
        <v/>
      </c>
      <c r="BQ102" s="5">
        <f>BQ99*Eras!BQ$5</f>
        <v/>
      </c>
      <c r="BR102" s="5">
        <f>BR99*Eras!BR$5</f>
        <v/>
      </c>
      <c r="BS102" s="5">
        <f>BS99*Eras!BS$5</f>
        <v/>
      </c>
      <c r="BT102" s="5">
        <f>BT99*Eras!BT$5</f>
        <v/>
      </c>
      <c r="BU102" s="5">
        <f>BU99*Eras!BU$5</f>
        <v/>
      </c>
      <c r="BV102" s="5">
        <f>BV99*Eras!BV$5</f>
        <v/>
      </c>
    </row>
    <row r="103">
      <c r="A103" t="inlineStr">
        <is>
          <t>active</t>
        </is>
      </c>
      <c r="B103" t="inlineStr">
        <is>
          <t>EUROPE|BASIC_A</t>
        </is>
      </c>
      <c r="C103" s="5">
        <f>React!$C$100*Curves!$BV$19+React!$C$101*Curves!$BV$42+React!$C$102*Curves!$BV$65</f>
        <v/>
      </c>
      <c r="D103" s="5">
        <f>SUMPRODUCT(React!$C$100:$D$100,Curves!$BU$19:$BV$19)+SUMPRODUCT(React!$C$101:$D$101,Curves!$BU$42:$BV$42)+SUMPRODUCT(React!$C$102:$D$102,Curves!$BU$65:$BV$65)</f>
        <v/>
      </c>
      <c r="E103" s="5">
        <f>SUMPRODUCT(React!$C$100:$E$100,Curves!$BT$19:$BV$19)+SUMPRODUCT(React!$C$101:$E$101,Curves!$BT$42:$BV$42)+SUMPRODUCT(React!$C$102:$E$102,Curves!$BT$65:$BV$65)</f>
        <v/>
      </c>
      <c r="F103" s="5">
        <f>SUMPRODUCT(React!$C$100:$F$100,Curves!$BS$19:$BV$19)+SUMPRODUCT(React!$C$101:$F$101,Curves!$BS$42:$BV$42)+SUMPRODUCT(React!$C$102:$F$102,Curves!$BS$65:$BV$65)</f>
        <v/>
      </c>
      <c r="G103" s="5">
        <f>SUMPRODUCT(React!$C$100:$G$100,Curves!$BR$19:$BV$19)+SUMPRODUCT(React!$C$101:$G$101,Curves!$BR$42:$BV$42)+SUMPRODUCT(React!$C$102:$G$102,Curves!$BR$65:$BV$65)</f>
        <v/>
      </c>
      <c r="H103" s="5">
        <f>SUMPRODUCT(React!$C$100:$H$100,Curves!$BQ$19:$BV$19)+SUMPRODUCT(React!$C$101:$H$101,Curves!$BQ$42:$BV$42)+SUMPRODUCT(React!$C$102:$H$102,Curves!$BQ$65:$BV$65)</f>
        <v/>
      </c>
      <c r="I103" s="5">
        <f>SUMPRODUCT(React!$C$100:$I$100,Curves!$BP$19:$BV$19)+SUMPRODUCT(React!$C$101:$I$101,Curves!$BP$42:$BV$42)+SUMPRODUCT(React!$C$102:$I$102,Curves!$BP$65:$BV$65)</f>
        <v/>
      </c>
      <c r="J103" s="5">
        <f>SUMPRODUCT(React!$C$100:$J$100,Curves!$BO$19:$BV$19)+SUMPRODUCT(React!$C$101:$J$101,Curves!$BO$42:$BV$42)+SUMPRODUCT(React!$C$102:$J$102,Curves!$BO$65:$BV$65)</f>
        <v/>
      </c>
      <c r="K103" s="5">
        <f>SUMPRODUCT(React!$C$100:$K$100,Curves!$BN$19:$BV$19)+SUMPRODUCT(React!$C$101:$K$101,Curves!$BN$42:$BV$42)+SUMPRODUCT(React!$C$102:$K$102,Curves!$BN$65:$BV$65)</f>
        <v/>
      </c>
      <c r="L103" s="5">
        <f>SUMPRODUCT(React!$C$100:$L$100,Curves!$BM$19:$BV$19)+SUMPRODUCT(React!$C$101:$L$101,Curves!$BM$42:$BV$42)+SUMPRODUCT(React!$C$102:$L$102,Curves!$BM$65:$BV$65)</f>
        <v/>
      </c>
      <c r="M103" s="5">
        <f>SUMPRODUCT(React!$C$100:$M$100,Curves!$BL$19:$BV$19)+SUMPRODUCT(React!$C$101:$M$101,Curves!$BL$42:$BV$42)+SUMPRODUCT(React!$C$102:$M$102,Curves!$BL$65:$BV$65)</f>
        <v/>
      </c>
      <c r="N103" s="5">
        <f>SUMPRODUCT(React!$C$100:$N$100,Curves!$BK$19:$BV$19)+SUMPRODUCT(React!$C$101:$N$101,Curves!$BK$42:$BV$42)+SUMPRODUCT(React!$C$102:$N$102,Curves!$BK$65:$BV$65)</f>
        <v/>
      </c>
      <c r="O103" s="5">
        <f>SUMPRODUCT(React!$C$100:$O$100,Curves!$BJ$19:$BV$19)+SUMPRODUCT(React!$C$101:$O$101,Curves!$BJ$42:$BV$42)+SUMPRODUCT(React!$C$102:$O$102,Curves!$BJ$65:$BV$65)</f>
        <v/>
      </c>
      <c r="P103" s="5">
        <f>SUMPRODUCT(React!$C$100:$P$100,Curves!$BI$19:$BV$19)+SUMPRODUCT(React!$C$101:$P$101,Curves!$BI$42:$BV$42)+SUMPRODUCT(React!$C$102:$P$102,Curves!$BI$65:$BV$65)</f>
        <v/>
      </c>
      <c r="Q103" s="5">
        <f>SUMPRODUCT(React!$C$100:$Q$100,Curves!$BH$19:$BV$19)+SUMPRODUCT(React!$C$101:$Q$101,Curves!$BH$42:$BV$42)+SUMPRODUCT(React!$C$102:$Q$102,Curves!$BH$65:$BV$65)</f>
        <v/>
      </c>
      <c r="R103" s="5">
        <f>SUMPRODUCT(React!$C$100:$R$100,Curves!$BG$19:$BV$19)+SUMPRODUCT(React!$C$101:$R$101,Curves!$BG$42:$BV$42)+SUMPRODUCT(React!$C$102:$R$102,Curves!$BG$65:$BV$65)</f>
        <v/>
      </c>
      <c r="S103" s="5">
        <f>SUMPRODUCT(React!$C$100:$S$100,Curves!$BF$19:$BV$19)+SUMPRODUCT(React!$C$101:$S$101,Curves!$BF$42:$BV$42)+SUMPRODUCT(React!$C$102:$S$102,Curves!$BF$65:$BV$65)</f>
        <v/>
      </c>
      <c r="T103" s="5">
        <f>SUMPRODUCT(React!$C$100:$T$100,Curves!$BE$19:$BV$19)+SUMPRODUCT(React!$C$101:$T$101,Curves!$BE$42:$BV$42)+SUMPRODUCT(React!$C$102:$T$102,Curves!$BE$65:$BV$65)</f>
        <v/>
      </c>
      <c r="U103" s="5">
        <f>SUMPRODUCT(React!$C$100:$U$100,Curves!$BD$19:$BV$19)+SUMPRODUCT(React!$C$101:$U$101,Curves!$BD$42:$BV$42)+SUMPRODUCT(React!$C$102:$U$102,Curves!$BD$65:$BV$65)</f>
        <v/>
      </c>
      <c r="V103" s="5">
        <f>SUMPRODUCT(React!$C$100:$V$100,Curves!$BC$19:$BV$19)+SUMPRODUCT(React!$C$101:$V$101,Curves!$BC$42:$BV$42)+SUMPRODUCT(React!$C$102:$V$102,Curves!$BC$65:$BV$65)</f>
        <v/>
      </c>
      <c r="W103" s="5">
        <f>SUMPRODUCT(React!$C$100:$W$100,Curves!$BB$19:$BV$19)+SUMPRODUCT(React!$C$101:$W$101,Curves!$BB$42:$BV$42)+SUMPRODUCT(React!$C$102:$W$102,Curves!$BB$65:$BV$65)</f>
        <v/>
      </c>
      <c r="X103" s="5">
        <f>SUMPRODUCT(React!$C$100:$X$100,Curves!$BA$19:$BV$19)+SUMPRODUCT(React!$C$101:$X$101,Curves!$BA$42:$BV$42)+SUMPRODUCT(React!$C$102:$X$102,Curves!$BA$65:$BV$65)</f>
        <v/>
      </c>
      <c r="Y103" s="5">
        <f>SUMPRODUCT(React!$C$100:$Y$100,Curves!$AZ$19:$BV$19)+SUMPRODUCT(React!$C$101:$Y$101,Curves!$AZ$42:$BV$42)+SUMPRODUCT(React!$C$102:$Y$102,Curves!$AZ$65:$BV$65)</f>
        <v/>
      </c>
      <c r="Z103" s="5">
        <f>SUMPRODUCT(React!$C$100:$Z$100,Curves!$AY$19:$BV$19)+SUMPRODUCT(React!$C$101:$Z$101,Curves!$AY$42:$BV$42)+SUMPRODUCT(React!$C$102:$Z$102,Curves!$AY$65:$BV$65)</f>
        <v/>
      </c>
      <c r="AA103" s="5">
        <f>SUMPRODUCT(React!$C$100:$AA$100,Curves!$AX$19:$BV$19)+SUMPRODUCT(React!$C$101:$AA$101,Curves!$AX$42:$BV$42)+SUMPRODUCT(React!$C$102:$AA$102,Curves!$AX$65:$BV$65)</f>
        <v/>
      </c>
      <c r="AB103" s="5">
        <f>SUMPRODUCT(React!$C$100:$AB$100,Curves!$AW$19:$BV$19)+SUMPRODUCT(React!$C$101:$AB$101,Curves!$AW$42:$BV$42)+SUMPRODUCT(React!$C$102:$AB$102,Curves!$AW$65:$BV$65)</f>
        <v/>
      </c>
      <c r="AC103" s="5">
        <f>SUMPRODUCT(React!$C$100:$AC$100,Curves!$AV$19:$BV$19)+SUMPRODUCT(React!$C$101:$AC$101,Curves!$AV$42:$BV$42)+SUMPRODUCT(React!$C$102:$AC$102,Curves!$AV$65:$BV$65)</f>
        <v/>
      </c>
      <c r="AD103" s="5">
        <f>SUMPRODUCT(React!$C$100:$AD$100,Curves!$AU$19:$BV$19)+SUMPRODUCT(React!$C$101:$AD$101,Curves!$AU$42:$BV$42)+SUMPRODUCT(React!$C$102:$AD$102,Curves!$AU$65:$BV$65)</f>
        <v/>
      </c>
      <c r="AE103" s="5">
        <f>SUMPRODUCT(React!$C$100:$AE$100,Curves!$AT$19:$BV$19)+SUMPRODUCT(React!$C$101:$AE$101,Curves!$AT$42:$BV$42)+SUMPRODUCT(React!$C$102:$AE$102,Curves!$AT$65:$BV$65)</f>
        <v/>
      </c>
      <c r="AF103" s="5">
        <f>SUMPRODUCT(React!$C$100:$AF$100,Curves!$AS$19:$BV$19)+SUMPRODUCT(React!$C$101:$AF$101,Curves!$AS$42:$BV$42)+SUMPRODUCT(React!$C$102:$AF$102,Curves!$AS$65:$BV$65)</f>
        <v/>
      </c>
      <c r="AG103" s="5">
        <f>SUMPRODUCT(React!$C$100:$AG$100,Curves!$AR$19:$BV$19)+SUMPRODUCT(React!$C$101:$AG$101,Curves!$AR$42:$BV$42)+SUMPRODUCT(React!$C$102:$AG$102,Curves!$AR$65:$BV$65)</f>
        <v/>
      </c>
      <c r="AH103" s="5">
        <f>SUMPRODUCT(React!$C$100:$AH$100,Curves!$AQ$19:$BV$19)+SUMPRODUCT(React!$C$101:$AH$101,Curves!$AQ$42:$BV$42)+SUMPRODUCT(React!$C$102:$AH$102,Curves!$AQ$65:$BV$65)</f>
        <v/>
      </c>
      <c r="AI103" s="5">
        <f>SUMPRODUCT(React!$C$100:$AI$100,Curves!$AP$19:$BV$19)+SUMPRODUCT(React!$C$101:$AI$101,Curves!$AP$42:$BV$42)+SUMPRODUCT(React!$C$102:$AI$102,Curves!$AP$65:$BV$65)</f>
        <v/>
      </c>
      <c r="AJ103" s="5">
        <f>SUMPRODUCT(React!$C$100:$AJ$100,Curves!$AO$19:$BV$19)+SUMPRODUCT(React!$C$101:$AJ$101,Curves!$AO$42:$BV$42)+SUMPRODUCT(React!$C$102:$AJ$102,Curves!$AO$65:$BV$65)</f>
        <v/>
      </c>
      <c r="AK103" s="5">
        <f>SUMPRODUCT(React!$C$100:$AK$100,Curves!$AN$19:$BV$19)+SUMPRODUCT(React!$C$101:$AK$101,Curves!$AN$42:$BV$42)+SUMPRODUCT(React!$C$102:$AK$102,Curves!$AN$65:$BV$65)</f>
        <v/>
      </c>
      <c r="AL103" s="5">
        <f>SUMPRODUCT(React!$C$100:$AL$100,Curves!$AM$19:$BV$19)+SUMPRODUCT(React!$C$101:$AL$101,Curves!$AM$42:$BV$42)+SUMPRODUCT(React!$C$102:$AL$102,Curves!$AM$65:$BV$65)</f>
        <v/>
      </c>
      <c r="AM103" s="5">
        <f>SUMPRODUCT(React!$C$100:$AM$100,Curves!$AL$19:$BV$19)+SUMPRODUCT(React!$C$101:$AM$101,Curves!$AL$42:$BV$42)+SUMPRODUCT(React!$C$102:$AM$102,Curves!$AL$65:$BV$65)</f>
        <v/>
      </c>
      <c r="AN103" s="5">
        <f>SUMPRODUCT(React!$C$100:$AN$100,Curves!$AK$19:$BV$19)+SUMPRODUCT(React!$C$101:$AN$101,Curves!$AK$42:$BV$42)+SUMPRODUCT(React!$C$102:$AN$102,Curves!$AK$65:$BV$65)</f>
        <v/>
      </c>
      <c r="AO103" s="5">
        <f>SUMPRODUCT(React!$C$100:$AO$100,Curves!$AJ$19:$BV$19)+SUMPRODUCT(React!$C$101:$AO$101,Curves!$AJ$42:$BV$42)+SUMPRODUCT(React!$C$102:$AO$102,Curves!$AJ$65:$BV$65)</f>
        <v/>
      </c>
      <c r="AP103" s="5">
        <f>SUMPRODUCT(React!$C$100:$AP$100,Curves!$AI$19:$BV$19)+SUMPRODUCT(React!$C$101:$AP$101,Curves!$AI$42:$BV$42)+SUMPRODUCT(React!$C$102:$AP$102,Curves!$AI$65:$BV$65)</f>
        <v/>
      </c>
      <c r="AQ103" s="5">
        <f>SUMPRODUCT(React!$C$100:$AQ$100,Curves!$AH$19:$BV$19)+SUMPRODUCT(React!$C$101:$AQ$101,Curves!$AH$42:$BV$42)+SUMPRODUCT(React!$C$102:$AQ$102,Curves!$AH$65:$BV$65)</f>
        <v/>
      </c>
      <c r="AR103" s="5">
        <f>SUMPRODUCT(React!$C$100:$AR$100,Curves!$AG$19:$BV$19)+SUMPRODUCT(React!$C$101:$AR$101,Curves!$AG$42:$BV$42)+SUMPRODUCT(React!$C$102:$AR$102,Curves!$AG$65:$BV$65)</f>
        <v/>
      </c>
      <c r="AS103" s="5">
        <f>SUMPRODUCT(React!$C$100:$AS$100,Curves!$AF$19:$BV$19)+SUMPRODUCT(React!$C$101:$AS$101,Curves!$AF$42:$BV$42)+SUMPRODUCT(React!$C$102:$AS$102,Curves!$AF$65:$BV$65)</f>
        <v/>
      </c>
      <c r="AT103" s="5">
        <f>SUMPRODUCT(React!$C$100:$AT$100,Curves!$AE$19:$BV$19)+SUMPRODUCT(React!$C$101:$AT$101,Curves!$AE$42:$BV$42)+SUMPRODUCT(React!$C$102:$AT$102,Curves!$AE$65:$BV$65)</f>
        <v/>
      </c>
      <c r="AU103" s="5">
        <f>SUMPRODUCT(React!$C$100:$AU$100,Curves!$AD$19:$BV$19)+SUMPRODUCT(React!$C$101:$AU$101,Curves!$AD$42:$BV$42)+SUMPRODUCT(React!$C$102:$AU$102,Curves!$AD$65:$BV$65)</f>
        <v/>
      </c>
      <c r="AV103" s="5">
        <f>SUMPRODUCT(React!$C$100:$AV$100,Curves!$AC$19:$BV$19)+SUMPRODUCT(React!$C$101:$AV$101,Curves!$AC$42:$BV$42)+SUMPRODUCT(React!$C$102:$AV$102,Curves!$AC$65:$BV$65)</f>
        <v/>
      </c>
      <c r="AW103" s="5">
        <f>SUMPRODUCT(React!$C$100:$AW$100,Curves!$AB$19:$BV$19)+SUMPRODUCT(React!$C$101:$AW$101,Curves!$AB$42:$BV$42)+SUMPRODUCT(React!$C$102:$AW$102,Curves!$AB$65:$BV$65)</f>
        <v/>
      </c>
      <c r="AX103" s="5">
        <f>SUMPRODUCT(React!$C$100:$AX$100,Curves!$AA$19:$BV$19)+SUMPRODUCT(React!$C$101:$AX$101,Curves!$AA$42:$BV$42)+SUMPRODUCT(React!$C$102:$AX$102,Curves!$AA$65:$BV$65)</f>
        <v/>
      </c>
      <c r="AY103" s="5">
        <f>SUMPRODUCT(React!$C$100:$AY$100,Curves!$Z$19:$BV$19)+SUMPRODUCT(React!$C$101:$AY$101,Curves!$Z$42:$BV$42)+SUMPRODUCT(React!$C$102:$AY$102,Curves!$Z$65:$BV$65)</f>
        <v/>
      </c>
      <c r="AZ103" s="5">
        <f>SUMPRODUCT(React!$C$100:$AZ$100,Curves!$Y$19:$BV$19)+SUMPRODUCT(React!$C$101:$AZ$101,Curves!$Y$42:$BV$42)+SUMPRODUCT(React!$C$102:$AZ$102,Curves!$Y$65:$BV$65)</f>
        <v/>
      </c>
      <c r="BA103" s="5">
        <f>SUMPRODUCT(React!$C$100:$BA$100,Curves!$X$19:$BV$19)+SUMPRODUCT(React!$C$101:$BA$101,Curves!$X$42:$BV$42)+SUMPRODUCT(React!$C$102:$BA$102,Curves!$X$65:$BV$65)</f>
        <v/>
      </c>
      <c r="BB103" s="5">
        <f>SUMPRODUCT(React!$C$100:$BB$100,Curves!$W$19:$BV$19)+SUMPRODUCT(React!$C$101:$BB$101,Curves!$W$42:$BV$42)+SUMPRODUCT(React!$C$102:$BB$102,Curves!$W$65:$BV$65)</f>
        <v/>
      </c>
      <c r="BC103" s="5">
        <f>SUMPRODUCT(React!$C$100:$BC$100,Curves!$V$19:$BV$19)+SUMPRODUCT(React!$C$101:$BC$101,Curves!$V$42:$BV$42)+SUMPRODUCT(React!$C$102:$BC$102,Curves!$V$65:$BV$65)</f>
        <v/>
      </c>
      <c r="BD103" s="5">
        <f>SUMPRODUCT(React!$C$100:$BD$100,Curves!$U$19:$BV$19)+SUMPRODUCT(React!$C$101:$BD$101,Curves!$U$42:$BV$42)+SUMPRODUCT(React!$C$102:$BD$102,Curves!$U$65:$BV$65)</f>
        <v/>
      </c>
      <c r="BE103" s="5">
        <f>SUMPRODUCT(React!$C$100:$BE$100,Curves!$T$19:$BV$19)+SUMPRODUCT(React!$C$101:$BE$101,Curves!$T$42:$BV$42)+SUMPRODUCT(React!$C$102:$BE$102,Curves!$T$65:$BV$65)</f>
        <v/>
      </c>
      <c r="BF103" s="5">
        <f>SUMPRODUCT(React!$C$100:$BF$100,Curves!$S$19:$BV$19)+SUMPRODUCT(React!$C$101:$BF$101,Curves!$S$42:$BV$42)+SUMPRODUCT(React!$C$102:$BF$102,Curves!$S$65:$BV$65)</f>
        <v/>
      </c>
      <c r="BG103" s="5">
        <f>SUMPRODUCT(React!$C$100:$BG$100,Curves!$R$19:$BV$19)+SUMPRODUCT(React!$C$101:$BG$101,Curves!$R$42:$BV$42)+SUMPRODUCT(React!$C$102:$BG$102,Curves!$R$65:$BV$65)</f>
        <v/>
      </c>
      <c r="BH103" s="5">
        <f>SUMPRODUCT(React!$C$100:$BH$100,Curves!$Q$19:$BV$19)+SUMPRODUCT(React!$C$101:$BH$101,Curves!$Q$42:$BV$42)+SUMPRODUCT(React!$C$102:$BH$102,Curves!$Q$65:$BV$65)</f>
        <v/>
      </c>
      <c r="BI103" s="5">
        <f>SUMPRODUCT(React!$C$100:$BI$100,Curves!$P$19:$BV$19)+SUMPRODUCT(React!$C$101:$BI$101,Curves!$P$42:$BV$42)+SUMPRODUCT(React!$C$102:$BI$102,Curves!$P$65:$BV$65)</f>
        <v/>
      </c>
      <c r="BJ103" s="5">
        <f>SUMPRODUCT(React!$C$100:$BJ$100,Curves!$O$19:$BV$19)+SUMPRODUCT(React!$C$101:$BJ$101,Curves!$O$42:$BV$42)+SUMPRODUCT(React!$C$102:$BJ$102,Curves!$O$65:$BV$65)</f>
        <v/>
      </c>
      <c r="BK103" s="5">
        <f>SUMPRODUCT(React!$C$100:$BK$100,Curves!$N$19:$BV$19)+SUMPRODUCT(React!$C$101:$BK$101,Curves!$N$42:$BV$42)+SUMPRODUCT(React!$C$102:$BK$102,Curves!$N$65:$BV$65)</f>
        <v/>
      </c>
      <c r="BL103" s="5">
        <f>SUMPRODUCT(React!$C$100:$BL$100,Curves!$M$19:$BV$19)+SUMPRODUCT(React!$C$101:$BL$101,Curves!$M$42:$BV$42)+SUMPRODUCT(React!$C$102:$BL$102,Curves!$M$65:$BV$65)</f>
        <v/>
      </c>
      <c r="BM103" s="5">
        <f>SUMPRODUCT(React!$C$100:$BM$100,Curves!$L$19:$BV$19)+SUMPRODUCT(React!$C$101:$BM$101,Curves!$L$42:$BV$42)+SUMPRODUCT(React!$C$102:$BM$102,Curves!$L$65:$BV$65)</f>
        <v/>
      </c>
      <c r="BN103" s="5">
        <f>SUMPRODUCT(React!$C$100:$BN$100,Curves!$K$19:$BV$19)+SUMPRODUCT(React!$C$101:$BN$101,Curves!$K$42:$BV$42)+SUMPRODUCT(React!$C$102:$BN$102,Curves!$K$65:$BV$65)</f>
        <v/>
      </c>
      <c r="BO103" s="5">
        <f>SUMPRODUCT(React!$C$100:$BO$100,Curves!$J$19:$BV$19)+SUMPRODUCT(React!$C$101:$BO$101,Curves!$J$42:$BV$42)+SUMPRODUCT(React!$C$102:$BO$102,Curves!$J$65:$BV$65)</f>
        <v/>
      </c>
      <c r="BP103" s="5">
        <f>SUMPRODUCT(React!$C$100:$BP$100,Curves!$I$19:$BV$19)+SUMPRODUCT(React!$C$101:$BP$101,Curves!$I$42:$BV$42)+SUMPRODUCT(React!$C$102:$BP$102,Curves!$I$65:$BV$65)</f>
        <v/>
      </c>
      <c r="BQ103" s="5">
        <f>SUMPRODUCT(React!$C$100:$BQ$100,Curves!$H$19:$BV$19)+SUMPRODUCT(React!$C$101:$BQ$101,Curves!$H$42:$BV$42)+SUMPRODUCT(React!$C$102:$BQ$102,Curves!$H$65:$BV$65)</f>
        <v/>
      </c>
      <c r="BR103" s="5">
        <f>SUMPRODUCT(React!$C$100:$BR$100,Curves!$G$19:$BV$19)+SUMPRODUCT(React!$C$101:$BR$101,Curves!$G$42:$BV$42)+SUMPRODUCT(React!$C$102:$BR$102,Curves!$G$65:$BV$65)</f>
        <v/>
      </c>
      <c r="BS103" s="5">
        <f>SUMPRODUCT(React!$C$100:$BS$100,Curves!$F$19:$BV$19)+SUMPRODUCT(React!$C$101:$BS$101,Curves!$F$42:$BV$42)+SUMPRODUCT(React!$C$102:$BS$102,Curves!$F$65:$BV$65)</f>
        <v/>
      </c>
      <c r="BT103" s="5">
        <f>SUMPRODUCT(React!$C$100:$BT$100,Curves!$E$19:$BV$19)+SUMPRODUCT(React!$C$101:$BT$101,Curves!$E$42:$BV$42)+SUMPRODUCT(React!$C$102:$BT$102,Curves!$E$65:$BV$65)</f>
        <v/>
      </c>
      <c r="BU103" s="5">
        <f>SUMPRODUCT(React!$C$100:$BU$100,Curves!$D$19:$BV$19)+SUMPRODUCT(React!$C$101:$BU$101,Curves!$D$42:$BV$42)+SUMPRODUCT(React!$C$102:$BU$102,Curves!$D$65:$BV$65)</f>
        <v/>
      </c>
      <c r="BV103" s="5">
        <f>SUMPRODUCT(React!$C$100:$BV$100,Curves!$C$19:$BV$19)+SUMPRODUCT(React!$C$101:$BV$101,Curves!$C$42:$BV$42)+SUMPRODUCT(React!$C$102:$BV$102,Curves!$C$65:$BV$65)</f>
        <v/>
      </c>
    </row>
    <row r="104">
      <c r="A104" t="inlineStr">
        <is>
          <t>active yr 1</t>
        </is>
      </c>
      <c r="B104" t="inlineStr">
        <is>
          <t>EUROPE|BASIC_A</t>
        </is>
      </c>
      <c r="C104" s="5">
        <f>React!$C$100*Curves!$BV$24+React!$C$101*Curves!$BV$47+React!$C$102*Curves!$BV$70</f>
        <v/>
      </c>
      <c r="D104" s="5">
        <f>SUMPRODUCT(React!$C$100:$D$100,Curves!$BU$24:$BV$24)+SUMPRODUCT(React!$C$101:$D$101,Curves!$BU$47:$BV$47)+SUMPRODUCT(React!$C$102:$D$102,Curves!$BU$70:$BV$70)</f>
        <v/>
      </c>
      <c r="E104" s="5">
        <f>SUMPRODUCT(React!$C$100:$E$100,Curves!$BT$24:$BV$24)+SUMPRODUCT(React!$C$101:$E$101,Curves!$BT$47:$BV$47)+SUMPRODUCT(React!$C$102:$E$102,Curves!$BT$70:$BV$70)</f>
        <v/>
      </c>
      <c r="F104" s="5">
        <f>SUMPRODUCT(React!$C$100:$F$100,Curves!$BS$24:$BV$24)+SUMPRODUCT(React!$C$101:$F$101,Curves!$BS$47:$BV$47)+SUMPRODUCT(React!$C$102:$F$102,Curves!$BS$70:$BV$70)</f>
        <v/>
      </c>
      <c r="G104" s="5">
        <f>SUMPRODUCT(React!$C$100:$G$100,Curves!$BR$24:$BV$24)+SUMPRODUCT(React!$C$101:$G$101,Curves!$BR$47:$BV$47)+SUMPRODUCT(React!$C$102:$G$102,Curves!$BR$70:$BV$70)</f>
        <v/>
      </c>
      <c r="H104" s="5">
        <f>SUMPRODUCT(React!$C$100:$H$100,Curves!$BQ$24:$BV$24)+SUMPRODUCT(React!$C$101:$H$101,Curves!$BQ$47:$BV$47)+SUMPRODUCT(React!$C$102:$H$102,Curves!$BQ$70:$BV$70)</f>
        <v/>
      </c>
      <c r="I104" s="5">
        <f>SUMPRODUCT(React!$C$100:$I$100,Curves!$BP$24:$BV$24)+SUMPRODUCT(React!$C$101:$I$101,Curves!$BP$47:$BV$47)+SUMPRODUCT(React!$C$102:$I$102,Curves!$BP$70:$BV$70)</f>
        <v/>
      </c>
      <c r="J104" s="5">
        <f>SUMPRODUCT(React!$C$100:$J$100,Curves!$BO$24:$BV$24)+SUMPRODUCT(React!$C$101:$J$101,Curves!$BO$47:$BV$47)+SUMPRODUCT(React!$C$102:$J$102,Curves!$BO$70:$BV$70)</f>
        <v/>
      </c>
      <c r="K104" s="5">
        <f>SUMPRODUCT(React!$C$100:$K$100,Curves!$BN$24:$BV$24)+SUMPRODUCT(React!$C$101:$K$101,Curves!$BN$47:$BV$47)+SUMPRODUCT(React!$C$102:$K$102,Curves!$BN$70:$BV$70)</f>
        <v/>
      </c>
      <c r="L104" s="5">
        <f>SUMPRODUCT(React!$C$100:$L$100,Curves!$BM$24:$BV$24)+SUMPRODUCT(React!$C$101:$L$101,Curves!$BM$47:$BV$47)+SUMPRODUCT(React!$C$102:$L$102,Curves!$BM$70:$BV$70)</f>
        <v/>
      </c>
      <c r="M104" s="5">
        <f>SUMPRODUCT(React!$C$100:$M$100,Curves!$BL$24:$BV$24)+SUMPRODUCT(React!$C$101:$M$101,Curves!$BL$47:$BV$47)+SUMPRODUCT(React!$C$102:$M$102,Curves!$BL$70:$BV$70)</f>
        <v/>
      </c>
      <c r="N104" s="5">
        <f>SUMPRODUCT(React!$C$100:$N$100,Curves!$BK$24:$BV$24)+SUMPRODUCT(React!$C$101:$N$101,Curves!$BK$47:$BV$47)+SUMPRODUCT(React!$C$102:$N$102,Curves!$BK$70:$BV$70)</f>
        <v/>
      </c>
      <c r="O104" s="5">
        <f>SUMPRODUCT(React!$C$100:$O$100,Curves!$BJ$24:$BV$24)+SUMPRODUCT(React!$C$101:$O$101,Curves!$BJ$47:$BV$47)+SUMPRODUCT(React!$C$102:$O$102,Curves!$BJ$70:$BV$70)</f>
        <v/>
      </c>
      <c r="P104" s="5">
        <f>SUMPRODUCT(React!$C$100:$P$100,Curves!$BI$24:$BV$24)+SUMPRODUCT(React!$C$101:$P$101,Curves!$BI$47:$BV$47)+SUMPRODUCT(React!$C$102:$P$102,Curves!$BI$70:$BV$70)</f>
        <v/>
      </c>
      <c r="Q104" s="5">
        <f>SUMPRODUCT(React!$C$100:$Q$100,Curves!$BH$24:$BV$24)+SUMPRODUCT(React!$C$101:$Q$101,Curves!$BH$47:$BV$47)+SUMPRODUCT(React!$C$102:$Q$102,Curves!$BH$70:$BV$70)</f>
        <v/>
      </c>
      <c r="R104" s="5">
        <f>SUMPRODUCT(React!$C$100:$R$100,Curves!$BG$24:$BV$24)+SUMPRODUCT(React!$C$101:$R$101,Curves!$BG$47:$BV$47)+SUMPRODUCT(React!$C$102:$R$102,Curves!$BG$70:$BV$70)</f>
        <v/>
      </c>
      <c r="S104" s="5">
        <f>SUMPRODUCT(React!$C$100:$S$100,Curves!$BF$24:$BV$24)+SUMPRODUCT(React!$C$101:$S$101,Curves!$BF$47:$BV$47)+SUMPRODUCT(React!$C$102:$S$102,Curves!$BF$70:$BV$70)</f>
        <v/>
      </c>
      <c r="T104" s="5">
        <f>SUMPRODUCT(React!$C$100:$T$100,Curves!$BE$24:$BV$24)+SUMPRODUCT(React!$C$101:$T$101,Curves!$BE$47:$BV$47)+SUMPRODUCT(React!$C$102:$T$102,Curves!$BE$70:$BV$70)</f>
        <v/>
      </c>
      <c r="U104" s="5">
        <f>SUMPRODUCT(React!$C$100:$U$100,Curves!$BD$24:$BV$24)+SUMPRODUCT(React!$C$101:$U$101,Curves!$BD$47:$BV$47)+SUMPRODUCT(React!$C$102:$U$102,Curves!$BD$70:$BV$70)</f>
        <v/>
      </c>
      <c r="V104" s="5">
        <f>SUMPRODUCT(React!$C$100:$V$100,Curves!$BC$24:$BV$24)+SUMPRODUCT(React!$C$101:$V$101,Curves!$BC$47:$BV$47)+SUMPRODUCT(React!$C$102:$V$102,Curves!$BC$70:$BV$70)</f>
        <v/>
      </c>
      <c r="W104" s="5">
        <f>SUMPRODUCT(React!$C$100:$W$100,Curves!$BB$24:$BV$24)+SUMPRODUCT(React!$C$101:$W$101,Curves!$BB$47:$BV$47)+SUMPRODUCT(React!$C$102:$W$102,Curves!$BB$70:$BV$70)</f>
        <v/>
      </c>
      <c r="X104" s="5">
        <f>SUMPRODUCT(React!$C$100:$X$100,Curves!$BA$24:$BV$24)+SUMPRODUCT(React!$C$101:$X$101,Curves!$BA$47:$BV$47)+SUMPRODUCT(React!$C$102:$X$102,Curves!$BA$70:$BV$70)</f>
        <v/>
      </c>
      <c r="Y104" s="5">
        <f>SUMPRODUCT(React!$C$100:$Y$100,Curves!$AZ$24:$BV$24)+SUMPRODUCT(React!$C$101:$Y$101,Curves!$AZ$47:$BV$47)+SUMPRODUCT(React!$C$102:$Y$102,Curves!$AZ$70:$BV$70)</f>
        <v/>
      </c>
      <c r="Z104" s="5">
        <f>SUMPRODUCT(React!$C$100:$Z$100,Curves!$AY$24:$BV$24)+SUMPRODUCT(React!$C$101:$Z$101,Curves!$AY$47:$BV$47)+SUMPRODUCT(React!$C$102:$Z$102,Curves!$AY$70:$BV$70)</f>
        <v/>
      </c>
      <c r="AA104" s="5">
        <f>SUMPRODUCT(React!$C$100:$AA$100,Curves!$AX$24:$BV$24)+SUMPRODUCT(React!$C$101:$AA$101,Curves!$AX$47:$BV$47)+SUMPRODUCT(React!$C$102:$AA$102,Curves!$AX$70:$BV$70)</f>
        <v/>
      </c>
      <c r="AB104" s="5">
        <f>SUMPRODUCT(React!$C$100:$AB$100,Curves!$AW$24:$BV$24)+SUMPRODUCT(React!$C$101:$AB$101,Curves!$AW$47:$BV$47)+SUMPRODUCT(React!$C$102:$AB$102,Curves!$AW$70:$BV$70)</f>
        <v/>
      </c>
      <c r="AC104" s="5">
        <f>SUMPRODUCT(React!$C$100:$AC$100,Curves!$AV$24:$BV$24)+SUMPRODUCT(React!$C$101:$AC$101,Curves!$AV$47:$BV$47)+SUMPRODUCT(React!$C$102:$AC$102,Curves!$AV$70:$BV$70)</f>
        <v/>
      </c>
      <c r="AD104" s="5">
        <f>SUMPRODUCT(React!$C$100:$AD$100,Curves!$AU$24:$BV$24)+SUMPRODUCT(React!$C$101:$AD$101,Curves!$AU$47:$BV$47)+SUMPRODUCT(React!$C$102:$AD$102,Curves!$AU$70:$BV$70)</f>
        <v/>
      </c>
      <c r="AE104" s="5">
        <f>SUMPRODUCT(React!$C$100:$AE$100,Curves!$AT$24:$BV$24)+SUMPRODUCT(React!$C$101:$AE$101,Curves!$AT$47:$BV$47)+SUMPRODUCT(React!$C$102:$AE$102,Curves!$AT$70:$BV$70)</f>
        <v/>
      </c>
      <c r="AF104" s="5">
        <f>SUMPRODUCT(React!$C$100:$AF$100,Curves!$AS$24:$BV$24)+SUMPRODUCT(React!$C$101:$AF$101,Curves!$AS$47:$BV$47)+SUMPRODUCT(React!$C$102:$AF$102,Curves!$AS$70:$BV$70)</f>
        <v/>
      </c>
      <c r="AG104" s="5">
        <f>SUMPRODUCT(React!$C$100:$AG$100,Curves!$AR$24:$BV$24)+SUMPRODUCT(React!$C$101:$AG$101,Curves!$AR$47:$BV$47)+SUMPRODUCT(React!$C$102:$AG$102,Curves!$AR$70:$BV$70)</f>
        <v/>
      </c>
      <c r="AH104" s="5">
        <f>SUMPRODUCT(React!$C$100:$AH$100,Curves!$AQ$24:$BV$24)+SUMPRODUCT(React!$C$101:$AH$101,Curves!$AQ$47:$BV$47)+SUMPRODUCT(React!$C$102:$AH$102,Curves!$AQ$70:$BV$70)</f>
        <v/>
      </c>
      <c r="AI104" s="5">
        <f>SUMPRODUCT(React!$C$100:$AI$100,Curves!$AP$24:$BV$24)+SUMPRODUCT(React!$C$101:$AI$101,Curves!$AP$47:$BV$47)+SUMPRODUCT(React!$C$102:$AI$102,Curves!$AP$70:$BV$70)</f>
        <v/>
      </c>
      <c r="AJ104" s="5">
        <f>SUMPRODUCT(React!$C$100:$AJ$100,Curves!$AO$24:$BV$24)+SUMPRODUCT(React!$C$101:$AJ$101,Curves!$AO$47:$BV$47)+SUMPRODUCT(React!$C$102:$AJ$102,Curves!$AO$70:$BV$70)</f>
        <v/>
      </c>
      <c r="AK104" s="5">
        <f>SUMPRODUCT(React!$C$100:$AK$100,Curves!$AN$24:$BV$24)+SUMPRODUCT(React!$C$101:$AK$101,Curves!$AN$47:$BV$47)+SUMPRODUCT(React!$C$102:$AK$102,Curves!$AN$70:$BV$70)</f>
        <v/>
      </c>
      <c r="AL104" s="5">
        <f>SUMPRODUCT(React!$C$100:$AL$100,Curves!$AM$24:$BV$24)+SUMPRODUCT(React!$C$101:$AL$101,Curves!$AM$47:$BV$47)+SUMPRODUCT(React!$C$102:$AL$102,Curves!$AM$70:$BV$70)</f>
        <v/>
      </c>
      <c r="AM104" s="5">
        <f>SUMPRODUCT(React!$C$100:$AM$100,Curves!$AL$24:$BV$24)+SUMPRODUCT(React!$C$101:$AM$101,Curves!$AL$47:$BV$47)+SUMPRODUCT(React!$C$102:$AM$102,Curves!$AL$70:$BV$70)</f>
        <v/>
      </c>
      <c r="AN104" s="5">
        <f>SUMPRODUCT(React!$C$100:$AN$100,Curves!$AK$24:$BV$24)+SUMPRODUCT(React!$C$101:$AN$101,Curves!$AK$47:$BV$47)+SUMPRODUCT(React!$C$102:$AN$102,Curves!$AK$70:$BV$70)</f>
        <v/>
      </c>
      <c r="AO104" s="5">
        <f>SUMPRODUCT(React!$C$100:$AO$100,Curves!$AJ$24:$BV$24)+SUMPRODUCT(React!$C$101:$AO$101,Curves!$AJ$47:$BV$47)+SUMPRODUCT(React!$C$102:$AO$102,Curves!$AJ$70:$BV$70)</f>
        <v/>
      </c>
      <c r="AP104" s="5">
        <f>SUMPRODUCT(React!$C$100:$AP$100,Curves!$AI$24:$BV$24)+SUMPRODUCT(React!$C$101:$AP$101,Curves!$AI$47:$BV$47)+SUMPRODUCT(React!$C$102:$AP$102,Curves!$AI$70:$BV$70)</f>
        <v/>
      </c>
      <c r="AQ104" s="5">
        <f>SUMPRODUCT(React!$C$100:$AQ$100,Curves!$AH$24:$BV$24)+SUMPRODUCT(React!$C$101:$AQ$101,Curves!$AH$47:$BV$47)+SUMPRODUCT(React!$C$102:$AQ$102,Curves!$AH$70:$BV$70)</f>
        <v/>
      </c>
      <c r="AR104" s="5">
        <f>SUMPRODUCT(React!$C$100:$AR$100,Curves!$AG$24:$BV$24)+SUMPRODUCT(React!$C$101:$AR$101,Curves!$AG$47:$BV$47)+SUMPRODUCT(React!$C$102:$AR$102,Curves!$AG$70:$BV$70)</f>
        <v/>
      </c>
      <c r="AS104" s="5">
        <f>SUMPRODUCT(React!$C$100:$AS$100,Curves!$AF$24:$BV$24)+SUMPRODUCT(React!$C$101:$AS$101,Curves!$AF$47:$BV$47)+SUMPRODUCT(React!$C$102:$AS$102,Curves!$AF$70:$BV$70)</f>
        <v/>
      </c>
      <c r="AT104" s="5">
        <f>SUMPRODUCT(React!$C$100:$AT$100,Curves!$AE$24:$BV$24)+SUMPRODUCT(React!$C$101:$AT$101,Curves!$AE$47:$BV$47)+SUMPRODUCT(React!$C$102:$AT$102,Curves!$AE$70:$BV$70)</f>
        <v/>
      </c>
      <c r="AU104" s="5">
        <f>SUMPRODUCT(React!$C$100:$AU$100,Curves!$AD$24:$BV$24)+SUMPRODUCT(React!$C$101:$AU$101,Curves!$AD$47:$BV$47)+SUMPRODUCT(React!$C$102:$AU$102,Curves!$AD$70:$BV$70)</f>
        <v/>
      </c>
      <c r="AV104" s="5">
        <f>SUMPRODUCT(React!$C$100:$AV$100,Curves!$AC$24:$BV$24)+SUMPRODUCT(React!$C$101:$AV$101,Curves!$AC$47:$BV$47)+SUMPRODUCT(React!$C$102:$AV$102,Curves!$AC$70:$BV$70)</f>
        <v/>
      </c>
      <c r="AW104" s="5">
        <f>SUMPRODUCT(React!$C$100:$AW$100,Curves!$AB$24:$BV$24)+SUMPRODUCT(React!$C$101:$AW$101,Curves!$AB$47:$BV$47)+SUMPRODUCT(React!$C$102:$AW$102,Curves!$AB$70:$BV$70)</f>
        <v/>
      </c>
      <c r="AX104" s="5">
        <f>SUMPRODUCT(React!$C$100:$AX$100,Curves!$AA$24:$BV$24)+SUMPRODUCT(React!$C$101:$AX$101,Curves!$AA$47:$BV$47)+SUMPRODUCT(React!$C$102:$AX$102,Curves!$AA$70:$BV$70)</f>
        <v/>
      </c>
      <c r="AY104" s="5">
        <f>SUMPRODUCT(React!$C$100:$AY$100,Curves!$Z$24:$BV$24)+SUMPRODUCT(React!$C$101:$AY$101,Curves!$Z$47:$BV$47)+SUMPRODUCT(React!$C$102:$AY$102,Curves!$Z$70:$BV$70)</f>
        <v/>
      </c>
      <c r="AZ104" s="5">
        <f>SUMPRODUCT(React!$C$100:$AZ$100,Curves!$Y$24:$BV$24)+SUMPRODUCT(React!$C$101:$AZ$101,Curves!$Y$47:$BV$47)+SUMPRODUCT(React!$C$102:$AZ$102,Curves!$Y$70:$BV$70)</f>
        <v/>
      </c>
      <c r="BA104" s="5">
        <f>SUMPRODUCT(React!$C$100:$BA$100,Curves!$X$24:$BV$24)+SUMPRODUCT(React!$C$101:$BA$101,Curves!$X$47:$BV$47)+SUMPRODUCT(React!$C$102:$BA$102,Curves!$X$70:$BV$70)</f>
        <v/>
      </c>
      <c r="BB104" s="5">
        <f>SUMPRODUCT(React!$C$100:$BB$100,Curves!$W$24:$BV$24)+SUMPRODUCT(React!$C$101:$BB$101,Curves!$W$47:$BV$47)+SUMPRODUCT(React!$C$102:$BB$102,Curves!$W$70:$BV$70)</f>
        <v/>
      </c>
      <c r="BC104" s="5">
        <f>SUMPRODUCT(React!$C$100:$BC$100,Curves!$V$24:$BV$24)+SUMPRODUCT(React!$C$101:$BC$101,Curves!$V$47:$BV$47)+SUMPRODUCT(React!$C$102:$BC$102,Curves!$V$70:$BV$70)</f>
        <v/>
      </c>
      <c r="BD104" s="5">
        <f>SUMPRODUCT(React!$C$100:$BD$100,Curves!$U$24:$BV$24)+SUMPRODUCT(React!$C$101:$BD$101,Curves!$U$47:$BV$47)+SUMPRODUCT(React!$C$102:$BD$102,Curves!$U$70:$BV$70)</f>
        <v/>
      </c>
      <c r="BE104" s="5">
        <f>SUMPRODUCT(React!$C$100:$BE$100,Curves!$T$24:$BV$24)+SUMPRODUCT(React!$C$101:$BE$101,Curves!$T$47:$BV$47)+SUMPRODUCT(React!$C$102:$BE$102,Curves!$T$70:$BV$70)</f>
        <v/>
      </c>
      <c r="BF104" s="5">
        <f>SUMPRODUCT(React!$C$100:$BF$100,Curves!$S$24:$BV$24)+SUMPRODUCT(React!$C$101:$BF$101,Curves!$S$47:$BV$47)+SUMPRODUCT(React!$C$102:$BF$102,Curves!$S$70:$BV$70)</f>
        <v/>
      </c>
      <c r="BG104" s="5">
        <f>SUMPRODUCT(React!$C$100:$BG$100,Curves!$R$24:$BV$24)+SUMPRODUCT(React!$C$101:$BG$101,Curves!$R$47:$BV$47)+SUMPRODUCT(React!$C$102:$BG$102,Curves!$R$70:$BV$70)</f>
        <v/>
      </c>
      <c r="BH104" s="5">
        <f>SUMPRODUCT(React!$C$100:$BH$100,Curves!$Q$24:$BV$24)+SUMPRODUCT(React!$C$101:$BH$101,Curves!$Q$47:$BV$47)+SUMPRODUCT(React!$C$102:$BH$102,Curves!$Q$70:$BV$70)</f>
        <v/>
      </c>
      <c r="BI104" s="5">
        <f>SUMPRODUCT(React!$C$100:$BI$100,Curves!$P$24:$BV$24)+SUMPRODUCT(React!$C$101:$BI$101,Curves!$P$47:$BV$47)+SUMPRODUCT(React!$C$102:$BI$102,Curves!$P$70:$BV$70)</f>
        <v/>
      </c>
      <c r="BJ104" s="5">
        <f>SUMPRODUCT(React!$C$100:$BJ$100,Curves!$O$24:$BV$24)+SUMPRODUCT(React!$C$101:$BJ$101,Curves!$O$47:$BV$47)+SUMPRODUCT(React!$C$102:$BJ$102,Curves!$O$70:$BV$70)</f>
        <v/>
      </c>
      <c r="BK104" s="5">
        <f>SUMPRODUCT(React!$C$100:$BK$100,Curves!$N$24:$BV$24)+SUMPRODUCT(React!$C$101:$BK$101,Curves!$N$47:$BV$47)+SUMPRODUCT(React!$C$102:$BK$102,Curves!$N$70:$BV$70)</f>
        <v/>
      </c>
      <c r="BL104" s="5">
        <f>SUMPRODUCT(React!$C$100:$BL$100,Curves!$M$24:$BV$24)+SUMPRODUCT(React!$C$101:$BL$101,Curves!$M$47:$BV$47)+SUMPRODUCT(React!$C$102:$BL$102,Curves!$M$70:$BV$70)</f>
        <v/>
      </c>
      <c r="BM104" s="5">
        <f>SUMPRODUCT(React!$C$100:$BM$100,Curves!$L$24:$BV$24)+SUMPRODUCT(React!$C$101:$BM$101,Curves!$L$47:$BV$47)+SUMPRODUCT(React!$C$102:$BM$102,Curves!$L$70:$BV$70)</f>
        <v/>
      </c>
      <c r="BN104" s="5">
        <f>SUMPRODUCT(React!$C$100:$BN$100,Curves!$K$24:$BV$24)+SUMPRODUCT(React!$C$101:$BN$101,Curves!$K$47:$BV$47)+SUMPRODUCT(React!$C$102:$BN$102,Curves!$K$70:$BV$70)</f>
        <v/>
      </c>
      <c r="BO104" s="5">
        <f>SUMPRODUCT(React!$C$100:$BO$100,Curves!$J$24:$BV$24)+SUMPRODUCT(React!$C$101:$BO$101,Curves!$J$47:$BV$47)+SUMPRODUCT(React!$C$102:$BO$102,Curves!$J$70:$BV$70)</f>
        <v/>
      </c>
      <c r="BP104" s="5">
        <f>SUMPRODUCT(React!$C$100:$BP$100,Curves!$I$24:$BV$24)+SUMPRODUCT(React!$C$101:$BP$101,Curves!$I$47:$BV$47)+SUMPRODUCT(React!$C$102:$BP$102,Curves!$I$70:$BV$70)</f>
        <v/>
      </c>
      <c r="BQ104" s="5">
        <f>SUMPRODUCT(React!$C$100:$BQ$100,Curves!$H$24:$BV$24)+SUMPRODUCT(React!$C$101:$BQ$101,Curves!$H$47:$BV$47)+SUMPRODUCT(React!$C$102:$BQ$102,Curves!$H$70:$BV$70)</f>
        <v/>
      </c>
      <c r="BR104" s="5">
        <f>SUMPRODUCT(React!$C$100:$BR$100,Curves!$G$24:$BV$24)+SUMPRODUCT(React!$C$101:$BR$101,Curves!$G$47:$BV$47)+SUMPRODUCT(React!$C$102:$BR$102,Curves!$G$70:$BV$70)</f>
        <v/>
      </c>
      <c r="BS104" s="5">
        <f>SUMPRODUCT(React!$C$100:$BS$100,Curves!$F$24:$BV$24)+SUMPRODUCT(React!$C$101:$BS$101,Curves!$F$47:$BV$47)+SUMPRODUCT(React!$C$102:$BS$102,Curves!$F$70:$BV$70)</f>
        <v/>
      </c>
      <c r="BT104" s="5">
        <f>SUMPRODUCT(React!$C$100:$BT$100,Curves!$E$24:$BV$24)+SUMPRODUCT(React!$C$101:$BT$101,Curves!$E$47:$BV$47)+SUMPRODUCT(React!$C$102:$BT$102,Curves!$E$70:$BV$70)</f>
        <v/>
      </c>
      <c r="BU104" s="5">
        <f>SUMPRODUCT(React!$C$100:$BU$100,Curves!$D$24:$BV$24)+SUMPRODUCT(React!$C$101:$BU$101,Curves!$D$47:$BV$47)+SUMPRODUCT(React!$C$102:$BU$102,Curves!$D$70:$BV$70)</f>
        <v/>
      </c>
      <c r="BV104" s="5">
        <f>SUMPRODUCT(React!$C$100:$BV$100,Curves!$C$24:$BV$24)+SUMPRODUCT(React!$C$101:$BV$101,Curves!$C$47:$BV$47)+SUMPRODUCT(React!$C$102:$BV$102,Curves!$C$70:$BV$70)</f>
        <v/>
      </c>
    </row>
    <row r="105">
      <c r="A105" t="inlineStr">
        <is>
          <t>churned</t>
        </is>
      </c>
      <c r="B105" t="inlineStr">
        <is>
          <t>EUROPE|BASIC_A</t>
        </is>
      </c>
      <c r="C105" s="5">
        <f>React!$C$100*Curves!$BV$20+React!$C$101*Curves!$BV$43+React!$C$102*Curves!$BV$66</f>
        <v/>
      </c>
      <c r="D105" s="5">
        <f>SUMPRODUCT(React!$C$100:$D$100,Curves!$BU$20:$BV$20)+SUMPRODUCT(React!$C$101:$D$101,Curves!$BU$43:$BV$43)+SUMPRODUCT(React!$C$102:$D$102,Curves!$BU$66:$BV$66)</f>
        <v/>
      </c>
      <c r="E105" s="5">
        <f>SUMPRODUCT(React!$C$100:$E$100,Curves!$BT$20:$BV$20)+SUMPRODUCT(React!$C$101:$E$101,Curves!$BT$43:$BV$43)+SUMPRODUCT(React!$C$102:$E$102,Curves!$BT$66:$BV$66)</f>
        <v/>
      </c>
      <c r="F105" s="5">
        <f>SUMPRODUCT(React!$C$100:$F$100,Curves!$BS$20:$BV$20)+SUMPRODUCT(React!$C$101:$F$101,Curves!$BS$43:$BV$43)+SUMPRODUCT(React!$C$102:$F$102,Curves!$BS$66:$BV$66)</f>
        <v/>
      </c>
      <c r="G105" s="5">
        <f>SUMPRODUCT(React!$C$100:$G$100,Curves!$BR$20:$BV$20)+SUMPRODUCT(React!$C$101:$G$101,Curves!$BR$43:$BV$43)+SUMPRODUCT(React!$C$102:$G$102,Curves!$BR$66:$BV$66)</f>
        <v/>
      </c>
      <c r="H105" s="5">
        <f>SUMPRODUCT(React!$C$100:$H$100,Curves!$BQ$20:$BV$20)+SUMPRODUCT(React!$C$101:$H$101,Curves!$BQ$43:$BV$43)+SUMPRODUCT(React!$C$102:$H$102,Curves!$BQ$66:$BV$66)</f>
        <v/>
      </c>
      <c r="I105" s="5">
        <f>SUMPRODUCT(React!$C$100:$I$100,Curves!$BP$20:$BV$20)+SUMPRODUCT(React!$C$101:$I$101,Curves!$BP$43:$BV$43)+SUMPRODUCT(React!$C$102:$I$102,Curves!$BP$66:$BV$66)</f>
        <v/>
      </c>
      <c r="J105" s="5">
        <f>SUMPRODUCT(React!$C$100:$J$100,Curves!$BO$20:$BV$20)+SUMPRODUCT(React!$C$101:$J$101,Curves!$BO$43:$BV$43)+SUMPRODUCT(React!$C$102:$J$102,Curves!$BO$66:$BV$66)</f>
        <v/>
      </c>
      <c r="K105" s="5">
        <f>SUMPRODUCT(React!$C$100:$K$100,Curves!$BN$20:$BV$20)+SUMPRODUCT(React!$C$101:$K$101,Curves!$BN$43:$BV$43)+SUMPRODUCT(React!$C$102:$K$102,Curves!$BN$66:$BV$66)</f>
        <v/>
      </c>
      <c r="L105" s="5">
        <f>SUMPRODUCT(React!$C$100:$L$100,Curves!$BM$20:$BV$20)+SUMPRODUCT(React!$C$101:$L$101,Curves!$BM$43:$BV$43)+SUMPRODUCT(React!$C$102:$L$102,Curves!$BM$66:$BV$66)</f>
        <v/>
      </c>
      <c r="M105" s="5">
        <f>SUMPRODUCT(React!$C$100:$M$100,Curves!$BL$20:$BV$20)+SUMPRODUCT(React!$C$101:$M$101,Curves!$BL$43:$BV$43)+SUMPRODUCT(React!$C$102:$M$102,Curves!$BL$66:$BV$66)</f>
        <v/>
      </c>
      <c r="N105" s="5">
        <f>SUMPRODUCT(React!$C$100:$N$100,Curves!$BK$20:$BV$20)+SUMPRODUCT(React!$C$101:$N$101,Curves!$BK$43:$BV$43)+SUMPRODUCT(React!$C$102:$N$102,Curves!$BK$66:$BV$66)</f>
        <v/>
      </c>
      <c r="O105" s="5">
        <f>SUMPRODUCT(React!$C$100:$O$100,Curves!$BJ$20:$BV$20)+SUMPRODUCT(React!$C$101:$O$101,Curves!$BJ$43:$BV$43)+SUMPRODUCT(React!$C$102:$O$102,Curves!$BJ$66:$BV$66)</f>
        <v/>
      </c>
      <c r="P105" s="5">
        <f>SUMPRODUCT(React!$C$100:$P$100,Curves!$BI$20:$BV$20)+SUMPRODUCT(React!$C$101:$P$101,Curves!$BI$43:$BV$43)+SUMPRODUCT(React!$C$102:$P$102,Curves!$BI$66:$BV$66)</f>
        <v/>
      </c>
      <c r="Q105" s="5">
        <f>SUMPRODUCT(React!$C$100:$Q$100,Curves!$BH$20:$BV$20)+SUMPRODUCT(React!$C$101:$Q$101,Curves!$BH$43:$BV$43)+SUMPRODUCT(React!$C$102:$Q$102,Curves!$BH$66:$BV$66)</f>
        <v/>
      </c>
      <c r="R105" s="5">
        <f>SUMPRODUCT(React!$C$100:$R$100,Curves!$BG$20:$BV$20)+SUMPRODUCT(React!$C$101:$R$101,Curves!$BG$43:$BV$43)+SUMPRODUCT(React!$C$102:$R$102,Curves!$BG$66:$BV$66)</f>
        <v/>
      </c>
      <c r="S105" s="5">
        <f>SUMPRODUCT(React!$C$100:$S$100,Curves!$BF$20:$BV$20)+SUMPRODUCT(React!$C$101:$S$101,Curves!$BF$43:$BV$43)+SUMPRODUCT(React!$C$102:$S$102,Curves!$BF$66:$BV$66)</f>
        <v/>
      </c>
      <c r="T105" s="5">
        <f>SUMPRODUCT(React!$C$100:$T$100,Curves!$BE$20:$BV$20)+SUMPRODUCT(React!$C$101:$T$101,Curves!$BE$43:$BV$43)+SUMPRODUCT(React!$C$102:$T$102,Curves!$BE$66:$BV$66)</f>
        <v/>
      </c>
      <c r="U105" s="5">
        <f>SUMPRODUCT(React!$C$100:$U$100,Curves!$BD$20:$BV$20)+SUMPRODUCT(React!$C$101:$U$101,Curves!$BD$43:$BV$43)+SUMPRODUCT(React!$C$102:$U$102,Curves!$BD$66:$BV$66)</f>
        <v/>
      </c>
      <c r="V105" s="5">
        <f>SUMPRODUCT(React!$C$100:$V$100,Curves!$BC$20:$BV$20)+SUMPRODUCT(React!$C$101:$V$101,Curves!$BC$43:$BV$43)+SUMPRODUCT(React!$C$102:$V$102,Curves!$BC$66:$BV$66)</f>
        <v/>
      </c>
      <c r="W105" s="5">
        <f>SUMPRODUCT(React!$C$100:$W$100,Curves!$BB$20:$BV$20)+SUMPRODUCT(React!$C$101:$W$101,Curves!$BB$43:$BV$43)+SUMPRODUCT(React!$C$102:$W$102,Curves!$BB$66:$BV$66)</f>
        <v/>
      </c>
      <c r="X105" s="5">
        <f>SUMPRODUCT(React!$C$100:$X$100,Curves!$BA$20:$BV$20)+SUMPRODUCT(React!$C$101:$X$101,Curves!$BA$43:$BV$43)+SUMPRODUCT(React!$C$102:$X$102,Curves!$BA$66:$BV$66)</f>
        <v/>
      </c>
      <c r="Y105" s="5">
        <f>SUMPRODUCT(React!$C$100:$Y$100,Curves!$AZ$20:$BV$20)+SUMPRODUCT(React!$C$101:$Y$101,Curves!$AZ$43:$BV$43)+SUMPRODUCT(React!$C$102:$Y$102,Curves!$AZ$66:$BV$66)</f>
        <v/>
      </c>
      <c r="Z105" s="5">
        <f>SUMPRODUCT(React!$C$100:$Z$100,Curves!$AY$20:$BV$20)+SUMPRODUCT(React!$C$101:$Z$101,Curves!$AY$43:$BV$43)+SUMPRODUCT(React!$C$102:$Z$102,Curves!$AY$66:$BV$66)</f>
        <v/>
      </c>
      <c r="AA105" s="5">
        <f>SUMPRODUCT(React!$C$100:$AA$100,Curves!$AX$20:$BV$20)+SUMPRODUCT(React!$C$101:$AA$101,Curves!$AX$43:$BV$43)+SUMPRODUCT(React!$C$102:$AA$102,Curves!$AX$66:$BV$66)</f>
        <v/>
      </c>
      <c r="AB105" s="5">
        <f>SUMPRODUCT(React!$C$100:$AB$100,Curves!$AW$20:$BV$20)+SUMPRODUCT(React!$C$101:$AB$101,Curves!$AW$43:$BV$43)+SUMPRODUCT(React!$C$102:$AB$102,Curves!$AW$66:$BV$66)</f>
        <v/>
      </c>
      <c r="AC105" s="5">
        <f>SUMPRODUCT(React!$C$100:$AC$100,Curves!$AV$20:$BV$20)+SUMPRODUCT(React!$C$101:$AC$101,Curves!$AV$43:$BV$43)+SUMPRODUCT(React!$C$102:$AC$102,Curves!$AV$66:$BV$66)</f>
        <v/>
      </c>
      <c r="AD105" s="5">
        <f>SUMPRODUCT(React!$C$100:$AD$100,Curves!$AU$20:$BV$20)+SUMPRODUCT(React!$C$101:$AD$101,Curves!$AU$43:$BV$43)+SUMPRODUCT(React!$C$102:$AD$102,Curves!$AU$66:$BV$66)</f>
        <v/>
      </c>
      <c r="AE105" s="5">
        <f>SUMPRODUCT(React!$C$100:$AE$100,Curves!$AT$20:$BV$20)+SUMPRODUCT(React!$C$101:$AE$101,Curves!$AT$43:$BV$43)+SUMPRODUCT(React!$C$102:$AE$102,Curves!$AT$66:$BV$66)</f>
        <v/>
      </c>
      <c r="AF105" s="5">
        <f>SUMPRODUCT(React!$C$100:$AF$100,Curves!$AS$20:$BV$20)+SUMPRODUCT(React!$C$101:$AF$101,Curves!$AS$43:$BV$43)+SUMPRODUCT(React!$C$102:$AF$102,Curves!$AS$66:$BV$66)</f>
        <v/>
      </c>
      <c r="AG105" s="5">
        <f>SUMPRODUCT(React!$C$100:$AG$100,Curves!$AR$20:$BV$20)+SUMPRODUCT(React!$C$101:$AG$101,Curves!$AR$43:$BV$43)+SUMPRODUCT(React!$C$102:$AG$102,Curves!$AR$66:$BV$66)</f>
        <v/>
      </c>
      <c r="AH105" s="5">
        <f>SUMPRODUCT(React!$C$100:$AH$100,Curves!$AQ$20:$BV$20)+SUMPRODUCT(React!$C$101:$AH$101,Curves!$AQ$43:$BV$43)+SUMPRODUCT(React!$C$102:$AH$102,Curves!$AQ$66:$BV$66)</f>
        <v/>
      </c>
      <c r="AI105" s="5">
        <f>SUMPRODUCT(React!$C$100:$AI$100,Curves!$AP$20:$BV$20)+SUMPRODUCT(React!$C$101:$AI$101,Curves!$AP$43:$BV$43)+SUMPRODUCT(React!$C$102:$AI$102,Curves!$AP$66:$BV$66)</f>
        <v/>
      </c>
      <c r="AJ105" s="5">
        <f>SUMPRODUCT(React!$C$100:$AJ$100,Curves!$AO$20:$BV$20)+SUMPRODUCT(React!$C$101:$AJ$101,Curves!$AO$43:$BV$43)+SUMPRODUCT(React!$C$102:$AJ$102,Curves!$AO$66:$BV$66)</f>
        <v/>
      </c>
      <c r="AK105" s="5">
        <f>SUMPRODUCT(React!$C$100:$AK$100,Curves!$AN$20:$BV$20)+SUMPRODUCT(React!$C$101:$AK$101,Curves!$AN$43:$BV$43)+SUMPRODUCT(React!$C$102:$AK$102,Curves!$AN$66:$BV$66)</f>
        <v/>
      </c>
      <c r="AL105" s="5">
        <f>SUMPRODUCT(React!$C$100:$AL$100,Curves!$AM$20:$BV$20)+SUMPRODUCT(React!$C$101:$AL$101,Curves!$AM$43:$BV$43)+SUMPRODUCT(React!$C$102:$AL$102,Curves!$AM$66:$BV$66)</f>
        <v/>
      </c>
      <c r="AM105" s="5">
        <f>SUMPRODUCT(React!$C$100:$AM$100,Curves!$AL$20:$BV$20)+SUMPRODUCT(React!$C$101:$AM$101,Curves!$AL$43:$BV$43)+SUMPRODUCT(React!$C$102:$AM$102,Curves!$AL$66:$BV$66)</f>
        <v/>
      </c>
      <c r="AN105" s="5">
        <f>SUMPRODUCT(React!$C$100:$AN$100,Curves!$AK$20:$BV$20)+SUMPRODUCT(React!$C$101:$AN$101,Curves!$AK$43:$BV$43)+SUMPRODUCT(React!$C$102:$AN$102,Curves!$AK$66:$BV$66)</f>
        <v/>
      </c>
      <c r="AO105" s="5">
        <f>SUMPRODUCT(React!$C$100:$AO$100,Curves!$AJ$20:$BV$20)+SUMPRODUCT(React!$C$101:$AO$101,Curves!$AJ$43:$BV$43)+SUMPRODUCT(React!$C$102:$AO$102,Curves!$AJ$66:$BV$66)</f>
        <v/>
      </c>
      <c r="AP105" s="5">
        <f>SUMPRODUCT(React!$C$100:$AP$100,Curves!$AI$20:$BV$20)+SUMPRODUCT(React!$C$101:$AP$101,Curves!$AI$43:$BV$43)+SUMPRODUCT(React!$C$102:$AP$102,Curves!$AI$66:$BV$66)</f>
        <v/>
      </c>
      <c r="AQ105" s="5">
        <f>SUMPRODUCT(React!$C$100:$AQ$100,Curves!$AH$20:$BV$20)+SUMPRODUCT(React!$C$101:$AQ$101,Curves!$AH$43:$BV$43)+SUMPRODUCT(React!$C$102:$AQ$102,Curves!$AH$66:$BV$66)</f>
        <v/>
      </c>
      <c r="AR105" s="5">
        <f>SUMPRODUCT(React!$C$100:$AR$100,Curves!$AG$20:$BV$20)+SUMPRODUCT(React!$C$101:$AR$101,Curves!$AG$43:$BV$43)+SUMPRODUCT(React!$C$102:$AR$102,Curves!$AG$66:$BV$66)</f>
        <v/>
      </c>
      <c r="AS105" s="5">
        <f>SUMPRODUCT(React!$C$100:$AS$100,Curves!$AF$20:$BV$20)+SUMPRODUCT(React!$C$101:$AS$101,Curves!$AF$43:$BV$43)+SUMPRODUCT(React!$C$102:$AS$102,Curves!$AF$66:$BV$66)</f>
        <v/>
      </c>
      <c r="AT105" s="5">
        <f>SUMPRODUCT(React!$C$100:$AT$100,Curves!$AE$20:$BV$20)+SUMPRODUCT(React!$C$101:$AT$101,Curves!$AE$43:$BV$43)+SUMPRODUCT(React!$C$102:$AT$102,Curves!$AE$66:$BV$66)</f>
        <v/>
      </c>
      <c r="AU105" s="5">
        <f>SUMPRODUCT(React!$C$100:$AU$100,Curves!$AD$20:$BV$20)+SUMPRODUCT(React!$C$101:$AU$101,Curves!$AD$43:$BV$43)+SUMPRODUCT(React!$C$102:$AU$102,Curves!$AD$66:$BV$66)</f>
        <v/>
      </c>
      <c r="AV105" s="5">
        <f>SUMPRODUCT(React!$C$100:$AV$100,Curves!$AC$20:$BV$20)+SUMPRODUCT(React!$C$101:$AV$101,Curves!$AC$43:$BV$43)+SUMPRODUCT(React!$C$102:$AV$102,Curves!$AC$66:$BV$66)</f>
        <v/>
      </c>
      <c r="AW105" s="5">
        <f>SUMPRODUCT(React!$C$100:$AW$100,Curves!$AB$20:$BV$20)+SUMPRODUCT(React!$C$101:$AW$101,Curves!$AB$43:$BV$43)+SUMPRODUCT(React!$C$102:$AW$102,Curves!$AB$66:$BV$66)</f>
        <v/>
      </c>
      <c r="AX105" s="5">
        <f>SUMPRODUCT(React!$C$100:$AX$100,Curves!$AA$20:$BV$20)+SUMPRODUCT(React!$C$101:$AX$101,Curves!$AA$43:$BV$43)+SUMPRODUCT(React!$C$102:$AX$102,Curves!$AA$66:$BV$66)</f>
        <v/>
      </c>
      <c r="AY105" s="5">
        <f>SUMPRODUCT(React!$C$100:$AY$100,Curves!$Z$20:$BV$20)+SUMPRODUCT(React!$C$101:$AY$101,Curves!$Z$43:$BV$43)+SUMPRODUCT(React!$C$102:$AY$102,Curves!$Z$66:$BV$66)</f>
        <v/>
      </c>
      <c r="AZ105" s="5">
        <f>SUMPRODUCT(React!$C$100:$AZ$100,Curves!$Y$20:$BV$20)+SUMPRODUCT(React!$C$101:$AZ$101,Curves!$Y$43:$BV$43)+SUMPRODUCT(React!$C$102:$AZ$102,Curves!$Y$66:$BV$66)</f>
        <v/>
      </c>
      <c r="BA105" s="5">
        <f>SUMPRODUCT(React!$C$100:$BA$100,Curves!$X$20:$BV$20)+SUMPRODUCT(React!$C$101:$BA$101,Curves!$X$43:$BV$43)+SUMPRODUCT(React!$C$102:$BA$102,Curves!$X$66:$BV$66)</f>
        <v/>
      </c>
      <c r="BB105" s="5">
        <f>SUMPRODUCT(React!$C$100:$BB$100,Curves!$W$20:$BV$20)+SUMPRODUCT(React!$C$101:$BB$101,Curves!$W$43:$BV$43)+SUMPRODUCT(React!$C$102:$BB$102,Curves!$W$66:$BV$66)</f>
        <v/>
      </c>
      <c r="BC105" s="5">
        <f>SUMPRODUCT(React!$C$100:$BC$100,Curves!$V$20:$BV$20)+SUMPRODUCT(React!$C$101:$BC$101,Curves!$V$43:$BV$43)+SUMPRODUCT(React!$C$102:$BC$102,Curves!$V$66:$BV$66)</f>
        <v/>
      </c>
      <c r="BD105" s="5">
        <f>SUMPRODUCT(React!$C$100:$BD$100,Curves!$U$20:$BV$20)+SUMPRODUCT(React!$C$101:$BD$101,Curves!$U$43:$BV$43)+SUMPRODUCT(React!$C$102:$BD$102,Curves!$U$66:$BV$66)</f>
        <v/>
      </c>
      <c r="BE105" s="5">
        <f>SUMPRODUCT(React!$C$100:$BE$100,Curves!$T$20:$BV$20)+SUMPRODUCT(React!$C$101:$BE$101,Curves!$T$43:$BV$43)+SUMPRODUCT(React!$C$102:$BE$102,Curves!$T$66:$BV$66)</f>
        <v/>
      </c>
      <c r="BF105" s="5">
        <f>SUMPRODUCT(React!$C$100:$BF$100,Curves!$S$20:$BV$20)+SUMPRODUCT(React!$C$101:$BF$101,Curves!$S$43:$BV$43)+SUMPRODUCT(React!$C$102:$BF$102,Curves!$S$66:$BV$66)</f>
        <v/>
      </c>
      <c r="BG105" s="5">
        <f>SUMPRODUCT(React!$C$100:$BG$100,Curves!$R$20:$BV$20)+SUMPRODUCT(React!$C$101:$BG$101,Curves!$R$43:$BV$43)+SUMPRODUCT(React!$C$102:$BG$102,Curves!$R$66:$BV$66)</f>
        <v/>
      </c>
      <c r="BH105" s="5">
        <f>SUMPRODUCT(React!$C$100:$BH$100,Curves!$Q$20:$BV$20)+SUMPRODUCT(React!$C$101:$BH$101,Curves!$Q$43:$BV$43)+SUMPRODUCT(React!$C$102:$BH$102,Curves!$Q$66:$BV$66)</f>
        <v/>
      </c>
      <c r="BI105" s="5">
        <f>SUMPRODUCT(React!$C$100:$BI$100,Curves!$P$20:$BV$20)+SUMPRODUCT(React!$C$101:$BI$101,Curves!$P$43:$BV$43)+SUMPRODUCT(React!$C$102:$BI$102,Curves!$P$66:$BV$66)</f>
        <v/>
      </c>
      <c r="BJ105" s="5">
        <f>SUMPRODUCT(React!$C$100:$BJ$100,Curves!$O$20:$BV$20)+SUMPRODUCT(React!$C$101:$BJ$101,Curves!$O$43:$BV$43)+SUMPRODUCT(React!$C$102:$BJ$102,Curves!$O$66:$BV$66)</f>
        <v/>
      </c>
      <c r="BK105" s="5">
        <f>SUMPRODUCT(React!$C$100:$BK$100,Curves!$N$20:$BV$20)+SUMPRODUCT(React!$C$101:$BK$101,Curves!$N$43:$BV$43)+SUMPRODUCT(React!$C$102:$BK$102,Curves!$N$66:$BV$66)</f>
        <v/>
      </c>
      <c r="BL105" s="5">
        <f>SUMPRODUCT(React!$C$100:$BL$100,Curves!$M$20:$BV$20)+SUMPRODUCT(React!$C$101:$BL$101,Curves!$M$43:$BV$43)+SUMPRODUCT(React!$C$102:$BL$102,Curves!$M$66:$BV$66)</f>
        <v/>
      </c>
      <c r="BM105" s="5">
        <f>SUMPRODUCT(React!$C$100:$BM$100,Curves!$L$20:$BV$20)+SUMPRODUCT(React!$C$101:$BM$101,Curves!$L$43:$BV$43)+SUMPRODUCT(React!$C$102:$BM$102,Curves!$L$66:$BV$66)</f>
        <v/>
      </c>
      <c r="BN105" s="5">
        <f>SUMPRODUCT(React!$C$100:$BN$100,Curves!$K$20:$BV$20)+SUMPRODUCT(React!$C$101:$BN$101,Curves!$K$43:$BV$43)+SUMPRODUCT(React!$C$102:$BN$102,Curves!$K$66:$BV$66)</f>
        <v/>
      </c>
      <c r="BO105" s="5">
        <f>SUMPRODUCT(React!$C$100:$BO$100,Curves!$J$20:$BV$20)+SUMPRODUCT(React!$C$101:$BO$101,Curves!$J$43:$BV$43)+SUMPRODUCT(React!$C$102:$BO$102,Curves!$J$66:$BV$66)</f>
        <v/>
      </c>
      <c r="BP105" s="5">
        <f>SUMPRODUCT(React!$C$100:$BP$100,Curves!$I$20:$BV$20)+SUMPRODUCT(React!$C$101:$BP$101,Curves!$I$43:$BV$43)+SUMPRODUCT(React!$C$102:$BP$102,Curves!$I$66:$BV$66)</f>
        <v/>
      </c>
      <c r="BQ105" s="5">
        <f>SUMPRODUCT(React!$C$100:$BQ$100,Curves!$H$20:$BV$20)+SUMPRODUCT(React!$C$101:$BQ$101,Curves!$H$43:$BV$43)+SUMPRODUCT(React!$C$102:$BQ$102,Curves!$H$66:$BV$66)</f>
        <v/>
      </c>
      <c r="BR105" s="5">
        <f>SUMPRODUCT(React!$C$100:$BR$100,Curves!$G$20:$BV$20)+SUMPRODUCT(React!$C$101:$BR$101,Curves!$G$43:$BV$43)+SUMPRODUCT(React!$C$102:$BR$102,Curves!$G$66:$BV$66)</f>
        <v/>
      </c>
      <c r="BS105" s="5">
        <f>SUMPRODUCT(React!$C$100:$BS$100,Curves!$F$20:$BV$20)+SUMPRODUCT(React!$C$101:$BS$101,Curves!$F$43:$BV$43)+SUMPRODUCT(React!$C$102:$BS$102,Curves!$F$66:$BV$66)</f>
        <v/>
      </c>
      <c r="BT105" s="5">
        <f>SUMPRODUCT(React!$C$100:$BT$100,Curves!$E$20:$BV$20)+SUMPRODUCT(React!$C$101:$BT$101,Curves!$E$43:$BV$43)+SUMPRODUCT(React!$C$102:$BT$102,Curves!$E$66:$BV$66)</f>
        <v/>
      </c>
      <c r="BU105" s="5">
        <f>SUMPRODUCT(React!$C$100:$BU$100,Curves!$D$20:$BV$20)+SUMPRODUCT(React!$C$101:$BU$101,Curves!$D$43:$BV$43)+SUMPRODUCT(React!$C$102:$BU$102,Curves!$D$66:$BV$66)</f>
        <v/>
      </c>
      <c r="BV105" s="5">
        <f>SUMPRODUCT(React!$C$100:$BV$100,Curves!$C$20:$BV$20)+SUMPRODUCT(React!$C$101:$BV$101,Curves!$C$43:$BV$43)+SUMPRODUCT(React!$C$102:$BV$102,Curves!$C$66:$BV$66)</f>
        <v/>
      </c>
    </row>
    <row r="107">
      <c r="A107" t="inlineStr">
        <is>
          <t>churn pool inflow</t>
        </is>
      </c>
      <c r="B107" t="inlineStr">
        <is>
          <t>LATAM|NITRO_M</t>
        </is>
      </c>
      <c r="C107" s="5">
        <f>Paid!C37+Legacy!C39</f>
        <v/>
      </c>
      <c r="D107" s="5">
        <f>Paid!D37+Legacy!D39</f>
        <v/>
      </c>
      <c r="E107" s="5">
        <f>Paid!E37+Legacy!E39</f>
        <v/>
      </c>
      <c r="F107" s="5">
        <f>Paid!F37+Legacy!F39</f>
        <v/>
      </c>
      <c r="G107" s="5">
        <f>Paid!G37+Legacy!G39</f>
        <v/>
      </c>
      <c r="H107" s="5">
        <f>Paid!H37+Legacy!H39</f>
        <v/>
      </c>
      <c r="I107" s="5">
        <f>Paid!I37+Legacy!I39</f>
        <v/>
      </c>
      <c r="J107" s="5">
        <f>Paid!J37+Legacy!J39</f>
        <v/>
      </c>
      <c r="K107" s="5">
        <f>Paid!K37+Legacy!K39</f>
        <v/>
      </c>
      <c r="L107" s="5">
        <f>Paid!L37+Legacy!L39</f>
        <v/>
      </c>
      <c r="M107" s="5">
        <f>Paid!M37+Legacy!M39</f>
        <v/>
      </c>
      <c r="N107" s="5">
        <f>Paid!N37+Legacy!N39</f>
        <v/>
      </c>
      <c r="O107" s="5">
        <f>Paid!O37+Legacy!O39</f>
        <v/>
      </c>
      <c r="P107" s="5">
        <f>Paid!P37+Legacy!P39</f>
        <v/>
      </c>
      <c r="Q107" s="5">
        <f>Paid!Q37+Legacy!Q39</f>
        <v/>
      </c>
      <c r="R107" s="5">
        <f>Paid!R37+Legacy!R39</f>
        <v/>
      </c>
      <c r="S107" s="5">
        <f>Paid!S37+Legacy!S39</f>
        <v/>
      </c>
      <c r="T107" s="5">
        <f>Paid!T37+Legacy!T39</f>
        <v/>
      </c>
      <c r="U107" s="5">
        <f>Paid!U37+Legacy!U39</f>
        <v/>
      </c>
      <c r="V107" s="5">
        <f>Paid!V37+Legacy!V39</f>
        <v/>
      </c>
      <c r="W107" s="5">
        <f>Paid!W37+Legacy!W39</f>
        <v/>
      </c>
      <c r="X107" s="5">
        <f>Paid!X37+Legacy!X39</f>
        <v/>
      </c>
      <c r="Y107" s="5">
        <f>Paid!Y37+Legacy!Y39</f>
        <v/>
      </c>
      <c r="Z107" s="5">
        <f>Paid!Z37+Legacy!Z39</f>
        <v/>
      </c>
      <c r="AA107" s="5">
        <f>Paid!AA37+Legacy!AA39</f>
        <v/>
      </c>
      <c r="AB107" s="5">
        <f>Paid!AB37+Legacy!AB39</f>
        <v/>
      </c>
      <c r="AC107" s="5">
        <f>Paid!AC37+Legacy!AC39</f>
        <v/>
      </c>
      <c r="AD107" s="5">
        <f>Paid!AD37+Legacy!AD39</f>
        <v/>
      </c>
      <c r="AE107" s="5">
        <f>Paid!AE37+Legacy!AE39</f>
        <v/>
      </c>
      <c r="AF107" s="5">
        <f>Paid!AF37+Legacy!AF39</f>
        <v/>
      </c>
      <c r="AG107" s="5">
        <f>Paid!AG37+Legacy!AG39</f>
        <v/>
      </c>
      <c r="AH107" s="5">
        <f>Paid!AH37+Legacy!AH39</f>
        <v/>
      </c>
      <c r="AI107" s="5">
        <f>Paid!AI37+Legacy!AI39</f>
        <v/>
      </c>
      <c r="AJ107" s="5">
        <f>Paid!AJ37+Legacy!AJ39</f>
        <v/>
      </c>
      <c r="AK107" s="5">
        <f>Paid!AK37+Legacy!AK39</f>
        <v/>
      </c>
      <c r="AL107" s="5">
        <f>Paid!AL37+Legacy!AL39</f>
        <v/>
      </c>
      <c r="AM107" s="5">
        <f>Paid!AM37+Legacy!AM39</f>
        <v/>
      </c>
      <c r="AN107" s="5">
        <f>Paid!AN37+Legacy!AN39</f>
        <v/>
      </c>
      <c r="AO107" s="5">
        <f>Paid!AO37+Legacy!AO39</f>
        <v/>
      </c>
      <c r="AP107" s="5">
        <f>Paid!AP37+Legacy!AP39</f>
        <v/>
      </c>
      <c r="AQ107" s="5">
        <f>Paid!AQ37+Legacy!AQ39</f>
        <v/>
      </c>
      <c r="AR107" s="5">
        <f>Paid!AR37+Legacy!AR39</f>
        <v/>
      </c>
      <c r="AS107" s="5">
        <f>Paid!AS37+Legacy!AS39</f>
        <v/>
      </c>
      <c r="AT107" s="5">
        <f>Paid!AT37+Legacy!AT39</f>
        <v/>
      </c>
      <c r="AU107" s="5">
        <f>Paid!AU37+Legacy!AU39</f>
        <v/>
      </c>
      <c r="AV107" s="5">
        <f>Paid!AV37+Legacy!AV39</f>
        <v/>
      </c>
      <c r="AW107" s="5">
        <f>Paid!AW37+Legacy!AW39</f>
        <v/>
      </c>
      <c r="AX107" s="5">
        <f>Paid!AX37+Legacy!AX39</f>
        <v/>
      </c>
      <c r="AY107" s="5">
        <f>Paid!AY37+Legacy!AY39</f>
        <v/>
      </c>
      <c r="AZ107" s="5">
        <f>Paid!AZ37+Legacy!AZ39</f>
        <v/>
      </c>
      <c r="BA107" s="5">
        <f>Paid!BA37+Legacy!BA39</f>
        <v/>
      </c>
      <c r="BB107" s="5">
        <f>Paid!BB37+Legacy!BB39</f>
        <v/>
      </c>
      <c r="BC107" s="5">
        <f>Paid!BC37+Legacy!BC39</f>
        <v/>
      </c>
      <c r="BD107" s="5">
        <f>Paid!BD37+Legacy!BD39</f>
        <v/>
      </c>
      <c r="BE107" s="5">
        <f>Paid!BE37+Legacy!BE39</f>
        <v/>
      </c>
      <c r="BF107" s="5">
        <f>Paid!BF37+Legacy!BF39</f>
        <v/>
      </c>
      <c r="BG107" s="5">
        <f>Paid!BG37+Legacy!BG39</f>
        <v/>
      </c>
      <c r="BH107" s="5">
        <f>Paid!BH37+Legacy!BH39</f>
        <v/>
      </c>
      <c r="BI107" s="5">
        <f>Paid!BI37+Legacy!BI39</f>
        <v/>
      </c>
      <c r="BJ107" s="5">
        <f>Paid!BJ37+Legacy!BJ39</f>
        <v/>
      </c>
      <c r="BK107" s="5">
        <f>Paid!BK37+Legacy!BK39</f>
        <v/>
      </c>
      <c r="BL107" s="5">
        <f>Paid!BL37+Legacy!BL39</f>
        <v/>
      </c>
      <c r="BM107" s="5">
        <f>Paid!BM37+Legacy!BM39</f>
        <v/>
      </c>
      <c r="BN107" s="5">
        <f>Paid!BN37+Legacy!BN39</f>
        <v/>
      </c>
      <c r="BO107" s="5">
        <f>Paid!BO37+Legacy!BO39</f>
        <v/>
      </c>
      <c r="BP107" s="5">
        <f>Paid!BP37+Legacy!BP39</f>
        <v/>
      </c>
      <c r="BQ107" s="5">
        <f>Paid!BQ37+Legacy!BQ39</f>
        <v/>
      </c>
      <c r="BR107" s="5">
        <f>Paid!BR37+Legacy!BR39</f>
        <v/>
      </c>
      <c r="BS107" s="5">
        <f>Paid!BS37+Legacy!BS39</f>
        <v/>
      </c>
      <c r="BT107" s="5">
        <f>Paid!BT37+Legacy!BT39</f>
        <v/>
      </c>
      <c r="BU107" s="5">
        <f>Paid!BU37+Legacy!BU39</f>
        <v/>
      </c>
      <c r="BV107" s="5">
        <f>Paid!BV37+Legacy!BV39</f>
        <v/>
      </c>
    </row>
    <row r="108">
      <c r="A108" t="inlineStr">
        <is>
          <t>inflow @0</t>
        </is>
      </c>
      <c r="B108" t="inlineStr">
        <is>
          <t>LATAM|NITRO_M</t>
        </is>
      </c>
      <c r="C108" s="5">
        <f>C107*Eras!C$3</f>
        <v/>
      </c>
      <c r="D108" s="5">
        <f>D107*Eras!D$3</f>
        <v/>
      </c>
      <c r="E108" s="5">
        <f>E107*Eras!E$3</f>
        <v/>
      </c>
      <c r="F108" s="5">
        <f>F107*Eras!F$3</f>
        <v/>
      </c>
      <c r="G108" s="5">
        <f>G107*Eras!G$3</f>
        <v/>
      </c>
      <c r="H108" s="5">
        <f>H107*Eras!H$3</f>
        <v/>
      </c>
      <c r="I108" s="5">
        <f>I107*Eras!I$3</f>
        <v/>
      </c>
      <c r="J108" s="5">
        <f>J107*Eras!J$3</f>
        <v/>
      </c>
      <c r="K108" s="5">
        <f>K107*Eras!K$3</f>
        <v/>
      </c>
      <c r="L108" s="5">
        <f>L107*Eras!L$3</f>
        <v/>
      </c>
      <c r="M108" s="5">
        <f>M107*Eras!M$3</f>
        <v/>
      </c>
      <c r="N108" s="5">
        <f>N107*Eras!N$3</f>
        <v/>
      </c>
      <c r="O108" s="5">
        <f>O107*Eras!O$3</f>
        <v/>
      </c>
      <c r="P108" s="5">
        <f>P107*Eras!P$3</f>
        <v/>
      </c>
      <c r="Q108" s="5">
        <f>Q107*Eras!Q$3</f>
        <v/>
      </c>
      <c r="R108" s="5">
        <f>R107*Eras!R$3</f>
        <v/>
      </c>
      <c r="S108" s="5">
        <f>S107*Eras!S$3</f>
        <v/>
      </c>
      <c r="T108" s="5">
        <f>T107*Eras!T$3</f>
        <v/>
      </c>
      <c r="U108" s="5">
        <f>U107*Eras!U$3</f>
        <v/>
      </c>
      <c r="V108" s="5">
        <f>V107*Eras!V$3</f>
        <v/>
      </c>
      <c r="W108" s="5">
        <f>W107*Eras!W$3</f>
        <v/>
      </c>
      <c r="X108" s="5">
        <f>X107*Eras!X$3</f>
        <v/>
      </c>
      <c r="Y108" s="5">
        <f>Y107*Eras!Y$3</f>
        <v/>
      </c>
      <c r="Z108" s="5">
        <f>Z107*Eras!Z$3</f>
        <v/>
      </c>
      <c r="AA108" s="5">
        <f>AA107*Eras!AA$3</f>
        <v/>
      </c>
      <c r="AB108" s="5">
        <f>AB107*Eras!AB$3</f>
        <v/>
      </c>
      <c r="AC108" s="5">
        <f>AC107*Eras!AC$3</f>
        <v/>
      </c>
      <c r="AD108" s="5">
        <f>AD107*Eras!AD$3</f>
        <v/>
      </c>
      <c r="AE108" s="5">
        <f>AE107*Eras!AE$3</f>
        <v/>
      </c>
      <c r="AF108" s="5">
        <f>AF107*Eras!AF$3</f>
        <v/>
      </c>
      <c r="AG108" s="5">
        <f>AG107*Eras!AG$3</f>
        <v/>
      </c>
      <c r="AH108" s="5">
        <f>AH107*Eras!AH$3</f>
        <v/>
      </c>
      <c r="AI108" s="5">
        <f>AI107*Eras!AI$3</f>
        <v/>
      </c>
      <c r="AJ108" s="5">
        <f>AJ107*Eras!AJ$3</f>
        <v/>
      </c>
      <c r="AK108" s="5">
        <f>AK107*Eras!AK$3</f>
        <v/>
      </c>
      <c r="AL108" s="5">
        <f>AL107*Eras!AL$3</f>
        <v/>
      </c>
      <c r="AM108" s="5">
        <f>AM107*Eras!AM$3</f>
        <v/>
      </c>
      <c r="AN108" s="5">
        <f>AN107*Eras!AN$3</f>
        <v/>
      </c>
      <c r="AO108" s="5">
        <f>AO107*Eras!AO$3</f>
        <v/>
      </c>
      <c r="AP108" s="5">
        <f>AP107*Eras!AP$3</f>
        <v/>
      </c>
      <c r="AQ108" s="5">
        <f>AQ107*Eras!AQ$3</f>
        <v/>
      </c>
      <c r="AR108" s="5">
        <f>AR107*Eras!AR$3</f>
        <v/>
      </c>
      <c r="AS108" s="5">
        <f>AS107*Eras!AS$3</f>
        <v/>
      </c>
      <c r="AT108" s="5">
        <f>AT107*Eras!AT$3</f>
        <v/>
      </c>
      <c r="AU108" s="5">
        <f>AU107*Eras!AU$3</f>
        <v/>
      </c>
      <c r="AV108" s="5">
        <f>AV107*Eras!AV$3</f>
        <v/>
      </c>
      <c r="AW108" s="5">
        <f>AW107*Eras!AW$3</f>
        <v/>
      </c>
      <c r="AX108" s="5">
        <f>AX107*Eras!AX$3</f>
        <v/>
      </c>
      <c r="AY108" s="5">
        <f>AY107*Eras!AY$3</f>
        <v/>
      </c>
      <c r="AZ108" s="5">
        <f>AZ107*Eras!AZ$3</f>
        <v/>
      </c>
      <c r="BA108" s="5">
        <f>BA107*Eras!BA$3</f>
        <v/>
      </c>
      <c r="BB108" s="5">
        <f>BB107*Eras!BB$3</f>
        <v/>
      </c>
      <c r="BC108" s="5">
        <f>BC107*Eras!BC$3</f>
        <v/>
      </c>
      <c r="BD108" s="5">
        <f>BD107*Eras!BD$3</f>
        <v/>
      </c>
      <c r="BE108" s="5">
        <f>BE107*Eras!BE$3</f>
        <v/>
      </c>
      <c r="BF108" s="5">
        <f>BF107*Eras!BF$3</f>
        <v/>
      </c>
      <c r="BG108" s="5">
        <f>BG107*Eras!BG$3</f>
        <v/>
      </c>
      <c r="BH108" s="5">
        <f>BH107*Eras!BH$3</f>
        <v/>
      </c>
      <c r="BI108" s="5">
        <f>BI107*Eras!BI$3</f>
        <v/>
      </c>
      <c r="BJ108" s="5">
        <f>BJ107*Eras!BJ$3</f>
        <v/>
      </c>
      <c r="BK108" s="5">
        <f>BK107*Eras!BK$3</f>
        <v/>
      </c>
      <c r="BL108" s="5">
        <f>BL107*Eras!BL$3</f>
        <v/>
      </c>
      <c r="BM108" s="5">
        <f>BM107*Eras!BM$3</f>
        <v/>
      </c>
      <c r="BN108" s="5">
        <f>BN107*Eras!BN$3</f>
        <v/>
      </c>
      <c r="BO108" s="5">
        <f>BO107*Eras!BO$3</f>
        <v/>
      </c>
      <c r="BP108" s="5">
        <f>BP107*Eras!BP$3</f>
        <v/>
      </c>
      <c r="BQ108" s="5">
        <f>BQ107*Eras!BQ$3</f>
        <v/>
      </c>
      <c r="BR108" s="5">
        <f>BR107*Eras!BR$3</f>
        <v/>
      </c>
      <c r="BS108" s="5">
        <f>BS107*Eras!BS$3</f>
        <v/>
      </c>
      <c r="BT108" s="5">
        <f>BT107*Eras!BT$3</f>
        <v/>
      </c>
      <c r="BU108" s="5">
        <f>BU107*Eras!BU$3</f>
        <v/>
      </c>
      <c r="BV108" s="5">
        <f>BV107*Eras!BV$3</f>
        <v/>
      </c>
    </row>
    <row r="109">
      <c r="A109" t="inlineStr">
        <is>
          <t>inflow @1</t>
        </is>
      </c>
      <c r="B109" t="inlineStr">
        <is>
          <t>LATAM|NITRO_M</t>
        </is>
      </c>
      <c r="C109" s="5">
        <f>C107*Eras!C$4</f>
        <v/>
      </c>
      <c r="D109" s="5">
        <f>D107*Eras!D$4</f>
        <v/>
      </c>
      <c r="E109" s="5">
        <f>E107*Eras!E$4</f>
        <v/>
      </c>
      <c r="F109" s="5">
        <f>F107*Eras!F$4</f>
        <v/>
      </c>
      <c r="G109" s="5">
        <f>G107*Eras!G$4</f>
        <v/>
      </c>
      <c r="H109" s="5">
        <f>H107*Eras!H$4</f>
        <v/>
      </c>
      <c r="I109" s="5">
        <f>I107*Eras!I$4</f>
        <v/>
      </c>
      <c r="J109" s="5">
        <f>J107*Eras!J$4</f>
        <v/>
      </c>
      <c r="K109" s="5">
        <f>K107*Eras!K$4</f>
        <v/>
      </c>
      <c r="L109" s="5">
        <f>L107*Eras!L$4</f>
        <v/>
      </c>
      <c r="M109" s="5">
        <f>M107*Eras!M$4</f>
        <v/>
      </c>
      <c r="N109" s="5">
        <f>N107*Eras!N$4</f>
        <v/>
      </c>
      <c r="O109" s="5">
        <f>O107*Eras!O$4</f>
        <v/>
      </c>
      <c r="P109" s="5">
        <f>P107*Eras!P$4</f>
        <v/>
      </c>
      <c r="Q109" s="5">
        <f>Q107*Eras!Q$4</f>
        <v/>
      </c>
      <c r="R109" s="5">
        <f>R107*Eras!R$4</f>
        <v/>
      </c>
      <c r="S109" s="5">
        <f>S107*Eras!S$4</f>
        <v/>
      </c>
      <c r="T109" s="5">
        <f>T107*Eras!T$4</f>
        <v/>
      </c>
      <c r="U109" s="5">
        <f>U107*Eras!U$4</f>
        <v/>
      </c>
      <c r="V109" s="5">
        <f>V107*Eras!V$4</f>
        <v/>
      </c>
      <c r="W109" s="5">
        <f>W107*Eras!W$4</f>
        <v/>
      </c>
      <c r="X109" s="5">
        <f>X107*Eras!X$4</f>
        <v/>
      </c>
      <c r="Y109" s="5">
        <f>Y107*Eras!Y$4</f>
        <v/>
      </c>
      <c r="Z109" s="5">
        <f>Z107*Eras!Z$4</f>
        <v/>
      </c>
      <c r="AA109" s="5">
        <f>AA107*Eras!AA$4</f>
        <v/>
      </c>
      <c r="AB109" s="5">
        <f>AB107*Eras!AB$4</f>
        <v/>
      </c>
      <c r="AC109" s="5">
        <f>AC107*Eras!AC$4</f>
        <v/>
      </c>
      <c r="AD109" s="5">
        <f>AD107*Eras!AD$4</f>
        <v/>
      </c>
      <c r="AE109" s="5">
        <f>AE107*Eras!AE$4</f>
        <v/>
      </c>
      <c r="AF109" s="5">
        <f>AF107*Eras!AF$4</f>
        <v/>
      </c>
      <c r="AG109" s="5">
        <f>AG107*Eras!AG$4</f>
        <v/>
      </c>
      <c r="AH109" s="5">
        <f>AH107*Eras!AH$4</f>
        <v/>
      </c>
      <c r="AI109" s="5">
        <f>AI107*Eras!AI$4</f>
        <v/>
      </c>
      <c r="AJ109" s="5">
        <f>AJ107*Eras!AJ$4</f>
        <v/>
      </c>
      <c r="AK109" s="5">
        <f>AK107*Eras!AK$4</f>
        <v/>
      </c>
      <c r="AL109" s="5">
        <f>AL107*Eras!AL$4</f>
        <v/>
      </c>
      <c r="AM109" s="5">
        <f>AM107*Eras!AM$4</f>
        <v/>
      </c>
      <c r="AN109" s="5">
        <f>AN107*Eras!AN$4</f>
        <v/>
      </c>
      <c r="AO109" s="5">
        <f>AO107*Eras!AO$4</f>
        <v/>
      </c>
      <c r="AP109" s="5">
        <f>AP107*Eras!AP$4</f>
        <v/>
      </c>
      <c r="AQ109" s="5">
        <f>AQ107*Eras!AQ$4</f>
        <v/>
      </c>
      <c r="AR109" s="5">
        <f>AR107*Eras!AR$4</f>
        <v/>
      </c>
      <c r="AS109" s="5">
        <f>AS107*Eras!AS$4</f>
        <v/>
      </c>
      <c r="AT109" s="5">
        <f>AT107*Eras!AT$4</f>
        <v/>
      </c>
      <c r="AU109" s="5">
        <f>AU107*Eras!AU$4</f>
        <v/>
      </c>
      <c r="AV109" s="5">
        <f>AV107*Eras!AV$4</f>
        <v/>
      </c>
      <c r="AW109" s="5">
        <f>AW107*Eras!AW$4</f>
        <v/>
      </c>
      <c r="AX109" s="5">
        <f>AX107*Eras!AX$4</f>
        <v/>
      </c>
      <c r="AY109" s="5">
        <f>AY107*Eras!AY$4</f>
        <v/>
      </c>
      <c r="AZ109" s="5">
        <f>AZ107*Eras!AZ$4</f>
        <v/>
      </c>
      <c r="BA109" s="5">
        <f>BA107*Eras!BA$4</f>
        <v/>
      </c>
      <c r="BB109" s="5">
        <f>BB107*Eras!BB$4</f>
        <v/>
      </c>
      <c r="BC109" s="5">
        <f>BC107*Eras!BC$4</f>
        <v/>
      </c>
      <c r="BD109" s="5">
        <f>BD107*Eras!BD$4</f>
        <v/>
      </c>
      <c r="BE109" s="5">
        <f>BE107*Eras!BE$4</f>
        <v/>
      </c>
      <c r="BF109" s="5">
        <f>BF107*Eras!BF$4</f>
        <v/>
      </c>
      <c r="BG109" s="5">
        <f>BG107*Eras!BG$4</f>
        <v/>
      </c>
      <c r="BH109" s="5">
        <f>BH107*Eras!BH$4</f>
        <v/>
      </c>
      <c r="BI109" s="5">
        <f>BI107*Eras!BI$4</f>
        <v/>
      </c>
      <c r="BJ109" s="5">
        <f>BJ107*Eras!BJ$4</f>
        <v/>
      </c>
      <c r="BK109" s="5">
        <f>BK107*Eras!BK$4</f>
        <v/>
      </c>
      <c r="BL109" s="5">
        <f>BL107*Eras!BL$4</f>
        <v/>
      </c>
      <c r="BM109" s="5">
        <f>BM107*Eras!BM$4</f>
        <v/>
      </c>
      <c r="BN109" s="5">
        <f>BN107*Eras!BN$4</f>
        <v/>
      </c>
      <c r="BO109" s="5">
        <f>BO107*Eras!BO$4</f>
        <v/>
      </c>
      <c r="BP109" s="5">
        <f>BP107*Eras!BP$4</f>
        <v/>
      </c>
      <c r="BQ109" s="5">
        <f>BQ107*Eras!BQ$4</f>
        <v/>
      </c>
      <c r="BR109" s="5">
        <f>BR107*Eras!BR$4</f>
        <v/>
      </c>
      <c r="BS109" s="5">
        <f>BS107*Eras!BS$4</f>
        <v/>
      </c>
      <c r="BT109" s="5">
        <f>BT107*Eras!BT$4</f>
        <v/>
      </c>
      <c r="BU109" s="5">
        <f>BU107*Eras!BU$4</f>
        <v/>
      </c>
      <c r="BV109" s="5">
        <f>BV107*Eras!BV$4</f>
        <v/>
      </c>
    </row>
    <row r="110">
      <c r="A110" t="inlineStr">
        <is>
          <t>inflow @2</t>
        </is>
      </c>
      <c r="B110" t="inlineStr">
        <is>
          <t>LATAM|NITRO_M</t>
        </is>
      </c>
      <c r="C110" s="5">
        <f>C107*Eras!C$5</f>
        <v/>
      </c>
      <c r="D110" s="5">
        <f>D107*Eras!D$5</f>
        <v/>
      </c>
      <c r="E110" s="5">
        <f>E107*Eras!E$5</f>
        <v/>
      </c>
      <c r="F110" s="5">
        <f>F107*Eras!F$5</f>
        <v/>
      </c>
      <c r="G110" s="5">
        <f>G107*Eras!G$5</f>
        <v/>
      </c>
      <c r="H110" s="5">
        <f>H107*Eras!H$5</f>
        <v/>
      </c>
      <c r="I110" s="5">
        <f>I107*Eras!I$5</f>
        <v/>
      </c>
      <c r="J110" s="5">
        <f>J107*Eras!J$5</f>
        <v/>
      </c>
      <c r="K110" s="5">
        <f>K107*Eras!K$5</f>
        <v/>
      </c>
      <c r="L110" s="5">
        <f>L107*Eras!L$5</f>
        <v/>
      </c>
      <c r="M110" s="5">
        <f>M107*Eras!M$5</f>
        <v/>
      </c>
      <c r="N110" s="5">
        <f>N107*Eras!N$5</f>
        <v/>
      </c>
      <c r="O110" s="5">
        <f>O107*Eras!O$5</f>
        <v/>
      </c>
      <c r="P110" s="5">
        <f>P107*Eras!P$5</f>
        <v/>
      </c>
      <c r="Q110" s="5">
        <f>Q107*Eras!Q$5</f>
        <v/>
      </c>
      <c r="R110" s="5">
        <f>R107*Eras!R$5</f>
        <v/>
      </c>
      <c r="S110" s="5">
        <f>S107*Eras!S$5</f>
        <v/>
      </c>
      <c r="T110" s="5">
        <f>T107*Eras!T$5</f>
        <v/>
      </c>
      <c r="U110" s="5">
        <f>U107*Eras!U$5</f>
        <v/>
      </c>
      <c r="V110" s="5">
        <f>V107*Eras!V$5</f>
        <v/>
      </c>
      <c r="W110" s="5">
        <f>W107*Eras!W$5</f>
        <v/>
      </c>
      <c r="X110" s="5">
        <f>X107*Eras!X$5</f>
        <v/>
      </c>
      <c r="Y110" s="5">
        <f>Y107*Eras!Y$5</f>
        <v/>
      </c>
      <c r="Z110" s="5">
        <f>Z107*Eras!Z$5</f>
        <v/>
      </c>
      <c r="AA110" s="5">
        <f>AA107*Eras!AA$5</f>
        <v/>
      </c>
      <c r="AB110" s="5">
        <f>AB107*Eras!AB$5</f>
        <v/>
      </c>
      <c r="AC110" s="5">
        <f>AC107*Eras!AC$5</f>
        <v/>
      </c>
      <c r="AD110" s="5">
        <f>AD107*Eras!AD$5</f>
        <v/>
      </c>
      <c r="AE110" s="5">
        <f>AE107*Eras!AE$5</f>
        <v/>
      </c>
      <c r="AF110" s="5">
        <f>AF107*Eras!AF$5</f>
        <v/>
      </c>
      <c r="AG110" s="5">
        <f>AG107*Eras!AG$5</f>
        <v/>
      </c>
      <c r="AH110" s="5">
        <f>AH107*Eras!AH$5</f>
        <v/>
      </c>
      <c r="AI110" s="5">
        <f>AI107*Eras!AI$5</f>
        <v/>
      </c>
      <c r="AJ110" s="5">
        <f>AJ107*Eras!AJ$5</f>
        <v/>
      </c>
      <c r="AK110" s="5">
        <f>AK107*Eras!AK$5</f>
        <v/>
      </c>
      <c r="AL110" s="5">
        <f>AL107*Eras!AL$5</f>
        <v/>
      </c>
      <c r="AM110" s="5">
        <f>AM107*Eras!AM$5</f>
        <v/>
      </c>
      <c r="AN110" s="5">
        <f>AN107*Eras!AN$5</f>
        <v/>
      </c>
      <c r="AO110" s="5">
        <f>AO107*Eras!AO$5</f>
        <v/>
      </c>
      <c r="AP110" s="5">
        <f>AP107*Eras!AP$5</f>
        <v/>
      </c>
      <c r="AQ110" s="5">
        <f>AQ107*Eras!AQ$5</f>
        <v/>
      </c>
      <c r="AR110" s="5">
        <f>AR107*Eras!AR$5</f>
        <v/>
      </c>
      <c r="AS110" s="5">
        <f>AS107*Eras!AS$5</f>
        <v/>
      </c>
      <c r="AT110" s="5">
        <f>AT107*Eras!AT$5</f>
        <v/>
      </c>
      <c r="AU110" s="5">
        <f>AU107*Eras!AU$5</f>
        <v/>
      </c>
      <c r="AV110" s="5">
        <f>AV107*Eras!AV$5</f>
        <v/>
      </c>
      <c r="AW110" s="5">
        <f>AW107*Eras!AW$5</f>
        <v/>
      </c>
      <c r="AX110" s="5">
        <f>AX107*Eras!AX$5</f>
        <v/>
      </c>
      <c r="AY110" s="5">
        <f>AY107*Eras!AY$5</f>
        <v/>
      </c>
      <c r="AZ110" s="5">
        <f>AZ107*Eras!AZ$5</f>
        <v/>
      </c>
      <c r="BA110" s="5">
        <f>BA107*Eras!BA$5</f>
        <v/>
      </c>
      <c r="BB110" s="5">
        <f>BB107*Eras!BB$5</f>
        <v/>
      </c>
      <c r="BC110" s="5">
        <f>BC107*Eras!BC$5</f>
        <v/>
      </c>
      <c r="BD110" s="5">
        <f>BD107*Eras!BD$5</f>
        <v/>
      </c>
      <c r="BE110" s="5">
        <f>BE107*Eras!BE$5</f>
        <v/>
      </c>
      <c r="BF110" s="5">
        <f>BF107*Eras!BF$5</f>
        <v/>
      </c>
      <c r="BG110" s="5">
        <f>BG107*Eras!BG$5</f>
        <v/>
      </c>
      <c r="BH110" s="5">
        <f>BH107*Eras!BH$5</f>
        <v/>
      </c>
      <c r="BI110" s="5">
        <f>BI107*Eras!BI$5</f>
        <v/>
      </c>
      <c r="BJ110" s="5">
        <f>BJ107*Eras!BJ$5</f>
        <v/>
      </c>
      <c r="BK110" s="5">
        <f>BK107*Eras!BK$5</f>
        <v/>
      </c>
      <c r="BL110" s="5">
        <f>BL107*Eras!BL$5</f>
        <v/>
      </c>
      <c r="BM110" s="5">
        <f>BM107*Eras!BM$5</f>
        <v/>
      </c>
      <c r="BN110" s="5">
        <f>BN107*Eras!BN$5</f>
        <v/>
      </c>
      <c r="BO110" s="5">
        <f>BO107*Eras!BO$5</f>
        <v/>
      </c>
      <c r="BP110" s="5">
        <f>BP107*Eras!BP$5</f>
        <v/>
      </c>
      <c r="BQ110" s="5">
        <f>BQ107*Eras!BQ$5</f>
        <v/>
      </c>
      <c r="BR110" s="5">
        <f>BR107*Eras!BR$5</f>
        <v/>
      </c>
      <c r="BS110" s="5">
        <f>BS107*Eras!BS$5</f>
        <v/>
      </c>
      <c r="BT110" s="5">
        <f>BT107*Eras!BT$5</f>
        <v/>
      </c>
      <c r="BU110" s="5">
        <f>BU107*Eras!BU$5</f>
        <v/>
      </c>
      <c r="BV110" s="5">
        <f>BV107*Eras!BV$5</f>
        <v/>
      </c>
    </row>
    <row r="111">
      <c r="A111" t="inlineStr">
        <is>
          <t>reactivations out</t>
        </is>
      </c>
      <c r="B111" t="inlineStr">
        <is>
          <t>LATAM|NITRO_M</t>
        </is>
      </c>
      <c r="C111" s="5">
        <f>React!$C$108*Curves!$BV$21+React!$C$109*Curves!$BV$44+React!$C$110*Curves!$BV$67</f>
        <v/>
      </c>
      <c r="D111" s="5">
        <f>SUMPRODUCT(React!$C$108:$D$108,Curves!$BU$21:$BV$21)+SUMPRODUCT(React!$C$109:$D$109,Curves!$BU$44:$BV$44)+SUMPRODUCT(React!$C$110:$D$110,Curves!$BU$67:$BV$67)</f>
        <v/>
      </c>
      <c r="E111" s="5">
        <f>SUMPRODUCT(React!$C$108:$E$108,Curves!$BT$21:$BV$21)+SUMPRODUCT(React!$C$109:$E$109,Curves!$BT$44:$BV$44)+SUMPRODUCT(React!$C$110:$E$110,Curves!$BT$67:$BV$67)</f>
        <v/>
      </c>
      <c r="F111" s="5">
        <f>SUMPRODUCT(React!$C$108:$F$108,Curves!$BS$21:$BV$21)+SUMPRODUCT(React!$C$109:$F$109,Curves!$BS$44:$BV$44)+SUMPRODUCT(React!$C$110:$F$110,Curves!$BS$67:$BV$67)</f>
        <v/>
      </c>
      <c r="G111" s="5">
        <f>SUMPRODUCT(React!$C$108:$G$108,Curves!$BR$21:$BV$21)+SUMPRODUCT(React!$C$109:$G$109,Curves!$BR$44:$BV$44)+SUMPRODUCT(React!$C$110:$G$110,Curves!$BR$67:$BV$67)</f>
        <v/>
      </c>
      <c r="H111" s="5">
        <f>SUMPRODUCT(React!$C$108:$H$108,Curves!$BQ$21:$BV$21)+SUMPRODUCT(React!$C$109:$H$109,Curves!$BQ$44:$BV$44)+SUMPRODUCT(React!$C$110:$H$110,Curves!$BQ$67:$BV$67)</f>
        <v/>
      </c>
      <c r="I111" s="5">
        <f>SUMPRODUCT(React!$C$108:$I$108,Curves!$BP$21:$BV$21)+SUMPRODUCT(React!$C$109:$I$109,Curves!$BP$44:$BV$44)+SUMPRODUCT(React!$C$110:$I$110,Curves!$BP$67:$BV$67)</f>
        <v/>
      </c>
      <c r="J111" s="5">
        <f>SUMPRODUCT(React!$C$108:$J$108,Curves!$BO$21:$BV$21)+SUMPRODUCT(React!$C$109:$J$109,Curves!$BO$44:$BV$44)+SUMPRODUCT(React!$C$110:$J$110,Curves!$BO$67:$BV$67)</f>
        <v/>
      </c>
      <c r="K111" s="5">
        <f>SUMPRODUCT(React!$C$108:$K$108,Curves!$BN$21:$BV$21)+SUMPRODUCT(React!$C$109:$K$109,Curves!$BN$44:$BV$44)+SUMPRODUCT(React!$C$110:$K$110,Curves!$BN$67:$BV$67)</f>
        <v/>
      </c>
      <c r="L111" s="5">
        <f>SUMPRODUCT(React!$C$108:$L$108,Curves!$BM$21:$BV$21)+SUMPRODUCT(React!$C$109:$L$109,Curves!$BM$44:$BV$44)+SUMPRODUCT(React!$C$110:$L$110,Curves!$BM$67:$BV$67)</f>
        <v/>
      </c>
      <c r="M111" s="5">
        <f>SUMPRODUCT(React!$C$108:$M$108,Curves!$BL$21:$BV$21)+SUMPRODUCT(React!$C$109:$M$109,Curves!$BL$44:$BV$44)+SUMPRODUCT(React!$C$110:$M$110,Curves!$BL$67:$BV$67)</f>
        <v/>
      </c>
      <c r="N111" s="5">
        <f>SUMPRODUCT(React!$C$108:$N$108,Curves!$BK$21:$BV$21)+SUMPRODUCT(React!$C$109:$N$109,Curves!$BK$44:$BV$44)+SUMPRODUCT(React!$C$110:$N$110,Curves!$BK$67:$BV$67)</f>
        <v/>
      </c>
      <c r="O111" s="5">
        <f>SUMPRODUCT(React!$C$108:$O$108,Curves!$BJ$21:$BV$21)+SUMPRODUCT(React!$C$109:$O$109,Curves!$BJ$44:$BV$44)+SUMPRODUCT(React!$C$110:$O$110,Curves!$BJ$67:$BV$67)</f>
        <v/>
      </c>
      <c r="P111" s="5">
        <f>SUMPRODUCT(React!$C$108:$P$108,Curves!$BI$21:$BV$21)+SUMPRODUCT(React!$C$109:$P$109,Curves!$BI$44:$BV$44)+SUMPRODUCT(React!$C$110:$P$110,Curves!$BI$67:$BV$67)</f>
        <v/>
      </c>
      <c r="Q111" s="5">
        <f>SUMPRODUCT(React!$C$108:$Q$108,Curves!$BH$21:$BV$21)+SUMPRODUCT(React!$C$109:$Q$109,Curves!$BH$44:$BV$44)+SUMPRODUCT(React!$C$110:$Q$110,Curves!$BH$67:$BV$67)</f>
        <v/>
      </c>
      <c r="R111" s="5">
        <f>SUMPRODUCT(React!$C$108:$R$108,Curves!$BG$21:$BV$21)+SUMPRODUCT(React!$C$109:$R$109,Curves!$BG$44:$BV$44)+SUMPRODUCT(React!$C$110:$R$110,Curves!$BG$67:$BV$67)</f>
        <v/>
      </c>
      <c r="S111" s="5">
        <f>SUMPRODUCT(React!$C$108:$S$108,Curves!$BF$21:$BV$21)+SUMPRODUCT(React!$C$109:$S$109,Curves!$BF$44:$BV$44)+SUMPRODUCT(React!$C$110:$S$110,Curves!$BF$67:$BV$67)</f>
        <v/>
      </c>
      <c r="T111" s="5">
        <f>SUMPRODUCT(React!$C$108:$T$108,Curves!$BE$21:$BV$21)+SUMPRODUCT(React!$C$109:$T$109,Curves!$BE$44:$BV$44)+SUMPRODUCT(React!$C$110:$T$110,Curves!$BE$67:$BV$67)</f>
        <v/>
      </c>
      <c r="U111" s="5">
        <f>SUMPRODUCT(React!$C$108:$U$108,Curves!$BD$21:$BV$21)+SUMPRODUCT(React!$C$109:$U$109,Curves!$BD$44:$BV$44)+SUMPRODUCT(React!$C$110:$U$110,Curves!$BD$67:$BV$67)</f>
        <v/>
      </c>
      <c r="V111" s="5">
        <f>SUMPRODUCT(React!$C$108:$V$108,Curves!$BC$21:$BV$21)+SUMPRODUCT(React!$C$109:$V$109,Curves!$BC$44:$BV$44)+SUMPRODUCT(React!$C$110:$V$110,Curves!$BC$67:$BV$67)</f>
        <v/>
      </c>
      <c r="W111" s="5">
        <f>SUMPRODUCT(React!$C$108:$W$108,Curves!$BB$21:$BV$21)+SUMPRODUCT(React!$C$109:$W$109,Curves!$BB$44:$BV$44)+SUMPRODUCT(React!$C$110:$W$110,Curves!$BB$67:$BV$67)</f>
        <v/>
      </c>
      <c r="X111" s="5">
        <f>SUMPRODUCT(React!$C$108:$X$108,Curves!$BA$21:$BV$21)+SUMPRODUCT(React!$C$109:$X$109,Curves!$BA$44:$BV$44)+SUMPRODUCT(React!$C$110:$X$110,Curves!$BA$67:$BV$67)</f>
        <v/>
      </c>
      <c r="Y111" s="5">
        <f>SUMPRODUCT(React!$C$108:$Y$108,Curves!$AZ$21:$BV$21)+SUMPRODUCT(React!$C$109:$Y$109,Curves!$AZ$44:$BV$44)+SUMPRODUCT(React!$C$110:$Y$110,Curves!$AZ$67:$BV$67)</f>
        <v/>
      </c>
      <c r="Z111" s="5">
        <f>SUMPRODUCT(React!$C$108:$Z$108,Curves!$AY$21:$BV$21)+SUMPRODUCT(React!$C$109:$Z$109,Curves!$AY$44:$BV$44)+SUMPRODUCT(React!$C$110:$Z$110,Curves!$AY$67:$BV$67)</f>
        <v/>
      </c>
      <c r="AA111" s="5">
        <f>SUMPRODUCT(React!$C$108:$AA$108,Curves!$AX$21:$BV$21)+SUMPRODUCT(React!$C$109:$AA$109,Curves!$AX$44:$BV$44)+SUMPRODUCT(React!$C$110:$AA$110,Curves!$AX$67:$BV$67)</f>
        <v/>
      </c>
      <c r="AB111" s="5">
        <f>SUMPRODUCT(React!$C$108:$AB$108,Curves!$AW$21:$BV$21)+SUMPRODUCT(React!$C$109:$AB$109,Curves!$AW$44:$BV$44)+SUMPRODUCT(React!$C$110:$AB$110,Curves!$AW$67:$BV$67)</f>
        <v/>
      </c>
      <c r="AC111" s="5">
        <f>SUMPRODUCT(React!$C$108:$AC$108,Curves!$AV$21:$BV$21)+SUMPRODUCT(React!$C$109:$AC$109,Curves!$AV$44:$BV$44)+SUMPRODUCT(React!$C$110:$AC$110,Curves!$AV$67:$BV$67)</f>
        <v/>
      </c>
      <c r="AD111" s="5">
        <f>SUMPRODUCT(React!$C$108:$AD$108,Curves!$AU$21:$BV$21)+SUMPRODUCT(React!$C$109:$AD$109,Curves!$AU$44:$BV$44)+SUMPRODUCT(React!$C$110:$AD$110,Curves!$AU$67:$BV$67)</f>
        <v/>
      </c>
      <c r="AE111" s="5">
        <f>SUMPRODUCT(React!$C$108:$AE$108,Curves!$AT$21:$BV$21)+SUMPRODUCT(React!$C$109:$AE$109,Curves!$AT$44:$BV$44)+SUMPRODUCT(React!$C$110:$AE$110,Curves!$AT$67:$BV$67)</f>
        <v/>
      </c>
      <c r="AF111" s="5">
        <f>SUMPRODUCT(React!$C$108:$AF$108,Curves!$AS$21:$BV$21)+SUMPRODUCT(React!$C$109:$AF$109,Curves!$AS$44:$BV$44)+SUMPRODUCT(React!$C$110:$AF$110,Curves!$AS$67:$BV$67)</f>
        <v/>
      </c>
      <c r="AG111" s="5">
        <f>SUMPRODUCT(React!$C$108:$AG$108,Curves!$AR$21:$BV$21)+SUMPRODUCT(React!$C$109:$AG$109,Curves!$AR$44:$BV$44)+SUMPRODUCT(React!$C$110:$AG$110,Curves!$AR$67:$BV$67)</f>
        <v/>
      </c>
      <c r="AH111" s="5">
        <f>SUMPRODUCT(React!$C$108:$AH$108,Curves!$AQ$21:$BV$21)+SUMPRODUCT(React!$C$109:$AH$109,Curves!$AQ$44:$BV$44)+SUMPRODUCT(React!$C$110:$AH$110,Curves!$AQ$67:$BV$67)</f>
        <v/>
      </c>
      <c r="AI111" s="5">
        <f>SUMPRODUCT(React!$C$108:$AI$108,Curves!$AP$21:$BV$21)+SUMPRODUCT(React!$C$109:$AI$109,Curves!$AP$44:$BV$44)+SUMPRODUCT(React!$C$110:$AI$110,Curves!$AP$67:$BV$67)</f>
        <v/>
      </c>
      <c r="AJ111" s="5">
        <f>SUMPRODUCT(React!$C$108:$AJ$108,Curves!$AO$21:$BV$21)+SUMPRODUCT(React!$C$109:$AJ$109,Curves!$AO$44:$BV$44)+SUMPRODUCT(React!$C$110:$AJ$110,Curves!$AO$67:$BV$67)</f>
        <v/>
      </c>
      <c r="AK111" s="5">
        <f>SUMPRODUCT(React!$C$108:$AK$108,Curves!$AN$21:$BV$21)+SUMPRODUCT(React!$C$109:$AK$109,Curves!$AN$44:$BV$44)+SUMPRODUCT(React!$C$110:$AK$110,Curves!$AN$67:$BV$67)</f>
        <v/>
      </c>
      <c r="AL111" s="5">
        <f>SUMPRODUCT(React!$C$108:$AL$108,Curves!$AM$21:$BV$21)+SUMPRODUCT(React!$C$109:$AL$109,Curves!$AM$44:$BV$44)+SUMPRODUCT(React!$C$110:$AL$110,Curves!$AM$67:$BV$67)</f>
        <v/>
      </c>
      <c r="AM111" s="5">
        <f>SUMPRODUCT(React!$C$108:$AM$108,Curves!$AL$21:$BV$21)+SUMPRODUCT(React!$C$109:$AM$109,Curves!$AL$44:$BV$44)+SUMPRODUCT(React!$C$110:$AM$110,Curves!$AL$67:$BV$67)</f>
        <v/>
      </c>
      <c r="AN111" s="5">
        <f>SUMPRODUCT(React!$C$108:$AN$108,Curves!$AK$21:$BV$21)+SUMPRODUCT(React!$C$109:$AN$109,Curves!$AK$44:$BV$44)+SUMPRODUCT(React!$C$110:$AN$110,Curves!$AK$67:$BV$67)</f>
        <v/>
      </c>
      <c r="AO111" s="5">
        <f>SUMPRODUCT(React!$C$108:$AO$108,Curves!$AJ$21:$BV$21)+SUMPRODUCT(React!$C$109:$AO$109,Curves!$AJ$44:$BV$44)+SUMPRODUCT(React!$C$110:$AO$110,Curves!$AJ$67:$BV$67)</f>
        <v/>
      </c>
      <c r="AP111" s="5">
        <f>SUMPRODUCT(React!$C$108:$AP$108,Curves!$AI$21:$BV$21)+SUMPRODUCT(React!$C$109:$AP$109,Curves!$AI$44:$BV$44)+SUMPRODUCT(React!$C$110:$AP$110,Curves!$AI$67:$BV$67)</f>
        <v/>
      </c>
      <c r="AQ111" s="5">
        <f>SUMPRODUCT(React!$C$108:$AQ$108,Curves!$AH$21:$BV$21)+SUMPRODUCT(React!$C$109:$AQ$109,Curves!$AH$44:$BV$44)+SUMPRODUCT(React!$C$110:$AQ$110,Curves!$AH$67:$BV$67)</f>
        <v/>
      </c>
      <c r="AR111" s="5">
        <f>SUMPRODUCT(React!$C$108:$AR$108,Curves!$AG$21:$BV$21)+SUMPRODUCT(React!$C$109:$AR$109,Curves!$AG$44:$BV$44)+SUMPRODUCT(React!$C$110:$AR$110,Curves!$AG$67:$BV$67)</f>
        <v/>
      </c>
      <c r="AS111" s="5">
        <f>SUMPRODUCT(React!$C$108:$AS$108,Curves!$AF$21:$BV$21)+SUMPRODUCT(React!$C$109:$AS$109,Curves!$AF$44:$BV$44)+SUMPRODUCT(React!$C$110:$AS$110,Curves!$AF$67:$BV$67)</f>
        <v/>
      </c>
      <c r="AT111" s="5">
        <f>SUMPRODUCT(React!$C$108:$AT$108,Curves!$AE$21:$BV$21)+SUMPRODUCT(React!$C$109:$AT$109,Curves!$AE$44:$BV$44)+SUMPRODUCT(React!$C$110:$AT$110,Curves!$AE$67:$BV$67)</f>
        <v/>
      </c>
      <c r="AU111" s="5">
        <f>SUMPRODUCT(React!$C$108:$AU$108,Curves!$AD$21:$BV$21)+SUMPRODUCT(React!$C$109:$AU$109,Curves!$AD$44:$BV$44)+SUMPRODUCT(React!$C$110:$AU$110,Curves!$AD$67:$BV$67)</f>
        <v/>
      </c>
      <c r="AV111" s="5">
        <f>SUMPRODUCT(React!$C$108:$AV$108,Curves!$AC$21:$BV$21)+SUMPRODUCT(React!$C$109:$AV$109,Curves!$AC$44:$BV$44)+SUMPRODUCT(React!$C$110:$AV$110,Curves!$AC$67:$BV$67)</f>
        <v/>
      </c>
      <c r="AW111" s="5">
        <f>SUMPRODUCT(React!$C$108:$AW$108,Curves!$AB$21:$BV$21)+SUMPRODUCT(React!$C$109:$AW$109,Curves!$AB$44:$BV$44)+SUMPRODUCT(React!$C$110:$AW$110,Curves!$AB$67:$BV$67)</f>
        <v/>
      </c>
      <c r="AX111" s="5">
        <f>SUMPRODUCT(React!$C$108:$AX$108,Curves!$AA$21:$BV$21)+SUMPRODUCT(React!$C$109:$AX$109,Curves!$AA$44:$BV$44)+SUMPRODUCT(React!$C$110:$AX$110,Curves!$AA$67:$BV$67)</f>
        <v/>
      </c>
      <c r="AY111" s="5">
        <f>SUMPRODUCT(React!$C$108:$AY$108,Curves!$Z$21:$BV$21)+SUMPRODUCT(React!$C$109:$AY$109,Curves!$Z$44:$BV$44)+SUMPRODUCT(React!$C$110:$AY$110,Curves!$Z$67:$BV$67)</f>
        <v/>
      </c>
      <c r="AZ111" s="5">
        <f>SUMPRODUCT(React!$C$108:$AZ$108,Curves!$Y$21:$BV$21)+SUMPRODUCT(React!$C$109:$AZ$109,Curves!$Y$44:$BV$44)+SUMPRODUCT(React!$C$110:$AZ$110,Curves!$Y$67:$BV$67)</f>
        <v/>
      </c>
      <c r="BA111" s="5">
        <f>SUMPRODUCT(React!$C$108:$BA$108,Curves!$X$21:$BV$21)+SUMPRODUCT(React!$C$109:$BA$109,Curves!$X$44:$BV$44)+SUMPRODUCT(React!$C$110:$BA$110,Curves!$X$67:$BV$67)</f>
        <v/>
      </c>
      <c r="BB111" s="5">
        <f>SUMPRODUCT(React!$C$108:$BB$108,Curves!$W$21:$BV$21)+SUMPRODUCT(React!$C$109:$BB$109,Curves!$W$44:$BV$44)+SUMPRODUCT(React!$C$110:$BB$110,Curves!$W$67:$BV$67)</f>
        <v/>
      </c>
      <c r="BC111" s="5">
        <f>SUMPRODUCT(React!$C$108:$BC$108,Curves!$V$21:$BV$21)+SUMPRODUCT(React!$C$109:$BC$109,Curves!$V$44:$BV$44)+SUMPRODUCT(React!$C$110:$BC$110,Curves!$V$67:$BV$67)</f>
        <v/>
      </c>
      <c r="BD111" s="5">
        <f>SUMPRODUCT(React!$C$108:$BD$108,Curves!$U$21:$BV$21)+SUMPRODUCT(React!$C$109:$BD$109,Curves!$U$44:$BV$44)+SUMPRODUCT(React!$C$110:$BD$110,Curves!$U$67:$BV$67)</f>
        <v/>
      </c>
      <c r="BE111" s="5">
        <f>SUMPRODUCT(React!$C$108:$BE$108,Curves!$T$21:$BV$21)+SUMPRODUCT(React!$C$109:$BE$109,Curves!$T$44:$BV$44)+SUMPRODUCT(React!$C$110:$BE$110,Curves!$T$67:$BV$67)</f>
        <v/>
      </c>
      <c r="BF111" s="5">
        <f>SUMPRODUCT(React!$C$108:$BF$108,Curves!$S$21:$BV$21)+SUMPRODUCT(React!$C$109:$BF$109,Curves!$S$44:$BV$44)+SUMPRODUCT(React!$C$110:$BF$110,Curves!$S$67:$BV$67)</f>
        <v/>
      </c>
      <c r="BG111" s="5">
        <f>SUMPRODUCT(React!$C$108:$BG$108,Curves!$R$21:$BV$21)+SUMPRODUCT(React!$C$109:$BG$109,Curves!$R$44:$BV$44)+SUMPRODUCT(React!$C$110:$BG$110,Curves!$R$67:$BV$67)</f>
        <v/>
      </c>
      <c r="BH111" s="5">
        <f>SUMPRODUCT(React!$C$108:$BH$108,Curves!$Q$21:$BV$21)+SUMPRODUCT(React!$C$109:$BH$109,Curves!$Q$44:$BV$44)+SUMPRODUCT(React!$C$110:$BH$110,Curves!$Q$67:$BV$67)</f>
        <v/>
      </c>
      <c r="BI111" s="5">
        <f>SUMPRODUCT(React!$C$108:$BI$108,Curves!$P$21:$BV$21)+SUMPRODUCT(React!$C$109:$BI$109,Curves!$P$44:$BV$44)+SUMPRODUCT(React!$C$110:$BI$110,Curves!$P$67:$BV$67)</f>
        <v/>
      </c>
      <c r="BJ111" s="5">
        <f>SUMPRODUCT(React!$C$108:$BJ$108,Curves!$O$21:$BV$21)+SUMPRODUCT(React!$C$109:$BJ$109,Curves!$O$44:$BV$44)+SUMPRODUCT(React!$C$110:$BJ$110,Curves!$O$67:$BV$67)</f>
        <v/>
      </c>
      <c r="BK111" s="5">
        <f>SUMPRODUCT(React!$C$108:$BK$108,Curves!$N$21:$BV$21)+SUMPRODUCT(React!$C$109:$BK$109,Curves!$N$44:$BV$44)+SUMPRODUCT(React!$C$110:$BK$110,Curves!$N$67:$BV$67)</f>
        <v/>
      </c>
      <c r="BL111" s="5">
        <f>SUMPRODUCT(React!$C$108:$BL$108,Curves!$M$21:$BV$21)+SUMPRODUCT(React!$C$109:$BL$109,Curves!$M$44:$BV$44)+SUMPRODUCT(React!$C$110:$BL$110,Curves!$M$67:$BV$67)</f>
        <v/>
      </c>
      <c r="BM111" s="5">
        <f>SUMPRODUCT(React!$C$108:$BM$108,Curves!$L$21:$BV$21)+SUMPRODUCT(React!$C$109:$BM$109,Curves!$L$44:$BV$44)+SUMPRODUCT(React!$C$110:$BM$110,Curves!$L$67:$BV$67)</f>
        <v/>
      </c>
      <c r="BN111" s="5">
        <f>SUMPRODUCT(React!$C$108:$BN$108,Curves!$K$21:$BV$21)+SUMPRODUCT(React!$C$109:$BN$109,Curves!$K$44:$BV$44)+SUMPRODUCT(React!$C$110:$BN$110,Curves!$K$67:$BV$67)</f>
        <v/>
      </c>
      <c r="BO111" s="5">
        <f>SUMPRODUCT(React!$C$108:$BO$108,Curves!$J$21:$BV$21)+SUMPRODUCT(React!$C$109:$BO$109,Curves!$J$44:$BV$44)+SUMPRODUCT(React!$C$110:$BO$110,Curves!$J$67:$BV$67)</f>
        <v/>
      </c>
      <c r="BP111" s="5">
        <f>SUMPRODUCT(React!$C$108:$BP$108,Curves!$I$21:$BV$21)+SUMPRODUCT(React!$C$109:$BP$109,Curves!$I$44:$BV$44)+SUMPRODUCT(React!$C$110:$BP$110,Curves!$I$67:$BV$67)</f>
        <v/>
      </c>
      <c r="BQ111" s="5">
        <f>SUMPRODUCT(React!$C$108:$BQ$108,Curves!$H$21:$BV$21)+SUMPRODUCT(React!$C$109:$BQ$109,Curves!$H$44:$BV$44)+SUMPRODUCT(React!$C$110:$BQ$110,Curves!$H$67:$BV$67)</f>
        <v/>
      </c>
      <c r="BR111" s="5">
        <f>SUMPRODUCT(React!$C$108:$BR$108,Curves!$G$21:$BV$21)+SUMPRODUCT(React!$C$109:$BR$109,Curves!$G$44:$BV$44)+SUMPRODUCT(React!$C$110:$BR$110,Curves!$G$67:$BV$67)</f>
        <v/>
      </c>
      <c r="BS111" s="5">
        <f>SUMPRODUCT(React!$C$108:$BS$108,Curves!$F$21:$BV$21)+SUMPRODUCT(React!$C$109:$BS$109,Curves!$F$44:$BV$44)+SUMPRODUCT(React!$C$110:$BS$110,Curves!$F$67:$BV$67)</f>
        <v/>
      </c>
      <c r="BT111" s="5">
        <f>SUMPRODUCT(React!$C$108:$BT$108,Curves!$E$21:$BV$21)+SUMPRODUCT(React!$C$109:$BT$109,Curves!$E$44:$BV$44)+SUMPRODUCT(React!$C$110:$BT$110,Curves!$E$67:$BV$67)</f>
        <v/>
      </c>
      <c r="BU111" s="5">
        <f>SUMPRODUCT(React!$C$108:$BU$108,Curves!$D$21:$BV$21)+SUMPRODUCT(React!$C$109:$BU$109,Curves!$D$44:$BV$44)+SUMPRODUCT(React!$C$110:$BU$110,Curves!$D$67:$BV$67)</f>
        <v/>
      </c>
      <c r="BV111" s="5">
        <f>SUMPRODUCT(React!$C$108:$BV$108,Curves!$C$21:$BV$21)+SUMPRODUCT(React!$C$109:$BV$109,Curves!$C$44:$BV$44)+SUMPRODUCT(React!$C$110:$BV$110,Curves!$C$67:$BV$67)</f>
        <v/>
      </c>
    </row>
    <row r="112">
      <c r="A112" t="inlineStr">
        <is>
          <t>reactivated in</t>
        </is>
      </c>
      <c r="B112" t="inlineStr">
        <is>
          <t>LATAM|NITRO_M</t>
        </is>
      </c>
      <c r="C112" s="5">
        <f>C111+C124</f>
        <v/>
      </c>
      <c r="D112" s="5">
        <f>D111+D124</f>
        <v/>
      </c>
      <c r="E112" s="5">
        <f>E111+E124</f>
        <v/>
      </c>
      <c r="F112" s="5">
        <f>F111+F124</f>
        <v/>
      </c>
      <c r="G112" s="5">
        <f>G111+G124</f>
        <v/>
      </c>
      <c r="H112" s="5">
        <f>H111+H124</f>
        <v/>
      </c>
      <c r="I112" s="5">
        <f>I111+I124</f>
        <v/>
      </c>
      <c r="J112" s="5">
        <f>J111+J124</f>
        <v/>
      </c>
      <c r="K112" s="5">
        <f>K111+K124</f>
        <v/>
      </c>
      <c r="L112" s="5">
        <f>L111+L124</f>
        <v/>
      </c>
      <c r="M112" s="5">
        <f>M111+M124</f>
        <v/>
      </c>
      <c r="N112" s="5">
        <f>N111+N124</f>
        <v/>
      </c>
      <c r="O112" s="5">
        <f>O111+O124</f>
        <v/>
      </c>
      <c r="P112" s="5">
        <f>P111+P124</f>
        <v/>
      </c>
      <c r="Q112" s="5">
        <f>Q111+Q124</f>
        <v/>
      </c>
      <c r="R112" s="5">
        <f>R111+R124</f>
        <v/>
      </c>
      <c r="S112" s="5">
        <f>S111+S124</f>
        <v/>
      </c>
      <c r="T112" s="5">
        <f>T111+T124</f>
        <v/>
      </c>
      <c r="U112" s="5">
        <f>U111+U124</f>
        <v/>
      </c>
      <c r="V112" s="5">
        <f>V111+V124</f>
        <v/>
      </c>
      <c r="W112" s="5">
        <f>W111+W124</f>
        <v/>
      </c>
      <c r="X112" s="5">
        <f>X111+X124</f>
        <v/>
      </c>
      <c r="Y112" s="5">
        <f>Y111+Y124</f>
        <v/>
      </c>
      <c r="Z112" s="5">
        <f>Z111+Z124</f>
        <v/>
      </c>
      <c r="AA112" s="5">
        <f>AA111+AA124</f>
        <v/>
      </c>
      <c r="AB112" s="5">
        <f>AB111+AB124</f>
        <v/>
      </c>
      <c r="AC112" s="5">
        <f>AC111+AC124</f>
        <v/>
      </c>
      <c r="AD112" s="5">
        <f>AD111+AD124</f>
        <v/>
      </c>
      <c r="AE112" s="5">
        <f>AE111+AE124</f>
        <v/>
      </c>
      <c r="AF112" s="5">
        <f>AF111+AF124</f>
        <v/>
      </c>
      <c r="AG112" s="5">
        <f>AG111+AG124</f>
        <v/>
      </c>
      <c r="AH112" s="5">
        <f>AH111+AH124</f>
        <v/>
      </c>
      <c r="AI112" s="5">
        <f>AI111+AI124</f>
        <v/>
      </c>
      <c r="AJ112" s="5">
        <f>AJ111+AJ124</f>
        <v/>
      </c>
      <c r="AK112" s="5">
        <f>AK111+AK124</f>
        <v/>
      </c>
      <c r="AL112" s="5">
        <f>AL111+AL124</f>
        <v/>
      </c>
      <c r="AM112" s="5">
        <f>AM111+AM124</f>
        <v/>
      </c>
      <c r="AN112" s="5">
        <f>AN111+AN124</f>
        <v/>
      </c>
      <c r="AO112" s="5">
        <f>AO111+AO124</f>
        <v/>
      </c>
      <c r="AP112" s="5">
        <f>AP111+AP124</f>
        <v/>
      </c>
      <c r="AQ112" s="5">
        <f>AQ111+AQ124</f>
        <v/>
      </c>
      <c r="AR112" s="5">
        <f>AR111+AR124</f>
        <v/>
      </c>
      <c r="AS112" s="5">
        <f>AS111+AS124</f>
        <v/>
      </c>
      <c r="AT112" s="5">
        <f>AT111+AT124</f>
        <v/>
      </c>
      <c r="AU112" s="5">
        <f>AU111+AU124</f>
        <v/>
      </c>
      <c r="AV112" s="5">
        <f>AV111+AV124</f>
        <v/>
      </c>
      <c r="AW112" s="5">
        <f>AW111+AW124</f>
        <v/>
      </c>
      <c r="AX112" s="5">
        <f>AX111+AX124</f>
        <v/>
      </c>
      <c r="AY112" s="5">
        <f>AY111+AY124</f>
        <v/>
      </c>
      <c r="AZ112" s="5">
        <f>AZ111+AZ124</f>
        <v/>
      </c>
      <c r="BA112" s="5">
        <f>BA111+BA124</f>
        <v/>
      </c>
      <c r="BB112" s="5">
        <f>BB111+BB124</f>
        <v/>
      </c>
      <c r="BC112" s="5">
        <f>BC111+BC124</f>
        <v/>
      </c>
      <c r="BD112" s="5">
        <f>BD111+BD124</f>
        <v/>
      </c>
      <c r="BE112" s="5">
        <f>BE111+BE124</f>
        <v/>
      </c>
      <c r="BF112" s="5">
        <f>BF111+BF124</f>
        <v/>
      </c>
      <c r="BG112" s="5">
        <f>BG111+BG124</f>
        <v/>
      </c>
      <c r="BH112" s="5">
        <f>BH111+BH124</f>
        <v/>
      </c>
      <c r="BI112" s="5">
        <f>BI111+BI124</f>
        <v/>
      </c>
      <c r="BJ112" s="5">
        <f>BJ111+BJ124</f>
        <v/>
      </c>
      <c r="BK112" s="5">
        <f>BK111+BK124</f>
        <v/>
      </c>
      <c r="BL112" s="5">
        <f>BL111+BL124</f>
        <v/>
      </c>
      <c r="BM112" s="5">
        <f>BM111+BM124</f>
        <v/>
      </c>
      <c r="BN112" s="5">
        <f>BN111+BN124</f>
        <v/>
      </c>
      <c r="BO112" s="5">
        <f>BO111+BO124</f>
        <v/>
      </c>
      <c r="BP112" s="5">
        <f>BP111+BP124</f>
        <v/>
      </c>
      <c r="BQ112" s="5">
        <f>BQ111+BQ124</f>
        <v/>
      </c>
      <c r="BR112" s="5">
        <f>BR111+BR124</f>
        <v/>
      </c>
      <c r="BS112" s="5">
        <f>BS111+BS124</f>
        <v/>
      </c>
      <c r="BT112" s="5">
        <f>BT111+BT124</f>
        <v/>
      </c>
      <c r="BU112" s="5">
        <f>BU111+BU124</f>
        <v/>
      </c>
      <c r="BV112" s="5">
        <f>BV111+BV124</f>
        <v/>
      </c>
    </row>
    <row r="113">
      <c r="A113" t="inlineStr">
        <is>
          <t>reactivated in @0</t>
        </is>
      </c>
      <c r="B113" t="inlineStr">
        <is>
          <t>LATAM|NITRO_M</t>
        </is>
      </c>
      <c r="C113" s="5">
        <f>C112*Eras!C$3</f>
        <v/>
      </c>
      <c r="D113" s="5">
        <f>D112*Eras!D$3</f>
        <v/>
      </c>
      <c r="E113" s="5">
        <f>E112*Eras!E$3</f>
        <v/>
      </c>
      <c r="F113" s="5">
        <f>F112*Eras!F$3</f>
        <v/>
      </c>
      <c r="G113" s="5">
        <f>G112*Eras!G$3</f>
        <v/>
      </c>
      <c r="H113" s="5">
        <f>H112*Eras!H$3</f>
        <v/>
      </c>
      <c r="I113" s="5">
        <f>I112*Eras!I$3</f>
        <v/>
      </c>
      <c r="J113" s="5">
        <f>J112*Eras!J$3</f>
        <v/>
      </c>
      <c r="K113" s="5">
        <f>K112*Eras!K$3</f>
        <v/>
      </c>
      <c r="L113" s="5">
        <f>L112*Eras!L$3</f>
        <v/>
      </c>
      <c r="M113" s="5">
        <f>M112*Eras!M$3</f>
        <v/>
      </c>
      <c r="N113" s="5">
        <f>N112*Eras!N$3</f>
        <v/>
      </c>
      <c r="O113" s="5">
        <f>O112*Eras!O$3</f>
        <v/>
      </c>
      <c r="P113" s="5">
        <f>P112*Eras!P$3</f>
        <v/>
      </c>
      <c r="Q113" s="5">
        <f>Q112*Eras!Q$3</f>
        <v/>
      </c>
      <c r="R113" s="5">
        <f>R112*Eras!R$3</f>
        <v/>
      </c>
      <c r="S113" s="5">
        <f>S112*Eras!S$3</f>
        <v/>
      </c>
      <c r="T113" s="5">
        <f>T112*Eras!T$3</f>
        <v/>
      </c>
      <c r="U113" s="5">
        <f>U112*Eras!U$3</f>
        <v/>
      </c>
      <c r="V113" s="5">
        <f>V112*Eras!V$3</f>
        <v/>
      </c>
      <c r="W113" s="5">
        <f>W112*Eras!W$3</f>
        <v/>
      </c>
      <c r="X113" s="5">
        <f>X112*Eras!X$3</f>
        <v/>
      </c>
      <c r="Y113" s="5">
        <f>Y112*Eras!Y$3</f>
        <v/>
      </c>
      <c r="Z113" s="5">
        <f>Z112*Eras!Z$3</f>
        <v/>
      </c>
      <c r="AA113" s="5">
        <f>AA112*Eras!AA$3</f>
        <v/>
      </c>
      <c r="AB113" s="5">
        <f>AB112*Eras!AB$3</f>
        <v/>
      </c>
      <c r="AC113" s="5">
        <f>AC112*Eras!AC$3</f>
        <v/>
      </c>
      <c r="AD113" s="5">
        <f>AD112*Eras!AD$3</f>
        <v/>
      </c>
      <c r="AE113" s="5">
        <f>AE112*Eras!AE$3</f>
        <v/>
      </c>
      <c r="AF113" s="5">
        <f>AF112*Eras!AF$3</f>
        <v/>
      </c>
      <c r="AG113" s="5">
        <f>AG112*Eras!AG$3</f>
        <v/>
      </c>
      <c r="AH113" s="5">
        <f>AH112*Eras!AH$3</f>
        <v/>
      </c>
      <c r="AI113" s="5">
        <f>AI112*Eras!AI$3</f>
        <v/>
      </c>
      <c r="AJ113" s="5">
        <f>AJ112*Eras!AJ$3</f>
        <v/>
      </c>
      <c r="AK113" s="5">
        <f>AK112*Eras!AK$3</f>
        <v/>
      </c>
      <c r="AL113" s="5">
        <f>AL112*Eras!AL$3</f>
        <v/>
      </c>
      <c r="AM113" s="5">
        <f>AM112*Eras!AM$3</f>
        <v/>
      </c>
      <c r="AN113" s="5">
        <f>AN112*Eras!AN$3</f>
        <v/>
      </c>
      <c r="AO113" s="5">
        <f>AO112*Eras!AO$3</f>
        <v/>
      </c>
      <c r="AP113" s="5">
        <f>AP112*Eras!AP$3</f>
        <v/>
      </c>
      <c r="AQ113" s="5">
        <f>AQ112*Eras!AQ$3</f>
        <v/>
      </c>
      <c r="AR113" s="5">
        <f>AR112*Eras!AR$3</f>
        <v/>
      </c>
      <c r="AS113" s="5">
        <f>AS112*Eras!AS$3</f>
        <v/>
      </c>
      <c r="AT113" s="5">
        <f>AT112*Eras!AT$3</f>
        <v/>
      </c>
      <c r="AU113" s="5">
        <f>AU112*Eras!AU$3</f>
        <v/>
      </c>
      <c r="AV113" s="5">
        <f>AV112*Eras!AV$3</f>
        <v/>
      </c>
      <c r="AW113" s="5">
        <f>AW112*Eras!AW$3</f>
        <v/>
      </c>
      <c r="AX113" s="5">
        <f>AX112*Eras!AX$3</f>
        <v/>
      </c>
      <c r="AY113" s="5">
        <f>AY112*Eras!AY$3</f>
        <v/>
      </c>
      <c r="AZ113" s="5">
        <f>AZ112*Eras!AZ$3</f>
        <v/>
      </c>
      <c r="BA113" s="5">
        <f>BA112*Eras!BA$3</f>
        <v/>
      </c>
      <c r="BB113" s="5">
        <f>BB112*Eras!BB$3</f>
        <v/>
      </c>
      <c r="BC113" s="5">
        <f>BC112*Eras!BC$3</f>
        <v/>
      </c>
      <c r="BD113" s="5">
        <f>BD112*Eras!BD$3</f>
        <v/>
      </c>
      <c r="BE113" s="5">
        <f>BE112*Eras!BE$3</f>
        <v/>
      </c>
      <c r="BF113" s="5">
        <f>BF112*Eras!BF$3</f>
        <v/>
      </c>
      <c r="BG113" s="5">
        <f>BG112*Eras!BG$3</f>
        <v/>
      </c>
      <c r="BH113" s="5">
        <f>BH112*Eras!BH$3</f>
        <v/>
      </c>
      <c r="BI113" s="5">
        <f>BI112*Eras!BI$3</f>
        <v/>
      </c>
      <c r="BJ113" s="5">
        <f>BJ112*Eras!BJ$3</f>
        <v/>
      </c>
      <c r="BK113" s="5">
        <f>BK112*Eras!BK$3</f>
        <v/>
      </c>
      <c r="BL113" s="5">
        <f>BL112*Eras!BL$3</f>
        <v/>
      </c>
      <c r="BM113" s="5">
        <f>BM112*Eras!BM$3</f>
        <v/>
      </c>
      <c r="BN113" s="5">
        <f>BN112*Eras!BN$3</f>
        <v/>
      </c>
      <c r="BO113" s="5">
        <f>BO112*Eras!BO$3</f>
        <v/>
      </c>
      <c r="BP113" s="5">
        <f>BP112*Eras!BP$3</f>
        <v/>
      </c>
      <c r="BQ113" s="5">
        <f>BQ112*Eras!BQ$3</f>
        <v/>
      </c>
      <c r="BR113" s="5">
        <f>BR112*Eras!BR$3</f>
        <v/>
      </c>
      <c r="BS113" s="5">
        <f>BS112*Eras!BS$3</f>
        <v/>
      </c>
      <c r="BT113" s="5">
        <f>BT112*Eras!BT$3</f>
        <v/>
      </c>
      <c r="BU113" s="5">
        <f>BU112*Eras!BU$3</f>
        <v/>
      </c>
      <c r="BV113" s="5">
        <f>BV112*Eras!BV$3</f>
        <v/>
      </c>
    </row>
    <row r="114">
      <c r="A114" t="inlineStr">
        <is>
          <t>reactivated in @1</t>
        </is>
      </c>
      <c r="B114" t="inlineStr">
        <is>
          <t>LATAM|NITRO_M</t>
        </is>
      </c>
      <c r="C114" s="5">
        <f>C112*Eras!C$4</f>
        <v/>
      </c>
      <c r="D114" s="5">
        <f>D112*Eras!D$4</f>
        <v/>
      </c>
      <c r="E114" s="5">
        <f>E112*Eras!E$4</f>
        <v/>
      </c>
      <c r="F114" s="5">
        <f>F112*Eras!F$4</f>
        <v/>
      </c>
      <c r="G114" s="5">
        <f>G112*Eras!G$4</f>
        <v/>
      </c>
      <c r="H114" s="5">
        <f>H112*Eras!H$4</f>
        <v/>
      </c>
      <c r="I114" s="5">
        <f>I112*Eras!I$4</f>
        <v/>
      </c>
      <c r="J114" s="5">
        <f>J112*Eras!J$4</f>
        <v/>
      </c>
      <c r="K114" s="5">
        <f>K112*Eras!K$4</f>
        <v/>
      </c>
      <c r="L114" s="5">
        <f>L112*Eras!L$4</f>
        <v/>
      </c>
      <c r="M114" s="5">
        <f>M112*Eras!M$4</f>
        <v/>
      </c>
      <c r="N114" s="5">
        <f>N112*Eras!N$4</f>
        <v/>
      </c>
      <c r="O114" s="5">
        <f>O112*Eras!O$4</f>
        <v/>
      </c>
      <c r="P114" s="5">
        <f>P112*Eras!P$4</f>
        <v/>
      </c>
      <c r="Q114" s="5">
        <f>Q112*Eras!Q$4</f>
        <v/>
      </c>
      <c r="R114" s="5">
        <f>R112*Eras!R$4</f>
        <v/>
      </c>
      <c r="S114" s="5">
        <f>S112*Eras!S$4</f>
        <v/>
      </c>
      <c r="T114" s="5">
        <f>T112*Eras!T$4</f>
        <v/>
      </c>
      <c r="U114" s="5">
        <f>U112*Eras!U$4</f>
        <v/>
      </c>
      <c r="V114" s="5">
        <f>V112*Eras!V$4</f>
        <v/>
      </c>
      <c r="W114" s="5">
        <f>W112*Eras!W$4</f>
        <v/>
      </c>
      <c r="X114" s="5">
        <f>X112*Eras!X$4</f>
        <v/>
      </c>
      <c r="Y114" s="5">
        <f>Y112*Eras!Y$4</f>
        <v/>
      </c>
      <c r="Z114" s="5">
        <f>Z112*Eras!Z$4</f>
        <v/>
      </c>
      <c r="AA114" s="5">
        <f>AA112*Eras!AA$4</f>
        <v/>
      </c>
      <c r="AB114" s="5">
        <f>AB112*Eras!AB$4</f>
        <v/>
      </c>
      <c r="AC114" s="5">
        <f>AC112*Eras!AC$4</f>
        <v/>
      </c>
      <c r="AD114" s="5">
        <f>AD112*Eras!AD$4</f>
        <v/>
      </c>
      <c r="AE114" s="5">
        <f>AE112*Eras!AE$4</f>
        <v/>
      </c>
      <c r="AF114" s="5">
        <f>AF112*Eras!AF$4</f>
        <v/>
      </c>
      <c r="AG114" s="5">
        <f>AG112*Eras!AG$4</f>
        <v/>
      </c>
      <c r="AH114" s="5">
        <f>AH112*Eras!AH$4</f>
        <v/>
      </c>
      <c r="AI114" s="5">
        <f>AI112*Eras!AI$4</f>
        <v/>
      </c>
      <c r="AJ114" s="5">
        <f>AJ112*Eras!AJ$4</f>
        <v/>
      </c>
      <c r="AK114" s="5">
        <f>AK112*Eras!AK$4</f>
        <v/>
      </c>
      <c r="AL114" s="5">
        <f>AL112*Eras!AL$4</f>
        <v/>
      </c>
      <c r="AM114" s="5">
        <f>AM112*Eras!AM$4</f>
        <v/>
      </c>
      <c r="AN114" s="5">
        <f>AN112*Eras!AN$4</f>
        <v/>
      </c>
      <c r="AO114" s="5">
        <f>AO112*Eras!AO$4</f>
        <v/>
      </c>
      <c r="AP114" s="5">
        <f>AP112*Eras!AP$4</f>
        <v/>
      </c>
      <c r="AQ114" s="5">
        <f>AQ112*Eras!AQ$4</f>
        <v/>
      </c>
      <c r="AR114" s="5">
        <f>AR112*Eras!AR$4</f>
        <v/>
      </c>
      <c r="AS114" s="5">
        <f>AS112*Eras!AS$4</f>
        <v/>
      </c>
      <c r="AT114" s="5">
        <f>AT112*Eras!AT$4</f>
        <v/>
      </c>
      <c r="AU114" s="5">
        <f>AU112*Eras!AU$4</f>
        <v/>
      </c>
      <c r="AV114" s="5">
        <f>AV112*Eras!AV$4</f>
        <v/>
      </c>
      <c r="AW114" s="5">
        <f>AW112*Eras!AW$4</f>
        <v/>
      </c>
      <c r="AX114" s="5">
        <f>AX112*Eras!AX$4</f>
        <v/>
      </c>
      <c r="AY114" s="5">
        <f>AY112*Eras!AY$4</f>
        <v/>
      </c>
      <c r="AZ114" s="5">
        <f>AZ112*Eras!AZ$4</f>
        <v/>
      </c>
      <c r="BA114" s="5">
        <f>BA112*Eras!BA$4</f>
        <v/>
      </c>
      <c r="BB114" s="5">
        <f>BB112*Eras!BB$4</f>
        <v/>
      </c>
      <c r="BC114" s="5">
        <f>BC112*Eras!BC$4</f>
        <v/>
      </c>
      <c r="BD114" s="5">
        <f>BD112*Eras!BD$4</f>
        <v/>
      </c>
      <c r="BE114" s="5">
        <f>BE112*Eras!BE$4</f>
        <v/>
      </c>
      <c r="BF114" s="5">
        <f>BF112*Eras!BF$4</f>
        <v/>
      </c>
      <c r="BG114" s="5">
        <f>BG112*Eras!BG$4</f>
        <v/>
      </c>
      <c r="BH114" s="5">
        <f>BH112*Eras!BH$4</f>
        <v/>
      </c>
      <c r="BI114" s="5">
        <f>BI112*Eras!BI$4</f>
        <v/>
      </c>
      <c r="BJ114" s="5">
        <f>BJ112*Eras!BJ$4</f>
        <v/>
      </c>
      <c r="BK114" s="5">
        <f>BK112*Eras!BK$4</f>
        <v/>
      </c>
      <c r="BL114" s="5">
        <f>BL112*Eras!BL$4</f>
        <v/>
      </c>
      <c r="BM114" s="5">
        <f>BM112*Eras!BM$4</f>
        <v/>
      </c>
      <c r="BN114" s="5">
        <f>BN112*Eras!BN$4</f>
        <v/>
      </c>
      <c r="BO114" s="5">
        <f>BO112*Eras!BO$4</f>
        <v/>
      </c>
      <c r="BP114" s="5">
        <f>BP112*Eras!BP$4</f>
        <v/>
      </c>
      <c r="BQ114" s="5">
        <f>BQ112*Eras!BQ$4</f>
        <v/>
      </c>
      <c r="BR114" s="5">
        <f>BR112*Eras!BR$4</f>
        <v/>
      </c>
      <c r="BS114" s="5">
        <f>BS112*Eras!BS$4</f>
        <v/>
      </c>
      <c r="BT114" s="5">
        <f>BT112*Eras!BT$4</f>
        <v/>
      </c>
      <c r="BU114" s="5">
        <f>BU112*Eras!BU$4</f>
        <v/>
      </c>
      <c r="BV114" s="5">
        <f>BV112*Eras!BV$4</f>
        <v/>
      </c>
    </row>
    <row r="115">
      <c r="A115" t="inlineStr">
        <is>
          <t>reactivated in @2</t>
        </is>
      </c>
      <c r="B115" t="inlineStr">
        <is>
          <t>LATAM|NITRO_M</t>
        </is>
      </c>
      <c r="C115" s="5">
        <f>C112*Eras!C$5</f>
        <v/>
      </c>
      <c r="D115" s="5">
        <f>D112*Eras!D$5</f>
        <v/>
      </c>
      <c r="E115" s="5">
        <f>E112*Eras!E$5</f>
        <v/>
      </c>
      <c r="F115" s="5">
        <f>F112*Eras!F$5</f>
        <v/>
      </c>
      <c r="G115" s="5">
        <f>G112*Eras!G$5</f>
        <v/>
      </c>
      <c r="H115" s="5">
        <f>H112*Eras!H$5</f>
        <v/>
      </c>
      <c r="I115" s="5">
        <f>I112*Eras!I$5</f>
        <v/>
      </c>
      <c r="J115" s="5">
        <f>J112*Eras!J$5</f>
        <v/>
      </c>
      <c r="K115" s="5">
        <f>K112*Eras!K$5</f>
        <v/>
      </c>
      <c r="L115" s="5">
        <f>L112*Eras!L$5</f>
        <v/>
      </c>
      <c r="M115" s="5">
        <f>M112*Eras!M$5</f>
        <v/>
      </c>
      <c r="N115" s="5">
        <f>N112*Eras!N$5</f>
        <v/>
      </c>
      <c r="O115" s="5">
        <f>O112*Eras!O$5</f>
        <v/>
      </c>
      <c r="P115" s="5">
        <f>P112*Eras!P$5</f>
        <v/>
      </c>
      <c r="Q115" s="5">
        <f>Q112*Eras!Q$5</f>
        <v/>
      </c>
      <c r="R115" s="5">
        <f>R112*Eras!R$5</f>
        <v/>
      </c>
      <c r="S115" s="5">
        <f>S112*Eras!S$5</f>
        <v/>
      </c>
      <c r="T115" s="5">
        <f>T112*Eras!T$5</f>
        <v/>
      </c>
      <c r="U115" s="5">
        <f>U112*Eras!U$5</f>
        <v/>
      </c>
      <c r="V115" s="5">
        <f>V112*Eras!V$5</f>
        <v/>
      </c>
      <c r="W115" s="5">
        <f>W112*Eras!W$5</f>
        <v/>
      </c>
      <c r="X115" s="5">
        <f>X112*Eras!X$5</f>
        <v/>
      </c>
      <c r="Y115" s="5">
        <f>Y112*Eras!Y$5</f>
        <v/>
      </c>
      <c r="Z115" s="5">
        <f>Z112*Eras!Z$5</f>
        <v/>
      </c>
      <c r="AA115" s="5">
        <f>AA112*Eras!AA$5</f>
        <v/>
      </c>
      <c r="AB115" s="5">
        <f>AB112*Eras!AB$5</f>
        <v/>
      </c>
      <c r="AC115" s="5">
        <f>AC112*Eras!AC$5</f>
        <v/>
      </c>
      <c r="AD115" s="5">
        <f>AD112*Eras!AD$5</f>
        <v/>
      </c>
      <c r="AE115" s="5">
        <f>AE112*Eras!AE$5</f>
        <v/>
      </c>
      <c r="AF115" s="5">
        <f>AF112*Eras!AF$5</f>
        <v/>
      </c>
      <c r="AG115" s="5">
        <f>AG112*Eras!AG$5</f>
        <v/>
      </c>
      <c r="AH115" s="5">
        <f>AH112*Eras!AH$5</f>
        <v/>
      </c>
      <c r="AI115" s="5">
        <f>AI112*Eras!AI$5</f>
        <v/>
      </c>
      <c r="AJ115" s="5">
        <f>AJ112*Eras!AJ$5</f>
        <v/>
      </c>
      <c r="AK115" s="5">
        <f>AK112*Eras!AK$5</f>
        <v/>
      </c>
      <c r="AL115" s="5">
        <f>AL112*Eras!AL$5</f>
        <v/>
      </c>
      <c r="AM115" s="5">
        <f>AM112*Eras!AM$5</f>
        <v/>
      </c>
      <c r="AN115" s="5">
        <f>AN112*Eras!AN$5</f>
        <v/>
      </c>
      <c r="AO115" s="5">
        <f>AO112*Eras!AO$5</f>
        <v/>
      </c>
      <c r="AP115" s="5">
        <f>AP112*Eras!AP$5</f>
        <v/>
      </c>
      <c r="AQ115" s="5">
        <f>AQ112*Eras!AQ$5</f>
        <v/>
      </c>
      <c r="AR115" s="5">
        <f>AR112*Eras!AR$5</f>
        <v/>
      </c>
      <c r="AS115" s="5">
        <f>AS112*Eras!AS$5</f>
        <v/>
      </c>
      <c r="AT115" s="5">
        <f>AT112*Eras!AT$5</f>
        <v/>
      </c>
      <c r="AU115" s="5">
        <f>AU112*Eras!AU$5</f>
        <v/>
      </c>
      <c r="AV115" s="5">
        <f>AV112*Eras!AV$5</f>
        <v/>
      </c>
      <c r="AW115" s="5">
        <f>AW112*Eras!AW$5</f>
        <v/>
      </c>
      <c r="AX115" s="5">
        <f>AX112*Eras!AX$5</f>
        <v/>
      </c>
      <c r="AY115" s="5">
        <f>AY112*Eras!AY$5</f>
        <v/>
      </c>
      <c r="AZ115" s="5">
        <f>AZ112*Eras!AZ$5</f>
        <v/>
      </c>
      <c r="BA115" s="5">
        <f>BA112*Eras!BA$5</f>
        <v/>
      </c>
      <c r="BB115" s="5">
        <f>BB112*Eras!BB$5</f>
        <v/>
      </c>
      <c r="BC115" s="5">
        <f>BC112*Eras!BC$5</f>
        <v/>
      </c>
      <c r="BD115" s="5">
        <f>BD112*Eras!BD$5</f>
        <v/>
      </c>
      <c r="BE115" s="5">
        <f>BE112*Eras!BE$5</f>
        <v/>
      </c>
      <c r="BF115" s="5">
        <f>BF112*Eras!BF$5</f>
        <v/>
      </c>
      <c r="BG115" s="5">
        <f>BG112*Eras!BG$5</f>
        <v/>
      </c>
      <c r="BH115" s="5">
        <f>BH112*Eras!BH$5</f>
        <v/>
      </c>
      <c r="BI115" s="5">
        <f>BI112*Eras!BI$5</f>
        <v/>
      </c>
      <c r="BJ115" s="5">
        <f>BJ112*Eras!BJ$5</f>
        <v/>
      </c>
      <c r="BK115" s="5">
        <f>BK112*Eras!BK$5</f>
        <v/>
      </c>
      <c r="BL115" s="5">
        <f>BL112*Eras!BL$5</f>
        <v/>
      </c>
      <c r="BM115" s="5">
        <f>BM112*Eras!BM$5</f>
        <v/>
      </c>
      <c r="BN115" s="5">
        <f>BN112*Eras!BN$5</f>
        <v/>
      </c>
      <c r="BO115" s="5">
        <f>BO112*Eras!BO$5</f>
        <v/>
      </c>
      <c r="BP115" s="5">
        <f>BP112*Eras!BP$5</f>
        <v/>
      </c>
      <c r="BQ115" s="5">
        <f>BQ112*Eras!BQ$5</f>
        <v/>
      </c>
      <c r="BR115" s="5">
        <f>BR112*Eras!BR$5</f>
        <v/>
      </c>
      <c r="BS115" s="5">
        <f>BS112*Eras!BS$5</f>
        <v/>
      </c>
      <c r="BT115" s="5">
        <f>BT112*Eras!BT$5</f>
        <v/>
      </c>
      <c r="BU115" s="5">
        <f>BU112*Eras!BU$5</f>
        <v/>
      </c>
      <c r="BV115" s="5">
        <f>BV112*Eras!BV$5</f>
        <v/>
      </c>
    </row>
    <row r="116">
      <c r="A116" t="inlineStr">
        <is>
          <t>active</t>
        </is>
      </c>
      <c r="B116" t="inlineStr">
        <is>
          <t>LATAM|NITRO_M</t>
        </is>
      </c>
      <c r="C116" s="5">
        <f>React!$C$113*Curves!$BV$19+React!$C$114*Curves!$BV$42+React!$C$115*Curves!$BV$65</f>
        <v/>
      </c>
      <c r="D116" s="5">
        <f>SUMPRODUCT(React!$C$113:$D$113,Curves!$BU$19:$BV$19)+SUMPRODUCT(React!$C$114:$D$114,Curves!$BU$42:$BV$42)+SUMPRODUCT(React!$C$115:$D$115,Curves!$BU$65:$BV$65)</f>
        <v/>
      </c>
      <c r="E116" s="5">
        <f>SUMPRODUCT(React!$C$113:$E$113,Curves!$BT$19:$BV$19)+SUMPRODUCT(React!$C$114:$E$114,Curves!$BT$42:$BV$42)+SUMPRODUCT(React!$C$115:$E$115,Curves!$BT$65:$BV$65)</f>
        <v/>
      </c>
      <c r="F116" s="5">
        <f>SUMPRODUCT(React!$C$113:$F$113,Curves!$BS$19:$BV$19)+SUMPRODUCT(React!$C$114:$F$114,Curves!$BS$42:$BV$42)+SUMPRODUCT(React!$C$115:$F$115,Curves!$BS$65:$BV$65)</f>
        <v/>
      </c>
      <c r="G116" s="5">
        <f>SUMPRODUCT(React!$C$113:$G$113,Curves!$BR$19:$BV$19)+SUMPRODUCT(React!$C$114:$G$114,Curves!$BR$42:$BV$42)+SUMPRODUCT(React!$C$115:$G$115,Curves!$BR$65:$BV$65)</f>
        <v/>
      </c>
      <c r="H116" s="5">
        <f>SUMPRODUCT(React!$C$113:$H$113,Curves!$BQ$19:$BV$19)+SUMPRODUCT(React!$C$114:$H$114,Curves!$BQ$42:$BV$42)+SUMPRODUCT(React!$C$115:$H$115,Curves!$BQ$65:$BV$65)</f>
        <v/>
      </c>
      <c r="I116" s="5">
        <f>SUMPRODUCT(React!$C$113:$I$113,Curves!$BP$19:$BV$19)+SUMPRODUCT(React!$C$114:$I$114,Curves!$BP$42:$BV$42)+SUMPRODUCT(React!$C$115:$I$115,Curves!$BP$65:$BV$65)</f>
        <v/>
      </c>
      <c r="J116" s="5">
        <f>SUMPRODUCT(React!$C$113:$J$113,Curves!$BO$19:$BV$19)+SUMPRODUCT(React!$C$114:$J$114,Curves!$BO$42:$BV$42)+SUMPRODUCT(React!$C$115:$J$115,Curves!$BO$65:$BV$65)</f>
        <v/>
      </c>
      <c r="K116" s="5">
        <f>SUMPRODUCT(React!$C$113:$K$113,Curves!$BN$19:$BV$19)+SUMPRODUCT(React!$C$114:$K$114,Curves!$BN$42:$BV$42)+SUMPRODUCT(React!$C$115:$K$115,Curves!$BN$65:$BV$65)</f>
        <v/>
      </c>
      <c r="L116" s="5">
        <f>SUMPRODUCT(React!$C$113:$L$113,Curves!$BM$19:$BV$19)+SUMPRODUCT(React!$C$114:$L$114,Curves!$BM$42:$BV$42)+SUMPRODUCT(React!$C$115:$L$115,Curves!$BM$65:$BV$65)</f>
        <v/>
      </c>
      <c r="M116" s="5">
        <f>SUMPRODUCT(React!$C$113:$M$113,Curves!$BL$19:$BV$19)+SUMPRODUCT(React!$C$114:$M$114,Curves!$BL$42:$BV$42)+SUMPRODUCT(React!$C$115:$M$115,Curves!$BL$65:$BV$65)</f>
        <v/>
      </c>
      <c r="N116" s="5">
        <f>SUMPRODUCT(React!$C$113:$N$113,Curves!$BK$19:$BV$19)+SUMPRODUCT(React!$C$114:$N$114,Curves!$BK$42:$BV$42)+SUMPRODUCT(React!$C$115:$N$115,Curves!$BK$65:$BV$65)</f>
        <v/>
      </c>
      <c r="O116" s="5">
        <f>SUMPRODUCT(React!$C$113:$O$113,Curves!$BJ$19:$BV$19)+SUMPRODUCT(React!$C$114:$O$114,Curves!$BJ$42:$BV$42)+SUMPRODUCT(React!$C$115:$O$115,Curves!$BJ$65:$BV$65)</f>
        <v/>
      </c>
      <c r="P116" s="5">
        <f>SUMPRODUCT(React!$C$113:$P$113,Curves!$BI$19:$BV$19)+SUMPRODUCT(React!$C$114:$P$114,Curves!$BI$42:$BV$42)+SUMPRODUCT(React!$C$115:$P$115,Curves!$BI$65:$BV$65)</f>
        <v/>
      </c>
      <c r="Q116" s="5">
        <f>SUMPRODUCT(React!$C$113:$Q$113,Curves!$BH$19:$BV$19)+SUMPRODUCT(React!$C$114:$Q$114,Curves!$BH$42:$BV$42)+SUMPRODUCT(React!$C$115:$Q$115,Curves!$BH$65:$BV$65)</f>
        <v/>
      </c>
      <c r="R116" s="5">
        <f>SUMPRODUCT(React!$C$113:$R$113,Curves!$BG$19:$BV$19)+SUMPRODUCT(React!$C$114:$R$114,Curves!$BG$42:$BV$42)+SUMPRODUCT(React!$C$115:$R$115,Curves!$BG$65:$BV$65)</f>
        <v/>
      </c>
      <c r="S116" s="5">
        <f>SUMPRODUCT(React!$C$113:$S$113,Curves!$BF$19:$BV$19)+SUMPRODUCT(React!$C$114:$S$114,Curves!$BF$42:$BV$42)+SUMPRODUCT(React!$C$115:$S$115,Curves!$BF$65:$BV$65)</f>
        <v/>
      </c>
      <c r="T116" s="5">
        <f>SUMPRODUCT(React!$C$113:$T$113,Curves!$BE$19:$BV$19)+SUMPRODUCT(React!$C$114:$T$114,Curves!$BE$42:$BV$42)+SUMPRODUCT(React!$C$115:$T$115,Curves!$BE$65:$BV$65)</f>
        <v/>
      </c>
      <c r="U116" s="5">
        <f>SUMPRODUCT(React!$C$113:$U$113,Curves!$BD$19:$BV$19)+SUMPRODUCT(React!$C$114:$U$114,Curves!$BD$42:$BV$42)+SUMPRODUCT(React!$C$115:$U$115,Curves!$BD$65:$BV$65)</f>
        <v/>
      </c>
      <c r="V116" s="5">
        <f>SUMPRODUCT(React!$C$113:$V$113,Curves!$BC$19:$BV$19)+SUMPRODUCT(React!$C$114:$V$114,Curves!$BC$42:$BV$42)+SUMPRODUCT(React!$C$115:$V$115,Curves!$BC$65:$BV$65)</f>
        <v/>
      </c>
      <c r="W116" s="5">
        <f>SUMPRODUCT(React!$C$113:$W$113,Curves!$BB$19:$BV$19)+SUMPRODUCT(React!$C$114:$W$114,Curves!$BB$42:$BV$42)+SUMPRODUCT(React!$C$115:$W$115,Curves!$BB$65:$BV$65)</f>
        <v/>
      </c>
      <c r="X116" s="5">
        <f>SUMPRODUCT(React!$C$113:$X$113,Curves!$BA$19:$BV$19)+SUMPRODUCT(React!$C$114:$X$114,Curves!$BA$42:$BV$42)+SUMPRODUCT(React!$C$115:$X$115,Curves!$BA$65:$BV$65)</f>
        <v/>
      </c>
      <c r="Y116" s="5">
        <f>SUMPRODUCT(React!$C$113:$Y$113,Curves!$AZ$19:$BV$19)+SUMPRODUCT(React!$C$114:$Y$114,Curves!$AZ$42:$BV$42)+SUMPRODUCT(React!$C$115:$Y$115,Curves!$AZ$65:$BV$65)</f>
        <v/>
      </c>
      <c r="Z116" s="5">
        <f>SUMPRODUCT(React!$C$113:$Z$113,Curves!$AY$19:$BV$19)+SUMPRODUCT(React!$C$114:$Z$114,Curves!$AY$42:$BV$42)+SUMPRODUCT(React!$C$115:$Z$115,Curves!$AY$65:$BV$65)</f>
        <v/>
      </c>
      <c r="AA116" s="5">
        <f>SUMPRODUCT(React!$C$113:$AA$113,Curves!$AX$19:$BV$19)+SUMPRODUCT(React!$C$114:$AA$114,Curves!$AX$42:$BV$42)+SUMPRODUCT(React!$C$115:$AA$115,Curves!$AX$65:$BV$65)</f>
        <v/>
      </c>
      <c r="AB116" s="5">
        <f>SUMPRODUCT(React!$C$113:$AB$113,Curves!$AW$19:$BV$19)+SUMPRODUCT(React!$C$114:$AB$114,Curves!$AW$42:$BV$42)+SUMPRODUCT(React!$C$115:$AB$115,Curves!$AW$65:$BV$65)</f>
        <v/>
      </c>
      <c r="AC116" s="5">
        <f>SUMPRODUCT(React!$C$113:$AC$113,Curves!$AV$19:$BV$19)+SUMPRODUCT(React!$C$114:$AC$114,Curves!$AV$42:$BV$42)+SUMPRODUCT(React!$C$115:$AC$115,Curves!$AV$65:$BV$65)</f>
        <v/>
      </c>
      <c r="AD116" s="5">
        <f>SUMPRODUCT(React!$C$113:$AD$113,Curves!$AU$19:$BV$19)+SUMPRODUCT(React!$C$114:$AD$114,Curves!$AU$42:$BV$42)+SUMPRODUCT(React!$C$115:$AD$115,Curves!$AU$65:$BV$65)</f>
        <v/>
      </c>
      <c r="AE116" s="5">
        <f>SUMPRODUCT(React!$C$113:$AE$113,Curves!$AT$19:$BV$19)+SUMPRODUCT(React!$C$114:$AE$114,Curves!$AT$42:$BV$42)+SUMPRODUCT(React!$C$115:$AE$115,Curves!$AT$65:$BV$65)</f>
        <v/>
      </c>
      <c r="AF116" s="5">
        <f>SUMPRODUCT(React!$C$113:$AF$113,Curves!$AS$19:$BV$19)+SUMPRODUCT(React!$C$114:$AF$114,Curves!$AS$42:$BV$42)+SUMPRODUCT(React!$C$115:$AF$115,Curves!$AS$65:$BV$65)</f>
        <v/>
      </c>
      <c r="AG116" s="5">
        <f>SUMPRODUCT(React!$C$113:$AG$113,Curves!$AR$19:$BV$19)+SUMPRODUCT(React!$C$114:$AG$114,Curves!$AR$42:$BV$42)+SUMPRODUCT(React!$C$115:$AG$115,Curves!$AR$65:$BV$65)</f>
        <v/>
      </c>
      <c r="AH116" s="5">
        <f>SUMPRODUCT(React!$C$113:$AH$113,Curves!$AQ$19:$BV$19)+SUMPRODUCT(React!$C$114:$AH$114,Curves!$AQ$42:$BV$42)+SUMPRODUCT(React!$C$115:$AH$115,Curves!$AQ$65:$BV$65)</f>
        <v/>
      </c>
      <c r="AI116" s="5">
        <f>SUMPRODUCT(React!$C$113:$AI$113,Curves!$AP$19:$BV$19)+SUMPRODUCT(React!$C$114:$AI$114,Curves!$AP$42:$BV$42)+SUMPRODUCT(React!$C$115:$AI$115,Curves!$AP$65:$BV$65)</f>
        <v/>
      </c>
      <c r="AJ116" s="5">
        <f>SUMPRODUCT(React!$C$113:$AJ$113,Curves!$AO$19:$BV$19)+SUMPRODUCT(React!$C$114:$AJ$114,Curves!$AO$42:$BV$42)+SUMPRODUCT(React!$C$115:$AJ$115,Curves!$AO$65:$BV$65)</f>
        <v/>
      </c>
      <c r="AK116" s="5">
        <f>SUMPRODUCT(React!$C$113:$AK$113,Curves!$AN$19:$BV$19)+SUMPRODUCT(React!$C$114:$AK$114,Curves!$AN$42:$BV$42)+SUMPRODUCT(React!$C$115:$AK$115,Curves!$AN$65:$BV$65)</f>
        <v/>
      </c>
      <c r="AL116" s="5">
        <f>SUMPRODUCT(React!$C$113:$AL$113,Curves!$AM$19:$BV$19)+SUMPRODUCT(React!$C$114:$AL$114,Curves!$AM$42:$BV$42)+SUMPRODUCT(React!$C$115:$AL$115,Curves!$AM$65:$BV$65)</f>
        <v/>
      </c>
      <c r="AM116" s="5">
        <f>SUMPRODUCT(React!$C$113:$AM$113,Curves!$AL$19:$BV$19)+SUMPRODUCT(React!$C$114:$AM$114,Curves!$AL$42:$BV$42)+SUMPRODUCT(React!$C$115:$AM$115,Curves!$AL$65:$BV$65)</f>
        <v/>
      </c>
      <c r="AN116" s="5">
        <f>SUMPRODUCT(React!$C$113:$AN$113,Curves!$AK$19:$BV$19)+SUMPRODUCT(React!$C$114:$AN$114,Curves!$AK$42:$BV$42)+SUMPRODUCT(React!$C$115:$AN$115,Curves!$AK$65:$BV$65)</f>
        <v/>
      </c>
      <c r="AO116" s="5">
        <f>SUMPRODUCT(React!$C$113:$AO$113,Curves!$AJ$19:$BV$19)+SUMPRODUCT(React!$C$114:$AO$114,Curves!$AJ$42:$BV$42)+SUMPRODUCT(React!$C$115:$AO$115,Curves!$AJ$65:$BV$65)</f>
        <v/>
      </c>
      <c r="AP116" s="5">
        <f>SUMPRODUCT(React!$C$113:$AP$113,Curves!$AI$19:$BV$19)+SUMPRODUCT(React!$C$114:$AP$114,Curves!$AI$42:$BV$42)+SUMPRODUCT(React!$C$115:$AP$115,Curves!$AI$65:$BV$65)</f>
        <v/>
      </c>
      <c r="AQ116" s="5">
        <f>SUMPRODUCT(React!$C$113:$AQ$113,Curves!$AH$19:$BV$19)+SUMPRODUCT(React!$C$114:$AQ$114,Curves!$AH$42:$BV$42)+SUMPRODUCT(React!$C$115:$AQ$115,Curves!$AH$65:$BV$65)</f>
        <v/>
      </c>
      <c r="AR116" s="5">
        <f>SUMPRODUCT(React!$C$113:$AR$113,Curves!$AG$19:$BV$19)+SUMPRODUCT(React!$C$114:$AR$114,Curves!$AG$42:$BV$42)+SUMPRODUCT(React!$C$115:$AR$115,Curves!$AG$65:$BV$65)</f>
        <v/>
      </c>
      <c r="AS116" s="5">
        <f>SUMPRODUCT(React!$C$113:$AS$113,Curves!$AF$19:$BV$19)+SUMPRODUCT(React!$C$114:$AS$114,Curves!$AF$42:$BV$42)+SUMPRODUCT(React!$C$115:$AS$115,Curves!$AF$65:$BV$65)</f>
        <v/>
      </c>
      <c r="AT116" s="5">
        <f>SUMPRODUCT(React!$C$113:$AT$113,Curves!$AE$19:$BV$19)+SUMPRODUCT(React!$C$114:$AT$114,Curves!$AE$42:$BV$42)+SUMPRODUCT(React!$C$115:$AT$115,Curves!$AE$65:$BV$65)</f>
        <v/>
      </c>
      <c r="AU116" s="5">
        <f>SUMPRODUCT(React!$C$113:$AU$113,Curves!$AD$19:$BV$19)+SUMPRODUCT(React!$C$114:$AU$114,Curves!$AD$42:$BV$42)+SUMPRODUCT(React!$C$115:$AU$115,Curves!$AD$65:$BV$65)</f>
        <v/>
      </c>
      <c r="AV116" s="5">
        <f>SUMPRODUCT(React!$C$113:$AV$113,Curves!$AC$19:$BV$19)+SUMPRODUCT(React!$C$114:$AV$114,Curves!$AC$42:$BV$42)+SUMPRODUCT(React!$C$115:$AV$115,Curves!$AC$65:$BV$65)</f>
        <v/>
      </c>
      <c r="AW116" s="5">
        <f>SUMPRODUCT(React!$C$113:$AW$113,Curves!$AB$19:$BV$19)+SUMPRODUCT(React!$C$114:$AW$114,Curves!$AB$42:$BV$42)+SUMPRODUCT(React!$C$115:$AW$115,Curves!$AB$65:$BV$65)</f>
        <v/>
      </c>
      <c r="AX116" s="5">
        <f>SUMPRODUCT(React!$C$113:$AX$113,Curves!$AA$19:$BV$19)+SUMPRODUCT(React!$C$114:$AX$114,Curves!$AA$42:$BV$42)+SUMPRODUCT(React!$C$115:$AX$115,Curves!$AA$65:$BV$65)</f>
        <v/>
      </c>
      <c r="AY116" s="5">
        <f>SUMPRODUCT(React!$C$113:$AY$113,Curves!$Z$19:$BV$19)+SUMPRODUCT(React!$C$114:$AY$114,Curves!$Z$42:$BV$42)+SUMPRODUCT(React!$C$115:$AY$115,Curves!$Z$65:$BV$65)</f>
        <v/>
      </c>
      <c r="AZ116" s="5">
        <f>SUMPRODUCT(React!$C$113:$AZ$113,Curves!$Y$19:$BV$19)+SUMPRODUCT(React!$C$114:$AZ$114,Curves!$Y$42:$BV$42)+SUMPRODUCT(React!$C$115:$AZ$115,Curves!$Y$65:$BV$65)</f>
        <v/>
      </c>
      <c r="BA116" s="5">
        <f>SUMPRODUCT(React!$C$113:$BA$113,Curves!$X$19:$BV$19)+SUMPRODUCT(React!$C$114:$BA$114,Curves!$X$42:$BV$42)+SUMPRODUCT(React!$C$115:$BA$115,Curves!$X$65:$BV$65)</f>
        <v/>
      </c>
      <c r="BB116" s="5">
        <f>SUMPRODUCT(React!$C$113:$BB$113,Curves!$W$19:$BV$19)+SUMPRODUCT(React!$C$114:$BB$114,Curves!$W$42:$BV$42)+SUMPRODUCT(React!$C$115:$BB$115,Curves!$W$65:$BV$65)</f>
        <v/>
      </c>
      <c r="BC116" s="5">
        <f>SUMPRODUCT(React!$C$113:$BC$113,Curves!$V$19:$BV$19)+SUMPRODUCT(React!$C$114:$BC$114,Curves!$V$42:$BV$42)+SUMPRODUCT(React!$C$115:$BC$115,Curves!$V$65:$BV$65)</f>
        <v/>
      </c>
      <c r="BD116" s="5">
        <f>SUMPRODUCT(React!$C$113:$BD$113,Curves!$U$19:$BV$19)+SUMPRODUCT(React!$C$114:$BD$114,Curves!$U$42:$BV$42)+SUMPRODUCT(React!$C$115:$BD$115,Curves!$U$65:$BV$65)</f>
        <v/>
      </c>
      <c r="BE116" s="5">
        <f>SUMPRODUCT(React!$C$113:$BE$113,Curves!$T$19:$BV$19)+SUMPRODUCT(React!$C$114:$BE$114,Curves!$T$42:$BV$42)+SUMPRODUCT(React!$C$115:$BE$115,Curves!$T$65:$BV$65)</f>
        <v/>
      </c>
      <c r="BF116" s="5">
        <f>SUMPRODUCT(React!$C$113:$BF$113,Curves!$S$19:$BV$19)+SUMPRODUCT(React!$C$114:$BF$114,Curves!$S$42:$BV$42)+SUMPRODUCT(React!$C$115:$BF$115,Curves!$S$65:$BV$65)</f>
        <v/>
      </c>
      <c r="BG116" s="5">
        <f>SUMPRODUCT(React!$C$113:$BG$113,Curves!$R$19:$BV$19)+SUMPRODUCT(React!$C$114:$BG$114,Curves!$R$42:$BV$42)+SUMPRODUCT(React!$C$115:$BG$115,Curves!$R$65:$BV$65)</f>
        <v/>
      </c>
      <c r="BH116" s="5">
        <f>SUMPRODUCT(React!$C$113:$BH$113,Curves!$Q$19:$BV$19)+SUMPRODUCT(React!$C$114:$BH$114,Curves!$Q$42:$BV$42)+SUMPRODUCT(React!$C$115:$BH$115,Curves!$Q$65:$BV$65)</f>
        <v/>
      </c>
      <c r="BI116" s="5">
        <f>SUMPRODUCT(React!$C$113:$BI$113,Curves!$P$19:$BV$19)+SUMPRODUCT(React!$C$114:$BI$114,Curves!$P$42:$BV$42)+SUMPRODUCT(React!$C$115:$BI$115,Curves!$P$65:$BV$65)</f>
        <v/>
      </c>
      <c r="BJ116" s="5">
        <f>SUMPRODUCT(React!$C$113:$BJ$113,Curves!$O$19:$BV$19)+SUMPRODUCT(React!$C$114:$BJ$114,Curves!$O$42:$BV$42)+SUMPRODUCT(React!$C$115:$BJ$115,Curves!$O$65:$BV$65)</f>
        <v/>
      </c>
      <c r="BK116" s="5">
        <f>SUMPRODUCT(React!$C$113:$BK$113,Curves!$N$19:$BV$19)+SUMPRODUCT(React!$C$114:$BK$114,Curves!$N$42:$BV$42)+SUMPRODUCT(React!$C$115:$BK$115,Curves!$N$65:$BV$65)</f>
        <v/>
      </c>
      <c r="BL116" s="5">
        <f>SUMPRODUCT(React!$C$113:$BL$113,Curves!$M$19:$BV$19)+SUMPRODUCT(React!$C$114:$BL$114,Curves!$M$42:$BV$42)+SUMPRODUCT(React!$C$115:$BL$115,Curves!$M$65:$BV$65)</f>
        <v/>
      </c>
      <c r="BM116" s="5">
        <f>SUMPRODUCT(React!$C$113:$BM$113,Curves!$L$19:$BV$19)+SUMPRODUCT(React!$C$114:$BM$114,Curves!$L$42:$BV$42)+SUMPRODUCT(React!$C$115:$BM$115,Curves!$L$65:$BV$65)</f>
        <v/>
      </c>
      <c r="BN116" s="5">
        <f>SUMPRODUCT(React!$C$113:$BN$113,Curves!$K$19:$BV$19)+SUMPRODUCT(React!$C$114:$BN$114,Curves!$K$42:$BV$42)+SUMPRODUCT(React!$C$115:$BN$115,Curves!$K$65:$BV$65)</f>
        <v/>
      </c>
      <c r="BO116" s="5">
        <f>SUMPRODUCT(React!$C$113:$BO$113,Curves!$J$19:$BV$19)+SUMPRODUCT(React!$C$114:$BO$114,Curves!$J$42:$BV$42)+SUMPRODUCT(React!$C$115:$BO$115,Curves!$J$65:$BV$65)</f>
        <v/>
      </c>
      <c r="BP116" s="5">
        <f>SUMPRODUCT(React!$C$113:$BP$113,Curves!$I$19:$BV$19)+SUMPRODUCT(React!$C$114:$BP$114,Curves!$I$42:$BV$42)+SUMPRODUCT(React!$C$115:$BP$115,Curves!$I$65:$BV$65)</f>
        <v/>
      </c>
      <c r="BQ116" s="5">
        <f>SUMPRODUCT(React!$C$113:$BQ$113,Curves!$H$19:$BV$19)+SUMPRODUCT(React!$C$114:$BQ$114,Curves!$H$42:$BV$42)+SUMPRODUCT(React!$C$115:$BQ$115,Curves!$H$65:$BV$65)</f>
        <v/>
      </c>
      <c r="BR116" s="5">
        <f>SUMPRODUCT(React!$C$113:$BR$113,Curves!$G$19:$BV$19)+SUMPRODUCT(React!$C$114:$BR$114,Curves!$G$42:$BV$42)+SUMPRODUCT(React!$C$115:$BR$115,Curves!$G$65:$BV$65)</f>
        <v/>
      </c>
      <c r="BS116" s="5">
        <f>SUMPRODUCT(React!$C$113:$BS$113,Curves!$F$19:$BV$19)+SUMPRODUCT(React!$C$114:$BS$114,Curves!$F$42:$BV$42)+SUMPRODUCT(React!$C$115:$BS$115,Curves!$F$65:$BV$65)</f>
        <v/>
      </c>
      <c r="BT116" s="5">
        <f>SUMPRODUCT(React!$C$113:$BT$113,Curves!$E$19:$BV$19)+SUMPRODUCT(React!$C$114:$BT$114,Curves!$E$42:$BV$42)+SUMPRODUCT(React!$C$115:$BT$115,Curves!$E$65:$BV$65)</f>
        <v/>
      </c>
      <c r="BU116" s="5">
        <f>SUMPRODUCT(React!$C$113:$BU$113,Curves!$D$19:$BV$19)+SUMPRODUCT(React!$C$114:$BU$114,Curves!$D$42:$BV$42)+SUMPRODUCT(React!$C$115:$BU$115,Curves!$D$65:$BV$65)</f>
        <v/>
      </c>
      <c r="BV116" s="5">
        <f>SUMPRODUCT(React!$C$113:$BV$113,Curves!$C$19:$BV$19)+SUMPRODUCT(React!$C$114:$BV$114,Curves!$C$42:$BV$42)+SUMPRODUCT(React!$C$115:$BV$115,Curves!$C$65:$BV$65)</f>
        <v/>
      </c>
    </row>
    <row r="117">
      <c r="A117" t="inlineStr">
        <is>
          <t>active yr 1</t>
        </is>
      </c>
      <c r="B117" t="inlineStr">
        <is>
          <t>LATAM|NITRO_M</t>
        </is>
      </c>
      <c r="C117" s="5">
        <f>React!$C$113*Curves!$BV$24+React!$C$114*Curves!$BV$47+React!$C$115*Curves!$BV$70</f>
        <v/>
      </c>
      <c r="D117" s="5">
        <f>SUMPRODUCT(React!$C$113:$D$113,Curves!$BU$24:$BV$24)+SUMPRODUCT(React!$C$114:$D$114,Curves!$BU$47:$BV$47)+SUMPRODUCT(React!$C$115:$D$115,Curves!$BU$70:$BV$70)</f>
        <v/>
      </c>
      <c r="E117" s="5">
        <f>SUMPRODUCT(React!$C$113:$E$113,Curves!$BT$24:$BV$24)+SUMPRODUCT(React!$C$114:$E$114,Curves!$BT$47:$BV$47)+SUMPRODUCT(React!$C$115:$E$115,Curves!$BT$70:$BV$70)</f>
        <v/>
      </c>
      <c r="F117" s="5">
        <f>SUMPRODUCT(React!$C$113:$F$113,Curves!$BS$24:$BV$24)+SUMPRODUCT(React!$C$114:$F$114,Curves!$BS$47:$BV$47)+SUMPRODUCT(React!$C$115:$F$115,Curves!$BS$70:$BV$70)</f>
        <v/>
      </c>
      <c r="G117" s="5">
        <f>SUMPRODUCT(React!$C$113:$G$113,Curves!$BR$24:$BV$24)+SUMPRODUCT(React!$C$114:$G$114,Curves!$BR$47:$BV$47)+SUMPRODUCT(React!$C$115:$G$115,Curves!$BR$70:$BV$70)</f>
        <v/>
      </c>
      <c r="H117" s="5">
        <f>SUMPRODUCT(React!$C$113:$H$113,Curves!$BQ$24:$BV$24)+SUMPRODUCT(React!$C$114:$H$114,Curves!$BQ$47:$BV$47)+SUMPRODUCT(React!$C$115:$H$115,Curves!$BQ$70:$BV$70)</f>
        <v/>
      </c>
      <c r="I117" s="5">
        <f>SUMPRODUCT(React!$C$113:$I$113,Curves!$BP$24:$BV$24)+SUMPRODUCT(React!$C$114:$I$114,Curves!$BP$47:$BV$47)+SUMPRODUCT(React!$C$115:$I$115,Curves!$BP$70:$BV$70)</f>
        <v/>
      </c>
      <c r="J117" s="5">
        <f>SUMPRODUCT(React!$C$113:$J$113,Curves!$BO$24:$BV$24)+SUMPRODUCT(React!$C$114:$J$114,Curves!$BO$47:$BV$47)+SUMPRODUCT(React!$C$115:$J$115,Curves!$BO$70:$BV$70)</f>
        <v/>
      </c>
      <c r="K117" s="5">
        <f>SUMPRODUCT(React!$C$113:$K$113,Curves!$BN$24:$BV$24)+SUMPRODUCT(React!$C$114:$K$114,Curves!$BN$47:$BV$47)+SUMPRODUCT(React!$C$115:$K$115,Curves!$BN$70:$BV$70)</f>
        <v/>
      </c>
      <c r="L117" s="5">
        <f>SUMPRODUCT(React!$C$113:$L$113,Curves!$BM$24:$BV$24)+SUMPRODUCT(React!$C$114:$L$114,Curves!$BM$47:$BV$47)+SUMPRODUCT(React!$C$115:$L$115,Curves!$BM$70:$BV$70)</f>
        <v/>
      </c>
      <c r="M117" s="5">
        <f>SUMPRODUCT(React!$C$113:$M$113,Curves!$BL$24:$BV$24)+SUMPRODUCT(React!$C$114:$M$114,Curves!$BL$47:$BV$47)+SUMPRODUCT(React!$C$115:$M$115,Curves!$BL$70:$BV$70)</f>
        <v/>
      </c>
      <c r="N117" s="5">
        <f>SUMPRODUCT(React!$C$113:$N$113,Curves!$BK$24:$BV$24)+SUMPRODUCT(React!$C$114:$N$114,Curves!$BK$47:$BV$47)+SUMPRODUCT(React!$C$115:$N$115,Curves!$BK$70:$BV$70)</f>
        <v/>
      </c>
      <c r="O117" s="5">
        <f>SUMPRODUCT(React!$C$113:$O$113,Curves!$BJ$24:$BV$24)+SUMPRODUCT(React!$C$114:$O$114,Curves!$BJ$47:$BV$47)+SUMPRODUCT(React!$C$115:$O$115,Curves!$BJ$70:$BV$70)</f>
        <v/>
      </c>
      <c r="P117" s="5">
        <f>SUMPRODUCT(React!$C$113:$P$113,Curves!$BI$24:$BV$24)+SUMPRODUCT(React!$C$114:$P$114,Curves!$BI$47:$BV$47)+SUMPRODUCT(React!$C$115:$P$115,Curves!$BI$70:$BV$70)</f>
        <v/>
      </c>
      <c r="Q117" s="5">
        <f>SUMPRODUCT(React!$C$113:$Q$113,Curves!$BH$24:$BV$24)+SUMPRODUCT(React!$C$114:$Q$114,Curves!$BH$47:$BV$47)+SUMPRODUCT(React!$C$115:$Q$115,Curves!$BH$70:$BV$70)</f>
        <v/>
      </c>
      <c r="R117" s="5">
        <f>SUMPRODUCT(React!$C$113:$R$113,Curves!$BG$24:$BV$24)+SUMPRODUCT(React!$C$114:$R$114,Curves!$BG$47:$BV$47)+SUMPRODUCT(React!$C$115:$R$115,Curves!$BG$70:$BV$70)</f>
        <v/>
      </c>
      <c r="S117" s="5">
        <f>SUMPRODUCT(React!$C$113:$S$113,Curves!$BF$24:$BV$24)+SUMPRODUCT(React!$C$114:$S$114,Curves!$BF$47:$BV$47)+SUMPRODUCT(React!$C$115:$S$115,Curves!$BF$70:$BV$70)</f>
        <v/>
      </c>
      <c r="T117" s="5">
        <f>SUMPRODUCT(React!$C$113:$T$113,Curves!$BE$24:$BV$24)+SUMPRODUCT(React!$C$114:$T$114,Curves!$BE$47:$BV$47)+SUMPRODUCT(React!$C$115:$T$115,Curves!$BE$70:$BV$70)</f>
        <v/>
      </c>
      <c r="U117" s="5">
        <f>SUMPRODUCT(React!$C$113:$U$113,Curves!$BD$24:$BV$24)+SUMPRODUCT(React!$C$114:$U$114,Curves!$BD$47:$BV$47)+SUMPRODUCT(React!$C$115:$U$115,Curves!$BD$70:$BV$70)</f>
        <v/>
      </c>
      <c r="V117" s="5">
        <f>SUMPRODUCT(React!$C$113:$V$113,Curves!$BC$24:$BV$24)+SUMPRODUCT(React!$C$114:$V$114,Curves!$BC$47:$BV$47)+SUMPRODUCT(React!$C$115:$V$115,Curves!$BC$70:$BV$70)</f>
        <v/>
      </c>
      <c r="W117" s="5">
        <f>SUMPRODUCT(React!$C$113:$W$113,Curves!$BB$24:$BV$24)+SUMPRODUCT(React!$C$114:$W$114,Curves!$BB$47:$BV$47)+SUMPRODUCT(React!$C$115:$W$115,Curves!$BB$70:$BV$70)</f>
        <v/>
      </c>
      <c r="X117" s="5">
        <f>SUMPRODUCT(React!$C$113:$X$113,Curves!$BA$24:$BV$24)+SUMPRODUCT(React!$C$114:$X$114,Curves!$BA$47:$BV$47)+SUMPRODUCT(React!$C$115:$X$115,Curves!$BA$70:$BV$70)</f>
        <v/>
      </c>
      <c r="Y117" s="5">
        <f>SUMPRODUCT(React!$C$113:$Y$113,Curves!$AZ$24:$BV$24)+SUMPRODUCT(React!$C$114:$Y$114,Curves!$AZ$47:$BV$47)+SUMPRODUCT(React!$C$115:$Y$115,Curves!$AZ$70:$BV$70)</f>
        <v/>
      </c>
      <c r="Z117" s="5">
        <f>SUMPRODUCT(React!$C$113:$Z$113,Curves!$AY$24:$BV$24)+SUMPRODUCT(React!$C$114:$Z$114,Curves!$AY$47:$BV$47)+SUMPRODUCT(React!$C$115:$Z$115,Curves!$AY$70:$BV$70)</f>
        <v/>
      </c>
      <c r="AA117" s="5">
        <f>SUMPRODUCT(React!$C$113:$AA$113,Curves!$AX$24:$BV$24)+SUMPRODUCT(React!$C$114:$AA$114,Curves!$AX$47:$BV$47)+SUMPRODUCT(React!$C$115:$AA$115,Curves!$AX$70:$BV$70)</f>
        <v/>
      </c>
      <c r="AB117" s="5">
        <f>SUMPRODUCT(React!$C$113:$AB$113,Curves!$AW$24:$BV$24)+SUMPRODUCT(React!$C$114:$AB$114,Curves!$AW$47:$BV$47)+SUMPRODUCT(React!$C$115:$AB$115,Curves!$AW$70:$BV$70)</f>
        <v/>
      </c>
      <c r="AC117" s="5">
        <f>SUMPRODUCT(React!$C$113:$AC$113,Curves!$AV$24:$BV$24)+SUMPRODUCT(React!$C$114:$AC$114,Curves!$AV$47:$BV$47)+SUMPRODUCT(React!$C$115:$AC$115,Curves!$AV$70:$BV$70)</f>
        <v/>
      </c>
      <c r="AD117" s="5">
        <f>SUMPRODUCT(React!$C$113:$AD$113,Curves!$AU$24:$BV$24)+SUMPRODUCT(React!$C$114:$AD$114,Curves!$AU$47:$BV$47)+SUMPRODUCT(React!$C$115:$AD$115,Curves!$AU$70:$BV$70)</f>
        <v/>
      </c>
      <c r="AE117" s="5">
        <f>SUMPRODUCT(React!$C$113:$AE$113,Curves!$AT$24:$BV$24)+SUMPRODUCT(React!$C$114:$AE$114,Curves!$AT$47:$BV$47)+SUMPRODUCT(React!$C$115:$AE$115,Curves!$AT$70:$BV$70)</f>
        <v/>
      </c>
      <c r="AF117" s="5">
        <f>SUMPRODUCT(React!$C$113:$AF$113,Curves!$AS$24:$BV$24)+SUMPRODUCT(React!$C$114:$AF$114,Curves!$AS$47:$BV$47)+SUMPRODUCT(React!$C$115:$AF$115,Curves!$AS$70:$BV$70)</f>
        <v/>
      </c>
      <c r="AG117" s="5">
        <f>SUMPRODUCT(React!$C$113:$AG$113,Curves!$AR$24:$BV$24)+SUMPRODUCT(React!$C$114:$AG$114,Curves!$AR$47:$BV$47)+SUMPRODUCT(React!$C$115:$AG$115,Curves!$AR$70:$BV$70)</f>
        <v/>
      </c>
      <c r="AH117" s="5">
        <f>SUMPRODUCT(React!$C$113:$AH$113,Curves!$AQ$24:$BV$24)+SUMPRODUCT(React!$C$114:$AH$114,Curves!$AQ$47:$BV$47)+SUMPRODUCT(React!$C$115:$AH$115,Curves!$AQ$70:$BV$70)</f>
        <v/>
      </c>
      <c r="AI117" s="5">
        <f>SUMPRODUCT(React!$C$113:$AI$113,Curves!$AP$24:$BV$24)+SUMPRODUCT(React!$C$114:$AI$114,Curves!$AP$47:$BV$47)+SUMPRODUCT(React!$C$115:$AI$115,Curves!$AP$70:$BV$70)</f>
        <v/>
      </c>
      <c r="AJ117" s="5">
        <f>SUMPRODUCT(React!$C$113:$AJ$113,Curves!$AO$24:$BV$24)+SUMPRODUCT(React!$C$114:$AJ$114,Curves!$AO$47:$BV$47)+SUMPRODUCT(React!$C$115:$AJ$115,Curves!$AO$70:$BV$70)</f>
        <v/>
      </c>
      <c r="AK117" s="5">
        <f>SUMPRODUCT(React!$C$113:$AK$113,Curves!$AN$24:$BV$24)+SUMPRODUCT(React!$C$114:$AK$114,Curves!$AN$47:$BV$47)+SUMPRODUCT(React!$C$115:$AK$115,Curves!$AN$70:$BV$70)</f>
        <v/>
      </c>
      <c r="AL117" s="5">
        <f>SUMPRODUCT(React!$C$113:$AL$113,Curves!$AM$24:$BV$24)+SUMPRODUCT(React!$C$114:$AL$114,Curves!$AM$47:$BV$47)+SUMPRODUCT(React!$C$115:$AL$115,Curves!$AM$70:$BV$70)</f>
        <v/>
      </c>
      <c r="AM117" s="5">
        <f>SUMPRODUCT(React!$C$113:$AM$113,Curves!$AL$24:$BV$24)+SUMPRODUCT(React!$C$114:$AM$114,Curves!$AL$47:$BV$47)+SUMPRODUCT(React!$C$115:$AM$115,Curves!$AL$70:$BV$70)</f>
        <v/>
      </c>
      <c r="AN117" s="5">
        <f>SUMPRODUCT(React!$C$113:$AN$113,Curves!$AK$24:$BV$24)+SUMPRODUCT(React!$C$114:$AN$114,Curves!$AK$47:$BV$47)+SUMPRODUCT(React!$C$115:$AN$115,Curves!$AK$70:$BV$70)</f>
        <v/>
      </c>
      <c r="AO117" s="5">
        <f>SUMPRODUCT(React!$C$113:$AO$113,Curves!$AJ$24:$BV$24)+SUMPRODUCT(React!$C$114:$AO$114,Curves!$AJ$47:$BV$47)+SUMPRODUCT(React!$C$115:$AO$115,Curves!$AJ$70:$BV$70)</f>
        <v/>
      </c>
      <c r="AP117" s="5">
        <f>SUMPRODUCT(React!$C$113:$AP$113,Curves!$AI$24:$BV$24)+SUMPRODUCT(React!$C$114:$AP$114,Curves!$AI$47:$BV$47)+SUMPRODUCT(React!$C$115:$AP$115,Curves!$AI$70:$BV$70)</f>
        <v/>
      </c>
      <c r="AQ117" s="5">
        <f>SUMPRODUCT(React!$C$113:$AQ$113,Curves!$AH$24:$BV$24)+SUMPRODUCT(React!$C$114:$AQ$114,Curves!$AH$47:$BV$47)+SUMPRODUCT(React!$C$115:$AQ$115,Curves!$AH$70:$BV$70)</f>
        <v/>
      </c>
      <c r="AR117" s="5">
        <f>SUMPRODUCT(React!$C$113:$AR$113,Curves!$AG$24:$BV$24)+SUMPRODUCT(React!$C$114:$AR$114,Curves!$AG$47:$BV$47)+SUMPRODUCT(React!$C$115:$AR$115,Curves!$AG$70:$BV$70)</f>
        <v/>
      </c>
      <c r="AS117" s="5">
        <f>SUMPRODUCT(React!$C$113:$AS$113,Curves!$AF$24:$BV$24)+SUMPRODUCT(React!$C$114:$AS$114,Curves!$AF$47:$BV$47)+SUMPRODUCT(React!$C$115:$AS$115,Curves!$AF$70:$BV$70)</f>
        <v/>
      </c>
      <c r="AT117" s="5">
        <f>SUMPRODUCT(React!$C$113:$AT$113,Curves!$AE$24:$BV$24)+SUMPRODUCT(React!$C$114:$AT$114,Curves!$AE$47:$BV$47)+SUMPRODUCT(React!$C$115:$AT$115,Curves!$AE$70:$BV$70)</f>
        <v/>
      </c>
      <c r="AU117" s="5">
        <f>SUMPRODUCT(React!$C$113:$AU$113,Curves!$AD$24:$BV$24)+SUMPRODUCT(React!$C$114:$AU$114,Curves!$AD$47:$BV$47)+SUMPRODUCT(React!$C$115:$AU$115,Curves!$AD$70:$BV$70)</f>
        <v/>
      </c>
      <c r="AV117" s="5">
        <f>SUMPRODUCT(React!$C$113:$AV$113,Curves!$AC$24:$BV$24)+SUMPRODUCT(React!$C$114:$AV$114,Curves!$AC$47:$BV$47)+SUMPRODUCT(React!$C$115:$AV$115,Curves!$AC$70:$BV$70)</f>
        <v/>
      </c>
      <c r="AW117" s="5">
        <f>SUMPRODUCT(React!$C$113:$AW$113,Curves!$AB$24:$BV$24)+SUMPRODUCT(React!$C$114:$AW$114,Curves!$AB$47:$BV$47)+SUMPRODUCT(React!$C$115:$AW$115,Curves!$AB$70:$BV$70)</f>
        <v/>
      </c>
      <c r="AX117" s="5">
        <f>SUMPRODUCT(React!$C$113:$AX$113,Curves!$AA$24:$BV$24)+SUMPRODUCT(React!$C$114:$AX$114,Curves!$AA$47:$BV$47)+SUMPRODUCT(React!$C$115:$AX$115,Curves!$AA$70:$BV$70)</f>
        <v/>
      </c>
      <c r="AY117" s="5">
        <f>SUMPRODUCT(React!$C$113:$AY$113,Curves!$Z$24:$BV$24)+SUMPRODUCT(React!$C$114:$AY$114,Curves!$Z$47:$BV$47)+SUMPRODUCT(React!$C$115:$AY$115,Curves!$Z$70:$BV$70)</f>
        <v/>
      </c>
      <c r="AZ117" s="5">
        <f>SUMPRODUCT(React!$C$113:$AZ$113,Curves!$Y$24:$BV$24)+SUMPRODUCT(React!$C$114:$AZ$114,Curves!$Y$47:$BV$47)+SUMPRODUCT(React!$C$115:$AZ$115,Curves!$Y$70:$BV$70)</f>
        <v/>
      </c>
      <c r="BA117" s="5">
        <f>SUMPRODUCT(React!$C$113:$BA$113,Curves!$X$24:$BV$24)+SUMPRODUCT(React!$C$114:$BA$114,Curves!$X$47:$BV$47)+SUMPRODUCT(React!$C$115:$BA$115,Curves!$X$70:$BV$70)</f>
        <v/>
      </c>
      <c r="BB117" s="5">
        <f>SUMPRODUCT(React!$C$113:$BB$113,Curves!$W$24:$BV$24)+SUMPRODUCT(React!$C$114:$BB$114,Curves!$W$47:$BV$47)+SUMPRODUCT(React!$C$115:$BB$115,Curves!$W$70:$BV$70)</f>
        <v/>
      </c>
      <c r="BC117" s="5">
        <f>SUMPRODUCT(React!$C$113:$BC$113,Curves!$V$24:$BV$24)+SUMPRODUCT(React!$C$114:$BC$114,Curves!$V$47:$BV$47)+SUMPRODUCT(React!$C$115:$BC$115,Curves!$V$70:$BV$70)</f>
        <v/>
      </c>
      <c r="BD117" s="5">
        <f>SUMPRODUCT(React!$C$113:$BD$113,Curves!$U$24:$BV$24)+SUMPRODUCT(React!$C$114:$BD$114,Curves!$U$47:$BV$47)+SUMPRODUCT(React!$C$115:$BD$115,Curves!$U$70:$BV$70)</f>
        <v/>
      </c>
      <c r="BE117" s="5">
        <f>SUMPRODUCT(React!$C$113:$BE$113,Curves!$T$24:$BV$24)+SUMPRODUCT(React!$C$114:$BE$114,Curves!$T$47:$BV$47)+SUMPRODUCT(React!$C$115:$BE$115,Curves!$T$70:$BV$70)</f>
        <v/>
      </c>
      <c r="BF117" s="5">
        <f>SUMPRODUCT(React!$C$113:$BF$113,Curves!$S$24:$BV$24)+SUMPRODUCT(React!$C$114:$BF$114,Curves!$S$47:$BV$47)+SUMPRODUCT(React!$C$115:$BF$115,Curves!$S$70:$BV$70)</f>
        <v/>
      </c>
      <c r="BG117" s="5">
        <f>SUMPRODUCT(React!$C$113:$BG$113,Curves!$R$24:$BV$24)+SUMPRODUCT(React!$C$114:$BG$114,Curves!$R$47:$BV$47)+SUMPRODUCT(React!$C$115:$BG$115,Curves!$R$70:$BV$70)</f>
        <v/>
      </c>
      <c r="BH117" s="5">
        <f>SUMPRODUCT(React!$C$113:$BH$113,Curves!$Q$24:$BV$24)+SUMPRODUCT(React!$C$114:$BH$114,Curves!$Q$47:$BV$47)+SUMPRODUCT(React!$C$115:$BH$115,Curves!$Q$70:$BV$70)</f>
        <v/>
      </c>
      <c r="BI117" s="5">
        <f>SUMPRODUCT(React!$C$113:$BI$113,Curves!$P$24:$BV$24)+SUMPRODUCT(React!$C$114:$BI$114,Curves!$P$47:$BV$47)+SUMPRODUCT(React!$C$115:$BI$115,Curves!$P$70:$BV$70)</f>
        <v/>
      </c>
      <c r="BJ117" s="5">
        <f>SUMPRODUCT(React!$C$113:$BJ$113,Curves!$O$24:$BV$24)+SUMPRODUCT(React!$C$114:$BJ$114,Curves!$O$47:$BV$47)+SUMPRODUCT(React!$C$115:$BJ$115,Curves!$O$70:$BV$70)</f>
        <v/>
      </c>
      <c r="BK117" s="5">
        <f>SUMPRODUCT(React!$C$113:$BK$113,Curves!$N$24:$BV$24)+SUMPRODUCT(React!$C$114:$BK$114,Curves!$N$47:$BV$47)+SUMPRODUCT(React!$C$115:$BK$115,Curves!$N$70:$BV$70)</f>
        <v/>
      </c>
      <c r="BL117" s="5">
        <f>SUMPRODUCT(React!$C$113:$BL$113,Curves!$M$24:$BV$24)+SUMPRODUCT(React!$C$114:$BL$114,Curves!$M$47:$BV$47)+SUMPRODUCT(React!$C$115:$BL$115,Curves!$M$70:$BV$70)</f>
        <v/>
      </c>
      <c r="BM117" s="5">
        <f>SUMPRODUCT(React!$C$113:$BM$113,Curves!$L$24:$BV$24)+SUMPRODUCT(React!$C$114:$BM$114,Curves!$L$47:$BV$47)+SUMPRODUCT(React!$C$115:$BM$115,Curves!$L$70:$BV$70)</f>
        <v/>
      </c>
      <c r="BN117" s="5">
        <f>SUMPRODUCT(React!$C$113:$BN$113,Curves!$K$24:$BV$24)+SUMPRODUCT(React!$C$114:$BN$114,Curves!$K$47:$BV$47)+SUMPRODUCT(React!$C$115:$BN$115,Curves!$K$70:$BV$70)</f>
        <v/>
      </c>
      <c r="BO117" s="5">
        <f>SUMPRODUCT(React!$C$113:$BO$113,Curves!$J$24:$BV$24)+SUMPRODUCT(React!$C$114:$BO$114,Curves!$J$47:$BV$47)+SUMPRODUCT(React!$C$115:$BO$115,Curves!$J$70:$BV$70)</f>
        <v/>
      </c>
      <c r="BP117" s="5">
        <f>SUMPRODUCT(React!$C$113:$BP$113,Curves!$I$24:$BV$24)+SUMPRODUCT(React!$C$114:$BP$114,Curves!$I$47:$BV$47)+SUMPRODUCT(React!$C$115:$BP$115,Curves!$I$70:$BV$70)</f>
        <v/>
      </c>
      <c r="BQ117" s="5">
        <f>SUMPRODUCT(React!$C$113:$BQ$113,Curves!$H$24:$BV$24)+SUMPRODUCT(React!$C$114:$BQ$114,Curves!$H$47:$BV$47)+SUMPRODUCT(React!$C$115:$BQ$115,Curves!$H$70:$BV$70)</f>
        <v/>
      </c>
      <c r="BR117" s="5">
        <f>SUMPRODUCT(React!$C$113:$BR$113,Curves!$G$24:$BV$24)+SUMPRODUCT(React!$C$114:$BR$114,Curves!$G$47:$BV$47)+SUMPRODUCT(React!$C$115:$BR$115,Curves!$G$70:$BV$70)</f>
        <v/>
      </c>
      <c r="BS117" s="5">
        <f>SUMPRODUCT(React!$C$113:$BS$113,Curves!$F$24:$BV$24)+SUMPRODUCT(React!$C$114:$BS$114,Curves!$F$47:$BV$47)+SUMPRODUCT(React!$C$115:$BS$115,Curves!$F$70:$BV$70)</f>
        <v/>
      </c>
      <c r="BT117" s="5">
        <f>SUMPRODUCT(React!$C$113:$BT$113,Curves!$E$24:$BV$24)+SUMPRODUCT(React!$C$114:$BT$114,Curves!$E$47:$BV$47)+SUMPRODUCT(React!$C$115:$BT$115,Curves!$E$70:$BV$70)</f>
        <v/>
      </c>
      <c r="BU117" s="5">
        <f>SUMPRODUCT(React!$C$113:$BU$113,Curves!$D$24:$BV$24)+SUMPRODUCT(React!$C$114:$BU$114,Curves!$D$47:$BV$47)+SUMPRODUCT(React!$C$115:$BU$115,Curves!$D$70:$BV$70)</f>
        <v/>
      </c>
      <c r="BV117" s="5">
        <f>SUMPRODUCT(React!$C$113:$BV$113,Curves!$C$24:$BV$24)+SUMPRODUCT(React!$C$114:$BV$114,Curves!$C$47:$BV$47)+SUMPRODUCT(React!$C$115:$BV$115,Curves!$C$70:$BV$70)</f>
        <v/>
      </c>
    </row>
    <row r="118">
      <c r="A118" t="inlineStr">
        <is>
          <t>churned</t>
        </is>
      </c>
      <c r="B118" t="inlineStr">
        <is>
          <t>LATAM|NITRO_M</t>
        </is>
      </c>
      <c r="C118" s="5">
        <f>React!$C$113*Curves!$BV$20+React!$C$114*Curves!$BV$43+React!$C$115*Curves!$BV$66</f>
        <v/>
      </c>
      <c r="D118" s="5">
        <f>SUMPRODUCT(React!$C$113:$D$113,Curves!$BU$20:$BV$20)+SUMPRODUCT(React!$C$114:$D$114,Curves!$BU$43:$BV$43)+SUMPRODUCT(React!$C$115:$D$115,Curves!$BU$66:$BV$66)</f>
        <v/>
      </c>
      <c r="E118" s="5">
        <f>SUMPRODUCT(React!$C$113:$E$113,Curves!$BT$20:$BV$20)+SUMPRODUCT(React!$C$114:$E$114,Curves!$BT$43:$BV$43)+SUMPRODUCT(React!$C$115:$E$115,Curves!$BT$66:$BV$66)</f>
        <v/>
      </c>
      <c r="F118" s="5">
        <f>SUMPRODUCT(React!$C$113:$F$113,Curves!$BS$20:$BV$20)+SUMPRODUCT(React!$C$114:$F$114,Curves!$BS$43:$BV$43)+SUMPRODUCT(React!$C$115:$F$115,Curves!$BS$66:$BV$66)</f>
        <v/>
      </c>
      <c r="G118" s="5">
        <f>SUMPRODUCT(React!$C$113:$G$113,Curves!$BR$20:$BV$20)+SUMPRODUCT(React!$C$114:$G$114,Curves!$BR$43:$BV$43)+SUMPRODUCT(React!$C$115:$G$115,Curves!$BR$66:$BV$66)</f>
        <v/>
      </c>
      <c r="H118" s="5">
        <f>SUMPRODUCT(React!$C$113:$H$113,Curves!$BQ$20:$BV$20)+SUMPRODUCT(React!$C$114:$H$114,Curves!$BQ$43:$BV$43)+SUMPRODUCT(React!$C$115:$H$115,Curves!$BQ$66:$BV$66)</f>
        <v/>
      </c>
      <c r="I118" s="5">
        <f>SUMPRODUCT(React!$C$113:$I$113,Curves!$BP$20:$BV$20)+SUMPRODUCT(React!$C$114:$I$114,Curves!$BP$43:$BV$43)+SUMPRODUCT(React!$C$115:$I$115,Curves!$BP$66:$BV$66)</f>
        <v/>
      </c>
      <c r="J118" s="5">
        <f>SUMPRODUCT(React!$C$113:$J$113,Curves!$BO$20:$BV$20)+SUMPRODUCT(React!$C$114:$J$114,Curves!$BO$43:$BV$43)+SUMPRODUCT(React!$C$115:$J$115,Curves!$BO$66:$BV$66)</f>
        <v/>
      </c>
      <c r="K118" s="5">
        <f>SUMPRODUCT(React!$C$113:$K$113,Curves!$BN$20:$BV$20)+SUMPRODUCT(React!$C$114:$K$114,Curves!$BN$43:$BV$43)+SUMPRODUCT(React!$C$115:$K$115,Curves!$BN$66:$BV$66)</f>
        <v/>
      </c>
      <c r="L118" s="5">
        <f>SUMPRODUCT(React!$C$113:$L$113,Curves!$BM$20:$BV$20)+SUMPRODUCT(React!$C$114:$L$114,Curves!$BM$43:$BV$43)+SUMPRODUCT(React!$C$115:$L$115,Curves!$BM$66:$BV$66)</f>
        <v/>
      </c>
      <c r="M118" s="5">
        <f>SUMPRODUCT(React!$C$113:$M$113,Curves!$BL$20:$BV$20)+SUMPRODUCT(React!$C$114:$M$114,Curves!$BL$43:$BV$43)+SUMPRODUCT(React!$C$115:$M$115,Curves!$BL$66:$BV$66)</f>
        <v/>
      </c>
      <c r="N118" s="5">
        <f>SUMPRODUCT(React!$C$113:$N$113,Curves!$BK$20:$BV$20)+SUMPRODUCT(React!$C$114:$N$114,Curves!$BK$43:$BV$43)+SUMPRODUCT(React!$C$115:$N$115,Curves!$BK$66:$BV$66)</f>
        <v/>
      </c>
      <c r="O118" s="5">
        <f>SUMPRODUCT(React!$C$113:$O$113,Curves!$BJ$20:$BV$20)+SUMPRODUCT(React!$C$114:$O$114,Curves!$BJ$43:$BV$43)+SUMPRODUCT(React!$C$115:$O$115,Curves!$BJ$66:$BV$66)</f>
        <v/>
      </c>
      <c r="P118" s="5">
        <f>SUMPRODUCT(React!$C$113:$P$113,Curves!$BI$20:$BV$20)+SUMPRODUCT(React!$C$114:$P$114,Curves!$BI$43:$BV$43)+SUMPRODUCT(React!$C$115:$P$115,Curves!$BI$66:$BV$66)</f>
        <v/>
      </c>
      <c r="Q118" s="5">
        <f>SUMPRODUCT(React!$C$113:$Q$113,Curves!$BH$20:$BV$20)+SUMPRODUCT(React!$C$114:$Q$114,Curves!$BH$43:$BV$43)+SUMPRODUCT(React!$C$115:$Q$115,Curves!$BH$66:$BV$66)</f>
        <v/>
      </c>
      <c r="R118" s="5">
        <f>SUMPRODUCT(React!$C$113:$R$113,Curves!$BG$20:$BV$20)+SUMPRODUCT(React!$C$114:$R$114,Curves!$BG$43:$BV$43)+SUMPRODUCT(React!$C$115:$R$115,Curves!$BG$66:$BV$66)</f>
        <v/>
      </c>
      <c r="S118" s="5">
        <f>SUMPRODUCT(React!$C$113:$S$113,Curves!$BF$20:$BV$20)+SUMPRODUCT(React!$C$114:$S$114,Curves!$BF$43:$BV$43)+SUMPRODUCT(React!$C$115:$S$115,Curves!$BF$66:$BV$66)</f>
        <v/>
      </c>
      <c r="T118" s="5">
        <f>SUMPRODUCT(React!$C$113:$T$113,Curves!$BE$20:$BV$20)+SUMPRODUCT(React!$C$114:$T$114,Curves!$BE$43:$BV$43)+SUMPRODUCT(React!$C$115:$T$115,Curves!$BE$66:$BV$66)</f>
        <v/>
      </c>
      <c r="U118" s="5">
        <f>SUMPRODUCT(React!$C$113:$U$113,Curves!$BD$20:$BV$20)+SUMPRODUCT(React!$C$114:$U$114,Curves!$BD$43:$BV$43)+SUMPRODUCT(React!$C$115:$U$115,Curves!$BD$66:$BV$66)</f>
        <v/>
      </c>
      <c r="V118" s="5">
        <f>SUMPRODUCT(React!$C$113:$V$113,Curves!$BC$20:$BV$20)+SUMPRODUCT(React!$C$114:$V$114,Curves!$BC$43:$BV$43)+SUMPRODUCT(React!$C$115:$V$115,Curves!$BC$66:$BV$66)</f>
        <v/>
      </c>
      <c r="W118" s="5">
        <f>SUMPRODUCT(React!$C$113:$W$113,Curves!$BB$20:$BV$20)+SUMPRODUCT(React!$C$114:$W$114,Curves!$BB$43:$BV$43)+SUMPRODUCT(React!$C$115:$W$115,Curves!$BB$66:$BV$66)</f>
        <v/>
      </c>
      <c r="X118" s="5">
        <f>SUMPRODUCT(React!$C$113:$X$113,Curves!$BA$20:$BV$20)+SUMPRODUCT(React!$C$114:$X$114,Curves!$BA$43:$BV$43)+SUMPRODUCT(React!$C$115:$X$115,Curves!$BA$66:$BV$66)</f>
        <v/>
      </c>
      <c r="Y118" s="5">
        <f>SUMPRODUCT(React!$C$113:$Y$113,Curves!$AZ$20:$BV$20)+SUMPRODUCT(React!$C$114:$Y$114,Curves!$AZ$43:$BV$43)+SUMPRODUCT(React!$C$115:$Y$115,Curves!$AZ$66:$BV$66)</f>
        <v/>
      </c>
      <c r="Z118" s="5">
        <f>SUMPRODUCT(React!$C$113:$Z$113,Curves!$AY$20:$BV$20)+SUMPRODUCT(React!$C$114:$Z$114,Curves!$AY$43:$BV$43)+SUMPRODUCT(React!$C$115:$Z$115,Curves!$AY$66:$BV$66)</f>
        <v/>
      </c>
      <c r="AA118" s="5">
        <f>SUMPRODUCT(React!$C$113:$AA$113,Curves!$AX$20:$BV$20)+SUMPRODUCT(React!$C$114:$AA$114,Curves!$AX$43:$BV$43)+SUMPRODUCT(React!$C$115:$AA$115,Curves!$AX$66:$BV$66)</f>
        <v/>
      </c>
      <c r="AB118" s="5">
        <f>SUMPRODUCT(React!$C$113:$AB$113,Curves!$AW$20:$BV$20)+SUMPRODUCT(React!$C$114:$AB$114,Curves!$AW$43:$BV$43)+SUMPRODUCT(React!$C$115:$AB$115,Curves!$AW$66:$BV$66)</f>
        <v/>
      </c>
      <c r="AC118" s="5">
        <f>SUMPRODUCT(React!$C$113:$AC$113,Curves!$AV$20:$BV$20)+SUMPRODUCT(React!$C$114:$AC$114,Curves!$AV$43:$BV$43)+SUMPRODUCT(React!$C$115:$AC$115,Curves!$AV$66:$BV$66)</f>
        <v/>
      </c>
      <c r="AD118" s="5">
        <f>SUMPRODUCT(React!$C$113:$AD$113,Curves!$AU$20:$BV$20)+SUMPRODUCT(React!$C$114:$AD$114,Curves!$AU$43:$BV$43)+SUMPRODUCT(React!$C$115:$AD$115,Curves!$AU$66:$BV$66)</f>
        <v/>
      </c>
      <c r="AE118" s="5">
        <f>SUMPRODUCT(React!$C$113:$AE$113,Curves!$AT$20:$BV$20)+SUMPRODUCT(React!$C$114:$AE$114,Curves!$AT$43:$BV$43)+SUMPRODUCT(React!$C$115:$AE$115,Curves!$AT$66:$BV$66)</f>
        <v/>
      </c>
      <c r="AF118" s="5">
        <f>SUMPRODUCT(React!$C$113:$AF$113,Curves!$AS$20:$BV$20)+SUMPRODUCT(React!$C$114:$AF$114,Curves!$AS$43:$BV$43)+SUMPRODUCT(React!$C$115:$AF$115,Curves!$AS$66:$BV$66)</f>
        <v/>
      </c>
      <c r="AG118" s="5">
        <f>SUMPRODUCT(React!$C$113:$AG$113,Curves!$AR$20:$BV$20)+SUMPRODUCT(React!$C$114:$AG$114,Curves!$AR$43:$BV$43)+SUMPRODUCT(React!$C$115:$AG$115,Curves!$AR$66:$BV$66)</f>
        <v/>
      </c>
      <c r="AH118" s="5">
        <f>SUMPRODUCT(React!$C$113:$AH$113,Curves!$AQ$20:$BV$20)+SUMPRODUCT(React!$C$114:$AH$114,Curves!$AQ$43:$BV$43)+SUMPRODUCT(React!$C$115:$AH$115,Curves!$AQ$66:$BV$66)</f>
        <v/>
      </c>
      <c r="AI118" s="5">
        <f>SUMPRODUCT(React!$C$113:$AI$113,Curves!$AP$20:$BV$20)+SUMPRODUCT(React!$C$114:$AI$114,Curves!$AP$43:$BV$43)+SUMPRODUCT(React!$C$115:$AI$115,Curves!$AP$66:$BV$66)</f>
        <v/>
      </c>
      <c r="AJ118" s="5">
        <f>SUMPRODUCT(React!$C$113:$AJ$113,Curves!$AO$20:$BV$20)+SUMPRODUCT(React!$C$114:$AJ$114,Curves!$AO$43:$BV$43)+SUMPRODUCT(React!$C$115:$AJ$115,Curves!$AO$66:$BV$66)</f>
        <v/>
      </c>
      <c r="AK118" s="5">
        <f>SUMPRODUCT(React!$C$113:$AK$113,Curves!$AN$20:$BV$20)+SUMPRODUCT(React!$C$114:$AK$114,Curves!$AN$43:$BV$43)+SUMPRODUCT(React!$C$115:$AK$115,Curves!$AN$66:$BV$66)</f>
        <v/>
      </c>
      <c r="AL118" s="5">
        <f>SUMPRODUCT(React!$C$113:$AL$113,Curves!$AM$20:$BV$20)+SUMPRODUCT(React!$C$114:$AL$114,Curves!$AM$43:$BV$43)+SUMPRODUCT(React!$C$115:$AL$115,Curves!$AM$66:$BV$66)</f>
        <v/>
      </c>
      <c r="AM118" s="5">
        <f>SUMPRODUCT(React!$C$113:$AM$113,Curves!$AL$20:$BV$20)+SUMPRODUCT(React!$C$114:$AM$114,Curves!$AL$43:$BV$43)+SUMPRODUCT(React!$C$115:$AM$115,Curves!$AL$66:$BV$66)</f>
        <v/>
      </c>
      <c r="AN118" s="5">
        <f>SUMPRODUCT(React!$C$113:$AN$113,Curves!$AK$20:$BV$20)+SUMPRODUCT(React!$C$114:$AN$114,Curves!$AK$43:$BV$43)+SUMPRODUCT(React!$C$115:$AN$115,Curves!$AK$66:$BV$66)</f>
        <v/>
      </c>
      <c r="AO118" s="5">
        <f>SUMPRODUCT(React!$C$113:$AO$113,Curves!$AJ$20:$BV$20)+SUMPRODUCT(React!$C$114:$AO$114,Curves!$AJ$43:$BV$43)+SUMPRODUCT(React!$C$115:$AO$115,Curves!$AJ$66:$BV$66)</f>
        <v/>
      </c>
      <c r="AP118" s="5">
        <f>SUMPRODUCT(React!$C$113:$AP$113,Curves!$AI$20:$BV$20)+SUMPRODUCT(React!$C$114:$AP$114,Curves!$AI$43:$BV$43)+SUMPRODUCT(React!$C$115:$AP$115,Curves!$AI$66:$BV$66)</f>
        <v/>
      </c>
      <c r="AQ118" s="5">
        <f>SUMPRODUCT(React!$C$113:$AQ$113,Curves!$AH$20:$BV$20)+SUMPRODUCT(React!$C$114:$AQ$114,Curves!$AH$43:$BV$43)+SUMPRODUCT(React!$C$115:$AQ$115,Curves!$AH$66:$BV$66)</f>
        <v/>
      </c>
      <c r="AR118" s="5">
        <f>SUMPRODUCT(React!$C$113:$AR$113,Curves!$AG$20:$BV$20)+SUMPRODUCT(React!$C$114:$AR$114,Curves!$AG$43:$BV$43)+SUMPRODUCT(React!$C$115:$AR$115,Curves!$AG$66:$BV$66)</f>
        <v/>
      </c>
      <c r="AS118" s="5">
        <f>SUMPRODUCT(React!$C$113:$AS$113,Curves!$AF$20:$BV$20)+SUMPRODUCT(React!$C$114:$AS$114,Curves!$AF$43:$BV$43)+SUMPRODUCT(React!$C$115:$AS$115,Curves!$AF$66:$BV$66)</f>
        <v/>
      </c>
      <c r="AT118" s="5">
        <f>SUMPRODUCT(React!$C$113:$AT$113,Curves!$AE$20:$BV$20)+SUMPRODUCT(React!$C$114:$AT$114,Curves!$AE$43:$BV$43)+SUMPRODUCT(React!$C$115:$AT$115,Curves!$AE$66:$BV$66)</f>
        <v/>
      </c>
      <c r="AU118" s="5">
        <f>SUMPRODUCT(React!$C$113:$AU$113,Curves!$AD$20:$BV$20)+SUMPRODUCT(React!$C$114:$AU$114,Curves!$AD$43:$BV$43)+SUMPRODUCT(React!$C$115:$AU$115,Curves!$AD$66:$BV$66)</f>
        <v/>
      </c>
      <c r="AV118" s="5">
        <f>SUMPRODUCT(React!$C$113:$AV$113,Curves!$AC$20:$BV$20)+SUMPRODUCT(React!$C$114:$AV$114,Curves!$AC$43:$BV$43)+SUMPRODUCT(React!$C$115:$AV$115,Curves!$AC$66:$BV$66)</f>
        <v/>
      </c>
      <c r="AW118" s="5">
        <f>SUMPRODUCT(React!$C$113:$AW$113,Curves!$AB$20:$BV$20)+SUMPRODUCT(React!$C$114:$AW$114,Curves!$AB$43:$BV$43)+SUMPRODUCT(React!$C$115:$AW$115,Curves!$AB$66:$BV$66)</f>
        <v/>
      </c>
      <c r="AX118" s="5">
        <f>SUMPRODUCT(React!$C$113:$AX$113,Curves!$AA$20:$BV$20)+SUMPRODUCT(React!$C$114:$AX$114,Curves!$AA$43:$BV$43)+SUMPRODUCT(React!$C$115:$AX$115,Curves!$AA$66:$BV$66)</f>
        <v/>
      </c>
      <c r="AY118" s="5">
        <f>SUMPRODUCT(React!$C$113:$AY$113,Curves!$Z$20:$BV$20)+SUMPRODUCT(React!$C$114:$AY$114,Curves!$Z$43:$BV$43)+SUMPRODUCT(React!$C$115:$AY$115,Curves!$Z$66:$BV$66)</f>
        <v/>
      </c>
      <c r="AZ118" s="5">
        <f>SUMPRODUCT(React!$C$113:$AZ$113,Curves!$Y$20:$BV$20)+SUMPRODUCT(React!$C$114:$AZ$114,Curves!$Y$43:$BV$43)+SUMPRODUCT(React!$C$115:$AZ$115,Curves!$Y$66:$BV$66)</f>
        <v/>
      </c>
      <c r="BA118" s="5">
        <f>SUMPRODUCT(React!$C$113:$BA$113,Curves!$X$20:$BV$20)+SUMPRODUCT(React!$C$114:$BA$114,Curves!$X$43:$BV$43)+SUMPRODUCT(React!$C$115:$BA$115,Curves!$X$66:$BV$66)</f>
        <v/>
      </c>
      <c r="BB118" s="5">
        <f>SUMPRODUCT(React!$C$113:$BB$113,Curves!$W$20:$BV$20)+SUMPRODUCT(React!$C$114:$BB$114,Curves!$W$43:$BV$43)+SUMPRODUCT(React!$C$115:$BB$115,Curves!$W$66:$BV$66)</f>
        <v/>
      </c>
      <c r="BC118" s="5">
        <f>SUMPRODUCT(React!$C$113:$BC$113,Curves!$V$20:$BV$20)+SUMPRODUCT(React!$C$114:$BC$114,Curves!$V$43:$BV$43)+SUMPRODUCT(React!$C$115:$BC$115,Curves!$V$66:$BV$66)</f>
        <v/>
      </c>
      <c r="BD118" s="5">
        <f>SUMPRODUCT(React!$C$113:$BD$113,Curves!$U$20:$BV$20)+SUMPRODUCT(React!$C$114:$BD$114,Curves!$U$43:$BV$43)+SUMPRODUCT(React!$C$115:$BD$115,Curves!$U$66:$BV$66)</f>
        <v/>
      </c>
      <c r="BE118" s="5">
        <f>SUMPRODUCT(React!$C$113:$BE$113,Curves!$T$20:$BV$20)+SUMPRODUCT(React!$C$114:$BE$114,Curves!$T$43:$BV$43)+SUMPRODUCT(React!$C$115:$BE$115,Curves!$T$66:$BV$66)</f>
        <v/>
      </c>
      <c r="BF118" s="5">
        <f>SUMPRODUCT(React!$C$113:$BF$113,Curves!$S$20:$BV$20)+SUMPRODUCT(React!$C$114:$BF$114,Curves!$S$43:$BV$43)+SUMPRODUCT(React!$C$115:$BF$115,Curves!$S$66:$BV$66)</f>
        <v/>
      </c>
      <c r="BG118" s="5">
        <f>SUMPRODUCT(React!$C$113:$BG$113,Curves!$R$20:$BV$20)+SUMPRODUCT(React!$C$114:$BG$114,Curves!$R$43:$BV$43)+SUMPRODUCT(React!$C$115:$BG$115,Curves!$R$66:$BV$66)</f>
        <v/>
      </c>
      <c r="BH118" s="5">
        <f>SUMPRODUCT(React!$C$113:$BH$113,Curves!$Q$20:$BV$20)+SUMPRODUCT(React!$C$114:$BH$114,Curves!$Q$43:$BV$43)+SUMPRODUCT(React!$C$115:$BH$115,Curves!$Q$66:$BV$66)</f>
        <v/>
      </c>
      <c r="BI118" s="5">
        <f>SUMPRODUCT(React!$C$113:$BI$113,Curves!$P$20:$BV$20)+SUMPRODUCT(React!$C$114:$BI$114,Curves!$P$43:$BV$43)+SUMPRODUCT(React!$C$115:$BI$115,Curves!$P$66:$BV$66)</f>
        <v/>
      </c>
      <c r="BJ118" s="5">
        <f>SUMPRODUCT(React!$C$113:$BJ$113,Curves!$O$20:$BV$20)+SUMPRODUCT(React!$C$114:$BJ$114,Curves!$O$43:$BV$43)+SUMPRODUCT(React!$C$115:$BJ$115,Curves!$O$66:$BV$66)</f>
        <v/>
      </c>
      <c r="BK118" s="5">
        <f>SUMPRODUCT(React!$C$113:$BK$113,Curves!$N$20:$BV$20)+SUMPRODUCT(React!$C$114:$BK$114,Curves!$N$43:$BV$43)+SUMPRODUCT(React!$C$115:$BK$115,Curves!$N$66:$BV$66)</f>
        <v/>
      </c>
      <c r="BL118" s="5">
        <f>SUMPRODUCT(React!$C$113:$BL$113,Curves!$M$20:$BV$20)+SUMPRODUCT(React!$C$114:$BL$114,Curves!$M$43:$BV$43)+SUMPRODUCT(React!$C$115:$BL$115,Curves!$M$66:$BV$66)</f>
        <v/>
      </c>
      <c r="BM118" s="5">
        <f>SUMPRODUCT(React!$C$113:$BM$113,Curves!$L$20:$BV$20)+SUMPRODUCT(React!$C$114:$BM$114,Curves!$L$43:$BV$43)+SUMPRODUCT(React!$C$115:$BM$115,Curves!$L$66:$BV$66)</f>
        <v/>
      </c>
      <c r="BN118" s="5">
        <f>SUMPRODUCT(React!$C$113:$BN$113,Curves!$K$20:$BV$20)+SUMPRODUCT(React!$C$114:$BN$114,Curves!$K$43:$BV$43)+SUMPRODUCT(React!$C$115:$BN$115,Curves!$K$66:$BV$66)</f>
        <v/>
      </c>
      <c r="BO118" s="5">
        <f>SUMPRODUCT(React!$C$113:$BO$113,Curves!$J$20:$BV$20)+SUMPRODUCT(React!$C$114:$BO$114,Curves!$J$43:$BV$43)+SUMPRODUCT(React!$C$115:$BO$115,Curves!$J$66:$BV$66)</f>
        <v/>
      </c>
      <c r="BP118" s="5">
        <f>SUMPRODUCT(React!$C$113:$BP$113,Curves!$I$20:$BV$20)+SUMPRODUCT(React!$C$114:$BP$114,Curves!$I$43:$BV$43)+SUMPRODUCT(React!$C$115:$BP$115,Curves!$I$66:$BV$66)</f>
        <v/>
      </c>
      <c r="BQ118" s="5">
        <f>SUMPRODUCT(React!$C$113:$BQ$113,Curves!$H$20:$BV$20)+SUMPRODUCT(React!$C$114:$BQ$114,Curves!$H$43:$BV$43)+SUMPRODUCT(React!$C$115:$BQ$115,Curves!$H$66:$BV$66)</f>
        <v/>
      </c>
      <c r="BR118" s="5">
        <f>SUMPRODUCT(React!$C$113:$BR$113,Curves!$G$20:$BV$20)+SUMPRODUCT(React!$C$114:$BR$114,Curves!$G$43:$BV$43)+SUMPRODUCT(React!$C$115:$BR$115,Curves!$G$66:$BV$66)</f>
        <v/>
      </c>
      <c r="BS118" s="5">
        <f>SUMPRODUCT(React!$C$113:$BS$113,Curves!$F$20:$BV$20)+SUMPRODUCT(React!$C$114:$BS$114,Curves!$F$43:$BV$43)+SUMPRODUCT(React!$C$115:$BS$115,Curves!$F$66:$BV$66)</f>
        <v/>
      </c>
      <c r="BT118" s="5">
        <f>SUMPRODUCT(React!$C$113:$BT$113,Curves!$E$20:$BV$20)+SUMPRODUCT(React!$C$114:$BT$114,Curves!$E$43:$BV$43)+SUMPRODUCT(React!$C$115:$BT$115,Curves!$E$66:$BV$66)</f>
        <v/>
      </c>
      <c r="BU118" s="5">
        <f>SUMPRODUCT(React!$C$113:$BU$113,Curves!$D$20:$BV$20)+SUMPRODUCT(React!$C$114:$BU$114,Curves!$D$43:$BV$43)+SUMPRODUCT(React!$C$115:$BU$115,Curves!$D$66:$BV$66)</f>
        <v/>
      </c>
      <c r="BV118" s="5">
        <f>SUMPRODUCT(React!$C$113:$BV$113,Curves!$C$20:$BV$20)+SUMPRODUCT(React!$C$114:$BV$114,Curves!$C$43:$BV$43)+SUMPRODUCT(React!$C$115:$BV$115,Curves!$C$66:$BV$66)</f>
        <v/>
      </c>
    </row>
    <row r="120">
      <c r="A120" t="inlineStr">
        <is>
          <t>churn pool inflow</t>
        </is>
      </c>
      <c r="B120" t="inlineStr">
        <is>
          <t>LATAM|NITRO_A</t>
        </is>
      </c>
      <c r="C120" s="5">
        <f>Paid!C41+Legacy!C43</f>
        <v/>
      </c>
      <c r="D120" s="5">
        <f>Paid!D41+Legacy!D43</f>
        <v/>
      </c>
      <c r="E120" s="5">
        <f>Paid!E41+Legacy!E43</f>
        <v/>
      </c>
      <c r="F120" s="5">
        <f>Paid!F41+Legacy!F43</f>
        <v/>
      </c>
      <c r="G120" s="5">
        <f>Paid!G41+Legacy!G43</f>
        <v/>
      </c>
      <c r="H120" s="5">
        <f>Paid!H41+Legacy!H43</f>
        <v/>
      </c>
      <c r="I120" s="5">
        <f>Paid!I41+Legacy!I43</f>
        <v/>
      </c>
      <c r="J120" s="5">
        <f>Paid!J41+Legacy!J43</f>
        <v/>
      </c>
      <c r="K120" s="5">
        <f>Paid!K41+Legacy!K43</f>
        <v/>
      </c>
      <c r="L120" s="5">
        <f>Paid!L41+Legacy!L43</f>
        <v/>
      </c>
      <c r="M120" s="5">
        <f>Paid!M41+Legacy!M43</f>
        <v/>
      </c>
      <c r="N120" s="5">
        <f>Paid!N41+Legacy!N43</f>
        <v/>
      </c>
      <c r="O120" s="5">
        <f>Paid!O41+Legacy!O43</f>
        <v/>
      </c>
      <c r="P120" s="5">
        <f>Paid!P41+Legacy!P43</f>
        <v/>
      </c>
      <c r="Q120" s="5">
        <f>Paid!Q41+Legacy!Q43</f>
        <v/>
      </c>
      <c r="R120" s="5">
        <f>Paid!R41+Legacy!R43</f>
        <v/>
      </c>
      <c r="S120" s="5">
        <f>Paid!S41+Legacy!S43</f>
        <v/>
      </c>
      <c r="T120" s="5">
        <f>Paid!T41+Legacy!T43</f>
        <v/>
      </c>
      <c r="U120" s="5">
        <f>Paid!U41+Legacy!U43</f>
        <v/>
      </c>
      <c r="V120" s="5">
        <f>Paid!V41+Legacy!V43</f>
        <v/>
      </c>
      <c r="W120" s="5">
        <f>Paid!W41+Legacy!W43</f>
        <v/>
      </c>
      <c r="X120" s="5">
        <f>Paid!X41+Legacy!X43</f>
        <v/>
      </c>
      <c r="Y120" s="5">
        <f>Paid!Y41+Legacy!Y43</f>
        <v/>
      </c>
      <c r="Z120" s="5">
        <f>Paid!Z41+Legacy!Z43</f>
        <v/>
      </c>
      <c r="AA120" s="5">
        <f>Paid!AA41+Legacy!AA43</f>
        <v/>
      </c>
      <c r="AB120" s="5">
        <f>Paid!AB41+Legacy!AB43</f>
        <v/>
      </c>
      <c r="AC120" s="5">
        <f>Paid!AC41+Legacy!AC43</f>
        <v/>
      </c>
      <c r="AD120" s="5">
        <f>Paid!AD41+Legacy!AD43</f>
        <v/>
      </c>
      <c r="AE120" s="5">
        <f>Paid!AE41+Legacy!AE43</f>
        <v/>
      </c>
      <c r="AF120" s="5">
        <f>Paid!AF41+Legacy!AF43</f>
        <v/>
      </c>
      <c r="AG120" s="5">
        <f>Paid!AG41+Legacy!AG43</f>
        <v/>
      </c>
      <c r="AH120" s="5">
        <f>Paid!AH41+Legacy!AH43</f>
        <v/>
      </c>
      <c r="AI120" s="5">
        <f>Paid!AI41+Legacy!AI43</f>
        <v/>
      </c>
      <c r="AJ120" s="5">
        <f>Paid!AJ41+Legacy!AJ43</f>
        <v/>
      </c>
      <c r="AK120" s="5">
        <f>Paid!AK41+Legacy!AK43</f>
        <v/>
      </c>
      <c r="AL120" s="5">
        <f>Paid!AL41+Legacy!AL43</f>
        <v/>
      </c>
      <c r="AM120" s="5">
        <f>Paid!AM41+Legacy!AM43</f>
        <v/>
      </c>
      <c r="AN120" s="5">
        <f>Paid!AN41+Legacy!AN43</f>
        <v/>
      </c>
      <c r="AO120" s="5">
        <f>Paid!AO41+Legacy!AO43</f>
        <v/>
      </c>
      <c r="AP120" s="5">
        <f>Paid!AP41+Legacy!AP43</f>
        <v/>
      </c>
      <c r="AQ120" s="5">
        <f>Paid!AQ41+Legacy!AQ43</f>
        <v/>
      </c>
      <c r="AR120" s="5">
        <f>Paid!AR41+Legacy!AR43</f>
        <v/>
      </c>
      <c r="AS120" s="5">
        <f>Paid!AS41+Legacy!AS43</f>
        <v/>
      </c>
      <c r="AT120" s="5">
        <f>Paid!AT41+Legacy!AT43</f>
        <v/>
      </c>
      <c r="AU120" s="5">
        <f>Paid!AU41+Legacy!AU43</f>
        <v/>
      </c>
      <c r="AV120" s="5">
        <f>Paid!AV41+Legacy!AV43</f>
        <v/>
      </c>
      <c r="AW120" s="5">
        <f>Paid!AW41+Legacy!AW43</f>
        <v/>
      </c>
      <c r="AX120" s="5">
        <f>Paid!AX41+Legacy!AX43</f>
        <v/>
      </c>
      <c r="AY120" s="5">
        <f>Paid!AY41+Legacy!AY43</f>
        <v/>
      </c>
      <c r="AZ120" s="5">
        <f>Paid!AZ41+Legacy!AZ43</f>
        <v/>
      </c>
      <c r="BA120" s="5">
        <f>Paid!BA41+Legacy!BA43</f>
        <v/>
      </c>
      <c r="BB120" s="5">
        <f>Paid!BB41+Legacy!BB43</f>
        <v/>
      </c>
      <c r="BC120" s="5">
        <f>Paid!BC41+Legacy!BC43</f>
        <v/>
      </c>
      <c r="BD120" s="5">
        <f>Paid!BD41+Legacy!BD43</f>
        <v/>
      </c>
      <c r="BE120" s="5">
        <f>Paid!BE41+Legacy!BE43</f>
        <v/>
      </c>
      <c r="BF120" s="5">
        <f>Paid!BF41+Legacy!BF43</f>
        <v/>
      </c>
      <c r="BG120" s="5">
        <f>Paid!BG41+Legacy!BG43</f>
        <v/>
      </c>
      <c r="BH120" s="5">
        <f>Paid!BH41+Legacy!BH43</f>
        <v/>
      </c>
      <c r="BI120" s="5">
        <f>Paid!BI41+Legacy!BI43</f>
        <v/>
      </c>
      <c r="BJ120" s="5">
        <f>Paid!BJ41+Legacy!BJ43</f>
        <v/>
      </c>
      <c r="BK120" s="5">
        <f>Paid!BK41+Legacy!BK43</f>
        <v/>
      </c>
      <c r="BL120" s="5">
        <f>Paid!BL41+Legacy!BL43</f>
        <v/>
      </c>
      <c r="BM120" s="5">
        <f>Paid!BM41+Legacy!BM43</f>
        <v/>
      </c>
      <c r="BN120" s="5">
        <f>Paid!BN41+Legacy!BN43</f>
        <v/>
      </c>
      <c r="BO120" s="5">
        <f>Paid!BO41+Legacy!BO43</f>
        <v/>
      </c>
      <c r="BP120" s="5">
        <f>Paid!BP41+Legacy!BP43</f>
        <v/>
      </c>
      <c r="BQ120" s="5">
        <f>Paid!BQ41+Legacy!BQ43</f>
        <v/>
      </c>
      <c r="BR120" s="5">
        <f>Paid!BR41+Legacy!BR43</f>
        <v/>
      </c>
      <c r="BS120" s="5">
        <f>Paid!BS41+Legacy!BS43</f>
        <v/>
      </c>
      <c r="BT120" s="5">
        <f>Paid!BT41+Legacy!BT43</f>
        <v/>
      </c>
      <c r="BU120" s="5">
        <f>Paid!BU41+Legacy!BU43</f>
        <v/>
      </c>
      <c r="BV120" s="5">
        <f>Paid!BV41+Legacy!BV43</f>
        <v/>
      </c>
    </row>
    <row r="121">
      <c r="A121" t="inlineStr">
        <is>
          <t>inflow @0</t>
        </is>
      </c>
      <c r="B121" t="inlineStr">
        <is>
          <t>LATAM|NITRO_A</t>
        </is>
      </c>
      <c r="C121" s="5">
        <f>C120*Eras!C$3</f>
        <v/>
      </c>
      <c r="D121" s="5">
        <f>D120*Eras!D$3</f>
        <v/>
      </c>
      <c r="E121" s="5">
        <f>E120*Eras!E$3</f>
        <v/>
      </c>
      <c r="F121" s="5">
        <f>F120*Eras!F$3</f>
        <v/>
      </c>
      <c r="G121" s="5">
        <f>G120*Eras!G$3</f>
        <v/>
      </c>
      <c r="H121" s="5">
        <f>H120*Eras!H$3</f>
        <v/>
      </c>
      <c r="I121" s="5">
        <f>I120*Eras!I$3</f>
        <v/>
      </c>
      <c r="J121" s="5">
        <f>J120*Eras!J$3</f>
        <v/>
      </c>
      <c r="K121" s="5">
        <f>K120*Eras!K$3</f>
        <v/>
      </c>
      <c r="L121" s="5">
        <f>L120*Eras!L$3</f>
        <v/>
      </c>
      <c r="M121" s="5">
        <f>M120*Eras!M$3</f>
        <v/>
      </c>
      <c r="N121" s="5">
        <f>N120*Eras!N$3</f>
        <v/>
      </c>
      <c r="O121" s="5">
        <f>O120*Eras!O$3</f>
        <v/>
      </c>
      <c r="P121" s="5">
        <f>P120*Eras!P$3</f>
        <v/>
      </c>
      <c r="Q121" s="5">
        <f>Q120*Eras!Q$3</f>
        <v/>
      </c>
      <c r="R121" s="5">
        <f>R120*Eras!R$3</f>
        <v/>
      </c>
      <c r="S121" s="5">
        <f>S120*Eras!S$3</f>
        <v/>
      </c>
      <c r="T121" s="5">
        <f>T120*Eras!T$3</f>
        <v/>
      </c>
      <c r="U121" s="5">
        <f>U120*Eras!U$3</f>
        <v/>
      </c>
      <c r="V121" s="5">
        <f>V120*Eras!V$3</f>
        <v/>
      </c>
      <c r="W121" s="5">
        <f>W120*Eras!W$3</f>
        <v/>
      </c>
      <c r="X121" s="5">
        <f>X120*Eras!X$3</f>
        <v/>
      </c>
      <c r="Y121" s="5">
        <f>Y120*Eras!Y$3</f>
        <v/>
      </c>
      <c r="Z121" s="5">
        <f>Z120*Eras!Z$3</f>
        <v/>
      </c>
      <c r="AA121" s="5">
        <f>AA120*Eras!AA$3</f>
        <v/>
      </c>
      <c r="AB121" s="5">
        <f>AB120*Eras!AB$3</f>
        <v/>
      </c>
      <c r="AC121" s="5">
        <f>AC120*Eras!AC$3</f>
        <v/>
      </c>
      <c r="AD121" s="5">
        <f>AD120*Eras!AD$3</f>
        <v/>
      </c>
      <c r="AE121" s="5">
        <f>AE120*Eras!AE$3</f>
        <v/>
      </c>
      <c r="AF121" s="5">
        <f>AF120*Eras!AF$3</f>
        <v/>
      </c>
      <c r="AG121" s="5">
        <f>AG120*Eras!AG$3</f>
        <v/>
      </c>
      <c r="AH121" s="5">
        <f>AH120*Eras!AH$3</f>
        <v/>
      </c>
      <c r="AI121" s="5">
        <f>AI120*Eras!AI$3</f>
        <v/>
      </c>
      <c r="AJ121" s="5">
        <f>AJ120*Eras!AJ$3</f>
        <v/>
      </c>
      <c r="AK121" s="5">
        <f>AK120*Eras!AK$3</f>
        <v/>
      </c>
      <c r="AL121" s="5">
        <f>AL120*Eras!AL$3</f>
        <v/>
      </c>
      <c r="AM121" s="5">
        <f>AM120*Eras!AM$3</f>
        <v/>
      </c>
      <c r="AN121" s="5">
        <f>AN120*Eras!AN$3</f>
        <v/>
      </c>
      <c r="AO121" s="5">
        <f>AO120*Eras!AO$3</f>
        <v/>
      </c>
      <c r="AP121" s="5">
        <f>AP120*Eras!AP$3</f>
        <v/>
      </c>
      <c r="AQ121" s="5">
        <f>AQ120*Eras!AQ$3</f>
        <v/>
      </c>
      <c r="AR121" s="5">
        <f>AR120*Eras!AR$3</f>
        <v/>
      </c>
      <c r="AS121" s="5">
        <f>AS120*Eras!AS$3</f>
        <v/>
      </c>
      <c r="AT121" s="5">
        <f>AT120*Eras!AT$3</f>
        <v/>
      </c>
      <c r="AU121" s="5">
        <f>AU120*Eras!AU$3</f>
        <v/>
      </c>
      <c r="AV121" s="5">
        <f>AV120*Eras!AV$3</f>
        <v/>
      </c>
      <c r="AW121" s="5">
        <f>AW120*Eras!AW$3</f>
        <v/>
      </c>
      <c r="AX121" s="5">
        <f>AX120*Eras!AX$3</f>
        <v/>
      </c>
      <c r="AY121" s="5">
        <f>AY120*Eras!AY$3</f>
        <v/>
      </c>
      <c r="AZ121" s="5">
        <f>AZ120*Eras!AZ$3</f>
        <v/>
      </c>
      <c r="BA121" s="5">
        <f>BA120*Eras!BA$3</f>
        <v/>
      </c>
      <c r="BB121" s="5">
        <f>BB120*Eras!BB$3</f>
        <v/>
      </c>
      <c r="BC121" s="5">
        <f>BC120*Eras!BC$3</f>
        <v/>
      </c>
      <c r="BD121" s="5">
        <f>BD120*Eras!BD$3</f>
        <v/>
      </c>
      <c r="BE121" s="5">
        <f>BE120*Eras!BE$3</f>
        <v/>
      </c>
      <c r="BF121" s="5">
        <f>BF120*Eras!BF$3</f>
        <v/>
      </c>
      <c r="BG121" s="5">
        <f>BG120*Eras!BG$3</f>
        <v/>
      </c>
      <c r="BH121" s="5">
        <f>BH120*Eras!BH$3</f>
        <v/>
      </c>
      <c r="BI121" s="5">
        <f>BI120*Eras!BI$3</f>
        <v/>
      </c>
      <c r="BJ121" s="5">
        <f>BJ120*Eras!BJ$3</f>
        <v/>
      </c>
      <c r="BK121" s="5">
        <f>BK120*Eras!BK$3</f>
        <v/>
      </c>
      <c r="BL121" s="5">
        <f>BL120*Eras!BL$3</f>
        <v/>
      </c>
      <c r="BM121" s="5">
        <f>BM120*Eras!BM$3</f>
        <v/>
      </c>
      <c r="BN121" s="5">
        <f>BN120*Eras!BN$3</f>
        <v/>
      </c>
      <c r="BO121" s="5">
        <f>BO120*Eras!BO$3</f>
        <v/>
      </c>
      <c r="BP121" s="5">
        <f>BP120*Eras!BP$3</f>
        <v/>
      </c>
      <c r="BQ121" s="5">
        <f>BQ120*Eras!BQ$3</f>
        <v/>
      </c>
      <c r="BR121" s="5">
        <f>BR120*Eras!BR$3</f>
        <v/>
      </c>
      <c r="BS121" s="5">
        <f>BS120*Eras!BS$3</f>
        <v/>
      </c>
      <c r="BT121" s="5">
        <f>BT120*Eras!BT$3</f>
        <v/>
      </c>
      <c r="BU121" s="5">
        <f>BU120*Eras!BU$3</f>
        <v/>
      </c>
      <c r="BV121" s="5">
        <f>BV120*Eras!BV$3</f>
        <v/>
      </c>
    </row>
    <row r="122">
      <c r="A122" t="inlineStr">
        <is>
          <t>inflow @1</t>
        </is>
      </c>
      <c r="B122" t="inlineStr">
        <is>
          <t>LATAM|NITRO_A</t>
        </is>
      </c>
      <c r="C122" s="5">
        <f>C120*Eras!C$4</f>
        <v/>
      </c>
      <c r="D122" s="5">
        <f>D120*Eras!D$4</f>
        <v/>
      </c>
      <c r="E122" s="5">
        <f>E120*Eras!E$4</f>
        <v/>
      </c>
      <c r="F122" s="5">
        <f>F120*Eras!F$4</f>
        <v/>
      </c>
      <c r="G122" s="5">
        <f>G120*Eras!G$4</f>
        <v/>
      </c>
      <c r="H122" s="5">
        <f>H120*Eras!H$4</f>
        <v/>
      </c>
      <c r="I122" s="5">
        <f>I120*Eras!I$4</f>
        <v/>
      </c>
      <c r="J122" s="5">
        <f>J120*Eras!J$4</f>
        <v/>
      </c>
      <c r="K122" s="5">
        <f>K120*Eras!K$4</f>
        <v/>
      </c>
      <c r="L122" s="5">
        <f>L120*Eras!L$4</f>
        <v/>
      </c>
      <c r="M122" s="5">
        <f>M120*Eras!M$4</f>
        <v/>
      </c>
      <c r="N122" s="5">
        <f>N120*Eras!N$4</f>
        <v/>
      </c>
      <c r="O122" s="5">
        <f>O120*Eras!O$4</f>
        <v/>
      </c>
      <c r="P122" s="5">
        <f>P120*Eras!P$4</f>
        <v/>
      </c>
      <c r="Q122" s="5">
        <f>Q120*Eras!Q$4</f>
        <v/>
      </c>
      <c r="R122" s="5">
        <f>R120*Eras!R$4</f>
        <v/>
      </c>
      <c r="S122" s="5">
        <f>S120*Eras!S$4</f>
        <v/>
      </c>
      <c r="T122" s="5">
        <f>T120*Eras!T$4</f>
        <v/>
      </c>
      <c r="U122" s="5">
        <f>U120*Eras!U$4</f>
        <v/>
      </c>
      <c r="V122" s="5">
        <f>V120*Eras!V$4</f>
        <v/>
      </c>
      <c r="W122" s="5">
        <f>W120*Eras!W$4</f>
        <v/>
      </c>
      <c r="X122" s="5">
        <f>X120*Eras!X$4</f>
        <v/>
      </c>
      <c r="Y122" s="5">
        <f>Y120*Eras!Y$4</f>
        <v/>
      </c>
      <c r="Z122" s="5">
        <f>Z120*Eras!Z$4</f>
        <v/>
      </c>
      <c r="AA122" s="5">
        <f>AA120*Eras!AA$4</f>
        <v/>
      </c>
      <c r="AB122" s="5">
        <f>AB120*Eras!AB$4</f>
        <v/>
      </c>
      <c r="AC122" s="5">
        <f>AC120*Eras!AC$4</f>
        <v/>
      </c>
      <c r="AD122" s="5">
        <f>AD120*Eras!AD$4</f>
        <v/>
      </c>
      <c r="AE122" s="5">
        <f>AE120*Eras!AE$4</f>
        <v/>
      </c>
      <c r="AF122" s="5">
        <f>AF120*Eras!AF$4</f>
        <v/>
      </c>
      <c r="AG122" s="5">
        <f>AG120*Eras!AG$4</f>
        <v/>
      </c>
      <c r="AH122" s="5">
        <f>AH120*Eras!AH$4</f>
        <v/>
      </c>
      <c r="AI122" s="5">
        <f>AI120*Eras!AI$4</f>
        <v/>
      </c>
      <c r="AJ122" s="5">
        <f>AJ120*Eras!AJ$4</f>
        <v/>
      </c>
      <c r="AK122" s="5">
        <f>AK120*Eras!AK$4</f>
        <v/>
      </c>
      <c r="AL122" s="5">
        <f>AL120*Eras!AL$4</f>
        <v/>
      </c>
      <c r="AM122" s="5">
        <f>AM120*Eras!AM$4</f>
        <v/>
      </c>
      <c r="AN122" s="5">
        <f>AN120*Eras!AN$4</f>
        <v/>
      </c>
      <c r="AO122" s="5">
        <f>AO120*Eras!AO$4</f>
        <v/>
      </c>
      <c r="AP122" s="5">
        <f>AP120*Eras!AP$4</f>
        <v/>
      </c>
      <c r="AQ122" s="5">
        <f>AQ120*Eras!AQ$4</f>
        <v/>
      </c>
      <c r="AR122" s="5">
        <f>AR120*Eras!AR$4</f>
        <v/>
      </c>
      <c r="AS122" s="5">
        <f>AS120*Eras!AS$4</f>
        <v/>
      </c>
      <c r="AT122" s="5">
        <f>AT120*Eras!AT$4</f>
        <v/>
      </c>
      <c r="AU122" s="5">
        <f>AU120*Eras!AU$4</f>
        <v/>
      </c>
      <c r="AV122" s="5">
        <f>AV120*Eras!AV$4</f>
        <v/>
      </c>
      <c r="AW122" s="5">
        <f>AW120*Eras!AW$4</f>
        <v/>
      </c>
      <c r="AX122" s="5">
        <f>AX120*Eras!AX$4</f>
        <v/>
      </c>
      <c r="AY122" s="5">
        <f>AY120*Eras!AY$4</f>
        <v/>
      </c>
      <c r="AZ122" s="5">
        <f>AZ120*Eras!AZ$4</f>
        <v/>
      </c>
      <c r="BA122" s="5">
        <f>BA120*Eras!BA$4</f>
        <v/>
      </c>
      <c r="BB122" s="5">
        <f>BB120*Eras!BB$4</f>
        <v/>
      </c>
      <c r="BC122" s="5">
        <f>BC120*Eras!BC$4</f>
        <v/>
      </c>
      <c r="BD122" s="5">
        <f>BD120*Eras!BD$4</f>
        <v/>
      </c>
      <c r="BE122" s="5">
        <f>BE120*Eras!BE$4</f>
        <v/>
      </c>
      <c r="BF122" s="5">
        <f>BF120*Eras!BF$4</f>
        <v/>
      </c>
      <c r="BG122" s="5">
        <f>BG120*Eras!BG$4</f>
        <v/>
      </c>
      <c r="BH122" s="5">
        <f>BH120*Eras!BH$4</f>
        <v/>
      </c>
      <c r="BI122" s="5">
        <f>BI120*Eras!BI$4</f>
        <v/>
      </c>
      <c r="BJ122" s="5">
        <f>BJ120*Eras!BJ$4</f>
        <v/>
      </c>
      <c r="BK122" s="5">
        <f>BK120*Eras!BK$4</f>
        <v/>
      </c>
      <c r="BL122" s="5">
        <f>BL120*Eras!BL$4</f>
        <v/>
      </c>
      <c r="BM122" s="5">
        <f>BM120*Eras!BM$4</f>
        <v/>
      </c>
      <c r="BN122" s="5">
        <f>BN120*Eras!BN$4</f>
        <v/>
      </c>
      <c r="BO122" s="5">
        <f>BO120*Eras!BO$4</f>
        <v/>
      </c>
      <c r="BP122" s="5">
        <f>BP120*Eras!BP$4</f>
        <v/>
      </c>
      <c r="BQ122" s="5">
        <f>BQ120*Eras!BQ$4</f>
        <v/>
      </c>
      <c r="BR122" s="5">
        <f>BR120*Eras!BR$4</f>
        <v/>
      </c>
      <c r="BS122" s="5">
        <f>BS120*Eras!BS$4</f>
        <v/>
      </c>
      <c r="BT122" s="5">
        <f>BT120*Eras!BT$4</f>
        <v/>
      </c>
      <c r="BU122" s="5">
        <f>BU120*Eras!BU$4</f>
        <v/>
      </c>
      <c r="BV122" s="5">
        <f>BV120*Eras!BV$4</f>
        <v/>
      </c>
    </row>
    <row r="123">
      <c r="A123" t="inlineStr">
        <is>
          <t>inflow @2</t>
        </is>
      </c>
      <c r="B123" t="inlineStr">
        <is>
          <t>LATAM|NITRO_A</t>
        </is>
      </c>
      <c r="C123" s="5">
        <f>C120*Eras!C$5</f>
        <v/>
      </c>
      <c r="D123" s="5">
        <f>D120*Eras!D$5</f>
        <v/>
      </c>
      <c r="E123" s="5">
        <f>E120*Eras!E$5</f>
        <v/>
      </c>
      <c r="F123" s="5">
        <f>F120*Eras!F$5</f>
        <v/>
      </c>
      <c r="G123" s="5">
        <f>G120*Eras!G$5</f>
        <v/>
      </c>
      <c r="H123" s="5">
        <f>H120*Eras!H$5</f>
        <v/>
      </c>
      <c r="I123" s="5">
        <f>I120*Eras!I$5</f>
        <v/>
      </c>
      <c r="J123" s="5">
        <f>J120*Eras!J$5</f>
        <v/>
      </c>
      <c r="K123" s="5">
        <f>K120*Eras!K$5</f>
        <v/>
      </c>
      <c r="L123" s="5">
        <f>L120*Eras!L$5</f>
        <v/>
      </c>
      <c r="M123" s="5">
        <f>M120*Eras!M$5</f>
        <v/>
      </c>
      <c r="N123" s="5">
        <f>N120*Eras!N$5</f>
        <v/>
      </c>
      <c r="O123" s="5">
        <f>O120*Eras!O$5</f>
        <v/>
      </c>
      <c r="P123" s="5">
        <f>P120*Eras!P$5</f>
        <v/>
      </c>
      <c r="Q123" s="5">
        <f>Q120*Eras!Q$5</f>
        <v/>
      </c>
      <c r="R123" s="5">
        <f>R120*Eras!R$5</f>
        <v/>
      </c>
      <c r="S123" s="5">
        <f>S120*Eras!S$5</f>
        <v/>
      </c>
      <c r="T123" s="5">
        <f>T120*Eras!T$5</f>
        <v/>
      </c>
      <c r="U123" s="5">
        <f>U120*Eras!U$5</f>
        <v/>
      </c>
      <c r="V123" s="5">
        <f>V120*Eras!V$5</f>
        <v/>
      </c>
      <c r="W123" s="5">
        <f>W120*Eras!W$5</f>
        <v/>
      </c>
      <c r="X123" s="5">
        <f>X120*Eras!X$5</f>
        <v/>
      </c>
      <c r="Y123" s="5">
        <f>Y120*Eras!Y$5</f>
        <v/>
      </c>
      <c r="Z123" s="5">
        <f>Z120*Eras!Z$5</f>
        <v/>
      </c>
      <c r="AA123" s="5">
        <f>AA120*Eras!AA$5</f>
        <v/>
      </c>
      <c r="AB123" s="5">
        <f>AB120*Eras!AB$5</f>
        <v/>
      </c>
      <c r="AC123" s="5">
        <f>AC120*Eras!AC$5</f>
        <v/>
      </c>
      <c r="AD123" s="5">
        <f>AD120*Eras!AD$5</f>
        <v/>
      </c>
      <c r="AE123" s="5">
        <f>AE120*Eras!AE$5</f>
        <v/>
      </c>
      <c r="AF123" s="5">
        <f>AF120*Eras!AF$5</f>
        <v/>
      </c>
      <c r="AG123" s="5">
        <f>AG120*Eras!AG$5</f>
        <v/>
      </c>
      <c r="AH123" s="5">
        <f>AH120*Eras!AH$5</f>
        <v/>
      </c>
      <c r="AI123" s="5">
        <f>AI120*Eras!AI$5</f>
        <v/>
      </c>
      <c r="AJ123" s="5">
        <f>AJ120*Eras!AJ$5</f>
        <v/>
      </c>
      <c r="AK123" s="5">
        <f>AK120*Eras!AK$5</f>
        <v/>
      </c>
      <c r="AL123" s="5">
        <f>AL120*Eras!AL$5</f>
        <v/>
      </c>
      <c r="AM123" s="5">
        <f>AM120*Eras!AM$5</f>
        <v/>
      </c>
      <c r="AN123" s="5">
        <f>AN120*Eras!AN$5</f>
        <v/>
      </c>
      <c r="AO123" s="5">
        <f>AO120*Eras!AO$5</f>
        <v/>
      </c>
      <c r="AP123" s="5">
        <f>AP120*Eras!AP$5</f>
        <v/>
      </c>
      <c r="AQ123" s="5">
        <f>AQ120*Eras!AQ$5</f>
        <v/>
      </c>
      <c r="AR123" s="5">
        <f>AR120*Eras!AR$5</f>
        <v/>
      </c>
      <c r="AS123" s="5">
        <f>AS120*Eras!AS$5</f>
        <v/>
      </c>
      <c r="AT123" s="5">
        <f>AT120*Eras!AT$5</f>
        <v/>
      </c>
      <c r="AU123" s="5">
        <f>AU120*Eras!AU$5</f>
        <v/>
      </c>
      <c r="AV123" s="5">
        <f>AV120*Eras!AV$5</f>
        <v/>
      </c>
      <c r="AW123" s="5">
        <f>AW120*Eras!AW$5</f>
        <v/>
      </c>
      <c r="AX123" s="5">
        <f>AX120*Eras!AX$5</f>
        <v/>
      </c>
      <c r="AY123" s="5">
        <f>AY120*Eras!AY$5</f>
        <v/>
      </c>
      <c r="AZ123" s="5">
        <f>AZ120*Eras!AZ$5</f>
        <v/>
      </c>
      <c r="BA123" s="5">
        <f>BA120*Eras!BA$5</f>
        <v/>
      </c>
      <c r="BB123" s="5">
        <f>BB120*Eras!BB$5</f>
        <v/>
      </c>
      <c r="BC123" s="5">
        <f>BC120*Eras!BC$5</f>
        <v/>
      </c>
      <c r="BD123" s="5">
        <f>BD120*Eras!BD$5</f>
        <v/>
      </c>
      <c r="BE123" s="5">
        <f>BE120*Eras!BE$5</f>
        <v/>
      </c>
      <c r="BF123" s="5">
        <f>BF120*Eras!BF$5</f>
        <v/>
      </c>
      <c r="BG123" s="5">
        <f>BG120*Eras!BG$5</f>
        <v/>
      </c>
      <c r="BH123" s="5">
        <f>BH120*Eras!BH$5</f>
        <v/>
      </c>
      <c r="BI123" s="5">
        <f>BI120*Eras!BI$5</f>
        <v/>
      </c>
      <c r="BJ123" s="5">
        <f>BJ120*Eras!BJ$5</f>
        <v/>
      </c>
      <c r="BK123" s="5">
        <f>BK120*Eras!BK$5</f>
        <v/>
      </c>
      <c r="BL123" s="5">
        <f>BL120*Eras!BL$5</f>
        <v/>
      </c>
      <c r="BM123" s="5">
        <f>BM120*Eras!BM$5</f>
        <v/>
      </c>
      <c r="BN123" s="5">
        <f>BN120*Eras!BN$5</f>
        <v/>
      </c>
      <c r="BO123" s="5">
        <f>BO120*Eras!BO$5</f>
        <v/>
      </c>
      <c r="BP123" s="5">
        <f>BP120*Eras!BP$5</f>
        <v/>
      </c>
      <c r="BQ123" s="5">
        <f>BQ120*Eras!BQ$5</f>
        <v/>
      </c>
      <c r="BR123" s="5">
        <f>BR120*Eras!BR$5</f>
        <v/>
      </c>
      <c r="BS123" s="5">
        <f>BS120*Eras!BS$5</f>
        <v/>
      </c>
      <c r="BT123" s="5">
        <f>BT120*Eras!BT$5</f>
        <v/>
      </c>
      <c r="BU123" s="5">
        <f>BU120*Eras!BU$5</f>
        <v/>
      </c>
      <c r="BV123" s="5">
        <f>BV120*Eras!BV$5</f>
        <v/>
      </c>
    </row>
    <row r="124">
      <c r="A124" t="inlineStr">
        <is>
          <t>reactivations out</t>
        </is>
      </c>
      <c r="B124" t="inlineStr">
        <is>
          <t>LATAM|NITRO_A</t>
        </is>
      </c>
      <c r="C124" s="5">
        <f>React!$C$121*Curves!$BV$21+React!$C$122*Curves!$BV$44+React!$C$123*Curves!$BV$67</f>
        <v/>
      </c>
      <c r="D124" s="5">
        <f>SUMPRODUCT(React!$C$121:$D$121,Curves!$BU$21:$BV$21)+SUMPRODUCT(React!$C$122:$D$122,Curves!$BU$44:$BV$44)+SUMPRODUCT(React!$C$123:$D$123,Curves!$BU$67:$BV$67)</f>
        <v/>
      </c>
      <c r="E124" s="5">
        <f>SUMPRODUCT(React!$C$121:$E$121,Curves!$BT$21:$BV$21)+SUMPRODUCT(React!$C$122:$E$122,Curves!$BT$44:$BV$44)+SUMPRODUCT(React!$C$123:$E$123,Curves!$BT$67:$BV$67)</f>
        <v/>
      </c>
      <c r="F124" s="5">
        <f>SUMPRODUCT(React!$C$121:$F$121,Curves!$BS$21:$BV$21)+SUMPRODUCT(React!$C$122:$F$122,Curves!$BS$44:$BV$44)+SUMPRODUCT(React!$C$123:$F$123,Curves!$BS$67:$BV$67)</f>
        <v/>
      </c>
      <c r="G124" s="5">
        <f>SUMPRODUCT(React!$C$121:$G$121,Curves!$BR$21:$BV$21)+SUMPRODUCT(React!$C$122:$G$122,Curves!$BR$44:$BV$44)+SUMPRODUCT(React!$C$123:$G$123,Curves!$BR$67:$BV$67)</f>
        <v/>
      </c>
      <c r="H124" s="5">
        <f>SUMPRODUCT(React!$C$121:$H$121,Curves!$BQ$21:$BV$21)+SUMPRODUCT(React!$C$122:$H$122,Curves!$BQ$44:$BV$44)+SUMPRODUCT(React!$C$123:$H$123,Curves!$BQ$67:$BV$67)</f>
        <v/>
      </c>
      <c r="I124" s="5">
        <f>SUMPRODUCT(React!$C$121:$I$121,Curves!$BP$21:$BV$21)+SUMPRODUCT(React!$C$122:$I$122,Curves!$BP$44:$BV$44)+SUMPRODUCT(React!$C$123:$I$123,Curves!$BP$67:$BV$67)</f>
        <v/>
      </c>
      <c r="J124" s="5">
        <f>SUMPRODUCT(React!$C$121:$J$121,Curves!$BO$21:$BV$21)+SUMPRODUCT(React!$C$122:$J$122,Curves!$BO$44:$BV$44)+SUMPRODUCT(React!$C$123:$J$123,Curves!$BO$67:$BV$67)</f>
        <v/>
      </c>
      <c r="K124" s="5">
        <f>SUMPRODUCT(React!$C$121:$K$121,Curves!$BN$21:$BV$21)+SUMPRODUCT(React!$C$122:$K$122,Curves!$BN$44:$BV$44)+SUMPRODUCT(React!$C$123:$K$123,Curves!$BN$67:$BV$67)</f>
        <v/>
      </c>
      <c r="L124" s="5">
        <f>SUMPRODUCT(React!$C$121:$L$121,Curves!$BM$21:$BV$21)+SUMPRODUCT(React!$C$122:$L$122,Curves!$BM$44:$BV$44)+SUMPRODUCT(React!$C$123:$L$123,Curves!$BM$67:$BV$67)</f>
        <v/>
      </c>
      <c r="M124" s="5">
        <f>SUMPRODUCT(React!$C$121:$M$121,Curves!$BL$21:$BV$21)+SUMPRODUCT(React!$C$122:$M$122,Curves!$BL$44:$BV$44)+SUMPRODUCT(React!$C$123:$M$123,Curves!$BL$67:$BV$67)</f>
        <v/>
      </c>
      <c r="N124" s="5">
        <f>SUMPRODUCT(React!$C$121:$N$121,Curves!$BK$21:$BV$21)+SUMPRODUCT(React!$C$122:$N$122,Curves!$BK$44:$BV$44)+SUMPRODUCT(React!$C$123:$N$123,Curves!$BK$67:$BV$67)</f>
        <v/>
      </c>
      <c r="O124" s="5">
        <f>SUMPRODUCT(React!$C$121:$O$121,Curves!$BJ$21:$BV$21)+SUMPRODUCT(React!$C$122:$O$122,Curves!$BJ$44:$BV$44)+SUMPRODUCT(React!$C$123:$O$123,Curves!$BJ$67:$BV$67)</f>
        <v/>
      </c>
      <c r="P124" s="5">
        <f>SUMPRODUCT(React!$C$121:$P$121,Curves!$BI$21:$BV$21)+SUMPRODUCT(React!$C$122:$P$122,Curves!$BI$44:$BV$44)+SUMPRODUCT(React!$C$123:$P$123,Curves!$BI$67:$BV$67)</f>
        <v/>
      </c>
      <c r="Q124" s="5">
        <f>SUMPRODUCT(React!$C$121:$Q$121,Curves!$BH$21:$BV$21)+SUMPRODUCT(React!$C$122:$Q$122,Curves!$BH$44:$BV$44)+SUMPRODUCT(React!$C$123:$Q$123,Curves!$BH$67:$BV$67)</f>
        <v/>
      </c>
      <c r="R124" s="5">
        <f>SUMPRODUCT(React!$C$121:$R$121,Curves!$BG$21:$BV$21)+SUMPRODUCT(React!$C$122:$R$122,Curves!$BG$44:$BV$44)+SUMPRODUCT(React!$C$123:$R$123,Curves!$BG$67:$BV$67)</f>
        <v/>
      </c>
      <c r="S124" s="5">
        <f>SUMPRODUCT(React!$C$121:$S$121,Curves!$BF$21:$BV$21)+SUMPRODUCT(React!$C$122:$S$122,Curves!$BF$44:$BV$44)+SUMPRODUCT(React!$C$123:$S$123,Curves!$BF$67:$BV$67)</f>
        <v/>
      </c>
      <c r="T124" s="5">
        <f>SUMPRODUCT(React!$C$121:$T$121,Curves!$BE$21:$BV$21)+SUMPRODUCT(React!$C$122:$T$122,Curves!$BE$44:$BV$44)+SUMPRODUCT(React!$C$123:$T$123,Curves!$BE$67:$BV$67)</f>
        <v/>
      </c>
      <c r="U124" s="5">
        <f>SUMPRODUCT(React!$C$121:$U$121,Curves!$BD$21:$BV$21)+SUMPRODUCT(React!$C$122:$U$122,Curves!$BD$44:$BV$44)+SUMPRODUCT(React!$C$123:$U$123,Curves!$BD$67:$BV$67)</f>
        <v/>
      </c>
      <c r="V124" s="5">
        <f>SUMPRODUCT(React!$C$121:$V$121,Curves!$BC$21:$BV$21)+SUMPRODUCT(React!$C$122:$V$122,Curves!$BC$44:$BV$44)+SUMPRODUCT(React!$C$123:$V$123,Curves!$BC$67:$BV$67)</f>
        <v/>
      </c>
      <c r="W124" s="5">
        <f>SUMPRODUCT(React!$C$121:$W$121,Curves!$BB$21:$BV$21)+SUMPRODUCT(React!$C$122:$W$122,Curves!$BB$44:$BV$44)+SUMPRODUCT(React!$C$123:$W$123,Curves!$BB$67:$BV$67)</f>
        <v/>
      </c>
      <c r="X124" s="5">
        <f>SUMPRODUCT(React!$C$121:$X$121,Curves!$BA$21:$BV$21)+SUMPRODUCT(React!$C$122:$X$122,Curves!$BA$44:$BV$44)+SUMPRODUCT(React!$C$123:$X$123,Curves!$BA$67:$BV$67)</f>
        <v/>
      </c>
      <c r="Y124" s="5">
        <f>SUMPRODUCT(React!$C$121:$Y$121,Curves!$AZ$21:$BV$21)+SUMPRODUCT(React!$C$122:$Y$122,Curves!$AZ$44:$BV$44)+SUMPRODUCT(React!$C$123:$Y$123,Curves!$AZ$67:$BV$67)</f>
        <v/>
      </c>
      <c r="Z124" s="5">
        <f>SUMPRODUCT(React!$C$121:$Z$121,Curves!$AY$21:$BV$21)+SUMPRODUCT(React!$C$122:$Z$122,Curves!$AY$44:$BV$44)+SUMPRODUCT(React!$C$123:$Z$123,Curves!$AY$67:$BV$67)</f>
        <v/>
      </c>
      <c r="AA124" s="5">
        <f>SUMPRODUCT(React!$C$121:$AA$121,Curves!$AX$21:$BV$21)+SUMPRODUCT(React!$C$122:$AA$122,Curves!$AX$44:$BV$44)+SUMPRODUCT(React!$C$123:$AA$123,Curves!$AX$67:$BV$67)</f>
        <v/>
      </c>
      <c r="AB124" s="5">
        <f>SUMPRODUCT(React!$C$121:$AB$121,Curves!$AW$21:$BV$21)+SUMPRODUCT(React!$C$122:$AB$122,Curves!$AW$44:$BV$44)+SUMPRODUCT(React!$C$123:$AB$123,Curves!$AW$67:$BV$67)</f>
        <v/>
      </c>
      <c r="AC124" s="5">
        <f>SUMPRODUCT(React!$C$121:$AC$121,Curves!$AV$21:$BV$21)+SUMPRODUCT(React!$C$122:$AC$122,Curves!$AV$44:$BV$44)+SUMPRODUCT(React!$C$123:$AC$123,Curves!$AV$67:$BV$67)</f>
        <v/>
      </c>
      <c r="AD124" s="5">
        <f>SUMPRODUCT(React!$C$121:$AD$121,Curves!$AU$21:$BV$21)+SUMPRODUCT(React!$C$122:$AD$122,Curves!$AU$44:$BV$44)+SUMPRODUCT(React!$C$123:$AD$123,Curves!$AU$67:$BV$67)</f>
        <v/>
      </c>
      <c r="AE124" s="5">
        <f>SUMPRODUCT(React!$C$121:$AE$121,Curves!$AT$21:$BV$21)+SUMPRODUCT(React!$C$122:$AE$122,Curves!$AT$44:$BV$44)+SUMPRODUCT(React!$C$123:$AE$123,Curves!$AT$67:$BV$67)</f>
        <v/>
      </c>
      <c r="AF124" s="5">
        <f>SUMPRODUCT(React!$C$121:$AF$121,Curves!$AS$21:$BV$21)+SUMPRODUCT(React!$C$122:$AF$122,Curves!$AS$44:$BV$44)+SUMPRODUCT(React!$C$123:$AF$123,Curves!$AS$67:$BV$67)</f>
        <v/>
      </c>
      <c r="AG124" s="5">
        <f>SUMPRODUCT(React!$C$121:$AG$121,Curves!$AR$21:$BV$21)+SUMPRODUCT(React!$C$122:$AG$122,Curves!$AR$44:$BV$44)+SUMPRODUCT(React!$C$123:$AG$123,Curves!$AR$67:$BV$67)</f>
        <v/>
      </c>
      <c r="AH124" s="5">
        <f>SUMPRODUCT(React!$C$121:$AH$121,Curves!$AQ$21:$BV$21)+SUMPRODUCT(React!$C$122:$AH$122,Curves!$AQ$44:$BV$44)+SUMPRODUCT(React!$C$123:$AH$123,Curves!$AQ$67:$BV$67)</f>
        <v/>
      </c>
      <c r="AI124" s="5">
        <f>SUMPRODUCT(React!$C$121:$AI$121,Curves!$AP$21:$BV$21)+SUMPRODUCT(React!$C$122:$AI$122,Curves!$AP$44:$BV$44)+SUMPRODUCT(React!$C$123:$AI$123,Curves!$AP$67:$BV$67)</f>
        <v/>
      </c>
      <c r="AJ124" s="5">
        <f>SUMPRODUCT(React!$C$121:$AJ$121,Curves!$AO$21:$BV$21)+SUMPRODUCT(React!$C$122:$AJ$122,Curves!$AO$44:$BV$44)+SUMPRODUCT(React!$C$123:$AJ$123,Curves!$AO$67:$BV$67)</f>
        <v/>
      </c>
      <c r="AK124" s="5">
        <f>SUMPRODUCT(React!$C$121:$AK$121,Curves!$AN$21:$BV$21)+SUMPRODUCT(React!$C$122:$AK$122,Curves!$AN$44:$BV$44)+SUMPRODUCT(React!$C$123:$AK$123,Curves!$AN$67:$BV$67)</f>
        <v/>
      </c>
      <c r="AL124" s="5">
        <f>SUMPRODUCT(React!$C$121:$AL$121,Curves!$AM$21:$BV$21)+SUMPRODUCT(React!$C$122:$AL$122,Curves!$AM$44:$BV$44)+SUMPRODUCT(React!$C$123:$AL$123,Curves!$AM$67:$BV$67)</f>
        <v/>
      </c>
      <c r="AM124" s="5">
        <f>SUMPRODUCT(React!$C$121:$AM$121,Curves!$AL$21:$BV$21)+SUMPRODUCT(React!$C$122:$AM$122,Curves!$AL$44:$BV$44)+SUMPRODUCT(React!$C$123:$AM$123,Curves!$AL$67:$BV$67)</f>
        <v/>
      </c>
      <c r="AN124" s="5">
        <f>SUMPRODUCT(React!$C$121:$AN$121,Curves!$AK$21:$BV$21)+SUMPRODUCT(React!$C$122:$AN$122,Curves!$AK$44:$BV$44)+SUMPRODUCT(React!$C$123:$AN$123,Curves!$AK$67:$BV$67)</f>
        <v/>
      </c>
      <c r="AO124" s="5">
        <f>SUMPRODUCT(React!$C$121:$AO$121,Curves!$AJ$21:$BV$21)+SUMPRODUCT(React!$C$122:$AO$122,Curves!$AJ$44:$BV$44)+SUMPRODUCT(React!$C$123:$AO$123,Curves!$AJ$67:$BV$67)</f>
        <v/>
      </c>
      <c r="AP124" s="5">
        <f>SUMPRODUCT(React!$C$121:$AP$121,Curves!$AI$21:$BV$21)+SUMPRODUCT(React!$C$122:$AP$122,Curves!$AI$44:$BV$44)+SUMPRODUCT(React!$C$123:$AP$123,Curves!$AI$67:$BV$67)</f>
        <v/>
      </c>
      <c r="AQ124" s="5">
        <f>SUMPRODUCT(React!$C$121:$AQ$121,Curves!$AH$21:$BV$21)+SUMPRODUCT(React!$C$122:$AQ$122,Curves!$AH$44:$BV$44)+SUMPRODUCT(React!$C$123:$AQ$123,Curves!$AH$67:$BV$67)</f>
        <v/>
      </c>
      <c r="AR124" s="5">
        <f>SUMPRODUCT(React!$C$121:$AR$121,Curves!$AG$21:$BV$21)+SUMPRODUCT(React!$C$122:$AR$122,Curves!$AG$44:$BV$44)+SUMPRODUCT(React!$C$123:$AR$123,Curves!$AG$67:$BV$67)</f>
        <v/>
      </c>
      <c r="AS124" s="5">
        <f>SUMPRODUCT(React!$C$121:$AS$121,Curves!$AF$21:$BV$21)+SUMPRODUCT(React!$C$122:$AS$122,Curves!$AF$44:$BV$44)+SUMPRODUCT(React!$C$123:$AS$123,Curves!$AF$67:$BV$67)</f>
        <v/>
      </c>
      <c r="AT124" s="5">
        <f>SUMPRODUCT(React!$C$121:$AT$121,Curves!$AE$21:$BV$21)+SUMPRODUCT(React!$C$122:$AT$122,Curves!$AE$44:$BV$44)+SUMPRODUCT(React!$C$123:$AT$123,Curves!$AE$67:$BV$67)</f>
        <v/>
      </c>
      <c r="AU124" s="5">
        <f>SUMPRODUCT(React!$C$121:$AU$121,Curves!$AD$21:$BV$21)+SUMPRODUCT(React!$C$122:$AU$122,Curves!$AD$44:$BV$44)+SUMPRODUCT(React!$C$123:$AU$123,Curves!$AD$67:$BV$67)</f>
        <v/>
      </c>
      <c r="AV124" s="5">
        <f>SUMPRODUCT(React!$C$121:$AV$121,Curves!$AC$21:$BV$21)+SUMPRODUCT(React!$C$122:$AV$122,Curves!$AC$44:$BV$44)+SUMPRODUCT(React!$C$123:$AV$123,Curves!$AC$67:$BV$67)</f>
        <v/>
      </c>
      <c r="AW124" s="5">
        <f>SUMPRODUCT(React!$C$121:$AW$121,Curves!$AB$21:$BV$21)+SUMPRODUCT(React!$C$122:$AW$122,Curves!$AB$44:$BV$44)+SUMPRODUCT(React!$C$123:$AW$123,Curves!$AB$67:$BV$67)</f>
        <v/>
      </c>
      <c r="AX124" s="5">
        <f>SUMPRODUCT(React!$C$121:$AX$121,Curves!$AA$21:$BV$21)+SUMPRODUCT(React!$C$122:$AX$122,Curves!$AA$44:$BV$44)+SUMPRODUCT(React!$C$123:$AX$123,Curves!$AA$67:$BV$67)</f>
        <v/>
      </c>
      <c r="AY124" s="5">
        <f>SUMPRODUCT(React!$C$121:$AY$121,Curves!$Z$21:$BV$21)+SUMPRODUCT(React!$C$122:$AY$122,Curves!$Z$44:$BV$44)+SUMPRODUCT(React!$C$123:$AY$123,Curves!$Z$67:$BV$67)</f>
        <v/>
      </c>
      <c r="AZ124" s="5">
        <f>SUMPRODUCT(React!$C$121:$AZ$121,Curves!$Y$21:$BV$21)+SUMPRODUCT(React!$C$122:$AZ$122,Curves!$Y$44:$BV$44)+SUMPRODUCT(React!$C$123:$AZ$123,Curves!$Y$67:$BV$67)</f>
        <v/>
      </c>
      <c r="BA124" s="5">
        <f>SUMPRODUCT(React!$C$121:$BA$121,Curves!$X$21:$BV$21)+SUMPRODUCT(React!$C$122:$BA$122,Curves!$X$44:$BV$44)+SUMPRODUCT(React!$C$123:$BA$123,Curves!$X$67:$BV$67)</f>
        <v/>
      </c>
      <c r="BB124" s="5">
        <f>SUMPRODUCT(React!$C$121:$BB$121,Curves!$W$21:$BV$21)+SUMPRODUCT(React!$C$122:$BB$122,Curves!$W$44:$BV$44)+SUMPRODUCT(React!$C$123:$BB$123,Curves!$W$67:$BV$67)</f>
        <v/>
      </c>
      <c r="BC124" s="5">
        <f>SUMPRODUCT(React!$C$121:$BC$121,Curves!$V$21:$BV$21)+SUMPRODUCT(React!$C$122:$BC$122,Curves!$V$44:$BV$44)+SUMPRODUCT(React!$C$123:$BC$123,Curves!$V$67:$BV$67)</f>
        <v/>
      </c>
      <c r="BD124" s="5">
        <f>SUMPRODUCT(React!$C$121:$BD$121,Curves!$U$21:$BV$21)+SUMPRODUCT(React!$C$122:$BD$122,Curves!$U$44:$BV$44)+SUMPRODUCT(React!$C$123:$BD$123,Curves!$U$67:$BV$67)</f>
        <v/>
      </c>
      <c r="BE124" s="5">
        <f>SUMPRODUCT(React!$C$121:$BE$121,Curves!$T$21:$BV$21)+SUMPRODUCT(React!$C$122:$BE$122,Curves!$T$44:$BV$44)+SUMPRODUCT(React!$C$123:$BE$123,Curves!$T$67:$BV$67)</f>
        <v/>
      </c>
      <c r="BF124" s="5">
        <f>SUMPRODUCT(React!$C$121:$BF$121,Curves!$S$21:$BV$21)+SUMPRODUCT(React!$C$122:$BF$122,Curves!$S$44:$BV$44)+SUMPRODUCT(React!$C$123:$BF$123,Curves!$S$67:$BV$67)</f>
        <v/>
      </c>
      <c r="BG124" s="5">
        <f>SUMPRODUCT(React!$C$121:$BG$121,Curves!$R$21:$BV$21)+SUMPRODUCT(React!$C$122:$BG$122,Curves!$R$44:$BV$44)+SUMPRODUCT(React!$C$123:$BG$123,Curves!$R$67:$BV$67)</f>
        <v/>
      </c>
      <c r="BH124" s="5">
        <f>SUMPRODUCT(React!$C$121:$BH$121,Curves!$Q$21:$BV$21)+SUMPRODUCT(React!$C$122:$BH$122,Curves!$Q$44:$BV$44)+SUMPRODUCT(React!$C$123:$BH$123,Curves!$Q$67:$BV$67)</f>
        <v/>
      </c>
      <c r="BI124" s="5">
        <f>SUMPRODUCT(React!$C$121:$BI$121,Curves!$P$21:$BV$21)+SUMPRODUCT(React!$C$122:$BI$122,Curves!$P$44:$BV$44)+SUMPRODUCT(React!$C$123:$BI$123,Curves!$P$67:$BV$67)</f>
        <v/>
      </c>
      <c r="BJ124" s="5">
        <f>SUMPRODUCT(React!$C$121:$BJ$121,Curves!$O$21:$BV$21)+SUMPRODUCT(React!$C$122:$BJ$122,Curves!$O$44:$BV$44)+SUMPRODUCT(React!$C$123:$BJ$123,Curves!$O$67:$BV$67)</f>
        <v/>
      </c>
      <c r="BK124" s="5">
        <f>SUMPRODUCT(React!$C$121:$BK$121,Curves!$N$21:$BV$21)+SUMPRODUCT(React!$C$122:$BK$122,Curves!$N$44:$BV$44)+SUMPRODUCT(React!$C$123:$BK$123,Curves!$N$67:$BV$67)</f>
        <v/>
      </c>
      <c r="BL124" s="5">
        <f>SUMPRODUCT(React!$C$121:$BL$121,Curves!$M$21:$BV$21)+SUMPRODUCT(React!$C$122:$BL$122,Curves!$M$44:$BV$44)+SUMPRODUCT(React!$C$123:$BL$123,Curves!$M$67:$BV$67)</f>
        <v/>
      </c>
      <c r="BM124" s="5">
        <f>SUMPRODUCT(React!$C$121:$BM$121,Curves!$L$21:$BV$21)+SUMPRODUCT(React!$C$122:$BM$122,Curves!$L$44:$BV$44)+SUMPRODUCT(React!$C$123:$BM$123,Curves!$L$67:$BV$67)</f>
        <v/>
      </c>
      <c r="BN124" s="5">
        <f>SUMPRODUCT(React!$C$121:$BN$121,Curves!$K$21:$BV$21)+SUMPRODUCT(React!$C$122:$BN$122,Curves!$K$44:$BV$44)+SUMPRODUCT(React!$C$123:$BN$123,Curves!$K$67:$BV$67)</f>
        <v/>
      </c>
      <c r="BO124" s="5">
        <f>SUMPRODUCT(React!$C$121:$BO$121,Curves!$J$21:$BV$21)+SUMPRODUCT(React!$C$122:$BO$122,Curves!$J$44:$BV$44)+SUMPRODUCT(React!$C$123:$BO$123,Curves!$J$67:$BV$67)</f>
        <v/>
      </c>
      <c r="BP124" s="5">
        <f>SUMPRODUCT(React!$C$121:$BP$121,Curves!$I$21:$BV$21)+SUMPRODUCT(React!$C$122:$BP$122,Curves!$I$44:$BV$44)+SUMPRODUCT(React!$C$123:$BP$123,Curves!$I$67:$BV$67)</f>
        <v/>
      </c>
      <c r="BQ124" s="5">
        <f>SUMPRODUCT(React!$C$121:$BQ$121,Curves!$H$21:$BV$21)+SUMPRODUCT(React!$C$122:$BQ$122,Curves!$H$44:$BV$44)+SUMPRODUCT(React!$C$123:$BQ$123,Curves!$H$67:$BV$67)</f>
        <v/>
      </c>
      <c r="BR124" s="5">
        <f>SUMPRODUCT(React!$C$121:$BR$121,Curves!$G$21:$BV$21)+SUMPRODUCT(React!$C$122:$BR$122,Curves!$G$44:$BV$44)+SUMPRODUCT(React!$C$123:$BR$123,Curves!$G$67:$BV$67)</f>
        <v/>
      </c>
      <c r="BS124" s="5">
        <f>SUMPRODUCT(React!$C$121:$BS$121,Curves!$F$21:$BV$21)+SUMPRODUCT(React!$C$122:$BS$122,Curves!$F$44:$BV$44)+SUMPRODUCT(React!$C$123:$BS$123,Curves!$F$67:$BV$67)</f>
        <v/>
      </c>
      <c r="BT124" s="5">
        <f>SUMPRODUCT(React!$C$121:$BT$121,Curves!$E$21:$BV$21)+SUMPRODUCT(React!$C$122:$BT$122,Curves!$E$44:$BV$44)+SUMPRODUCT(React!$C$123:$BT$123,Curves!$E$67:$BV$67)</f>
        <v/>
      </c>
      <c r="BU124" s="5">
        <f>SUMPRODUCT(React!$C$121:$BU$121,Curves!$D$21:$BV$21)+SUMPRODUCT(React!$C$122:$BU$122,Curves!$D$44:$BV$44)+SUMPRODUCT(React!$C$123:$BU$123,Curves!$D$67:$BV$67)</f>
        <v/>
      </c>
      <c r="BV124" s="5">
        <f>SUMPRODUCT(React!$C$121:$BV$121,Curves!$C$21:$BV$21)+SUMPRODUCT(React!$C$122:$BV$122,Curves!$C$44:$BV$44)+SUMPRODUCT(React!$C$123:$BV$123,Curves!$C$67:$BV$67)</f>
        <v/>
      </c>
    </row>
    <row r="125">
      <c r="A125" t="inlineStr">
        <is>
          <t>reactivated in</t>
        </is>
      </c>
      <c r="B125" t="inlineStr">
        <is>
          <t>LATAM|NITRO_A</t>
        </is>
      </c>
      <c r="C125" s="5">
        <f>0</f>
        <v/>
      </c>
      <c r="D125" s="5">
        <f>0</f>
        <v/>
      </c>
      <c r="E125" s="5">
        <f>0</f>
        <v/>
      </c>
      <c r="F125" s="5">
        <f>0</f>
        <v/>
      </c>
      <c r="G125" s="5">
        <f>0</f>
        <v/>
      </c>
      <c r="H125" s="5">
        <f>0</f>
        <v/>
      </c>
      <c r="I125" s="5">
        <f>0</f>
        <v/>
      </c>
      <c r="J125" s="5">
        <f>0</f>
        <v/>
      </c>
      <c r="K125" s="5">
        <f>0</f>
        <v/>
      </c>
      <c r="L125" s="5">
        <f>0</f>
        <v/>
      </c>
      <c r="M125" s="5">
        <f>0</f>
        <v/>
      </c>
      <c r="N125" s="5">
        <f>0</f>
        <v/>
      </c>
      <c r="O125" s="5">
        <f>0</f>
        <v/>
      </c>
      <c r="P125" s="5">
        <f>0</f>
        <v/>
      </c>
      <c r="Q125" s="5">
        <f>0</f>
        <v/>
      </c>
      <c r="R125" s="5">
        <f>0</f>
        <v/>
      </c>
      <c r="S125" s="5">
        <f>0</f>
        <v/>
      </c>
      <c r="T125" s="5">
        <f>0</f>
        <v/>
      </c>
      <c r="U125" s="5">
        <f>0</f>
        <v/>
      </c>
      <c r="V125" s="5">
        <f>0</f>
        <v/>
      </c>
      <c r="W125" s="5">
        <f>0</f>
        <v/>
      </c>
      <c r="X125" s="5">
        <f>0</f>
        <v/>
      </c>
      <c r="Y125" s="5">
        <f>0</f>
        <v/>
      </c>
      <c r="Z125" s="5">
        <f>0</f>
        <v/>
      </c>
      <c r="AA125" s="5">
        <f>0</f>
        <v/>
      </c>
      <c r="AB125" s="5">
        <f>0</f>
        <v/>
      </c>
      <c r="AC125" s="5">
        <f>0</f>
        <v/>
      </c>
      <c r="AD125" s="5">
        <f>0</f>
        <v/>
      </c>
      <c r="AE125" s="5">
        <f>0</f>
        <v/>
      </c>
      <c r="AF125" s="5">
        <f>0</f>
        <v/>
      </c>
      <c r="AG125" s="5">
        <f>0</f>
        <v/>
      </c>
      <c r="AH125" s="5">
        <f>0</f>
        <v/>
      </c>
      <c r="AI125" s="5">
        <f>0</f>
        <v/>
      </c>
      <c r="AJ125" s="5">
        <f>0</f>
        <v/>
      </c>
      <c r="AK125" s="5">
        <f>0</f>
        <v/>
      </c>
      <c r="AL125" s="5">
        <f>0</f>
        <v/>
      </c>
      <c r="AM125" s="5">
        <f>0</f>
        <v/>
      </c>
      <c r="AN125" s="5">
        <f>0</f>
        <v/>
      </c>
      <c r="AO125" s="5">
        <f>0</f>
        <v/>
      </c>
      <c r="AP125" s="5">
        <f>0</f>
        <v/>
      </c>
      <c r="AQ125" s="5">
        <f>0</f>
        <v/>
      </c>
      <c r="AR125" s="5">
        <f>0</f>
        <v/>
      </c>
      <c r="AS125" s="5">
        <f>0</f>
        <v/>
      </c>
      <c r="AT125" s="5">
        <f>0</f>
        <v/>
      </c>
      <c r="AU125" s="5">
        <f>0</f>
        <v/>
      </c>
      <c r="AV125" s="5">
        <f>0</f>
        <v/>
      </c>
      <c r="AW125" s="5">
        <f>0</f>
        <v/>
      </c>
      <c r="AX125" s="5">
        <f>0</f>
        <v/>
      </c>
      <c r="AY125" s="5">
        <f>0</f>
        <v/>
      </c>
      <c r="AZ125" s="5">
        <f>0</f>
        <v/>
      </c>
      <c r="BA125" s="5">
        <f>0</f>
        <v/>
      </c>
      <c r="BB125" s="5">
        <f>0</f>
        <v/>
      </c>
      <c r="BC125" s="5">
        <f>0</f>
        <v/>
      </c>
      <c r="BD125" s="5">
        <f>0</f>
        <v/>
      </c>
      <c r="BE125" s="5">
        <f>0</f>
        <v/>
      </c>
      <c r="BF125" s="5">
        <f>0</f>
        <v/>
      </c>
      <c r="BG125" s="5">
        <f>0</f>
        <v/>
      </c>
      <c r="BH125" s="5">
        <f>0</f>
        <v/>
      </c>
      <c r="BI125" s="5">
        <f>0</f>
        <v/>
      </c>
      <c r="BJ125" s="5">
        <f>0</f>
        <v/>
      </c>
      <c r="BK125" s="5">
        <f>0</f>
        <v/>
      </c>
      <c r="BL125" s="5">
        <f>0</f>
        <v/>
      </c>
      <c r="BM125" s="5">
        <f>0</f>
        <v/>
      </c>
      <c r="BN125" s="5">
        <f>0</f>
        <v/>
      </c>
      <c r="BO125" s="5">
        <f>0</f>
        <v/>
      </c>
      <c r="BP125" s="5">
        <f>0</f>
        <v/>
      </c>
      <c r="BQ125" s="5">
        <f>0</f>
        <v/>
      </c>
      <c r="BR125" s="5">
        <f>0</f>
        <v/>
      </c>
      <c r="BS125" s="5">
        <f>0</f>
        <v/>
      </c>
      <c r="BT125" s="5">
        <f>0</f>
        <v/>
      </c>
      <c r="BU125" s="5">
        <f>0</f>
        <v/>
      </c>
      <c r="BV125" s="5">
        <f>0</f>
        <v/>
      </c>
    </row>
    <row r="126">
      <c r="A126" t="inlineStr">
        <is>
          <t>reactivated in @0</t>
        </is>
      </c>
      <c r="B126" t="inlineStr">
        <is>
          <t>LATAM|NITRO_A</t>
        </is>
      </c>
      <c r="C126" s="5">
        <f>C125*Eras!C$3</f>
        <v/>
      </c>
      <c r="D126" s="5">
        <f>D125*Eras!D$3</f>
        <v/>
      </c>
      <c r="E126" s="5">
        <f>E125*Eras!E$3</f>
        <v/>
      </c>
      <c r="F126" s="5">
        <f>F125*Eras!F$3</f>
        <v/>
      </c>
      <c r="G126" s="5">
        <f>G125*Eras!G$3</f>
        <v/>
      </c>
      <c r="H126" s="5">
        <f>H125*Eras!H$3</f>
        <v/>
      </c>
      <c r="I126" s="5">
        <f>I125*Eras!I$3</f>
        <v/>
      </c>
      <c r="J126" s="5">
        <f>J125*Eras!J$3</f>
        <v/>
      </c>
      <c r="K126" s="5">
        <f>K125*Eras!K$3</f>
        <v/>
      </c>
      <c r="L126" s="5">
        <f>L125*Eras!L$3</f>
        <v/>
      </c>
      <c r="M126" s="5">
        <f>M125*Eras!M$3</f>
        <v/>
      </c>
      <c r="N126" s="5">
        <f>N125*Eras!N$3</f>
        <v/>
      </c>
      <c r="O126" s="5">
        <f>O125*Eras!O$3</f>
        <v/>
      </c>
      <c r="P126" s="5">
        <f>P125*Eras!P$3</f>
        <v/>
      </c>
      <c r="Q126" s="5">
        <f>Q125*Eras!Q$3</f>
        <v/>
      </c>
      <c r="R126" s="5">
        <f>R125*Eras!R$3</f>
        <v/>
      </c>
      <c r="S126" s="5">
        <f>S125*Eras!S$3</f>
        <v/>
      </c>
      <c r="T126" s="5">
        <f>T125*Eras!T$3</f>
        <v/>
      </c>
      <c r="U126" s="5">
        <f>U125*Eras!U$3</f>
        <v/>
      </c>
      <c r="V126" s="5">
        <f>V125*Eras!V$3</f>
        <v/>
      </c>
      <c r="W126" s="5">
        <f>W125*Eras!W$3</f>
        <v/>
      </c>
      <c r="X126" s="5">
        <f>X125*Eras!X$3</f>
        <v/>
      </c>
      <c r="Y126" s="5">
        <f>Y125*Eras!Y$3</f>
        <v/>
      </c>
      <c r="Z126" s="5">
        <f>Z125*Eras!Z$3</f>
        <v/>
      </c>
      <c r="AA126" s="5">
        <f>AA125*Eras!AA$3</f>
        <v/>
      </c>
      <c r="AB126" s="5">
        <f>AB125*Eras!AB$3</f>
        <v/>
      </c>
      <c r="AC126" s="5">
        <f>AC125*Eras!AC$3</f>
        <v/>
      </c>
      <c r="AD126" s="5">
        <f>AD125*Eras!AD$3</f>
        <v/>
      </c>
      <c r="AE126" s="5">
        <f>AE125*Eras!AE$3</f>
        <v/>
      </c>
      <c r="AF126" s="5">
        <f>AF125*Eras!AF$3</f>
        <v/>
      </c>
      <c r="AG126" s="5">
        <f>AG125*Eras!AG$3</f>
        <v/>
      </c>
      <c r="AH126" s="5">
        <f>AH125*Eras!AH$3</f>
        <v/>
      </c>
      <c r="AI126" s="5">
        <f>AI125*Eras!AI$3</f>
        <v/>
      </c>
      <c r="AJ126" s="5">
        <f>AJ125*Eras!AJ$3</f>
        <v/>
      </c>
      <c r="AK126" s="5">
        <f>AK125*Eras!AK$3</f>
        <v/>
      </c>
      <c r="AL126" s="5">
        <f>AL125*Eras!AL$3</f>
        <v/>
      </c>
      <c r="AM126" s="5">
        <f>AM125*Eras!AM$3</f>
        <v/>
      </c>
      <c r="AN126" s="5">
        <f>AN125*Eras!AN$3</f>
        <v/>
      </c>
      <c r="AO126" s="5">
        <f>AO125*Eras!AO$3</f>
        <v/>
      </c>
      <c r="AP126" s="5">
        <f>AP125*Eras!AP$3</f>
        <v/>
      </c>
      <c r="AQ126" s="5">
        <f>AQ125*Eras!AQ$3</f>
        <v/>
      </c>
      <c r="AR126" s="5">
        <f>AR125*Eras!AR$3</f>
        <v/>
      </c>
      <c r="AS126" s="5">
        <f>AS125*Eras!AS$3</f>
        <v/>
      </c>
      <c r="AT126" s="5">
        <f>AT125*Eras!AT$3</f>
        <v/>
      </c>
      <c r="AU126" s="5">
        <f>AU125*Eras!AU$3</f>
        <v/>
      </c>
      <c r="AV126" s="5">
        <f>AV125*Eras!AV$3</f>
        <v/>
      </c>
      <c r="AW126" s="5">
        <f>AW125*Eras!AW$3</f>
        <v/>
      </c>
      <c r="AX126" s="5">
        <f>AX125*Eras!AX$3</f>
        <v/>
      </c>
      <c r="AY126" s="5">
        <f>AY125*Eras!AY$3</f>
        <v/>
      </c>
      <c r="AZ126" s="5">
        <f>AZ125*Eras!AZ$3</f>
        <v/>
      </c>
      <c r="BA126" s="5">
        <f>BA125*Eras!BA$3</f>
        <v/>
      </c>
      <c r="BB126" s="5">
        <f>BB125*Eras!BB$3</f>
        <v/>
      </c>
      <c r="BC126" s="5">
        <f>BC125*Eras!BC$3</f>
        <v/>
      </c>
      <c r="BD126" s="5">
        <f>BD125*Eras!BD$3</f>
        <v/>
      </c>
      <c r="BE126" s="5">
        <f>BE125*Eras!BE$3</f>
        <v/>
      </c>
      <c r="BF126" s="5">
        <f>BF125*Eras!BF$3</f>
        <v/>
      </c>
      <c r="BG126" s="5">
        <f>BG125*Eras!BG$3</f>
        <v/>
      </c>
      <c r="BH126" s="5">
        <f>BH125*Eras!BH$3</f>
        <v/>
      </c>
      <c r="BI126" s="5">
        <f>BI125*Eras!BI$3</f>
        <v/>
      </c>
      <c r="BJ126" s="5">
        <f>BJ125*Eras!BJ$3</f>
        <v/>
      </c>
      <c r="BK126" s="5">
        <f>BK125*Eras!BK$3</f>
        <v/>
      </c>
      <c r="BL126" s="5">
        <f>BL125*Eras!BL$3</f>
        <v/>
      </c>
      <c r="BM126" s="5">
        <f>BM125*Eras!BM$3</f>
        <v/>
      </c>
      <c r="BN126" s="5">
        <f>BN125*Eras!BN$3</f>
        <v/>
      </c>
      <c r="BO126" s="5">
        <f>BO125*Eras!BO$3</f>
        <v/>
      </c>
      <c r="BP126" s="5">
        <f>BP125*Eras!BP$3</f>
        <v/>
      </c>
      <c r="BQ126" s="5">
        <f>BQ125*Eras!BQ$3</f>
        <v/>
      </c>
      <c r="BR126" s="5">
        <f>BR125*Eras!BR$3</f>
        <v/>
      </c>
      <c r="BS126" s="5">
        <f>BS125*Eras!BS$3</f>
        <v/>
      </c>
      <c r="BT126" s="5">
        <f>BT125*Eras!BT$3</f>
        <v/>
      </c>
      <c r="BU126" s="5">
        <f>BU125*Eras!BU$3</f>
        <v/>
      </c>
      <c r="BV126" s="5">
        <f>BV125*Eras!BV$3</f>
        <v/>
      </c>
    </row>
    <row r="127">
      <c r="A127" t="inlineStr">
        <is>
          <t>reactivated in @1</t>
        </is>
      </c>
      <c r="B127" t="inlineStr">
        <is>
          <t>LATAM|NITRO_A</t>
        </is>
      </c>
      <c r="C127" s="5">
        <f>C125*Eras!C$4</f>
        <v/>
      </c>
      <c r="D127" s="5">
        <f>D125*Eras!D$4</f>
        <v/>
      </c>
      <c r="E127" s="5">
        <f>E125*Eras!E$4</f>
        <v/>
      </c>
      <c r="F127" s="5">
        <f>F125*Eras!F$4</f>
        <v/>
      </c>
      <c r="G127" s="5">
        <f>G125*Eras!G$4</f>
        <v/>
      </c>
      <c r="H127" s="5">
        <f>H125*Eras!H$4</f>
        <v/>
      </c>
      <c r="I127" s="5">
        <f>I125*Eras!I$4</f>
        <v/>
      </c>
      <c r="J127" s="5">
        <f>J125*Eras!J$4</f>
        <v/>
      </c>
      <c r="K127" s="5">
        <f>K125*Eras!K$4</f>
        <v/>
      </c>
      <c r="L127" s="5">
        <f>L125*Eras!L$4</f>
        <v/>
      </c>
      <c r="M127" s="5">
        <f>M125*Eras!M$4</f>
        <v/>
      </c>
      <c r="N127" s="5">
        <f>N125*Eras!N$4</f>
        <v/>
      </c>
      <c r="O127" s="5">
        <f>O125*Eras!O$4</f>
        <v/>
      </c>
      <c r="P127" s="5">
        <f>P125*Eras!P$4</f>
        <v/>
      </c>
      <c r="Q127" s="5">
        <f>Q125*Eras!Q$4</f>
        <v/>
      </c>
      <c r="R127" s="5">
        <f>R125*Eras!R$4</f>
        <v/>
      </c>
      <c r="S127" s="5">
        <f>S125*Eras!S$4</f>
        <v/>
      </c>
      <c r="T127" s="5">
        <f>T125*Eras!T$4</f>
        <v/>
      </c>
      <c r="U127" s="5">
        <f>U125*Eras!U$4</f>
        <v/>
      </c>
      <c r="V127" s="5">
        <f>V125*Eras!V$4</f>
        <v/>
      </c>
      <c r="W127" s="5">
        <f>W125*Eras!W$4</f>
        <v/>
      </c>
      <c r="X127" s="5">
        <f>X125*Eras!X$4</f>
        <v/>
      </c>
      <c r="Y127" s="5">
        <f>Y125*Eras!Y$4</f>
        <v/>
      </c>
      <c r="Z127" s="5">
        <f>Z125*Eras!Z$4</f>
        <v/>
      </c>
      <c r="AA127" s="5">
        <f>AA125*Eras!AA$4</f>
        <v/>
      </c>
      <c r="AB127" s="5">
        <f>AB125*Eras!AB$4</f>
        <v/>
      </c>
      <c r="AC127" s="5">
        <f>AC125*Eras!AC$4</f>
        <v/>
      </c>
      <c r="AD127" s="5">
        <f>AD125*Eras!AD$4</f>
        <v/>
      </c>
      <c r="AE127" s="5">
        <f>AE125*Eras!AE$4</f>
        <v/>
      </c>
      <c r="AF127" s="5">
        <f>AF125*Eras!AF$4</f>
        <v/>
      </c>
      <c r="AG127" s="5">
        <f>AG125*Eras!AG$4</f>
        <v/>
      </c>
      <c r="AH127" s="5">
        <f>AH125*Eras!AH$4</f>
        <v/>
      </c>
      <c r="AI127" s="5">
        <f>AI125*Eras!AI$4</f>
        <v/>
      </c>
      <c r="AJ127" s="5">
        <f>AJ125*Eras!AJ$4</f>
        <v/>
      </c>
      <c r="AK127" s="5">
        <f>AK125*Eras!AK$4</f>
        <v/>
      </c>
      <c r="AL127" s="5">
        <f>AL125*Eras!AL$4</f>
        <v/>
      </c>
      <c r="AM127" s="5">
        <f>AM125*Eras!AM$4</f>
        <v/>
      </c>
      <c r="AN127" s="5">
        <f>AN125*Eras!AN$4</f>
        <v/>
      </c>
      <c r="AO127" s="5">
        <f>AO125*Eras!AO$4</f>
        <v/>
      </c>
      <c r="AP127" s="5">
        <f>AP125*Eras!AP$4</f>
        <v/>
      </c>
      <c r="AQ127" s="5">
        <f>AQ125*Eras!AQ$4</f>
        <v/>
      </c>
      <c r="AR127" s="5">
        <f>AR125*Eras!AR$4</f>
        <v/>
      </c>
      <c r="AS127" s="5">
        <f>AS125*Eras!AS$4</f>
        <v/>
      </c>
      <c r="AT127" s="5">
        <f>AT125*Eras!AT$4</f>
        <v/>
      </c>
      <c r="AU127" s="5">
        <f>AU125*Eras!AU$4</f>
        <v/>
      </c>
      <c r="AV127" s="5">
        <f>AV125*Eras!AV$4</f>
        <v/>
      </c>
      <c r="AW127" s="5">
        <f>AW125*Eras!AW$4</f>
        <v/>
      </c>
      <c r="AX127" s="5">
        <f>AX125*Eras!AX$4</f>
        <v/>
      </c>
      <c r="AY127" s="5">
        <f>AY125*Eras!AY$4</f>
        <v/>
      </c>
      <c r="AZ127" s="5">
        <f>AZ125*Eras!AZ$4</f>
        <v/>
      </c>
      <c r="BA127" s="5">
        <f>BA125*Eras!BA$4</f>
        <v/>
      </c>
      <c r="BB127" s="5">
        <f>BB125*Eras!BB$4</f>
        <v/>
      </c>
      <c r="BC127" s="5">
        <f>BC125*Eras!BC$4</f>
        <v/>
      </c>
      <c r="BD127" s="5">
        <f>BD125*Eras!BD$4</f>
        <v/>
      </c>
      <c r="BE127" s="5">
        <f>BE125*Eras!BE$4</f>
        <v/>
      </c>
      <c r="BF127" s="5">
        <f>BF125*Eras!BF$4</f>
        <v/>
      </c>
      <c r="BG127" s="5">
        <f>BG125*Eras!BG$4</f>
        <v/>
      </c>
      <c r="BH127" s="5">
        <f>BH125*Eras!BH$4</f>
        <v/>
      </c>
      <c r="BI127" s="5">
        <f>BI125*Eras!BI$4</f>
        <v/>
      </c>
      <c r="BJ127" s="5">
        <f>BJ125*Eras!BJ$4</f>
        <v/>
      </c>
      <c r="BK127" s="5">
        <f>BK125*Eras!BK$4</f>
        <v/>
      </c>
      <c r="BL127" s="5">
        <f>BL125*Eras!BL$4</f>
        <v/>
      </c>
      <c r="BM127" s="5">
        <f>BM125*Eras!BM$4</f>
        <v/>
      </c>
      <c r="BN127" s="5">
        <f>BN125*Eras!BN$4</f>
        <v/>
      </c>
      <c r="BO127" s="5">
        <f>BO125*Eras!BO$4</f>
        <v/>
      </c>
      <c r="BP127" s="5">
        <f>BP125*Eras!BP$4</f>
        <v/>
      </c>
      <c r="BQ127" s="5">
        <f>BQ125*Eras!BQ$4</f>
        <v/>
      </c>
      <c r="BR127" s="5">
        <f>BR125*Eras!BR$4</f>
        <v/>
      </c>
      <c r="BS127" s="5">
        <f>BS125*Eras!BS$4</f>
        <v/>
      </c>
      <c r="BT127" s="5">
        <f>BT125*Eras!BT$4</f>
        <v/>
      </c>
      <c r="BU127" s="5">
        <f>BU125*Eras!BU$4</f>
        <v/>
      </c>
      <c r="BV127" s="5">
        <f>BV125*Eras!BV$4</f>
        <v/>
      </c>
    </row>
    <row r="128">
      <c r="A128" t="inlineStr">
        <is>
          <t>reactivated in @2</t>
        </is>
      </c>
      <c r="B128" t="inlineStr">
        <is>
          <t>LATAM|NITRO_A</t>
        </is>
      </c>
      <c r="C128" s="5">
        <f>C125*Eras!C$5</f>
        <v/>
      </c>
      <c r="D128" s="5">
        <f>D125*Eras!D$5</f>
        <v/>
      </c>
      <c r="E128" s="5">
        <f>E125*Eras!E$5</f>
        <v/>
      </c>
      <c r="F128" s="5">
        <f>F125*Eras!F$5</f>
        <v/>
      </c>
      <c r="G128" s="5">
        <f>G125*Eras!G$5</f>
        <v/>
      </c>
      <c r="H128" s="5">
        <f>H125*Eras!H$5</f>
        <v/>
      </c>
      <c r="I128" s="5">
        <f>I125*Eras!I$5</f>
        <v/>
      </c>
      <c r="J128" s="5">
        <f>J125*Eras!J$5</f>
        <v/>
      </c>
      <c r="K128" s="5">
        <f>K125*Eras!K$5</f>
        <v/>
      </c>
      <c r="L128" s="5">
        <f>L125*Eras!L$5</f>
        <v/>
      </c>
      <c r="M128" s="5">
        <f>M125*Eras!M$5</f>
        <v/>
      </c>
      <c r="N128" s="5">
        <f>N125*Eras!N$5</f>
        <v/>
      </c>
      <c r="O128" s="5">
        <f>O125*Eras!O$5</f>
        <v/>
      </c>
      <c r="P128" s="5">
        <f>P125*Eras!P$5</f>
        <v/>
      </c>
      <c r="Q128" s="5">
        <f>Q125*Eras!Q$5</f>
        <v/>
      </c>
      <c r="R128" s="5">
        <f>R125*Eras!R$5</f>
        <v/>
      </c>
      <c r="S128" s="5">
        <f>S125*Eras!S$5</f>
        <v/>
      </c>
      <c r="T128" s="5">
        <f>T125*Eras!T$5</f>
        <v/>
      </c>
      <c r="U128" s="5">
        <f>U125*Eras!U$5</f>
        <v/>
      </c>
      <c r="V128" s="5">
        <f>V125*Eras!V$5</f>
        <v/>
      </c>
      <c r="W128" s="5">
        <f>W125*Eras!W$5</f>
        <v/>
      </c>
      <c r="X128" s="5">
        <f>X125*Eras!X$5</f>
        <v/>
      </c>
      <c r="Y128" s="5">
        <f>Y125*Eras!Y$5</f>
        <v/>
      </c>
      <c r="Z128" s="5">
        <f>Z125*Eras!Z$5</f>
        <v/>
      </c>
      <c r="AA128" s="5">
        <f>AA125*Eras!AA$5</f>
        <v/>
      </c>
      <c r="AB128" s="5">
        <f>AB125*Eras!AB$5</f>
        <v/>
      </c>
      <c r="AC128" s="5">
        <f>AC125*Eras!AC$5</f>
        <v/>
      </c>
      <c r="AD128" s="5">
        <f>AD125*Eras!AD$5</f>
        <v/>
      </c>
      <c r="AE128" s="5">
        <f>AE125*Eras!AE$5</f>
        <v/>
      </c>
      <c r="AF128" s="5">
        <f>AF125*Eras!AF$5</f>
        <v/>
      </c>
      <c r="AG128" s="5">
        <f>AG125*Eras!AG$5</f>
        <v/>
      </c>
      <c r="AH128" s="5">
        <f>AH125*Eras!AH$5</f>
        <v/>
      </c>
      <c r="AI128" s="5">
        <f>AI125*Eras!AI$5</f>
        <v/>
      </c>
      <c r="AJ128" s="5">
        <f>AJ125*Eras!AJ$5</f>
        <v/>
      </c>
      <c r="AK128" s="5">
        <f>AK125*Eras!AK$5</f>
        <v/>
      </c>
      <c r="AL128" s="5">
        <f>AL125*Eras!AL$5</f>
        <v/>
      </c>
      <c r="AM128" s="5">
        <f>AM125*Eras!AM$5</f>
        <v/>
      </c>
      <c r="AN128" s="5">
        <f>AN125*Eras!AN$5</f>
        <v/>
      </c>
      <c r="AO128" s="5">
        <f>AO125*Eras!AO$5</f>
        <v/>
      </c>
      <c r="AP128" s="5">
        <f>AP125*Eras!AP$5</f>
        <v/>
      </c>
      <c r="AQ128" s="5">
        <f>AQ125*Eras!AQ$5</f>
        <v/>
      </c>
      <c r="AR128" s="5">
        <f>AR125*Eras!AR$5</f>
        <v/>
      </c>
      <c r="AS128" s="5">
        <f>AS125*Eras!AS$5</f>
        <v/>
      </c>
      <c r="AT128" s="5">
        <f>AT125*Eras!AT$5</f>
        <v/>
      </c>
      <c r="AU128" s="5">
        <f>AU125*Eras!AU$5</f>
        <v/>
      </c>
      <c r="AV128" s="5">
        <f>AV125*Eras!AV$5</f>
        <v/>
      </c>
      <c r="AW128" s="5">
        <f>AW125*Eras!AW$5</f>
        <v/>
      </c>
      <c r="AX128" s="5">
        <f>AX125*Eras!AX$5</f>
        <v/>
      </c>
      <c r="AY128" s="5">
        <f>AY125*Eras!AY$5</f>
        <v/>
      </c>
      <c r="AZ128" s="5">
        <f>AZ125*Eras!AZ$5</f>
        <v/>
      </c>
      <c r="BA128" s="5">
        <f>BA125*Eras!BA$5</f>
        <v/>
      </c>
      <c r="BB128" s="5">
        <f>BB125*Eras!BB$5</f>
        <v/>
      </c>
      <c r="BC128" s="5">
        <f>BC125*Eras!BC$5</f>
        <v/>
      </c>
      <c r="BD128" s="5">
        <f>BD125*Eras!BD$5</f>
        <v/>
      </c>
      <c r="BE128" s="5">
        <f>BE125*Eras!BE$5</f>
        <v/>
      </c>
      <c r="BF128" s="5">
        <f>BF125*Eras!BF$5</f>
        <v/>
      </c>
      <c r="BG128" s="5">
        <f>BG125*Eras!BG$5</f>
        <v/>
      </c>
      <c r="BH128" s="5">
        <f>BH125*Eras!BH$5</f>
        <v/>
      </c>
      <c r="BI128" s="5">
        <f>BI125*Eras!BI$5</f>
        <v/>
      </c>
      <c r="BJ128" s="5">
        <f>BJ125*Eras!BJ$5</f>
        <v/>
      </c>
      <c r="BK128" s="5">
        <f>BK125*Eras!BK$5</f>
        <v/>
      </c>
      <c r="BL128" s="5">
        <f>BL125*Eras!BL$5</f>
        <v/>
      </c>
      <c r="BM128" s="5">
        <f>BM125*Eras!BM$5</f>
        <v/>
      </c>
      <c r="BN128" s="5">
        <f>BN125*Eras!BN$5</f>
        <v/>
      </c>
      <c r="BO128" s="5">
        <f>BO125*Eras!BO$5</f>
        <v/>
      </c>
      <c r="BP128" s="5">
        <f>BP125*Eras!BP$5</f>
        <v/>
      </c>
      <c r="BQ128" s="5">
        <f>BQ125*Eras!BQ$5</f>
        <v/>
      </c>
      <c r="BR128" s="5">
        <f>BR125*Eras!BR$5</f>
        <v/>
      </c>
      <c r="BS128" s="5">
        <f>BS125*Eras!BS$5</f>
        <v/>
      </c>
      <c r="BT128" s="5">
        <f>BT125*Eras!BT$5</f>
        <v/>
      </c>
      <c r="BU128" s="5">
        <f>BU125*Eras!BU$5</f>
        <v/>
      </c>
      <c r="BV128" s="5">
        <f>BV125*Eras!BV$5</f>
        <v/>
      </c>
    </row>
    <row r="129">
      <c r="A129" t="inlineStr">
        <is>
          <t>active</t>
        </is>
      </c>
      <c r="B129" t="inlineStr">
        <is>
          <t>LATAM|NITRO_A</t>
        </is>
      </c>
      <c r="C129" s="5">
        <f>React!$C$126*Curves!$BV$19+React!$C$127*Curves!$BV$42+React!$C$128*Curves!$BV$65</f>
        <v/>
      </c>
      <c r="D129" s="5">
        <f>SUMPRODUCT(React!$C$126:$D$126,Curves!$BU$19:$BV$19)+SUMPRODUCT(React!$C$127:$D$127,Curves!$BU$42:$BV$42)+SUMPRODUCT(React!$C$128:$D$128,Curves!$BU$65:$BV$65)</f>
        <v/>
      </c>
      <c r="E129" s="5">
        <f>SUMPRODUCT(React!$C$126:$E$126,Curves!$BT$19:$BV$19)+SUMPRODUCT(React!$C$127:$E$127,Curves!$BT$42:$BV$42)+SUMPRODUCT(React!$C$128:$E$128,Curves!$BT$65:$BV$65)</f>
        <v/>
      </c>
      <c r="F129" s="5">
        <f>SUMPRODUCT(React!$C$126:$F$126,Curves!$BS$19:$BV$19)+SUMPRODUCT(React!$C$127:$F$127,Curves!$BS$42:$BV$42)+SUMPRODUCT(React!$C$128:$F$128,Curves!$BS$65:$BV$65)</f>
        <v/>
      </c>
      <c r="G129" s="5">
        <f>SUMPRODUCT(React!$C$126:$G$126,Curves!$BR$19:$BV$19)+SUMPRODUCT(React!$C$127:$G$127,Curves!$BR$42:$BV$42)+SUMPRODUCT(React!$C$128:$G$128,Curves!$BR$65:$BV$65)</f>
        <v/>
      </c>
      <c r="H129" s="5">
        <f>SUMPRODUCT(React!$C$126:$H$126,Curves!$BQ$19:$BV$19)+SUMPRODUCT(React!$C$127:$H$127,Curves!$BQ$42:$BV$42)+SUMPRODUCT(React!$C$128:$H$128,Curves!$BQ$65:$BV$65)</f>
        <v/>
      </c>
      <c r="I129" s="5">
        <f>SUMPRODUCT(React!$C$126:$I$126,Curves!$BP$19:$BV$19)+SUMPRODUCT(React!$C$127:$I$127,Curves!$BP$42:$BV$42)+SUMPRODUCT(React!$C$128:$I$128,Curves!$BP$65:$BV$65)</f>
        <v/>
      </c>
      <c r="J129" s="5">
        <f>SUMPRODUCT(React!$C$126:$J$126,Curves!$BO$19:$BV$19)+SUMPRODUCT(React!$C$127:$J$127,Curves!$BO$42:$BV$42)+SUMPRODUCT(React!$C$128:$J$128,Curves!$BO$65:$BV$65)</f>
        <v/>
      </c>
      <c r="K129" s="5">
        <f>SUMPRODUCT(React!$C$126:$K$126,Curves!$BN$19:$BV$19)+SUMPRODUCT(React!$C$127:$K$127,Curves!$BN$42:$BV$42)+SUMPRODUCT(React!$C$128:$K$128,Curves!$BN$65:$BV$65)</f>
        <v/>
      </c>
      <c r="L129" s="5">
        <f>SUMPRODUCT(React!$C$126:$L$126,Curves!$BM$19:$BV$19)+SUMPRODUCT(React!$C$127:$L$127,Curves!$BM$42:$BV$42)+SUMPRODUCT(React!$C$128:$L$128,Curves!$BM$65:$BV$65)</f>
        <v/>
      </c>
      <c r="M129" s="5">
        <f>SUMPRODUCT(React!$C$126:$M$126,Curves!$BL$19:$BV$19)+SUMPRODUCT(React!$C$127:$M$127,Curves!$BL$42:$BV$42)+SUMPRODUCT(React!$C$128:$M$128,Curves!$BL$65:$BV$65)</f>
        <v/>
      </c>
      <c r="N129" s="5">
        <f>SUMPRODUCT(React!$C$126:$N$126,Curves!$BK$19:$BV$19)+SUMPRODUCT(React!$C$127:$N$127,Curves!$BK$42:$BV$42)+SUMPRODUCT(React!$C$128:$N$128,Curves!$BK$65:$BV$65)</f>
        <v/>
      </c>
      <c r="O129" s="5">
        <f>SUMPRODUCT(React!$C$126:$O$126,Curves!$BJ$19:$BV$19)+SUMPRODUCT(React!$C$127:$O$127,Curves!$BJ$42:$BV$42)+SUMPRODUCT(React!$C$128:$O$128,Curves!$BJ$65:$BV$65)</f>
        <v/>
      </c>
      <c r="P129" s="5">
        <f>SUMPRODUCT(React!$C$126:$P$126,Curves!$BI$19:$BV$19)+SUMPRODUCT(React!$C$127:$P$127,Curves!$BI$42:$BV$42)+SUMPRODUCT(React!$C$128:$P$128,Curves!$BI$65:$BV$65)</f>
        <v/>
      </c>
      <c r="Q129" s="5">
        <f>SUMPRODUCT(React!$C$126:$Q$126,Curves!$BH$19:$BV$19)+SUMPRODUCT(React!$C$127:$Q$127,Curves!$BH$42:$BV$42)+SUMPRODUCT(React!$C$128:$Q$128,Curves!$BH$65:$BV$65)</f>
        <v/>
      </c>
      <c r="R129" s="5">
        <f>SUMPRODUCT(React!$C$126:$R$126,Curves!$BG$19:$BV$19)+SUMPRODUCT(React!$C$127:$R$127,Curves!$BG$42:$BV$42)+SUMPRODUCT(React!$C$128:$R$128,Curves!$BG$65:$BV$65)</f>
        <v/>
      </c>
      <c r="S129" s="5">
        <f>SUMPRODUCT(React!$C$126:$S$126,Curves!$BF$19:$BV$19)+SUMPRODUCT(React!$C$127:$S$127,Curves!$BF$42:$BV$42)+SUMPRODUCT(React!$C$128:$S$128,Curves!$BF$65:$BV$65)</f>
        <v/>
      </c>
      <c r="T129" s="5">
        <f>SUMPRODUCT(React!$C$126:$T$126,Curves!$BE$19:$BV$19)+SUMPRODUCT(React!$C$127:$T$127,Curves!$BE$42:$BV$42)+SUMPRODUCT(React!$C$128:$T$128,Curves!$BE$65:$BV$65)</f>
        <v/>
      </c>
      <c r="U129" s="5">
        <f>SUMPRODUCT(React!$C$126:$U$126,Curves!$BD$19:$BV$19)+SUMPRODUCT(React!$C$127:$U$127,Curves!$BD$42:$BV$42)+SUMPRODUCT(React!$C$128:$U$128,Curves!$BD$65:$BV$65)</f>
        <v/>
      </c>
      <c r="V129" s="5">
        <f>SUMPRODUCT(React!$C$126:$V$126,Curves!$BC$19:$BV$19)+SUMPRODUCT(React!$C$127:$V$127,Curves!$BC$42:$BV$42)+SUMPRODUCT(React!$C$128:$V$128,Curves!$BC$65:$BV$65)</f>
        <v/>
      </c>
      <c r="W129" s="5">
        <f>SUMPRODUCT(React!$C$126:$W$126,Curves!$BB$19:$BV$19)+SUMPRODUCT(React!$C$127:$W$127,Curves!$BB$42:$BV$42)+SUMPRODUCT(React!$C$128:$W$128,Curves!$BB$65:$BV$65)</f>
        <v/>
      </c>
      <c r="X129" s="5">
        <f>SUMPRODUCT(React!$C$126:$X$126,Curves!$BA$19:$BV$19)+SUMPRODUCT(React!$C$127:$X$127,Curves!$BA$42:$BV$42)+SUMPRODUCT(React!$C$128:$X$128,Curves!$BA$65:$BV$65)</f>
        <v/>
      </c>
      <c r="Y129" s="5">
        <f>SUMPRODUCT(React!$C$126:$Y$126,Curves!$AZ$19:$BV$19)+SUMPRODUCT(React!$C$127:$Y$127,Curves!$AZ$42:$BV$42)+SUMPRODUCT(React!$C$128:$Y$128,Curves!$AZ$65:$BV$65)</f>
        <v/>
      </c>
      <c r="Z129" s="5">
        <f>SUMPRODUCT(React!$C$126:$Z$126,Curves!$AY$19:$BV$19)+SUMPRODUCT(React!$C$127:$Z$127,Curves!$AY$42:$BV$42)+SUMPRODUCT(React!$C$128:$Z$128,Curves!$AY$65:$BV$65)</f>
        <v/>
      </c>
      <c r="AA129" s="5">
        <f>SUMPRODUCT(React!$C$126:$AA$126,Curves!$AX$19:$BV$19)+SUMPRODUCT(React!$C$127:$AA$127,Curves!$AX$42:$BV$42)+SUMPRODUCT(React!$C$128:$AA$128,Curves!$AX$65:$BV$65)</f>
        <v/>
      </c>
      <c r="AB129" s="5">
        <f>SUMPRODUCT(React!$C$126:$AB$126,Curves!$AW$19:$BV$19)+SUMPRODUCT(React!$C$127:$AB$127,Curves!$AW$42:$BV$42)+SUMPRODUCT(React!$C$128:$AB$128,Curves!$AW$65:$BV$65)</f>
        <v/>
      </c>
      <c r="AC129" s="5">
        <f>SUMPRODUCT(React!$C$126:$AC$126,Curves!$AV$19:$BV$19)+SUMPRODUCT(React!$C$127:$AC$127,Curves!$AV$42:$BV$42)+SUMPRODUCT(React!$C$128:$AC$128,Curves!$AV$65:$BV$65)</f>
        <v/>
      </c>
      <c r="AD129" s="5">
        <f>SUMPRODUCT(React!$C$126:$AD$126,Curves!$AU$19:$BV$19)+SUMPRODUCT(React!$C$127:$AD$127,Curves!$AU$42:$BV$42)+SUMPRODUCT(React!$C$128:$AD$128,Curves!$AU$65:$BV$65)</f>
        <v/>
      </c>
      <c r="AE129" s="5">
        <f>SUMPRODUCT(React!$C$126:$AE$126,Curves!$AT$19:$BV$19)+SUMPRODUCT(React!$C$127:$AE$127,Curves!$AT$42:$BV$42)+SUMPRODUCT(React!$C$128:$AE$128,Curves!$AT$65:$BV$65)</f>
        <v/>
      </c>
      <c r="AF129" s="5">
        <f>SUMPRODUCT(React!$C$126:$AF$126,Curves!$AS$19:$BV$19)+SUMPRODUCT(React!$C$127:$AF$127,Curves!$AS$42:$BV$42)+SUMPRODUCT(React!$C$128:$AF$128,Curves!$AS$65:$BV$65)</f>
        <v/>
      </c>
      <c r="AG129" s="5">
        <f>SUMPRODUCT(React!$C$126:$AG$126,Curves!$AR$19:$BV$19)+SUMPRODUCT(React!$C$127:$AG$127,Curves!$AR$42:$BV$42)+SUMPRODUCT(React!$C$128:$AG$128,Curves!$AR$65:$BV$65)</f>
        <v/>
      </c>
      <c r="AH129" s="5">
        <f>SUMPRODUCT(React!$C$126:$AH$126,Curves!$AQ$19:$BV$19)+SUMPRODUCT(React!$C$127:$AH$127,Curves!$AQ$42:$BV$42)+SUMPRODUCT(React!$C$128:$AH$128,Curves!$AQ$65:$BV$65)</f>
        <v/>
      </c>
      <c r="AI129" s="5">
        <f>SUMPRODUCT(React!$C$126:$AI$126,Curves!$AP$19:$BV$19)+SUMPRODUCT(React!$C$127:$AI$127,Curves!$AP$42:$BV$42)+SUMPRODUCT(React!$C$128:$AI$128,Curves!$AP$65:$BV$65)</f>
        <v/>
      </c>
      <c r="AJ129" s="5">
        <f>SUMPRODUCT(React!$C$126:$AJ$126,Curves!$AO$19:$BV$19)+SUMPRODUCT(React!$C$127:$AJ$127,Curves!$AO$42:$BV$42)+SUMPRODUCT(React!$C$128:$AJ$128,Curves!$AO$65:$BV$65)</f>
        <v/>
      </c>
      <c r="AK129" s="5">
        <f>SUMPRODUCT(React!$C$126:$AK$126,Curves!$AN$19:$BV$19)+SUMPRODUCT(React!$C$127:$AK$127,Curves!$AN$42:$BV$42)+SUMPRODUCT(React!$C$128:$AK$128,Curves!$AN$65:$BV$65)</f>
        <v/>
      </c>
      <c r="AL129" s="5">
        <f>SUMPRODUCT(React!$C$126:$AL$126,Curves!$AM$19:$BV$19)+SUMPRODUCT(React!$C$127:$AL$127,Curves!$AM$42:$BV$42)+SUMPRODUCT(React!$C$128:$AL$128,Curves!$AM$65:$BV$65)</f>
        <v/>
      </c>
      <c r="AM129" s="5">
        <f>SUMPRODUCT(React!$C$126:$AM$126,Curves!$AL$19:$BV$19)+SUMPRODUCT(React!$C$127:$AM$127,Curves!$AL$42:$BV$42)+SUMPRODUCT(React!$C$128:$AM$128,Curves!$AL$65:$BV$65)</f>
        <v/>
      </c>
      <c r="AN129" s="5">
        <f>SUMPRODUCT(React!$C$126:$AN$126,Curves!$AK$19:$BV$19)+SUMPRODUCT(React!$C$127:$AN$127,Curves!$AK$42:$BV$42)+SUMPRODUCT(React!$C$128:$AN$128,Curves!$AK$65:$BV$65)</f>
        <v/>
      </c>
      <c r="AO129" s="5">
        <f>SUMPRODUCT(React!$C$126:$AO$126,Curves!$AJ$19:$BV$19)+SUMPRODUCT(React!$C$127:$AO$127,Curves!$AJ$42:$BV$42)+SUMPRODUCT(React!$C$128:$AO$128,Curves!$AJ$65:$BV$65)</f>
        <v/>
      </c>
      <c r="AP129" s="5">
        <f>SUMPRODUCT(React!$C$126:$AP$126,Curves!$AI$19:$BV$19)+SUMPRODUCT(React!$C$127:$AP$127,Curves!$AI$42:$BV$42)+SUMPRODUCT(React!$C$128:$AP$128,Curves!$AI$65:$BV$65)</f>
        <v/>
      </c>
      <c r="AQ129" s="5">
        <f>SUMPRODUCT(React!$C$126:$AQ$126,Curves!$AH$19:$BV$19)+SUMPRODUCT(React!$C$127:$AQ$127,Curves!$AH$42:$BV$42)+SUMPRODUCT(React!$C$128:$AQ$128,Curves!$AH$65:$BV$65)</f>
        <v/>
      </c>
      <c r="AR129" s="5">
        <f>SUMPRODUCT(React!$C$126:$AR$126,Curves!$AG$19:$BV$19)+SUMPRODUCT(React!$C$127:$AR$127,Curves!$AG$42:$BV$42)+SUMPRODUCT(React!$C$128:$AR$128,Curves!$AG$65:$BV$65)</f>
        <v/>
      </c>
      <c r="AS129" s="5">
        <f>SUMPRODUCT(React!$C$126:$AS$126,Curves!$AF$19:$BV$19)+SUMPRODUCT(React!$C$127:$AS$127,Curves!$AF$42:$BV$42)+SUMPRODUCT(React!$C$128:$AS$128,Curves!$AF$65:$BV$65)</f>
        <v/>
      </c>
      <c r="AT129" s="5">
        <f>SUMPRODUCT(React!$C$126:$AT$126,Curves!$AE$19:$BV$19)+SUMPRODUCT(React!$C$127:$AT$127,Curves!$AE$42:$BV$42)+SUMPRODUCT(React!$C$128:$AT$128,Curves!$AE$65:$BV$65)</f>
        <v/>
      </c>
      <c r="AU129" s="5">
        <f>SUMPRODUCT(React!$C$126:$AU$126,Curves!$AD$19:$BV$19)+SUMPRODUCT(React!$C$127:$AU$127,Curves!$AD$42:$BV$42)+SUMPRODUCT(React!$C$128:$AU$128,Curves!$AD$65:$BV$65)</f>
        <v/>
      </c>
      <c r="AV129" s="5">
        <f>SUMPRODUCT(React!$C$126:$AV$126,Curves!$AC$19:$BV$19)+SUMPRODUCT(React!$C$127:$AV$127,Curves!$AC$42:$BV$42)+SUMPRODUCT(React!$C$128:$AV$128,Curves!$AC$65:$BV$65)</f>
        <v/>
      </c>
      <c r="AW129" s="5">
        <f>SUMPRODUCT(React!$C$126:$AW$126,Curves!$AB$19:$BV$19)+SUMPRODUCT(React!$C$127:$AW$127,Curves!$AB$42:$BV$42)+SUMPRODUCT(React!$C$128:$AW$128,Curves!$AB$65:$BV$65)</f>
        <v/>
      </c>
      <c r="AX129" s="5">
        <f>SUMPRODUCT(React!$C$126:$AX$126,Curves!$AA$19:$BV$19)+SUMPRODUCT(React!$C$127:$AX$127,Curves!$AA$42:$BV$42)+SUMPRODUCT(React!$C$128:$AX$128,Curves!$AA$65:$BV$65)</f>
        <v/>
      </c>
      <c r="AY129" s="5">
        <f>SUMPRODUCT(React!$C$126:$AY$126,Curves!$Z$19:$BV$19)+SUMPRODUCT(React!$C$127:$AY$127,Curves!$Z$42:$BV$42)+SUMPRODUCT(React!$C$128:$AY$128,Curves!$Z$65:$BV$65)</f>
        <v/>
      </c>
      <c r="AZ129" s="5">
        <f>SUMPRODUCT(React!$C$126:$AZ$126,Curves!$Y$19:$BV$19)+SUMPRODUCT(React!$C$127:$AZ$127,Curves!$Y$42:$BV$42)+SUMPRODUCT(React!$C$128:$AZ$128,Curves!$Y$65:$BV$65)</f>
        <v/>
      </c>
      <c r="BA129" s="5">
        <f>SUMPRODUCT(React!$C$126:$BA$126,Curves!$X$19:$BV$19)+SUMPRODUCT(React!$C$127:$BA$127,Curves!$X$42:$BV$42)+SUMPRODUCT(React!$C$128:$BA$128,Curves!$X$65:$BV$65)</f>
        <v/>
      </c>
      <c r="BB129" s="5">
        <f>SUMPRODUCT(React!$C$126:$BB$126,Curves!$W$19:$BV$19)+SUMPRODUCT(React!$C$127:$BB$127,Curves!$W$42:$BV$42)+SUMPRODUCT(React!$C$128:$BB$128,Curves!$W$65:$BV$65)</f>
        <v/>
      </c>
      <c r="BC129" s="5">
        <f>SUMPRODUCT(React!$C$126:$BC$126,Curves!$V$19:$BV$19)+SUMPRODUCT(React!$C$127:$BC$127,Curves!$V$42:$BV$42)+SUMPRODUCT(React!$C$128:$BC$128,Curves!$V$65:$BV$65)</f>
        <v/>
      </c>
      <c r="BD129" s="5">
        <f>SUMPRODUCT(React!$C$126:$BD$126,Curves!$U$19:$BV$19)+SUMPRODUCT(React!$C$127:$BD$127,Curves!$U$42:$BV$42)+SUMPRODUCT(React!$C$128:$BD$128,Curves!$U$65:$BV$65)</f>
        <v/>
      </c>
      <c r="BE129" s="5">
        <f>SUMPRODUCT(React!$C$126:$BE$126,Curves!$T$19:$BV$19)+SUMPRODUCT(React!$C$127:$BE$127,Curves!$T$42:$BV$42)+SUMPRODUCT(React!$C$128:$BE$128,Curves!$T$65:$BV$65)</f>
        <v/>
      </c>
      <c r="BF129" s="5">
        <f>SUMPRODUCT(React!$C$126:$BF$126,Curves!$S$19:$BV$19)+SUMPRODUCT(React!$C$127:$BF$127,Curves!$S$42:$BV$42)+SUMPRODUCT(React!$C$128:$BF$128,Curves!$S$65:$BV$65)</f>
        <v/>
      </c>
      <c r="BG129" s="5">
        <f>SUMPRODUCT(React!$C$126:$BG$126,Curves!$R$19:$BV$19)+SUMPRODUCT(React!$C$127:$BG$127,Curves!$R$42:$BV$42)+SUMPRODUCT(React!$C$128:$BG$128,Curves!$R$65:$BV$65)</f>
        <v/>
      </c>
      <c r="BH129" s="5">
        <f>SUMPRODUCT(React!$C$126:$BH$126,Curves!$Q$19:$BV$19)+SUMPRODUCT(React!$C$127:$BH$127,Curves!$Q$42:$BV$42)+SUMPRODUCT(React!$C$128:$BH$128,Curves!$Q$65:$BV$65)</f>
        <v/>
      </c>
      <c r="BI129" s="5">
        <f>SUMPRODUCT(React!$C$126:$BI$126,Curves!$P$19:$BV$19)+SUMPRODUCT(React!$C$127:$BI$127,Curves!$P$42:$BV$42)+SUMPRODUCT(React!$C$128:$BI$128,Curves!$P$65:$BV$65)</f>
        <v/>
      </c>
      <c r="BJ129" s="5">
        <f>SUMPRODUCT(React!$C$126:$BJ$126,Curves!$O$19:$BV$19)+SUMPRODUCT(React!$C$127:$BJ$127,Curves!$O$42:$BV$42)+SUMPRODUCT(React!$C$128:$BJ$128,Curves!$O$65:$BV$65)</f>
        <v/>
      </c>
      <c r="BK129" s="5">
        <f>SUMPRODUCT(React!$C$126:$BK$126,Curves!$N$19:$BV$19)+SUMPRODUCT(React!$C$127:$BK$127,Curves!$N$42:$BV$42)+SUMPRODUCT(React!$C$128:$BK$128,Curves!$N$65:$BV$65)</f>
        <v/>
      </c>
      <c r="BL129" s="5">
        <f>SUMPRODUCT(React!$C$126:$BL$126,Curves!$M$19:$BV$19)+SUMPRODUCT(React!$C$127:$BL$127,Curves!$M$42:$BV$42)+SUMPRODUCT(React!$C$128:$BL$128,Curves!$M$65:$BV$65)</f>
        <v/>
      </c>
      <c r="BM129" s="5">
        <f>SUMPRODUCT(React!$C$126:$BM$126,Curves!$L$19:$BV$19)+SUMPRODUCT(React!$C$127:$BM$127,Curves!$L$42:$BV$42)+SUMPRODUCT(React!$C$128:$BM$128,Curves!$L$65:$BV$65)</f>
        <v/>
      </c>
      <c r="BN129" s="5">
        <f>SUMPRODUCT(React!$C$126:$BN$126,Curves!$K$19:$BV$19)+SUMPRODUCT(React!$C$127:$BN$127,Curves!$K$42:$BV$42)+SUMPRODUCT(React!$C$128:$BN$128,Curves!$K$65:$BV$65)</f>
        <v/>
      </c>
      <c r="BO129" s="5">
        <f>SUMPRODUCT(React!$C$126:$BO$126,Curves!$J$19:$BV$19)+SUMPRODUCT(React!$C$127:$BO$127,Curves!$J$42:$BV$42)+SUMPRODUCT(React!$C$128:$BO$128,Curves!$J$65:$BV$65)</f>
        <v/>
      </c>
      <c r="BP129" s="5">
        <f>SUMPRODUCT(React!$C$126:$BP$126,Curves!$I$19:$BV$19)+SUMPRODUCT(React!$C$127:$BP$127,Curves!$I$42:$BV$42)+SUMPRODUCT(React!$C$128:$BP$128,Curves!$I$65:$BV$65)</f>
        <v/>
      </c>
      <c r="BQ129" s="5">
        <f>SUMPRODUCT(React!$C$126:$BQ$126,Curves!$H$19:$BV$19)+SUMPRODUCT(React!$C$127:$BQ$127,Curves!$H$42:$BV$42)+SUMPRODUCT(React!$C$128:$BQ$128,Curves!$H$65:$BV$65)</f>
        <v/>
      </c>
      <c r="BR129" s="5">
        <f>SUMPRODUCT(React!$C$126:$BR$126,Curves!$G$19:$BV$19)+SUMPRODUCT(React!$C$127:$BR$127,Curves!$G$42:$BV$42)+SUMPRODUCT(React!$C$128:$BR$128,Curves!$G$65:$BV$65)</f>
        <v/>
      </c>
      <c r="BS129" s="5">
        <f>SUMPRODUCT(React!$C$126:$BS$126,Curves!$F$19:$BV$19)+SUMPRODUCT(React!$C$127:$BS$127,Curves!$F$42:$BV$42)+SUMPRODUCT(React!$C$128:$BS$128,Curves!$F$65:$BV$65)</f>
        <v/>
      </c>
      <c r="BT129" s="5">
        <f>SUMPRODUCT(React!$C$126:$BT$126,Curves!$E$19:$BV$19)+SUMPRODUCT(React!$C$127:$BT$127,Curves!$E$42:$BV$42)+SUMPRODUCT(React!$C$128:$BT$128,Curves!$E$65:$BV$65)</f>
        <v/>
      </c>
      <c r="BU129" s="5">
        <f>SUMPRODUCT(React!$C$126:$BU$126,Curves!$D$19:$BV$19)+SUMPRODUCT(React!$C$127:$BU$127,Curves!$D$42:$BV$42)+SUMPRODUCT(React!$C$128:$BU$128,Curves!$D$65:$BV$65)</f>
        <v/>
      </c>
      <c r="BV129" s="5">
        <f>SUMPRODUCT(React!$C$126:$BV$126,Curves!$C$19:$BV$19)+SUMPRODUCT(React!$C$127:$BV$127,Curves!$C$42:$BV$42)+SUMPRODUCT(React!$C$128:$BV$128,Curves!$C$65:$BV$65)</f>
        <v/>
      </c>
    </row>
    <row r="130">
      <c r="A130" t="inlineStr">
        <is>
          <t>active yr 1</t>
        </is>
      </c>
      <c r="B130" t="inlineStr">
        <is>
          <t>LATAM|NITRO_A</t>
        </is>
      </c>
      <c r="C130" s="5">
        <f>React!$C$126*Curves!$BV$24+React!$C$127*Curves!$BV$47+React!$C$128*Curves!$BV$70</f>
        <v/>
      </c>
      <c r="D130" s="5">
        <f>SUMPRODUCT(React!$C$126:$D$126,Curves!$BU$24:$BV$24)+SUMPRODUCT(React!$C$127:$D$127,Curves!$BU$47:$BV$47)+SUMPRODUCT(React!$C$128:$D$128,Curves!$BU$70:$BV$70)</f>
        <v/>
      </c>
      <c r="E130" s="5">
        <f>SUMPRODUCT(React!$C$126:$E$126,Curves!$BT$24:$BV$24)+SUMPRODUCT(React!$C$127:$E$127,Curves!$BT$47:$BV$47)+SUMPRODUCT(React!$C$128:$E$128,Curves!$BT$70:$BV$70)</f>
        <v/>
      </c>
      <c r="F130" s="5">
        <f>SUMPRODUCT(React!$C$126:$F$126,Curves!$BS$24:$BV$24)+SUMPRODUCT(React!$C$127:$F$127,Curves!$BS$47:$BV$47)+SUMPRODUCT(React!$C$128:$F$128,Curves!$BS$70:$BV$70)</f>
        <v/>
      </c>
      <c r="G130" s="5">
        <f>SUMPRODUCT(React!$C$126:$G$126,Curves!$BR$24:$BV$24)+SUMPRODUCT(React!$C$127:$G$127,Curves!$BR$47:$BV$47)+SUMPRODUCT(React!$C$128:$G$128,Curves!$BR$70:$BV$70)</f>
        <v/>
      </c>
      <c r="H130" s="5">
        <f>SUMPRODUCT(React!$C$126:$H$126,Curves!$BQ$24:$BV$24)+SUMPRODUCT(React!$C$127:$H$127,Curves!$BQ$47:$BV$47)+SUMPRODUCT(React!$C$128:$H$128,Curves!$BQ$70:$BV$70)</f>
        <v/>
      </c>
      <c r="I130" s="5">
        <f>SUMPRODUCT(React!$C$126:$I$126,Curves!$BP$24:$BV$24)+SUMPRODUCT(React!$C$127:$I$127,Curves!$BP$47:$BV$47)+SUMPRODUCT(React!$C$128:$I$128,Curves!$BP$70:$BV$70)</f>
        <v/>
      </c>
      <c r="J130" s="5">
        <f>SUMPRODUCT(React!$C$126:$J$126,Curves!$BO$24:$BV$24)+SUMPRODUCT(React!$C$127:$J$127,Curves!$BO$47:$BV$47)+SUMPRODUCT(React!$C$128:$J$128,Curves!$BO$70:$BV$70)</f>
        <v/>
      </c>
      <c r="K130" s="5">
        <f>SUMPRODUCT(React!$C$126:$K$126,Curves!$BN$24:$BV$24)+SUMPRODUCT(React!$C$127:$K$127,Curves!$BN$47:$BV$47)+SUMPRODUCT(React!$C$128:$K$128,Curves!$BN$70:$BV$70)</f>
        <v/>
      </c>
      <c r="L130" s="5">
        <f>SUMPRODUCT(React!$C$126:$L$126,Curves!$BM$24:$BV$24)+SUMPRODUCT(React!$C$127:$L$127,Curves!$BM$47:$BV$47)+SUMPRODUCT(React!$C$128:$L$128,Curves!$BM$70:$BV$70)</f>
        <v/>
      </c>
      <c r="M130" s="5">
        <f>SUMPRODUCT(React!$C$126:$M$126,Curves!$BL$24:$BV$24)+SUMPRODUCT(React!$C$127:$M$127,Curves!$BL$47:$BV$47)+SUMPRODUCT(React!$C$128:$M$128,Curves!$BL$70:$BV$70)</f>
        <v/>
      </c>
      <c r="N130" s="5">
        <f>SUMPRODUCT(React!$C$126:$N$126,Curves!$BK$24:$BV$24)+SUMPRODUCT(React!$C$127:$N$127,Curves!$BK$47:$BV$47)+SUMPRODUCT(React!$C$128:$N$128,Curves!$BK$70:$BV$70)</f>
        <v/>
      </c>
      <c r="O130" s="5">
        <f>SUMPRODUCT(React!$C$126:$O$126,Curves!$BJ$24:$BV$24)+SUMPRODUCT(React!$C$127:$O$127,Curves!$BJ$47:$BV$47)+SUMPRODUCT(React!$C$128:$O$128,Curves!$BJ$70:$BV$70)</f>
        <v/>
      </c>
      <c r="P130" s="5">
        <f>SUMPRODUCT(React!$C$126:$P$126,Curves!$BI$24:$BV$24)+SUMPRODUCT(React!$C$127:$P$127,Curves!$BI$47:$BV$47)+SUMPRODUCT(React!$C$128:$P$128,Curves!$BI$70:$BV$70)</f>
        <v/>
      </c>
      <c r="Q130" s="5">
        <f>SUMPRODUCT(React!$C$126:$Q$126,Curves!$BH$24:$BV$24)+SUMPRODUCT(React!$C$127:$Q$127,Curves!$BH$47:$BV$47)+SUMPRODUCT(React!$C$128:$Q$128,Curves!$BH$70:$BV$70)</f>
        <v/>
      </c>
      <c r="R130" s="5">
        <f>SUMPRODUCT(React!$C$126:$R$126,Curves!$BG$24:$BV$24)+SUMPRODUCT(React!$C$127:$R$127,Curves!$BG$47:$BV$47)+SUMPRODUCT(React!$C$128:$R$128,Curves!$BG$70:$BV$70)</f>
        <v/>
      </c>
      <c r="S130" s="5">
        <f>SUMPRODUCT(React!$C$126:$S$126,Curves!$BF$24:$BV$24)+SUMPRODUCT(React!$C$127:$S$127,Curves!$BF$47:$BV$47)+SUMPRODUCT(React!$C$128:$S$128,Curves!$BF$70:$BV$70)</f>
        <v/>
      </c>
      <c r="T130" s="5">
        <f>SUMPRODUCT(React!$C$126:$T$126,Curves!$BE$24:$BV$24)+SUMPRODUCT(React!$C$127:$T$127,Curves!$BE$47:$BV$47)+SUMPRODUCT(React!$C$128:$T$128,Curves!$BE$70:$BV$70)</f>
        <v/>
      </c>
      <c r="U130" s="5">
        <f>SUMPRODUCT(React!$C$126:$U$126,Curves!$BD$24:$BV$24)+SUMPRODUCT(React!$C$127:$U$127,Curves!$BD$47:$BV$47)+SUMPRODUCT(React!$C$128:$U$128,Curves!$BD$70:$BV$70)</f>
        <v/>
      </c>
      <c r="V130" s="5">
        <f>SUMPRODUCT(React!$C$126:$V$126,Curves!$BC$24:$BV$24)+SUMPRODUCT(React!$C$127:$V$127,Curves!$BC$47:$BV$47)+SUMPRODUCT(React!$C$128:$V$128,Curves!$BC$70:$BV$70)</f>
        <v/>
      </c>
      <c r="W130" s="5">
        <f>SUMPRODUCT(React!$C$126:$W$126,Curves!$BB$24:$BV$24)+SUMPRODUCT(React!$C$127:$W$127,Curves!$BB$47:$BV$47)+SUMPRODUCT(React!$C$128:$W$128,Curves!$BB$70:$BV$70)</f>
        <v/>
      </c>
      <c r="X130" s="5">
        <f>SUMPRODUCT(React!$C$126:$X$126,Curves!$BA$24:$BV$24)+SUMPRODUCT(React!$C$127:$X$127,Curves!$BA$47:$BV$47)+SUMPRODUCT(React!$C$128:$X$128,Curves!$BA$70:$BV$70)</f>
        <v/>
      </c>
      <c r="Y130" s="5">
        <f>SUMPRODUCT(React!$C$126:$Y$126,Curves!$AZ$24:$BV$24)+SUMPRODUCT(React!$C$127:$Y$127,Curves!$AZ$47:$BV$47)+SUMPRODUCT(React!$C$128:$Y$128,Curves!$AZ$70:$BV$70)</f>
        <v/>
      </c>
      <c r="Z130" s="5">
        <f>SUMPRODUCT(React!$C$126:$Z$126,Curves!$AY$24:$BV$24)+SUMPRODUCT(React!$C$127:$Z$127,Curves!$AY$47:$BV$47)+SUMPRODUCT(React!$C$128:$Z$128,Curves!$AY$70:$BV$70)</f>
        <v/>
      </c>
      <c r="AA130" s="5">
        <f>SUMPRODUCT(React!$C$126:$AA$126,Curves!$AX$24:$BV$24)+SUMPRODUCT(React!$C$127:$AA$127,Curves!$AX$47:$BV$47)+SUMPRODUCT(React!$C$128:$AA$128,Curves!$AX$70:$BV$70)</f>
        <v/>
      </c>
      <c r="AB130" s="5">
        <f>SUMPRODUCT(React!$C$126:$AB$126,Curves!$AW$24:$BV$24)+SUMPRODUCT(React!$C$127:$AB$127,Curves!$AW$47:$BV$47)+SUMPRODUCT(React!$C$128:$AB$128,Curves!$AW$70:$BV$70)</f>
        <v/>
      </c>
      <c r="AC130" s="5">
        <f>SUMPRODUCT(React!$C$126:$AC$126,Curves!$AV$24:$BV$24)+SUMPRODUCT(React!$C$127:$AC$127,Curves!$AV$47:$BV$47)+SUMPRODUCT(React!$C$128:$AC$128,Curves!$AV$70:$BV$70)</f>
        <v/>
      </c>
      <c r="AD130" s="5">
        <f>SUMPRODUCT(React!$C$126:$AD$126,Curves!$AU$24:$BV$24)+SUMPRODUCT(React!$C$127:$AD$127,Curves!$AU$47:$BV$47)+SUMPRODUCT(React!$C$128:$AD$128,Curves!$AU$70:$BV$70)</f>
        <v/>
      </c>
      <c r="AE130" s="5">
        <f>SUMPRODUCT(React!$C$126:$AE$126,Curves!$AT$24:$BV$24)+SUMPRODUCT(React!$C$127:$AE$127,Curves!$AT$47:$BV$47)+SUMPRODUCT(React!$C$128:$AE$128,Curves!$AT$70:$BV$70)</f>
        <v/>
      </c>
      <c r="AF130" s="5">
        <f>SUMPRODUCT(React!$C$126:$AF$126,Curves!$AS$24:$BV$24)+SUMPRODUCT(React!$C$127:$AF$127,Curves!$AS$47:$BV$47)+SUMPRODUCT(React!$C$128:$AF$128,Curves!$AS$70:$BV$70)</f>
        <v/>
      </c>
      <c r="AG130" s="5">
        <f>SUMPRODUCT(React!$C$126:$AG$126,Curves!$AR$24:$BV$24)+SUMPRODUCT(React!$C$127:$AG$127,Curves!$AR$47:$BV$47)+SUMPRODUCT(React!$C$128:$AG$128,Curves!$AR$70:$BV$70)</f>
        <v/>
      </c>
      <c r="AH130" s="5">
        <f>SUMPRODUCT(React!$C$126:$AH$126,Curves!$AQ$24:$BV$24)+SUMPRODUCT(React!$C$127:$AH$127,Curves!$AQ$47:$BV$47)+SUMPRODUCT(React!$C$128:$AH$128,Curves!$AQ$70:$BV$70)</f>
        <v/>
      </c>
      <c r="AI130" s="5">
        <f>SUMPRODUCT(React!$C$126:$AI$126,Curves!$AP$24:$BV$24)+SUMPRODUCT(React!$C$127:$AI$127,Curves!$AP$47:$BV$47)+SUMPRODUCT(React!$C$128:$AI$128,Curves!$AP$70:$BV$70)</f>
        <v/>
      </c>
      <c r="AJ130" s="5">
        <f>SUMPRODUCT(React!$C$126:$AJ$126,Curves!$AO$24:$BV$24)+SUMPRODUCT(React!$C$127:$AJ$127,Curves!$AO$47:$BV$47)+SUMPRODUCT(React!$C$128:$AJ$128,Curves!$AO$70:$BV$70)</f>
        <v/>
      </c>
      <c r="AK130" s="5">
        <f>SUMPRODUCT(React!$C$126:$AK$126,Curves!$AN$24:$BV$24)+SUMPRODUCT(React!$C$127:$AK$127,Curves!$AN$47:$BV$47)+SUMPRODUCT(React!$C$128:$AK$128,Curves!$AN$70:$BV$70)</f>
        <v/>
      </c>
      <c r="AL130" s="5">
        <f>SUMPRODUCT(React!$C$126:$AL$126,Curves!$AM$24:$BV$24)+SUMPRODUCT(React!$C$127:$AL$127,Curves!$AM$47:$BV$47)+SUMPRODUCT(React!$C$128:$AL$128,Curves!$AM$70:$BV$70)</f>
        <v/>
      </c>
      <c r="AM130" s="5">
        <f>SUMPRODUCT(React!$C$126:$AM$126,Curves!$AL$24:$BV$24)+SUMPRODUCT(React!$C$127:$AM$127,Curves!$AL$47:$BV$47)+SUMPRODUCT(React!$C$128:$AM$128,Curves!$AL$70:$BV$70)</f>
        <v/>
      </c>
      <c r="AN130" s="5">
        <f>SUMPRODUCT(React!$C$126:$AN$126,Curves!$AK$24:$BV$24)+SUMPRODUCT(React!$C$127:$AN$127,Curves!$AK$47:$BV$47)+SUMPRODUCT(React!$C$128:$AN$128,Curves!$AK$70:$BV$70)</f>
        <v/>
      </c>
      <c r="AO130" s="5">
        <f>SUMPRODUCT(React!$C$126:$AO$126,Curves!$AJ$24:$BV$24)+SUMPRODUCT(React!$C$127:$AO$127,Curves!$AJ$47:$BV$47)+SUMPRODUCT(React!$C$128:$AO$128,Curves!$AJ$70:$BV$70)</f>
        <v/>
      </c>
      <c r="AP130" s="5">
        <f>SUMPRODUCT(React!$C$126:$AP$126,Curves!$AI$24:$BV$24)+SUMPRODUCT(React!$C$127:$AP$127,Curves!$AI$47:$BV$47)+SUMPRODUCT(React!$C$128:$AP$128,Curves!$AI$70:$BV$70)</f>
        <v/>
      </c>
      <c r="AQ130" s="5">
        <f>SUMPRODUCT(React!$C$126:$AQ$126,Curves!$AH$24:$BV$24)+SUMPRODUCT(React!$C$127:$AQ$127,Curves!$AH$47:$BV$47)+SUMPRODUCT(React!$C$128:$AQ$128,Curves!$AH$70:$BV$70)</f>
        <v/>
      </c>
      <c r="AR130" s="5">
        <f>SUMPRODUCT(React!$C$126:$AR$126,Curves!$AG$24:$BV$24)+SUMPRODUCT(React!$C$127:$AR$127,Curves!$AG$47:$BV$47)+SUMPRODUCT(React!$C$128:$AR$128,Curves!$AG$70:$BV$70)</f>
        <v/>
      </c>
      <c r="AS130" s="5">
        <f>SUMPRODUCT(React!$C$126:$AS$126,Curves!$AF$24:$BV$24)+SUMPRODUCT(React!$C$127:$AS$127,Curves!$AF$47:$BV$47)+SUMPRODUCT(React!$C$128:$AS$128,Curves!$AF$70:$BV$70)</f>
        <v/>
      </c>
      <c r="AT130" s="5">
        <f>SUMPRODUCT(React!$C$126:$AT$126,Curves!$AE$24:$BV$24)+SUMPRODUCT(React!$C$127:$AT$127,Curves!$AE$47:$BV$47)+SUMPRODUCT(React!$C$128:$AT$128,Curves!$AE$70:$BV$70)</f>
        <v/>
      </c>
      <c r="AU130" s="5">
        <f>SUMPRODUCT(React!$C$126:$AU$126,Curves!$AD$24:$BV$24)+SUMPRODUCT(React!$C$127:$AU$127,Curves!$AD$47:$BV$47)+SUMPRODUCT(React!$C$128:$AU$128,Curves!$AD$70:$BV$70)</f>
        <v/>
      </c>
      <c r="AV130" s="5">
        <f>SUMPRODUCT(React!$C$126:$AV$126,Curves!$AC$24:$BV$24)+SUMPRODUCT(React!$C$127:$AV$127,Curves!$AC$47:$BV$47)+SUMPRODUCT(React!$C$128:$AV$128,Curves!$AC$70:$BV$70)</f>
        <v/>
      </c>
      <c r="AW130" s="5">
        <f>SUMPRODUCT(React!$C$126:$AW$126,Curves!$AB$24:$BV$24)+SUMPRODUCT(React!$C$127:$AW$127,Curves!$AB$47:$BV$47)+SUMPRODUCT(React!$C$128:$AW$128,Curves!$AB$70:$BV$70)</f>
        <v/>
      </c>
      <c r="AX130" s="5">
        <f>SUMPRODUCT(React!$C$126:$AX$126,Curves!$AA$24:$BV$24)+SUMPRODUCT(React!$C$127:$AX$127,Curves!$AA$47:$BV$47)+SUMPRODUCT(React!$C$128:$AX$128,Curves!$AA$70:$BV$70)</f>
        <v/>
      </c>
      <c r="AY130" s="5">
        <f>SUMPRODUCT(React!$C$126:$AY$126,Curves!$Z$24:$BV$24)+SUMPRODUCT(React!$C$127:$AY$127,Curves!$Z$47:$BV$47)+SUMPRODUCT(React!$C$128:$AY$128,Curves!$Z$70:$BV$70)</f>
        <v/>
      </c>
      <c r="AZ130" s="5">
        <f>SUMPRODUCT(React!$C$126:$AZ$126,Curves!$Y$24:$BV$24)+SUMPRODUCT(React!$C$127:$AZ$127,Curves!$Y$47:$BV$47)+SUMPRODUCT(React!$C$128:$AZ$128,Curves!$Y$70:$BV$70)</f>
        <v/>
      </c>
      <c r="BA130" s="5">
        <f>SUMPRODUCT(React!$C$126:$BA$126,Curves!$X$24:$BV$24)+SUMPRODUCT(React!$C$127:$BA$127,Curves!$X$47:$BV$47)+SUMPRODUCT(React!$C$128:$BA$128,Curves!$X$70:$BV$70)</f>
        <v/>
      </c>
      <c r="BB130" s="5">
        <f>SUMPRODUCT(React!$C$126:$BB$126,Curves!$W$24:$BV$24)+SUMPRODUCT(React!$C$127:$BB$127,Curves!$W$47:$BV$47)+SUMPRODUCT(React!$C$128:$BB$128,Curves!$W$70:$BV$70)</f>
        <v/>
      </c>
      <c r="BC130" s="5">
        <f>SUMPRODUCT(React!$C$126:$BC$126,Curves!$V$24:$BV$24)+SUMPRODUCT(React!$C$127:$BC$127,Curves!$V$47:$BV$47)+SUMPRODUCT(React!$C$128:$BC$128,Curves!$V$70:$BV$70)</f>
        <v/>
      </c>
      <c r="BD130" s="5">
        <f>SUMPRODUCT(React!$C$126:$BD$126,Curves!$U$24:$BV$24)+SUMPRODUCT(React!$C$127:$BD$127,Curves!$U$47:$BV$47)+SUMPRODUCT(React!$C$128:$BD$128,Curves!$U$70:$BV$70)</f>
        <v/>
      </c>
      <c r="BE130" s="5">
        <f>SUMPRODUCT(React!$C$126:$BE$126,Curves!$T$24:$BV$24)+SUMPRODUCT(React!$C$127:$BE$127,Curves!$T$47:$BV$47)+SUMPRODUCT(React!$C$128:$BE$128,Curves!$T$70:$BV$70)</f>
        <v/>
      </c>
      <c r="BF130" s="5">
        <f>SUMPRODUCT(React!$C$126:$BF$126,Curves!$S$24:$BV$24)+SUMPRODUCT(React!$C$127:$BF$127,Curves!$S$47:$BV$47)+SUMPRODUCT(React!$C$128:$BF$128,Curves!$S$70:$BV$70)</f>
        <v/>
      </c>
      <c r="BG130" s="5">
        <f>SUMPRODUCT(React!$C$126:$BG$126,Curves!$R$24:$BV$24)+SUMPRODUCT(React!$C$127:$BG$127,Curves!$R$47:$BV$47)+SUMPRODUCT(React!$C$128:$BG$128,Curves!$R$70:$BV$70)</f>
        <v/>
      </c>
      <c r="BH130" s="5">
        <f>SUMPRODUCT(React!$C$126:$BH$126,Curves!$Q$24:$BV$24)+SUMPRODUCT(React!$C$127:$BH$127,Curves!$Q$47:$BV$47)+SUMPRODUCT(React!$C$128:$BH$128,Curves!$Q$70:$BV$70)</f>
        <v/>
      </c>
      <c r="BI130" s="5">
        <f>SUMPRODUCT(React!$C$126:$BI$126,Curves!$P$24:$BV$24)+SUMPRODUCT(React!$C$127:$BI$127,Curves!$P$47:$BV$47)+SUMPRODUCT(React!$C$128:$BI$128,Curves!$P$70:$BV$70)</f>
        <v/>
      </c>
      <c r="BJ130" s="5">
        <f>SUMPRODUCT(React!$C$126:$BJ$126,Curves!$O$24:$BV$24)+SUMPRODUCT(React!$C$127:$BJ$127,Curves!$O$47:$BV$47)+SUMPRODUCT(React!$C$128:$BJ$128,Curves!$O$70:$BV$70)</f>
        <v/>
      </c>
      <c r="BK130" s="5">
        <f>SUMPRODUCT(React!$C$126:$BK$126,Curves!$N$24:$BV$24)+SUMPRODUCT(React!$C$127:$BK$127,Curves!$N$47:$BV$47)+SUMPRODUCT(React!$C$128:$BK$128,Curves!$N$70:$BV$70)</f>
        <v/>
      </c>
      <c r="BL130" s="5">
        <f>SUMPRODUCT(React!$C$126:$BL$126,Curves!$M$24:$BV$24)+SUMPRODUCT(React!$C$127:$BL$127,Curves!$M$47:$BV$47)+SUMPRODUCT(React!$C$128:$BL$128,Curves!$M$70:$BV$70)</f>
        <v/>
      </c>
      <c r="BM130" s="5">
        <f>SUMPRODUCT(React!$C$126:$BM$126,Curves!$L$24:$BV$24)+SUMPRODUCT(React!$C$127:$BM$127,Curves!$L$47:$BV$47)+SUMPRODUCT(React!$C$128:$BM$128,Curves!$L$70:$BV$70)</f>
        <v/>
      </c>
      <c r="BN130" s="5">
        <f>SUMPRODUCT(React!$C$126:$BN$126,Curves!$K$24:$BV$24)+SUMPRODUCT(React!$C$127:$BN$127,Curves!$K$47:$BV$47)+SUMPRODUCT(React!$C$128:$BN$128,Curves!$K$70:$BV$70)</f>
        <v/>
      </c>
      <c r="BO130" s="5">
        <f>SUMPRODUCT(React!$C$126:$BO$126,Curves!$J$24:$BV$24)+SUMPRODUCT(React!$C$127:$BO$127,Curves!$J$47:$BV$47)+SUMPRODUCT(React!$C$128:$BO$128,Curves!$J$70:$BV$70)</f>
        <v/>
      </c>
      <c r="BP130" s="5">
        <f>SUMPRODUCT(React!$C$126:$BP$126,Curves!$I$24:$BV$24)+SUMPRODUCT(React!$C$127:$BP$127,Curves!$I$47:$BV$47)+SUMPRODUCT(React!$C$128:$BP$128,Curves!$I$70:$BV$70)</f>
        <v/>
      </c>
      <c r="BQ130" s="5">
        <f>SUMPRODUCT(React!$C$126:$BQ$126,Curves!$H$24:$BV$24)+SUMPRODUCT(React!$C$127:$BQ$127,Curves!$H$47:$BV$47)+SUMPRODUCT(React!$C$128:$BQ$128,Curves!$H$70:$BV$70)</f>
        <v/>
      </c>
      <c r="BR130" s="5">
        <f>SUMPRODUCT(React!$C$126:$BR$126,Curves!$G$24:$BV$24)+SUMPRODUCT(React!$C$127:$BR$127,Curves!$G$47:$BV$47)+SUMPRODUCT(React!$C$128:$BR$128,Curves!$G$70:$BV$70)</f>
        <v/>
      </c>
      <c r="BS130" s="5">
        <f>SUMPRODUCT(React!$C$126:$BS$126,Curves!$F$24:$BV$24)+SUMPRODUCT(React!$C$127:$BS$127,Curves!$F$47:$BV$47)+SUMPRODUCT(React!$C$128:$BS$128,Curves!$F$70:$BV$70)</f>
        <v/>
      </c>
      <c r="BT130" s="5">
        <f>SUMPRODUCT(React!$C$126:$BT$126,Curves!$E$24:$BV$24)+SUMPRODUCT(React!$C$127:$BT$127,Curves!$E$47:$BV$47)+SUMPRODUCT(React!$C$128:$BT$128,Curves!$E$70:$BV$70)</f>
        <v/>
      </c>
      <c r="BU130" s="5">
        <f>SUMPRODUCT(React!$C$126:$BU$126,Curves!$D$24:$BV$24)+SUMPRODUCT(React!$C$127:$BU$127,Curves!$D$47:$BV$47)+SUMPRODUCT(React!$C$128:$BU$128,Curves!$D$70:$BV$70)</f>
        <v/>
      </c>
      <c r="BV130" s="5">
        <f>SUMPRODUCT(React!$C$126:$BV$126,Curves!$C$24:$BV$24)+SUMPRODUCT(React!$C$127:$BV$127,Curves!$C$47:$BV$47)+SUMPRODUCT(React!$C$128:$BV$128,Curves!$C$70:$BV$70)</f>
        <v/>
      </c>
    </row>
    <row r="131">
      <c r="A131" t="inlineStr">
        <is>
          <t>churned</t>
        </is>
      </c>
      <c r="B131" t="inlineStr">
        <is>
          <t>LATAM|NITRO_A</t>
        </is>
      </c>
      <c r="C131" s="5">
        <f>React!$C$126*Curves!$BV$20+React!$C$127*Curves!$BV$43+React!$C$128*Curves!$BV$66</f>
        <v/>
      </c>
      <c r="D131" s="5">
        <f>SUMPRODUCT(React!$C$126:$D$126,Curves!$BU$20:$BV$20)+SUMPRODUCT(React!$C$127:$D$127,Curves!$BU$43:$BV$43)+SUMPRODUCT(React!$C$128:$D$128,Curves!$BU$66:$BV$66)</f>
        <v/>
      </c>
      <c r="E131" s="5">
        <f>SUMPRODUCT(React!$C$126:$E$126,Curves!$BT$20:$BV$20)+SUMPRODUCT(React!$C$127:$E$127,Curves!$BT$43:$BV$43)+SUMPRODUCT(React!$C$128:$E$128,Curves!$BT$66:$BV$66)</f>
        <v/>
      </c>
      <c r="F131" s="5">
        <f>SUMPRODUCT(React!$C$126:$F$126,Curves!$BS$20:$BV$20)+SUMPRODUCT(React!$C$127:$F$127,Curves!$BS$43:$BV$43)+SUMPRODUCT(React!$C$128:$F$128,Curves!$BS$66:$BV$66)</f>
        <v/>
      </c>
      <c r="G131" s="5">
        <f>SUMPRODUCT(React!$C$126:$G$126,Curves!$BR$20:$BV$20)+SUMPRODUCT(React!$C$127:$G$127,Curves!$BR$43:$BV$43)+SUMPRODUCT(React!$C$128:$G$128,Curves!$BR$66:$BV$66)</f>
        <v/>
      </c>
      <c r="H131" s="5">
        <f>SUMPRODUCT(React!$C$126:$H$126,Curves!$BQ$20:$BV$20)+SUMPRODUCT(React!$C$127:$H$127,Curves!$BQ$43:$BV$43)+SUMPRODUCT(React!$C$128:$H$128,Curves!$BQ$66:$BV$66)</f>
        <v/>
      </c>
      <c r="I131" s="5">
        <f>SUMPRODUCT(React!$C$126:$I$126,Curves!$BP$20:$BV$20)+SUMPRODUCT(React!$C$127:$I$127,Curves!$BP$43:$BV$43)+SUMPRODUCT(React!$C$128:$I$128,Curves!$BP$66:$BV$66)</f>
        <v/>
      </c>
      <c r="J131" s="5">
        <f>SUMPRODUCT(React!$C$126:$J$126,Curves!$BO$20:$BV$20)+SUMPRODUCT(React!$C$127:$J$127,Curves!$BO$43:$BV$43)+SUMPRODUCT(React!$C$128:$J$128,Curves!$BO$66:$BV$66)</f>
        <v/>
      </c>
      <c r="K131" s="5">
        <f>SUMPRODUCT(React!$C$126:$K$126,Curves!$BN$20:$BV$20)+SUMPRODUCT(React!$C$127:$K$127,Curves!$BN$43:$BV$43)+SUMPRODUCT(React!$C$128:$K$128,Curves!$BN$66:$BV$66)</f>
        <v/>
      </c>
      <c r="L131" s="5">
        <f>SUMPRODUCT(React!$C$126:$L$126,Curves!$BM$20:$BV$20)+SUMPRODUCT(React!$C$127:$L$127,Curves!$BM$43:$BV$43)+SUMPRODUCT(React!$C$128:$L$128,Curves!$BM$66:$BV$66)</f>
        <v/>
      </c>
      <c r="M131" s="5">
        <f>SUMPRODUCT(React!$C$126:$M$126,Curves!$BL$20:$BV$20)+SUMPRODUCT(React!$C$127:$M$127,Curves!$BL$43:$BV$43)+SUMPRODUCT(React!$C$128:$M$128,Curves!$BL$66:$BV$66)</f>
        <v/>
      </c>
      <c r="N131" s="5">
        <f>SUMPRODUCT(React!$C$126:$N$126,Curves!$BK$20:$BV$20)+SUMPRODUCT(React!$C$127:$N$127,Curves!$BK$43:$BV$43)+SUMPRODUCT(React!$C$128:$N$128,Curves!$BK$66:$BV$66)</f>
        <v/>
      </c>
      <c r="O131" s="5">
        <f>SUMPRODUCT(React!$C$126:$O$126,Curves!$BJ$20:$BV$20)+SUMPRODUCT(React!$C$127:$O$127,Curves!$BJ$43:$BV$43)+SUMPRODUCT(React!$C$128:$O$128,Curves!$BJ$66:$BV$66)</f>
        <v/>
      </c>
      <c r="P131" s="5">
        <f>SUMPRODUCT(React!$C$126:$P$126,Curves!$BI$20:$BV$20)+SUMPRODUCT(React!$C$127:$P$127,Curves!$BI$43:$BV$43)+SUMPRODUCT(React!$C$128:$P$128,Curves!$BI$66:$BV$66)</f>
        <v/>
      </c>
      <c r="Q131" s="5">
        <f>SUMPRODUCT(React!$C$126:$Q$126,Curves!$BH$20:$BV$20)+SUMPRODUCT(React!$C$127:$Q$127,Curves!$BH$43:$BV$43)+SUMPRODUCT(React!$C$128:$Q$128,Curves!$BH$66:$BV$66)</f>
        <v/>
      </c>
      <c r="R131" s="5">
        <f>SUMPRODUCT(React!$C$126:$R$126,Curves!$BG$20:$BV$20)+SUMPRODUCT(React!$C$127:$R$127,Curves!$BG$43:$BV$43)+SUMPRODUCT(React!$C$128:$R$128,Curves!$BG$66:$BV$66)</f>
        <v/>
      </c>
      <c r="S131" s="5">
        <f>SUMPRODUCT(React!$C$126:$S$126,Curves!$BF$20:$BV$20)+SUMPRODUCT(React!$C$127:$S$127,Curves!$BF$43:$BV$43)+SUMPRODUCT(React!$C$128:$S$128,Curves!$BF$66:$BV$66)</f>
        <v/>
      </c>
      <c r="T131" s="5">
        <f>SUMPRODUCT(React!$C$126:$T$126,Curves!$BE$20:$BV$20)+SUMPRODUCT(React!$C$127:$T$127,Curves!$BE$43:$BV$43)+SUMPRODUCT(React!$C$128:$T$128,Curves!$BE$66:$BV$66)</f>
        <v/>
      </c>
      <c r="U131" s="5">
        <f>SUMPRODUCT(React!$C$126:$U$126,Curves!$BD$20:$BV$20)+SUMPRODUCT(React!$C$127:$U$127,Curves!$BD$43:$BV$43)+SUMPRODUCT(React!$C$128:$U$128,Curves!$BD$66:$BV$66)</f>
        <v/>
      </c>
      <c r="V131" s="5">
        <f>SUMPRODUCT(React!$C$126:$V$126,Curves!$BC$20:$BV$20)+SUMPRODUCT(React!$C$127:$V$127,Curves!$BC$43:$BV$43)+SUMPRODUCT(React!$C$128:$V$128,Curves!$BC$66:$BV$66)</f>
        <v/>
      </c>
      <c r="W131" s="5">
        <f>SUMPRODUCT(React!$C$126:$W$126,Curves!$BB$20:$BV$20)+SUMPRODUCT(React!$C$127:$W$127,Curves!$BB$43:$BV$43)+SUMPRODUCT(React!$C$128:$W$128,Curves!$BB$66:$BV$66)</f>
        <v/>
      </c>
      <c r="X131" s="5">
        <f>SUMPRODUCT(React!$C$126:$X$126,Curves!$BA$20:$BV$20)+SUMPRODUCT(React!$C$127:$X$127,Curves!$BA$43:$BV$43)+SUMPRODUCT(React!$C$128:$X$128,Curves!$BA$66:$BV$66)</f>
        <v/>
      </c>
      <c r="Y131" s="5">
        <f>SUMPRODUCT(React!$C$126:$Y$126,Curves!$AZ$20:$BV$20)+SUMPRODUCT(React!$C$127:$Y$127,Curves!$AZ$43:$BV$43)+SUMPRODUCT(React!$C$128:$Y$128,Curves!$AZ$66:$BV$66)</f>
        <v/>
      </c>
      <c r="Z131" s="5">
        <f>SUMPRODUCT(React!$C$126:$Z$126,Curves!$AY$20:$BV$20)+SUMPRODUCT(React!$C$127:$Z$127,Curves!$AY$43:$BV$43)+SUMPRODUCT(React!$C$128:$Z$128,Curves!$AY$66:$BV$66)</f>
        <v/>
      </c>
      <c r="AA131" s="5">
        <f>SUMPRODUCT(React!$C$126:$AA$126,Curves!$AX$20:$BV$20)+SUMPRODUCT(React!$C$127:$AA$127,Curves!$AX$43:$BV$43)+SUMPRODUCT(React!$C$128:$AA$128,Curves!$AX$66:$BV$66)</f>
        <v/>
      </c>
      <c r="AB131" s="5">
        <f>SUMPRODUCT(React!$C$126:$AB$126,Curves!$AW$20:$BV$20)+SUMPRODUCT(React!$C$127:$AB$127,Curves!$AW$43:$BV$43)+SUMPRODUCT(React!$C$128:$AB$128,Curves!$AW$66:$BV$66)</f>
        <v/>
      </c>
      <c r="AC131" s="5">
        <f>SUMPRODUCT(React!$C$126:$AC$126,Curves!$AV$20:$BV$20)+SUMPRODUCT(React!$C$127:$AC$127,Curves!$AV$43:$BV$43)+SUMPRODUCT(React!$C$128:$AC$128,Curves!$AV$66:$BV$66)</f>
        <v/>
      </c>
      <c r="AD131" s="5">
        <f>SUMPRODUCT(React!$C$126:$AD$126,Curves!$AU$20:$BV$20)+SUMPRODUCT(React!$C$127:$AD$127,Curves!$AU$43:$BV$43)+SUMPRODUCT(React!$C$128:$AD$128,Curves!$AU$66:$BV$66)</f>
        <v/>
      </c>
      <c r="AE131" s="5">
        <f>SUMPRODUCT(React!$C$126:$AE$126,Curves!$AT$20:$BV$20)+SUMPRODUCT(React!$C$127:$AE$127,Curves!$AT$43:$BV$43)+SUMPRODUCT(React!$C$128:$AE$128,Curves!$AT$66:$BV$66)</f>
        <v/>
      </c>
      <c r="AF131" s="5">
        <f>SUMPRODUCT(React!$C$126:$AF$126,Curves!$AS$20:$BV$20)+SUMPRODUCT(React!$C$127:$AF$127,Curves!$AS$43:$BV$43)+SUMPRODUCT(React!$C$128:$AF$128,Curves!$AS$66:$BV$66)</f>
        <v/>
      </c>
      <c r="AG131" s="5">
        <f>SUMPRODUCT(React!$C$126:$AG$126,Curves!$AR$20:$BV$20)+SUMPRODUCT(React!$C$127:$AG$127,Curves!$AR$43:$BV$43)+SUMPRODUCT(React!$C$128:$AG$128,Curves!$AR$66:$BV$66)</f>
        <v/>
      </c>
      <c r="AH131" s="5">
        <f>SUMPRODUCT(React!$C$126:$AH$126,Curves!$AQ$20:$BV$20)+SUMPRODUCT(React!$C$127:$AH$127,Curves!$AQ$43:$BV$43)+SUMPRODUCT(React!$C$128:$AH$128,Curves!$AQ$66:$BV$66)</f>
        <v/>
      </c>
      <c r="AI131" s="5">
        <f>SUMPRODUCT(React!$C$126:$AI$126,Curves!$AP$20:$BV$20)+SUMPRODUCT(React!$C$127:$AI$127,Curves!$AP$43:$BV$43)+SUMPRODUCT(React!$C$128:$AI$128,Curves!$AP$66:$BV$66)</f>
        <v/>
      </c>
      <c r="AJ131" s="5">
        <f>SUMPRODUCT(React!$C$126:$AJ$126,Curves!$AO$20:$BV$20)+SUMPRODUCT(React!$C$127:$AJ$127,Curves!$AO$43:$BV$43)+SUMPRODUCT(React!$C$128:$AJ$128,Curves!$AO$66:$BV$66)</f>
        <v/>
      </c>
      <c r="AK131" s="5">
        <f>SUMPRODUCT(React!$C$126:$AK$126,Curves!$AN$20:$BV$20)+SUMPRODUCT(React!$C$127:$AK$127,Curves!$AN$43:$BV$43)+SUMPRODUCT(React!$C$128:$AK$128,Curves!$AN$66:$BV$66)</f>
        <v/>
      </c>
      <c r="AL131" s="5">
        <f>SUMPRODUCT(React!$C$126:$AL$126,Curves!$AM$20:$BV$20)+SUMPRODUCT(React!$C$127:$AL$127,Curves!$AM$43:$BV$43)+SUMPRODUCT(React!$C$128:$AL$128,Curves!$AM$66:$BV$66)</f>
        <v/>
      </c>
      <c r="AM131" s="5">
        <f>SUMPRODUCT(React!$C$126:$AM$126,Curves!$AL$20:$BV$20)+SUMPRODUCT(React!$C$127:$AM$127,Curves!$AL$43:$BV$43)+SUMPRODUCT(React!$C$128:$AM$128,Curves!$AL$66:$BV$66)</f>
        <v/>
      </c>
      <c r="AN131" s="5">
        <f>SUMPRODUCT(React!$C$126:$AN$126,Curves!$AK$20:$BV$20)+SUMPRODUCT(React!$C$127:$AN$127,Curves!$AK$43:$BV$43)+SUMPRODUCT(React!$C$128:$AN$128,Curves!$AK$66:$BV$66)</f>
        <v/>
      </c>
      <c r="AO131" s="5">
        <f>SUMPRODUCT(React!$C$126:$AO$126,Curves!$AJ$20:$BV$20)+SUMPRODUCT(React!$C$127:$AO$127,Curves!$AJ$43:$BV$43)+SUMPRODUCT(React!$C$128:$AO$128,Curves!$AJ$66:$BV$66)</f>
        <v/>
      </c>
      <c r="AP131" s="5">
        <f>SUMPRODUCT(React!$C$126:$AP$126,Curves!$AI$20:$BV$20)+SUMPRODUCT(React!$C$127:$AP$127,Curves!$AI$43:$BV$43)+SUMPRODUCT(React!$C$128:$AP$128,Curves!$AI$66:$BV$66)</f>
        <v/>
      </c>
      <c r="AQ131" s="5">
        <f>SUMPRODUCT(React!$C$126:$AQ$126,Curves!$AH$20:$BV$20)+SUMPRODUCT(React!$C$127:$AQ$127,Curves!$AH$43:$BV$43)+SUMPRODUCT(React!$C$128:$AQ$128,Curves!$AH$66:$BV$66)</f>
        <v/>
      </c>
      <c r="AR131" s="5">
        <f>SUMPRODUCT(React!$C$126:$AR$126,Curves!$AG$20:$BV$20)+SUMPRODUCT(React!$C$127:$AR$127,Curves!$AG$43:$BV$43)+SUMPRODUCT(React!$C$128:$AR$128,Curves!$AG$66:$BV$66)</f>
        <v/>
      </c>
      <c r="AS131" s="5">
        <f>SUMPRODUCT(React!$C$126:$AS$126,Curves!$AF$20:$BV$20)+SUMPRODUCT(React!$C$127:$AS$127,Curves!$AF$43:$BV$43)+SUMPRODUCT(React!$C$128:$AS$128,Curves!$AF$66:$BV$66)</f>
        <v/>
      </c>
      <c r="AT131" s="5">
        <f>SUMPRODUCT(React!$C$126:$AT$126,Curves!$AE$20:$BV$20)+SUMPRODUCT(React!$C$127:$AT$127,Curves!$AE$43:$BV$43)+SUMPRODUCT(React!$C$128:$AT$128,Curves!$AE$66:$BV$66)</f>
        <v/>
      </c>
      <c r="AU131" s="5">
        <f>SUMPRODUCT(React!$C$126:$AU$126,Curves!$AD$20:$BV$20)+SUMPRODUCT(React!$C$127:$AU$127,Curves!$AD$43:$BV$43)+SUMPRODUCT(React!$C$128:$AU$128,Curves!$AD$66:$BV$66)</f>
        <v/>
      </c>
      <c r="AV131" s="5">
        <f>SUMPRODUCT(React!$C$126:$AV$126,Curves!$AC$20:$BV$20)+SUMPRODUCT(React!$C$127:$AV$127,Curves!$AC$43:$BV$43)+SUMPRODUCT(React!$C$128:$AV$128,Curves!$AC$66:$BV$66)</f>
        <v/>
      </c>
      <c r="AW131" s="5">
        <f>SUMPRODUCT(React!$C$126:$AW$126,Curves!$AB$20:$BV$20)+SUMPRODUCT(React!$C$127:$AW$127,Curves!$AB$43:$BV$43)+SUMPRODUCT(React!$C$128:$AW$128,Curves!$AB$66:$BV$66)</f>
        <v/>
      </c>
      <c r="AX131" s="5">
        <f>SUMPRODUCT(React!$C$126:$AX$126,Curves!$AA$20:$BV$20)+SUMPRODUCT(React!$C$127:$AX$127,Curves!$AA$43:$BV$43)+SUMPRODUCT(React!$C$128:$AX$128,Curves!$AA$66:$BV$66)</f>
        <v/>
      </c>
      <c r="AY131" s="5">
        <f>SUMPRODUCT(React!$C$126:$AY$126,Curves!$Z$20:$BV$20)+SUMPRODUCT(React!$C$127:$AY$127,Curves!$Z$43:$BV$43)+SUMPRODUCT(React!$C$128:$AY$128,Curves!$Z$66:$BV$66)</f>
        <v/>
      </c>
      <c r="AZ131" s="5">
        <f>SUMPRODUCT(React!$C$126:$AZ$126,Curves!$Y$20:$BV$20)+SUMPRODUCT(React!$C$127:$AZ$127,Curves!$Y$43:$BV$43)+SUMPRODUCT(React!$C$128:$AZ$128,Curves!$Y$66:$BV$66)</f>
        <v/>
      </c>
      <c r="BA131" s="5">
        <f>SUMPRODUCT(React!$C$126:$BA$126,Curves!$X$20:$BV$20)+SUMPRODUCT(React!$C$127:$BA$127,Curves!$X$43:$BV$43)+SUMPRODUCT(React!$C$128:$BA$128,Curves!$X$66:$BV$66)</f>
        <v/>
      </c>
      <c r="BB131" s="5">
        <f>SUMPRODUCT(React!$C$126:$BB$126,Curves!$W$20:$BV$20)+SUMPRODUCT(React!$C$127:$BB$127,Curves!$W$43:$BV$43)+SUMPRODUCT(React!$C$128:$BB$128,Curves!$W$66:$BV$66)</f>
        <v/>
      </c>
      <c r="BC131" s="5">
        <f>SUMPRODUCT(React!$C$126:$BC$126,Curves!$V$20:$BV$20)+SUMPRODUCT(React!$C$127:$BC$127,Curves!$V$43:$BV$43)+SUMPRODUCT(React!$C$128:$BC$128,Curves!$V$66:$BV$66)</f>
        <v/>
      </c>
      <c r="BD131" s="5">
        <f>SUMPRODUCT(React!$C$126:$BD$126,Curves!$U$20:$BV$20)+SUMPRODUCT(React!$C$127:$BD$127,Curves!$U$43:$BV$43)+SUMPRODUCT(React!$C$128:$BD$128,Curves!$U$66:$BV$66)</f>
        <v/>
      </c>
      <c r="BE131" s="5">
        <f>SUMPRODUCT(React!$C$126:$BE$126,Curves!$T$20:$BV$20)+SUMPRODUCT(React!$C$127:$BE$127,Curves!$T$43:$BV$43)+SUMPRODUCT(React!$C$128:$BE$128,Curves!$T$66:$BV$66)</f>
        <v/>
      </c>
      <c r="BF131" s="5">
        <f>SUMPRODUCT(React!$C$126:$BF$126,Curves!$S$20:$BV$20)+SUMPRODUCT(React!$C$127:$BF$127,Curves!$S$43:$BV$43)+SUMPRODUCT(React!$C$128:$BF$128,Curves!$S$66:$BV$66)</f>
        <v/>
      </c>
      <c r="BG131" s="5">
        <f>SUMPRODUCT(React!$C$126:$BG$126,Curves!$R$20:$BV$20)+SUMPRODUCT(React!$C$127:$BG$127,Curves!$R$43:$BV$43)+SUMPRODUCT(React!$C$128:$BG$128,Curves!$R$66:$BV$66)</f>
        <v/>
      </c>
      <c r="BH131" s="5">
        <f>SUMPRODUCT(React!$C$126:$BH$126,Curves!$Q$20:$BV$20)+SUMPRODUCT(React!$C$127:$BH$127,Curves!$Q$43:$BV$43)+SUMPRODUCT(React!$C$128:$BH$128,Curves!$Q$66:$BV$66)</f>
        <v/>
      </c>
      <c r="BI131" s="5">
        <f>SUMPRODUCT(React!$C$126:$BI$126,Curves!$P$20:$BV$20)+SUMPRODUCT(React!$C$127:$BI$127,Curves!$P$43:$BV$43)+SUMPRODUCT(React!$C$128:$BI$128,Curves!$P$66:$BV$66)</f>
        <v/>
      </c>
      <c r="BJ131" s="5">
        <f>SUMPRODUCT(React!$C$126:$BJ$126,Curves!$O$20:$BV$20)+SUMPRODUCT(React!$C$127:$BJ$127,Curves!$O$43:$BV$43)+SUMPRODUCT(React!$C$128:$BJ$128,Curves!$O$66:$BV$66)</f>
        <v/>
      </c>
      <c r="BK131" s="5">
        <f>SUMPRODUCT(React!$C$126:$BK$126,Curves!$N$20:$BV$20)+SUMPRODUCT(React!$C$127:$BK$127,Curves!$N$43:$BV$43)+SUMPRODUCT(React!$C$128:$BK$128,Curves!$N$66:$BV$66)</f>
        <v/>
      </c>
      <c r="BL131" s="5">
        <f>SUMPRODUCT(React!$C$126:$BL$126,Curves!$M$20:$BV$20)+SUMPRODUCT(React!$C$127:$BL$127,Curves!$M$43:$BV$43)+SUMPRODUCT(React!$C$128:$BL$128,Curves!$M$66:$BV$66)</f>
        <v/>
      </c>
      <c r="BM131" s="5">
        <f>SUMPRODUCT(React!$C$126:$BM$126,Curves!$L$20:$BV$20)+SUMPRODUCT(React!$C$127:$BM$127,Curves!$L$43:$BV$43)+SUMPRODUCT(React!$C$128:$BM$128,Curves!$L$66:$BV$66)</f>
        <v/>
      </c>
      <c r="BN131" s="5">
        <f>SUMPRODUCT(React!$C$126:$BN$126,Curves!$K$20:$BV$20)+SUMPRODUCT(React!$C$127:$BN$127,Curves!$K$43:$BV$43)+SUMPRODUCT(React!$C$128:$BN$128,Curves!$K$66:$BV$66)</f>
        <v/>
      </c>
      <c r="BO131" s="5">
        <f>SUMPRODUCT(React!$C$126:$BO$126,Curves!$J$20:$BV$20)+SUMPRODUCT(React!$C$127:$BO$127,Curves!$J$43:$BV$43)+SUMPRODUCT(React!$C$128:$BO$128,Curves!$J$66:$BV$66)</f>
        <v/>
      </c>
      <c r="BP131" s="5">
        <f>SUMPRODUCT(React!$C$126:$BP$126,Curves!$I$20:$BV$20)+SUMPRODUCT(React!$C$127:$BP$127,Curves!$I$43:$BV$43)+SUMPRODUCT(React!$C$128:$BP$128,Curves!$I$66:$BV$66)</f>
        <v/>
      </c>
      <c r="BQ131" s="5">
        <f>SUMPRODUCT(React!$C$126:$BQ$126,Curves!$H$20:$BV$20)+SUMPRODUCT(React!$C$127:$BQ$127,Curves!$H$43:$BV$43)+SUMPRODUCT(React!$C$128:$BQ$128,Curves!$H$66:$BV$66)</f>
        <v/>
      </c>
      <c r="BR131" s="5">
        <f>SUMPRODUCT(React!$C$126:$BR$126,Curves!$G$20:$BV$20)+SUMPRODUCT(React!$C$127:$BR$127,Curves!$G$43:$BV$43)+SUMPRODUCT(React!$C$128:$BR$128,Curves!$G$66:$BV$66)</f>
        <v/>
      </c>
      <c r="BS131" s="5">
        <f>SUMPRODUCT(React!$C$126:$BS$126,Curves!$F$20:$BV$20)+SUMPRODUCT(React!$C$127:$BS$127,Curves!$F$43:$BV$43)+SUMPRODUCT(React!$C$128:$BS$128,Curves!$F$66:$BV$66)</f>
        <v/>
      </c>
      <c r="BT131" s="5">
        <f>SUMPRODUCT(React!$C$126:$BT$126,Curves!$E$20:$BV$20)+SUMPRODUCT(React!$C$127:$BT$127,Curves!$E$43:$BV$43)+SUMPRODUCT(React!$C$128:$BT$128,Curves!$E$66:$BV$66)</f>
        <v/>
      </c>
      <c r="BU131" s="5">
        <f>SUMPRODUCT(React!$C$126:$BU$126,Curves!$D$20:$BV$20)+SUMPRODUCT(React!$C$127:$BU$127,Curves!$D$43:$BV$43)+SUMPRODUCT(React!$C$128:$BU$128,Curves!$D$66:$BV$66)</f>
        <v/>
      </c>
      <c r="BV131" s="5">
        <f>SUMPRODUCT(React!$C$126:$BV$126,Curves!$C$20:$BV$20)+SUMPRODUCT(React!$C$127:$BV$127,Curves!$C$43:$BV$43)+SUMPRODUCT(React!$C$128:$BV$128,Curves!$C$66:$BV$66)</f>
        <v/>
      </c>
    </row>
    <row r="133">
      <c r="A133" t="inlineStr">
        <is>
          <t>churn pool inflow</t>
        </is>
      </c>
      <c r="B133" t="inlineStr">
        <is>
          <t>LATAM|BASIC_M</t>
        </is>
      </c>
      <c r="C133" s="5">
        <f>Paid!C45+Legacy!C47</f>
        <v/>
      </c>
      <c r="D133" s="5">
        <f>Paid!D45+Legacy!D47</f>
        <v/>
      </c>
      <c r="E133" s="5">
        <f>Paid!E45+Legacy!E47</f>
        <v/>
      </c>
      <c r="F133" s="5">
        <f>Paid!F45+Legacy!F47</f>
        <v/>
      </c>
      <c r="G133" s="5">
        <f>Paid!G45+Legacy!G47</f>
        <v/>
      </c>
      <c r="H133" s="5">
        <f>Paid!H45+Legacy!H47</f>
        <v/>
      </c>
      <c r="I133" s="5">
        <f>Paid!I45+Legacy!I47</f>
        <v/>
      </c>
      <c r="J133" s="5">
        <f>Paid!J45+Legacy!J47</f>
        <v/>
      </c>
      <c r="K133" s="5">
        <f>Paid!K45+Legacy!K47</f>
        <v/>
      </c>
      <c r="L133" s="5">
        <f>Paid!L45+Legacy!L47</f>
        <v/>
      </c>
      <c r="M133" s="5">
        <f>Paid!M45+Legacy!M47</f>
        <v/>
      </c>
      <c r="N133" s="5">
        <f>Paid!N45+Legacy!N47</f>
        <v/>
      </c>
      <c r="O133" s="5">
        <f>Paid!O45+Legacy!O47</f>
        <v/>
      </c>
      <c r="P133" s="5">
        <f>Paid!P45+Legacy!P47</f>
        <v/>
      </c>
      <c r="Q133" s="5">
        <f>Paid!Q45+Legacy!Q47</f>
        <v/>
      </c>
      <c r="R133" s="5">
        <f>Paid!R45+Legacy!R47</f>
        <v/>
      </c>
      <c r="S133" s="5">
        <f>Paid!S45+Legacy!S47</f>
        <v/>
      </c>
      <c r="T133" s="5">
        <f>Paid!T45+Legacy!T47</f>
        <v/>
      </c>
      <c r="U133" s="5">
        <f>Paid!U45+Legacy!U47</f>
        <v/>
      </c>
      <c r="V133" s="5">
        <f>Paid!V45+Legacy!V47</f>
        <v/>
      </c>
      <c r="W133" s="5">
        <f>Paid!W45+Legacy!W47</f>
        <v/>
      </c>
      <c r="X133" s="5">
        <f>Paid!X45+Legacy!X47</f>
        <v/>
      </c>
      <c r="Y133" s="5">
        <f>Paid!Y45+Legacy!Y47</f>
        <v/>
      </c>
      <c r="Z133" s="5">
        <f>Paid!Z45+Legacy!Z47</f>
        <v/>
      </c>
      <c r="AA133" s="5">
        <f>Paid!AA45+Legacy!AA47</f>
        <v/>
      </c>
      <c r="AB133" s="5">
        <f>Paid!AB45+Legacy!AB47</f>
        <v/>
      </c>
      <c r="AC133" s="5">
        <f>Paid!AC45+Legacy!AC47</f>
        <v/>
      </c>
      <c r="AD133" s="5">
        <f>Paid!AD45+Legacy!AD47</f>
        <v/>
      </c>
      <c r="AE133" s="5">
        <f>Paid!AE45+Legacy!AE47</f>
        <v/>
      </c>
      <c r="AF133" s="5">
        <f>Paid!AF45+Legacy!AF47</f>
        <v/>
      </c>
      <c r="AG133" s="5">
        <f>Paid!AG45+Legacy!AG47</f>
        <v/>
      </c>
      <c r="AH133" s="5">
        <f>Paid!AH45+Legacy!AH47</f>
        <v/>
      </c>
      <c r="AI133" s="5">
        <f>Paid!AI45+Legacy!AI47</f>
        <v/>
      </c>
      <c r="AJ133" s="5">
        <f>Paid!AJ45+Legacy!AJ47</f>
        <v/>
      </c>
      <c r="AK133" s="5">
        <f>Paid!AK45+Legacy!AK47</f>
        <v/>
      </c>
      <c r="AL133" s="5">
        <f>Paid!AL45+Legacy!AL47</f>
        <v/>
      </c>
      <c r="AM133" s="5">
        <f>Paid!AM45+Legacy!AM47</f>
        <v/>
      </c>
      <c r="AN133" s="5">
        <f>Paid!AN45+Legacy!AN47</f>
        <v/>
      </c>
      <c r="AO133" s="5">
        <f>Paid!AO45+Legacy!AO47</f>
        <v/>
      </c>
      <c r="AP133" s="5">
        <f>Paid!AP45+Legacy!AP47</f>
        <v/>
      </c>
      <c r="AQ133" s="5">
        <f>Paid!AQ45+Legacy!AQ47</f>
        <v/>
      </c>
      <c r="AR133" s="5">
        <f>Paid!AR45+Legacy!AR47</f>
        <v/>
      </c>
      <c r="AS133" s="5">
        <f>Paid!AS45+Legacy!AS47</f>
        <v/>
      </c>
      <c r="AT133" s="5">
        <f>Paid!AT45+Legacy!AT47</f>
        <v/>
      </c>
      <c r="AU133" s="5">
        <f>Paid!AU45+Legacy!AU47</f>
        <v/>
      </c>
      <c r="AV133" s="5">
        <f>Paid!AV45+Legacy!AV47</f>
        <v/>
      </c>
      <c r="AW133" s="5">
        <f>Paid!AW45+Legacy!AW47</f>
        <v/>
      </c>
      <c r="AX133" s="5">
        <f>Paid!AX45+Legacy!AX47</f>
        <v/>
      </c>
      <c r="AY133" s="5">
        <f>Paid!AY45+Legacy!AY47</f>
        <v/>
      </c>
      <c r="AZ133" s="5">
        <f>Paid!AZ45+Legacy!AZ47</f>
        <v/>
      </c>
      <c r="BA133" s="5">
        <f>Paid!BA45+Legacy!BA47</f>
        <v/>
      </c>
      <c r="BB133" s="5">
        <f>Paid!BB45+Legacy!BB47</f>
        <v/>
      </c>
      <c r="BC133" s="5">
        <f>Paid!BC45+Legacy!BC47</f>
        <v/>
      </c>
      <c r="BD133" s="5">
        <f>Paid!BD45+Legacy!BD47</f>
        <v/>
      </c>
      <c r="BE133" s="5">
        <f>Paid!BE45+Legacy!BE47</f>
        <v/>
      </c>
      <c r="BF133" s="5">
        <f>Paid!BF45+Legacy!BF47</f>
        <v/>
      </c>
      <c r="BG133" s="5">
        <f>Paid!BG45+Legacy!BG47</f>
        <v/>
      </c>
      <c r="BH133" s="5">
        <f>Paid!BH45+Legacy!BH47</f>
        <v/>
      </c>
      <c r="BI133" s="5">
        <f>Paid!BI45+Legacy!BI47</f>
        <v/>
      </c>
      <c r="BJ133" s="5">
        <f>Paid!BJ45+Legacy!BJ47</f>
        <v/>
      </c>
      <c r="BK133" s="5">
        <f>Paid!BK45+Legacy!BK47</f>
        <v/>
      </c>
      <c r="BL133" s="5">
        <f>Paid!BL45+Legacy!BL47</f>
        <v/>
      </c>
      <c r="BM133" s="5">
        <f>Paid!BM45+Legacy!BM47</f>
        <v/>
      </c>
      <c r="BN133" s="5">
        <f>Paid!BN45+Legacy!BN47</f>
        <v/>
      </c>
      <c r="BO133" s="5">
        <f>Paid!BO45+Legacy!BO47</f>
        <v/>
      </c>
      <c r="BP133" s="5">
        <f>Paid!BP45+Legacy!BP47</f>
        <v/>
      </c>
      <c r="BQ133" s="5">
        <f>Paid!BQ45+Legacy!BQ47</f>
        <v/>
      </c>
      <c r="BR133" s="5">
        <f>Paid!BR45+Legacy!BR47</f>
        <v/>
      </c>
      <c r="BS133" s="5">
        <f>Paid!BS45+Legacy!BS47</f>
        <v/>
      </c>
      <c r="BT133" s="5">
        <f>Paid!BT45+Legacy!BT47</f>
        <v/>
      </c>
      <c r="BU133" s="5">
        <f>Paid!BU45+Legacy!BU47</f>
        <v/>
      </c>
      <c r="BV133" s="5">
        <f>Paid!BV45+Legacy!BV47</f>
        <v/>
      </c>
    </row>
    <row r="134">
      <c r="A134" t="inlineStr">
        <is>
          <t>inflow @0</t>
        </is>
      </c>
      <c r="B134" t="inlineStr">
        <is>
          <t>LATAM|BASIC_M</t>
        </is>
      </c>
      <c r="C134" s="5">
        <f>C133*Eras!C$3</f>
        <v/>
      </c>
      <c r="D134" s="5">
        <f>D133*Eras!D$3</f>
        <v/>
      </c>
      <c r="E134" s="5">
        <f>E133*Eras!E$3</f>
        <v/>
      </c>
      <c r="F134" s="5">
        <f>F133*Eras!F$3</f>
        <v/>
      </c>
      <c r="G134" s="5">
        <f>G133*Eras!G$3</f>
        <v/>
      </c>
      <c r="H134" s="5">
        <f>H133*Eras!H$3</f>
        <v/>
      </c>
      <c r="I134" s="5">
        <f>I133*Eras!I$3</f>
        <v/>
      </c>
      <c r="J134" s="5">
        <f>J133*Eras!J$3</f>
        <v/>
      </c>
      <c r="K134" s="5">
        <f>K133*Eras!K$3</f>
        <v/>
      </c>
      <c r="L134" s="5">
        <f>L133*Eras!L$3</f>
        <v/>
      </c>
      <c r="M134" s="5">
        <f>M133*Eras!M$3</f>
        <v/>
      </c>
      <c r="N134" s="5">
        <f>N133*Eras!N$3</f>
        <v/>
      </c>
      <c r="O134" s="5">
        <f>O133*Eras!O$3</f>
        <v/>
      </c>
      <c r="P134" s="5">
        <f>P133*Eras!P$3</f>
        <v/>
      </c>
      <c r="Q134" s="5">
        <f>Q133*Eras!Q$3</f>
        <v/>
      </c>
      <c r="R134" s="5">
        <f>R133*Eras!R$3</f>
        <v/>
      </c>
      <c r="S134" s="5">
        <f>S133*Eras!S$3</f>
        <v/>
      </c>
      <c r="T134" s="5">
        <f>T133*Eras!T$3</f>
        <v/>
      </c>
      <c r="U134" s="5">
        <f>U133*Eras!U$3</f>
        <v/>
      </c>
      <c r="V134" s="5">
        <f>V133*Eras!V$3</f>
        <v/>
      </c>
      <c r="W134" s="5">
        <f>W133*Eras!W$3</f>
        <v/>
      </c>
      <c r="X134" s="5">
        <f>X133*Eras!X$3</f>
        <v/>
      </c>
      <c r="Y134" s="5">
        <f>Y133*Eras!Y$3</f>
        <v/>
      </c>
      <c r="Z134" s="5">
        <f>Z133*Eras!Z$3</f>
        <v/>
      </c>
      <c r="AA134" s="5">
        <f>AA133*Eras!AA$3</f>
        <v/>
      </c>
      <c r="AB134" s="5">
        <f>AB133*Eras!AB$3</f>
        <v/>
      </c>
      <c r="AC134" s="5">
        <f>AC133*Eras!AC$3</f>
        <v/>
      </c>
      <c r="AD134" s="5">
        <f>AD133*Eras!AD$3</f>
        <v/>
      </c>
      <c r="AE134" s="5">
        <f>AE133*Eras!AE$3</f>
        <v/>
      </c>
      <c r="AF134" s="5">
        <f>AF133*Eras!AF$3</f>
        <v/>
      </c>
      <c r="AG134" s="5">
        <f>AG133*Eras!AG$3</f>
        <v/>
      </c>
      <c r="AH134" s="5">
        <f>AH133*Eras!AH$3</f>
        <v/>
      </c>
      <c r="AI134" s="5">
        <f>AI133*Eras!AI$3</f>
        <v/>
      </c>
      <c r="AJ134" s="5">
        <f>AJ133*Eras!AJ$3</f>
        <v/>
      </c>
      <c r="AK134" s="5">
        <f>AK133*Eras!AK$3</f>
        <v/>
      </c>
      <c r="AL134" s="5">
        <f>AL133*Eras!AL$3</f>
        <v/>
      </c>
      <c r="AM134" s="5">
        <f>AM133*Eras!AM$3</f>
        <v/>
      </c>
      <c r="AN134" s="5">
        <f>AN133*Eras!AN$3</f>
        <v/>
      </c>
      <c r="AO134" s="5">
        <f>AO133*Eras!AO$3</f>
        <v/>
      </c>
      <c r="AP134" s="5">
        <f>AP133*Eras!AP$3</f>
        <v/>
      </c>
      <c r="AQ134" s="5">
        <f>AQ133*Eras!AQ$3</f>
        <v/>
      </c>
      <c r="AR134" s="5">
        <f>AR133*Eras!AR$3</f>
        <v/>
      </c>
      <c r="AS134" s="5">
        <f>AS133*Eras!AS$3</f>
        <v/>
      </c>
      <c r="AT134" s="5">
        <f>AT133*Eras!AT$3</f>
        <v/>
      </c>
      <c r="AU134" s="5">
        <f>AU133*Eras!AU$3</f>
        <v/>
      </c>
      <c r="AV134" s="5">
        <f>AV133*Eras!AV$3</f>
        <v/>
      </c>
      <c r="AW134" s="5">
        <f>AW133*Eras!AW$3</f>
        <v/>
      </c>
      <c r="AX134" s="5">
        <f>AX133*Eras!AX$3</f>
        <v/>
      </c>
      <c r="AY134" s="5">
        <f>AY133*Eras!AY$3</f>
        <v/>
      </c>
      <c r="AZ134" s="5">
        <f>AZ133*Eras!AZ$3</f>
        <v/>
      </c>
      <c r="BA134" s="5">
        <f>BA133*Eras!BA$3</f>
        <v/>
      </c>
      <c r="BB134" s="5">
        <f>BB133*Eras!BB$3</f>
        <v/>
      </c>
      <c r="BC134" s="5">
        <f>BC133*Eras!BC$3</f>
        <v/>
      </c>
      <c r="BD134" s="5">
        <f>BD133*Eras!BD$3</f>
        <v/>
      </c>
      <c r="BE134" s="5">
        <f>BE133*Eras!BE$3</f>
        <v/>
      </c>
      <c r="BF134" s="5">
        <f>BF133*Eras!BF$3</f>
        <v/>
      </c>
      <c r="BG134" s="5">
        <f>BG133*Eras!BG$3</f>
        <v/>
      </c>
      <c r="BH134" s="5">
        <f>BH133*Eras!BH$3</f>
        <v/>
      </c>
      <c r="BI134" s="5">
        <f>BI133*Eras!BI$3</f>
        <v/>
      </c>
      <c r="BJ134" s="5">
        <f>BJ133*Eras!BJ$3</f>
        <v/>
      </c>
      <c r="BK134" s="5">
        <f>BK133*Eras!BK$3</f>
        <v/>
      </c>
      <c r="BL134" s="5">
        <f>BL133*Eras!BL$3</f>
        <v/>
      </c>
      <c r="BM134" s="5">
        <f>BM133*Eras!BM$3</f>
        <v/>
      </c>
      <c r="BN134" s="5">
        <f>BN133*Eras!BN$3</f>
        <v/>
      </c>
      <c r="BO134" s="5">
        <f>BO133*Eras!BO$3</f>
        <v/>
      </c>
      <c r="BP134" s="5">
        <f>BP133*Eras!BP$3</f>
        <v/>
      </c>
      <c r="BQ134" s="5">
        <f>BQ133*Eras!BQ$3</f>
        <v/>
      </c>
      <c r="BR134" s="5">
        <f>BR133*Eras!BR$3</f>
        <v/>
      </c>
      <c r="BS134" s="5">
        <f>BS133*Eras!BS$3</f>
        <v/>
      </c>
      <c r="BT134" s="5">
        <f>BT133*Eras!BT$3</f>
        <v/>
      </c>
      <c r="BU134" s="5">
        <f>BU133*Eras!BU$3</f>
        <v/>
      </c>
      <c r="BV134" s="5">
        <f>BV133*Eras!BV$3</f>
        <v/>
      </c>
    </row>
    <row r="135">
      <c r="A135" t="inlineStr">
        <is>
          <t>inflow @1</t>
        </is>
      </c>
      <c r="B135" t="inlineStr">
        <is>
          <t>LATAM|BASIC_M</t>
        </is>
      </c>
      <c r="C135" s="5">
        <f>C133*Eras!C$4</f>
        <v/>
      </c>
      <c r="D135" s="5">
        <f>D133*Eras!D$4</f>
        <v/>
      </c>
      <c r="E135" s="5">
        <f>E133*Eras!E$4</f>
        <v/>
      </c>
      <c r="F135" s="5">
        <f>F133*Eras!F$4</f>
        <v/>
      </c>
      <c r="G135" s="5">
        <f>G133*Eras!G$4</f>
        <v/>
      </c>
      <c r="H135" s="5">
        <f>H133*Eras!H$4</f>
        <v/>
      </c>
      <c r="I135" s="5">
        <f>I133*Eras!I$4</f>
        <v/>
      </c>
      <c r="J135" s="5">
        <f>J133*Eras!J$4</f>
        <v/>
      </c>
      <c r="K135" s="5">
        <f>K133*Eras!K$4</f>
        <v/>
      </c>
      <c r="L135" s="5">
        <f>L133*Eras!L$4</f>
        <v/>
      </c>
      <c r="M135" s="5">
        <f>M133*Eras!M$4</f>
        <v/>
      </c>
      <c r="N135" s="5">
        <f>N133*Eras!N$4</f>
        <v/>
      </c>
      <c r="O135" s="5">
        <f>O133*Eras!O$4</f>
        <v/>
      </c>
      <c r="P135" s="5">
        <f>P133*Eras!P$4</f>
        <v/>
      </c>
      <c r="Q135" s="5">
        <f>Q133*Eras!Q$4</f>
        <v/>
      </c>
      <c r="R135" s="5">
        <f>R133*Eras!R$4</f>
        <v/>
      </c>
      <c r="S135" s="5">
        <f>S133*Eras!S$4</f>
        <v/>
      </c>
      <c r="T135" s="5">
        <f>T133*Eras!T$4</f>
        <v/>
      </c>
      <c r="U135" s="5">
        <f>U133*Eras!U$4</f>
        <v/>
      </c>
      <c r="V135" s="5">
        <f>V133*Eras!V$4</f>
        <v/>
      </c>
      <c r="W135" s="5">
        <f>W133*Eras!W$4</f>
        <v/>
      </c>
      <c r="X135" s="5">
        <f>X133*Eras!X$4</f>
        <v/>
      </c>
      <c r="Y135" s="5">
        <f>Y133*Eras!Y$4</f>
        <v/>
      </c>
      <c r="Z135" s="5">
        <f>Z133*Eras!Z$4</f>
        <v/>
      </c>
      <c r="AA135" s="5">
        <f>AA133*Eras!AA$4</f>
        <v/>
      </c>
      <c r="AB135" s="5">
        <f>AB133*Eras!AB$4</f>
        <v/>
      </c>
      <c r="AC135" s="5">
        <f>AC133*Eras!AC$4</f>
        <v/>
      </c>
      <c r="AD135" s="5">
        <f>AD133*Eras!AD$4</f>
        <v/>
      </c>
      <c r="AE135" s="5">
        <f>AE133*Eras!AE$4</f>
        <v/>
      </c>
      <c r="AF135" s="5">
        <f>AF133*Eras!AF$4</f>
        <v/>
      </c>
      <c r="AG135" s="5">
        <f>AG133*Eras!AG$4</f>
        <v/>
      </c>
      <c r="AH135" s="5">
        <f>AH133*Eras!AH$4</f>
        <v/>
      </c>
      <c r="AI135" s="5">
        <f>AI133*Eras!AI$4</f>
        <v/>
      </c>
      <c r="AJ135" s="5">
        <f>AJ133*Eras!AJ$4</f>
        <v/>
      </c>
      <c r="AK135" s="5">
        <f>AK133*Eras!AK$4</f>
        <v/>
      </c>
      <c r="AL135" s="5">
        <f>AL133*Eras!AL$4</f>
        <v/>
      </c>
      <c r="AM135" s="5">
        <f>AM133*Eras!AM$4</f>
        <v/>
      </c>
      <c r="AN135" s="5">
        <f>AN133*Eras!AN$4</f>
        <v/>
      </c>
      <c r="AO135" s="5">
        <f>AO133*Eras!AO$4</f>
        <v/>
      </c>
      <c r="AP135" s="5">
        <f>AP133*Eras!AP$4</f>
        <v/>
      </c>
      <c r="AQ135" s="5">
        <f>AQ133*Eras!AQ$4</f>
        <v/>
      </c>
      <c r="AR135" s="5">
        <f>AR133*Eras!AR$4</f>
        <v/>
      </c>
      <c r="AS135" s="5">
        <f>AS133*Eras!AS$4</f>
        <v/>
      </c>
      <c r="AT135" s="5">
        <f>AT133*Eras!AT$4</f>
        <v/>
      </c>
      <c r="AU135" s="5">
        <f>AU133*Eras!AU$4</f>
        <v/>
      </c>
      <c r="AV135" s="5">
        <f>AV133*Eras!AV$4</f>
        <v/>
      </c>
      <c r="AW135" s="5">
        <f>AW133*Eras!AW$4</f>
        <v/>
      </c>
      <c r="AX135" s="5">
        <f>AX133*Eras!AX$4</f>
        <v/>
      </c>
      <c r="AY135" s="5">
        <f>AY133*Eras!AY$4</f>
        <v/>
      </c>
      <c r="AZ135" s="5">
        <f>AZ133*Eras!AZ$4</f>
        <v/>
      </c>
      <c r="BA135" s="5">
        <f>BA133*Eras!BA$4</f>
        <v/>
      </c>
      <c r="BB135" s="5">
        <f>BB133*Eras!BB$4</f>
        <v/>
      </c>
      <c r="BC135" s="5">
        <f>BC133*Eras!BC$4</f>
        <v/>
      </c>
      <c r="BD135" s="5">
        <f>BD133*Eras!BD$4</f>
        <v/>
      </c>
      <c r="BE135" s="5">
        <f>BE133*Eras!BE$4</f>
        <v/>
      </c>
      <c r="BF135" s="5">
        <f>BF133*Eras!BF$4</f>
        <v/>
      </c>
      <c r="BG135" s="5">
        <f>BG133*Eras!BG$4</f>
        <v/>
      </c>
      <c r="BH135" s="5">
        <f>BH133*Eras!BH$4</f>
        <v/>
      </c>
      <c r="BI135" s="5">
        <f>BI133*Eras!BI$4</f>
        <v/>
      </c>
      <c r="BJ135" s="5">
        <f>BJ133*Eras!BJ$4</f>
        <v/>
      </c>
      <c r="BK135" s="5">
        <f>BK133*Eras!BK$4</f>
        <v/>
      </c>
      <c r="BL135" s="5">
        <f>BL133*Eras!BL$4</f>
        <v/>
      </c>
      <c r="BM135" s="5">
        <f>BM133*Eras!BM$4</f>
        <v/>
      </c>
      <c r="BN135" s="5">
        <f>BN133*Eras!BN$4</f>
        <v/>
      </c>
      <c r="BO135" s="5">
        <f>BO133*Eras!BO$4</f>
        <v/>
      </c>
      <c r="BP135" s="5">
        <f>BP133*Eras!BP$4</f>
        <v/>
      </c>
      <c r="BQ135" s="5">
        <f>BQ133*Eras!BQ$4</f>
        <v/>
      </c>
      <c r="BR135" s="5">
        <f>BR133*Eras!BR$4</f>
        <v/>
      </c>
      <c r="BS135" s="5">
        <f>BS133*Eras!BS$4</f>
        <v/>
      </c>
      <c r="BT135" s="5">
        <f>BT133*Eras!BT$4</f>
        <v/>
      </c>
      <c r="BU135" s="5">
        <f>BU133*Eras!BU$4</f>
        <v/>
      </c>
      <c r="BV135" s="5">
        <f>BV133*Eras!BV$4</f>
        <v/>
      </c>
    </row>
    <row r="136">
      <c r="A136" t="inlineStr">
        <is>
          <t>inflow @2</t>
        </is>
      </c>
      <c r="B136" t="inlineStr">
        <is>
          <t>LATAM|BASIC_M</t>
        </is>
      </c>
      <c r="C136" s="5">
        <f>C133*Eras!C$5</f>
        <v/>
      </c>
      <c r="D136" s="5">
        <f>D133*Eras!D$5</f>
        <v/>
      </c>
      <c r="E136" s="5">
        <f>E133*Eras!E$5</f>
        <v/>
      </c>
      <c r="F136" s="5">
        <f>F133*Eras!F$5</f>
        <v/>
      </c>
      <c r="G136" s="5">
        <f>G133*Eras!G$5</f>
        <v/>
      </c>
      <c r="H136" s="5">
        <f>H133*Eras!H$5</f>
        <v/>
      </c>
      <c r="I136" s="5">
        <f>I133*Eras!I$5</f>
        <v/>
      </c>
      <c r="J136" s="5">
        <f>J133*Eras!J$5</f>
        <v/>
      </c>
      <c r="K136" s="5">
        <f>K133*Eras!K$5</f>
        <v/>
      </c>
      <c r="L136" s="5">
        <f>L133*Eras!L$5</f>
        <v/>
      </c>
      <c r="M136" s="5">
        <f>M133*Eras!M$5</f>
        <v/>
      </c>
      <c r="N136" s="5">
        <f>N133*Eras!N$5</f>
        <v/>
      </c>
      <c r="O136" s="5">
        <f>O133*Eras!O$5</f>
        <v/>
      </c>
      <c r="P136" s="5">
        <f>P133*Eras!P$5</f>
        <v/>
      </c>
      <c r="Q136" s="5">
        <f>Q133*Eras!Q$5</f>
        <v/>
      </c>
      <c r="R136" s="5">
        <f>R133*Eras!R$5</f>
        <v/>
      </c>
      <c r="S136" s="5">
        <f>S133*Eras!S$5</f>
        <v/>
      </c>
      <c r="T136" s="5">
        <f>T133*Eras!T$5</f>
        <v/>
      </c>
      <c r="U136" s="5">
        <f>U133*Eras!U$5</f>
        <v/>
      </c>
      <c r="V136" s="5">
        <f>V133*Eras!V$5</f>
        <v/>
      </c>
      <c r="W136" s="5">
        <f>W133*Eras!W$5</f>
        <v/>
      </c>
      <c r="X136" s="5">
        <f>X133*Eras!X$5</f>
        <v/>
      </c>
      <c r="Y136" s="5">
        <f>Y133*Eras!Y$5</f>
        <v/>
      </c>
      <c r="Z136" s="5">
        <f>Z133*Eras!Z$5</f>
        <v/>
      </c>
      <c r="AA136" s="5">
        <f>AA133*Eras!AA$5</f>
        <v/>
      </c>
      <c r="AB136" s="5">
        <f>AB133*Eras!AB$5</f>
        <v/>
      </c>
      <c r="AC136" s="5">
        <f>AC133*Eras!AC$5</f>
        <v/>
      </c>
      <c r="AD136" s="5">
        <f>AD133*Eras!AD$5</f>
        <v/>
      </c>
      <c r="AE136" s="5">
        <f>AE133*Eras!AE$5</f>
        <v/>
      </c>
      <c r="AF136" s="5">
        <f>AF133*Eras!AF$5</f>
        <v/>
      </c>
      <c r="AG136" s="5">
        <f>AG133*Eras!AG$5</f>
        <v/>
      </c>
      <c r="AH136" s="5">
        <f>AH133*Eras!AH$5</f>
        <v/>
      </c>
      <c r="AI136" s="5">
        <f>AI133*Eras!AI$5</f>
        <v/>
      </c>
      <c r="AJ136" s="5">
        <f>AJ133*Eras!AJ$5</f>
        <v/>
      </c>
      <c r="AK136" s="5">
        <f>AK133*Eras!AK$5</f>
        <v/>
      </c>
      <c r="AL136" s="5">
        <f>AL133*Eras!AL$5</f>
        <v/>
      </c>
      <c r="AM136" s="5">
        <f>AM133*Eras!AM$5</f>
        <v/>
      </c>
      <c r="AN136" s="5">
        <f>AN133*Eras!AN$5</f>
        <v/>
      </c>
      <c r="AO136" s="5">
        <f>AO133*Eras!AO$5</f>
        <v/>
      </c>
      <c r="AP136" s="5">
        <f>AP133*Eras!AP$5</f>
        <v/>
      </c>
      <c r="AQ136" s="5">
        <f>AQ133*Eras!AQ$5</f>
        <v/>
      </c>
      <c r="AR136" s="5">
        <f>AR133*Eras!AR$5</f>
        <v/>
      </c>
      <c r="AS136" s="5">
        <f>AS133*Eras!AS$5</f>
        <v/>
      </c>
      <c r="AT136" s="5">
        <f>AT133*Eras!AT$5</f>
        <v/>
      </c>
      <c r="AU136" s="5">
        <f>AU133*Eras!AU$5</f>
        <v/>
      </c>
      <c r="AV136" s="5">
        <f>AV133*Eras!AV$5</f>
        <v/>
      </c>
      <c r="AW136" s="5">
        <f>AW133*Eras!AW$5</f>
        <v/>
      </c>
      <c r="AX136" s="5">
        <f>AX133*Eras!AX$5</f>
        <v/>
      </c>
      <c r="AY136" s="5">
        <f>AY133*Eras!AY$5</f>
        <v/>
      </c>
      <c r="AZ136" s="5">
        <f>AZ133*Eras!AZ$5</f>
        <v/>
      </c>
      <c r="BA136" s="5">
        <f>BA133*Eras!BA$5</f>
        <v/>
      </c>
      <c r="BB136" s="5">
        <f>BB133*Eras!BB$5</f>
        <v/>
      </c>
      <c r="BC136" s="5">
        <f>BC133*Eras!BC$5</f>
        <v/>
      </c>
      <c r="BD136" s="5">
        <f>BD133*Eras!BD$5</f>
        <v/>
      </c>
      <c r="BE136" s="5">
        <f>BE133*Eras!BE$5</f>
        <v/>
      </c>
      <c r="BF136" s="5">
        <f>BF133*Eras!BF$5</f>
        <v/>
      </c>
      <c r="BG136" s="5">
        <f>BG133*Eras!BG$5</f>
        <v/>
      </c>
      <c r="BH136" s="5">
        <f>BH133*Eras!BH$5</f>
        <v/>
      </c>
      <c r="BI136" s="5">
        <f>BI133*Eras!BI$5</f>
        <v/>
      </c>
      <c r="BJ136" s="5">
        <f>BJ133*Eras!BJ$5</f>
        <v/>
      </c>
      <c r="BK136" s="5">
        <f>BK133*Eras!BK$5</f>
        <v/>
      </c>
      <c r="BL136" s="5">
        <f>BL133*Eras!BL$5</f>
        <v/>
      </c>
      <c r="BM136" s="5">
        <f>BM133*Eras!BM$5</f>
        <v/>
      </c>
      <c r="BN136" s="5">
        <f>BN133*Eras!BN$5</f>
        <v/>
      </c>
      <c r="BO136" s="5">
        <f>BO133*Eras!BO$5</f>
        <v/>
      </c>
      <c r="BP136" s="5">
        <f>BP133*Eras!BP$5</f>
        <v/>
      </c>
      <c r="BQ136" s="5">
        <f>BQ133*Eras!BQ$5</f>
        <v/>
      </c>
      <c r="BR136" s="5">
        <f>BR133*Eras!BR$5</f>
        <v/>
      </c>
      <c r="BS136" s="5">
        <f>BS133*Eras!BS$5</f>
        <v/>
      </c>
      <c r="BT136" s="5">
        <f>BT133*Eras!BT$5</f>
        <v/>
      </c>
      <c r="BU136" s="5">
        <f>BU133*Eras!BU$5</f>
        <v/>
      </c>
      <c r="BV136" s="5">
        <f>BV133*Eras!BV$5</f>
        <v/>
      </c>
    </row>
    <row r="137">
      <c r="A137" t="inlineStr">
        <is>
          <t>reactivations out</t>
        </is>
      </c>
      <c r="B137" t="inlineStr">
        <is>
          <t>LATAM|BASIC_M</t>
        </is>
      </c>
      <c r="C137" s="5">
        <f>React!$C$134*Curves!$BV$21+React!$C$135*Curves!$BV$44+React!$C$136*Curves!$BV$67</f>
        <v/>
      </c>
      <c r="D137" s="5">
        <f>SUMPRODUCT(React!$C$134:$D$134,Curves!$BU$21:$BV$21)+SUMPRODUCT(React!$C$135:$D$135,Curves!$BU$44:$BV$44)+SUMPRODUCT(React!$C$136:$D$136,Curves!$BU$67:$BV$67)</f>
        <v/>
      </c>
      <c r="E137" s="5">
        <f>SUMPRODUCT(React!$C$134:$E$134,Curves!$BT$21:$BV$21)+SUMPRODUCT(React!$C$135:$E$135,Curves!$BT$44:$BV$44)+SUMPRODUCT(React!$C$136:$E$136,Curves!$BT$67:$BV$67)</f>
        <v/>
      </c>
      <c r="F137" s="5">
        <f>SUMPRODUCT(React!$C$134:$F$134,Curves!$BS$21:$BV$21)+SUMPRODUCT(React!$C$135:$F$135,Curves!$BS$44:$BV$44)+SUMPRODUCT(React!$C$136:$F$136,Curves!$BS$67:$BV$67)</f>
        <v/>
      </c>
      <c r="G137" s="5">
        <f>SUMPRODUCT(React!$C$134:$G$134,Curves!$BR$21:$BV$21)+SUMPRODUCT(React!$C$135:$G$135,Curves!$BR$44:$BV$44)+SUMPRODUCT(React!$C$136:$G$136,Curves!$BR$67:$BV$67)</f>
        <v/>
      </c>
      <c r="H137" s="5">
        <f>SUMPRODUCT(React!$C$134:$H$134,Curves!$BQ$21:$BV$21)+SUMPRODUCT(React!$C$135:$H$135,Curves!$BQ$44:$BV$44)+SUMPRODUCT(React!$C$136:$H$136,Curves!$BQ$67:$BV$67)</f>
        <v/>
      </c>
      <c r="I137" s="5">
        <f>SUMPRODUCT(React!$C$134:$I$134,Curves!$BP$21:$BV$21)+SUMPRODUCT(React!$C$135:$I$135,Curves!$BP$44:$BV$44)+SUMPRODUCT(React!$C$136:$I$136,Curves!$BP$67:$BV$67)</f>
        <v/>
      </c>
      <c r="J137" s="5">
        <f>SUMPRODUCT(React!$C$134:$J$134,Curves!$BO$21:$BV$21)+SUMPRODUCT(React!$C$135:$J$135,Curves!$BO$44:$BV$44)+SUMPRODUCT(React!$C$136:$J$136,Curves!$BO$67:$BV$67)</f>
        <v/>
      </c>
      <c r="K137" s="5">
        <f>SUMPRODUCT(React!$C$134:$K$134,Curves!$BN$21:$BV$21)+SUMPRODUCT(React!$C$135:$K$135,Curves!$BN$44:$BV$44)+SUMPRODUCT(React!$C$136:$K$136,Curves!$BN$67:$BV$67)</f>
        <v/>
      </c>
      <c r="L137" s="5">
        <f>SUMPRODUCT(React!$C$134:$L$134,Curves!$BM$21:$BV$21)+SUMPRODUCT(React!$C$135:$L$135,Curves!$BM$44:$BV$44)+SUMPRODUCT(React!$C$136:$L$136,Curves!$BM$67:$BV$67)</f>
        <v/>
      </c>
      <c r="M137" s="5">
        <f>SUMPRODUCT(React!$C$134:$M$134,Curves!$BL$21:$BV$21)+SUMPRODUCT(React!$C$135:$M$135,Curves!$BL$44:$BV$44)+SUMPRODUCT(React!$C$136:$M$136,Curves!$BL$67:$BV$67)</f>
        <v/>
      </c>
      <c r="N137" s="5">
        <f>SUMPRODUCT(React!$C$134:$N$134,Curves!$BK$21:$BV$21)+SUMPRODUCT(React!$C$135:$N$135,Curves!$BK$44:$BV$44)+SUMPRODUCT(React!$C$136:$N$136,Curves!$BK$67:$BV$67)</f>
        <v/>
      </c>
      <c r="O137" s="5">
        <f>SUMPRODUCT(React!$C$134:$O$134,Curves!$BJ$21:$BV$21)+SUMPRODUCT(React!$C$135:$O$135,Curves!$BJ$44:$BV$44)+SUMPRODUCT(React!$C$136:$O$136,Curves!$BJ$67:$BV$67)</f>
        <v/>
      </c>
      <c r="P137" s="5">
        <f>SUMPRODUCT(React!$C$134:$P$134,Curves!$BI$21:$BV$21)+SUMPRODUCT(React!$C$135:$P$135,Curves!$BI$44:$BV$44)+SUMPRODUCT(React!$C$136:$P$136,Curves!$BI$67:$BV$67)</f>
        <v/>
      </c>
      <c r="Q137" s="5">
        <f>SUMPRODUCT(React!$C$134:$Q$134,Curves!$BH$21:$BV$21)+SUMPRODUCT(React!$C$135:$Q$135,Curves!$BH$44:$BV$44)+SUMPRODUCT(React!$C$136:$Q$136,Curves!$BH$67:$BV$67)</f>
        <v/>
      </c>
      <c r="R137" s="5">
        <f>SUMPRODUCT(React!$C$134:$R$134,Curves!$BG$21:$BV$21)+SUMPRODUCT(React!$C$135:$R$135,Curves!$BG$44:$BV$44)+SUMPRODUCT(React!$C$136:$R$136,Curves!$BG$67:$BV$67)</f>
        <v/>
      </c>
      <c r="S137" s="5">
        <f>SUMPRODUCT(React!$C$134:$S$134,Curves!$BF$21:$BV$21)+SUMPRODUCT(React!$C$135:$S$135,Curves!$BF$44:$BV$44)+SUMPRODUCT(React!$C$136:$S$136,Curves!$BF$67:$BV$67)</f>
        <v/>
      </c>
      <c r="T137" s="5">
        <f>SUMPRODUCT(React!$C$134:$T$134,Curves!$BE$21:$BV$21)+SUMPRODUCT(React!$C$135:$T$135,Curves!$BE$44:$BV$44)+SUMPRODUCT(React!$C$136:$T$136,Curves!$BE$67:$BV$67)</f>
        <v/>
      </c>
      <c r="U137" s="5">
        <f>SUMPRODUCT(React!$C$134:$U$134,Curves!$BD$21:$BV$21)+SUMPRODUCT(React!$C$135:$U$135,Curves!$BD$44:$BV$44)+SUMPRODUCT(React!$C$136:$U$136,Curves!$BD$67:$BV$67)</f>
        <v/>
      </c>
      <c r="V137" s="5">
        <f>SUMPRODUCT(React!$C$134:$V$134,Curves!$BC$21:$BV$21)+SUMPRODUCT(React!$C$135:$V$135,Curves!$BC$44:$BV$44)+SUMPRODUCT(React!$C$136:$V$136,Curves!$BC$67:$BV$67)</f>
        <v/>
      </c>
      <c r="W137" s="5">
        <f>SUMPRODUCT(React!$C$134:$W$134,Curves!$BB$21:$BV$21)+SUMPRODUCT(React!$C$135:$W$135,Curves!$BB$44:$BV$44)+SUMPRODUCT(React!$C$136:$W$136,Curves!$BB$67:$BV$67)</f>
        <v/>
      </c>
      <c r="X137" s="5">
        <f>SUMPRODUCT(React!$C$134:$X$134,Curves!$BA$21:$BV$21)+SUMPRODUCT(React!$C$135:$X$135,Curves!$BA$44:$BV$44)+SUMPRODUCT(React!$C$136:$X$136,Curves!$BA$67:$BV$67)</f>
        <v/>
      </c>
      <c r="Y137" s="5">
        <f>SUMPRODUCT(React!$C$134:$Y$134,Curves!$AZ$21:$BV$21)+SUMPRODUCT(React!$C$135:$Y$135,Curves!$AZ$44:$BV$44)+SUMPRODUCT(React!$C$136:$Y$136,Curves!$AZ$67:$BV$67)</f>
        <v/>
      </c>
      <c r="Z137" s="5">
        <f>SUMPRODUCT(React!$C$134:$Z$134,Curves!$AY$21:$BV$21)+SUMPRODUCT(React!$C$135:$Z$135,Curves!$AY$44:$BV$44)+SUMPRODUCT(React!$C$136:$Z$136,Curves!$AY$67:$BV$67)</f>
        <v/>
      </c>
      <c r="AA137" s="5">
        <f>SUMPRODUCT(React!$C$134:$AA$134,Curves!$AX$21:$BV$21)+SUMPRODUCT(React!$C$135:$AA$135,Curves!$AX$44:$BV$44)+SUMPRODUCT(React!$C$136:$AA$136,Curves!$AX$67:$BV$67)</f>
        <v/>
      </c>
      <c r="AB137" s="5">
        <f>SUMPRODUCT(React!$C$134:$AB$134,Curves!$AW$21:$BV$21)+SUMPRODUCT(React!$C$135:$AB$135,Curves!$AW$44:$BV$44)+SUMPRODUCT(React!$C$136:$AB$136,Curves!$AW$67:$BV$67)</f>
        <v/>
      </c>
      <c r="AC137" s="5">
        <f>SUMPRODUCT(React!$C$134:$AC$134,Curves!$AV$21:$BV$21)+SUMPRODUCT(React!$C$135:$AC$135,Curves!$AV$44:$BV$44)+SUMPRODUCT(React!$C$136:$AC$136,Curves!$AV$67:$BV$67)</f>
        <v/>
      </c>
      <c r="AD137" s="5">
        <f>SUMPRODUCT(React!$C$134:$AD$134,Curves!$AU$21:$BV$21)+SUMPRODUCT(React!$C$135:$AD$135,Curves!$AU$44:$BV$44)+SUMPRODUCT(React!$C$136:$AD$136,Curves!$AU$67:$BV$67)</f>
        <v/>
      </c>
      <c r="AE137" s="5">
        <f>SUMPRODUCT(React!$C$134:$AE$134,Curves!$AT$21:$BV$21)+SUMPRODUCT(React!$C$135:$AE$135,Curves!$AT$44:$BV$44)+SUMPRODUCT(React!$C$136:$AE$136,Curves!$AT$67:$BV$67)</f>
        <v/>
      </c>
      <c r="AF137" s="5">
        <f>SUMPRODUCT(React!$C$134:$AF$134,Curves!$AS$21:$BV$21)+SUMPRODUCT(React!$C$135:$AF$135,Curves!$AS$44:$BV$44)+SUMPRODUCT(React!$C$136:$AF$136,Curves!$AS$67:$BV$67)</f>
        <v/>
      </c>
      <c r="AG137" s="5">
        <f>SUMPRODUCT(React!$C$134:$AG$134,Curves!$AR$21:$BV$21)+SUMPRODUCT(React!$C$135:$AG$135,Curves!$AR$44:$BV$44)+SUMPRODUCT(React!$C$136:$AG$136,Curves!$AR$67:$BV$67)</f>
        <v/>
      </c>
      <c r="AH137" s="5">
        <f>SUMPRODUCT(React!$C$134:$AH$134,Curves!$AQ$21:$BV$21)+SUMPRODUCT(React!$C$135:$AH$135,Curves!$AQ$44:$BV$44)+SUMPRODUCT(React!$C$136:$AH$136,Curves!$AQ$67:$BV$67)</f>
        <v/>
      </c>
      <c r="AI137" s="5">
        <f>SUMPRODUCT(React!$C$134:$AI$134,Curves!$AP$21:$BV$21)+SUMPRODUCT(React!$C$135:$AI$135,Curves!$AP$44:$BV$44)+SUMPRODUCT(React!$C$136:$AI$136,Curves!$AP$67:$BV$67)</f>
        <v/>
      </c>
      <c r="AJ137" s="5">
        <f>SUMPRODUCT(React!$C$134:$AJ$134,Curves!$AO$21:$BV$21)+SUMPRODUCT(React!$C$135:$AJ$135,Curves!$AO$44:$BV$44)+SUMPRODUCT(React!$C$136:$AJ$136,Curves!$AO$67:$BV$67)</f>
        <v/>
      </c>
      <c r="AK137" s="5">
        <f>SUMPRODUCT(React!$C$134:$AK$134,Curves!$AN$21:$BV$21)+SUMPRODUCT(React!$C$135:$AK$135,Curves!$AN$44:$BV$44)+SUMPRODUCT(React!$C$136:$AK$136,Curves!$AN$67:$BV$67)</f>
        <v/>
      </c>
      <c r="AL137" s="5">
        <f>SUMPRODUCT(React!$C$134:$AL$134,Curves!$AM$21:$BV$21)+SUMPRODUCT(React!$C$135:$AL$135,Curves!$AM$44:$BV$44)+SUMPRODUCT(React!$C$136:$AL$136,Curves!$AM$67:$BV$67)</f>
        <v/>
      </c>
      <c r="AM137" s="5">
        <f>SUMPRODUCT(React!$C$134:$AM$134,Curves!$AL$21:$BV$21)+SUMPRODUCT(React!$C$135:$AM$135,Curves!$AL$44:$BV$44)+SUMPRODUCT(React!$C$136:$AM$136,Curves!$AL$67:$BV$67)</f>
        <v/>
      </c>
      <c r="AN137" s="5">
        <f>SUMPRODUCT(React!$C$134:$AN$134,Curves!$AK$21:$BV$21)+SUMPRODUCT(React!$C$135:$AN$135,Curves!$AK$44:$BV$44)+SUMPRODUCT(React!$C$136:$AN$136,Curves!$AK$67:$BV$67)</f>
        <v/>
      </c>
      <c r="AO137" s="5">
        <f>SUMPRODUCT(React!$C$134:$AO$134,Curves!$AJ$21:$BV$21)+SUMPRODUCT(React!$C$135:$AO$135,Curves!$AJ$44:$BV$44)+SUMPRODUCT(React!$C$136:$AO$136,Curves!$AJ$67:$BV$67)</f>
        <v/>
      </c>
      <c r="AP137" s="5">
        <f>SUMPRODUCT(React!$C$134:$AP$134,Curves!$AI$21:$BV$21)+SUMPRODUCT(React!$C$135:$AP$135,Curves!$AI$44:$BV$44)+SUMPRODUCT(React!$C$136:$AP$136,Curves!$AI$67:$BV$67)</f>
        <v/>
      </c>
      <c r="AQ137" s="5">
        <f>SUMPRODUCT(React!$C$134:$AQ$134,Curves!$AH$21:$BV$21)+SUMPRODUCT(React!$C$135:$AQ$135,Curves!$AH$44:$BV$44)+SUMPRODUCT(React!$C$136:$AQ$136,Curves!$AH$67:$BV$67)</f>
        <v/>
      </c>
      <c r="AR137" s="5">
        <f>SUMPRODUCT(React!$C$134:$AR$134,Curves!$AG$21:$BV$21)+SUMPRODUCT(React!$C$135:$AR$135,Curves!$AG$44:$BV$44)+SUMPRODUCT(React!$C$136:$AR$136,Curves!$AG$67:$BV$67)</f>
        <v/>
      </c>
      <c r="AS137" s="5">
        <f>SUMPRODUCT(React!$C$134:$AS$134,Curves!$AF$21:$BV$21)+SUMPRODUCT(React!$C$135:$AS$135,Curves!$AF$44:$BV$44)+SUMPRODUCT(React!$C$136:$AS$136,Curves!$AF$67:$BV$67)</f>
        <v/>
      </c>
      <c r="AT137" s="5">
        <f>SUMPRODUCT(React!$C$134:$AT$134,Curves!$AE$21:$BV$21)+SUMPRODUCT(React!$C$135:$AT$135,Curves!$AE$44:$BV$44)+SUMPRODUCT(React!$C$136:$AT$136,Curves!$AE$67:$BV$67)</f>
        <v/>
      </c>
      <c r="AU137" s="5">
        <f>SUMPRODUCT(React!$C$134:$AU$134,Curves!$AD$21:$BV$21)+SUMPRODUCT(React!$C$135:$AU$135,Curves!$AD$44:$BV$44)+SUMPRODUCT(React!$C$136:$AU$136,Curves!$AD$67:$BV$67)</f>
        <v/>
      </c>
      <c r="AV137" s="5">
        <f>SUMPRODUCT(React!$C$134:$AV$134,Curves!$AC$21:$BV$21)+SUMPRODUCT(React!$C$135:$AV$135,Curves!$AC$44:$BV$44)+SUMPRODUCT(React!$C$136:$AV$136,Curves!$AC$67:$BV$67)</f>
        <v/>
      </c>
      <c r="AW137" s="5">
        <f>SUMPRODUCT(React!$C$134:$AW$134,Curves!$AB$21:$BV$21)+SUMPRODUCT(React!$C$135:$AW$135,Curves!$AB$44:$BV$44)+SUMPRODUCT(React!$C$136:$AW$136,Curves!$AB$67:$BV$67)</f>
        <v/>
      </c>
      <c r="AX137" s="5">
        <f>SUMPRODUCT(React!$C$134:$AX$134,Curves!$AA$21:$BV$21)+SUMPRODUCT(React!$C$135:$AX$135,Curves!$AA$44:$BV$44)+SUMPRODUCT(React!$C$136:$AX$136,Curves!$AA$67:$BV$67)</f>
        <v/>
      </c>
      <c r="AY137" s="5">
        <f>SUMPRODUCT(React!$C$134:$AY$134,Curves!$Z$21:$BV$21)+SUMPRODUCT(React!$C$135:$AY$135,Curves!$Z$44:$BV$44)+SUMPRODUCT(React!$C$136:$AY$136,Curves!$Z$67:$BV$67)</f>
        <v/>
      </c>
      <c r="AZ137" s="5">
        <f>SUMPRODUCT(React!$C$134:$AZ$134,Curves!$Y$21:$BV$21)+SUMPRODUCT(React!$C$135:$AZ$135,Curves!$Y$44:$BV$44)+SUMPRODUCT(React!$C$136:$AZ$136,Curves!$Y$67:$BV$67)</f>
        <v/>
      </c>
      <c r="BA137" s="5">
        <f>SUMPRODUCT(React!$C$134:$BA$134,Curves!$X$21:$BV$21)+SUMPRODUCT(React!$C$135:$BA$135,Curves!$X$44:$BV$44)+SUMPRODUCT(React!$C$136:$BA$136,Curves!$X$67:$BV$67)</f>
        <v/>
      </c>
      <c r="BB137" s="5">
        <f>SUMPRODUCT(React!$C$134:$BB$134,Curves!$W$21:$BV$21)+SUMPRODUCT(React!$C$135:$BB$135,Curves!$W$44:$BV$44)+SUMPRODUCT(React!$C$136:$BB$136,Curves!$W$67:$BV$67)</f>
        <v/>
      </c>
      <c r="BC137" s="5">
        <f>SUMPRODUCT(React!$C$134:$BC$134,Curves!$V$21:$BV$21)+SUMPRODUCT(React!$C$135:$BC$135,Curves!$V$44:$BV$44)+SUMPRODUCT(React!$C$136:$BC$136,Curves!$V$67:$BV$67)</f>
        <v/>
      </c>
      <c r="BD137" s="5">
        <f>SUMPRODUCT(React!$C$134:$BD$134,Curves!$U$21:$BV$21)+SUMPRODUCT(React!$C$135:$BD$135,Curves!$U$44:$BV$44)+SUMPRODUCT(React!$C$136:$BD$136,Curves!$U$67:$BV$67)</f>
        <v/>
      </c>
      <c r="BE137" s="5">
        <f>SUMPRODUCT(React!$C$134:$BE$134,Curves!$T$21:$BV$21)+SUMPRODUCT(React!$C$135:$BE$135,Curves!$T$44:$BV$44)+SUMPRODUCT(React!$C$136:$BE$136,Curves!$T$67:$BV$67)</f>
        <v/>
      </c>
      <c r="BF137" s="5">
        <f>SUMPRODUCT(React!$C$134:$BF$134,Curves!$S$21:$BV$21)+SUMPRODUCT(React!$C$135:$BF$135,Curves!$S$44:$BV$44)+SUMPRODUCT(React!$C$136:$BF$136,Curves!$S$67:$BV$67)</f>
        <v/>
      </c>
      <c r="BG137" s="5">
        <f>SUMPRODUCT(React!$C$134:$BG$134,Curves!$R$21:$BV$21)+SUMPRODUCT(React!$C$135:$BG$135,Curves!$R$44:$BV$44)+SUMPRODUCT(React!$C$136:$BG$136,Curves!$R$67:$BV$67)</f>
        <v/>
      </c>
      <c r="BH137" s="5">
        <f>SUMPRODUCT(React!$C$134:$BH$134,Curves!$Q$21:$BV$21)+SUMPRODUCT(React!$C$135:$BH$135,Curves!$Q$44:$BV$44)+SUMPRODUCT(React!$C$136:$BH$136,Curves!$Q$67:$BV$67)</f>
        <v/>
      </c>
      <c r="BI137" s="5">
        <f>SUMPRODUCT(React!$C$134:$BI$134,Curves!$P$21:$BV$21)+SUMPRODUCT(React!$C$135:$BI$135,Curves!$P$44:$BV$44)+SUMPRODUCT(React!$C$136:$BI$136,Curves!$P$67:$BV$67)</f>
        <v/>
      </c>
      <c r="BJ137" s="5">
        <f>SUMPRODUCT(React!$C$134:$BJ$134,Curves!$O$21:$BV$21)+SUMPRODUCT(React!$C$135:$BJ$135,Curves!$O$44:$BV$44)+SUMPRODUCT(React!$C$136:$BJ$136,Curves!$O$67:$BV$67)</f>
        <v/>
      </c>
      <c r="BK137" s="5">
        <f>SUMPRODUCT(React!$C$134:$BK$134,Curves!$N$21:$BV$21)+SUMPRODUCT(React!$C$135:$BK$135,Curves!$N$44:$BV$44)+SUMPRODUCT(React!$C$136:$BK$136,Curves!$N$67:$BV$67)</f>
        <v/>
      </c>
      <c r="BL137" s="5">
        <f>SUMPRODUCT(React!$C$134:$BL$134,Curves!$M$21:$BV$21)+SUMPRODUCT(React!$C$135:$BL$135,Curves!$M$44:$BV$44)+SUMPRODUCT(React!$C$136:$BL$136,Curves!$M$67:$BV$67)</f>
        <v/>
      </c>
      <c r="BM137" s="5">
        <f>SUMPRODUCT(React!$C$134:$BM$134,Curves!$L$21:$BV$21)+SUMPRODUCT(React!$C$135:$BM$135,Curves!$L$44:$BV$44)+SUMPRODUCT(React!$C$136:$BM$136,Curves!$L$67:$BV$67)</f>
        <v/>
      </c>
      <c r="BN137" s="5">
        <f>SUMPRODUCT(React!$C$134:$BN$134,Curves!$K$21:$BV$21)+SUMPRODUCT(React!$C$135:$BN$135,Curves!$K$44:$BV$44)+SUMPRODUCT(React!$C$136:$BN$136,Curves!$K$67:$BV$67)</f>
        <v/>
      </c>
      <c r="BO137" s="5">
        <f>SUMPRODUCT(React!$C$134:$BO$134,Curves!$J$21:$BV$21)+SUMPRODUCT(React!$C$135:$BO$135,Curves!$J$44:$BV$44)+SUMPRODUCT(React!$C$136:$BO$136,Curves!$J$67:$BV$67)</f>
        <v/>
      </c>
      <c r="BP137" s="5">
        <f>SUMPRODUCT(React!$C$134:$BP$134,Curves!$I$21:$BV$21)+SUMPRODUCT(React!$C$135:$BP$135,Curves!$I$44:$BV$44)+SUMPRODUCT(React!$C$136:$BP$136,Curves!$I$67:$BV$67)</f>
        <v/>
      </c>
      <c r="BQ137" s="5">
        <f>SUMPRODUCT(React!$C$134:$BQ$134,Curves!$H$21:$BV$21)+SUMPRODUCT(React!$C$135:$BQ$135,Curves!$H$44:$BV$44)+SUMPRODUCT(React!$C$136:$BQ$136,Curves!$H$67:$BV$67)</f>
        <v/>
      </c>
      <c r="BR137" s="5">
        <f>SUMPRODUCT(React!$C$134:$BR$134,Curves!$G$21:$BV$21)+SUMPRODUCT(React!$C$135:$BR$135,Curves!$G$44:$BV$44)+SUMPRODUCT(React!$C$136:$BR$136,Curves!$G$67:$BV$67)</f>
        <v/>
      </c>
      <c r="BS137" s="5">
        <f>SUMPRODUCT(React!$C$134:$BS$134,Curves!$F$21:$BV$21)+SUMPRODUCT(React!$C$135:$BS$135,Curves!$F$44:$BV$44)+SUMPRODUCT(React!$C$136:$BS$136,Curves!$F$67:$BV$67)</f>
        <v/>
      </c>
      <c r="BT137" s="5">
        <f>SUMPRODUCT(React!$C$134:$BT$134,Curves!$E$21:$BV$21)+SUMPRODUCT(React!$C$135:$BT$135,Curves!$E$44:$BV$44)+SUMPRODUCT(React!$C$136:$BT$136,Curves!$E$67:$BV$67)</f>
        <v/>
      </c>
      <c r="BU137" s="5">
        <f>SUMPRODUCT(React!$C$134:$BU$134,Curves!$D$21:$BV$21)+SUMPRODUCT(React!$C$135:$BU$135,Curves!$D$44:$BV$44)+SUMPRODUCT(React!$C$136:$BU$136,Curves!$D$67:$BV$67)</f>
        <v/>
      </c>
      <c r="BV137" s="5">
        <f>SUMPRODUCT(React!$C$134:$BV$134,Curves!$C$21:$BV$21)+SUMPRODUCT(React!$C$135:$BV$135,Curves!$C$44:$BV$44)+SUMPRODUCT(React!$C$136:$BV$136,Curves!$C$67:$BV$67)</f>
        <v/>
      </c>
    </row>
    <row r="138">
      <c r="A138" t="inlineStr">
        <is>
          <t>reactivated in</t>
        </is>
      </c>
      <c r="B138" t="inlineStr">
        <is>
          <t>LATAM|BASIC_M</t>
        </is>
      </c>
      <c r="C138" s="5">
        <f>C137+C150</f>
        <v/>
      </c>
      <c r="D138" s="5">
        <f>D137+D150</f>
        <v/>
      </c>
      <c r="E138" s="5">
        <f>E137+E150</f>
        <v/>
      </c>
      <c r="F138" s="5">
        <f>F137+F150</f>
        <v/>
      </c>
      <c r="G138" s="5">
        <f>G137+G150</f>
        <v/>
      </c>
      <c r="H138" s="5">
        <f>H137+H150</f>
        <v/>
      </c>
      <c r="I138" s="5">
        <f>I137+I150</f>
        <v/>
      </c>
      <c r="J138" s="5">
        <f>J137+J150</f>
        <v/>
      </c>
      <c r="K138" s="5">
        <f>K137+K150</f>
        <v/>
      </c>
      <c r="L138" s="5">
        <f>L137+L150</f>
        <v/>
      </c>
      <c r="M138" s="5">
        <f>M137+M150</f>
        <v/>
      </c>
      <c r="N138" s="5">
        <f>N137+N150</f>
        <v/>
      </c>
      <c r="O138" s="5">
        <f>O137+O150</f>
        <v/>
      </c>
      <c r="P138" s="5">
        <f>P137+P150</f>
        <v/>
      </c>
      <c r="Q138" s="5">
        <f>Q137+Q150</f>
        <v/>
      </c>
      <c r="R138" s="5">
        <f>R137+R150</f>
        <v/>
      </c>
      <c r="S138" s="5">
        <f>S137+S150</f>
        <v/>
      </c>
      <c r="T138" s="5">
        <f>T137+T150</f>
        <v/>
      </c>
      <c r="U138" s="5">
        <f>U137+U150</f>
        <v/>
      </c>
      <c r="V138" s="5">
        <f>V137+V150</f>
        <v/>
      </c>
      <c r="W138" s="5">
        <f>W137+W150</f>
        <v/>
      </c>
      <c r="X138" s="5">
        <f>X137+X150</f>
        <v/>
      </c>
      <c r="Y138" s="5">
        <f>Y137+Y150</f>
        <v/>
      </c>
      <c r="Z138" s="5">
        <f>Z137+Z150</f>
        <v/>
      </c>
      <c r="AA138" s="5">
        <f>AA137+AA150</f>
        <v/>
      </c>
      <c r="AB138" s="5">
        <f>AB137+AB150</f>
        <v/>
      </c>
      <c r="AC138" s="5">
        <f>AC137+AC150</f>
        <v/>
      </c>
      <c r="AD138" s="5">
        <f>AD137+AD150</f>
        <v/>
      </c>
      <c r="AE138" s="5">
        <f>AE137+AE150</f>
        <v/>
      </c>
      <c r="AF138" s="5">
        <f>AF137+AF150</f>
        <v/>
      </c>
      <c r="AG138" s="5">
        <f>AG137+AG150</f>
        <v/>
      </c>
      <c r="AH138" s="5">
        <f>AH137+AH150</f>
        <v/>
      </c>
      <c r="AI138" s="5">
        <f>AI137+AI150</f>
        <v/>
      </c>
      <c r="AJ138" s="5">
        <f>AJ137+AJ150</f>
        <v/>
      </c>
      <c r="AK138" s="5">
        <f>AK137+AK150</f>
        <v/>
      </c>
      <c r="AL138" s="5">
        <f>AL137+AL150</f>
        <v/>
      </c>
      <c r="AM138" s="5">
        <f>AM137+AM150</f>
        <v/>
      </c>
      <c r="AN138" s="5">
        <f>AN137+AN150</f>
        <v/>
      </c>
      <c r="AO138" s="5">
        <f>AO137+AO150</f>
        <v/>
      </c>
      <c r="AP138" s="5">
        <f>AP137+AP150</f>
        <v/>
      </c>
      <c r="AQ138" s="5">
        <f>AQ137+AQ150</f>
        <v/>
      </c>
      <c r="AR138" s="5">
        <f>AR137+AR150</f>
        <v/>
      </c>
      <c r="AS138" s="5">
        <f>AS137+AS150</f>
        <v/>
      </c>
      <c r="AT138" s="5">
        <f>AT137+AT150</f>
        <v/>
      </c>
      <c r="AU138" s="5">
        <f>AU137+AU150</f>
        <v/>
      </c>
      <c r="AV138" s="5">
        <f>AV137+AV150</f>
        <v/>
      </c>
      <c r="AW138" s="5">
        <f>AW137+AW150</f>
        <v/>
      </c>
      <c r="AX138" s="5">
        <f>AX137+AX150</f>
        <v/>
      </c>
      <c r="AY138" s="5">
        <f>AY137+AY150</f>
        <v/>
      </c>
      <c r="AZ138" s="5">
        <f>AZ137+AZ150</f>
        <v/>
      </c>
      <c r="BA138" s="5">
        <f>BA137+BA150</f>
        <v/>
      </c>
      <c r="BB138" s="5">
        <f>BB137+BB150</f>
        <v/>
      </c>
      <c r="BC138" s="5">
        <f>BC137+BC150</f>
        <v/>
      </c>
      <c r="BD138" s="5">
        <f>BD137+BD150</f>
        <v/>
      </c>
      <c r="BE138" s="5">
        <f>BE137+BE150</f>
        <v/>
      </c>
      <c r="BF138" s="5">
        <f>BF137+BF150</f>
        <v/>
      </c>
      <c r="BG138" s="5">
        <f>BG137+BG150</f>
        <v/>
      </c>
      <c r="BH138" s="5">
        <f>BH137+BH150</f>
        <v/>
      </c>
      <c r="BI138" s="5">
        <f>BI137+BI150</f>
        <v/>
      </c>
      <c r="BJ138" s="5">
        <f>BJ137+BJ150</f>
        <v/>
      </c>
      <c r="BK138" s="5">
        <f>BK137+BK150</f>
        <v/>
      </c>
      <c r="BL138" s="5">
        <f>BL137+BL150</f>
        <v/>
      </c>
      <c r="BM138" s="5">
        <f>BM137+BM150</f>
        <v/>
      </c>
      <c r="BN138" s="5">
        <f>BN137+BN150</f>
        <v/>
      </c>
      <c r="BO138" s="5">
        <f>BO137+BO150</f>
        <v/>
      </c>
      <c r="BP138" s="5">
        <f>BP137+BP150</f>
        <v/>
      </c>
      <c r="BQ138" s="5">
        <f>BQ137+BQ150</f>
        <v/>
      </c>
      <c r="BR138" s="5">
        <f>BR137+BR150</f>
        <v/>
      </c>
      <c r="BS138" s="5">
        <f>BS137+BS150</f>
        <v/>
      </c>
      <c r="BT138" s="5">
        <f>BT137+BT150</f>
        <v/>
      </c>
      <c r="BU138" s="5">
        <f>BU137+BU150</f>
        <v/>
      </c>
      <c r="BV138" s="5">
        <f>BV137+BV150</f>
        <v/>
      </c>
    </row>
    <row r="139">
      <c r="A139" t="inlineStr">
        <is>
          <t>reactivated in @0</t>
        </is>
      </c>
      <c r="B139" t="inlineStr">
        <is>
          <t>LATAM|BASIC_M</t>
        </is>
      </c>
      <c r="C139" s="5">
        <f>C138*Eras!C$3</f>
        <v/>
      </c>
      <c r="D139" s="5">
        <f>D138*Eras!D$3</f>
        <v/>
      </c>
      <c r="E139" s="5">
        <f>E138*Eras!E$3</f>
        <v/>
      </c>
      <c r="F139" s="5">
        <f>F138*Eras!F$3</f>
        <v/>
      </c>
      <c r="G139" s="5">
        <f>G138*Eras!G$3</f>
        <v/>
      </c>
      <c r="H139" s="5">
        <f>H138*Eras!H$3</f>
        <v/>
      </c>
      <c r="I139" s="5">
        <f>I138*Eras!I$3</f>
        <v/>
      </c>
      <c r="J139" s="5">
        <f>J138*Eras!J$3</f>
        <v/>
      </c>
      <c r="K139" s="5">
        <f>K138*Eras!K$3</f>
        <v/>
      </c>
      <c r="L139" s="5">
        <f>L138*Eras!L$3</f>
        <v/>
      </c>
      <c r="M139" s="5">
        <f>M138*Eras!M$3</f>
        <v/>
      </c>
      <c r="N139" s="5">
        <f>N138*Eras!N$3</f>
        <v/>
      </c>
      <c r="O139" s="5">
        <f>O138*Eras!O$3</f>
        <v/>
      </c>
      <c r="P139" s="5">
        <f>P138*Eras!P$3</f>
        <v/>
      </c>
      <c r="Q139" s="5">
        <f>Q138*Eras!Q$3</f>
        <v/>
      </c>
      <c r="R139" s="5">
        <f>R138*Eras!R$3</f>
        <v/>
      </c>
      <c r="S139" s="5">
        <f>S138*Eras!S$3</f>
        <v/>
      </c>
      <c r="T139" s="5">
        <f>T138*Eras!T$3</f>
        <v/>
      </c>
      <c r="U139" s="5">
        <f>U138*Eras!U$3</f>
        <v/>
      </c>
      <c r="V139" s="5">
        <f>V138*Eras!V$3</f>
        <v/>
      </c>
      <c r="W139" s="5">
        <f>W138*Eras!W$3</f>
        <v/>
      </c>
      <c r="X139" s="5">
        <f>X138*Eras!X$3</f>
        <v/>
      </c>
      <c r="Y139" s="5">
        <f>Y138*Eras!Y$3</f>
        <v/>
      </c>
      <c r="Z139" s="5">
        <f>Z138*Eras!Z$3</f>
        <v/>
      </c>
      <c r="AA139" s="5">
        <f>AA138*Eras!AA$3</f>
        <v/>
      </c>
      <c r="AB139" s="5">
        <f>AB138*Eras!AB$3</f>
        <v/>
      </c>
      <c r="AC139" s="5">
        <f>AC138*Eras!AC$3</f>
        <v/>
      </c>
      <c r="AD139" s="5">
        <f>AD138*Eras!AD$3</f>
        <v/>
      </c>
      <c r="AE139" s="5">
        <f>AE138*Eras!AE$3</f>
        <v/>
      </c>
      <c r="AF139" s="5">
        <f>AF138*Eras!AF$3</f>
        <v/>
      </c>
      <c r="AG139" s="5">
        <f>AG138*Eras!AG$3</f>
        <v/>
      </c>
      <c r="AH139" s="5">
        <f>AH138*Eras!AH$3</f>
        <v/>
      </c>
      <c r="AI139" s="5">
        <f>AI138*Eras!AI$3</f>
        <v/>
      </c>
      <c r="AJ139" s="5">
        <f>AJ138*Eras!AJ$3</f>
        <v/>
      </c>
      <c r="AK139" s="5">
        <f>AK138*Eras!AK$3</f>
        <v/>
      </c>
      <c r="AL139" s="5">
        <f>AL138*Eras!AL$3</f>
        <v/>
      </c>
      <c r="AM139" s="5">
        <f>AM138*Eras!AM$3</f>
        <v/>
      </c>
      <c r="AN139" s="5">
        <f>AN138*Eras!AN$3</f>
        <v/>
      </c>
      <c r="AO139" s="5">
        <f>AO138*Eras!AO$3</f>
        <v/>
      </c>
      <c r="AP139" s="5">
        <f>AP138*Eras!AP$3</f>
        <v/>
      </c>
      <c r="AQ139" s="5">
        <f>AQ138*Eras!AQ$3</f>
        <v/>
      </c>
      <c r="AR139" s="5">
        <f>AR138*Eras!AR$3</f>
        <v/>
      </c>
      <c r="AS139" s="5">
        <f>AS138*Eras!AS$3</f>
        <v/>
      </c>
      <c r="AT139" s="5">
        <f>AT138*Eras!AT$3</f>
        <v/>
      </c>
      <c r="AU139" s="5">
        <f>AU138*Eras!AU$3</f>
        <v/>
      </c>
      <c r="AV139" s="5">
        <f>AV138*Eras!AV$3</f>
        <v/>
      </c>
      <c r="AW139" s="5">
        <f>AW138*Eras!AW$3</f>
        <v/>
      </c>
      <c r="AX139" s="5">
        <f>AX138*Eras!AX$3</f>
        <v/>
      </c>
      <c r="AY139" s="5">
        <f>AY138*Eras!AY$3</f>
        <v/>
      </c>
      <c r="AZ139" s="5">
        <f>AZ138*Eras!AZ$3</f>
        <v/>
      </c>
      <c r="BA139" s="5">
        <f>BA138*Eras!BA$3</f>
        <v/>
      </c>
      <c r="BB139" s="5">
        <f>BB138*Eras!BB$3</f>
        <v/>
      </c>
      <c r="BC139" s="5">
        <f>BC138*Eras!BC$3</f>
        <v/>
      </c>
      <c r="BD139" s="5">
        <f>BD138*Eras!BD$3</f>
        <v/>
      </c>
      <c r="BE139" s="5">
        <f>BE138*Eras!BE$3</f>
        <v/>
      </c>
      <c r="BF139" s="5">
        <f>BF138*Eras!BF$3</f>
        <v/>
      </c>
      <c r="BG139" s="5">
        <f>BG138*Eras!BG$3</f>
        <v/>
      </c>
      <c r="BH139" s="5">
        <f>BH138*Eras!BH$3</f>
        <v/>
      </c>
      <c r="BI139" s="5">
        <f>BI138*Eras!BI$3</f>
        <v/>
      </c>
      <c r="BJ139" s="5">
        <f>BJ138*Eras!BJ$3</f>
        <v/>
      </c>
      <c r="BK139" s="5">
        <f>BK138*Eras!BK$3</f>
        <v/>
      </c>
      <c r="BL139" s="5">
        <f>BL138*Eras!BL$3</f>
        <v/>
      </c>
      <c r="BM139" s="5">
        <f>BM138*Eras!BM$3</f>
        <v/>
      </c>
      <c r="BN139" s="5">
        <f>BN138*Eras!BN$3</f>
        <v/>
      </c>
      <c r="BO139" s="5">
        <f>BO138*Eras!BO$3</f>
        <v/>
      </c>
      <c r="BP139" s="5">
        <f>BP138*Eras!BP$3</f>
        <v/>
      </c>
      <c r="BQ139" s="5">
        <f>BQ138*Eras!BQ$3</f>
        <v/>
      </c>
      <c r="BR139" s="5">
        <f>BR138*Eras!BR$3</f>
        <v/>
      </c>
      <c r="BS139" s="5">
        <f>BS138*Eras!BS$3</f>
        <v/>
      </c>
      <c r="BT139" s="5">
        <f>BT138*Eras!BT$3</f>
        <v/>
      </c>
      <c r="BU139" s="5">
        <f>BU138*Eras!BU$3</f>
        <v/>
      </c>
      <c r="BV139" s="5">
        <f>BV138*Eras!BV$3</f>
        <v/>
      </c>
    </row>
    <row r="140">
      <c r="A140" t="inlineStr">
        <is>
          <t>reactivated in @1</t>
        </is>
      </c>
      <c r="B140" t="inlineStr">
        <is>
          <t>LATAM|BASIC_M</t>
        </is>
      </c>
      <c r="C140" s="5">
        <f>C138*Eras!C$4</f>
        <v/>
      </c>
      <c r="D140" s="5">
        <f>D138*Eras!D$4</f>
        <v/>
      </c>
      <c r="E140" s="5">
        <f>E138*Eras!E$4</f>
        <v/>
      </c>
      <c r="F140" s="5">
        <f>F138*Eras!F$4</f>
        <v/>
      </c>
      <c r="G140" s="5">
        <f>G138*Eras!G$4</f>
        <v/>
      </c>
      <c r="H140" s="5">
        <f>H138*Eras!H$4</f>
        <v/>
      </c>
      <c r="I140" s="5">
        <f>I138*Eras!I$4</f>
        <v/>
      </c>
      <c r="J140" s="5">
        <f>J138*Eras!J$4</f>
        <v/>
      </c>
      <c r="K140" s="5">
        <f>K138*Eras!K$4</f>
        <v/>
      </c>
      <c r="L140" s="5">
        <f>L138*Eras!L$4</f>
        <v/>
      </c>
      <c r="M140" s="5">
        <f>M138*Eras!M$4</f>
        <v/>
      </c>
      <c r="N140" s="5">
        <f>N138*Eras!N$4</f>
        <v/>
      </c>
      <c r="O140" s="5">
        <f>O138*Eras!O$4</f>
        <v/>
      </c>
      <c r="P140" s="5">
        <f>P138*Eras!P$4</f>
        <v/>
      </c>
      <c r="Q140" s="5">
        <f>Q138*Eras!Q$4</f>
        <v/>
      </c>
      <c r="R140" s="5">
        <f>R138*Eras!R$4</f>
        <v/>
      </c>
      <c r="S140" s="5">
        <f>S138*Eras!S$4</f>
        <v/>
      </c>
      <c r="T140" s="5">
        <f>T138*Eras!T$4</f>
        <v/>
      </c>
      <c r="U140" s="5">
        <f>U138*Eras!U$4</f>
        <v/>
      </c>
      <c r="V140" s="5">
        <f>V138*Eras!V$4</f>
        <v/>
      </c>
      <c r="W140" s="5">
        <f>W138*Eras!W$4</f>
        <v/>
      </c>
      <c r="X140" s="5">
        <f>X138*Eras!X$4</f>
        <v/>
      </c>
      <c r="Y140" s="5">
        <f>Y138*Eras!Y$4</f>
        <v/>
      </c>
      <c r="Z140" s="5">
        <f>Z138*Eras!Z$4</f>
        <v/>
      </c>
      <c r="AA140" s="5">
        <f>AA138*Eras!AA$4</f>
        <v/>
      </c>
      <c r="AB140" s="5">
        <f>AB138*Eras!AB$4</f>
        <v/>
      </c>
      <c r="AC140" s="5">
        <f>AC138*Eras!AC$4</f>
        <v/>
      </c>
      <c r="AD140" s="5">
        <f>AD138*Eras!AD$4</f>
        <v/>
      </c>
      <c r="AE140" s="5">
        <f>AE138*Eras!AE$4</f>
        <v/>
      </c>
      <c r="AF140" s="5">
        <f>AF138*Eras!AF$4</f>
        <v/>
      </c>
      <c r="AG140" s="5">
        <f>AG138*Eras!AG$4</f>
        <v/>
      </c>
      <c r="AH140" s="5">
        <f>AH138*Eras!AH$4</f>
        <v/>
      </c>
      <c r="AI140" s="5">
        <f>AI138*Eras!AI$4</f>
        <v/>
      </c>
      <c r="AJ140" s="5">
        <f>AJ138*Eras!AJ$4</f>
        <v/>
      </c>
      <c r="AK140" s="5">
        <f>AK138*Eras!AK$4</f>
        <v/>
      </c>
      <c r="AL140" s="5">
        <f>AL138*Eras!AL$4</f>
        <v/>
      </c>
      <c r="AM140" s="5">
        <f>AM138*Eras!AM$4</f>
        <v/>
      </c>
      <c r="AN140" s="5">
        <f>AN138*Eras!AN$4</f>
        <v/>
      </c>
      <c r="AO140" s="5">
        <f>AO138*Eras!AO$4</f>
        <v/>
      </c>
      <c r="AP140" s="5">
        <f>AP138*Eras!AP$4</f>
        <v/>
      </c>
      <c r="AQ140" s="5">
        <f>AQ138*Eras!AQ$4</f>
        <v/>
      </c>
      <c r="AR140" s="5">
        <f>AR138*Eras!AR$4</f>
        <v/>
      </c>
      <c r="AS140" s="5">
        <f>AS138*Eras!AS$4</f>
        <v/>
      </c>
      <c r="AT140" s="5">
        <f>AT138*Eras!AT$4</f>
        <v/>
      </c>
      <c r="AU140" s="5">
        <f>AU138*Eras!AU$4</f>
        <v/>
      </c>
      <c r="AV140" s="5">
        <f>AV138*Eras!AV$4</f>
        <v/>
      </c>
      <c r="AW140" s="5">
        <f>AW138*Eras!AW$4</f>
        <v/>
      </c>
      <c r="AX140" s="5">
        <f>AX138*Eras!AX$4</f>
        <v/>
      </c>
      <c r="AY140" s="5">
        <f>AY138*Eras!AY$4</f>
        <v/>
      </c>
      <c r="AZ140" s="5">
        <f>AZ138*Eras!AZ$4</f>
        <v/>
      </c>
      <c r="BA140" s="5">
        <f>BA138*Eras!BA$4</f>
        <v/>
      </c>
      <c r="BB140" s="5">
        <f>BB138*Eras!BB$4</f>
        <v/>
      </c>
      <c r="BC140" s="5">
        <f>BC138*Eras!BC$4</f>
        <v/>
      </c>
      <c r="BD140" s="5">
        <f>BD138*Eras!BD$4</f>
        <v/>
      </c>
      <c r="BE140" s="5">
        <f>BE138*Eras!BE$4</f>
        <v/>
      </c>
      <c r="BF140" s="5">
        <f>BF138*Eras!BF$4</f>
        <v/>
      </c>
      <c r="BG140" s="5">
        <f>BG138*Eras!BG$4</f>
        <v/>
      </c>
      <c r="BH140" s="5">
        <f>BH138*Eras!BH$4</f>
        <v/>
      </c>
      <c r="BI140" s="5">
        <f>BI138*Eras!BI$4</f>
        <v/>
      </c>
      <c r="BJ140" s="5">
        <f>BJ138*Eras!BJ$4</f>
        <v/>
      </c>
      <c r="BK140" s="5">
        <f>BK138*Eras!BK$4</f>
        <v/>
      </c>
      <c r="BL140" s="5">
        <f>BL138*Eras!BL$4</f>
        <v/>
      </c>
      <c r="BM140" s="5">
        <f>BM138*Eras!BM$4</f>
        <v/>
      </c>
      <c r="BN140" s="5">
        <f>BN138*Eras!BN$4</f>
        <v/>
      </c>
      <c r="BO140" s="5">
        <f>BO138*Eras!BO$4</f>
        <v/>
      </c>
      <c r="BP140" s="5">
        <f>BP138*Eras!BP$4</f>
        <v/>
      </c>
      <c r="BQ140" s="5">
        <f>BQ138*Eras!BQ$4</f>
        <v/>
      </c>
      <c r="BR140" s="5">
        <f>BR138*Eras!BR$4</f>
        <v/>
      </c>
      <c r="BS140" s="5">
        <f>BS138*Eras!BS$4</f>
        <v/>
      </c>
      <c r="BT140" s="5">
        <f>BT138*Eras!BT$4</f>
        <v/>
      </c>
      <c r="BU140" s="5">
        <f>BU138*Eras!BU$4</f>
        <v/>
      </c>
      <c r="BV140" s="5">
        <f>BV138*Eras!BV$4</f>
        <v/>
      </c>
    </row>
    <row r="141">
      <c r="A141" t="inlineStr">
        <is>
          <t>reactivated in @2</t>
        </is>
      </c>
      <c r="B141" t="inlineStr">
        <is>
          <t>LATAM|BASIC_M</t>
        </is>
      </c>
      <c r="C141" s="5">
        <f>C138*Eras!C$5</f>
        <v/>
      </c>
      <c r="D141" s="5">
        <f>D138*Eras!D$5</f>
        <v/>
      </c>
      <c r="E141" s="5">
        <f>E138*Eras!E$5</f>
        <v/>
      </c>
      <c r="F141" s="5">
        <f>F138*Eras!F$5</f>
        <v/>
      </c>
      <c r="G141" s="5">
        <f>G138*Eras!G$5</f>
        <v/>
      </c>
      <c r="H141" s="5">
        <f>H138*Eras!H$5</f>
        <v/>
      </c>
      <c r="I141" s="5">
        <f>I138*Eras!I$5</f>
        <v/>
      </c>
      <c r="J141" s="5">
        <f>J138*Eras!J$5</f>
        <v/>
      </c>
      <c r="K141" s="5">
        <f>K138*Eras!K$5</f>
        <v/>
      </c>
      <c r="L141" s="5">
        <f>L138*Eras!L$5</f>
        <v/>
      </c>
      <c r="M141" s="5">
        <f>M138*Eras!M$5</f>
        <v/>
      </c>
      <c r="N141" s="5">
        <f>N138*Eras!N$5</f>
        <v/>
      </c>
      <c r="O141" s="5">
        <f>O138*Eras!O$5</f>
        <v/>
      </c>
      <c r="P141" s="5">
        <f>P138*Eras!P$5</f>
        <v/>
      </c>
      <c r="Q141" s="5">
        <f>Q138*Eras!Q$5</f>
        <v/>
      </c>
      <c r="R141" s="5">
        <f>R138*Eras!R$5</f>
        <v/>
      </c>
      <c r="S141" s="5">
        <f>S138*Eras!S$5</f>
        <v/>
      </c>
      <c r="T141" s="5">
        <f>T138*Eras!T$5</f>
        <v/>
      </c>
      <c r="U141" s="5">
        <f>U138*Eras!U$5</f>
        <v/>
      </c>
      <c r="V141" s="5">
        <f>V138*Eras!V$5</f>
        <v/>
      </c>
      <c r="W141" s="5">
        <f>W138*Eras!W$5</f>
        <v/>
      </c>
      <c r="X141" s="5">
        <f>X138*Eras!X$5</f>
        <v/>
      </c>
      <c r="Y141" s="5">
        <f>Y138*Eras!Y$5</f>
        <v/>
      </c>
      <c r="Z141" s="5">
        <f>Z138*Eras!Z$5</f>
        <v/>
      </c>
      <c r="AA141" s="5">
        <f>AA138*Eras!AA$5</f>
        <v/>
      </c>
      <c r="AB141" s="5">
        <f>AB138*Eras!AB$5</f>
        <v/>
      </c>
      <c r="AC141" s="5">
        <f>AC138*Eras!AC$5</f>
        <v/>
      </c>
      <c r="AD141" s="5">
        <f>AD138*Eras!AD$5</f>
        <v/>
      </c>
      <c r="AE141" s="5">
        <f>AE138*Eras!AE$5</f>
        <v/>
      </c>
      <c r="AF141" s="5">
        <f>AF138*Eras!AF$5</f>
        <v/>
      </c>
      <c r="AG141" s="5">
        <f>AG138*Eras!AG$5</f>
        <v/>
      </c>
      <c r="AH141" s="5">
        <f>AH138*Eras!AH$5</f>
        <v/>
      </c>
      <c r="AI141" s="5">
        <f>AI138*Eras!AI$5</f>
        <v/>
      </c>
      <c r="AJ141" s="5">
        <f>AJ138*Eras!AJ$5</f>
        <v/>
      </c>
      <c r="AK141" s="5">
        <f>AK138*Eras!AK$5</f>
        <v/>
      </c>
      <c r="AL141" s="5">
        <f>AL138*Eras!AL$5</f>
        <v/>
      </c>
      <c r="AM141" s="5">
        <f>AM138*Eras!AM$5</f>
        <v/>
      </c>
      <c r="AN141" s="5">
        <f>AN138*Eras!AN$5</f>
        <v/>
      </c>
      <c r="AO141" s="5">
        <f>AO138*Eras!AO$5</f>
        <v/>
      </c>
      <c r="AP141" s="5">
        <f>AP138*Eras!AP$5</f>
        <v/>
      </c>
      <c r="AQ141" s="5">
        <f>AQ138*Eras!AQ$5</f>
        <v/>
      </c>
      <c r="AR141" s="5">
        <f>AR138*Eras!AR$5</f>
        <v/>
      </c>
      <c r="AS141" s="5">
        <f>AS138*Eras!AS$5</f>
        <v/>
      </c>
      <c r="AT141" s="5">
        <f>AT138*Eras!AT$5</f>
        <v/>
      </c>
      <c r="AU141" s="5">
        <f>AU138*Eras!AU$5</f>
        <v/>
      </c>
      <c r="AV141" s="5">
        <f>AV138*Eras!AV$5</f>
        <v/>
      </c>
      <c r="AW141" s="5">
        <f>AW138*Eras!AW$5</f>
        <v/>
      </c>
      <c r="AX141" s="5">
        <f>AX138*Eras!AX$5</f>
        <v/>
      </c>
      <c r="AY141" s="5">
        <f>AY138*Eras!AY$5</f>
        <v/>
      </c>
      <c r="AZ141" s="5">
        <f>AZ138*Eras!AZ$5</f>
        <v/>
      </c>
      <c r="BA141" s="5">
        <f>BA138*Eras!BA$5</f>
        <v/>
      </c>
      <c r="BB141" s="5">
        <f>BB138*Eras!BB$5</f>
        <v/>
      </c>
      <c r="BC141" s="5">
        <f>BC138*Eras!BC$5</f>
        <v/>
      </c>
      <c r="BD141" s="5">
        <f>BD138*Eras!BD$5</f>
        <v/>
      </c>
      <c r="BE141" s="5">
        <f>BE138*Eras!BE$5</f>
        <v/>
      </c>
      <c r="BF141" s="5">
        <f>BF138*Eras!BF$5</f>
        <v/>
      </c>
      <c r="BG141" s="5">
        <f>BG138*Eras!BG$5</f>
        <v/>
      </c>
      <c r="BH141" s="5">
        <f>BH138*Eras!BH$5</f>
        <v/>
      </c>
      <c r="BI141" s="5">
        <f>BI138*Eras!BI$5</f>
        <v/>
      </c>
      <c r="BJ141" s="5">
        <f>BJ138*Eras!BJ$5</f>
        <v/>
      </c>
      <c r="BK141" s="5">
        <f>BK138*Eras!BK$5</f>
        <v/>
      </c>
      <c r="BL141" s="5">
        <f>BL138*Eras!BL$5</f>
        <v/>
      </c>
      <c r="BM141" s="5">
        <f>BM138*Eras!BM$5</f>
        <v/>
      </c>
      <c r="BN141" s="5">
        <f>BN138*Eras!BN$5</f>
        <v/>
      </c>
      <c r="BO141" s="5">
        <f>BO138*Eras!BO$5</f>
        <v/>
      </c>
      <c r="BP141" s="5">
        <f>BP138*Eras!BP$5</f>
        <v/>
      </c>
      <c r="BQ141" s="5">
        <f>BQ138*Eras!BQ$5</f>
        <v/>
      </c>
      <c r="BR141" s="5">
        <f>BR138*Eras!BR$5</f>
        <v/>
      </c>
      <c r="BS141" s="5">
        <f>BS138*Eras!BS$5</f>
        <v/>
      </c>
      <c r="BT141" s="5">
        <f>BT138*Eras!BT$5</f>
        <v/>
      </c>
      <c r="BU141" s="5">
        <f>BU138*Eras!BU$5</f>
        <v/>
      </c>
      <c r="BV141" s="5">
        <f>BV138*Eras!BV$5</f>
        <v/>
      </c>
    </row>
    <row r="142">
      <c r="A142" t="inlineStr">
        <is>
          <t>active</t>
        </is>
      </c>
      <c r="B142" t="inlineStr">
        <is>
          <t>LATAM|BASIC_M</t>
        </is>
      </c>
      <c r="C142" s="5">
        <f>React!$C$139*Curves!$BV$19+React!$C$140*Curves!$BV$42+React!$C$141*Curves!$BV$65</f>
        <v/>
      </c>
      <c r="D142" s="5">
        <f>SUMPRODUCT(React!$C$139:$D$139,Curves!$BU$19:$BV$19)+SUMPRODUCT(React!$C$140:$D$140,Curves!$BU$42:$BV$42)+SUMPRODUCT(React!$C$141:$D$141,Curves!$BU$65:$BV$65)</f>
        <v/>
      </c>
      <c r="E142" s="5">
        <f>SUMPRODUCT(React!$C$139:$E$139,Curves!$BT$19:$BV$19)+SUMPRODUCT(React!$C$140:$E$140,Curves!$BT$42:$BV$42)+SUMPRODUCT(React!$C$141:$E$141,Curves!$BT$65:$BV$65)</f>
        <v/>
      </c>
      <c r="F142" s="5">
        <f>SUMPRODUCT(React!$C$139:$F$139,Curves!$BS$19:$BV$19)+SUMPRODUCT(React!$C$140:$F$140,Curves!$BS$42:$BV$42)+SUMPRODUCT(React!$C$141:$F$141,Curves!$BS$65:$BV$65)</f>
        <v/>
      </c>
      <c r="G142" s="5">
        <f>SUMPRODUCT(React!$C$139:$G$139,Curves!$BR$19:$BV$19)+SUMPRODUCT(React!$C$140:$G$140,Curves!$BR$42:$BV$42)+SUMPRODUCT(React!$C$141:$G$141,Curves!$BR$65:$BV$65)</f>
        <v/>
      </c>
      <c r="H142" s="5">
        <f>SUMPRODUCT(React!$C$139:$H$139,Curves!$BQ$19:$BV$19)+SUMPRODUCT(React!$C$140:$H$140,Curves!$BQ$42:$BV$42)+SUMPRODUCT(React!$C$141:$H$141,Curves!$BQ$65:$BV$65)</f>
        <v/>
      </c>
      <c r="I142" s="5">
        <f>SUMPRODUCT(React!$C$139:$I$139,Curves!$BP$19:$BV$19)+SUMPRODUCT(React!$C$140:$I$140,Curves!$BP$42:$BV$42)+SUMPRODUCT(React!$C$141:$I$141,Curves!$BP$65:$BV$65)</f>
        <v/>
      </c>
      <c r="J142" s="5">
        <f>SUMPRODUCT(React!$C$139:$J$139,Curves!$BO$19:$BV$19)+SUMPRODUCT(React!$C$140:$J$140,Curves!$BO$42:$BV$42)+SUMPRODUCT(React!$C$141:$J$141,Curves!$BO$65:$BV$65)</f>
        <v/>
      </c>
      <c r="K142" s="5">
        <f>SUMPRODUCT(React!$C$139:$K$139,Curves!$BN$19:$BV$19)+SUMPRODUCT(React!$C$140:$K$140,Curves!$BN$42:$BV$42)+SUMPRODUCT(React!$C$141:$K$141,Curves!$BN$65:$BV$65)</f>
        <v/>
      </c>
      <c r="L142" s="5">
        <f>SUMPRODUCT(React!$C$139:$L$139,Curves!$BM$19:$BV$19)+SUMPRODUCT(React!$C$140:$L$140,Curves!$BM$42:$BV$42)+SUMPRODUCT(React!$C$141:$L$141,Curves!$BM$65:$BV$65)</f>
        <v/>
      </c>
      <c r="M142" s="5">
        <f>SUMPRODUCT(React!$C$139:$M$139,Curves!$BL$19:$BV$19)+SUMPRODUCT(React!$C$140:$M$140,Curves!$BL$42:$BV$42)+SUMPRODUCT(React!$C$141:$M$141,Curves!$BL$65:$BV$65)</f>
        <v/>
      </c>
      <c r="N142" s="5">
        <f>SUMPRODUCT(React!$C$139:$N$139,Curves!$BK$19:$BV$19)+SUMPRODUCT(React!$C$140:$N$140,Curves!$BK$42:$BV$42)+SUMPRODUCT(React!$C$141:$N$141,Curves!$BK$65:$BV$65)</f>
        <v/>
      </c>
      <c r="O142" s="5">
        <f>SUMPRODUCT(React!$C$139:$O$139,Curves!$BJ$19:$BV$19)+SUMPRODUCT(React!$C$140:$O$140,Curves!$BJ$42:$BV$42)+SUMPRODUCT(React!$C$141:$O$141,Curves!$BJ$65:$BV$65)</f>
        <v/>
      </c>
      <c r="P142" s="5">
        <f>SUMPRODUCT(React!$C$139:$P$139,Curves!$BI$19:$BV$19)+SUMPRODUCT(React!$C$140:$P$140,Curves!$BI$42:$BV$42)+SUMPRODUCT(React!$C$141:$P$141,Curves!$BI$65:$BV$65)</f>
        <v/>
      </c>
      <c r="Q142" s="5">
        <f>SUMPRODUCT(React!$C$139:$Q$139,Curves!$BH$19:$BV$19)+SUMPRODUCT(React!$C$140:$Q$140,Curves!$BH$42:$BV$42)+SUMPRODUCT(React!$C$141:$Q$141,Curves!$BH$65:$BV$65)</f>
        <v/>
      </c>
      <c r="R142" s="5">
        <f>SUMPRODUCT(React!$C$139:$R$139,Curves!$BG$19:$BV$19)+SUMPRODUCT(React!$C$140:$R$140,Curves!$BG$42:$BV$42)+SUMPRODUCT(React!$C$141:$R$141,Curves!$BG$65:$BV$65)</f>
        <v/>
      </c>
      <c r="S142" s="5">
        <f>SUMPRODUCT(React!$C$139:$S$139,Curves!$BF$19:$BV$19)+SUMPRODUCT(React!$C$140:$S$140,Curves!$BF$42:$BV$42)+SUMPRODUCT(React!$C$141:$S$141,Curves!$BF$65:$BV$65)</f>
        <v/>
      </c>
      <c r="T142" s="5">
        <f>SUMPRODUCT(React!$C$139:$T$139,Curves!$BE$19:$BV$19)+SUMPRODUCT(React!$C$140:$T$140,Curves!$BE$42:$BV$42)+SUMPRODUCT(React!$C$141:$T$141,Curves!$BE$65:$BV$65)</f>
        <v/>
      </c>
      <c r="U142" s="5">
        <f>SUMPRODUCT(React!$C$139:$U$139,Curves!$BD$19:$BV$19)+SUMPRODUCT(React!$C$140:$U$140,Curves!$BD$42:$BV$42)+SUMPRODUCT(React!$C$141:$U$141,Curves!$BD$65:$BV$65)</f>
        <v/>
      </c>
      <c r="V142" s="5">
        <f>SUMPRODUCT(React!$C$139:$V$139,Curves!$BC$19:$BV$19)+SUMPRODUCT(React!$C$140:$V$140,Curves!$BC$42:$BV$42)+SUMPRODUCT(React!$C$141:$V$141,Curves!$BC$65:$BV$65)</f>
        <v/>
      </c>
      <c r="W142" s="5">
        <f>SUMPRODUCT(React!$C$139:$W$139,Curves!$BB$19:$BV$19)+SUMPRODUCT(React!$C$140:$W$140,Curves!$BB$42:$BV$42)+SUMPRODUCT(React!$C$141:$W$141,Curves!$BB$65:$BV$65)</f>
        <v/>
      </c>
      <c r="X142" s="5">
        <f>SUMPRODUCT(React!$C$139:$X$139,Curves!$BA$19:$BV$19)+SUMPRODUCT(React!$C$140:$X$140,Curves!$BA$42:$BV$42)+SUMPRODUCT(React!$C$141:$X$141,Curves!$BA$65:$BV$65)</f>
        <v/>
      </c>
      <c r="Y142" s="5">
        <f>SUMPRODUCT(React!$C$139:$Y$139,Curves!$AZ$19:$BV$19)+SUMPRODUCT(React!$C$140:$Y$140,Curves!$AZ$42:$BV$42)+SUMPRODUCT(React!$C$141:$Y$141,Curves!$AZ$65:$BV$65)</f>
        <v/>
      </c>
      <c r="Z142" s="5">
        <f>SUMPRODUCT(React!$C$139:$Z$139,Curves!$AY$19:$BV$19)+SUMPRODUCT(React!$C$140:$Z$140,Curves!$AY$42:$BV$42)+SUMPRODUCT(React!$C$141:$Z$141,Curves!$AY$65:$BV$65)</f>
        <v/>
      </c>
      <c r="AA142" s="5">
        <f>SUMPRODUCT(React!$C$139:$AA$139,Curves!$AX$19:$BV$19)+SUMPRODUCT(React!$C$140:$AA$140,Curves!$AX$42:$BV$42)+SUMPRODUCT(React!$C$141:$AA$141,Curves!$AX$65:$BV$65)</f>
        <v/>
      </c>
      <c r="AB142" s="5">
        <f>SUMPRODUCT(React!$C$139:$AB$139,Curves!$AW$19:$BV$19)+SUMPRODUCT(React!$C$140:$AB$140,Curves!$AW$42:$BV$42)+SUMPRODUCT(React!$C$141:$AB$141,Curves!$AW$65:$BV$65)</f>
        <v/>
      </c>
      <c r="AC142" s="5">
        <f>SUMPRODUCT(React!$C$139:$AC$139,Curves!$AV$19:$BV$19)+SUMPRODUCT(React!$C$140:$AC$140,Curves!$AV$42:$BV$42)+SUMPRODUCT(React!$C$141:$AC$141,Curves!$AV$65:$BV$65)</f>
        <v/>
      </c>
      <c r="AD142" s="5">
        <f>SUMPRODUCT(React!$C$139:$AD$139,Curves!$AU$19:$BV$19)+SUMPRODUCT(React!$C$140:$AD$140,Curves!$AU$42:$BV$42)+SUMPRODUCT(React!$C$141:$AD$141,Curves!$AU$65:$BV$65)</f>
        <v/>
      </c>
      <c r="AE142" s="5">
        <f>SUMPRODUCT(React!$C$139:$AE$139,Curves!$AT$19:$BV$19)+SUMPRODUCT(React!$C$140:$AE$140,Curves!$AT$42:$BV$42)+SUMPRODUCT(React!$C$141:$AE$141,Curves!$AT$65:$BV$65)</f>
        <v/>
      </c>
      <c r="AF142" s="5">
        <f>SUMPRODUCT(React!$C$139:$AF$139,Curves!$AS$19:$BV$19)+SUMPRODUCT(React!$C$140:$AF$140,Curves!$AS$42:$BV$42)+SUMPRODUCT(React!$C$141:$AF$141,Curves!$AS$65:$BV$65)</f>
        <v/>
      </c>
      <c r="AG142" s="5">
        <f>SUMPRODUCT(React!$C$139:$AG$139,Curves!$AR$19:$BV$19)+SUMPRODUCT(React!$C$140:$AG$140,Curves!$AR$42:$BV$42)+SUMPRODUCT(React!$C$141:$AG$141,Curves!$AR$65:$BV$65)</f>
        <v/>
      </c>
      <c r="AH142" s="5">
        <f>SUMPRODUCT(React!$C$139:$AH$139,Curves!$AQ$19:$BV$19)+SUMPRODUCT(React!$C$140:$AH$140,Curves!$AQ$42:$BV$42)+SUMPRODUCT(React!$C$141:$AH$141,Curves!$AQ$65:$BV$65)</f>
        <v/>
      </c>
      <c r="AI142" s="5">
        <f>SUMPRODUCT(React!$C$139:$AI$139,Curves!$AP$19:$BV$19)+SUMPRODUCT(React!$C$140:$AI$140,Curves!$AP$42:$BV$42)+SUMPRODUCT(React!$C$141:$AI$141,Curves!$AP$65:$BV$65)</f>
        <v/>
      </c>
      <c r="AJ142" s="5">
        <f>SUMPRODUCT(React!$C$139:$AJ$139,Curves!$AO$19:$BV$19)+SUMPRODUCT(React!$C$140:$AJ$140,Curves!$AO$42:$BV$42)+SUMPRODUCT(React!$C$141:$AJ$141,Curves!$AO$65:$BV$65)</f>
        <v/>
      </c>
      <c r="AK142" s="5">
        <f>SUMPRODUCT(React!$C$139:$AK$139,Curves!$AN$19:$BV$19)+SUMPRODUCT(React!$C$140:$AK$140,Curves!$AN$42:$BV$42)+SUMPRODUCT(React!$C$141:$AK$141,Curves!$AN$65:$BV$65)</f>
        <v/>
      </c>
      <c r="AL142" s="5">
        <f>SUMPRODUCT(React!$C$139:$AL$139,Curves!$AM$19:$BV$19)+SUMPRODUCT(React!$C$140:$AL$140,Curves!$AM$42:$BV$42)+SUMPRODUCT(React!$C$141:$AL$141,Curves!$AM$65:$BV$65)</f>
        <v/>
      </c>
      <c r="AM142" s="5">
        <f>SUMPRODUCT(React!$C$139:$AM$139,Curves!$AL$19:$BV$19)+SUMPRODUCT(React!$C$140:$AM$140,Curves!$AL$42:$BV$42)+SUMPRODUCT(React!$C$141:$AM$141,Curves!$AL$65:$BV$65)</f>
        <v/>
      </c>
      <c r="AN142" s="5">
        <f>SUMPRODUCT(React!$C$139:$AN$139,Curves!$AK$19:$BV$19)+SUMPRODUCT(React!$C$140:$AN$140,Curves!$AK$42:$BV$42)+SUMPRODUCT(React!$C$141:$AN$141,Curves!$AK$65:$BV$65)</f>
        <v/>
      </c>
      <c r="AO142" s="5">
        <f>SUMPRODUCT(React!$C$139:$AO$139,Curves!$AJ$19:$BV$19)+SUMPRODUCT(React!$C$140:$AO$140,Curves!$AJ$42:$BV$42)+SUMPRODUCT(React!$C$141:$AO$141,Curves!$AJ$65:$BV$65)</f>
        <v/>
      </c>
      <c r="AP142" s="5">
        <f>SUMPRODUCT(React!$C$139:$AP$139,Curves!$AI$19:$BV$19)+SUMPRODUCT(React!$C$140:$AP$140,Curves!$AI$42:$BV$42)+SUMPRODUCT(React!$C$141:$AP$141,Curves!$AI$65:$BV$65)</f>
        <v/>
      </c>
      <c r="AQ142" s="5">
        <f>SUMPRODUCT(React!$C$139:$AQ$139,Curves!$AH$19:$BV$19)+SUMPRODUCT(React!$C$140:$AQ$140,Curves!$AH$42:$BV$42)+SUMPRODUCT(React!$C$141:$AQ$141,Curves!$AH$65:$BV$65)</f>
        <v/>
      </c>
      <c r="AR142" s="5">
        <f>SUMPRODUCT(React!$C$139:$AR$139,Curves!$AG$19:$BV$19)+SUMPRODUCT(React!$C$140:$AR$140,Curves!$AG$42:$BV$42)+SUMPRODUCT(React!$C$141:$AR$141,Curves!$AG$65:$BV$65)</f>
        <v/>
      </c>
      <c r="AS142" s="5">
        <f>SUMPRODUCT(React!$C$139:$AS$139,Curves!$AF$19:$BV$19)+SUMPRODUCT(React!$C$140:$AS$140,Curves!$AF$42:$BV$42)+SUMPRODUCT(React!$C$141:$AS$141,Curves!$AF$65:$BV$65)</f>
        <v/>
      </c>
      <c r="AT142" s="5">
        <f>SUMPRODUCT(React!$C$139:$AT$139,Curves!$AE$19:$BV$19)+SUMPRODUCT(React!$C$140:$AT$140,Curves!$AE$42:$BV$42)+SUMPRODUCT(React!$C$141:$AT$141,Curves!$AE$65:$BV$65)</f>
        <v/>
      </c>
      <c r="AU142" s="5">
        <f>SUMPRODUCT(React!$C$139:$AU$139,Curves!$AD$19:$BV$19)+SUMPRODUCT(React!$C$140:$AU$140,Curves!$AD$42:$BV$42)+SUMPRODUCT(React!$C$141:$AU$141,Curves!$AD$65:$BV$65)</f>
        <v/>
      </c>
      <c r="AV142" s="5">
        <f>SUMPRODUCT(React!$C$139:$AV$139,Curves!$AC$19:$BV$19)+SUMPRODUCT(React!$C$140:$AV$140,Curves!$AC$42:$BV$42)+SUMPRODUCT(React!$C$141:$AV$141,Curves!$AC$65:$BV$65)</f>
        <v/>
      </c>
      <c r="AW142" s="5">
        <f>SUMPRODUCT(React!$C$139:$AW$139,Curves!$AB$19:$BV$19)+SUMPRODUCT(React!$C$140:$AW$140,Curves!$AB$42:$BV$42)+SUMPRODUCT(React!$C$141:$AW$141,Curves!$AB$65:$BV$65)</f>
        <v/>
      </c>
      <c r="AX142" s="5">
        <f>SUMPRODUCT(React!$C$139:$AX$139,Curves!$AA$19:$BV$19)+SUMPRODUCT(React!$C$140:$AX$140,Curves!$AA$42:$BV$42)+SUMPRODUCT(React!$C$141:$AX$141,Curves!$AA$65:$BV$65)</f>
        <v/>
      </c>
      <c r="AY142" s="5">
        <f>SUMPRODUCT(React!$C$139:$AY$139,Curves!$Z$19:$BV$19)+SUMPRODUCT(React!$C$140:$AY$140,Curves!$Z$42:$BV$42)+SUMPRODUCT(React!$C$141:$AY$141,Curves!$Z$65:$BV$65)</f>
        <v/>
      </c>
      <c r="AZ142" s="5">
        <f>SUMPRODUCT(React!$C$139:$AZ$139,Curves!$Y$19:$BV$19)+SUMPRODUCT(React!$C$140:$AZ$140,Curves!$Y$42:$BV$42)+SUMPRODUCT(React!$C$141:$AZ$141,Curves!$Y$65:$BV$65)</f>
        <v/>
      </c>
      <c r="BA142" s="5">
        <f>SUMPRODUCT(React!$C$139:$BA$139,Curves!$X$19:$BV$19)+SUMPRODUCT(React!$C$140:$BA$140,Curves!$X$42:$BV$42)+SUMPRODUCT(React!$C$141:$BA$141,Curves!$X$65:$BV$65)</f>
        <v/>
      </c>
      <c r="BB142" s="5">
        <f>SUMPRODUCT(React!$C$139:$BB$139,Curves!$W$19:$BV$19)+SUMPRODUCT(React!$C$140:$BB$140,Curves!$W$42:$BV$42)+SUMPRODUCT(React!$C$141:$BB$141,Curves!$W$65:$BV$65)</f>
        <v/>
      </c>
      <c r="BC142" s="5">
        <f>SUMPRODUCT(React!$C$139:$BC$139,Curves!$V$19:$BV$19)+SUMPRODUCT(React!$C$140:$BC$140,Curves!$V$42:$BV$42)+SUMPRODUCT(React!$C$141:$BC$141,Curves!$V$65:$BV$65)</f>
        <v/>
      </c>
      <c r="BD142" s="5">
        <f>SUMPRODUCT(React!$C$139:$BD$139,Curves!$U$19:$BV$19)+SUMPRODUCT(React!$C$140:$BD$140,Curves!$U$42:$BV$42)+SUMPRODUCT(React!$C$141:$BD$141,Curves!$U$65:$BV$65)</f>
        <v/>
      </c>
      <c r="BE142" s="5">
        <f>SUMPRODUCT(React!$C$139:$BE$139,Curves!$T$19:$BV$19)+SUMPRODUCT(React!$C$140:$BE$140,Curves!$T$42:$BV$42)+SUMPRODUCT(React!$C$141:$BE$141,Curves!$T$65:$BV$65)</f>
        <v/>
      </c>
      <c r="BF142" s="5">
        <f>SUMPRODUCT(React!$C$139:$BF$139,Curves!$S$19:$BV$19)+SUMPRODUCT(React!$C$140:$BF$140,Curves!$S$42:$BV$42)+SUMPRODUCT(React!$C$141:$BF$141,Curves!$S$65:$BV$65)</f>
        <v/>
      </c>
      <c r="BG142" s="5">
        <f>SUMPRODUCT(React!$C$139:$BG$139,Curves!$R$19:$BV$19)+SUMPRODUCT(React!$C$140:$BG$140,Curves!$R$42:$BV$42)+SUMPRODUCT(React!$C$141:$BG$141,Curves!$R$65:$BV$65)</f>
        <v/>
      </c>
      <c r="BH142" s="5">
        <f>SUMPRODUCT(React!$C$139:$BH$139,Curves!$Q$19:$BV$19)+SUMPRODUCT(React!$C$140:$BH$140,Curves!$Q$42:$BV$42)+SUMPRODUCT(React!$C$141:$BH$141,Curves!$Q$65:$BV$65)</f>
        <v/>
      </c>
      <c r="BI142" s="5">
        <f>SUMPRODUCT(React!$C$139:$BI$139,Curves!$P$19:$BV$19)+SUMPRODUCT(React!$C$140:$BI$140,Curves!$P$42:$BV$42)+SUMPRODUCT(React!$C$141:$BI$141,Curves!$P$65:$BV$65)</f>
        <v/>
      </c>
      <c r="BJ142" s="5">
        <f>SUMPRODUCT(React!$C$139:$BJ$139,Curves!$O$19:$BV$19)+SUMPRODUCT(React!$C$140:$BJ$140,Curves!$O$42:$BV$42)+SUMPRODUCT(React!$C$141:$BJ$141,Curves!$O$65:$BV$65)</f>
        <v/>
      </c>
      <c r="BK142" s="5">
        <f>SUMPRODUCT(React!$C$139:$BK$139,Curves!$N$19:$BV$19)+SUMPRODUCT(React!$C$140:$BK$140,Curves!$N$42:$BV$42)+SUMPRODUCT(React!$C$141:$BK$141,Curves!$N$65:$BV$65)</f>
        <v/>
      </c>
      <c r="BL142" s="5">
        <f>SUMPRODUCT(React!$C$139:$BL$139,Curves!$M$19:$BV$19)+SUMPRODUCT(React!$C$140:$BL$140,Curves!$M$42:$BV$42)+SUMPRODUCT(React!$C$141:$BL$141,Curves!$M$65:$BV$65)</f>
        <v/>
      </c>
      <c r="BM142" s="5">
        <f>SUMPRODUCT(React!$C$139:$BM$139,Curves!$L$19:$BV$19)+SUMPRODUCT(React!$C$140:$BM$140,Curves!$L$42:$BV$42)+SUMPRODUCT(React!$C$141:$BM$141,Curves!$L$65:$BV$65)</f>
        <v/>
      </c>
      <c r="BN142" s="5">
        <f>SUMPRODUCT(React!$C$139:$BN$139,Curves!$K$19:$BV$19)+SUMPRODUCT(React!$C$140:$BN$140,Curves!$K$42:$BV$42)+SUMPRODUCT(React!$C$141:$BN$141,Curves!$K$65:$BV$65)</f>
        <v/>
      </c>
      <c r="BO142" s="5">
        <f>SUMPRODUCT(React!$C$139:$BO$139,Curves!$J$19:$BV$19)+SUMPRODUCT(React!$C$140:$BO$140,Curves!$J$42:$BV$42)+SUMPRODUCT(React!$C$141:$BO$141,Curves!$J$65:$BV$65)</f>
        <v/>
      </c>
      <c r="BP142" s="5">
        <f>SUMPRODUCT(React!$C$139:$BP$139,Curves!$I$19:$BV$19)+SUMPRODUCT(React!$C$140:$BP$140,Curves!$I$42:$BV$42)+SUMPRODUCT(React!$C$141:$BP$141,Curves!$I$65:$BV$65)</f>
        <v/>
      </c>
      <c r="BQ142" s="5">
        <f>SUMPRODUCT(React!$C$139:$BQ$139,Curves!$H$19:$BV$19)+SUMPRODUCT(React!$C$140:$BQ$140,Curves!$H$42:$BV$42)+SUMPRODUCT(React!$C$141:$BQ$141,Curves!$H$65:$BV$65)</f>
        <v/>
      </c>
      <c r="BR142" s="5">
        <f>SUMPRODUCT(React!$C$139:$BR$139,Curves!$G$19:$BV$19)+SUMPRODUCT(React!$C$140:$BR$140,Curves!$G$42:$BV$42)+SUMPRODUCT(React!$C$141:$BR$141,Curves!$G$65:$BV$65)</f>
        <v/>
      </c>
      <c r="BS142" s="5">
        <f>SUMPRODUCT(React!$C$139:$BS$139,Curves!$F$19:$BV$19)+SUMPRODUCT(React!$C$140:$BS$140,Curves!$F$42:$BV$42)+SUMPRODUCT(React!$C$141:$BS$141,Curves!$F$65:$BV$65)</f>
        <v/>
      </c>
      <c r="BT142" s="5">
        <f>SUMPRODUCT(React!$C$139:$BT$139,Curves!$E$19:$BV$19)+SUMPRODUCT(React!$C$140:$BT$140,Curves!$E$42:$BV$42)+SUMPRODUCT(React!$C$141:$BT$141,Curves!$E$65:$BV$65)</f>
        <v/>
      </c>
      <c r="BU142" s="5">
        <f>SUMPRODUCT(React!$C$139:$BU$139,Curves!$D$19:$BV$19)+SUMPRODUCT(React!$C$140:$BU$140,Curves!$D$42:$BV$42)+SUMPRODUCT(React!$C$141:$BU$141,Curves!$D$65:$BV$65)</f>
        <v/>
      </c>
      <c r="BV142" s="5">
        <f>SUMPRODUCT(React!$C$139:$BV$139,Curves!$C$19:$BV$19)+SUMPRODUCT(React!$C$140:$BV$140,Curves!$C$42:$BV$42)+SUMPRODUCT(React!$C$141:$BV$141,Curves!$C$65:$BV$65)</f>
        <v/>
      </c>
    </row>
    <row r="143">
      <c r="A143" t="inlineStr">
        <is>
          <t>active yr 1</t>
        </is>
      </c>
      <c r="B143" t="inlineStr">
        <is>
          <t>LATAM|BASIC_M</t>
        </is>
      </c>
      <c r="C143" s="5">
        <f>React!$C$139*Curves!$BV$24+React!$C$140*Curves!$BV$47+React!$C$141*Curves!$BV$70</f>
        <v/>
      </c>
      <c r="D143" s="5">
        <f>SUMPRODUCT(React!$C$139:$D$139,Curves!$BU$24:$BV$24)+SUMPRODUCT(React!$C$140:$D$140,Curves!$BU$47:$BV$47)+SUMPRODUCT(React!$C$141:$D$141,Curves!$BU$70:$BV$70)</f>
        <v/>
      </c>
      <c r="E143" s="5">
        <f>SUMPRODUCT(React!$C$139:$E$139,Curves!$BT$24:$BV$24)+SUMPRODUCT(React!$C$140:$E$140,Curves!$BT$47:$BV$47)+SUMPRODUCT(React!$C$141:$E$141,Curves!$BT$70:$BV$70)</f>
        <v/>
      </c>
      <c r="F143" s="5">
        <f>SUMPRODUCT(React!$C$139:$F$139,Curves!$BS$24:$BV$24)+SUMPRODUCT(React!$C$140:$F$140,Curves!$BS$47:$BV$47)+SUMPRODUCT(React!$C$141:$F$141,Curves!$BS$70:$BV$70)</f>
        <v/>
      </c>
      <c r="G143" s="5">
        <f>SUMPRODUCT(React!$C$139:$G$139,Curves!$BR$24:$BV$24)+SUMPRODUCT(React!$C$140:$G$140,Curves!$BR$47:$BV$47)+SUMPRODUCT(React!$C$141:$G$141,Curves!$BR$70:$BV$70)</f>
        <v/>
      </c>
      <c r="H143" s="5">
        <f>SUMPRODUCT(React!$C$139:$H$139,Curves!$BQ$24:$BV$24)+SUMPRODUCT(React!$C$140:$H$140,Curves!$BQ$47:$BV$47)+SUMPRODUCT(React!$C$141:$H$141,Curves!$BQ$70:$BV$70)</f>
        <v/>
      </c>
      <c r="I143" s="5">
        <f>SUMPRODUCT(React!$C$139:$I$139,Curves!$BP$24:$BV$24)+SUMPRODUCT(React!$C$140:$I$140,Curves!$BP$47:$BV$47)+SUMPRODUCT(React!$C$141:$I$141,Curves!$BP$70:$BV$70)</f>
        <v/>
      </c>
      <c r="J143" s="5">
        <f>SUMPRODUCT(React!$C$139:$J$139,Curves!$BO$24:$BV$24)+SUMPRODUCT(React!$C$140:$J$140,Curves!$BO$47:$BV$47)+SUMPRODUCT(React!$C$141:$J$141,Curves!$BO$70:$BV$70)</f>
        <v/>
      </c>
      <c r="K143" s="5">
        <f>SUMPRODUCT(React!$C$139:$K$139,Curves!$BN$24:$BV$24)+SUMPRODUCT(React!$C$140:$K$140,Curves!$BN$47:$BV$47)+SUMPRODUCT(React!$C$141:$K$141,Curves!$BN$70:$BV$70)</f>
        <v/>
      </c>
      <c r="L143" s="5">
        <f>SUMPRODUCT(React!$C$139:$L$139,Curves!$BM$24:$BV$24)+SUMPRODUCT(React!$C$140:$L$140,Curves!$BM$47:$BV$47)+SUMPRODUCT(React!$C$141:$L$141,Curves!$BM$70:$BV$70)</f>
        <v/>
      </c>
      <c r="M143" s="5">
        <f>SUMPRODUCT(React!$C$139:$M$139,Curves!$BL$24:$BV$24)+SUMPRODUCT(React!$C$140:$M$140,Curves!$BL$47:$BV$47)+SUMPRODUCT(React!$C$141:$M$141,Curves!$BL$70:$BV$70)</f>
        <v/>
      </c>
      <c r="N143" s="5">
        <f>SUMPRODUCT(React!$C$139:$N$139,Curves!$BK$24:$BV$24)+SUMPRODUCT(React!$C$140:$N$140,Curves!$BK$47:$BV$47)+SUMPRODUCT(React!$C$141:$N$141,Curves!$BK$70:$BV$70)</f>
        <v/>
      </c>
      <c r="O143" s="5">
        <f>SUMPRODUCT(React!$C$139:$O$139,Curves!$BJ$24:$BV$24)+SUMPRODUCT(React!$C$140:$O$140,Curves!$BJ$47:$BV$47)+SUMPRODUCT(React!$C$141:$O$141,Curves!$BJ$70:$BV$70)</f>
        <v/>
      </c>
      <c r="P143" s="5">
        <f>SUMPRODUCT(React!$C$139:$P$139,Curves!$BI$24:$BV$24)+SUMPRODUCT(React!$C$140:$P$140,Curves!$BI$47:$BV$47)+SUMPRODUCT(React!$C$141:$P$141,Curves!$BI$70:$BV$70)</f>
        <v/>
      </c>
      <c r="Q143" s="5">
        <f>SUMPRODUCT(React!$C$139:$Q$139,Curves!$BH$24:$BV$24)+SUMPRODUCT(React!$C$140:$Q$140,Curves!$BH$47:$BV$47)+SUMPRODUCT(React!$C$141:$Q$141,Curves!$BH$70:$BV$70)</f>
        <v/>
      </c>
      <c r="R143" s="5">
        <f>SUMPRODUCT(React!$C$139:$R$139,Curves!$BG$24:$BV$24)+SUMPRODUCT(React!$C$140:$R$140,Curves!$BG$47:$BV$47)+SUMPRODUCT(React!$C$141:$R$141,Curves!$BG$70:$BV$70)</f>
        <v/>
      </c>
      <c r="S143" s="5">
        <f>SUMPRODUCT(React!$C$139:$S$139,Curves!$BF$24:$BV$24)+SUMPRODUCT(React!$C$140:$S$140,Curves!$BF$47:$BV$47)+SUMPRODUCT(React!$C$141:$S$141,Curves!$BF$70:$BV$70)</f>
        <v/>
      </c>
      <c r="T143" s="5">
        <f>SUMPRODUCT(React!$C$139:$T$139,Curves!$BE$24:$BV$24)+SUMPRODUCT(React!$C$140:$T$140,Curves!$BE$47:$BV$47)+SUMPRODUCT(React!$C$141:$T$141,Curves!$BE$70:$BV$70)</f>
        <v/>
      </c>
      <c r="U143" s="5">
        <f>SUMPRODUCT(React!$C$139:$U$139,Curves!$BD$24:$BV$24)+SUMPRODUCT(React!$C$140:$U$140,Curves!$BD$47:$BV$47)+SUMPRODUCT(React!$C$141:$U$141,Curves!$BD$70:$BV$70)</f>
        <v/>
      </c>
      <c r="V143" s="5">
        <f>SUMPRODUCT(React!$C$139:$V$139,Curves!$BC$24:$BV$24)+SUMPRODUCT(React!$C$140:$V$140,Curves!$BC$47:$BV$47)+SUMPRODUCT(React!$C$141:$V$141,Curves!$BC$70:$BV$70)</f>
        <v/>
      </c>
      <c r="W143" s="5">
        <f>SUMPRODUCT(React!$C$139:$W$139,Curves!$BB$24:$BV$24)+SUMPRODUCT(React!$C$140:$W$140,Curves!$BB$47:$BV$47)+SUMPRODUCT(React!$C$141:$W$141,Curves!$BB$70:$BV$70)</f>
        <v/>
      </c>
      <c r="X143" s="5">
        <f>SUMPRODUCT(React!$C$139:$X$139,Curves!$BA$24:$BV$24)+SUMPRODUCT(React!$C$140:$X$140,Curves!$BA$47:$BV$47)+SUMPRODUCT(React!$C$141:$X$141,Curves!$BA$70:$BV$70)</f>
        <v/>
      </c>
      <c r="Y143" s="5">
        <f>SUMPRODUCT(React!$C$139:$Y$139,Curves!$AZ$24:$BV$24)+SUMPRODUCT(React!$C$140:$Y$140,Curves!$AZ$47:$BV$47)+SUMPRODUCT(React!$C$141:$Y$141,Curves!$AZ$70:$BV$70)</f>
        <v/>
      </c>
      <c r="Z143" s="5">
        <f>SUMPRODUCT(React!$C$139:$Z$139,Curves!$AY$24:$BV$24)+SUMPRODUCT(React!$C$140:$Z$140,Curves!$AY$47:$BV$47)+SUMPRODUCT(React!$C$141:$Z$141,Curves!$AY$70:$BV$70)</f>
        <v/>
      </c>
      <c r="AA143" s="5">
        <f>SUMPRODUCT(React!$C$139:$AA$139,Curves!$AX$24:$BV$24)+SUMPRODUCT(React!$C$140:$AA$140,Curves!$AX$47:$BV$47)+SUMPRODUCT(React!$C$141:$AA$141,Curves!$AX$70:$BV$70)</f>
        <v/>
      </c>
      <c r="AB143" s="5">
        <f>SUMPRODUCT(React!$C$139:$AB$139,Curves!$AW$24:$BV$24)+SUMPRODUCT(React!$C$140:$AB$140,Curves!$AW$47:$BV$47)+SUMPRODUCT(React!$C$141:$AB$141,Curves!$AW$70:$BV$70)</f>
        <v/>
      </c>
      <c r="AC143" s="5">
        <f>SUMPRODUCT(React!$C$139:$AC$139,Curves!$AV$24:$BV$24)+SUMPRODUCT(React!$C$140:$AC$140,Curves!$AV$47:$BV$47)+SUMPRODUCT(React!$C$141:$AC$141,Curves!$AV$70:$BV$70)</f>
        <v/>
      </c>
      <c r="AD143" s="5">
        <f>SUMPRODUCT(React!$C$139:$AD$139,Curves!$AU$24:$BV$24)+SUMPRODUCT(React!$C$140:$AD$140,Curves!$AU$47:$BV$47)+SUMPRODUCT(React!$C$141:$AD$141,Curves!$AU$70:$BV$70)</f>
        <v/>
      </c>
      <c r="AE143" s="5">
        <f>SUMPRODUCT(React!$C$139:$AE$139,Curves!$AT$24:$BV$24)+SUMPRODUCT(React!$C$140:$AE$140,Curves!$AT$47:$BV$47)+SUMPRODUCT(React!$C$141:$AE$141,Curves!$AT$70:$BV$70)</f>
        <v/>
      </c>
      <c r="AF143" s="5">
        <f>SUMPRODUCT(React!$C$139:$AF$139,Curves!$AS$24:$BV$24)+SUMPRODUCT(React!$C$140:$AF$140,Curves!$AS$47:$BV$47)+SUMPRODUCT(React!$C$141:$AF$141,Curves!$AS$70:$BV$70)</f>
        <v/>
      </c>
      <c r="AG143" s="5">
        <f>SUMPRODUCT(React!$C$139:$AG$139,Curves!$AR$24:$BV$24)+SUMPRODUCT(React!$C$140:$AG$140,Curves!$AR$47:$BV$47)+SUMPRODUCT(React!$C$141:$AG$141,Curves!$AR$70:$BV$70)</f>
        <v/>
      </c>
      <c r="AH143" s="5">
        <f>SUMPRODUCT(React!$C$139:$AH$139,Curves!$AQ$24:$BV$24)+SUMPRODUCT(React!$C$140:$AH$140,Curves!$AQ$47:$BV$47)+SUMPRODUCT(React!$C$141:$AH$141,Curves!$AQ$70:$BV$70)</f>
        <v/>
      </c>
      <c r="AI143" s="5">
        <f>SUMPRODUCT(React!$C$139:$AI$139,Curves!$AP$24:$BV$24)+SUMPRODUCT(React!$C$140:$AI$140,Curves!$AP$47:$BV$47)+SUMPRODUCT(React!$C$141:$AI$141,Curves!$AP$70:$BV$70)</f>
        <v/>
      </c>
      <c r="AJ143" s="5">
        <f>SUMPRODUCT(React!$C$139:$AJ$139,Curves!$AO$24:$BV$24)+SUMPRODUCT(React!$C$140:$AJ$140,Curves!$AO$47:$BV$47)+SUMPRODUCT(React!$C$141:$AJ$141,Curves!$AO$70:$BV$70)</f>
        <v/>
      </c>
      <c r="AK143" s="5">
        <f>SUMPRODUCT(React!$C$139:$AK$139,Curves!$AN$24:$BV$24)+SUMPRODUCT(React!$C$140:$AK$140,Curves!$AN$47:$BV$47)+SUMPRODUCT(React!$C$141:$AK$141,Curves!$AN$70:$BV$70)</f>
        <v/>
      </c>
      <c r="AL143" s="5">
        <f>SUMPRODUCT(React!$C$139:$AL$139,Curves!$AM$24:$BV$24)+SUMPRODUCT(React!$C$140:$AL$140,Curves!$AM$47:$BV$47)+SUMPRODUCT(React!$C$141:$AL$141,Curves!$AM$70:$BV$70)</f>
        <v/>
      </c>
      <c r="AM143" s="5">
        <f>SUMPRODUCT(React!$C$139:$AM$139,Curves!$AL$24:$BV$24)+SUMPRODUCT(React!$C$140:$AM$140,Curves!$AL$47:$BV$47)+SUMPRODUCT(React!$C$141:$AM$141,Curves!$AL$70:$BV$70)</f>
        <v/>
      </c>
      <c r="AN143" s="5">
        <f>SUMPRODUCT(React!$C$139:$AN$139,Curves!$AK$24:$BV$24)+SUMPRODUCT(React!$C$140:$AN$140,Curves!$AK$47:$BV$47)+SUMPRODUCT(React!$C$141:$AN$141,Curves!$AK$70:$BV$70)</f>
        <v/>
      </c>
      <c r="AO143" s="5">
        <f>SUMPRODUCT(React!$C$139:$AO$139,Curves!$AJ$24:$BV$24)+SUMPRODUCT(React!$C$140:$AO$140,Curves!$AJ$47:$BV$47)+SUMPRODUCT(React!$C$141:$AO$141,Curves!$AJ$70:$BV$70)</f>
        <v/>
      </c>
      <c r="AP143" s="5">
        <f>SUMPRODUCT(React!$C$139:$AP$139,Curves!$AI$24:$BV$24)+SUMPRODUCT(React!$C$140:$AP$140,Curves!$AI$47:$BV$47)+SUMPRODUCT(React!$C$141:$AP$141,Curves!$AI$70:$BV$70)</f>
        <v/>
      </c>
      <c r="AQ143" s="5">
        <f>SUMPRODUCT(React!$C$139:$AQ$139,Curves!$AH$24:$BV$24)+SUMPRODUCT(React!$C$140:$AQ$140,Curves!$AH$47:$BV$47)+SUMPRODUCT(React!$C$141:$AQ$141,Curves!$AH$70:$BV$70)</f>
        <v/>
      </c>
      <c r="AR143" s="5">
        <f>SUMPRODUCT(React!$C$139:$AR$139,Curves!$AG$24:$BV$24)+SUMPRODUCT(React!$C$140:$AR$140,Curves!$AG$47:$BV$47)+SUMPRODUCT(React!$C$141:$AR$141,Curves!$AG$70:$BV$70)</f>
        <v/>
      </c>
      <c r="AS143" s="5">
        <f>SUMPRODUCT(React!$C$139:$AS$139,Curves!$AF$24:$BV$24)+SUMPRODUCT(React!$C$140:$AS$140,Curves!$AF$47:$BV$47)+SUMPRODUCT(React!$C$141:$AS$141,Curves!$AF$70:$BV$70)</f>
        <v/>
      </c>
      <c r="AT143" s="5">
        <f>SUMPRODUCT(React!$C$139:$AT$139,Curves!$AE$24:$BV$24)+SUMPRODUCT(React!$C$140:$AT$140,Curves!$AE$47:$BV$47)+SUMPRODUCT(React!$C$141:$AT$141,Curves!$AE$70:$BV$70)</f>
        <v/>
      </c>
      <c r="AU143" s="5">
        <f>SUMPRODUCT(React!$C$139:$AU$139,Curves!$AD$24:$BV$24)+SUMPRODUCT(React!$C$140:$AU$140,Curves!$AD$47:$BV$47)+SUMPRODUCT(React!$C$141:$AU$141,Curves!$AD$70:$BV$70)</f>
        <v/>
      </c>
      <c r="AV143" s="5">
        <f>SUMPRODUCT(React!$C$139:$AV$139,Curves!$AC$24:$BV$24)+SUMPRODUCT(React!$C$140:$AV$140,Curves!$AC$47:$BV$47)+SUMPRODUCT(React!$C$141:$AV$141,Curves!$AC$70:$BV$70)</f>
        <v/>
      </c>
      <c r="AW143" s="5">
        <f>SUMPRODUCT(React!$C$139:$AW$139,Curves!$AB$24:$BV$24)+SUMPRODUCT(React!$C$140:$AW$140,Curves!$AB$47:$BV$47)+SUMPRODUCT(React!$C$141:$AW$141,Curves!$AB$70:$BV$70)</f>
        <v/>
      </c>
      <c r="AX143" s="5">
        <f>SUMPRODUCT(React!$C$139:$AX$139,Curves!$AA$24:$BV$24)+SUMPRODUCT(React!$C$140:$AX$140,Curves!$AA$47:$BV$47)+SUMPRODUCT(React!$C$141:$AX$141,Curves!$AA$70:$BV$70)</f>
        <v/>
      </c>
      <c r="AY143" s="5">
        <f>SUMPRODUCT(React!$C$139:$AY$139,Curves!$Z$24:$BV$24)+SUMPRODUCT(React!$C$140:$AY$140,Curves!$Z$47:$BV$47)+SUMPRODUCT(React!$C$141:$AY$141,Curves!$Z$70:$BV$70)</f>
        <v/>
      </c>
      <c r="AZ143" s="5">
        <f>SUMPRODUCT(React!$C$139:$AZ$139,Curves!$Y$24:$BV$24)+SUMPRODUCT(React!$C$140:$AZ$140,Curves!$Y$47:$BV$47)+SUMPRODUCT(React!$C$141:$AZ$141,Curves!$Y$70:$BV$70)</f>
        <v/>
      </c>
      <c r="BA143" s="5">
        <f>SUMPRODUCT(React!$C$139:$BA$139,Curves!$X$24:$BV$24)+SUMPRODUCT(React!$C$140:$BA$140,Curves!$X$47:$BV$47)+SUMPRODUCT(React!$C$141:$BA$141,Curves!$X$70:$BV$70)</f>
        <v/>
      </c>
      <c r="BB143" s="5">
        <f>SUMPRODUCT(React!$C$139:$BB$139,Curves!$W$24:$BV$24)+SUMPRODUCT(React!$C$140:$BB$140,Curves!$W$47:$BV$47)+SUMPRODUCT(React!$C$141:$BB$141,Curves!$W$70:$BV$70)</f>
        <v/>
      </c>
      <c r="BC143" s="5">
        <f>SUMPRODUCT(React!$C$139:$BC$139,Curves!$V$24:$BV$24)+SUMPRODUCT(React!$C$140:$BC$140,Curves!$V$47:$BV$47)+SUMPRODUCT(React!$C$141:$BC$141,Curves!$V$70:$BV$70)</f>
        <v/>
      </c>
      <c r="BD143" s="5">
        <f>SUMPRODUCT(React!$C$139:$BD$139,Curves!$U$24:$BV$24)+SUMPRODUCT(React!$C$140:$BD$140,Curves!$U$47:$BV$47)+SUMPRODUCT(React!$C$141:$BD$141,Curves!$U$70:$BV$70)</f>
        <v/>
      </c>
      <c r="BE143" s="5">
        <f>SUMPRODUCT(React!$C$139:$BE$139,Curves!$T$24:$BV$24)+SUMPRODUCT(React!$C$140:$BE$140,Curves!$T$47:$BV$47)+SUMPRODUCT(React!$C$141:$BE$141,Curves!$T$70:$BV$70)</f>
        <v/>
      </c>
      <c r="BF143" s="5">
        <f>SUMPRODUCT(React!$C$139:$BF$139,Curves!$S$24:$BV$24)+SUMPRODUCT(React!$C$140:$BF$140,Curves!$S$47:$BV$47)+SUMPRODUCT(React!$C$141:$BF$141,Curves!$S$70:$BV$70)</f>
        <v/>
      </c>
      <c r="BG143" s="5">
        <f>SUMPRODUCT(React!$C$139:$BG$139,Curves!$R$24:$BV$24)+SUMPRODUCT(React!$C$140:$BG$140,Curves!$R$47:$BV$47)+SUMPRODUCT(React!$C$141:$BG$141,Curves!$R$70:$BV$70)</f>
        <v/>
      </c>
      <c r="BH143" s="5">
        <f>SUMPRODUCT(React!$C$139:$BH$139,Curves!$Q$24:$BV$24)+SUMPRODUCT(React!$C$140:$BH$140,Curves!$Q$47:$BV$47)+SUMPRODUCT(React!$C$141:$BH$141,Curves!$Q$70:$BV$70)</f>
        <v/>
      </c>
      <c r="BI143" s="5">
        <f>SUMPRODUCT(React!$C$139:$BI$139,Curves!$P$24:$BV$24)+SUMPRODUCT(React!$C$140:$BI$140,Curves!$P$47:$BV$47)+SUMPRODUCT(React!$C$141:$BI$141,Curves!$P$70:$BV$70)</f>
        <v/>
      </c>
      <c r="BJ143" s="5">
        <f>SUMPRODUCT(React!$C$139:$BJ$139,Curves!$O$24:$BV$24)+SUMPRODUCT(React!$C$140:$BJ$140,Curves!$O$47:$BV$47)+SUMPRODUCT(React!$C$141:$BJ$141,Curves!$O$70:$BV$70)</f>
        <v/>
      </c>
      <c r="BK143" s="5">
        <f>SUMPRODUCT(React!$C$139:$BK$139,Curves!$N$24:$BV$24)+SUMPRODUCT(React!$C$140:$BK$140,Curves!$N$47:$BV$47)+SUMPRODUCT(React!$C$141:$BK$141,Curves!$N$70:$BV$70)</f>
        <v/>
      </c>
      <c r="BL143" s="5">
        <f>SUMPRODUCT(React!$C$139:$BL$139,Curves!$M$24:$BV$24)+SUMPRODUCT(React!$C$140:$BL$140,Curves!$M$47:$BV$47)+SUMPRODUCT(React!$C$141:$BL$141,Curves!$M$70:$BV$70)</f>
        <v/>
      </c>
      <c r="BM143" s="5">
        <f>SUMPRODUCT(React!$C$139:$BM$139,Curves!$L$24:$BV$24)+SUMPRODUCT(React!$C$140:$BM$140,Curves!$L$47:$BV$47)+SUMPRODUCT(React!$C$141:$BM$141,Curves!$L$70:$BV$70)</f>
        <v/>
      </c>
      <c r="BN143" s="5">
        <f>SUMPRODUCT(React!$C$139:$BN$139,Curves!$K$24:$BV$24)+SUMPRODUCT(React!$C$140:$BN$140,Curves!$K$47:$BV$47)+SUMPRODUCT(React!$C$141:$BN$141,Curves!$K$70:$BV$70)</f>
        <v/>
      </c>
      <c r="BO143" s="5">
        <f>SUMPRODUCT(React!$C$139:$BO$139,Curves!$J$24:$BV$24)+SUMPRODUCT(React!$C$140:$BO$140,Curves!$J$47:$BV$47)+SUMPRODUCT(React!$C$141:$BO$141,Curves!$J$70:$BV$70)</f>
        <v/>
      </c>
      <c r="BP143" s="5">
        <f>SUMPRODUCT(React!$C$139:$BP$139,Curves!$I$24:$BV$24)+SUMPRODUCT(React!$C$140:$BP$140,Curves!$I$47:$BV$47)+SUMPRODUCT(React!$C$141:$BP$141,Curves!$I$70:$BV$70)</f>
        <v/>
      </c>
      <c r="BQ143" s="5">
        <f>SUMPRODUCT(React!$C$139:$BQ$139,Curves!$H$24:$BV$24)+SUMPRODUCT(React!$C$140:$BQ$140,Curves!$H$47:$BV$47)+SUMPRODUCT(React!$C$141:$BQ$141,Curves!$H$70:$BV$70)</f>
        <v/>
      </c>
      <c r="BR143" s="5">
        <f>SUMPRODUCT(React!$C$139:$BR$139,Curves!$G$24:$BV$24)+SUMPRODUCT(React!$C$140:$BR$140,Curves!$G$47:$BV$47)+SUMPRODUCT(React!$C$141:$BR$141,Curves!$G$70:$BV$70)</f>
        <v/>
      </c>
      <c r="BS143" s="5">
        <f>SUMPRODUCT(React!$C$139:$BS$139,Curves!$F$24:$BV$24)+SUMPRODUCT(React!$C$140:$BS$140,Curves!$F$47:$BV$47)+SUMPRODUCT(React!$C$141:$BS$141,Curves!$F$70:$BV$70)</f>
        <v/>
      </c>
      <c r="BT143" s="5">
        <f>SUMPRODUCT(React!$C$139:$BT$139,Curves!$E$24:$BV$24)+SUMPRODUCT(React!$C$140:$BT$140,Curves!$E$47:$BV$47)+SUMPRODUCT(React!$C$141:$BT$141,Curves!$E$70:$BV$70)</f>
        <v/>
      </c>
      <c r="BU143" s="5">
        <f>SUMPRODUCT(React!$C$139:$BU$139,Curves!$D$24:$BV$24)+SUMPRODUCT(React!$C$140:$BU$140,Curves!$D$47:$BV$47)+SUMPRODUCT(React!$C$141:$BU$141,Curves!$D$70:$BV$70)</f>
        <v/>
      </c>
      <c r="BV143" s="5">
        <f>SUMPRODUCT(React!$C$139:$BV$139,Curves!$C$24:$BV$24)+SUMPRODUCT(React!$C$140:$BV$140,Curves!$C$47:$BV$47)+SUMPRODUCT(React!$C$141:$BV$141,Curves!$C$70:$BV$70)</f>
        <v/>
      </c>
    </row>
    <row r="144">
      <c r="A144" t="inlineStr">
        <is>
          <t>churned</t>
        </is>
      </c>
      <c r="B144" t="inlineStr">
        <is>
          <t>LATAM|BASIC_M</t>
        </is>
      </c>
      <c r="C144" s="5">
        <f>React!$C$139*Curves!$BV$20+React!$C$140*Curves!$BV$43+React!$C$141*Curves!$BV$66</f>
        <v/>
      </c>
      <c r="D144" s="5">
        <f>SUMPRODUCT(React!$C$139:$D$139,Curves!$BU$20:$BV$20)+SUMPRODUCT(React!$C$140:$D$140,Curves!$BU$43:$BV$43)+SUMPRODUCT(React!$C$141:$D$141,Curves!$BU$66:$BV$66)</f>
        <v/>
      </c>
      <c r="E144" s="5">
        <f>SUMPRODUCT(React!$C$139:$E$139,Curves!$BT$20:$BV$20)+SUMPRODUCT(React!$C$140:$E$140,Curves!$BT$43:$BV$43)+SUMPRODUCT(React!$C$141:$E$141,Curves!$BT$66:$BV$66)</f>
        <v/>
      </c>
      <c r="F144" s="5">
        <f>SUMPRODUCT(React!$C$139:$F$139,Curves!$BS$20:$BV$20)+SUMPRODUCT(React!$C$140:$F$140,Curves!$BS$43:$BV$43)+SUMPRODUCT(React!$C$141:$F$141,Curves!$BS$66:$BV$66)</f>
        <v/>
      </c>
      <c r="G144" s="5">
        <f>SUMPRODUCT(React!$C$139:$G$139,Curves!$BR$20:$BV$20)+SUMPRODUCT(React!$C$140:$G$140,Curves!$BR$43:$BV$43)+SUMPRODUCT(React!$C$141:$G$141,Curves!$BR$66:$BV$66)</f>
        <v/>
      </c>
      <c r="H144" s="5">
        <f>SUMPRODUCT(React!$C$139:$H$139,Curves!$BQ$20:$BV$20)+SUMPRODUCT(React!$C$140:$H$140,Curves!$BQ$43:$BV$43)+SUMPRODUCT(React!$C$141:$H$141,Curves!$BQ$66:$BV$66)</f>
        <v/>
      </c>
      <c r="I144" s="5">
        <f>SUMPRODUCT(React!$C$139:$I$139,Curves!$BP$20:$BV$20)+SUMPRODUCT(React!$C$140:$I$140,Curves!$BP$43:$BV$43)+SUMPRODUCT(React!$C$141:$I$141,Curves!$BP$66:$BV$66)</f>
        <v/>
      </c>
      <c r="J144" s="5">
        <f>SUMPRODUCT(React!$C$139:$J$139,Curves!$BO$20:$BV$20)+SUMPRODUCT(React!$C$140:$J$140,Curves!$BO$43:$BV$43)+SUMPRODUCT(React!$C$141:$J$141,Curves!$BO$66:$BV$66)</f>
        <v/>
      </c>
      <c r="K144" s="5">
        <f>SUMPRODUCT(React!$C$139:$K$139,Curves!$BN$20:$BV$20)+SUMPRODUCT(React!$C$140:$K$140,Curves!$BN$43:$BV$43)+SUMPRODUCT(React!$C$141:$K$141,Curves!$BN$66:$BV$66)</f>
        <v/>
      </c>
      <c r="L144" s="5">
        <f>SUMPRODUCT(React!$C$139:$L$139,Curves!$BM$20:$BV$20)+SUMPRODUCT(React!$C$140:$L$140,Curves!$BM$43:$BV$43)+SUMPRODUCT(React!$C$141:$L$141,Curves!$BM$66:$BV$66)</f>
        <v/>
      </c>
      <c r="M144" s="5">
        <f>SUMPRODUCT(React!$C$139:$M$139,Curves!$BL$20:$BV$20)+SUMPRODUCT(React!$C$140:$M$140,Curves!$BL$43:$BV$43)+SUMPRODUCT(React!$C$141:$M$141,Curves!$BL$66:$BV$66)</f>
        <v/>
      </c>
      <c r="N144" s="5">
        <f>SUMPRODUCT(React!$C$139:$N$139,Curves!$BK$20:$BV$20)+SUMPRODUCT(React!$C$140:$N$140,Curves!$BK$43:$BV$43)+SUMPRODUCT(React!$C$141:$N$141,Curves!$BK$66:$BV$66)</f>
        <v/>
      </c>
      <c r="O144" s="5">
        <f>SUMPRODUCT(React!$C$139:$O$139,Curves!$BJ$20:$BV$20)+SUMPRODUCT(React!$C$140:$O$140,Curves!$BJ$43:$BV$43)+SUMPRODUCT(React!$C$141:$O$141,Curves!$BJ$66:$BV$66)</f>
        <v/>
      </c>
      <c r="P144" s="5">
        <f>SUMPRODUCT(React!$C$139:$P$139,Curves!$BI$20:$BV$20)+SUMPRODUCT(React!$C$140:$P$140,Curves!$BI$43:$BV$43)+SUMPRODUCT(React!$C$141:$P$141,Curves!$BI$66:$BV$66)</f>
        <v/>
      </c>
      <c r="Q144" s="5">
        <f>SUMPRODUCT(React!$C$139:$Q$139,Curves!$BH$20:$BV$20)+SUMPRODUCT(React!$C$140:$Q$140,Curves!$BH$43:$BV$43)+SUMPRODUCT(React!$C$141:$Q$141,Curves!$BH$66:$BV$66)</f>
        <v/>
      </c>
      <c r="R144" s="5">
        <f>SUMPRODUCT(React!$C$139:$R$139,Curves!$BG$20:$BV$20)+SUMPRODUCT(React!$C$140:$R$140,Curves!$BG$43:$BV$43)+SUMPRODUCT(React!$C$141:$R$141,Curves!$BG$66:$BV$66)</f>
        <v/>
      </c>
      <c r="S144" s="5">
        <f>SUMPRODUCT(React!$C$139:$S$139,Curves!$BF$20:$BV$20)+SUMPRODUCT(React!$C$140:$S$140,Curves!$BF$43:$BV$43)+SUMPRODUCT(React!$C$141:$S$141,Curves!$BF$66:$BV$66)</f>
        <v/>
      </c>
      <c r="T144" s="5">
        <f>SUMPRODUCT(React!$C$139:$T$139,Curves!$BE$20:$BV$20)+SUMPRODUCT(React!$C$140:$T$140,Curves!$BE$43:$BV$43)+SUMPRODUCT(React!$C$141:$T$141,Curves!$BE$66:$BV$66)</f>
        <v/>
      </c>
      <c r="U144" s="5">
        <f>SUMPRODUCT(React!$C$139:$U$139,Curves!$BD$20:$BV$20)+SUMPRODUCT(React!$C$140:$U$140,Curves!$BD$43:$BV$43)+SUMPRODUCT(React!$C$141:$U$141,Curves!$BD$66:$BV$66)</f>
        <v/>
      </c>
      <c r="V144" s="5">
        <f>SUMPRODUCT(React!$C$139:$V$139,Curves!$BC$20:$BV$20)+SUMPRODUCT(React!$C$140:$V$140,Curves!$BC$43:$BV$43)+SUMPRODUCT(React!$C$141:$V$141,Curves!$BC$66:$BV$66)</f>
        <v/>
      </c>
      <c r="W144" s="5">
        <f>SUMPRODUCT(React!$C$139:$W$139,Curves!$BB$20:$BV$20)+SUMPRODUCT(React!$C$140:$W$140,Curves!$BB$43:$BV$43)+SUMPRODUCT(React!$C$141:$W$141,Curves!$BB$66:$BV$66)</f>
        <v/>
      </c>
      <c r="X144" s="5">
        <f>SUMPRODUCT(React!$C$139:$X$139,Curves!$BA$20:$BV$20)+SUMPRODUCT(React!$C$140:$X$140,Curves!$BA$43:$BV$43)+SUMPRODUCT(React!$C$141:$X$141,Curves!$BA$66:$BV$66)</f>
        <v/>
      </c>
      <c r="Y144" s="5">
        <f>SUMPRODUCT(React!$C$139:$Y$139,Curves!$AZ$20:$BV$20)+SUMPRODUCT(React!$C$140:$Y$140,Curves!$AZ$43:$BV$43)+SUMPRODUCT(React!$C$141:$Y$141,Curves!$AZ$66:$BV$66)</f>
        <v/>
      </c>
      <c r="Z144" s="5">
        <f>SUMPRODUCT(React!$C$139:$Z$139,Curves!$AY$20:$BV$20)+SUMPRODUCT(React!$C$140:$Z$140,Curves!$AY$43:$BV$43)+SUMPRODUCT(React!$C$141:$Z$141,Curves!$AY$66:$BV$66)</f>
        <v/>
      </c>
      <c r="AA144" s="5">
        <f>SUMPRODUCT(React!$C$139:$AA$139,Curves!$AX$20:$BV$20)+SUMPRODUCT(React!$C$140:$AA$140,Curves!$AX$43:$BV$43)+SUMPRODUCT(React!$C$141:$AA$141,Curves!$AX$66:$BV$66)</f>
        <v/>
      </c>
      <c r="AB144" s="5">
        <f>SUMPRODUCT(React!$C$139:$AB$139,Curves!$AW$20:$BV$20)+SUMPRODUCT(React!$C$140:$AB$140,Curves!$AW$43:$BV$43)+SUMPRODUCT(React!$C$141:$AB$141,Curves!$AW$66:$BV$66)</f>
        <v/>
      </c>
      <c r="AC144" s="5">
        <f>SUMPRODUCT(React!$C$139:$AC$139,Curves!$AV$20:$BV$20)+SUMPRODUCT(React!$C$140:$AC$140,Curves!$AV$43:$BV$43)+SUMPRODUCT(React!$C$141:$AC$141,Curves!$AV$66:$BV$66)</f>
        <v/>
      </c>
      <c r="AD144" s="5">
        <f>SUMPRODUCT(React!$C$139:$AD$139,Curves!$AU$20:$BV$20)+SUMPRODUCT(React!$C$140:$AD$140,Curves!$AU$43:$BV$43)+SUMPRODUCT(React!$C$141:$AD$141,Curves!$AU$66:$BV$66)</f>
        <v/>
      </c>
      <c r="AE144" s="5">
        <f>SUMPRODUCT(React!$C$139:$AE$139,Curves!$AT$20:$BV$20)+SUMPRODUCT(React!$C$140:$AE$140,Curves!$AT$43:$BV$43)+SUMPRODUCT(React!$C$141:$AE$141,Curves!$AT$66:$BV$66)</f>
        <v/>
      </c>
      <c r="AF144" s="5">
        <f>SUMPRODUCT(React!$C$139:$AF$139,Curves!$AS$20:$BV$20)+SUMPRODUCT(React!$C$140:$AF$140,Curves!$AS$43:$BV$43)+SUMPRODUCT(React!$C$141:$AF$141,Curves!$AS$66:$BV$66)</f>
        <v/>
      </c>
      <c r="AG144" s="5">
        <f>SUMPRODUCT(React!$C$139:$AG$139,Curves!$AR$20:$BV$20)+SUMPRODUCT(React!$C$140:$AG$140,Curves!$AR$43:$BV$43)+SUMPRODUCT(React!$C$141:$AG$141,Curves!$AR$66:$BV$66)</f>
        <v/>
      </c>
      <c r="AH144" s="5">
        <f>SUMPRODUCT(React!$C$139:$AH$139,Curves!$AQ$20:$BV$20)+SUMPRODUCT(React!$C$140:$AH$140,Curves!$AQ$43:$BV$43)+SUMPRODUCT(React!$C$141:$AH$141,Curves!$AQ$66:$BV$66)</f>
        <v/>
      </c>
      <c r="AI144" s="5">
        <f>SUMPRODUCT(React!$C$139:$AI$139,Curves!$AP$20:$BV$20)+SUMPRODUCT(React!$C$140:$AI$140,Curves!$AP$43:$BV$43)+SUMPRODUCT(React!$C$141:$AI$141,Curves!$AP$66:$BV$66)</f>
        <v/>
      </c>
      <c r="AJ144" s="5">
        <f>SUMPRODUCT(React!$C$139:$AJ$139,Curves!$AO$20:$BV$20)+SUMPRODUCT(React!$C$140:$AJ$140,Curves!$AO$43:$BV$43)+SUMPRODUCT(React!$C$141:$AJ$141,Curves!$AO$66:$BV$66)</f>
        <v/>
      </c>
      <c r="AK144" s="5">
        <f>SUMPRODUCT(React!$C$139:$AK$139,Curves!$AN$20:$BV$20)+SUMPRODUCT(React!$C$140:$AK$140,Curves!$AN$43:$BV$43)+SUMPRODUCT(React!$C$141:$AK$141,Curves!$AN$66:$BV$66)</f>
        <v/>
      </c>
      <c r="AL144" s="5">
        <f>SUMPRODUCT(React!$C$139:$AL$139,Curves!$AM$20:$BV$20)+SUMPRODUCT(React!$C$140:$AL$140,Curves!$AM$43:$BV$43)+SUMPRODUCT(React!$C$141:$AL$141,Curves!$AM$66:$BV$66)</f>
        <v/>
      </c>
      <c r="AM144" s="5">
        <f>SUMPRODUCT(React!$C$139:$AM$139,Curves!$AL$20:$BV$20)+SUMPRODUCT(React!$C$140:$AM$140,Curves!$AL$43:$BV$43)+SUMPRODUCT(React!$C$141:$AM$141,Curves!$AL$66:$BV$66)</f>
        <v/>
      </c>
      <c r="AN144" s="5">
        <f>SUMPRODUCT(React!$C$139:$AN$139,Curves!$AK$20:$BV$20)+SUMPRODUCT(React!$C$140:$AN$140,Curves!$AK$43:$BV$43)+SUMPRODUCT(React!$C$141:$AN$141,Curves!$AK$66:$BV$66)</f>
        <v/>
      </c>
      <c r="AO144" s="5">
        <f>SUMPRODUCT(React!$C$139:$AO$139,Curves!$AJ$20:$BV$20)+SUMPRODUCT(React!$C$140:$AO$140,Curves!$AJ$43:$BV$43)+SUMPRODUCT(React!$C$141:$AO$141,Curves!$AJ$66:$BV$66)</f>
        <v/>
      </c>
      <c r="AP144" s="5">
        <f>SUMPRODUCT(React!$C$139:$AP$139,Curves!$AI$20:$BV$20)+SUMPRODUCT(React!$C$140:$AP$140,Curves!$AI$43:$BV$43)+SUMPRODUCT(React!$C$141:$AP$141,Curves!$AI$66:$BV$66)</f>
        <v/>
      </c>
      <c r="AQ144" s="5">
        <f>SUMPRODUCT(React!$C$139:$AQ$139,Curves!$AH$20:$BV$20)+SUMPRODUCT(React!$C$140:$AQ$140,Curves!$AH$43:$BV$43)+SUMPRODUCT(React!$C$141:$AQ$141,Curves!$AH$66:$BV$66)</f>
        <v/>
      </c>
      <c r="AR144" s="5">
        <f>SUMPRODUCT(React!$C$139:$AR$139,Curves!$AG$20:$BV$20)+SUMPRODUCT(React!$C$140:$AR$140,Curves!$AG$43:$BV$43)+SUMPRODUCT(React!$C$141:$AR$141,Curves!$AG$66:$BV$66)</f>
        <v/>
      </c>
      <c r="AS144" s="5">
        <f>SUMPRODUCT(React!$C$139:$AS$139,Curves!$AF$20:$BV$20)+SUMPRODUCT(React!$C$140:$AS$140,Curves!$AF$43:$BV$43)+SUMPRODUCT(React!$C$141:$AS$141,Curves!$AF$66:$BV$66)</f>
        <v/>
      </c>
      <c r="AT144" s="5">
        <f>SUMPRODUCT(React!$C$139:$AT$139,Curves!$AE$20:$BV$20)+SUMPRODUCT(React!$C$140:$AT$140,Curves!$AE$43:$BV$43)+SUMPRODUCT(React!$C$141:$AT$141,Curves!$AE$66:$BV$66)</f>
        <v/>
      </c>
      <c r="AU144" s="5">
        <f>SUMPRODUCT(React!$C$139:$AU$139,Curves!$AD$20:$BV$20)+SUMPRODUCT(React!$C$140:$AU$140,Curves!$AD$43:$BV$43)+SUMPRODUCT(React!$C$141:$AU$141,Curves!$AD$66:$BV$66)</f>
        <v/>
      </c>
      <c r="AV144" s="5">
        <f>SUMPRODUCT(React!$C$139:$AV$139,Curves!$AC$20:$BV$20)+SUMPRODUCT(React!$C$140:$AV$140,Curves!$AC$43:$BV$43)+SUMPRODUCT(React!$C$141:$AV$141,Curves!$AC$66:$BV$66)</f>
        <v/>
      </c>
      <c r="AW144" s="5">
        <f>SUMPRODUCT(React!$C$139:$AW$139,Curves!$AB$20:$BV$20)+SUMPRODUCT(React!$C$140:$AW$140,Curves!$AB$43:$BV$43)+SUMPRODUCT(React!$C$141:$AW$141,Curves!$AB$66:$BV$66)</f>
        <v/>
      </c>
      <c r="AX144" s="5">
        <f>SUMPRODUCT(React!$C$139:$AX$139,Curves!$AA$20:$BV$20)+SUMPRODUCT(React!$C$140:$AX$140,Curves!$AA$43:$BV$43)+SUMPRODUCT(React!$C$141:$AX$141,Curves!$AA$66:$BV$66)</f>
        <v/>
      </c>
      <c r="AY144" s="5">
        <f>SUMPRODUCT(React!$C$139:$AY$139,Curves!$Z$20:$BV$20)+SUMPRODUCT(React!$C$140:$AY$140,Curves!$Z$43:$BV$43)+SUMPRODUCT(React!$C$141:$AY$141,Curves!$Z$66:$BV$66)</f>
        <v/>
      </c>
      <c r="AZ144" s="5">
        <f>SUMPRODUCT(React!$C$139:$AZ$139,Curves!$Y$20:$BV$20)+SUMPRODUCT(React!$C$140:$AZ$140,Curves!$Y$43:$BV$43)+SUMPRODUCT(React!$C$141:$AZ$141,Curves!$Y$66:$BV$66)</f>
        <v/>
      </c>
      <c r="BA144" s="5">
        <f>SUMPRODUCT(React!$C$139:$BA$139,Curves!$X$20:$BV$20)+SUMPRODUCT(React!$C$140:$BA$140,Curves!$X$43:$BV$43)+SUMPRODUCT(React!$C$141:$BA$141,Curves!$X$66:$BV$66)</f>
        <v/>
      </c>
      <c r="BB144" s="5">
        <f>SUMPRODUCT(React!$C$139:$BB$139,Curves!$W$20:$BV$20)+SUMPRODUCT(React!$C$140:$BB$140,Curves!$W$43:$BV$43)+SUMPRODUCT(React!$C$141:$BB$141,Curves!$W$66:$BV$66)</f>
        <v/>
      </c>
      <c r="BC144" s="5">
        <f>SUMPRODUCT(React!$C$139:$BC$139,Curves!$V$20:$BV$20)+SUMPRODUCT(React!$C$140:$BC$140,Curves!$V$43:$BV$43)+SUMPRODUCT(React!$C$141:$BC$141,Curves!$V$66:$BV$66)</f>
        <v/>
      </c>
      <c r="BD144" s="5">
        <f>SUMPRODUCT(React!$C$139:$BD$139,Curves!$U$20:$BV$20)+SUMPRODUCT(React!$C$140:$BD$140,Curves!$U$43:$BV$43)+SUMPRODUCT(React!$C$141:$BD$141,Curves!$U$66:$BV$66)</f>
        <v/>
      </c>
      <c r="BE144" s="5">
        <f>SUMPRODUCT(React!$C$139:$BE$139,Curves!$T$20:$BV$20)+SUMPRODUCT(React!$C$140:$BE$140,Curves!$T$43:$BV$43)+SUMPRODUCT(React!$C$141:$BE$141,Curves!$T$66:$BV$66)</f>
        <v/>
      </c>
      <c r="BF144" s="5">
        <f>SUMPRODUCT(React!$C$139:$BF$139,Curves!$S$20:$BV$20)+SUMPRODUCT(React!$C$140:$BF$140,Curves!$S$43:$BV$43)+SUMPRODUCT(React!$C$141:$BF$141,Curves!$S$66:$BV$66)</f>
        <v/>
      </c>
      <c r="BG144" s="5">
        <f>SUMPRODUCT(React!$C$139:$BG$139,Curves!$R$20:$BV$20)+SUMPRODUCT(React!$C$140:$BG$140,Curves!$R$43:$BV$43)+SUMPRODUCT(React!$C$141:$BG$141,Curves!$R$66:$BV$66)</f>
        <v/>
      </c>
      <c r="BH144" s="5">
        <f>SUMPRODUCT(React!$C$139:$BH$139,Curves!$Q$20:$BV$20)+SUMPRODUCT(React!$C$140:$BH$140,Curves!$Q$43:$BV$43)+SUMPRODUCT(React!$C$141:$BH$141,Curves!$Q$66:$BV$66)</f>
        <v/>
      </c>
      <c r="BI144" s="5">
        <f>SUMPRODUCT(React!$C$139:$BI$139,Curves!$P$20:$BV$20)+SUMPRODUCT(React!$C$140:$BI$140,Curves!$P$43:$BV$43)+SUMPRODUCT(React!$C$141:$BI$141,Curves!$P$66:$BV$66)</f>
        <v/>
      </c>
      <c r="BJ144" s="5">
        <f>SUMPRODUCT(React!$C$139:$BJ$139,Curves!$O$20:$BV$20)+SUMPRODUCT(React!$C$140:$BJ$140,Curves!$O$43:$BV$43)+SUMPRODUCT(React!$C$141:$BJ$141,Curves!$O$66:$BV$66)</f>
        <v/>
      </c>
      <c r="BK144" s="5">
        <f>SUMPRODUCT(React!$C$139:$BK$139,Curves!$N$20:$BV$20)+SUMPRODUCT(React!$C$140:$BK$140,Curves!$N$43:$BV$43)+SUMPRODUCT(React!$C$141:$BK$141,Curves!$N$66:$BV$66)</f>
        <v/>
      </c>
      <c r="BL144" s="5">
        <f>SUMPRODUCT(React!$C$139:$BL$139,Curves!$M$20:$BV$20)+SUMPRODUCT(React!$C$140:$BL$140,Curves!$M$43:$BV$43)+SUMPRODUCT(React!$C$141:$BL$141,Curves!$M$66:$BV$66)</f>
        <v/>
      </c>
      <c r="BM144" s="5">
        <f>SUMPRODUCT(React!$C$139:$BM$139,Curves!$L$20:$BV$20)+SUMPRODUCT(React!$C$140:$BM$140,Curves!$L$43:$BV$43)+SUMPRODUCT(React!$C$141:$BM$141,Curves!$L$66:$BV$66)</f>
        <v/>
      </c>
      <c r="BN144" s="5">
        <f>SUMPRODUCT(React!$C$139:$BN$139,Curves!$K$20:$BV$20)+SUMPRODUCT(React!$C$140:$BN$140,Curves!$K$43:$BV$43)+SUMPRODUCT(React!$C$141:$BN$141,Curves!$K$66:$BV$66)</f>
        <v/>
      </c>
      <c r="BO144" s="5">
        <f>SUMPRODUCT(React!$C$139:$BO$139,Curves!$J$20:$BV$20)+SUMPRODUCT(React!$C$140:$BO$140,Curves!$J$43:$BV$43)+SUMPRODUCT(React!$C$141:$BO$141,Curves!$J$66:$BV$66)</f>
        <v/>
      </c>
      <c r="BP144" s="5">
        <f>SUMPRODUCT(React!$C$139:$BP$139,Curves!$I$20:$BV$20)+SUMPRODUCT(React!$C$140:$BP$140,Curves!$I$43:$BV$43)+SUMPRODUCT(React!$C$141:$BP$141,Curves!$I$66:$BV$66)</f>
        <v/>
      </c>
      <c r="BQ144" s="5">
        <f>SUMPRODUCT(React!$C$139:$BQ$139,Curves!$H$20:$BV$20)+SUMPRODUCT(React!$C$140:$BQ$140,Curves!$H$43:$BV$43)+SUMPRODUCT(React!$C$141:$BQ$141,Curves!$H$66:$BV$66)</f>
        <v/>
      </c>
      <c r="BR144" s="5">
        <f>SUMPRODUCT(React!$C$139:$BR$139,Curves!$G$20:$BV$20)+SUMPRODUCT(React!$C$140:$BR$140,Curves!$G$43:$BV$43)+SUMPRODUCT(React!$C$141:$BR$141,Curves!$G$66:$BV$66)</f>
        <v/>
      </c>
      <c r="BS144" s="5">
        <f>SUMPRODUCT(React!$C$139:$BS$139,Curves!$F$20:$BV$20)+SUMPRODUCT(React!$C$140:$BS$140,Curves!$F$43:$BV$43)+SUMPRODUCT(React!$C$141:$BS$141,Curves!$F$66:$BV$66)</f>
        <v/>
      </c>
      <c r="BT144" s="5">
        <f>SUMPRODUCT(React!$C$139:$BT$139,Curves!$E$20:$BV$20)+SUMPRODUCT(React!$C$140:$BT$140,Curves!$E$43:$BV$43)+SUMPRODUCT(React!$C$141:$BT$141,Curves!$E$66:$BV$66)</f>
        <v/>
      </c>
      <c r="BU144" s="5">
        <f>SUMPRODUCT(React!$C$139:$BU$139,Curves!$D$20:$BV$20)+SUMPRODUCT(React!$C$140:$BU$140,Curves!$D$43:$BV$43)+SUMPRODUCT(React!$C$141:$BU$141,Curves!$D$66:$BV$66)</f>
        <v/>
      </c>
      <c r="BV144" s="5">
        <f>SUMPRODUCT(React!$C$139:$BV$139,Curves!$C$20:$BV$20)+SUMPRODUCT(React!$C$140:$BV$140,Curves!$C$43:$BV$43)+SUMPRODUCT(React!$C$141:$BV$141,Curves!$C$66:$BV$66)</f>
        <v/>
      </c>
    </row>
    <row r="146">
      <c r="A146" t="inlineStr">
        <is>
          <t>churn pool inflow</t>
        </is>
      </c>
      <c r="B146" t="inlineStr">
        <is>
          <t>LATAM|BASIC_A</t>
        </is>
      </c>
      <c r="C146" s="5">
        <f>Paid!C49+Legacy!C51</f>
        <v/>
      </c>
      <c r="D146" s="5">
        <f>Paid!D49+Legacy!D51</f>
        <v/>
      </c>
      <c r="E146" s="5">
        <f>Paid!E49+Legacy!E51</f>
        <v/>
      </c>
      <c r="F146" s="5">
        <f>Paid!F49+Legacy!F51</f>
        <v/>
      </c>
      <c r="G146" s="5">
        <f>Paid!G49+Legacy!G51</f>
        <v/>
      </c>
      <c r="H146" s="5">
        <f>Paid!H49+Legacy!H51</f>
        <v/>
      </c>
      <c r="I146" s="5">
        <f>Paid!I49+Legacy!I51</f>
        <v/>
      </c>
      <c r="J146" s="5">
        <f>Paid!J49+Legacy!J51</f>
        <v/>
      </c>
      <c r="K146" s="5">
        <f>Paid!K49+Legacy!K51</f>
        <v/>
      </c>
      <c r="L146" s="5">
        <f>Paid!L49+Legacy!L51</f>
        <v/>
      </c>
      <c r="M146" s="5">
        <f>Paid!M49+Legacy!M51</f>
        <v/>
      </c>
      <c r="N146" s="5">
        <f>Paid!N49+Legacy!N51</f>
        <v/>
      </c>
      <c r="O146" s="5">
        <f>Paid!O49+Legacy!O51</f>
        <v/>
      </c>
      <c r="P146" s="5">
        <f>Paid!P49+Legacy!P51</f>
        <v/>
      </c>
      <c r="Q146" s="5">
        <f>Paid!Q49+Legacy!Q51</f>
        <v/>
      </c>
      <c r="R146" s="5">
        <f>Paid!R49+Legacy!R51</f>
        <v/>
      </c>
      <c r="S146" s="5">
        <f>Paid!S49+Legacy!S51</f>
        <v/>
      </c>
      <c r="T146" s="5">
        <f>Paid!T49+Legacy!T51</f>
        <v/>
      </c>
      <c r="U146" s="5">
        <f>Paid!U49+Legacy!U51</f>
        <v/>
      </c>
      <c r="V146" s="5">
        <f>Paid!V49+Legacy!V51</f>
        <v/>
      </c>
      <c r="W146" s="5">
        <f>Paid!W49+Legacy!W51</f>
        <v/>
      </c>
      <c r="X146" s="5">
        <f>Paid!X49+Legacy!X51</f>
        <v/>
      </c>
      <c r="Y146" s="5">
        <f>Paid!Y49+Legacy!Y51</f>
        <v/>
      </c>
      <c r="Z146" s="5">
        <f>Paid!Z49+Legacy!Z51</f>
        <v/>
      </c>
      <c r="AA146" s="5">
        <f>Paid!AA49+Legacy!AA51</f>
        <v/>
      </c>
      <c r="AB146" s="5">
        <f>Paid!AB49+Legacy!AB51</f>
        <v/>
      </c>
      <c r="AC146" s="5">
        <f>Paid!AC49+Legacy!AC51</f>
        <v/>
      </c>
      <c r="AD146" s="5">
        <f>Paid!AD49+Legacy!AD51</f>
        <v/>
      </c>
      <c r="AE146" s="5">
        <f>Paid!AE49+Legacy!AE51</f>
        <v/>
      </c>
      <c r="AF146" s="5">
        <f>Paid!AF49+Legacy!AF51</f>
        <v/>
      </c>
      <c r="AG146" s="5">
        <f>Paid!AG49+Legacy!AG51</f>
        <v/>
      </c>
      <c r="AH146" s="5">
        <f>Paid!AH49+Legacy!AH51</f>
        <v/>
      </c>
      <c r="AI146" s="5">
        <f>Paid!AI49+Legacy!AI51</f>
        <v/>
      </c>
      <c r="AJ146" s="5">
        <f>Paid!AJ49+Legacy!AJ51</f>
        <v/>
      </c>
      <c r="AK146" s="5">
        <f>Paid!AK49+Legacy!AK51</f>
        <v/>
      </c>
      <c r="AL146" s="5">
        <f>Paid!AL49+Legacy!AL51</f>
        <v/>
      </c>
      <c r="AM146" s="5">
        <f>Paid!AM49+Legacy!AM51</f>
        <v/>
      </c>
      <c r="AN146" s="5">
        <f>Paid!AN49+Legacy!AN51</f>
        <v/>
      </c>
      <c r="AO146" s="5">
        <f>Paid!AO49+Legacy!AO51</f>
        <v/>
      </c>
      <c r="AP146" s="5">
        <f>Paid!AP49+Legacy!AP51</f>
        <v/>
      </c>
      <c r="AQ146" s="5">
        <f>Paid!AQ49+Legacy!AQ51</f>
        <v/>
      </c>
      <c r="AR146" s="5">
        <f>Paid!AR49+Legacy!AR51</f>
        <v/>
      </c>
      <c r="AS146" s="5">
        <f>Paid!AS49+Legacy!AS51</f>
        <v/>
      </c>
      <c r="AT146" s="5">
        <f>Paid!AT49+Legacy!AT51</f>
        <v/>
      </c>
      <c r="AU146" s="5">
        <f>Paid!AU49+Legacy!AU51</f>
        <v/>
      </c>
      <c r="AV146" s="5">
        <f>Paid!AV49+Legacy!AV51</f>
        <v/>
      </c>
      <c r="AW146" s="5">
        <f>Paid!AW49+Legacy!AW51</f>
        <v/>
      </c>
      <c r="AX146" s="5">
        <f>Paid!AX49+Legacy!AX51</f>
        <v/>
      </c>
      <c r="AY146" s="5">
        <f>Paid!AY49+Legacy!AY51</f>
        <v/>
      </c>
      <c r="AZ146" s="5">
        <f>Paid!AZ49+Legacy!AZ51</f>
        <v/>
      </c>
      <c r="BA146" s="5">
        <f>Paid!BA49+Legacy!BA51</f>
        <v/>
      </c>
      <c r="BB146" s="5">
        <f>Paid!BB49+Legacy!BB51</f>
        <v/>
      </c>
      <c r="BC146" s="5">
        <f>Paid!BC49+Legacy!BC51</f>
        <v/>
      </c>
      <c r="BD146" s="5">
        <f>Paid!BD49+Legacy!BD51</f>
        <v/>
      </c>
      <c r="BE146" s="5">
        <f>Paid!BE49+Legacy!BE51</f>
        <v/>
      </c>
      <c r="BF146" s="5">
        <f>Paid!BF49+Legacy!BF51</f>
        <v/>
      </c>
      <c r="BG146" s="5">
        <f>Paid!BG49+Legacy!BG51</f>
        <v/>
      </c>
      <c r="BH146" s="5">
        <f>Paid!BH49+Legacy!BH51</f>
        <v/>
      </c>
      <c r="BI146" s="5">
        <f>Paid!BI49+Legacy!BI51</f>
        <v/>
      </c>
      <c r="BJ146" s="5">
        <f>Paid!BJ49+Legacy!BJ51</f>
        <v/>
      </c>
      <c r="BK146" s="5">
        <f>Paid!BK49+Legacy!BK51</f>
        <v/>
      </c>
      <c r="BL146" s="5">
        <f>Paid!BL49+Legacy!BL51</f>
        <v/>
      </c>
      <c r="BM146" s="5">
        <f>Paid!BM49+Legacy!BM51</f>
        <v/>
      </c>
      <c r="BN146" s="5">
        <f>Paid!BN49+Legacy!BN51</f>
        <v/>
      </c>
      <c r="BO146" s="5">
        <f>Paid!BO49+Legacy!BO51</f>
        <v/>
      </c>
      <c r="BP146" s="5">
        <f>Paid!BP49+Legacy!BP51</f>
        <v/>
      </c>
      <c r="BQ146" s="5">
        <f>Paid!BQ49+Legacy!BQ51</f>
        <v/>
      </c>
      <c r="BR146" s="5">
        <f>Paid!BR49+Legacy!BR51</f>
        <v/>
      </c>
      <c r="BS146" s="5">
        <f>Paid!BS49+Legacy!BS51</f>
        <v/>
      </c>
      <c r="BT146" s="5">
        <f>Paid!BT49+Legacy!BT51</f>
        <v/>
      </c>
      <c r="BU146" s="5">
        <f>Paid!BU49+Legacy!BU51</f>
        <v/>
      </c>
      <c r="BV146" s="5">
        <f>Paid!BV49+Legacy!BV51</f>
        <v/>
      </c>
    </row>
    <row r="147">
      <c r="A147" t="inlineStr">
        <is>
          <t>inflow @0</t>
        </is>
      </c>
      <c r="B147" t="inlineStr">
        <is>
          <t>LATAM|BASIC_A</t>
        </is>
      </c>
      <c r="C147" s="5">
        <f>C146*Eras!C$3</f>
        <v/>
      </c>
      <c r="D147" s="5">
        <f>D146*Eras!D$3</f>
        <v/>
      </c>
      <c r="E147" s="5">
        <f>E146*Eras!E$3</f>
        <v/>
      </c>
      <c r="F147" s="5">
        <f>F146*Eras!F$3</f>
        <v/>
      </c>
      <c r="G147" s="5">
        <f>G146*Eras!G$3</f>
        <v/>
      </c>
      <c r="H147" s="5">
        <f>H146*Eras!H$3</f>
        <v/>
      </c>
      <c r="I147" s="5">
        <f>I146*Eras!I$3</f>
        <v/>
      </c>
      <c r="J147" s="5">
        <f>J146*Eras!J$3</f>
        <v/>
      </c>
      <c r="K147" s="5">
        <f>K146*Eras!K$3</f>
        <v/>
      </c>
      <c r="L147" s="5">
        <f>L146*Eras!L$3</f>
        <v/>
      </c>
      <c r="M147" s="5">
        <f>M146*Eras!M$3</f>
        <v/>
      </c>
      <c r="N147" s="5">
        <f>N146*Eras!N$3</f>
        <v/>
      </c>
      <c r="O147" s="5">
        <f>O146*Eras!O$3</f>
        <v/>
      </c>
      <c r="P147" s="5">
        <f>P146*Eras!P$3</f>
        <v/>
      </c>
      <c r="Q147" s="5">
        <f>Q146*Eras!Q$3</f>
        <v/>
      </c>
      <c r="R147" s="5">
        <f>R146*Eras!R$3</f>
        <v/>
      </c>
      <c r="S147" s="5">
        <f>S146*Eras!S$3</f>
        <v/>
      </c>
      <c r="T147" s="5">
        <f>T146*Eras!T$3</f>
        <v/>
      </c>
      <c r="U147" s="5">
        <f>U146*Eras!U$3</f>
        <v/>
      </c>
      <c r="V147" s="5">
        <f>V146*Eras!V$3</f>
        <v/>
      </c>
      <c r="W147" s="5">
        <f>W146*Eras!W$3</f>
        <v/>
      </c>
      <c r="X147" s="5">
        <f>X146*Eras!X$3</f>
        <v/>
      </c>
      <c r="Y147" s="5">
        <f>Y146*Eras!Y$3</f>
        <v/>
      </c>
      <c r="Z147" s="5">
        <f>Z146*Eras!Z$3</f>
        <v/>
      </c>
      <c r="AA147" s="5">
        <f>AA146*Eras!AA$3</f>
        <v/>
      </c>
      <c r="AB147" s="5">
        <f>AB146*Eras!AB$3</f>
        <v/>
      </c>
      <c r="AC147" s="5">
        <f>AC146*Eras!AC$3</f>
        <v/>
      </c>
      <c r="AD147" s="5">
        <f>AD146*Eras!AD$3</f>
        <v/>
      </c>
      <c r="AE147" s="5">
        <f>AE146*Eras!AE$3</f>
        <v/>
      </c>
      <c r="AF147" s="5">
        <f>AF146*Eras!AF$3</f>
        <v/>
      </c>
      <c r="AG147" s="5">
        <f>AG146*Eras!AG$3</f>
        <v/>
      </c>
      <c r="AH147" s="5">
        <f>AH146*Eras!AH$3</f>
        <v/>
      </c>
      <c r="AI147" s="5">
        <f>AI146*Eras!AI$3</f>
        <v/>
      </c>
      <c r="AJ147" s="5">
        <f>AJ146*Eras!AJ$3</f>
        <v/>
      </c>
      <c r="AK147" s="5">
        <f>AK146*Eras!AK$3</f>
        <v/>
      </c>
      <c r="AL147" s="5">
        <f>AL146*Eras!AL$3</f>
        <v/>
      </c>
      <c r="AM147" s="5">
        <f>AM146*Eras!AM$3</f>
        <v/>
      </c>
      <c r="AN147" s="5">
        <f>AN146*Eras!AN$3</f>
        <v/>
      </c>
      <c r="AO147" s="5">
        <f>AO146*Eras!AO$3</f>
        <v/>
      </c>
      <c r="AP147" s="5">
        <f>AP146*Eras!AP$3</f>
        <v/>
      </c>
      <c r="AQ147" s="5">
        <f>AQ146*Eras!AQ$3</f>
        <v/>
      </c>
      <c r="AR147" s="5">
        <f>AR146*Eras!AR$3</f>
        <v/>
      </c>
      <c r="AS147" s="5">
        <f>AS146*Eras!AS$3</f>
        <v/>
      </c>
      <c r="AT147" s="5">
        <f>AT146*Eras!AT$3</f>
        <v/>
      </c>
      <c r="AU147" s="5">
        <f>AU146*Eras!AU$3</f>
        <v/>
      </c>
      <c r="AV147" s="5">
        <f>AV146*Eras!AV$3</f>
        <v/>
      </c>
      <c r="AW147" s="5">
        <f>AW146*Eras!AW$3</f>
        <v/>
      </c>
      <c r="AX147" s="5">
        <f>AX146*Eras!AX$3</f>
        <v/>
      </c>
      <c r="AY147" s="5">
        <f>AY146*Eras!AY$3</f>
        <v/>
      </c>
      <c r="AZ147" s="5">
        <f>AZ146*Eras!AZ$3</f>
        <v/>
      </c>
      <c r="BA147" s="5">
        <f>BA146*Eras!BA$3</f>
        <v/>
      </c>
      <c r="BB147" s="5">
        <f>BB146*Eras!BB$3</f>
        <v/>
      </c>
      <c r="BC147" s="5">
        <f>BC146*Eras!BC$3</f>
        <v/>
      </c>
      <c r="BD147" s="5">
        <f>BD146*Eras!BD$3</f>
        <v/>
      </c>
      <c r="BE147" s="5">
        <f>BE146*Eras!BE$3</f>
        <v/>
      </c>
      <c r="BF147" s="5">
        <f>BF146*Eras!BF$3</f>
        <v/>
      </c>
      <c r="BG147" s="5">
        <f>BG146*Eras!BG$3</f>
        <v/>
      </c>
      <c r="BH147" s="5">
        <f>BH146*Eras!BH$3</f>
        <v/>
      </c>
      <c r="BI147" s="5">
        <f>BI146*Eras!BI$3</f>
        <v/>
      </c>
      <c r="BJ147" s="5">
        <f>BJ146*Eras!BJ$3</f>
        <v/>
      </c>
      <c r="BK147" s="5">
        <f>BK146*Eras!BK$3</f>
        <v/>
      </c>
      <c r="BL147" s="5">
        <f>BL146*Eras!BL$3</f>
        <v/>
      </c>
      <c r="BM147" s="5">
        <f>BM146*Eras!BM$3</f>
        <v/>
      </c>
      <c r="BN147" s="5">
        <f>BN146*Eras!BN$3</f>
        <v/>
      </c>
      <c r="BO147" s="5">
        <f>BO146*Eras!BO$3</f>
        <v/>
      </c>
      <c r="BP147" s="5">
        <f>BP146*Eras!BP$3</f>
        <v/>
      </c>
      <c r="BQ147" s="5">
        <f>BQ146*Eras!BQ$3</f>
        <v/>
      </c>
      <c r="BR147" s="5">
        <f>BR146*Eras!BR$3</f>
        <v/>
      </c>
      <c r="BS147" s="5">
        <f>BS146*Eras!BS$3</f>
        <v/>
      </c>
      <c r="BT147" s="5">
        <f>BT146*Eras!BT$3</f>
        <v/>
      </c>
      <c r="BU147" s="5">
        <f>BU146*Eras!BU$3</f>
        <v/>
      </c>
      <c r="BV147" s="5">
        <f>BV146*Eras!BV$3</f>
        <v/>
      </c>
    </row>
    <row r="148">
      <c r="A148" t="inlineStr">
        <is>
          <t>inflow @1</t>
        </is>
      </c>
      <c r="B148" t="inlineStr">
        <is>
          <t>LATAM|BASIC_A</t>
        </is>
      </c>
      <c r="C148" s="5">
        <f>C146*Eras!C$4</f>
        <v/>
      </c>
      <c r="D148" s="5">
        <f>D146*Eras!D$4</f>
        <v/>
      </c>
      <c r="E148" s="5">
        <f>E146*Eras!E$4</f>
        <v/>
      </c>
      <c r="F148" s="5">
        <f>F146*Eras!F$4</f>
        <v/>
      </c>
      <c r="G148" s="5">
        <f>G146*Eras!G$4</f>
        <v/>
      </c>
      <c r="H148" s="5">
        <f>H146*Eras!H$4</f>
        <v/>
      </c>
      <c r="I148" s="5">
        <f>I146*Eras!I$4</f>
        <v/>
      </c>
      <c r="J148" s="5">
        <f>J146*Eras!J$4</f>
        <v/>
      </c>
      <c r="K148" s="5">
        <f>K146*Eras!K$4</f>
        <v/>
      </c>
      <c r="L148" s="5">
        <f>L146*Eras!L$4</f>
        <v/>
      </c>
      <c r="M148" s="5">
        <f>M146*Eras!M$4</f>
        <v/>
      </c>
      <c r="N148" s="5">
        <f>N146*Eras!N$4</f>
        <v/>
      </c>
      <c r="O148" s="5">
        <f>O146*Eras!O$4</f>
        <v/>
      </c>
      <c r="P148" s="5">
        <f>P146*Eras!P$4</f>
        <v/>
      </c>
      <c r="Q148" s="5">
        <f>Q146*Eras!Q$4</f>
        <v/>
      </c>
      <c r="R148" s="5">
        <f>R146*Eras!R$4</f>
        <v/>
      </c>
      <c r="S148" s="5">
        <f>S146*Eras!S$4</f>
        <v/>
      </c>
      <c r="T148" s="5">
        <f>T146*Eras!T$4</f>
        <v/>
      </c>
      <c r="U148" s="5">
        <f>U146*Eras!U$4</f>
        <v/>
      </c>
      <c r="V148" s="5">
        <f>V146*Eras!V$4</f>
        <v/>
      </c>
      <c r="W148" s="5">
        <f>W146*Eras!W$4</f>
        <v/>
      </c>
      <c r="X148" s="5">
        <f>X146*Eras!X$4</f>
        <v/>
      </c>
      <c r="Y148" s="5">
        <f>Y146*Eras!Y$4</f>
        <v/>
      </c>
      <c r="Z148" s="5">
        <f>Z146*Eras!Z$4</f>
        <v/>
      </c>
      <c r="AA148" s="5">
        <f>AA146*Eras!AA$4</f>
        <v/>
      </c>
      <c r="AB148" s="5">
        <f>AB146*Eras!AB$4</f>
        <v/>
      </c>
      <c r="AC148" s="5">
        <f>AC146*Eras!AC$4</f>
        <v/>
      </c>
      <c r="AD148" s="5">
        <f>AD146*Eras!AD$4</f>
        <v/>
      </c>
      <c r="AE148" s="5">
        <f>AE146*Eras!AE$4</f>
        <v/>
      </c>
      <c r="AF148" s="5">
        <f>AF146*Eras!AF$4</f>
        <v/>
      </c>
      <c r="AG148" s="5">
        <f>AG146*Eras!AG$4</f>
        <v/>
      </c>
      <c r="AH148" s="5">
        <f>AH146*Eras!AH$4</f>
        <v/>
      </c>
      <c r="AI148" s="5">
        <f>AI146*Eras!AI$4</f>
        <v/>
      </c>
      <c r="AJ148" s="5">
        <f>AJ146*Eras!AJ$4</f>
        <v/>
      </c>
      <c r="AK148" s="5">
        <f>AK146*Eras!AK$4</f>
        <v/>
      </c>
      <c r="AL148" s="5">
        <f>AL146*Eras!AL$4</f>
        <v/>
      </c>
      <c r="AM148" s="5">
        <f>AM146*Eras!AM$4</f>
        <v/>
      </c>
      <c r="AN148" s="5">
        <f>AN146*Eras!AN$4</f>
        <v/>
      </c>
      <c r="AO148" s="5">
        <f>AO146*Eras!AO$4</f>
        <v/>
      </c>
      <c r="AP148" s="5">
        <f>AP146*Eras!AP$4</f>
        <v/>
      </c>
      <c r="AQ148" s="5">
        <f>AQ146*Eras!AQ$4</f>
        <v/>
      </c>
      <c r="AR148" s="5">
        <f>AR146*Eras!AR$4</f>
        <v/>
      </c>
      <c r="AS148" s="5">
        <f>AS146*Eras!AS$4</f>
        <v/>
      </c>
      <c r="AT148" s="5">
        <f>AT146*Eras!AT$4</f>
        <v/>
      </c>
      <c r="AU148" s="5">
        <f>AU146*Eras!AU$4</f>
        <v/>
      </c>
      <c r="AV148" s="5">
        <f>AV146*Eras!AV$4</f>
        <v/>
      </c>
      <c r="AW148" s="5">
        <f>AW146*Eras!AW$4</f>
        <v/>
      </c>
      <c r="AX148" s="5">
        <f>AX146*Eras!AX$4</f>
        <v/>
      </c>
      <c r="AY148" s="5">
        <f>AY146*Eras!AY$4</f>
        <v/>
      </c>
      <c r="AZ148" s="5">
        <f>AZ146*Eras!AZ$4</f>
        <v/>
      </c>
      <c r="BA148" s="5">
        <f>BA146*Eras!BA$4</f>
        <v/>
      </c>
      <c r="BB148" s="5">
        <f>BB146*Eras!BB$4</f>
        <v/>
      </c>
      <c r="BC148" s="5">
        <f>BC146*Eras!BC$4</f>
        <v/>
      </c>
      <c r="BD148" s="5">
        <f>BD146*Eras!BD$4</f>
        <v/>
      </c>
      <c r="BE148" s="5">
        <f>BE146*Eras!BE$4</f>
        <v/>
      </c>
      <c r="BF148" s="5">
        <f>BF146*Eras!BF$4</f>
        <v/>
      </c>
      <c r="BG148" s="5">
        <f>BG146*Eras!BG$4</f>
        <v/>
      </c>
      <c r="BH148" s="5">
        <f>BH146*Eras!BH$4</f>
        <v/>
      </c>
      <c r="BI148" s="5">
        <f>BI146*Eras!BI$4</f>
        <v/>
      </c>
      <c r="BJ148" s="5">
        <f>BJ146*Eras!BJ$4</f>
        <v/>
      </c>
      <c r="BK148" s="5">
        <f>BK146*Eras!BK$4</f>
        <v/>
      </c>
      <c r="BL148" s="5">
        <f>BL146*Eras!BL$4</f>
        <v/>
      </c>
      <c r="BM148" s="5">
        <f>BM146*Eras!BM$4</f>
        <v/>
      </c>
      <c r="BN148" s="5">
        <f>BN146*Eras!BN$4</f>
        <v/>
      </c>
      <c r="BO148" s="5">
        <f>BO146*Eras!BO$4</f>
        <v/>
      </c>
      <c r="BP148" s="5">
        <f>BP146*Eras!BP$4</f>
        <v/>
      </c>
      <c r="BQ148" s="5">
        <f>BQ146*Eras!BQ$4</f>
        <v/>
      </c>
      <c r="BR148" s="5">
        <f>BR146*Eras!BR$4</f>
        <v/>
      </c>
      <c r="BS148" s="5">
        <f>BS146*Eras!BS$4</f>
        <v/>
      </c>
      <c r="BT148" s="5">
        <f>BT146*Eras!BT$4</f>
        <v/>
      </c>
      <c r="BU148" s="5">
        <f>BU146*Eras!BU$4</f>
        <v/>
      </c>
      <c r="BV148" s="5">
        <f>BV146*Eras!BV$4</f>
        <v/>
      </c>
    </row>
    <row r="149">
      <c r="A149" t="inlineStr">
        <is>
          <t>inflow @2</t>
        </is>
      </c>
      <c r="B149" t="inlineStr">
        <is>
          <t>LATAM|BASIC_A</t>
        </is>
      </c>
      <c r="C149" s="5">
        <f>C146*Eras!C$5</f>
        <v/>
      </c>
      <c r="D149" s="5">
        <f>D146*Eras!D$5</f>
        <v/>
      </c>
      <c r="E149" s="5">
        <f>E146*Eras!E$5</f>
        <v/>
      </c>
      <c r="F149" s="5">
        <f>F146*Eras!F$5</f>
        <v/>
      </c>
      <c r="G149" s="5">
        <f>G146*Eras!G$5</f>
        <v/>
      </c>
      <c r="H149" s="5">
        <f>H146*Eras!H$5</f>
        <v/>
      </c>
      <c r="I149" s="5">
        <f>I146*Eras!I$5</f>
        <v/>
      </c>
      <c r="J149" s="5">
        <f>J146*Eras!J$5</f>
        <v/>
      </c>
      <c r="K149" s="5">
        <f>K146*Eras!K$5</f>
        <v/>
      </c>
      <c r="L149" s="5">
        <f>L146*Eras!L$5</f>
        <v/>
      </c>
      <c r="M149" s="5">
        <f>M146*Eras!M$5</f>
        <v/>
      </c>
      <c r="N149" s="5">
        <f>N146*Eras!N$5</f>
        <v/>
      </c>
      <c r="O149" s="5">
        <f>O146*Eras!O$5</f>
        <v/>
      </c>
      <c r="P149" s="5">
        <f>P146*Eras!P$5</f>
        <v/>
      </c>
      <c r="Q149" s="5">
        <f>Q146*Eras!Q$5</f>
        <v/>
      </c>
      <c r="R149" s="5">
        <f>R146*Eras!R$5</f>
        <v/>
      </c>
      <c r="S149" s="5">
        <f>S146*Eras!S$5</f>
        <v/>
      </c>
      <c r="T149" s="5">
        <f>T146*Eras!T$5</f>
        <v/>
      </c>
      <c r="U149" s="5">
        <f>U146*Eras!U$5</f>
        <v/>
      </c>
      <c r="V149" s="5">
        <f>V146*Eras!V$5</f>
        <v/>
      </c>
      <c r="W149" s="5">
        <f>W146*Eras!W$5</f>
        <v/>
      </c>
      <c r="X149" s="5">
        <f>X146*Eras!X$5</f>
        <v/>
      </c>
      <c r="Y149" s="5">
        <f>Y146*Eras!Y$5</f>
        <v/>
      </c>
      <c r="Z149" s="5">
        <f>Z146*Eras!Z$5</f>
        <v/>
      </c>
      <c r="AA149" s="5">
        <f>AA146*Eras!AA$5</f>
        <v/>
      </c>
      <c r="AB149" s="5">
        <f>AB146*Eras!AB$5</f>
        <v/>
      </c>
      <c r="AC149" s="5">
        <f>AC146*Eras!AC$5</f>
        <v/>
      </c>
      <c r="AD149" s="5">
        <f>AD146*Eras!AD$5</f>
        <v/>
      </c>
      <c r="AE149" s="5">
        <f>AE146*Eras!AE$5</f>
        <v/>
      </c>
      <c r="AF149" s="5">
        <f>AF146*Eras!AF$5</f>
        <v/>
      </c>
      <c r="AG149" s="5">
        <f>AG146*Eras!AG$5</f>
        <v/>
      </c>
      <c r="AH149" s="5">
        <f>AH146*Eras!AH$5</f>
        <v/>
      </c>
      <c r="AI149" s="5">
        <f>AI146*Eras!AI$5</f>
        <v/>
      </c>
      <c r="AJ149" s="5">
        <f>AJ146*Eras!AJ$5</f>
        <v/>
      </c>
      <c r="AK149" s="5">
        <f>AK146*Eras!AK$5</f>
        <v/>
      </c>
      <c r="AL149" s="5">
        <f>AL146*Eras!AL$5</f>
        <v/>
      </c>
      <c r="AM149" s="5">
        <f>AM146*Eras!AM$5</f>
        <v/>
      </c>
      <c r="AN149" s="5">
        <f>AN146*Eras!AN$5</f>
        <v/>
      </c>
      <c r="AO149" s="5">
        <f>AO146*Eras!AO$5</f>
        <v/>
      </c>
      <c r="AP149" s="5">
        <f>AP146*Eras!AP$5</f>
        <v/>
      </c>
      <c r="AQ149" s="5">
        <f>AQ146*Eras!AQ$5</f>
        <v/>
      </c>
      <c r="AR149" s="5">
        <f>AR146*Eras!AR$5</f>
        <v/>
      </c>
      <c r="AS149" s="5">
        <f>AS146*Eras!AS$5</f>
        <v/>
      </c>
      <c r="AT149" s="5">
        <f>AT146*Eras!AT$5</f>
        <v/>
      </c>
      <c r="AU149" s="5">
        <f>AU146*Eras!AU$5</f>
        <v/>
      </c>
      <c r="AV149" s="5">
        <f>AV146*Eras!AV$5</f>
        <v/>
      </c>
      <c r="AW149" s="5">
        <f>AW146*Eras!AW$5</f>
        <v/>
      </c>
      <c r="AX149" s="5">
        <f>AX146*Eras!AX$5</f>
        <v/>
      </c>
      <c r="AY149" s="5">
        <f>AY146*Eras!AY$5</f>
        <v/>
      </c>
      <c r="AZ149" s="5">
        <f>AZ146*Eras!AZ$5</f>
        <v/>
      </c>
      <c r="BA149" s="5">
        <f>BA146*Eras!BA$5</f>
        <v/>
      </c>
      <c r="BB149" s="5">
        <f>BB146*Eras!BB$5</f>
        <v/>
      </c>
      <c r="BC149" s="5">
        <f>BC146*Eras!BC$5</f>
        <v/>
      </c>
      <c r="BD149" s="5">
        <f>BD146*Eras!BD$5</f>
        <v/>
      </c>
      <c r="BE149" s="5">
        <f>BE146*Eras!BE$5</f>
        <v/>
      </c>
      <c r="BF149" s="5">
        <f>BF146*Eras!BF$5</f>
        <v/>
      </c>
      <c r="BG149" s="5">
        <f>BG146*Eras!BG$5</f>
        <v/>
      </c>
      <c r="BH149" s="5">
        <f>BH146*Eras!BH$5</f>
        <v/>
      </c>
      <c r="BI149" s="5">
        <f>BI146*Eras!BI$5</f>
        <v/>
      </c>
      <c r="BJ149" s="5">
        <f>BJ146*Eras!BJ$5</f>
        <v/>
      </c>
      <c r="BK149" s="5">
        <f>BK146*Eras!BK$5</f>
        <v/>
      </c>
      <c r="BL149" s="5">
        <f>BL146*Eras!BL$5</f>
        <v/>
      </c>
      <c r="BM149" s="5">
        <f>BM146*Eras!BM$5</f>
        <v/>
      </c>
      <c r="BN149" s="5">
        <f>BN146*Eras!BN$5</f>
        <v/>
      </c>
      <c r="BO149" s="5">
        <f>BO146*Eras!BO$5</f>
        <v/>
      </c>
      <c r="BP149" s="5">
        <f>BP146*Eras!BP$5</f>
        <v/>
      </c>
      <c r="BQ149" s="5">
        <f>BQ146*Eras!BQ$5</f>
        <v/>
      </c>
      <c r="BR149" s="5">
        <f>BR146*Eras!BR$5</f>
        <v/>
      </c>
      <c r="BS149" s="5">
        <f>BS146*Eras!BS$5</f>
        <v/>
      </c>
      <c r="BT149" s="5">
        <f>BT146*Eras!BT$5</f>
        <v/>
      </c>
      <c r="BU149" s="5">
        <f>BU146*Eras!BU$5</f>
        <v/>
      </c>
      <c r="BV149" s="5">
        <f>BV146*Eras!BV$5</f>
        <v/>
      </c>
    </row>
    <row r="150">
      <c r="A150" t="inlineStr">
        <is>
          <t>reactivations out</t>
        </is>
      </c>
      <c r="B150" t="inlineStr">
        <is>
          <t>LATAM|BASIC_A</t>
        </is>
      </c>
      <c r="C150" s="5">
        <f>React!$C$147*Curves!$BV$21+React!$C$148*Curves!$BV$44+React!$C$149*Curves!$BV$67</f>
        <v/>
      </c>
      <c r="D150" s="5">
        <f>SUMPRODUCT(React!$C$147:$D$147,Curves!$BU$21:$BV$21)+SUMPRODUCT(React!$C$148:$D$148,Curves!$BU$44:$BV$44)+SUMPRODUCT(React!$C$149:$D$149,Curves!$BU$67:$BV$67)</f>
        <v/>
      </c>
      <c r="E150" s="5">
        <f>SUMPRODUCT(React!$C$147:$E$147,Curves!$BT$21:$BV$21)+SUMPRODUCT(React!$C$148:$E$148,Curves!$BT$44:$BV$44)+SUMPRODUCT(React!$C$149:$E$149,Curves!$BT$67:$BV$67)</f>
        <v/>
      </c>
      <c r="F150" s="5">
        <f>SUMPRODUCT(React!$C$147:$F$147,Curves!$BS$21:$BV$21)+SUMPRODUCT(React!$C$148:$F$148,Curves!$BS$44:$BV$44)+SUMPRODUCT(React!$C$149:$F$149,Curves!$BS$67:$BV$67)</f>
        <v/>
      </c>
      <c r="G150" s="5">
        <f>SUMPRODUCT(React!$C$147:$G$147,Curves!$BR$21:$BV$21)+SUMPRODUCT(React!$C$148:$G$148,Curves!$BR$44:$BV$44)+SUMPRODUCT(React!$C$149:$G$149,Curves!$BR$67:$BV$67)</f>
        <v/>
      </c>
      <c r="H150" s="5">
        <f>SUMPRODUCT(React!$C$147:$H$147,Curves!$BQ$21:$BV$21)+SUMPRODUCT(React!$C$148:$H$148,Curves!$BQ$44:$BV$44)+SUMPRODUCT(React!$C$149:$H$149,Curves!$BQ$67:$BV$67)</f>
        <v/>
      </c>
      <c r="I150" s="5">
        <f>SUMPRODUCT(React!$C$147:$I$147,Curves!$BP$21:$BV$21)+SUMPRODUCT(React!$C$148:$I$148,Curves!$BP$44:$BV$44)+SUMPRODUCT(React!$C$149:$I$149,Curves!$BP$67:$BV$67)</f>
        <v/>
      </c>
      <c r="J150" s="5">
        <f>SUMPRODUCT(React!$C$147:$J$147,Curves!$BO$21:$BV$21)+SUMPRODUCT(React!$C$148:$J$148,Curves!$BO$44:$BV$44)+SUMPRODUCT(React!$C$149:$J$149,Curves!$BO$67:$BV$67)</f>
        <v/>
      </c>
      <c r="K150" s="5">
        <f>SUMPRODUCT(React!$C$147:$K$147,Curves!$BN$21:$BV$21)+SUMPRODUCT(React!$C$148:$K$148,Curves!$BN$44:$BV$44)+SUMPRODUCT(React!$C$149:$K$149,Curves!$BN$67:$BV$67)</f>
        <v/>
      </c>
      <c r="L150" s="5">
        <f>SUMPRODUCT(React!$C$147:$L$147,Curves!$BM$21:$BV$21)+SUMPRODUCT(React!$C$148:$L$148,Curves!$BM$44:$BV$44)+SUMPRODUCT(React!$C$149:$L$149,Curves!$BM$67:$BV$67)</f>
        <v/>
      </c>
      <c r="M150" s="5">
        <f>SUMPRODUCT(React!$C$147:$M$147,Curves!$BL$21:$BV$21)+SUMPRODUCT(React!$C$148:$M$148,Curves!$BL$44:$BV$44)+SUMPRODUCT(React!$C$149:$M$149,Curves!$BL$67:$BV$67)</f>
        <v/>
      </c>
      <c r="N150" s="5">
        <f>SUMPRODUCT(React!$C$147:$N$147,Curves!$BK$21:$BV$21)+SUMPRODUCT(React!$C$148:$N$148,Curves!$BK$44:$BV$44)+SUMPRODUCT(React!$C$149:$N$149,Curves!$BK$67:$BV$67)</f>
        <v/>
      </c>
      <c r="O150" s="5">
        <f>SUMPRODUCT(React!$C$147:$O$147,Curves!$BJ$21:$BV$21)+SUMPRODUCT(React!$C$148:$O$148,Curves!$BJ$44:$BV$44)+SUMPRODUCT(React!$C$149:$O$149,Curves!$BJ$67:$BV$67)</f>
        <v/>
      </c>
      <c r="P150" s="5">
        <f>SUMPRODUCT(React!$C$147:$P$147,Curves!$BI$21:$BV$21)+SUMPRODUCT(React!$C$148:$P$148,Curves!$BI$44:$BV$44)+SUMPRODUCT(React!$C$149:$P$149,Curves!$BI$67:$BV$67)</f>
        <v/>
      </c>
      <c r="Q150" s="5">
        <f>SUMPRODUCT(React!$C$147:$Q$147,Curves!$BH$21:$BV$21)+SUMPRODUCT(React!$C$148:$Q$148,Curves!$BH$44:$BV$44)+SUMPRODUCT(React!$C$149:$Q$149,Curves!$BH$67:$BV$67)</f>
        <v/>
      </c>
      <c r="R150" s="5">
        <f>SUMPRODUCT(React!$C$147:$R$147,Curves!$BG$21:$BV$21)+SUMPRODUCT(React!$C$148:$R$148,Curves!$BG$44:$BV$44)+SUMPRODUCT(React!$C$149:$R$149,Curves!$BG$67:$BV$67)</f>
        <v/>
      </c>
      <c r="S150" s="5">
        <f>SUMPRODUCT(React!$C$147:$S$147,Curves!$BF$21:$BV$21)+SUMPRODUCT(React!$C$148:$S$148,Curves!$BF$44:$BV$44)+SUMPRODUCT(React!$C$149:$S$149,Curves!$BF$67:$BV$67)</f>
        <v/>
      </c>
      <c r="T150" s="5">
        <f>SUMPRODUCT(React!$C$147:$T$147,Curves!$BE$21:$BV$21)+SUMPRODUCT(React!$C$148:$T$148,Curves!$BE$44:$BV$44)+SUMPRODUCT(React!$C$149:$T$149,Curves!$BE$67:$BV$67)</f>
        <v/>
      </c>
      <c r="U150" s="5">
        <f>SUMPRODUCT(React!$C$147:$U$147,Curves!$BD$21:$BV$21)+SUMPRODUCT(React!$C$148:$U$148,Curves!$BD$44:$BV$44)+SUMPRODUCT(React!$C$149:$U$149,Curves!$BD$67:$BV$67)</f>
        <v/>
      </c>
      <c r="V150" s="5">
        <f>SUMPRODUCT(React!$C$147:$V$147,Curves!$BC$21:$BV$21)+SUMPRODUCT(React!$C$148:$V$148,Curves!$BC$44:$BV$44)+SUMPRODUCT(React!$C$149:$V$149,Curves!$BC$67:$BV$67)</f>
        <v/>
      </c>
      <c r="W150" s="5">
        <f>SUMPRODUCT(React!$C$147:$W$147,Curves!$BB$21:$BV$21)+SUMPRODUCT(React!$C$148:$W$148,Curves!$BB$44:$BV$44)+SUMPRODUCT(React!$C$149:$W$149,Curves!$BB$67:$BV$67)</f>
        <v/>
      </c>
      <c r="X150" s="5">
        <f>SUMPRODUCT(React!$C$147:$X$147,Curves!$BA$21:$BV$21)+SUMPRODUCT(React!$C$148:$X$148,Curves!$BA$44:$BV$44)+SUMPRODUCT(React!$C$149:$X$149,Curves!$BA$67:$BV$67)</f>
        <v/>
      </c>
      <c r="Y150" s="5">
        <f>SUMPRODUCT(React!$C$147:$Y$147,Curves!$AZ$21:$BV$21)+SUMPRODUCT(React!$C$148:$Y$148,Curves!$AZ$44:$BV$44)+SUMPRODUCT(React!$C$149:$Y$149,Curves!$AZ$67:$BV$67)</f>
        <v/>
      </c>
      <c r="Z150" s="5">
        <f>SUMPRODUCT(React!$C$147:$Z$147,Curves!$AY$21:$BV$21)+SUMPRODUCT(React!$C$148:$Z$148,Curves!$AY$44:$BV$44)+SUMPRODUCT(React!$C$149:$Z$149,Curves!$AY$67:$BV$67)</f>
        <v/>
      </c>
      <c r="AA150" s="5">
        <f>SUMPRODUCT(React!$C$147:$AA$147,Curves!$AX$21:$BV$21)+SUMPRODUCT(React!$C$148:$AA$148,Curves!$AX$44:$BV$44)+SUMPRODUCT(React!$C$149:$AA$149,Curves!$AX$67:$BV$67)</f>
        <v/>
      </c>
      <c r="AB150" s="5">
        <f>SUMPRODUCT(React!$C$147:$AB$147,Curves!$AW$21:$BV$21)+SUMPRODUCT(React!$C$148:$AB$148,Curves!$AW$44:$BV$44)+SUMPRODUCT(React!$C$149:$AB$149,Curves!$AW$67:$BV$67)</f>
        <v/>
      </c>
      <c r="AC150" s="5">
        <f>SUMPRODUCT(React!$C$147:$AC$147,Curves!$AV$21:$BV$21)+SUMPRODUCT(React!$C$148:$AC$148,Curves!$AV$44:$BV$44)+SUMPRODUCT(React!$C$149:$AC$149,Curves!$AV$67:$BV$67)</f>
        <v/>
      </c>
      <c r="AD150" s="5">
        <f>SUMPRODUCT(React!$C$147:$AD$147,Curves!$AU$21:$BV$21)+SUMPRODUCT(React!$C$148:$AD$148,Curves!$AU$44:$BV$44)+SUMPRODUCT(React!$C$149:$AD$149,Curves!$AU$67:$BV$67)</f>
        <v/>
      </c>
      <c r="AE150" s="5">
        <f>SUMPRODUCT(React!$C$147:$AE$147,Curves!$AT$21:$BV$21)+SUMPRODUCT(React!$C$148:$AE$148,Curves!$AT$44:$BV$44)+SUMPRODUCT(React!$C$149:$AE$149,Curves!$AT$67:$BV$67)</f>
        <v/>
      </c>
      <c r="AF150" s="5">
        <f>SUMPRODUCT(React!$C$147:$AF$147,Curves!$AS$21:$BV$21)+SUMPRODUCT(React!$C$148:$AF$148,Curves!$AS$44:$BV$44)+SUMPRODUCT(React!$C$149:$AF$149,Curves!$AS$67:$BV$67)</f>
        <v/>
      </c>
      <c r="AG150" s="5">
        <f>SUMPRODUCT(React!$C$147:$AG$147,Curves!$AR$21:$BV$21)+SUMPRODUCT(React!$C$148:$AG$148,Curves!$AR$44:$BV$44)+SUMPRODUCT(React!$C$149:$AG$149,Curves!$AR$67:$BV$67)</f>
        <v/>
      </c>
      <c r="AH150" s="5">
        <f>SUMPRODUCT(React!$C$147:$AH$147,Curves!$AQ$21:$BV$21)+SUMPRODUCT(React!$C$148:$AH$148,Curves!$AQ$44:$BV$44)+SUMPRODUCT(React!$C$149:$AH$149,Curves!$AQ$67:$BV$67)</f>
        <v/>
      </c>
      <c r="AI150" s="5">
        <f>SUMPRODUCT(React!$C$147:$AI$147,Curves!$AP$21:$BV$21)+SUMPRODUCT(React!$C$148:$AI$148,Curves!$AP$44:$BV$44)+SUMPRODUCT(React!$C$149:$AI$149,Curves!$AP$67:$BV$67)</f>
        <v/>
      </c>
      <c r="AJ150" s="5">
        <f>SUMPRODUCT(React!$C$147:$AJ$147,Curves!$AO$21:$BV$21)+SUMPRODUCT(React!$C$148:$AJ$148,Curves!$AO$44:$BV$44)+SUMPRODUCT(React!$C$149:$AJ$149,Curves!$AO$67:$BV$67)</f>
        <v/>
      </c>
      <c r="AK150" s="5">
        <f>SUMPRODUCT(React!$C$147:$AK$147,Curves!$AN$21:$BV$21)+SUMPRODUCT(React!$C$148:$AK$148,Curves!$AN$44:$BV$44)+SUMPRODUCT(React!$C$149:$AK$149,Curves!$AN$67:$BV$67)</f>
        <v/>
      </c>
      <c r="AL150" s="5">
        <f>SUMPRODUCT(React!$C$147:$AL$147,Curves!$AM$21:$BV$21)+SUMPRODUCT(React!$C$148:$AL$148,Curves!$AM$44:$BV$44)+SUMPRODUCT(React!$C$149:$AL$149,Curves!$AM$67:$BV$67)</f>
        <v/>
      </c>
      <c r="AM150" s="5">
        <f>SUMPRODUCT(React!$C$147:$AM$147,Curves!$AL$21:$BV$21)+SUMPRODUCT(React!$C$148:$AM$148,Curves!$AL$44:$BV$44)+SUMPRODUCT(React!$C$149:$AM$149,Curves!$AL$67:$BV$67)</f>
        <v/>
      </c>
      <c r="AN150" s="5">
        <f>SUMPRODUCT(React!$C$147:$AN$147,Curves!$AK$21:$BV$21)+SUMPRODUCT(React!$C$148:$AN$148,Curves!$AK$44:$BV$44)+SUMPRODUCT(React!$C$149:$AN$149,Curves!$AK$67:$BV$67)</f>
        <v/>
      </c>
      <c r="AO150" s="5">
        <f>SUMPRODUCT(React!$C$147:$AO$147,Curves!$AJ$21:$BV$21)+SUMPRODUCT(React!$C$148:$AO$148,Curves!$AJ$44:$BV$44)+SUMPRODUCT(React!$C$149:$AO$149,Curves!$AJ$67:$BV$67)</f>
        <v/>
      </c>
      <c r="AP150" s="5">
        <f>SUMPRODUCT(React!$C$147:$AP$147,Curves!$AI$21:$BV$21)+SUMPRODUCT(React!$C$148:$AP$148,Curves!$AI$44:$BV$44)+SUMPRODUCT(React!$C$149:$AP$149,Curves!$AI$67:$BV$67)</f>
        <v/>
      </c>
      <c r="AQ150" s="5">
        <f>SUMPRODUCT(React!$C$147:$AQ$147,Curves!$AH$21:$BV$21)+SUMPRODUCT(React!$C$148:$AQ$148,Curves!$AH$44:$BV$44)+SUMPRODUCT(React!$C$149:$AQ$149,Curves!$AH$67:$BV$67)</f>
        <v/>
      </c>
      <c r="AR150" s="5">
        <f>SUMPRODUCT(React!$C$147:$AR$147,Curves!$AG$21:$BV$21)+SUMPRODUCT(React!$C$148:$AR$148,Curves!$AG$44:$BV$44)+SUMPRODUCT(React!$C$149:$AR$149,Curves!$AG$67:$BV$67)</f>
        <v/>
      </c>
      <c r="AS150" s="5">
        <f>SUMPRODUCT(React!$C$147:$AS$147,Curves!$AF$21:$BV$21)+SUMPRODUCT(React!$C$148:$AS$148,Curves!$AF$44:$BV$44)+SUMPRODUCT(React!$C$149:$AS$149,Curves!$AF$67:$BV$67)</f>
        <v/>
      </c>
      <c r="AT150" s="5">
        <f>SUMPRODUCT(React!$C$147:$AT$147,Curves!$AE$21:$BV$21)+SUMPRODUCT(React!$C$148:$AT$148,Curves!$AE$44:$BV$44)+SUMPRODUCT(React!$C$149:$AT$149,Curves!$AE$67:$BV$67)</f>
        <v/>
      </c>
      <c r="AU150" s="5">
        <f>SUMPRODUCT(React!$C$147:$AU$147,Curves!$AD$21:$BV$21)+SUMPRODUCT(React!$C$148:$AU$148,Curves!$AD$44:$BV$44)+SUMPRODUCT(React!$C$149:$AU$149,Curves!$AD$67:$BV$67)</f>
        <v/>
      </c>
      <c r="AV150" s="5">
        <f>SUMPRODUCT(React!$C$147:$AV$147,Curves!$AC$21:$BV$21)+SUMPRODUCT(React!$C$148:$AV$148,Curves!$AC$44:$BV$44)+SUMPRODUCT(React!$C$149:$AV$149,Curves!$AC$67:$BV$67)</f>
        <v/>
      </c>
      <c r="AW150" s="5">
        <f>SUMPRODUCT(React!$C$147:$AW$147,Curves!$AB$21:$BV$21)+SUMPRODUCT(React!$C$148:$AW$148,Curves!$AB$44:$BV$44)+SUMPRODUCT(React!$C$149:$AW$149,Curves!$AB$67:$BV$67)</f>
        <v/>
      </c>
      <c r="AX150" s="5">
        <f>SUMPRODUCT(React!$C$147:$AX$147,Curves!$AA$21:$BV$21)+SUMPRODUCT(React!$C$148:$AX$148,Curves!$AA$44:$BV$44)+SUMPRODUCT(React!$C$149:$AX$149,Curves!$AA$67:$BV$67)</f>
        <v/>
      </c>
      <c r="AY150" s="5">
        <f>SUMPRODUCT(React!$C$147:$AY$147,Curves!$Z$21:$BV$21)+SUMPRODUCT(React!$C$148:$AY$148,Curves!$Z$44:$BV$44)+SUMPRODUCT(React!$C$149:$AY$149,Curves!$Z$67:$BV$67)</f>
        <v/>
      </c>
      <c r="AZ150" s="5">
        <f>SUMPRODUCT(React!$C$147:$AZ$147,Curves!$Y$21:$BV$21)+SUMPRODUCT(React!$C$148:$AZ$148,Curves!$Y$44:$BV$44)+SUMPRODUCT(React!$C$149:$AZ$149,Curves!$Y$67:$BV$67)</f>
        <v/>
      </c>
      <c r="BA150" s="5">
        <f>SUMPRODUCT(React!$C$147:$BA$147,Curves!$X$21:$BV$21)+SUMPRODUCT(React!$C$148:$BA$148,Curves!$X$44:$BV$44)+SUMPRODUCT(React!$C$149:$BA$149,Curves!$X$67:$BV$67)</f>
        <v/>
      </c>
      <c r="BB150" s="5">
        <f>SUMPRODUCT(React!$C$147:$BB$147,Curves!$W$21:$BV$21)+SUMPRODUCT(React!$C$148:$BB$148,Curves!$W$44:$BV$44)+SUMPRODUCT(React!$C$149:$BB$149,Curves!$W$67:$BV$67)</f>
        <v/>
      </c>
      <c r="BC150" s="5">
        <f>SUMPRODUCT(React!$C$147:$BC$147,Curves!$V$21:$BV$21)+SUMPRODUCT(React!$C$148:$BC$148,Curves!$V$44:$BV$44)+SUMPRODUCT(React!$C$149:$BC$149,Curves!$V$67:$BV$67)</f>
        <v/>
      </c>
      <c r="BD150" s="5">
        <f>SUMPRODUCT(React!$C$147:$BD$147,Curves!$U$21:$BV$21)+SUMPRODUCT(React!$C$148:$BD$148,Curves!$U$44:$BV$44)+SUMPRODUCT(React!$C$149:$BD$149,Curves!$U$67:$BV$67)</f>
        <v/>
      </c>
      <c r="BE150" s="5">
        <f>SUMPRODUCT(React!$C$147:$BE$147,Curves!$T$21:$BV$21)+SUMPRODUCT(React!$C$148:$BE$148,Curves!$T$44:$BV$44)+SUMPRODUCT(React!$C$149:$BE$149,Curves!$T$67:$BV$67)</f>
        <v/>
      </c>
      <c r="BF150" s="5">
        <f>SUMPRODUCT(React!$C$147:$BF$147,Curves!$S$21:$BV$21)+SUMPRODUCT(React!$C$148:$BF$148,Curves!$S$44:$BV$44)+SUMPRODUCT(React!$C$149:$BF$149,Curves!$S$67:$BV$67)</f>
        <v/>
      </c>
      <c r="BG150" s="5">
        <f>SUMPRODUCT(React!$C$147:$BG$147,Curves!$R$21:$BV$21)+SUMPRODUCT(React!$C$148:$BG$148,Curves!$R$44:$BV$44)+SUMPRODUCT(React!$C$149:$BG$149,Curves!$R$67:$BV$67)</f>
        <v/>
      </c>
      <c r="BH150" s="5">
        <f>SUMPRODUCT(React!$C$147:$BH$147,Curves!$Q$21:$BV$21)+SUMPRODUCT(React!$C$148:$BH$148,Curves!$Q$44:$BV$44)+SUMPRODUCT(React!$C$149:$BH$149,Curves!$Q$67:$BV$67)</f>
        <v/>
      </c>
      <c r="BI150" s="5">
        <f>SUMPRODUCT(React!$C$147:$BI$147,Curves!$P$21:$BV$21)+SUMPRODUCT(React!$C$148:$BI$148,Curves!$P$44:$BV$44)+SUMPRODUCT(React!$C$149:$BI$149,Curves!$P$67:$BV$67)</f>
        <v/>
      </c>
      <c r="BJ150" s="5">
        <f>SUMPRODUCT(React!$C$147:$BJ$147,Curves!$O$21:$BV$21)+SUMPRODUCT(React!$C$148:$BJ$148,Curves!$O$44:$BV$44)+SUMPRODUCT(React!$C$149:$BJ$149,Curves!$O$67:$BV$67)</f>
        <v/>
      </c>
      <c r="BK150" s="5">
        <f>SUMPRODUCT(React!$C$147:$BK$147,Curves!$N$21:$BV$21)+SUMPRODUCT(React!$C$148:$BK$148,Curves!$N$44:$BV$44)+SUMPRODUCT(React!$C$149:$BK$149,Curves!$N$67:$BV$67)</f>
        <v/>
      </c>
      <c r="BL150" s="5">
        <f>SUMPRODUCT(React!$C$147:$BL$147,Curves!$M$21:$BV$21)+SUMPRODUCT(React!$C$148:$BL$148,Curves!$M$44:$BV$44)+SUMPRODUCT(React!$C$149:$BL$149,Curves!$M$67:$BV$67)</f>
        <v/>
      </c>
      <c r="BM150" s="5">
        <f>SUMPRODUCT(React!$C$147:$BM$147,Curves!$L$21:$BV$21)+SUMPRODUCT(React!$C$148:$BM$148,Curves!$L$44:$BV$44)+SUMPRODUCT(React!$C$149:$BM$149,Curves!$L$67:$BV$67)</f>
        <v/>
      </c>
      <c r="BN150" s="5">
        <f>SUMPRODUCT(React!$C$147:$BN$147,Curves!$K$21:$BV$21)+SUMPRODUCT(React!$C$148:$BN$148,Curves!$K$44:$BV$44)+SUMPRODUCT(React!$C$149:$BN$149,Curves!$K$67:$BV$67)</f>
        <v/>
      </c>
      <c r="BO150" s="5">
        <f>SUMPRODUCT(React!$C$147:$BO$147,Curves!$J$21:$BV$21)+SUMPRODUCT(React!$C$148:$BO$148,Curves!$J$44:$BV$44)+SUMPRODUCT(React!$C$149:$BO$149,Curves!$J$67:$BV$67)</f>
        <v/>
      </c>
      <c r="BP150" s="5">
        <f>SUMPRODUCT(React!$C$147:$BP$147,Curves!$I$21:$BV$21)+SUMPRODUCT(React!$C$148:$BP$148,Curves!$I$44:$BV$44)+SUMPRODUCT(React!$C$149:$BP$149,Curves!$I$67:$BV$67)</f>
        <v/>
      </c>
      <c r="BQ150" s="5">
        <f>SUMPRODUCT(React!$C$147:$BQ$147,Curves!$H$21:$BV$21)+SUMPRODUCT(React!$C$148:$BQ$148,Curves!$H$44:$BV$44)+SUMPRODUCT(React!$C$149:$BQ$149,Curves!$H$67:$BV$67)</f>
        <v/>
      </c>
      <c r="BR150" s="5">
        <f>SUMPRODUCT(React!$C$147:$BR$147,Curves!$G$21:$BV$21)+SUMPRODUCT(React!$C$148:$BR$148,Curves!$G$44:$BV$44)+SUMPRODUCT(React!$C$149:$BR$149,Curves!$G$67:$BV$67)</f>
        <v/>
      </c>
      <c r="BS150" s="5">
        <f>SUMPRODUCT(React!$C$147:$BS$147,Curves!$F$21:$BV$21)+SUMPRODUCT(React!$C$148:$BS$148,Curves!$F$44:$BV$44)+SUMPRODUCT(React!$C$149:$BS$149,Curves!$F$67:$BV$67)</f>
        <v/>
      </c>
      <c r="BT150" s="5">
        <f>SUMPRODUCT(React!$C$147:$BT$147,Curves!$E$21:$BV$21)+SUMPRODUCT(React!$C$148:$BT$148,Curves!$E$44:$BV$44)+SUMPRODUCT(React!$C$149:$BT$149,Curves!$E$67:$BV$67)</f>
        <v/>
      </c>
      <c r="BU150" s="5">
        <f>SUMPRODUCT(React!$C$147:$BU$147,Curves!$D$21:$BV$21)+SUMPRODUCT(React!$C$148:$BU$148,Curves!$D$44:$BV$44)+SUMPRODUCT(React!$C$149:$BU$149,Curves!$D$67:$BV$67)</f>
        <v/>
      </c>
      <c r="BV150" s="5">
        <f>SUMPRODUCT(React!$C$147:$BV$147,Curves!$C$21:$BV$21)+SUMPRODUCT(React!$C$148:$BV$148,Curves!$C$44:$BV$44)+SUMPRODUCT(React!$C$149:$BV$149,Curves!$C$67:$BV$67)</f>
        <v/>
      </c>
    </row>
    <row r="151">
      <c r="A151" t="inlineStr">
        <is>
          <t>reactivated in</t>
        </is>
      </c>
      <c r="B151" t="inlineStr">
        <is>
          <t>LATAM|BASIC_A</t>
        </is>
      </c>
      <c r="C151" s="5">
        <f>0</f>
        <v/>
      </c>
      <c r="D151" s="5">
        <f>0</f>
        <v/>
      </c>
      <c r="E151" s="5">
        <f>0</f>
        <v/>
      </c>
      <c r="F151" s="5">
        <f>0</f>
        <v/>
      </c>
      <c r="G151" s="5">
        <f>0</f>
        <v/>
      </c>
      <c r="H151" s="5">
        <f>0</f>
        <v/>
      </c>
      <c r="I151" s="5">
        <f>0</f>
        <v/>
      </c>
      <c r="J151" s="5">
        <f>0</f>
        <v/>
      </c>
      <c r="K151" s="5">
        <f>0</f>
        <v/>
      </c>
      <c r="L151" s="5">
        <f>0</f>
        <v/>
      </c>
      <c r="M151" s="5">
        <f>0</f>
        <v/>
      </c>
      <c r="N151" s="5">
        <f>0</f>
        <v/>
      </c>
      <c r="O151" s="5">
        <f>0</f>
        <v/>
      </c>
      <c r="P151" s="5">
        <f>0</f>
        <v/>
      </c>
      <c r="Q151" s="5">
        <f>0</f>
        <v/>
      </c>
      <c r="R151" s="5">
        <f>0</f>
        <v/>
      </c>
      <c r="S151" s="5">
        <f>0</f>
        <v/>
      </c>
      <c r="T151" s="5">
        <f>0</f>
        <v/>
      </c>
      <c r="U151" s="5">
        <f>0</f>
        <v/>
      </c>
      <c r="V151" s="5">
        <f>0</f>
        <v/>
      </c>
      <c r="W151" s="5">
        <f>0</f>
        <v/>
      </c>
      <c r="X151" s="5">
        <f>0</f>
        <v/>
      </c>
      <c r="Y151" s="5">
        <f>0</f>
        <v/>
      </c>
      <c r="Z151" s="5">
        <f>0</f>
        <v/>
      </c>
      <c r="AA151" s="5">
        <f>0</f>
        <v/>
      </c>
      <c r="AB151" s="5">
        <f>0</f>
        <v/>
      </c>
      <c r="AC151" s="5">
        <f>0</f>
        <v/>
      </c>
      <c r="AD151" s="5">
        <f>0</f>
        <v/>
      </c>
      <c r="AE151" s="5">
        <f>0</f>
        <v/>
      </c>
      <c r="AF151" s="5">
        <f>0</f>
        <v/>
      </c>
      <c r="AG151" s="5">
        <f>0</f>
        <v/>
      </c>
      <c r="AH151" s="5">
        <f>0</f>
        <v/>
      </c>
      <c r="AI151" s="5">
        <f>0</f>
        <v/>
      </c>
      <c r="AJ151" s="5">
        <f>0</f>
        <v/>
      </c>
      <c r="AK151" s="5">
        <f>0</f>
        <v/>
      </c>
      <c r="AL151" s="5">
        <f>0</f>
        <v/>
      </c>
      <c r="AM151" s="5">
        <f>0</f>
        <v/>
      </c>
      <c r="AN151" s="5">
        <f>0</f>
        <v/>
      </c>
      <c r="AO151" s="5">
        <f>0</f>
        <v/>
      </c>
      <c r="AP151" s="5">
        <f>0</f>
        <v/>
      </c>
      <c r="AQ151" s="5">
        <f>0</f>
        <v/>
      </c>
      <c r="AR151" s="5">
        <f>0</f>
        <v/>
      </c>
      <c r="AS151" s="5">
        <f>0</f>
        <v/>
      </c>
      <c r="AT151" s="5">
        <f>0</f>
        <v/>
      </c>
      <c r="AU151" s="5">
        <f>0</f>
        <v/>
      </c>
      <c r="AV151" s="5">
        <f>0</f>
        <v/>
      </c>
      <c r="AW151" s="5">
        <f>0</f>
        <v/>
      </c>
      <c r="AX151" s="5">
        <f>0</f>
        <v/>
      </c>
      <c r="AY151" s="5">
        <f>0</f>
        <v/>
      </c>
      <c r="AZ151" s="5">
        <f>0</f>
        <v/>
      </c>
      <c r="BA151" s="5">
        <f>0</f>
        <v/>
      </c>
      <c r="BB151" s="5">
        <f>0</f>
        <v/>
      </c>
      <c r="BC151" s="5">
        <f>0</f>
        <v/>
      </c>
      <c r="BD151" s="5">
        <f>0</f>
        <v/>
      </c>
      <c r="BE151" s="5">
        <f>0</f>
        <v/>
      </c>
      <c r="BF151" s="5">
        <f>0</f>
        <v/>
      </c>
      <c r="BG151" s="5">
        <f>0</f>
        <v/>
      </c>
      <c r="BH151" s="5">
        <f>0</f>
        <v/>
      </c>
      <c r="BI151" s="5">
        <f>0</f>
        <v/>
      </c>
      <c r="BJ151" s="5">
        <f>0</f>
        <v/>
      </c>
      <c r="BK151" s="5">
        <f>0</f>
        <v/>
      </c>
      <c r="BL151" s="5">
        <f>0</f>
        <v/>
      </c>
      <c r="BM151" s="5">
        <f>0</f>
        <v/>
      </c>
      <c r="BN151" s="5">
        <f>0</f>
        <v/>
      </c>
      <c r="BO151" s="5">
        <f>0</f>
        <v/>
      </c>
      <c r="BP151" s="5">
        <f>0</f>
        <v/>
      </c>
      <c r="BQ151" s="5">
        <f>0</f>
        <v/>
      </c>
      <c r="BR151" s="5">
        <f>0</f>
        <v/>
      </c>
      <c r="BS151" s="5">
        <f>0</f>
        <v/>
      </c>
      <c r="BT151" s="5">
        <f>0</f>
        <v/>
      </c>
      <c r="BU151" s="5">
        <f>0</f>
        <v/>
      </c>
      <c r="BV151" s="5">
        <f>0</f>
        <v/>
      </c>
    </row>
    <row r="152">
      <c r="A152" t="inlineStr">
        <is>
          <t>reactivated in @0</t>
        </is>
      </c>
      <c r="B152" t="inlineStr">
        <is>
          <t>LATAM|BASIC_A</t>
        </is>
      </c>
      <c r="C152" s="5">
        <f>C151*Eras!C$3</f>
        <v/>
      </c>
      <c r="D152" s="5">
        <f>D151*Eras!D$3</f>
        <v/>
      </c>
      <c r="E152" s="5">
        <f>E151*Eras!E$3</f>
        <v/>
      </c>
      <c r="F152" s="5">
        <f>F151*Eras!F$3</f>
        <v/>
      </c>
      <c r="G152" s="5">
        <f>G151*Eras!G$3</f>
        <v/>
      </c>
      <c r="H152" s="5">
        <f>H151*Eras!H$3</f>
        <v/>
      </c>
      <c r="I152" s="5">
        <f>I151*Eras!I$3</f>
        <v/>
      </c>
      <c r="J152" s="5">
        <f>J151*Eras!J$3</f>
        <v/>
      </c>
      <c r="K152" s="5">
        <f>K151*Eras!K$3</f>
        <v/>
      </c>
      <c r="L152" s="5">
        <f>L151*Eras!L$3</f>
        <v/>
      </c>
      <c r="M152" s="5">
        <f>M151*Eras!M$3</f>
        <v/>
      </c>
      <c r="N152" s="5">
        <f>N151*Eras!N$3</f>
        <v/>
      </c>
      <c r="O152" s="5">
        <f>O151*Eras!O$3</f>
        <v/>
      </c>
      <c r="P152" s="5">
        <f>P151*Eras!P$3</f>
        <v/>
      </c>
      <c r="Q152" s="5">
        <f>Q151*Eras!Q$3</f>
        <v/>
      </c>
      <c r="R152" s="5">
        <f>R151*Eras!R$3</f>
        <v/>
      </c>
      <c r="S152" s="5">
        <f>S151*Eras!S$3</f>
        <v/>
      </c>
      <c r="T152" s="5">
        <f>T151*Eras!T$3</f>
        <v/>
      </c>
      <c r="U152" s="5">
        <f>U151*Eras!U$3</f>
        <v/>
      </c>
      <c r="V152" s="5">
        <f>V151*Eras!V$3</f>
        <v/>
      </c>
      <c r="W152" s="5">
        <f>W151*Eras!W$3</f>
        <v/>
      </c>
      <c r="X152" s="5">
        <f>X151*Eras!X$3</f>
        <v/>
      </c>
      <c r="Y152" s="5">
        <f>Y151*Eras!Y$3</f>
        <v/>
      </c>
      <c r="Z152" s="5">
        <f>Z151*Eras!Z$3</f>
        <v/>
      </c>
      <c r="AA152" s="5">
        <f>AA151*Eras!AA$3</f>
        <v/>
      </c>
      <c r="AB152" s="5">
        <f>AB151*Eras!AB$3</f>
        <v/>
      </c>
      <c r="AC152" s="5">
        <f>AC151*Eras!AC$3</f>
        <v/>
      </c>
      <c r="AD152" s="5">
        <f>AD151*Eras!AD$3</f>
        <v/>
      </c>
      <c r="AE152" s="5">
        <f>AE151*Eras!AE$3</f>
        <v/>
      </c>
      <c r="AF152" s="5">
        <f>AF151*Eras!AF$3</f>
        <v/>
      </c>
      <c r="AG152" s="5">
        <f>AG151*Eras!AG$3</f>
        <v/>
      </c>
      <c r="AH152" s="5">
        <f>AH151*Eras!AH$3</f>
        <v/>
      </c>
      <c r="AI152" s="5">
        <f>AI151*Eras!AI$3</f>
        <v/>
      </c>
      <c r="AJ152" s="5">
        <f>AJ151*Eras!AJ$3</f>
        <v/>
      </c>
      <c r="AK152" s="5">
        <f>AK151*Eras!AK$3</f>
        <v/>
      </c>
      <c r="AL152" s="5">
        <f>AL151*Eras!AL$3</f>
        <v/>
      </c>
      <c r="AM152" s="5">
        <f>AM151*Eras!AM$3</f>
        <v/>
      </c>
      <c r="AN152" s="5">
        <f>AN151*Eras!AN$3</f>
        <v/>
      </c>
      <c r="AO152" s="5">
        <f>AO151*Eras!AO$3</f>
        <v/>
      </c>
      <c r="AP152" s="5">
        <f>AP151*Eras!AP$3</f>
        <v/>
      </c>
      <c r="AQ152" s="5">
        <f>AQ151*Eras!AQ$3</f>
        <v/>
      </c>
      <c r="AR152" s="5">
        <f>AR151*Eras!AR$3</f>
        <v/>
      </c>
      <c r="AS152" s="5">
        <f>AS151*Eras!AS$3</f>
        <v/>
      </c>
      <c r="AT152" s="5">
        <f>AT151*Eras!AT$3</f>
        <v/>
      </c>
      <c r="AU152" s="5">
        <f>AU151*Eras!AU$3</f>
        <v/>
      </c>
      <c r="AV152" s="5">
        <f>AV151*Eras!AV$3</f>
        <v/>
      </c>
      <c r="AW152" s="5">
        <f>AW151*Eras!AW$3</f>
        <v/>
      </c>
      <c r="AX152" s="5">
        <f>AX151*Eras!AX$3</f>
        <v/>
      </c>
      <c r="AY152" s="5">
        <f>AY151*Eras!AY$3</f>
        <v/>
      </c>
      <c r="AZ152" s="5">
        <f>AZ151*Eras!AZ$3</f>
        <v/>
      </c>
      <c r="BA152" s="5">
        <f>BA151*Eras!BA$3</f>
        <v/>
      </c>
      <c r="BB152" s="5">
        <f>BB151*Eras!BB$3</f>
        <v/>
      </c>
      <c r="BC152" s="5">
        <f>BC151*Eras!BC$3</f>
        <v/>
      </c>
      <c r="BD152" s="5">
        <f>BD151*Eras!BD$3</f>
        <v/>
      </c>
      <c r="BE152" s="5">
        <f>BE151*Eras!BE$3</f>
        <v/>
      </c>
      <c r="BF152" s="5">
        <f>BF151*Eras!BF$3</f>
        <v/>
      </c>
      <c r="BG152" s="5">
        <f>BG151*Eras!BG$3</f>
        <v/>
      </c>
      <c r="BH152" s="5">
        <f>BH151*Eras!BH$3</f>
        <v/>
      </c>
      <c r="BI152" s="5">
        <f>BI151*Eras!BI$3</f>
        <v/>
      </c>
      <c r="BJ152" s="5">
        <f>BJ151*Eras!BJ$3</f>
        <v/>
      </c>
      <c r="BK152" s="5">
        <f>BK151*Eras!BK$3</f>
        <v/>
      </c>
      <c r="BL152" s="5">
        <f>BL151*Eras!BL$3</f>
        <v/>
      </c>
      <c r="BM152" s="5">
        <f>BM151*Eras!BM$3</f>
        <v/>
      </c>
      <c r="BN152" s="5">
        <f>BN151*Eras!BN$3</f>
        <v/>
      </c>
      <c r="BO152" s="5">
        <f>BO151*Eras!BO$3</f>
        <v/>
      </c>
      <c r="BP152" s="5">
        <f>BP151*Eras!BP$3</f>
        <v/>
      </c>
      <c r="BQ152" s="5">
        <f>BQ151*Eras!BQ$3</f>
        <v/>
      </c>
      <c r="BR152" s="5">
        <f>BR151*Eras!BR$3</f>
        <v/>
      </c>
      <c r="BS152" s="5">
        <f>BS151*Eras!BS$3</f>
        <v/>
      </c>
      <c r="BT152" s="5">
        <f>BT151*Eras!BT$3</f>
        <v/>
      </c>
      <c r="BU152" s="5">
        <f>BU151*Eras!BU$3</f>
        <v/>
      </c>
      <c r="BV152" s="5">
        <f>BV151*Eras!BV$3</f>
        <v/>
      </c>
    </row>
    <row r="153">
      <c r="A153" t="inlineStr">
        <is>
          <t>reactivated in @1</t>
        </is>
      </c>
      <c r="B153" t="inlineStr">
        <is>
          <t>LATAM|BASIC_A</t>
        </is>
      </c>
      <c r="C153" s="5">
        <f>C151*Eras!C$4</f>
        <v/>
      </c>
      <c r="D153" s="5">
        <f>D151*Eras!D$4</f>
        <v/>
      </c>
      <c r="E153" s="5">
        <f>E151*Eras!E$4</f>
        <v/>
      </c>
      <c r="F153" s="5">
        <f>F151*Eras!F$4</f>
        <v/>
      </c>
      <c r="G153" s="5">
        <f>G151*Eras!G$4</f>
        <v/>
      </c>
      <c r="H153" s="5">
        <f>H151*Eras!H$4</f>
        <v/>
      </c>
      <c r="I153" s="5">
        <f>I151*Eras!I$4</f>
        <v/>
      </c>
      <c r="J153" s="5">
        <f>J151*Eras!J$4</f>
        <v/>
      </c>
      <c r="K153" s="5">
        <f>K151*Eras!K$4</f>
        <v/>
      </c>
      <c r="L153" s="5">
        <f>L151*Eras!L$4</f>
        <v/>
      </c>
      <c r="M153" s="5">
        <f>M151*Eras!M$4</f>
        <v/>
      </c>
      <c r="N153" s="5">
        <f>N151*Eras!N$4</f>
        <v/>
      </c>
      <c r="O153" s="5">
        <f>O151*Eras!O$4</f>
        <v/>
      </c>
      <c r="P153" s="5">
        <f>P151*Eras!P$4</f>
        <v/>
      </c>
      <c r="Q153" s="5">
        <f>Q151*Eras!Q$4</f>
        <v/>
      </c>
      <c r="R153" s="5">
        <f>R151*Eras!R$4</f>
        <v/>
      </c>
      <c r="S153" s="5">
        <f>S151*Eras!S$4</f>
        <v/>
      </c>
      <c r="T153" s="5">
        <f>T151*Eras!T$4</f>
        <v/>
      </c>
      <c r="U153" s="5">
        <f>U151*Eras!U$4</f>
        <v/>
      </c>
      <c r="V153" s="5">
        <f>V151*Eras!V$4</f>
        <v/>
      </c>
      <c r="W153" s="5">
        <f>W151*Eras!W$4</f>
        <v/>
      </c>
      <c r="X153" s="5">
        <f>X151*Eras!X$4</f>
        <v/>
      </c>
      <c r="Y153" s="5">
        <f>Y151*Eras!Y$4</f>
        <v/>
      </c>
      <c r="Z153" s="5">
        <f>Z151*Eras!Z$4</f>
        <v/>
      </c>
      <c r="AA153" s="5">
        <f>AA151*Eras!AA$4</f>
        <v/>
      </c>
      <c r="AB153" s="5">
        <f>AB151*Eras!AB$4</f>
        <v/>
      </c>
      <c r="AC153" s="5">
        <f>AC151*Eras!AC$4</f>
        <v/>
      </c>
      <c r="AD153" s="5">
        <f>AD151*Eras!AD$4</f>
        <v/>
      </c>
      <c r="AE153" s="5">
        <f>AE151*Eras!AE$4</f>
        <v/>
      </c>
      <c r="AF153" s="5">
        <f>AF151*Eras!AF$4</f>
        <v/>
      </c>
      <c r="AG153" s="5">
        <f>AG151*Eras!AG$4</f>
        <v/>
      </c>
      <c r="AH153" s="5">
        <f>AH151*Eras!AH$4</f>
        <v/>
      </c>
      <c r="AI153" s="5">
        <f>AI151*Eras!AI$4</f>
        <v/>
      </c>
      <c r="AJ153" s="5">
        <f>AJ151*Eras!AJ$4</f>
        <v/>
      </c>
      <c r="AK153" s="5">
        <f>AK151*Eras!AK$4</f>
        <v/>
      </c>
      <c r="AL153" s="5">
        <f>AL151*Eras!AL$4</f>
        <v/>
      </c>
      <c r="AM153" s="5">
        <f>AM151*Eras!AM$4</f>
        <v/>
      </c>
      <c r="AN153" s="5">
        <f>AN151*Eras!AN$4</f>
        <v/>
      </c>
      <c r="AO153" s="5">
        <f>AO151*Eras!AO$4</f>
        <v/>
      </c>
      <c r="AP153" s="5">
        <f>AP151*Eras!AP$4</f>
        <v/>
      </c>
      <c r="AQ153" s="5">
        <f>AQ151*Eras!AQ$4</f>
        <v/>
      </c>
      <c r="AR153" s="5">
        <f>AR151*Eras!AR$4</f>
        <v/>
      </c>
      <c r="AS153" s="5">
        <f>AS151*Eras!AS$4</f>
        <v/>
      </c>
      <c r="AT153" s="5">
        <f>AT151*Eras!AT$4</f>
        <v/>
      </c>
      <c r="AU153" s="5">
        <f>AU151*Eras!AU$4</f>
        <v/>
      </c>
      <c r="AV153" s="5">
        <f>AV151*Eras!AV$4</f>
        <v/>
      </c>
      <c r="AW153" s="5">
        <f>AW151*Eras!AW$4</f>
        <v/>
      </c>
      <c r="AX153" s="5">
        <f>AX151*Eras!AX$4</f>
        <v/>
      </c>
      <c r="AY153" s="5">
        <f>AY151*Eras!AY$4</f>
        <v/>
      </c>
      <c r="AZ153" s="5">
        <f>AZ151*Eras!AZ$4</f>
        <v/>
      </c>
      <c r="BA153" s="5">
        <f>BA151*Eras!BA$4</f>
        <v/>
      </c>
      <c r="BB153" s="5">
        <f>BB151*Eras!BB$4</f>
        <v/>
      </c>
      <c r="BC153" s="5">
        <f>BC151*Eras!BC$4</f>
        <v/>
      </c>
      <c r="BD153" s="5">
        <f>BD151*Eras!BD$4</f>
        <v/>
      </c>
      <c r="BE153" s="5">
        <f>BE151*Eras!BE$4</f>
        <v/>
      </c>
      <c r="BF153" s="5">
        <f>BF151*Eras!BF$4</f>
        <v/>
      </c>
      <c r="BG153" s="5">
        <f>BG151*Eras!BG$4</f>
        <v/>
      </c>
      <c r="BH153" s="5">
        <f>BH151*Eras!BH$4</f>
        <v/>
      </c>
      <c r="BI153" s="5">
        <f>BI151*Eras!BI$4</f>
        <v/>
      </c>
      <c r="BJ153" s="5">
        <f>BJ151*Eras!BJ$4</f>
        <v/>
      </c>
      <c r="BK153" s="5">
        <f>BK151*Eras!BK$4</f>
        <v/>
      </c>
      <c r="BL153" s="5">
        <f>BL151*Eras!BL$4</f>
        <v/>
      </c>
      <c r="BM153" s="5">
        <f>BM151*Eras!BM$4</f>
        <v/>
      </c>
      <c r="BN153" s="5">
        <f>BN151*Eras!BN$4</f>
        <v/>
      </c>
      <c r="BO153" s="5">
        <f>BO151*Eras!BO$4</f>
        <v/>
      </c>
      <c r="BP153" s="5">
        <f>BP151*Eras!BP$4</f>
        <v/>
      </c>
      <c r="BQ153" s="5">
        <f>BQ151*Eras!BQ$4</f>
        <v/>
      </c>
      <c r="BR153" s="5">
        <f>BR151*Eras!BR$4</f>
        <v/>
      </c>
      <c r="BS153" s="5">
        <f>BS151*Eras!BS$4</f>
        <v/>
      </c>
      <c r="BT153" s="5">
        <f>BT151*Eras!BT$4</f>
        <v/>
      </c>
      <c r="BU153" s="5">
        <f>BU151*Eras!BU$4</f>
        <v/>
      </c>
      <c r="BV153" s="5">
        <f>BV151*Eras!BV$4</f>
        <v/>
      </c>
    </row>
    <row r="154">
      <c r="A154" t="inlineStr">
        <is>
          <t>reactivated in @2</t>
        </is>
      </c>
      <c r="B154" t="inlineStr">
        <is>
          <t>LATAM|BASIC_A</t>
        </is>
      </c>
      <c r="C154" s="5">
        <f>C151*Eras!C$5</f>
        <v/>
      </c>
      <c r="D154" s="5">
        <f>D151*Eras!D$5</f>
        <v/>
      </c>
      <c r="E154" s="5">
        <f>E151*Eras!E$5</f>
        <v/>
      </c>
      <c r="F154" s="5">
        <f>F151*Eras!F$5</f>
        <v/>
      </c>
      <c r="G154" s="5">
        <f>G151*Eras!G$5</f>
        <v/>
      </c>
      <c r="H154" s="5">
        <f>H151*Eras!H$5</f>
        <v/>
      </c>
      <c r="I154" s="5">
        <f>I151*Eras!I$5</f>
        <v/>
      </c>
      <c r="J154" s="5">
        <f>J151*Eras!J$5</f>
        <v/>
      </c>
      <c r="K154" s="5">
        <f>K151*Eras!K$5</f>
        <v/>
      </c>
      <c r="L154" s="5">
        <f>L151*Eras!L$5</f>
        <v/>
      </c>
      <c r="M154" s="5">
        <f>M151*Eras!M$5</f>
        <v/>
      </c>
      <c r="N154" s="5">
        <f>N151*Eras!N$5</f>
        <v/>
      </c>
      <c r="O154" s="5">
        <f>O151*Eras!O$5</f>
        <v/>
      </c>
      <c r="P154" s="5">
        <f>P151*Eras!P$5</f>
        <v/>
      </c>
      <c r="Q154" s="5">
        <f>Q151*Eras!Q$5</f>
        <v/>
      </c>
      <c r="R154" s="5">
        <f>R151*Eras!R$5</f>
        <v/>
      </c>
      <c r="S154" s="5">
        <f>S151*Eras!S$5</f>
        <v/>
      </c>
      <c r="T154" s="5">
        <f>T151*Eras!T$5</f>
        <v/>
      </c>
      <c r="U154" s="5">
        <f>U151*Eras!U$5</f>
        <v/>
      </c>
      <c r="V154" s="5">
        <f>V151*Eras!V$5</f>
        <v/>
      </c>
      <c r="W154" s="5">
        <f>W151*Eras!W$5</f>
        <v/>
      </c>
      <c r="X154" s="5">
        <f>X151*Eras!X$5</f>
        <v/>
      </c>
      <c r="Y154" s="5">
        <f>Y151*Eras!Y$5</f>
        <v/>
      </c>
      <c r="Z154" s="5">
        <f>Z151*Eras!Z$5</f>
        <v/>
      </c>
      <c r="AA154" s="5">
        <f>AA151*Eras!AA$5</f>
        <v/>
      </c>
      <c r="AB154" s="5">
        <f>AB151*Eras!AB$5</f>
        <v/>
      </c>
      <c r="AC154" s="5">
        <f>AC151*Eras!AC$5</f>
        <v/>
      </c>
      <c r="AD154" s="5">
        <f>AD151*Eras!AD$5</f>
        <v/>
      </c>
      <c r="AE154" s="5">
        <f>AE151*Eras!AE$5</f>
        <v/>
      </c>
      <c r="AF154" s="5">
        <f>AF151*Eras!AF$5</f>
        <v/>
      </c>
      <c r="AG154" s="5">
        <f>AG151*Eras!AG$5</f>
        <v/>
      </c>
      <c r="AH154" s="5">
        <f>AH151*Eras!AH$5</f>
        <v/>
      </c>
      <c r="AI154" s="5">
        <f>AI151*Eras!AI$5</f>
        <v/>
      </c>
      <c r="AJ154" s="5">
        <f>AJ151*Eras!AJ$5</f>
        <v/>
      </c>
      <c r="AK154" s="5">
        <f>AK151*Eras!AK$5</f>
        <v/>
      </c>
      <c r="AL154" s="5">
        <f>AL151*Eras!AL$5</f>
        <v/>
      </c>
      <c r="AM154" s="5">
        <f>AM151*Eras!AM$5</f>
        <v/>
      </c>
      <c r="AN154" s="5">
        <f>AN151*Eras!AN$5</f>
        <v/>
      </c>
      <c r="AO154" s="5">
        <f>AO151*Eras!AO$5</f>
        <v/>
      </c>
      <c r="AP154" s="5">
        <f>AP151*Eras!AP$5</f>
        <v/>
      </c>
      <c r="AQ154" s="5">
        <f>AQ151*Eras!AQ$5</f>
        <v/>
      </c>
      <c r="AR154" s="5">
        <f>AR151*Eras!AR$5</f>
        <v/>
      </c>
      <c r="AS154" s="5">
        <f>AS151*Eras!AS$5</f>
        <v/>
      </c>
      <c r="AT154" s="5">
        <f>AT151*Eras!AT$5</f>
        <v/>
      </c>
      <c r="AU154" s="5">
        <f>AU151*Eras!AU$5</f>
        <v/>
      </c>
      <c r="AV154" s="5">
        <f>AV151*Eras!AV$5</f>
        <v/>
      </c>
      <c r="AW154" s="5">
        <f>AW151*Eras!AW$5</f>
        <v/>
      </c>
      <c r="AX154" s="5">
        <f>AX151*Eras!AX$5</f>
        <v/>
      </c>
      <c r="AY154" s="5">
        <f>AY151*Eras!AY$5</f>
        <v/>
      </c>
      <c r="AZ154" s="5">
        <f>AZ151*Eras!AZ$5</f>
        <v/>
      </c>
      <c r="BA154" s="5">
        <f>BA151*Eras!BA$5</f>
        <v/>
      </c>
      <c r="BB154" s="5">
        <f>BB151*Eras!BB$5</f>
        <v/>
      </c>
      <c r="BC154" s="5">
        <f>BC151*Eras!BC$5</f>
        <v/>
      </c>
      <c r="BD154" s="5">
        <f>BD151*Eras!BD$5</f>
        <v/>
      </c>
      <c r="BE154" s="5">
        <f>BE151*Eras!BE$5</f>
        <v/>
      </c>
      <c r="BF154" s="5">
        <f>BF151*Eras!BF$5</f>
        <v/>
      </c>
      <c r="BG154" s="5">
        <f>BG151*Eras!BG$5</f>
        <v/>
      </c>
      <c r="BH154" s="5">
        <f>BH151*Eras!BH$5</f>
        <v/>
      </c>
      <c r="BI154" s="5">
        <f>BI151*Eras!BI$5</f>
        <v/>
      </c>
      <c r="BJ154" s="5">
        <f>BJ151*Eras!BJ$5</f>
        <v/>
      </c>
      <c r="BK154" s="5">
        <f>BK151*Eras!BK$5</f>
        <v/>
      </c>
      <c r="BL154" s="5">
        <f>BL151*Eras!BL$5</f>
        <v/>
      </c>
      <c r="BM154" s="5">
        <f>BM151*Eras!BM$5</f>
        <v/>
      </c>
      <c r="BN154" s="5">
        <f>BN151*Eras!BN$5</f>
        <v/>
      </c>
      <c r="BO154" s="5">
        <f>BO151*Eras!BO$5</f>
        <v/>
      </c>
      <c r="BP154" s="5">
        <f>BP151*Eras!BP$5</f>
        <v/>
      </c>
      <c r="BQ154" s="5">
        <f>BQ151*Eras!BQ$5</f>
        <v/>
      </c>
      <c r="BR154" s="5">
        <f>BR151*Eras!BR$5</f>
        <v/>
      </c>
      <c r="BS154" s="5">
        <f>BS151*Eras!BS$5</f>
        <v/>
      </c>
      <c r="BT154" s="5">
        <f>BT151*Eras!BT$5</f>
        <v/>
      </c>
      <c r="BU154" s="5">
        <f>BU151*Eras!BU$5</f>
        <v/>
      </c>
      <c r="BV154" s="5">
        <f>BV151*Eras!BV$5</f>
        <v/>
      </c>
    </row>
    <row r="155">
      <c r="A155" t="inlineStr">
        <is>
          <t>active</t>
        </is>
      </c>
      <c r="B155" t="inlineStr">
        <is>
          <t>LATAM|BASIC_A</t>
        </is>
      </c>
      <c r="C155" s="5">
        <f>React!$C$152*Curves!$BV$19+React!$C$153*Curves!$BV$42+React!$C$154*Curves!$BV$65</f>
        <v/>
      </c>
      <c r="D155" s="5">
        <f>SUMPRODUCT(React!$C$152:$D$152,Curves!$BU$19:$BV$19)+SUMPRODUCT(React!$C$153:$D$153,Curves!$BU$42:$BV$42)+SUMPRODUCT(React!$C$154:$D$154,Curves!$BU$65:$BV$65)</f>
        <v/>
      </c>
      <c r="E155" s="5">
        <f>SUMPRODUCT(React!$C$152:$E$152,Curves!$BT$19:$BV$19)+SUMPRODUCT(React!$C$153:$E$153,Curves!$BT$42:$BV$42)+SUMPRODUCT(React!$C$154:$E$154,Curves!$BT$65:$BV$65)</f>
        <v/>
      </c>
      <c r="F155" s="5">
        <f>SUMPRODUCT(React!$C$152:$F$152,Curves!$BS$19:$BV$19)+SUMPRODUCT(React!$C$153:$F$153,Curves!$BS$42:$BV$42)+SUMPRODUCT(React!$C$154:$F$154,Curves!$BS$65:$BV$65)</f>
        <v/>
      </c>
      <c r="G155" s="5">
        <f>SUMPRODUCT(React!$C$152:$G$152,Curves!$BR$19:$BV$19)+SUMPRODUCT(React!$C$153:$G$153,Curves!$BR$42:$BV$42)+SUMPRODUCT(React!$C$154:$G$154,Curves!$BR$65:$BV$65)</f>
        <v/>
      </c>
      <c r="H155" s="5">
        <f>SUMPRODUCT(React!$C$152:$H$152,Curves!$BQ$19:$BV$19)+SUMPRODUCT(React!$C$153:$H$153,Curves!$BQ$42:$BV$42)+SUMPRODUCT(React!$C$154:$H$154,Curves!$BQ$65:$BV$65)</f>
        <v/>
      </c>
      <c r="I155" s="5">
        <f>SUMPRODUCT(React!$C$152:$I$152,Curves!$BP$19:$BV$19)+SUMPRODUCT(React!$C$153:$I$153,Curves!$BP$42:$BV$42)+SUMPRODUCT(React!$C$154:$I$154,Curves!$BP$65:$BV$65)</f>
        <v/>
      </c>
      <c r="J155" s="5">
        <f>SUMPRODUCT(React!$C$152:$J$152,Curves!$BO$19:$BV$19)+SUMPRODUCT(React!$C$153:$J$153,Curves!$BO$42:$BV$42)+SUMPRODUCT(React!$C$154:$J$154,Curves!$BO$65:$BV$65)</f>
        <v/>
      </c>
      <c r="K155" s="5">
        <f>SUMPRODUCT(React!$C$152:$K$152,Curves!$BN$19:$BV$19)+SUMPRODUCT(React!$C$153:$K$153,Curves!$BN$42:$BV$42)+SUMPRODUCT(React!$C$154:$K$154,Curves!$BN$65:$BV$65)</f>
        <v/>
      </c>
      <c r="L155" s="5">
        <f>SUMPRODUCT(React!$C$152:$L$152,Curves!$BM$19:$BV$19)+SUMPRODUCT(React!$C$153:$L$153,Curves!$BM$42:$BV$42)+SUMPRODUCT(React!$C$154:$L$154,Curves!$BM$65:$BV$65)</f>
        <v/>
      </c>
      <c r="M155" s="5">
        <f>SUMPRODUCT(React!$C$152:$M$152,Curves!$BL$19:$BV$19)+SUMPRODUCT(React!$C$153:$M$153,Curves!$BL$42:$BV$42)+SUMPRODUCT(React!$C$154:$M$154,Curves!$BL$65:$BV$65)</f>
        <v/>
      </c>
      <c r="N155" s="5">
        <f>SUMPRODUCT(React!$C$152:$N$152,Curves!$BK$19:$BV$19)+SUMPRODUCT(React!$C$153:$N$153,Curves!$BK$42:$BV$42)+SUMPRODUCT(React!$C$154:$N$154,Curves!$BK$65:$BV$65)</f>
        <v/>
      </c>
      <c r="O155" s="5">
        <f>SUMPRODUCT(React!$C$152:$O$152,Curves!$BJ$19:$BV$19)+SUMPRODUCT(React!$C$153:$O$153,Curves!$BJ$42:$BV$42)+SUMPRODUCT(React!$C$154:$O$154,Curves!$BJ$65:$BV$65)</f>
        <v/>
      </c>
      <c r="P155" s="5">
        <f>SUMPRODUCT(React!$C$152:$P$152,Curves!$BI$19:$BV$19)+SUMPRODUCT(React!$C$153:$P$153,Curves!$BI$42:$BV$42)+SUMPRODUCT(React!$C$154:$P$154,Curves!$BI$65:$BV$65)</f>
        <v/>
      </c>
      <c r="Q155" s="5">
        <f>SUMPRODUCT(React!$C$152:$Q$152,Curves!$BH$19:$BV$19)+SUMPRODUCT(React!$C$153:$Q$153,Curves!$BH$42:$BV$42)+SUMPRODUCT(React!$C$154:$Q$154,Curves!$BH$65:$BV$65)</f>
        <v/>
      </c>
      <c r="R155" s="5">
        <f>SUMPRODUCT(React!$C$152:$R$152,Curves!$BG$19:$BV$19)+SUMPRODUCT(React!$C$153:$R$153,Curves!$BG$42:$BV$42)+SUMPRODUCT(React!$C$154:$R$154,Curves!$BG$65:$BV$65)</f>
        <v/>
      </c>
      <c r="S155" s="5">
        <f>SUMPRODUCT(React!$C$152:$S$152,Curves!$BF$19:$BV$19)+SUMPRODUCT(React!$C$153:$S$153,Curves!$BF$42:$BV$42)+SUMPRODUCT(React!$C$154:$S$154,Curves!$BF$65:$BV$65)</f>
        <v/>
      </c>
      <c r="T155" s="5">
        <f>SUMPRODUCT(React!$C$152:$T$152,Curves!$BE$19:$BV$19)+SUMPRODUCT(React!$C$153:$T$153,Curves!$BE$42:$BV$42)+SUMPRODUCT(React!$C$154:$T$154,Curves!$BE$65:$BV$65)</f>
        <v/>
      </c>
      <c r="U155" s="5">
        <f>SUMPRODUCT(React!$C$152:$U$152,Curves!$BD$19:$BV$19)+SUMPRODUCT(React!$C$153:$U$153,Curves!$BD$42:$BV$42)+SUMPRODUCT(React!$C$154:$U$154,Curves!$BD$65:$BV$65)</f>
        <v/>
      </c>
      <c r="V155" s="5">
        <f>SUMPRODUCT(React!$C$152:$V$152,Curves!$BC$19:$BV$19)+SUMPRODUCT(React!$C$153:$V$153,Curves!$BC$42:$BV$42)+SUMPRODUCT(React!$C$154:$V$154,Curves!$BC$65:$BV$65)</f>
        <v/>
      </c>
      <c r="W155" s="5">
        <f>SUMPRODUCT(React!$C$152:$W$152,Curves!$BB$19:$BV$19)+SUMPRODUCT(React!$C$153:$W$153,Curves!$BB$42:$BV$42)+SUMPRODUCT(React!$C$154:$W$154,Curves!$BB$65:$BV$65)</f>
        <v/>
      </c>
      <c r="X155" s="5">
        <f>SUMPRODUCT(React!$C$152:$X$152,Curves!$BA$19:$BV$19)+SUMPRODUCT(React!$C$153:$X$153,Curves!$BA$42:$BV$42)+SUMPRODUCT(React!$C$154:$X$154,Curves!$BA$65:$BV$65)</f>
        <v/>
      </c>
      <c r="Y155" s="5">
        <f>SUMPRODUCT(React!$C$152:$Y$152,Curves!$AZ$19:$BV$19)+SUMPRODUCT(React!$C$153:$Y$153,Curves!$AZ$42:$BV$42)+SUMPRODUCT(React!$C$154:$Y$154,Curves!$AZ$65:$BV$65)</f>
        <v/>
      </c>
      <c r="Z155" s="5">
        <f>SUMPRODUCT(React!$C$152:$Z$152,Curves!$AY$19:$BV$19)+SUMPRODUCT(React!$C$153:$Z$153,Curves!$AY$42:$BV$42)+SUMPRODUCT(React!$C$154:$Z$154,Curves!$AY$65:$BV$65)</f>
        <v/>
      </c>
      <c r="AA155" s="5">
        <f>SUMPRODUCT(React!$C$152:$AA$152,Curves!$AX$19:$BV$19)+SUMPRODUCT(React!$C$153:$AA$153,Curves!$AX$42:$BV$42)+SUMPRODUCT(React!$C$154:$AA$154,Curves!$AX$65:$BV$65)</f>
        <v/>
      </c>
      <c r="AB155" s="5">
        <f>SUMPRODUCT(React!$C$152:$AB$152,Curves!$AW$19:$BV$19)+SUMPRODUCT(React!$C$153:$AB$153,Curves!$AW$42:$BV$42)+SUMPRODUCT(React!$C$154:$AB$154,Curves!$AW$65:$BV$65)</f>
        <v/>
      </c>
      <c r="AC155" s="5">
        <f>SUMPRODUCT(React!$C$152:$AC$152,Curves!$AV$19:$BV$19)+SUMPRODUCT(React!$C$153:$AC$153,Curves!$AV$42:$BV$42)+SUMPRODUCT(React!$C$154:$AC$154,Curves!$AV$65:$BV$65)</f>
        <v/>
      </c>
      <c r="AD155" s="5">
        <f>SUMPRODUCT(React!$C$152:$AD$152,Curves!$AU$19:$BV$19)+SUMPRODUCT(React!$C$153:$AD$153,Curves!$AU$42:$BV$42)+SUMPRODUCT(React!$C$154:$AD$154,Curves!$AU$65:$BV$65)</f>
        <v/>
      </c>
      <c r="AE155" s="5">
        <f>SUMPRODUCT(React!$C$152:$AE$152,Curves!$AT$19:$BV$19)+SUMPRODUCT(React!$C$153:$AE$153,Curves!$AT$42:$BV$42)+SUMPRODUCT(React!$C$154:$AE$154,Curves!$AT$65:$BV$65)</f>
        <v/>
      </c>
      <c r="AF155" s="5">
        <f>SUMPRODUCT(React!$C$152:$AF$152,Curves!$AS$19:$BV$19)+SUMPRODUCT(React!$C$153:$AF$153,Curves!$AS$42:$BV$42)+SUMPRODUCT(React!$C$154:$AF$154,Curves!$AS$65:$BV$65)</f>
        <v/>
      </c>
      <c r="AG155" s="5">
        <f>SUMPRODUCT(React!$C$152:$AG$152,Curves!$AR$19:$BV$19)+SUMPRODUCT(React!$C$153:$AG$153,Curves!$AR$42:$BV$42)+SUMPRODUCT(React!$C$154:$AG$154,Curves!$AR$65:$BV$65)</f>
        <v/>
      </c>
      <c r="AH155" s="5">
        <f>SUMPRODUCT(React!$C$152:$AH$152,Curves!$AQ$19:$BV$19)+SUMPRODUCT(React!$C$153:$AH$153,Curves!$AQ$42:$BV$42)+SUMPRODUCT(React!$C$154:$AH$154,Curves!$AQ$65:$BV$65)</f>
        <v/>
      </c>
      <c r="AI155" s="5">
        <f>SUMPRODUCT(React!$C$152:$AI$152,Curves!$AP$19:$BV$19)+SUMPRODUCT(React!$C$153:$AI$153,Curves!$AP$42:$BV$42)+SUMPRODUCT(React!$C$154:$AI$154,Curves!$AP$65:$BV$65)</f>
        <v/>
      </c>
      <c r="AJ155" s="5">
        <f>SUMPRODUCT(React!$C$152:$AJ$152,Curves!$AO$19:$BV$19)+SUMPRODUCT(React!$C$153:$AJ$153,Curves!$AO$42:$BV$42)+SUMPRODUCT(React!$C$154:$AJ$154,Curves!$AO$65:$BV$65)</f>
        <v/>
      </c>
      <c r="AK155" s="5">
        <f>SUMPRODUCT(React!$C$152:$AK$152,Curves!$AN$19:$BV$19)+SUMPRODUCT(React!$C$153:$AK$153,Curves!$AN$42:$BV$42)+SUMPRODUCT(React!$C$154:$AK$154,Curves!$AN$65:$BV$65)</f>
        <v/>
      </c>
      <c r="AL155" s="5">
        <f>SUMPRODUCT(React!$C$152:$AL$152,Curves!$AM$19:$BV$19)+SUMPRODUCT(React!$C$153:$AL$153,Curves!$AM$42:$BV$42)+SUMPRODUCT(React!$C$154:$AL$154,Curves!$AM$65:$BV$65)</f>
        <v/>
      </c>
      <c r="AM155" s="5">
        <f>SUMPRODUCT(React!$C$152:$AM$152,Curves!$AL$19:$BV$19)+SUMPRODUCT(React!$C$153:$AM$153,Curves!$AL$42:$BV$42)+SUMPRODUCT(React!$C$154:$AM$154,Curves!$AL$65:$BV$65)</f>
        <v/>
      </c>
      <c r="AN155" s="5">
        <f>SUMPRODUCT(React!$C$152:$AN$152,Curves!$AK$19:$BV$19)+SUMPRODUCT(React!$C$153:$AN$153,Curves!$AK$42:$BV$42)+SUMPRODUCT(React!$C$154:$AN$154,Curves!$AK$65:$BV$65)</f>
        <v/>
      </c>
      <c r="AO155" s="5">
        <f>SUMPRODUCT(React!$C$152:$AO$152,Curves!$AJ$19:$BV$19)+SUMPRODUCT(React!$C$153:$AO$153,Curves!$AJ$42:$BV$42)+SUMPRODUCT(React!$C$154:$AO$154,Curves!$AJ$65:$BV$65)</f>
        <v/>
      </c>
      <c r="AP155" s="5">
        <f>SUMPRODUCT(React!$C$152:$AP$152,Curves!$AI$19:$BV$19)+SUMPRODUCT(React!$C$153:$AP$153,Curves!$AI$42:$BV$42)+SUMPRODUCT(React!$C$154:$AP$154,Curves!$AI$65:$BV$65)</f>
        <v/>
      </c>
      <c r="AQ155" s="5">
        <f>SUMPRODUCT(React!$C$152:$AQ$152,Curves!$AH$19:$BV$19)+SUMPRODUCT(React!$C$153:$AQ$153,Curves!$AH$42:$BV$42)+SUMPRODUCT(React!$C$154:$AQ$154,Curves!$AH$65:$BV$65)</f>
        <v/>
      </c>
      <c r="AR155" s="5">
        <f>SUMPRODUCT(React!$C$152:$AR$152,Curves!$AG$19:$BV$19)+SUMPRODUCT(React!$C$153:$AR$153,Curves!$AG$42:$BV$42)+SUMPRODUCT(React!$C$154:$AR$154,Curves!$AG$65:$BV$65)</f>
        <v/>
      </c>
      <c r="AS155" s="5">
        <f>SUMPRODUCT(React!$C$152:$AS$152,Curves!$AF$19:$BV$19)+SUMPRODUCT(React!$C$153:$AS$153,Curves!$AF$42:$BV$42)+SUMPRODUCT(React!$C$154:$AS$154,Curves!$AF$65:$BV$65)</f>
        <v/>
      </c>
      <c r="AT155" s="5">
        <f>SUMPRODUCT(React!$C$152:$AT$152,Curves!$AE$19:$BV$19)+SUMPRODUCT(React!$C$153:$AT$153,Curves!$AE$42:$BV$42)+SUMPRODUCT(React!$C$154:$AT$154,Curves!$AE$65:$BV$65)</f>
        <v/>
      </c>
      <c r="AU155" s="5">
        <f>SUMPRODUCT(React!$C$152:$AU$152,Curves!$AD$19:$BV$19)+SUMPRODUCT(React!$C$153:$AU$153,Curves!$AD$42:$BV$42)+SUMPRODUCT(React!$C$154:$AU$154,Curves!$AD$65:$BV$65)</f>
        <v/>
      </c>
      <c r="AV155" s="5">
        <f>SUMPRODUCT(React!$C$152:$AV$152,Curves!$AC$19:$BV$19)+SUMPRODUCT(React!$C$153:$AV$153,Curves!$AC$42:$BV$42)+SUMPRODUCT(React!$C$154:$AV$154,Curves!$AC$65:$BV$65)</f>
        <v/>
      </c>
      <c r="AW155" s="5">
        <f>SUMPRODUCT(React!$C$152:$AW$152,Curves!$AB$19:$BV$19)+SUMPRODUCT(React!$C$153:$AW$153,Curves!$AB$42:$BV$42)+SUMPRODUCT(React!$C$154:$AW$154,Curves!$AB$65:$BV$65)</f>
        <v/>
      </c>
      <c r="AX155" s="5">
        <f>SUMPRODUCT(React!$C$152:$AX$152,Curves!$AA$19:$BV$19)+SUMPRODUCT(React!$C$153:$AX$153,Curves!$AA$42:$BV$42)+SUMPRODUCT(React!$C$154:$AX$154,Curves!$AA$65:$BV$65)</f>
        <v/>
      </c>
      <c r="AY155" s="5">
        <f>SUMPRODUCT(React!$C$152:$AY$152,Curves!$Z$19:$BV$19)+SUMPRODUCT(React!$C$153:$AY$153,Curves!$Z$42:$BV$42)+SUMPRODUCT(React!$C$154:$AY$154,Curves!$Z$65:$BV$65)</f>
        <v/>
      </c>
      <c r="AZ155" s="5">
        <f>SUMPRODUCT(React!$C$152:$AZ$152,Curves!$Y$19:$BV$19)+SUMPRODUCT(React!$C$153:$AZ$153,Curves!$Y$42:$BV$42)+SUMPRODUCT(React!$C$154:$AZ$154,Curves!$Y$65:$BV$65)</f>
        <v/>
      </c>
      <c r="BA155" s="5">
        <f>SUMPRODUCT(React!$C$152:$BA$152,Curves!$X$19:$BV$19)+SUMPRODUCT(React!$C$153:$BA$153,Curves!$X$42:$BV$42)+SUMPRODUCT(React!$C$154:$BA$154,Curves!$X$65:$BV$65)</f>
        <v/>
      </c>
      <c r="BB155" s="5">
        <f>SUMPRODUCT(React!$C$152:$BB$152,Curves!$W$19:$BV$19)+SUMPRODUCT(React!$C$153:$BB$153,Curves!$W$42:$BV$42)+SUMPRODUCT(React!$C$154:$BB$154,Curves!$W$65:$BV$65)</f>
        <v/>
      </c>
      <c r="BC155" s="5">
        <f>SUMPRODUCT(React!$C$152:$BC$152,Curves!$V$19:$BV$19)+SUMPRODUCT(React!$C$153:$BC$153,Curves!$V$42:$BV$42)+SUMPRODUCT(React!$C$154:$BC$154,Curves!$V$65:$BV$65)</f>
        <v/>
      </c>
      <c r="BD155" s="5">
        <f>SUMPRODUCT(React!$C$152:$BD$152,Curves!$U$19:$BV$19)+SUMPRODUCT(React!$C$153:$BD$153,Curves!$U$42:$BV$42)+SUMPRODUCT(React!$C$154:$BD$154,Curves!$U$65:$BV$65)</f>
        <v/>
      </c>
      <c r="BE155" s="5">
        <f>SUMPRODUCT(React!$C$152:$BE$152,Curves!$T$19:$BV$19)+SUMPRODUCT(React!$C$153:$BE$153,Curves!$T$42:$BV$42)+SUMPRODUCT(React!$C$154:$BE$154,Curves!$T$65:$BV$65)</f>
        <v/>
      </c>
      <c r="BF155" s="5">
        <f>SUMPRODUCT(React!$C$152:$BF$152,Curves!$S$19:$BV$19)+SUMPRODUCT(React!$C$153:$BF$153,Curves!$S$42:$BV$42)+SUMPRODUCT(React!$C$154:$BF$154,Curves!$S$65:$BV$65)</f>
        <v/>
      </c>
      <c r="BG155" s="5">
        <f>SUMPRODUCT(React!$C$152:$BG$152,Curves!$R$19:$BV$19)+SUMPRODUCT(React!$C$153:$BG$153,Curves!$R$42:$BV$42)+SUMPRODUCT(React!$C$154:$BG$154,Curves!$R$65:$BV$65)</f>
        <v/>
      </c>
      <c r="BH155" s="5">
        <f>SUMPRODUCT(React!$C$152:$BH$152,Curves!$Q$19:$BV$19)+SUMPRODUCT(React!$C$153:$BH$153,Curves!$Q$42:$BV$42)+SUMPRODUCT(React!$C$154:$BH$154,Curves!$Q$65:$BV$65)</f>
        <v/>
      </c>
      <c r="BI155" s="5">
        <f>SUMPRODUCT(React!$C$152:$BI$152,Curves!$P$19:$BV$19)+SUMPRODUCT(React!$C$153:$BI$153,Curves!$P$42:$BV$42)+SUMPRODUCT(React!$C$154:$BI$154,Curves!$P$65:$BV$65)</f>
        <v/>
      </c>
      <c r="BJ155" s="5">
        <f>SUMPRODUCT(React!$C$152:$BJ$152,Curves!$O$19:$BV$19)+SUMPRODUCT(React!$C$153:$BJ$153,Curves!$O$42:$BV$42)+SUMPRODUCT(React!$C$154:$BJ$154,Curves!$O$65:$BV$65)</f>
        <v/>
      </c>
      <c r="BK155" s="5">
        <f>SUMPRODUCT(React!$C$152:$BK$152,Curves!$N$19:$BV$19)+SUMPRODUCT(React!$C$153:$BK$153,Curves!$N$42:$BV$42)+SUMPRODUCT(React!$C$154:$BK$154,Curves!$N$65:$BV$65)</f>
        <v/>
      </c>
      <c r="BL155" s="5">
        <f>SUMPRODUCT(React!$C$152:$BL$152,Curves!$M$19:$BV$19)+SUMPRODUCT(React!$C$153:$BL$153,Curves!$M$42:$BV$42)+SUMPRODUCT(React!$C$154:$BL$154,Curves!$M$65:$BV$65)</f>
        <v/>
      </c>
      <c r="BM155" s="5">
        <f>SUMPRODUCT(React!$C$152:$BM$152,Curves!$L$19:$BV$19)+SUMPRODUCT(React!$C$153:$BM$153,Curves!$L$42:$BV$42)+SUMPRODUCT(React!$C$154:$BM$154,Curves!$L$65:$BV$65)</f>
        <v/>
      </c>
      <c r="BN155" s="5">
        <f>SUMPRODUCT(React!$C$152:$BN$152,Curves!$K$19:$BV$19)+SUMPRODUCT(React!$C$153:$BN$153,Curves!$K$42:$BV$42)+SUMPRODUCT(React!$C$154:$BN$154,Curves!$K$65:$BV$65)</f>
        <v/>
      </c>
      <c r="BO155" s="5">
        <f>SUMPRODUCT(React!$C$152:$BO$152,Curves!$J$19:$BV$19)+SUMPRODUCT(React!$C$153:$BO$153,Curves!$J$42:$BV$42)+SUMPRODUCT(React!$C$154:$BO$154,Curves!$J$65:$BV$65)</f>
        <v/>
      </c>
      <c r="BP155" s="5">
        <f>SUMPRODUCT(React!$C$152:$BP$152,Curves!$I$19:$BV$19)+SUMPRODUCT(React!$C$153:$BP$153,Curves!$I$42:$BV$42)+SUMPRODUCT(React!$C$154:$BP$154,Curves!$I$65:$BV$65)</f>
        <v/>
      </c>
      <c r="BQ155" s="5">
        <f>SUMPRODUCT(React!$C$152:$BQ$152,Curves!$H$19:$BV$19)+SUMPRODUCT(React!$C$153:$BQ$153,Curves!$H$42:$BV$42)+SUMPRODUCT(React!$C$154:$BQ$154,Curves!$H$65:$BV$65)</f>
        <v/>
      </c>
      <c r="BR155" s="5">
        <f>SUMPRODUCT(React!$C$152:$BR$152,Curves!$G$19:$BV$19)+SUMPRODUCT(React!$C$153:$BR$153,Curves!$G$42:$BV$42)+SUMPRODUCT(React!$C$154:$BR$154,Curves!$G$65:$BV$65)</f>
        <v/>
      </c>
      <c r="BS155" s="5">
        <f>SUMPRODUCT(React!$C$152:$BS$152,Curves!$F$19:$BV$19)+SUMPRODUCT(React!$C$153:$BS$153,Curves!$F$42:$BV$42)+SUMPRODUCT(React!$C$154:$BS$154,Curves!$F$65:$BV$65)</f>
        <v/>
      </c>
      <c r="BT155" s="5">
        <f>SUMPRODUCT(React!$C$152:$BT$152,Curves!$E$19:$BV$19)+SUMPRODUCT(React!$C$153:$BT$153,Curves!$E$42:$BV$42)+SUMPRODUCT(React!$C$154:$BT$154,Curves!$E$65:$BV$65)</f>
        <v/>
      </c>
      <c r="BU155" s="5">
        <f>SUMPRODUCT(React!$C$152:$BU$152,Curves!$D$19:$BV$19)+SUMPRODUCT(React!$C$153:$BU$153,Curves!$D$42:$BV$42)+SUMPRODUCT(React!$C$154:$BU$154,Curves!$D$65:$BV$65)</f>
        <v/>
      </c>
      <c r="BV155" s="5">
        <f>SUMPRODUCT(React!$C$152:$BV$152,Curves!$C$19:$BV$19)+SUMPRODUCT(React!$C$153:$BV$153,Curves!$C$42:$BV$42)+SUMPRODUCT(React!$C$154:$BV$154,Curves!$C$65:$BV$65)</f>
        <v/>
      </c>
    </row>
    <row r="156">
      <c r="A156" t="inlineStr">
        <is>
          <t>active yr 1</t>
        </is>
      </c>
      <c r="B156" t="inlineStr">
        <is>
          <t>LATAM|BASIC_A</t>
        </is>
      </c>
      <c r="C156" s="5">
        <f>React!$C$152*Curves!$BV$24+React!$C$153*Curves!$BV$47+React!$C$154*Curves!$BV$70</f>
        <v/>
      </c>
      <c r="D156" s="5">
        <f>SUMPRODUCT(React!$C$152:$D$152,Curves!$BU$24:$BV$24)+SUMPRODUCT(React!$C$153:$D$153,Curves!$BU$47:$BV$47)+SUMPRODUCT(React!$C$154:$D$154,Curves!$BU$70:$BV$70)</f>
        <v/>
      </c>
      <c r="E156" s="5">
        <f>SUMPRODUCT(React!$C$152:$E$152,Curves!$BT$24:$BV$24)+SUMPRODUCT(React!$C$153:$E$153,Curves!$BT$47:$BV$47)+SUMPRODUCT(React!$C$154:$E$154,Curves!$BT$70:$BV$70)</f>
        <v/>
      </c>
      <c r="F156" s="5">
        <f>SUMPRODUCT(React!$C$152:$F$152,Curves!$BS$24:$BV$24)+SUMPRODUCT(React!$C$153:$F$153,Curves!$BS$47:$BV$47)+SUMPRODUCT(React!$C$154:$F$154,Curves!$BS$70:$BV$70)</f>
        <v/>
      </c>
      <c r="G156" s="5">
        <f>SUMPRODUCT(React!$C$152:$G$152,Curves!$BR$24:$BV$24)+SUMPRODUCT(React!$C$153:$G$153,Curves!$BR$47:$BV$47)+SUMPRODUCT(React!$C$154:$G$154,Curves!$BR$70:$BV$70)</f>
        <v/>
      </c>
      <c r="H156" s="5">
        <f>SUMPRODUCT(React!$C$152:$H$152,Curves!$BQ$24:$BV$24)+SUMPRODUCT(React!$C$153:$H$153,Curves!$BQ$47:$BV$47)+SUMPRODUCT(React!$C$154:$H$154,Curves!$BQ$70:$BV$70)</f>
        <v/>
      </c>
      <c r="I156" s="5">
        <f>SUMPRODUCT(React!$C$152:$I$152,Curves!$BP$24:$BV$24)+SUMPRODUCT(React!$C$153:$I$153,Curves!$BP$47:$BV$47)+SUMPRODUCT(React!$C$154:$I$154,Curves!$BP$70:$BV$70)</f>
        <v/>
      </c>
      <c r="J156" s="5">
        <f>SUMPRODUCT(React!$C$152:$J$152,Curves!$BO$24:$BV$24)+SUMPRODUCT(React!$C$153:$J$153,Curves!$BO$47:$BV$47)+SUMPRODUCT(React!$C$154:$J$154,Curves!$BO$70:$BV$70)</f>
        <v/>
      </c>
      <c r="K156" s="5">
        <f>SUMPRODUCT(React!$C$152:$K$152,Curves!$BN$24:$BV$24)+SUMPRODUCT(React!$C$153:$K$153,Curves!$BN$47:$BV$47)+SUMPRODUCT(React!$C$154:$K$154,Curves!$BN$70:$BV$70)</f>
        <v/>
      </c>
      <c r="L156" s="5">
        <f>SUMPRODUCT(React!$C$152:$L$152,Curves!$BM$24:$BV$24)+SUMPRODUCT(React!$C$153:$L$153,Curves!$BM$47:$BV$47)+SUMPRODUCT(React!$C$154:$L$154,Curves!$BM$70:$BV$70)</f>
        <v/>
      </c>
      <c r="M156" s="5">
        <f>SUMPRODUCT(React!$C$152:$M$152,Curves!$BL$24:$BV$24)+SUMPRODUCT(React!$C$153:$M$153,Curves!$BL$47:$BV$47)+SUMPRODUCT(React!$C$154:$M$154,Curves!$BL$70:$BV$70)</f>
        <v/>
      </c>
      <c r="N156" s="5">
        <f>SUMPRODUCT(React!$C$152:$N$152,Curves!$BK$24:$BV$24)+SUMPRODUCT(React!$C$153:$N$153,Curves!$BK$47:$BV$47)+SUMPRODUCT(React!$C$154:$N$154,Curves!$BK$70:$BV$70)</f>
        <v/>
      </c>
      <c r="O156" s="5">
        <f>SUMPRODUCT(React!$C$152:$O$152,Curves!$BJ$24:$BV$24)+SUMPRODUCT(React!$C$153:$O$153,Curves!$BJ$47:$BV$47)+SUMPRODUCT(React!$C$154:$O$154,Curves!$BJ$70:$BV$70)</f>
        <v/>
      </c>
      <c r="P156" s="5">
        <f>SUMPRODUCT(React!$C$152:$P$152,Curves!$BI$24:$BV$24)+SUMPRODUCT(React!$C$153:$P$153,Curves!$BI$47:$BV$47)+SUMPRODUCT(React!$C$154:$P$154,Curves!$BI$70:$BV$70)</f>
        <v/>
      </c>
      <c r="Q156" s="5">
        <f>SUMPRODUCT(React!$C$152:$Q$152,Curves!$BH$24:$BV$24)+SUMPRODUCT(React!$C$153:$Q$153,Curves!$BH$47:$BV$47)+SUMPRODUCT(React!$C$154:$Q$154,Curves!$BH$70:$BV$70)</f>
        <v/>
      </c>
      <c r="R156" s="5">
        <f>SUMPRODUCT(React!$C$152:$R$152,Curves!$BG$24:$BV$24)+SUMPRODUCT(React!$C$153:$R$153,Curves!$BG$47:$BV$47)+SUMPRODUCT(React!$C$154:$R$154,Curves!$BG$70:$BV$70)</f>
        <v/>
      </c>
      <c r="S156" s="5">
        <f>SUMPRODUCT(React!$C$152:$S$152,Curves!$BF$24:$BV$24)+SUMPRODUCT(React!$C$153:$S$153,Curves!$BF$47:$BV$47)+SUMPRODUCT(React!$C$154:$S$154,Curves!$BF$70:$BV$70)</f>
        <v/>
      </c>
      <c r="T156" s="5">
        <f>SUMPRODUCT(React!$C$152:$T$152,Curves!$BE$24:$BV$24)+SUMPRODUCT(React!$C$153:$T$153,Curves!$BE$47:$BV$47)+SUMPRODUCT(React!$C$154:$T$154,Curves!$BE$70:$BV$70)</f>
        <v/>
      </c>
      <c r="U156" s="5">
        <f>SUMPRODUCT(React!$C$152:$U$152,Curves!$BD$24:$BV$24)+SUMPRODUCT(React!$C$153:$U$153,Curves!$BD$47:$BV$47)+SUMPRODUCT(React!$C$154:$U$154,Curves!$BD$70:$BV$70)</f>
        <v/>
      </c>
      <c r="V156" s="5">
        <f>SUMPRODUCT(React!$C$152:$V$152,Curves!$BC$24:$BV$24)+SUMPRODUCT(React!$C$153:$V$153,Curves!$BC$47:$BV$47)+SUMPRODUCT(React!$C$154:$V$154,Curves!$BC$70:$BV$70)</f>
        <v/>
      </c>
      <c r="W156" s="5">
        <f>SUMPRODUCT(React!$C$152:$W$152,Curves!$BB$24:$BV$24)+SUMPRODUCT(React!$C$153:$W$153,Curves!$BB$47:$BV$47)+SUMPRODUCT(React!$C$154:$W$154,Curves!$BB$70:$BV$70)</f>
        <v/>
      </c>
      <c r="X156" s="5">
        <f>SUMPRODUCT(React!$C$152:$X$152,Curves!$BA$24:$BV$24)+SUMPRODUCT(React!$C$153:$X$153,Curves!$BA$47:$BV$47)+SUMPRODUCT(React!$C$154:$X$154,Curves!$BA$70:$BV$70)</f>
        <v/>
      </c>
      <c r="Y156" s="5">
        <f>SUMPRODUCT(React!$C$152:$Y$152,Curves!$AZ$24:$BV$24)+SUMPRODUCT(React!$C$153:$Y$153,Curves!$AZ$47:$BV$47)+SUMPRODUCT(React!$C$154:$Y$154,Curves!$AZ$70:$BV$70)</f>
        <v/>
      </c>
      <c r="Z156" s="5">
        <f>SUMPRODUCT(React!$C$152:$Z$152,Curves!$AY$24:$BV$24)+SUMPRODUCT(React!$C$153:$Z$153,Curves!$AY$47:$BV$47)+SUMPRODUCT(React!$C$154:$Z$154,Curves!$AY$70:$BV$70)</f>
        <v/>
      </c>
      <c r="AA156" s="5">
        <f>SUMPRODUCT(React!$C$152:$AA$152,Curves!$AX$24:$BV$24)+SUMPRODUCT(React!$C$153:$AA$153,Curves!$AX$47:$BV$47)+SUMPRODUCT(React!$C$154:$AA$154,Curves!$AX$70:$BV$70)</f>
        <v/>
      </c>
      <c r="AB156" s="5">
        <f>SUMPRODUCT(React!$C$152:$AB$152,Curves!$AW$24:$BV$24)+SUMPRODUCT(React!$C$153:$AB$153,Curves!$AW$47:$BV$47)+SUMPRODUCT(React!$C$154:$AB$154,Curves!$AW$70:$BV$70)</f>
        <v/>
      </c>
      <c r="AC156" s="5">
        <f>SUMPRODUCT(React!$C$152:$AC$152,Curves!$AV$24:$BV$24)+SUMPRODUCT(React!$C$153:$AC$153,Curves!$AV$47:$BV$47)+SUMPRODUCT(React!$C$154:$AC$154,Curves!$AV$70:$BV$70)</f>
        <v/>
      </c>
      <c r="AD156" s="5">
        <f>SUMPRODUCT(React!$C$152:$AD$152,Curves!$AU$24:$BV$24)+SUMPRODUCT(React!$C$153:$AD$153,Curves!$AU$47:$BV$47)+SUMPRODUCT(React!$C$154:$AD$154,Curves!$AU$70:$BV$70)</f>
        <v/>
      </c>
      <c r="AE156" s="5">
        <f>SUMPRODUCT(React!$C$152:$AE$152,Curves!$AT$24:$BV$24)+SUMPRODUCT(React!$C$153:$AE$153,Curves!$AT$47:$BV$47)+SUMPRODUCT(React!$C$154:$AE$154,Curves!$AT$70:$BV$70)</f>
        <v/>
      </c>
      <c r="AF156" s="5">
        <f>SUMPRODUCT(React!$C$152:$AF$152,Curves!$AS$24:$BV$24)+SUMPRODUCT(React!$C$153:$AF$153,Curves!$AS$47:$BV$47)+SUMPRODUCT(React!$C$154:$AF$154,Curves!$AS$70:$BV$70)</f>
        <v/>
      </c>
      <c r="AG156" s="5">
        <f>SUMPRODUCT(React!$C$152:$AG$152,Curves!$AR$24:$BV$24)+SUMPRODUCT(React!$C$153:$AG$153,Curves!$AR$47:$BV$47)+SUMPRODUCT(React!$C$154:$AG$154,Curves!$AR$70:$BV$70)</f>
        <v/>
      </c>
      <c r="AH156" s="5">
        <f>SUMPRODUCT(React!$C$152:$AH$152,Curves!$AQ$24:$BV$24)+SUMPRODUCT(React!$C$153:$AH$153,Curves!$AQ$47:$BV$47)+SUMPRODUCT(React!$C$154:$AH$154,Curves!$AQ$70:$BV$70)</f>
        <v/>
      </c>
      <c r="AI156" s="5">
        <f>SUMPRODUCT(React!$C$152:$AI$152,Curves!$AP$24:$BV$24)+SUMPRODUCT(React!$C$153:$AI$153,Curves!$AP$47:$BV$47)+SUMPRODUCT(React!$C$154:$AI$154,Curves!$AP$70:$BV$70)</f>
        <v/>
      </c>
      <c r="AJ156" s="5">
        <f>SUMPRODUCT(React!$C$152:$AJ$152,Curves!$AO$24:$BV$24)+SUMPRODUCT(React!$C$153:$AJ$153,Curves!$AO$47:$BV$47)+SUMPRODUCT(React!$C$154:$AJ$154,Curves!$AO$70:$BV$70)</f>
        <v/>
      </c>
      <c r="AK156" s="5">
        <f>SUMPRODUCT(React!$C$152:$AK$152,Curves!$AN$24:$BV$24)+SUMPRODUCT(React!$C$153:$AK$153,Curves!$AN$47:$BV$47)+SUMPRODUCT(React!$C$154:$AK$154,Curves!$AN$70:$BV$70)</f>
        <v/>
      </c>
      <c r="AL156" s="5">
        <f>SUMPRODUCT(React!$C$152:$AL$152,Curves!$AM$24:$BV$24)+SUMPRODUCT(React!$C$153:$AL$153,Curves!$AM$47:$BV$47)+SUMPRODUCT(React!$C$154:$AL$154,Curves!$AM$70:$BV$70)</f>
        <v/>
      </c>
      <c r="AM156" s="5">
        <f>SUMPRODUCT(React!$C$152:$AM$152,Curves!$AL$24:$BV$24)+SUMPRODUCT(React!$C$153:$AM$153,Curves!$AL$47:$BV$47)+SUMPRODUCT(React!$C$154:$AM$154,Curves!$AL$70:$BV$70)</f>
        <v/>
      </c>
      <c r="AN156" s="5">
        <f>SUMPRODUCT(React!$C$152:$AN$152,Curves!$AK$24:$BV$24)+SUMPRODUCT(React!$C$153:$AN$153,Curves!$AK$47:$BV$47)+SUMPRODUCT(React!$C$154:$AN$154,Curves!$AK$70:$BV$70)</f>
        <v/>
      </c>
      <c r="AO156" s="5">
        <f>SUMPRODUCT(React!$C$152:$AO$152,Curves!$AJ$24:$BV$24)+SUMPRODUCT(React!$C$153:$AO$153,Curves!$AJ$47:$BV$47)+SUMPRODUCT(React!$C$154:$AO$154,Curves!$AJ$70:$BV$70)</f>
        <v/>
      </c>
      <c r="AP156" s="5">
        <f>SUMPRODUCT(React!$C$152:$AP$152,Curves!$AI$24:$BV$24)+SUMPRODUCT(React!$C$153:$AP$153,Curves!$AI$47:$BV$47)+SUMPRODUCT(React!$C$154:$AP$154,Curves!$AI$70:$BV$70)</f>
        <v/>
      </c>
      <c r="AQ156" s="5">
        <f>SUMPRODUCT(React!$C$152:$AQ$152,Curves!$AH$24:$BV$24)+SUMPRODUCT(React!$C$153:$AQ$153,Curves!$AH$47:$BV$47)+SUMPRODUCT(React!$C$154:$AQ$154,Curves!$AH$70:$BV$70)</f>
        <v/>
      </c>
      <c r="AR156" s="5">
        <f>SUMPRODUCT(React!$C$152:$AR$152,Curves!$AG$24:$BV$24)+SUMPRODUCT(React!$C$153:$AR$153,Curves!$AG$47:$BV$47)+SUMPRODUCT(React!$C$154:$AR$154,Curves!$AG$70:$BV$70)</f>
        <v/>
      </c>
      <c r="AS156" s="5">
        <f>SUMPRODUCT(React!$C$152:$AS$152,Curves!$AF$24:$BV$24)+SUMPRODUCT(React!$C$153:$AS$153,Curves!$AF$47:$BV$47)+SUMPRODUCT(React!$C$154:$AS$154,Curves!$AF$70:$BV$70)</f>
        <v/>
      </c>
      <c r="AT156" s="5">
        <f>SUMPRODUCT(React!$C$152:$AT$152,Curves!$AE$24:$BV$24)+SUMPRODUCT(React!$C$153:$AT$153,Curves!$AE$47:$BV$47)+SUMPRODUCT(React!$C$154:$AT$154,Curves!$AE$70:$BV$70)</f>
        <v/>
      </c>
      <c r="AU156" s="5">
        <f>SUMPRODUCT(React!$C$152:$AU$152,Curves!$AD$24:$BV$24)+SUMPRODUCT(React!$C$153:$AU$153,Curves!$AD$47:$BV$47)+SUMPRODUCT(React!$C$154:$AU$154,Curves!$AD$70:$BV$70)</f>
        <v/>
      </c>
      <c r="AV156" s="5">
        <f>SUMPRODUCT(React!$C$152:$AV$152,Curves!$AC$24:$BV$24)+SUMPRODUCT(React!$C$153:$AV$153,Curves!$AC$47:$BV$47)+SUMPRODUCT(React!$C$154:$AV$154,Curves!$AC$70:$BV$70)</f>
        <v/>
      </c>
      <c r="AW156" s="5">
        <f>SUMPRODUCT(React!$C$152:$AW$152,Curves!$AB$24:$BV$24)+SUMPRODUCT(React!$C$153:$AW$153,Curves!$AB$47:$BV$47)+SUMPRODUCT(React!$C$154:$AW$154,Curves!$AB$70:$BV$70)</f>
        <v/>
      </c>
      <c r="AX156" s="5">
        <f>SUMPRODUCT(React!$C$152:$AX$152,Curves!$AA$24:$BV$24)+SUMPRODUCT(React!$C$153:$AX$153,Curves!$AA$47:$BV$47)+SUMPRODUCT(React!$C$154:$AX$154,Curves!$AA$70:$BV$70)</f>
        <v/>
      </c>
      <c r="AY156" s="5">
        <f>SUMPRODUCT(React!$C$152:$AY$152,Curves!$Z$24:$BV$24)+SUMPRODUCT(React!$C$153:$AY$153,Curves!$Z$47:$BV$47)+SUMPRODUCT(React!$C$154:$AY$154,Curves!$Z$70:$BV$70)</f>
        <v/>
      </c>
      <c r="AZ156" s="5">
        <f>SUMPRODUCT(React!$C$152:$AZ$152,Curves!$Y$24:$BV$24)+SUMPRODUCT(React!$C$153:$AZ$153,Curves!$Y$47:$BV$47)+SUMPRODUCT(React!$C$154:$AZ$154,Curves!$Y$70:$BV$70)</f>
        <v/>
      </c>
      <c r="BA156" s="5">
        <f>SUMPRODUCT(React!$C$152:$BA$152,Curves!$X$24:$BV$24)+SUMPRODUCT(React!$C$153:$BA$153,Curves!$X$47:$BV$47)+SUMPRODUCT(React!$C$154:$BA$154,Curves!$X$70:$BV$70)</f>
        <v/>
      </c>
      <c r="BB156" s="5">
        <f>SUMPRODUCT(React!$C$152:$BB$152,Curves!$W$24:$BV$24)+SUMPRODUCT(React!$C$153:$BB$153,Curves!$W$47:$BV$47)+SUMPRODUCT(React!$C$154:$BB$154,Curves!$W$70:$BV$70)</f>
        <v/>
      </c>
      <c r="BC156" s="5">
        <f>SUMPRODUCT(React!$C$152:$BC$152,Curves!$V$24:$BV$24)+SUMPRODUCT(React!$C$153:$BC$153,Curves!$V$47:$BV$47)+SUMPRODUCT(React!$C$154:$BC$154,Curves!$V$70:$BV$70)</f>
        <v/>
      </c>
      <c r="BD156" s="5">
        <f>SUMPRODUCT(React!$C$152:$BD$152,Curves!$U$24:$BV$24)+SUMPRODUCT(React!$C$153:$BD$153,Curves!$U$47:$BV$47)+SUMPRODUCT(React!$C$154:$BD$154,Curves!$U$70:$BV$70)</f>
        <v/>
      </c>
      <c r="BE156" s="5">
        <f>SUMPRODUCT(React!$C$152:$BE$152,Curves!$T$24:$BV$24)+SUMPRODUCT(React!$C$153:$BE$153,Curves!$T$47:$BV$47)+SUMPRODUCT(React!$C$154:$BE$154,Curves!$T$70:$BV$70)</f>
        <v/>
      </c>
      <c r="BF156" s="5">
        <f>SUMPRODUCT(React!$C$152:$BF$152,Curves!$S$24:$BV$24)+SUMPRODUCT(React!$C$153:$BF$153,Curves!$S$47:$BV$47)+SUMPRODUCT(React!$C$154:$BF$154,Curves!$S$70:$BV$70)</f>
        <v/>
      </c>
      <c r="BG156" s="5">
        <f>SUMPRODUCT(React!$C$152:$BG$152,Curves!$R$24:$BV$24)+SUMPRODUCT(React!$C$153:$BG$153,Curves!$R$47:$BV$47)+SUMPRODUCT(React!$C$154:$BG$154,Curves!$R$70:$BV$70)</f>
        <v/>
      </c>
      <c r="BH156" s="5">
        <f>SUMPRODUCT(React!$C$152:$BH$152,Curves!$Q$24:$BV$24)+SUMPRODUCT(React!$C$153:$BH$153,Curves!$Q$47:$BV$47)+SUMPRODUCT(React!$C$154:$BH$154,Curves!$Q$70:$BV$70)</f>
        <v/>
      </c>
      <c r="BI156" s="5">
        <f>SUMPRODUCT(React!$C$152:$BI$152,Curves!$P$24:$BV$24)+SUMPRODUCT(React!$C$153:$BI$153,Curves!$P$47:$BV$47)+SUMPRODUCT(React!$C$154:$BI$154,Curves!$P$70:$BV$70)</f>
        <v/>
      </c>
      <c r="BJ156" s="5">
        <f>SUMPRODUCT(React!$C$152:$BJ$152,Curves!$O$24:$BV$24)+SUMPRODUCT(React!$C$153:$BJ$153,Curves!$O$47:$BV$47)+SUMPRODUCT(React!$C$154:$BJ$154,Curves!$O$70:$BV$70)</f>
        <v/>
      </c>
      <c r="BK156" s="5">
        <f>SUMPRODUCT(React!$C$152:$BK$152,Curves!$N$24:$BV$24)+SUMPRODUCT(React!$C$153:$BK$153,Curves!$N$47:$BV$47)+SUMPRODUCT(React!$C$154:$BK$154,Curves!$N$70:$BV$70)</f>
        <v/>
      </c>
      <c r="BL156" s="5">
        <f>SUMPRODUCT(React!$C$152:$BL$152,Curves!$M$24:$BV$24)+SUMPRODUCT(React!$C$153:$BL$153,Curves!$M$47:$BV$47)+SUMPRODUCT(React!$C$154:$BL$154,Curves!$M$70:$BV$70)</f>
        <v/>
      </c>
      <c r="BM156" s="5">
        <f>SUMPRODUCT(React!$C$152:$BM$152,Curves!$L$24:$BV$24)+SUMPRODUCT(React!$C$153:$BM$153,Curves!$L$47:$BV$47)+SUMPRODUCT(React!$C$154:$BM$154,Curves!$L$70:$BV$70)</f>
        <v/>
      </c>
      <c r="BN156" s="5">
        <f>SUMPRODUCT(React!$C$152:$BN$152,Curves!$K$24:$BV$24)+SUMPRODUCT(React!$C$153:$BN$153,Curves!$K$47:$BV$47)+SUMPRODUCT(React!$C$154:$BN$154,Curves!$K$70:$BV$70)</f>
        <v/>
      </c>
      <c r="BO156" s="5">
        <f>SUMPRODUCT(React!$C$152:$BO$152,Curves!$J$24:$BV$24)+SUMPRODUCT(React!$C$153:$BO$153,Curves!$J$47:$BV$47)+SUMPRODUCT(React!$C$154:$BO$154,Curves!$J$70:$BV$70)</f>
        <v/>
      </c>
      <c r="BP156" s="5">
        <f>SUMPRODUCT(React!$C$152:$BP$152,Curves!$I$24:$BV$24)+SUMPRODUCT(React!$C$153:$BP$153,Curves!$I$47:$BV$47)+SUMPRODUCT(React!$C$154:$BP$154,Curves!$I$70:$BV$70)</f>
        <v/>
      </c>
      <c r="BQ156" s="5">
        <f>SUMPRODUCT(React!$C$152:$BQ$152,Curves!$H$24:$BV$24)+SUMPRODUCT(React!$C$153:$BQ$153,Curves!$H$47:$BV$47)+SUMPRODUCT(React!$C$154:$BQ$154,Curves!$H$70:$BV$70)</f>
        <v/>
      </c>
      <c r="BR156" s="5">
        <f>SUMPRODUCT(React!$C$152:$BR$152,Curves!$G$24:$BV$24)+SUMPRODUCT(React!$C$153:$BR$153,Curves!$G$47:$BV$47)+SUMPRODUCT(React!$C$154:$BR$154,Curves!$G$70:$BV$70)</f>
        <v/>
      </c>
      <c r="BS156" s="5">
        <f>SUMPRODUCT(React!$C$152:$BS$152,Curves!$F$24:$BV$24)+SUMPRODUCT(React!$C$153:$BS$153,Curves!$F$47:$BV$47)+SUMPRODUCT(React!$C$154:$BS$154,Curves!$F$70:$BV$70)</f>
        <v/>
      </c>
      <c r="BT156" s="5">
        <f>SUMPRODUCT(React!$C$152:$BT$152,Curves!$E$24:$BV$24)+SUMPRODUCT(React!$C$153:$BT$153,Curves!$E$47:$BV$47)+SUMPRODUCT(React!$C$154:$BT$154,Curves!$E$70:$BV$70)</f>
        <v/>
      </c>
      <c r="BU156" s="5">
        <f>SUMPRODUCT(React!$C$152:$BU$152,Curves!$D$24:$BV$24)+SUMPRODUCT(React!$C$153:$BU$153,Curves!$D$47:$BV$47)+SUMPRODUCT(React!$C$154:$BU$154,Curves!$D$70:$BV$70)</f>
        <v/>
      </c>
      <c r="BV156" s="5">
        <f>SUMPRODUCT(React!$C$152:$BV$152,Curves!$C$24:$BV$24)+SUMPRODUCT(React!$C$153:$BV$153,Curves!$C$47:$BV$47)+SUMPRODUCT(React!$C$154:$BV$154,Curves!$C$70:$BV$70)</f>
        <v/>
      </c>
    </row>
    <row r="157">
      <c r="A157" t="inlineStr">
        <is>
          <t>churned</t>
        </is>
      </c>
      <c r="B157" t="inlineStr">
        <is>
          <t>LATAM|BASIC_A</t>
        </is>
      </c>
      <c r="C157" s="5">
        <f>React!$C$152*Curves!$BV$20+React!$C$153*Curves!$BV$43+React!$C$154*Curves!$BV$66</f>
        <v/>
      </c>
      <c r="D157" s="5">
        <f>SUMPRODUCT(React!$C$152:$D$152,Curves!$BU$20:$BV$20)+SUMPRODUCT(React!$C$153:$D$153,Curves!$BU$43:$BV$43)+SUMPRODUCT(React!$C$154:$D$154,Curves!$BU$66:$BV$66)</f>
        <v/>
      </c>
      <c r="E157" s="5">
        <f>SUMPRODUCT(React!$C$152:$E$152,Curves!$BT$20:$BV$20)+SUMPRODUCT(React!$C$153:$E$153,Curves!$BT$43:$BV$43)+SUMPRODUCT(React!$C$154:$E$154,Curves!$BT$66:$BV$66)</f>
        <v/>
      </c>
      <c r="F157" s="5">
        <f>SUMPRODUCT(React!$C$152:$F$152,Curves!$BS$20:$BV$20)+SUMPRODUCT(React!$C$153:$F$153,Curves!$BS$43:$BV$43)+SUMPRODUCT(React!$C$154:$F$154,Curves!$BS$66:$BV$66)</f>
        <v/>
      </c>
      <c r="G157" s="5">
        <f>SUMPRODUCT(React!$C$152:$G$152,Curves!$BR$20:$BV$20)+SUMPRODUCT(React!$C$153:$G$153,Curves!$BR$43:$BV$43)+SUMPRODUCT(React!$C$154:$G$154,Curves!$BR$66:$BV$66)</f>
        <v/>
      </c>
      <c r="H157" s="5">
        <f>SUMPRODUCT(React!$C$152:$H$152,Curves!$BQ$20:$BV$20)+SUMPRODUCT(React!$C$153:$H$153,Curves!$BQ$43:$BV$43)+SUMPRODUCT(React!$C$154:$H$154,Curves!$BQ$66:$BV$66)</f>
        <v/>
      </c>
      <c r="I157" s="5">
        <f>SUMPRODUCT(React!$C$152:$I$152,Curves!$BP$20:$BV$20)+SUMPRODUCT(React!$C$153:$I$153,Curves!$BP$43:$BV$43)+SUMPRODUCT(React!$C$154:$I$154,Curves!$BP$66:$BV$66)</f>
        <v/>
      </c>
      <c r="J157" s="5">
        <f>SUMPRODUCT(React!$C$152:$J$152,Curves!$BO$20:$BV$20)+SUMPRODUCT(React!$C$153:$J$153,Curves!$BO$43:$BV$43)+SUMPRODUCT(React!$C$154:$J$154,Curves!$BO$66:$BV$66)</f>
        <v/>
      </c>
      <c r="K157" s="5">
        <f>SUMPRODUCT(React!$C$152:$K$152,Curves!$BN$20:$BV$20)+SUMPRODUCT(React!$C$153:$K$153,Curves!$BN$43:$BV$43)+SUMPRODUCT(React!$C$154:$K$154,Curves!$BN$66:$BV$66)</f>
        <v/>
      </c>
      <c r="L157" s="5">
        <f>SUMPRODUCT(React!$C$152:$L$152,Curves!$BM$20:$BV$20)+SUMPRODUCT(React!$C$153:$L$153,Curves!$BM$43:$BV$43)+SUMPRODUCT(React!$C$154:$L$154,Curves!$BM$66:$BV$66)</f>
        <v/>
      </c>
      <c r="M157" s="5">
        <f>SUMPRODUCT(React!$C$152:$M$152,Curves!$BL$20:$BV$20)+SUMPRODUCT(React!$C$153:$M$153,Curves!$BL$43:$BV$43)+SUMPRODUCT(React!$C$154:$M$154,Curves!$BL$66:$BV$66)</f>
        <v/>
      </c>
      <c r="N157" s="5">
        <f>SUMPRODUCT(React!$C$152:$N$152,Curves!$BK$20:$BV$20)+SUMPRODUCT(React!$C$153:$N$153,Curves!$BK$43:$BV$43)+SUMPRODUCT(React!$C$154:$N$154,Curves!$BK$66:$BV$66)</f>
        <v/>
      </c>
      <c r="O157" s="5">
        <f>SUMPRODUCT(React!$C$152:$O$152,Curves!$BJ$20:$BV$20)+SUMPRODUCT(React!$C$153:$O$153,Curves!$BJ$43:$BV$43)+SUMPRODUCT(React!$C$154:$O$154,Curves!$BJ$66:$BV$66)</f>
        <v/>
      </c>
      <c r="P157" s="5">
        <f>SUMPRODUCT(React!$C$152:$P$152,Curves!$BI$20:$BV$20)+SUMPRODUCT(React!$C$153:$P$153,Curves!$BI$43:$BV$43)+SUMPRODUCT(React!$C$154:$P$154,Curves!$BI$66:$BV$66)</f>
        <v/>
      </c>
      <c r="Q157" s="5">
        <f>SUMPRODUCT(React!$C$152:$Q$152,Curves!$BH$20:$BV$20)+SUMPRODUCT(React!$C$153:$Q$153,Curves!$BH$43:$BV$43)+SUMPRODUCT(React!$C$154:$Q$154,Curves!$BH$66:$BV$66)</f>
        <v/>
      </c>
      <c r="R157" s="5">
        <f>SUMPRODUCT(React!$C$152:$R$152,Curves!$BG$20:$BV$20)+SUMPRODUCT(React!$C$153:$R$153,Curves!$BG$43:$BV$43)+SUMPRODUCT(React!$C$154:$R$154,Curves!$BG$66:$BV$66)</f>
        <v/>
      </c>
      <c r="S157" s="5">
        <f>SUMPRODUCT(React!$C$152:$S$152,Curves!$BF$20:$BV$20)+SUMPRODUCT(React!$C$153:$S$153,Curves!$BF$43:$BV$43)+SUMPRODUCT(React!$C$154:$S$154,Curves!$BF$66:$BV$66)</f>
        <v/>
      </c>
      <c r="T157" s="5">
        <f>SUMPRODUCT(React!$C$152:$T$152,Curves!$BE$20:$BV$20)+SUMPRODUCT(React!$C$153:$T$153,Curves!$BE$43:$BV$43)+SUMPRODUCT(React!$C$154:$T$154,Curves!$BE$66:$BV$66)</f>
        <v/>
      </c>
      <c r="U157" s="5">
        <f>SUMPRODUCT(React!$C$152:$U$152,Curves!$BD$20:$BV$20)+SUMPRODUCT(React!$C$153:$U$153,Curves!$BD$43:$BV$43)+SUMPRODUCT(React!$C$154:$U$154,Curves!$BD$66:$BV$66)</f>
        <v/>
      </c>
      <c r="V157" s="5">
        <f>SUMPRODUCT(React!$C$152:$V$152,Curves!$BC$20:$BV$20)+SUMPRODUCT(React!$C$153:$V$153,Curves!$BC$43:$BV$43)+SUMPRODUCT(React!$C$154:$V$154,Curves!$BC$66:$BV$66)</f>
        <v/>
      </c>
      <c r="W157" s="5">
        <f>SUMPRODUCT(React!$C$152:$W$152,Curves!$BB$20:$BV$20)+SUMPRODUCT(React!$C$153:$W$153,Curves!$BB$43:$BV$43)+SUMPRODUCT(React!$C$154:$W$154,Curves!$BB$66:$BV$66)</f>
        <v/>
      </c>
      <c r="X157" s="5">
        <f>SUMPRODUCT(React!$C$152:$X$152,Curves!$BA$20:$BV$20)+SUMPRODUCT(React!$C$153:$X$153,Curves!$BA$43:$BV$43)+SUMPRODUCT(React!$C$154:$X$154,Curves!$BA$66:$BV$66)</f>
        <v/>
      </c>
      <c r="Y157" s="5">
        <f>SUMPRODUCT(React!$C$152:$Y$152,Curves!$AZ$20:$BV$20)+SUMPRODUCT(React!$C$153:$Y$153,Curves!$AZ$43:$BV$43)+SUMPRODUCT(React!$C$154:$Y$154,Curves!$AZ$66:$BV$66)</f>
        <v/>
      </c>
      <c r="Z157" s="5">
        <f>SUMPRODUCT(React!$C$152:$Z$152,Curves!$AY$20:$BV$20)+SUMPRODUCT(React!$C$153:$Z$153,Curves!$AY$43:$BV$43)+SUMPRODUCT(React!$C$154:$Z$154,Curves!$AY$66:$BV$66)</f>
        <v/>
      </c>
      <c r="AA157" s="5">
        <f>SUMPRODUCT(React!$C$152:$AA$152,Curves!$AX$20:$BV$20)+SUMPRODUCT(React!$C$153:$AA$153,Curves!$AX$43:$BV$43)+SUMPRODUCT(React!$C$154:$AA$154,Curves!$AX$66:$BV$66)</f>
        <v/>
      </c>
      <c r="AB157" s="5">
        <f>SUMPRODUCT(React!$C$152:$AB$152,Curves!$AW$20:$BV$20)+SUMPRODUCT(React!$C$153:$AB$153,Curves!$AW$43:$BV$43)+SUMPRODUCT(React!$C$154:$AB$154,Curves!$AW$66:$BV$66)</f>
        <v/>
      </c>
      <c r="AC157" s="5">
        <f>SUMPRODUCT(React!$C$152:$AC$152,Curves!$AV$20:$BV$20)+SUMPRODUCT(React!$C$153:$AC$153,Curves!$AV$43:$BV$43)+SUMPRODUCT(React!$C$154:$AC$154,Curves!$AV$66:$BV$66)</f>
        <v/>
      </c>
      <c r="AD157" s="5">
        <f>SUMPRODUCT(React!$C$152:$AD$152,Curves!$AU$20:$BV$20)+SUMPRODUCT(React!$C$153:$AD$153,Curves!$AU$43:$BV$43)+SUMPRODUCT(React!$C$154:$AD$154,Curves!$AU$66:$BV$66)</f>
        <v/>
      </c>
      <c r="AE157" s="5">
        <f>SUMPRODUCT(React!$C$152:$AE$152,Curves!$AT$20:$BV$20)+SUMPRODUCT(React!$C$153:$AE$153,Curves!$AT$43:$BV$43)+SUMPRODUCT(React!$C$154:$AE$154,Curves!$AT$66:$BV$66)</f>
        <v/>
      </c>
      <c r="AF157" s="5">
        <f>SUMPRODUCT(React!$C$152:$AF$152,Curves!$AS$20:$BV$20)+SUMPRODUCT(React!$C$153:$AF$153,Curves!$AS$43:$BV$43)+SUMPRODUCT(React!$C$154:$AF$154,Curves!$AS$66:$BV$66)</f>
        <v/>
      </c>
      <c r="AG157" s="5">
        <f>SUMPRODUCT(React!$C$152:$AG$152,Curves!$AR$20:$BV$20)+SUMPRODUCT(React!$C$153:$AG$153,Curves!$AR$43:$BV$43)+SUMPRODUCT(React!$C$154:$AG$154,Curves!$AR$66:$BV$66)</f>
        <v/>
      </c>
      <c r="AH157" s="5">
        <f>SUMPRODUCT(React!$C$152:$AH$152,Curves!$AQ$20:$BV$20)+SUMPRODUCT(React!$C$153:$AH$153,Curves!$AQ$43:$BV$43)+SUMPRODUCT(React!$C$154:$AH$154,Curves!$AQ$66:$BV$66)</f>
        <v/>
      </c>
      <c r="AI157" s="5">
        <f>SUMPRODUCT(React!$C$152:$AI$152,Curves!$AP$20:$BV$20)+SUMPRODUCT(React!$C$153:$AI$153,Curves!$AP$43:$BV$43)+SUMPRODUCT(React!$C$154:$AI$154,Curves!$AP$66:$BV$66)</f>
        <v/>
      </c>
      <c r="AJ157" s="5">
        <f>SUMPRODUCT(React!$C$152:$AJ$152,Curves!$AO$20:$BV$20)+SUMPRODUCT(React!$C$153:$AJ$153,Curves!$AO$43:$BV$43)+SUMPRODUCT(React!$C$154:$AJ$154,Curves!$AO$66:$BV$66)</f>
        <v/>
      </c>
      <c r="AK157" s="5">
        <f>SUMPRODUCT(React!$C$152:$AK$152,Curves!$AN$20:$BV$20)+SUMPRODUCT(React!$C$153:$AK$153,Curves!$AN$43:$BV$43)+SUMPRODUCT(React!$C$154:$AK$154,Curves!$AN$66:$BV$66)</f>
        <v/>
      </c>
      <c r="AL157" s="5">
        <f>SUMPRODUCT(React!$C$152:$AL$152,Curves!$AM$20:$BV$20)+SUMPRODUCT(React!$C$153:$AL$153,Curves!$AM$43:$BV$43)+SUMPRODUCT(React!$C$154:$AL$154,Curves!$AM$66:$BV$66)</f>
        <v/>
      </c>
      <c r="AM157" s="5">
        <f>SUMPRODUCT(React!$C$152:$AM$152,Curves!$AL$20:$BV$20)+SUMPRODUCT(React!$C$153:$AM$153,Curves!$AL$43:$BV$43)+SUMPRODUCT(React!$C$154:$AM$154,Curves!$AL$66:$BV$66)</f>
        <v/>
      </c>
      <c r="AN157" s="5">
        <f>SUMPRODUCT(React!$C$152:$AN$152,Curves!$AK$20:$BV$20)+SUMPRODUCT(React!$C$153:$AN$153,Curves!$AK$43:$BV$43)+SUMPRODUCT(React!$C$154:$AN$154,Curves!$AK$66:$BV$66)</f>
        <v/>
      </c>
      <c r="AO157" s="5">
        <f>SUMPRODUCT(React!$C$152:$AO$152,Curves!$AJ$20:$BV$20)+SUMPRODUCT(React!$C$153:$AO$153,Curves!$AJ$43:$BV$43)+SUMPRODUCT(React!$C$154:$AO$154,Curves!$AJ$66:$BV$66)</f>
        <v/>
      </c>
      <c r="AP157" s="5">
        <f>SUMPRODUCT(React!$C$152:$AP$152,Curves!$AI$20:$BV$20)+SUMPRODUCT(React!$C$153:$AP$153,Curves!$AI$43:$BV$43)+SUMPRODUCT(React!$C$154:$AP$154,Curves!$AI$66:$BV$66)</f>
        <v/>
      </c>
      <c r="AQ157" s="5">
        <f>SUMPRODUCT(React!$C$152:$AQ$152,Curves!$AH$20:$BV$20)+SUMPRODUCT(React!$C$153:$AQ$153,Curves!$AH$43:$BV$43)+SUMPRODUCT(React!$C$154:$AQ$154,Curves!$AH$66:$BV$66)</f>
        <v/>
      </c>
      <c r="AR157" s="5">
        <f>SUMPRODUCT(React!$C$152:$AR$152,Curves!$AG$20:$BV$20)+SUMPRODUCT(React!$C$153:$AR$153,Curves!$AG$43:$BV$43)+SUMPRODUCT(React!$C$154:$AR$154,Curves!$AG$66:$BV$66)</f>
        <v/>
      </c>
      <c r="AS157" s="5">
        <f>SUMPRODUCT(React!$C$152:$AS$152,Curves!$AF$20:$BV$20)+SUMPRODUCT(React!$C$153:$AS$153,Curves!$AF$43:$BV$43)+SUMPRODUCT(React!$C$154:$AS$154,Curves!$AF$66:$BV$66)</f>
        <v/>
      </c>
      <c r="AT157" s="5">
        <f>SUMPRODUCT(React!$C$152:$AT$152,Curves!$AE$20:$BV$20)+SUMPRODUCT(React!$C$153:$AT$153,Curves!$AE$43:$BV$43)+SUMPRODUCT(React!$C$154:$AT$154,Curves!$AE$66:$BV$66)</f>
        <v/>
      </c>
      <c r="AU157" s="5">
        <f>SUMPRODUCT(React!$C$152:$AU$152,Curves!$AD$20:$BV$20)+SUMPRODUCT(React!$C$153:$AU$153,Curves!$AD$43:$BV$43)+SUMPRODUCT(React!$C$154:$AU$154,Curves!$AD$66:$BV$66)</f>
        <v/>
      </c>
      <c r="AV157" s="5">
        <f>SUMPRODUCT(React!$C$152:$AV$152,Curves!$AC$20:$BV$20)+SUMPRODUCT(React!$C$153:$AV$153,Curves!$AC$43:$BV$43)+SUMPRODUCT(React!$C$154:$AV$154,Curves!$AC$66:$BV$66)</f>
        <v/>
      </c>
      <c r="AW157" s="5">
        <f>SUMPRODUCT(React!$C$152:$AW$152,Curves!$AB$20:$BV$20)+SUMPRODUCT(React!$C$153:$AW$153,Curves!$AB$43:$BV$43)+SUMPRODUCT(React!$C$154:$AW$154,Curves!$AB$66:$BV$66)</f>
        <v/>
      </c>
      <c r="AX157" s="5">
        <f>SUMPRODUCT(React!$C$152:$AX$152,Curves!$AA$20:$BV$20)+SUMPRODUCT(React!$C$153:$AX$153,Curves!$AA$43:$BV$43)+SUMPRODUCT(React!$C$154:$AX$154,Curves!$AA$66:$BV$66)</f>
        <v/>
      </c>
      <c r="AY157" s="5">
        <f>SUMPRODUCT(React!$C$152:$AY$152,Curves!$Z$20:$BV$20)+SUMPRODUCT(React!$C$153:$AY$153,Curves!$Z$43:$BV$43)+SUMPRODUCT(React!$C$154:$AY$154,Curves!$Z$66:$BV$66)</f>
        <v/>
      </c>
      <c r="AZ157" s="5">
        <f>SUMPRODUCT(React!$C$152:$AZ$152,Curves!$Y$20:$BV$20)+SUMPRODUCT(React!$C$153:$AZ$153,Curves!$Y$43:$BV$43)+SUMPRODUCT(React!$C$154:$AZ$154,Curves!$Y$66:$BV$66)</f>
        <v/>
      </c>
      <c r="BA157" s="5">
        <f>SUMPRODUCT(React!$C$152:$BA$152,Curves!$X$20:$BV$20)+SUMPRODUCT(React!$C$153:$BA$153,Curves!$X$43:$BV$43)+SUMPRODUCT(React!$C$154:$BA$154,Curves!$X$66:$BV$66)</f>
        <v/>
      </c>
      <c r="BB157" s="5">
        <f>SUMPRODUCT(React!$C$152:$BB$152,Curves!$W$20:$BV$20)+SUMPRODUCT(React!$C$153:$BB$153,Curves!$W$43:$BV$43)+SUMPRODUCT(React!$C$154:$BB$154,Curves!$W$66:$BV$66)</f>
        <v/>
      </c>
      <c r="BC157" s="5">
        <f>SUMPRODUCT(React!$C$152:$BC$152,Curves!$V$20:$BV$20)+SUMPRODUCT(React!$C$153:$BC$153,Curves!$V$43:$BV$43)+SUMPRODUCT(React!$C$154:$BC$154,Curves!$V$66:$BV$66)</f>
        <v/>
      </c>
      <c r="BD157" s="5">
        <f>SUMPRODUCT(React!$C$152:$BD$152,Curves!$U$20:$BV$20)+SUMPRODUCT(React!$C$153:$BD$153,Curves!$U$43:$BV$43)+SUMPRODUCT(React!$C$154:$BD$154,Curves!$U$66:$BV$66)</f>
        <v/>
      </c>
      <c r="BE157" s="5">
        <f>SUMPRODUCT(React!$C$152:$BE$152,Curves!$T$20:$BV$20)+SUMPRODUCT(React!$C$153:$BE$153,Curves!$T$43:$BV$43)+SUMPRODUCT(React!$C$154:$BE$154,Curves!$T$66:$BV$66)</f>
        <v/>
      </c>
      <c r="BF157" s="5">
        <f>SUMPRODUCT(React!$C$152:$BF$152,Curves!$S$20:$BV$20)+SUMPRODUCT(React!$C$153:$BF$153,Curves!$S$43:$BV$43)+SUMPRODUCT(React!$C$154:$BF$154,Curves!$S$66:$BV$66)</f>
        <v/>
      </c>
      <c r="BG157" s="5">
        <f>SUMPRODUCT(React!$C$152:$BG$152,Curves!$R$20:$BV$20)+SUMPRODUCT(React!$C$153:$BG$153,Curves!$R$43:$BV$43)+SUMPRODUCT(React!$C$154:$BG$154,Curves!$R$66:$BV$66)</f>
        <v/>
      </c>
      <c r="BH157" s="5">
        <f>SUMPRODUCT(React!$C$152:$BH$152,Curves!$Q$20:$BV$20)+SUMPRODUCT(React!$C$153:$BH$153,Curves!$Q$43:$BV$43)+SUMPRODUCT(React!$C$154:$BH$154,Curves!$Q$66:$BV$66)</f>
        <v/>
      </c>
      <c r="BI157" s="5">
        <f>SUMPRODUCT(React!$C$152:$BI$152,Curves!$P$20:$BV$20)+SUMPRODUCT(React!$C$153:$BI$153,Curves!$P$43:$BV$43)+SUMPRODUCT(React!$C$154:$BI$154,Curves!$P$66:$BV$66)</f>
        <v/>
      </c>
      <c r="BJ157" s="5">
        <f>SUMPRODUCT(React!$C$152:$BJ$152,Curves!$O$20:$BV$20)+SUMPRODUCT(React!$C$153:$BJ$153,Curves!$O$43:$BV$43)+SUMPRODUCT(React!$C$154:$BJ$154,Curves!$O$66:$BV$66)</f>
        <v/>
      </c>
      <c r="BK157" s="5">
        <f>SUMPRODUCT(React!$C$152:$BK$152,Curves!$N$20:$BV$20)+SUMPRODUCT(React!$C$153:$BK$153,Curves!$N$43:$BV$43)+SUMPRODUCT(React!$C$154:$BK$154,Curves!$N$66:$BV$66)</f>
        <v/>
      </c>
      <c r="BL157" s="5">
        <f>SUMPRODUCT(React!$C$152:$BL$152,Curves!$M$20:$BV$20)+SUMPRODUCT(React!$C$153:$BL$153,Curves!$M$43:$BV$43)+SUMPRODUCT(React!$C$154:$BL$154,Curves!$M$66:$BV$66)</f>
        <v/>
      </c>
      <c r="BM157" s="5">
        <f>SUMPRODUCT(React!$C$152:$BM$152,Curves!$L$20:$BV$20)+SUMPRODUCT(React!$C$153:$BM$153,Curves!$L$43:$BV$43)+SUMPRODUCT(React!$C$154:$BM$154,Curves!$L$66:$BV$66)</f>
        <v/>
      </c>
      <c r="BN157" s="5">
        <f>SUMPRODUCT(React!$C$152:$BN$152,Curves!$K$20:$BV$20)+SUMPRODUCT(React!$C$153:$BN$153,Curves!$K$43:$BV$43)+SUMPRODUCT(React!$C$154:$BN$154,Curves!$K$66:$BV$66)</f>
        <v/>
      </c>
      <c r="BO157" s="5">
        <f>SUMPRODUCT(React!$C$152:$BO$152,Curves!$J$20:$BV$20)+SUMPRODUCT(React!$C$153:$BO$153,Curves!$J$43:$BV$43)+SUMPRODUCT(React!$C$154:$BO$154,Curves!$J$66:$BV$66)</f>
        <v/>
      </c>
      <c r="BP157" s="5">
        <f>SUMPRODUCT(React!$C$152:$BP$152,Curves!$I$20:$BV$20)+SUMPRODUCT(React!$C$153:$BP$153,Curves!$I$43:$BV$43)+SUMPRODUCT(React!$C$154:$BP$154,Curves!$I$66:$BV$66)</f>
        <v/>
      </c>
      <c r="BQ157" s="5">
        <f>SUMPRODUCT(React!$C$152:$BQ$152,Curves!$H$20:$BV$20)+SUMPRODUCT(React!$C$153:$BQ$153,Curves!$H$43:$BV$43)+SUMPRODUCT(React!$C$154:$BQ$154,Curves!$H$66:$BV$66)</f>
        <v/>
      </c>
      <c r="BR157" s="5">
        <f>SUMPRODUCT(React!$C$152:$BR$152,Curves!$G$20:$BV$20)+SUMPRODUCT(React!$C$153:$BR$153,Curves!$G$43:$BV$43)+SUMPRODUCT(React!$C$154:$BR$154,Curves!$G$66:$BV$66)</f>
        <v/>
      </c>
      <c r="BS157" s="5">
        <f>SUMPRODUCT(React!$C$152:$BS$152,Curves!$F$20:$BV$20)+SUMPRODUCT(React!$C$153:$BS$153,Curves!$F$43:$BV$43)+SUMPRODUCT(React!$C$154:$BS$154,Curves!$F$66:$BV$66)</f>
        <v/>
      </c>
      <c r="BT157" s="5">
        <f>SUMPRODUCT(React!$C$152:$BT$152,Curves!$E$20:$BV$20)+SUMPRODUCT(React!$C$153:$BT$153,Curves!$E$43:$BV$43)+SUMPRODUCT(React!$C$154:$BT$154,Curves!$E$66:$BV$66)</f>
        <v/>
      </c>
      <c r="BU157" s="5">
        <f>SUMPRODUCT(React!$C$152:$BU$152,Curves!$D$20:$BV$20)+SUMPRODUCT(React!$C$153:$BU$153,Curves!$D$43:$BV$43)+SUMPRODUCT(React!$C$154:$BU$154,Curves!$D$66:$BV$66)</f>
        <v/>
      </c>
      <c r="BV157" s="5">
        <f>SUMPRODUCT(React!$C$152:$BV$152,Curves!$C$20:$BV$20)+SUMPRODUCT(React!$C$153:$BV$153,Curves!$C$43:$BV$43)+SUMPRODUCT(React!$C$154:$BV$154,Curves!$C$66:$BV$66)</f>
        <v/>
      </c>
    </row>
    <row r="159">
      <c r="A159" t="inlineStr">
        <is>
          <t>churn pool inflow</t>
        </is>
      </c>
      <c r="B159" t="inlineStr">
        <is>
          <t>APAC|NITRO_M</t>
        </is>
      </c>
      <c r="C159" s="5">
        <f>Paid!C53+Legacy!C55</f>
        <v/>
      </c>
      <c r="D159" s="5">
        <f>Paid!D53+Legacy!D55</f>
        <v/>
      </c>
      <c r="E159" s="5">
        <f>Paid!E53+Legacy!E55</f>
        <v/>
      </c>
      <c r="F159" s="5">
        <f>Paid!F53+Legacy!F55</f>
        <v/>
      </c>
      <c r="G159" s="5">
        <f>Paid!G53+Legacy!G55</f>
        <v/>
      </c>
      <c r="H159" s="5">
        <f>Paid!H53+Legacy!H55</f>
        <v/>
      </c>
      <c r="I159" s="5">
        <f>Paid!I53+Legacy!I55</f>
        <v/>
      </c>
      <c r="J159" s="5">
        <f>Paid!J53+Legacy!J55</f>
        <v/>
      </c>
      <c r="K159" s="5">
        <f>Paid!K53+Legacy!K55</f>
        <v/>
      </c>
      <c r="L159" s="5">
        <f>Paid!L53+Legacy!L55</f>
        <v/>
      </c>
      <c r="M159" s="5">
        <f>Paid!M53+Legacy!M55</f>
        <v/>
      </c>
      <c r="N159" s="5">
        <f>Paid!N53+Legacy!N55</f>
        <v/>
      </c>
      <c r="O159" s="5">
        <f>Paid!O53+Legacy!O55</f>
        <v/>
      </c>
      <c r="P159" s="5">
        <f>Paid!P53+Legacy!P55</f>
        <v/>
      </c>
      <c r="Q159" s="5">
        <f>Paid!Q53+Legacy!Q55</f>
        <v/>
      </c>
      <c r="R159" s="5">
        <f>Paid!R53+Legacy!R55</f>
        <v/>
      </c>
      <c r="S159" s="5">
        <f>Paid!S53+Legacy!S55</f>
        <v/>
      </c>
      <c r="T159" s="5">
        <f>Paid!T53+Legacy!T55</f>
        <v/>
      </c>
      <c r="U159" s="5">
        <f>Paid!U53+Legacy!U55</f>
        <v/>
      </c>
      <c r="V159" s="5">
        <f>Paid!V53+Legacy!V55</f>
        <v/>
      </c>
      <c r="W159" s="5">
        <f>Paid!W53+Legacy!W55</f>
        <v/>
      </c>
      <c r="X159" s="5">
        <f>Paid!X53+Legacy!X55</f>
        <v/>
      </c>
      <c r="Y159" s="5">
        <f>Paid!Y53+Legacy!Y55</f>
        <v/>
      </c>
      <c r="Z159" s="5">
        <f>Paid!Z53+Legacy!Z55</f>
        <v/>
      </c>
      <c r="AA159" s="5">
        <f>Paid!AA53+Legacy!AA55</f>
        <v/>
      </c>
      <c r="AB159" s="5">
        <f>Paid!AB53+Legacy!AB55</f>
        <v/>
      </c>
      <c r="AC159" s="5">
        <f>Paid!AC53+Legacy!AC55</f>
        <v/>
      </c>
      <c r="AD159" s="5">
        <f>Paid!AD53+Legacy!AD55</f>
        <v/>
      </c>
      <c r="AE159" s="5">
        <f>Paid!AE53+Legacy!AE55</f>
        <v/>
      </c>
      <c r="AF159" s="5">
        <f>Paid!AF53+Legacy!AF55</f>
        <v/>
      </c>
      <c r="AG159" s="5">
        <f>Paid!AG53+Legacy!AG55</f>
        <v/>
      </c>
      <c r="AH159" s="5">
        <f>Paid!AH53+Legacy!AH55</f>
        <v/>
      </c>
      <c r="AI159" s="5">
        <f>Paid!AI53+Legacy!AI55</f>
        <v/>
      </c>
      <c r="AJ159" s="5">
        <f>Paid!AJ53+Legacy!AJ55</f>
        <v/>
      </c>
      <c r="AK159" s="5">
        <f>Paid!AK53+Legacy!AK55</f>
        <v/>
      </c>
      <c r="AL159" s="5">
        <f>Paid!AL53+Legacy!AL55</f>
        <v/>
      </c>
      <c r="AM159" s="5">
        <f>Paid!AM53+Legacy!AM55</f>
        <v/>
      </c>
      <c r="AN159" s="5">
        <f>Paid!AN53+Legacy!AN55</f>
        <v/>
      </c>
      <c r="AO159" s="5">
        <f>Paid!AO53+Legacy!AO55</f>
        <v/>
      </c>
      <c r="AP159" s="5">
        <f>Paid!AP53+Legacy!AP55</f>
        <v/>
      </c>
      <c r="AQ159" s="5">
        <f>Paid!AQ53+Legacy!AQ55</f>
        <v/>
      </c>
      <c r="AR159" s="5">
        <f>Paid!AR53+Legacy!AR55</f>
        <v/>
      </c>
      <c r="AS159" s="5">
        <f>Paid!AS53+Legacy!AS55</f>
        <v/>
      </c>
      <c r="AT159" s="5">
        <f>Paid!AT53+Legacy!AT55</f>
        <v/>
      </c>
      <c r="AU159" s="5">
        <f>Paid!AU53+Legacy!AU55</f>
        <v/>
      </c>
      <c r="AV159" s="5">
        <f>Paid!AV53+Legacy!AV55</f>
        <v/>
      </c>
      <c r="AW159" s="5">
        <f>Paid!AW53+Legacy!AW55</f>
        <v/>
      </c>
      <c r="AX159" s="5">
        <f>Paid!AX53+Legacy!AX55</f>
        <v/>
      </c>
      <c r="AY159" s="5">
        <f>Paid!AY53+Legacy!AY55</f>
        <v/>
      </c>
      <c r="AZ159" s="5">
        <f>Paid!AZ53+Legacy!AZ55</f>
        <v/>
      </c>
      <c r="BA159" s="5">
        <f>Paid!BA53+Legacy!BA55</f>
        <v/>
      </c>
      <c r="BB159" s="5">
        <f>Paid!BB53+Legacy!BB55</f>
        <v/>
      </c>
      <c r="BC159" s="5">
        <f>Paid!BC53+Legacy!BC55</f>
        <v/>
      </c>
      <c r="BD159" s="5">
        <f>Paid!BD53+Legacy!BD55</f>
        <v/>
      </c>
      <c r="BE159" s="5">
        <f>Paid!BE53+Legacy!BE55</f>
        <v/>
      </c>
      <c r="BF159" s="5">
        <f>Paid!BF53+Legacy!BF55</f>
        <v/>
      </c>
      <c r="BG159" s="5">
        <f>Paid!BG53+Legacy!BG55</f>
        <v/>
      </c>
      <c r="BH159" s="5">
        <f>Paid!BH53+Legacy!BH55</f>
        <v/>
      </c>
      <c r="BI159" s="5">
        <f>Paid!BI53+Legacy!BI55</f>
        <v/>
      </c>
      <c r="BJ159" s="5">
        <f>Paid!BJ53+Legacy!BJ55</f>
        <v/>
      </c>
      <c r="BK159" s="5">
        <f>Paid!BK53+Legacy!BK55</f>
        <v/>
      </c>
      <c r="BL159" s="5">
        <f>Paid!BL53+Legacy!BL55</f>
        <v/>
      </c>
      <c r="BM159" s="5">
        <f>Paid!BM53+Legacy!BM55</f>
        <v/>
      </c>
      <c r="BN159" s="5">
        <f>Paid!BN53+Legacy!BN55</f>
        <v/>
      </c>
      <c r="BO159" s="5">
        <f>Paid!BO53+Legacy!BO55</f>
        <v/>
      </c>
      <c r="BP159" s="5">
        <f>Paid!BP53+Legacy!BP55</f>
        <v/>
      </c>
      <c r="BQ159" s="5">
        <f>Paid!BQ53+Legacy!BQ55</f>
        <v/>
      </c>
      <c r="BR159" s="5">
        <f>Paid!BR53+Legacy!BR55</f>
        <v/>
      </c>
      <c r="BS159" s="5">
        <f>Paid!BS53+Legacy!BS55</f>
        <v/>
      </c>
      <c r="BT159" s="5">
        <f>Paid!BT53+Legacy!BT55</f>
        <v/>
      </c>
      <c r="BU159" s="5">
        <f>Paid!BU53+Legacy!BU55</f>
        <v/>
      </c>
      <c r="BV159" s="5">
        <f>Paid!BV53+Legacy!BV55</f>
        <v/>
      </c>
    </row>
    <row r="160">
      <c r="A160" t="inlineStr">
        <is>
          <t>inflow @0</t>
        </is>
      </c>
      <c r="B160" t="inlineStr">
        <is>
          <t>APAC|NITRO_M</t>
        </is>
      </c>
      <c r="C160" s="5">
        <f>C159*Eras!C$3</f>
        <v/>
      </c>
      <c r="D160" s="5">
        <f>D159*Eras!D$3</f>
        <v/>
      </c>
      <c r="E160" s="5">
        <f>E159*Eras!E$3</f>
        <v/>
      </c>
      <c r="F160" s="5">
        <f>F159*Eras!F$3</f>
        <v/>
      </c>
      <c r="G160" s="5">
        <f>G159*Eras!G$3</f>
        <v/>
      </c>
      <c r="H160" s="5">
        <f>H159*Eras!H$3</f>
        <v/>
      </c>
      <c r="I160" s="5">
        <f>I159*Eras!I$3</f>
        <v/>
      </c>
      <c r="J160" s="5">
        <f>J159*Eras!J$3</f>
        <v/>
      </c>
      <c r="K160" s="5">
        <f>K159*Eras!K$3</f>
        <v/>
      </c>
      <c r="L160" s="5">
        <f>L159*Eras!L$3</f>
        <v/>
      </c>
      <c r="M160" s="5">
        <f>M159*Eras!M$3</f>
        <v/>
      </c>
      <c r="N160" s="5">
        <f>N159*Eras!N$3</f>
        <v/>
      </c>
      <c r="O160" s="5">
        <f>O159*Eras!O$3</f>
        <v/>
      </c>
      <c r="P160" s="5">
        <f>P159*Eras!P$3</f>
        <v/>
      </c>
      <c r="Q160" s="5">
        <f>Q159*Eras!Q$3</f>
        <v/>
      </c>
      <c r="R160" s="5">
        <f>R159*Eras!R$3</f>
        <v/>
      </c>
      <c r="S160" s="5">
        <f>S159*Eras!S$3</f>
        <v/>
      </c>
      <c r="T160" s="5">
        <f>T159*Eras!T$3</f>
        <v/>
      </c>
      <c r="U160" s="5">
        <f>U159*Eras!U$3</f>
        <v/>
      </c>
      <c r="V160" s="5">
        <f>V159*Eras!V$3</f>
        <v/>
      </c>
      <c r="W160" s="5">
        <f>W159*Eras!W$3</f>
        <v/>
      </c>
      <c r="X160" s="5">
        <f>X159*Eras!X$3</f>
        <v/>
      </c>
      <c r="Y160" s="5">
        <f>Y159*Eras!Y$3</f>
        <v/>
      </c>
      <c r="Z160" s="5">
        <f>Z159*Eras!Z$3</f>
        <v/>
      </c>
      <c r="AA160" s="5">
        <f>AA159*Eras!AA$3</f>
        <v/>
      </c>
      <c r="AB160" s="5">
        <f>AB159*Eras!AB$3</f>
        <v/>
      </c>
      <c r="AC160" s="5">
        <f>AC159*Eras!AC$3</f>
        <v/>
      </c>
      <c r="AD160" s="5">
        <f>AD159*Eras!AD$3</f>
        <v/>
      </c>
      <c r="AE160" s="5">
        <f>AE159*Eras!AE$3</f>
        <v/>
      </c>
      <c r="AF160" s="5">
        <f>AF159*Eras!AF$3</f>
        <v/>
      </c>
      <c r="AG160" s="5">
        <f>AG159*Eras!AG$3</f>
        <v/>
      </c>
      <c r="AH160" s="5">
        <f>AH159*Eras!AH$3</f>
        <v/>
      </c>
      <c r="AI160" s="5">
        <f>AI159*Eras!AI$3</f>
        <v/>
      </c>
      <c r="AJ160" s="5">
        <f>AJ159*Eras!AJ$3</f>
        <v/>
      </c>
      <c r="AK160" s="5">
        <f>AK159*Eras!AK$3</f>
        <v/>
      </c>
      <c r="AL160" s="5">
        <f>AL159*Eras!AL$3</f>
        <v/>
      </c>
      <c r="AM160" s="5">
        <f>AM159*Eras!AM$3</f>
        <v/>
      </c>
      <c r="AN160" s="5">
        <f>AN159*Eras!AN$3</f>
        <v/>
      </c>
      <c r="AO160" s="5">
        <f>AO159*Eras!AO$3</f>
        <v/>
      </c>
      <c r="AP160" s="5">
        <f>AP159*Eras!AP$3</f>
        <v/>
      </c>
      <c r="AQ160" s="5">
        <f>AQ159*Eras!AQ$3</f>
        <v/>
      </c>
      <c r="AR160" s="5">
        <f>AR159*Eras!AR$3</f>
        <v/>
      </c>
      <c r="AS160" s="5">
        <f>AS159*Eras!AS$3</f>
        <v/>
      </c>
      <c r="AT160" s="5">
        <f>AT159*Eras!AT$3</f>
        <v/>
      </c>
      <c r="AU160" s="5">
        <f>AU159*Eras!AU$3</f>
        <v/>
      </c>
      <c r="AV160" s="5">
        <f>AV159*Eras!AV$3</f>
        <v/>
      </c>
      <c r="AW160" s="5">
        <f>AW159*Eras!AW$3</f>
        <v/>
      </c>
      <c r="AX160" s="5">
        <f>AX159*Eras!AX$3</f>
        <v/>
      </c>
      <c r="AY160" s="5">
        <f>AY159*Eras!AY$3</f>
        <v/>
      </c>
      <c r="AZ160" s="5">
        <f>AZ159*Eras!AZ$3</f>
        <v/>
      </c>
      <c r="BA160" s="5">
        <f>BA159*Eras!BA$3</f>
        <v/>
      </c>
      <c r="BB160" s="5">
        <f>BB159*Eras!BB$3</f>
        <v/>
      </c>
      <c r="BC160" s="5">
        <f>BC159*Eras!BC$3</f>
        <v/>
      </c>
      <c r="BD160" s="5">
        <f>BD159*Eras!BD$3</f>
        <v/>
      </c>
      <c r="BE160" s="5">
        <f>BE159*Eras!BE$3</f>
        <v/>
      </c>
      <c r="BF160" s="5">
        <f>BF159*Eras!BF$3</f>
        <v/>
      </c>
      <c r="BG160" s="5">
        <f>BG159*Eras!BG$3</f>
        <v/>
      </c>
      <c r="BH160" s="5">
        <f>BH159*Eras!BH$3</f>
        <v/>
      </c>
      <c r="BI160" s="5">
        <f>BI159*Eras!BI$3</f>
        <v/>
      </c>
      <c r="BJ160" s="5">
        <f>BJ159*Eras!BJ$3</f>
        <v/>
      </c>
      <c r="BK160" s="5">
        <f>BK159*Eras!BK$3</f>
        <v/>
      </c>
      <c r="BL160" s="5">
        <f>BL159*Eras!BL$3</f>
        <v/>
      </c>
      <c r="BM160" s="5">
        <f>BM159*Eras!BM$3</f>
        <v/>
      </c>
      <c r="BN160" s="5">
        <f>BN159*Eras!BN$3</f>
        <v/>
      </c>
      <c r="BO160" s="5">
        <f>BO159*Eras!BO$3</f>
        <v/>
      </c>
      <c r="BP160" s="5">
        <f>BP159*Eras!BP$3</f>
        <v/>
      </c>
      <c r="BQ160" s="5">
        <f>BQ159*Eras!BQ$3</f>
        <v/>
      </c>
      <c r="BR160" s="5">
        <f>BR159*Eras!BR$3</f>
        <v/>
      </c>
      <c r="BS160" s="5">
        <f>BS159*Eras!BS$3</f>
        <v/>
      </c>
      <c r="BT160" s="5">
        <f>BT159*Eras!BT$3</f>
        <v/>
      </c>
      <c r="BU160" s="5">
        <f>BU159*Eras!BU$3</f>
        <v/>
      </c>
      <c r="BV160" s="5">
        <f>BV159*Eras!BV$3</f>
        <v/>
      </c>
    </row>
    <row r="161">
      <c r="A161" t="inlineStr">
        <is>
          <t>inflow @1</t>
        </is>
      </c>
      <c r="B161" t="inlineStr">
        <is>
          <t>APAC|NITRO_M</t>
        </is>
      </c>
      <c r="C161" s="5">
        <f>C159*Eras!C$4</f>
        <v/>
      </c>
      <c r="D161" s="5">
        <f>D159*Eras!D$4</f>
        <v/>
      </c>
      <c r="E161" s="5">
        <f>E159*Eras!E$4</f>
        <v/>
      </c>
      <c r="F161" s="5">
        <f>F159*Eras!F$4</f>
        <v/>
      </c>
      <c r="G161" s="5">
        <f>G159*Eras!G$4</f>
        <v/>
      </c>
      <c r="H161" s="5">
        <f>H159*Eras!H$4</f>
        <v/>
      </c>
      <c r="I161" s="5">
        <f>I159*Eras!I$4</f>
        <v/>
      </c>
      <c r="J161" s="5">
        <f>J159*Eras!J$4</f>
        <v/>
      </c>
      <c r="K161" s="5">
        <f>K159*Eras!K$4</f>
        <v/>
      </c>
      <c r="L161" s="5">
        <f>L159*Eras!L$4</f>
        <v/>
      </c>
      <c r="M161" s="5">
        <f>M159*Eras!M$4</f>
        <v/>
      </c>
      <c r="N161" s="5">
        <f>N159*Eras!N$4</f>
        <v/>
      </c>
      <c r="O161" s="5">
        <f>O159*Eras!O$4</f>
        <v/>
      </c>
      <c r="P161" s="5">
        <f>P159*Eras!P$4</f>
        <v/>
      </c>
      <c r="Q161" s="5">
        <f>Q159*Eras!Q$4</f>
        <v/>
      </c>
      <c r="R161" s="5">
        <f>R159*Eras!R$4</f>
        <v/>
      </c>
      <c r="S161" s="5">
        <f>S159*Eras!S$4</f>
        <v/>
      </c>
      <c r="T161" s="5">
        <f>T159*Eras!T$4</f>
        <v/>
      </c>
      <c r="U161" s="5">
        <f>U159*Eras!U$4</f>
        <v/>
      </c>
      <c r="V161" s="5">
        <f>V159*Eras!V$4</f>
        <v/>
      </c>
      <c r="W161" s="5">
        <f>W159*Eras!W$4</f>
        <v/>
      </c>
      <c r="X161" s="5">
        <f>X159*Eras!X$4</f>
        <v/>
      </c>
      <c r="Y161" s="5">
        <f>Y159*Eras!Y$4</f>
        <v/>
      </c>
      <c r="Z161" s="5">
        <f>Z159*Eras!Z$4</f>
        <v/>
      </c>
      <c r="AA161" s="5">
        <f>AA159*Eras!AA$4</f>
        <v/>
      </c>
      <c r="AB161" s="5">
        <f>AB159*Eras!AB$4</f>
        <v/>
      </c>
      <c r="AC161" s="5">
        <f>AC159*Eras!AC$4</f>
        <v/>
      </c>
      <c r="AD161" s="5">
        <f>AD159*Eras!AD$4</f>
        <v/>
      </c>
      <c r="AE161" s="5">
        <f>AE159*Eras!AE$4</f>
        <v/>
      </c>
      <c r="AF161" s="5">
        <f>AF159*Eras!AF$4</f>
        <v/>
      </c>
      <c r="AG161" s="5">
        <f>AG159*Eras!AG$4</f>
        <v/>
      </c>
      <c r="AH161" s="5">
        <f>AH159*Eras!AH$4</f>
        <v/>
      </c>
      <c r="AI161" s="5">
        <f>AI159*Eras!AI$4</f>
        <v/>
      </c>
      <c r="AJ161" s="5">
        <f>AJ159*Eras!AJ$4</f>
        <v/>
      </c>
      <c r="AK161" s="5">
        <f>AK159*Eras!AK$4</f>
        <v/>
      </c>
      <c r="AL161" s="5">
        <f>AL159*Eras!AL$4</f>
        <v/>
      </c>
      <c r="AM161" s="5">
        <f>AM159*Eras!AM$4</f>
        <v/>
      </c>
      <c r="AN161" s="5">
        <f>AN159*Eras!AN$4</f>
        <v/>
      </c>
      <c r="AO161" s="5">
        <f>AO159*Eras!AO$4</f>
        <v/>
      </c>
      <c r="AP161" s="5">
        <f>AP159*Eras!AP$4</f>
        <v/>
      </c>
      <c r="AQ161" s="5">
        <f>AQ159*Eras!AQ$4</f>
        <v/>
      </c>
      <c r="AR161" s="5">
        <f>AR159*Eras!AR$4</f>
        <v/>
      </c>
      <c r="AS161" s="5">
        <f>AS159*Eras!AS$4</f>
        <v/>
      </c>
      <c r="AT161" s="5">
        <f>AT159*Eras!AT$4</f>
        <v/>
      </c>
      <c r="AU161" s="5">
        <f>AU159*Eras!AU$4</f>
        <v/>
      </c>
      <c r="AV161" s="5">
        <f>AV159*Eras!AV$4</f>
        <v/>
      </c>
      <c r="AW161" s="5">
        <f>AW159*Eras!AW$4</f>
        <v/>
      </c>
      <c r="AX161" s="5">
        <f>AX159*Eras!AX$4</f>
        <v/>
      </c>
      <c r="AY161" s="5">
        <f>AY159*Eras!AY$4</f>
        <v/>
      </c>
      <c r="AZ161" s="5">
        <f>AZ159*Eras!AZ$4</f>
        <v/>
      </c>
      <c r="BA161" s="5">
        <f>BA159*Eras!BA$4</f>
        <v/>
      </c>
      <c r="BB161" s="5">
        <f>BB159*Eras!BB$4</f>
        <v/>
      </c>
      <c r="BC161" s="5">
        <f>BC159*Eras!BC$4</f>
        <v/>
      </c>
      <c r="BD161" s="5">
        <f>BD159*Eras!BD$4</f>
        <v/>
      </c>
      <c r="BE161" s="5">
        <f>BE159*Eras!BE$4</f>
        <v/>
      </c>
      <c r="BF161" s="5">
        <f>BF159*Eras!BF$4</f>
        <v/>
      </c>
      <c r="BG161" s="5">
        <f>BG159*Eras!BG$4</f>
        <v/>
      </c>
      <c r="BH161" s="5">
        <f>BH159*Eras!BH$4</f>
        <v/>
      </c>
      <c r="BI161" s="5">
        <f>BI159*Eras!BI$4</f>
        <v/>
      </c>
      <c r="BJ161" s="5">
        <f>BJ159*Eras!BJ$4</f>
        <v/>
      </c>
      <c r="BK161" s="5">
        <f>BK159*Eras!BK$4</f>
        <v/>
      </c>
      <c r="BL161" s="5">
        <f>BL159*Eras!BL$4</f>
        <v/>
      </c>
      <c r="BM161" s="5">
        <f>BM159*Eras!BM$4</f>
        <v/>
      </c>
      <c r="BN161" s="5">
        <f>BN159*Eras!BN$4</f>
        <v/>
      </c>
      <c r="BO161" s="5">
        <f>BO159*Eras!BO$4</f>
        <v/>
      </c>
      <c r="BP161" s="5">
        <f>BP159*Eras!BP$4</f>
        <v/>
      </c>
      <c r="BQ161" s="5">
        <f>BQ159*Eras!BQ$4</f>
        <v/>
      </c>
      <c r="BR161" s="5">
        <f>BR159*Eras!BR$4</f>
        <v/>
      </c>
      <c r="BS161" s="5">
        <f>BS159*Eras!BS$4</f>
        <v/>
      </c>
      <c r="BT161" s="5">
        <f>BT159*Eras!BT$4</f>
        <v/>
      </c>
      <c r="BU161" s="5">
        <f>BU159*Eras!BU$4</f>
        <v/>
      </c>
      <c r="BV161" s="5">
        <f>BV159*Eras!BV$4</f>
        <v/>
      </c>
    </row>
    <row r="162">
      <c r="A162" t="inlineStr">
        <is>
          <t>inflow @2</t>
        </is>
      </c>
      <c r="B162" t="inlineStr">
        <is>
          <t>APAC|NITRO_M</t>
        </is>
      </c>
      <c r="C162" s="5">
        <f>C159*Eras!C$5</f>
        <v/>
      </c>
      <c r="D162" s="5">
        <f>D159*Eras!D$5</f>
        <v/>
      </c>
      <c r="E162" s="5">
        <f>E159*Eras!E$5</f>
        <v/>
      </c>
      <c r="F162" s="5">
        <f>F159*Eras!F$5</f>
        <v/>
      </c>
      <c r="G162" s="5">
        <f>G159*Eras!G$5</f>
        <v/>
      </c>
      <c r="H162" s="5">
        <f>H159*Eras!H$5</f>
        <v/>
      </c>
      <c r="I162" s="5">
        <f>I159*Eras!I$5</f>
        <v/>
      </c>
      <c r="J162" s="5">
        <f>J159*Eras!J$5</f>
        <v/>
      </c>
      <c r="K162" s="5">
        <f>K159*Eras!K$5</f>
        <v/>
      </c>
      <c r="L162" s="5">
        <f>L159*Eras!L$5</f>
        <v/>
      </c>
      <c r="M162" s="5">
        <f>M159*Eras!M$5</f>
        <v/>
      </c>
      <c r="N162" s="5">
        <f>N159*Eras!N$5</f>
        <v/>
      </c>
      <c r="O162" s="5">
        <f>O159*Eras!O$5</f>
        <v/>
      </c>
      <c r="P162" s="5">
        <f>P159*Eras!P$5</f>
        <v/>
      </c>
      <c r="Q162" s="5">
        <f>Q159*Eras!Q$5</f>
        <v/>
      </c>
      <c r="R162" s="5">
        <f>R159*Eras!R$5</f>
        <v/>
      </c>
      <c r="S162" s="5">
        <f>S159*Eras!S$5</f>
        <v/>
      </c>
      <c r="T162" s="5">
        <f>T159*Eras!T$5</f>
        <v/>
      </c>
      <c r="U162" s="5">
        <f>U159*Eras!U$5</f>
        <v/>
      </c>
      <c r="V162" s="5">
        <f>V159*Eras!V$5</f>
        <v/>
      </c>
      <c r="W162" s="5">
        <f>W159*Eras!W$5</f>
        <v/>
      </c>
      <c r="X162" s="5">
        <f>X159*Eras!X$5</f>
        <v/>
      </c>
      <c r="Y162" s="5">
        <f>Y159*Eras!Y$5</f>
        <v/>
      </c>
      <c r="Z162" s="5">
        <f>Z159*Eras!Z$5</f>
        <v/>
      </c>
      <c r="AA162" s="5">
        <f>AA159*Eras!AA$5</f>
        <v/>
      </c>
      <c r="AB162" s="5">
        <f>AB159*Eras!AB$5</f>
        <v/>
      </c>
      <c r="AC162" s="5">
        <f>AC159*Eras!AC$5</f>
        <v/>
      </c>
      <c r="AD162" s="5">
        <f>AD159*Eras!AD$5</f>
        <v/>
      </c>
      <c r="AE162" s="5">
        <f>AE159*Eras!AE$5</f>
        <v/>
      </c>
      <c r="AF162" s="5">
        <f>AF159*Eras!AF$5</f>
        <v/>
      </c>
      <c r="AG162" s="5">
        <f>AG159*Eras!AG$5</f>
        <v/>
      </c>
      <c r="AH162" s="5">
        <f>AH159*Eras!AH$5</f>
        <v/>
      </c>
      <c r="AI162" s="5">
        <f>AI159*Eras!AI$5</f>
        <v/>
      </c>
      <c r="AJ162" s="5">
        <f>AJ159*Eras!AJ$5</f>
        <v/>
      </c>
      <c r="AK162" s="5">
        <f>AK159*Eras!AK$5</f>
        <v/>
      </c>
      <c r="AL162" s="5">
        <f>AL159*Eras!AL$5</f>
        <v/>
      </c>
      <c r="AM162" s="5">
        <f>AM159*Eras!AM$5</f>
        <v/>
      </c>
      <c r="AN162" s="5">
        <f>AN159*Eras!AN$5</f>
        <v/>
      </c>
      <c r="AO162" s="5">
        <f>AO159*Eras!AO$5</f>
        <v/>
      </c>
      <c r="AP162" s="5">
        <f>AP159*Eras!AP$5</f>
        <v/>
      </c>
      <c r="AQ162" s="5">
        <f>AQ159*Eras!AQ$5</f>
        <v/>
      </c>
      <c r="AR162" s="5">
        <f>AR159*Eras!AR$5</f>
        <v/>
      </c>
      <c r="AS162" s="5">
        <f>AS159*Eras!AS$5</f>
        <v/>
      </c>
      <c r="AT162" s="5">
        <f>AT159*Eras!AT$5</f>
        <v/>
      </c>
      <c r="AU162" s="5">
        <f>AU159*Eras!AU$5</f>
        <v/>
      </c>
      <c r="AV162" s="5">
        <f>AV159*Eras!AV$5</f>
        <v/>
      </c>
      <c r="AW162" s="5">
        <f>AW159*Eras!AW$5</f>
        <v/>
      </c>
      <c r="AX162" s="5">
        <f>AX159*Eras!AX$5</f>
        <v/>
      </c>
      <c r="AY162" s="5">
        <f>AY159*Eras!AY$5</f>
        <v/>
      </c>
      <c r="AZ162" s="5">
        <f>AZ159*Eras!AZ$5</f>
        <v/>
      </c>
      <c r="BA162" s="5">
        <f>BA159*Eras!BA$5</f>
        <v/>
      </c>
      <c r="BB162" s="5">
        <f>BB159*Eras!BB$5</f>
        <v/>
      </c>
      <c r="BC162" s="5">
        <f>BC159*Eras!BC$5</f>
        <v/>
      </c>
      <c r="BD162" s="5">
        <f>BD159*Eras!BD$5</f>
        <v/>
      </c>
      <c r="BE162" s="5">
        <f>BE159*Eras!BE$5</f>
        <v/>
      </c>
      <c r="BF162" s="5">
        <f>BF159*Eras!BF$5</f>
        <v/>
      </c>
      <c r="BG162" s="5">
        <f>BG159*Eras!BG$5</f>
        <v/>
      </c>
      <c r="BH162" s="5">
        <f>BH159*Eras!BH$5</f>
        <v/>
      </c>
      <c r="BI162" s="5">
        <f>BI159*Eras!BI$5</f>
        <v/>
      </c>
      <c r="BJ162" s="5">
        <f>BJ159*Eras!BJ$5</f>
        <v/>
      </c>
      <c r="BK162" s="5">
        <f>BK159*Eras!BK$5</f>
        <v/>
      </c>
      <c r="BL162" s="5">
        <f>BL159*Eras!BL$5</f>
        <v/>
      </c>
      <c r="BM162" s="5">
        <f>BM159*Eras!BM$5</f>
        <v/>
      </c>
      <c r="BN162" s="5">
        <f>BN159*Eras!BN$5</f>
        <v/>
      </c>
      <c r="BO162" s="5">
        <f>BO159*Eras!BO$5</f>
        <v/>
      </c>
      <c r="BP162" s="5">
        <f>BP159*Eras!BP$5</f>
        <v/>
      </c>
      <c r="BQ162" s="5">
        <f>BQ159*Eras!BQ$5</f>
        <v/>
      </c>
      <c r="BR162" s="5">
        <f>BR159*Eras!BR$5</f>
        <v/>
      </c>
      <c r="BS162" s="5">
        <f>BS159*Eras!BS$5</f>
        <v/>
      </c>
      <c r="BT162" s="5">
        <f>BT159*Eras!BT$5</f>
        <v/>
      </c>
      <c r="BU162" s="5">
        <f>BU159*Eras!BU$5</f>
        <v/>
      </c>
      <c r="BV162" s="5">
        <f>BV159*Eras!BV$5</f>
        <v/>
      </c>
    </row>
    <row r="163">
      <c r="A163" t="inlineStr">
        <is>
          <t>reactivations out</t>
        </is>
      </c>
      <c r="B163" t="inlineStr">
        <is>
          <t>APAC|NITRO_M</t>
        </is>
      </c>
      <c r="C163" s="5">
        <f>React!$C$160*Curves!$BV$21+React!$C$161*Curves!$BV$44+React!$C$162*Curves!$BV$67</f>
        <v/>
      </c>
      <c r="D163" s="5">
        <f>SUMPRODUCT(React!$C$160:$D$160,Curves!$BU$21:$BV$21)+SUMPRODUCT(React!$C$161:$D$161,Curves!$BU$44:$BV$44)+SUMPRODUCT(React!$C$162:$D$162,Curves!$BU$67:$BV$67)</f>
        <v/>
      </c>
      <c r="E163" s="5">
        <f>SUMPRODUCT(React!$C$160:$E$160,Curves!$BT$21:$BV$21)+SUMPRODUCT(React!$C$161:$E$161,Curves!$BT$44:$BV$44)+SUMPRODUCT(React!$C$162:$E$162,Curves!$BT$67:$BV$67)</f>
        <v/>
      </c>
      <c r="F163" s="5">
        <f>SUMPRODUCT(React!$C$160:$F$160,Curves!$BS$21:$BV$21)+SUMPRODUCT(React!$C$161:$F$161,Curves!$BS$44:$BV$44)+SUMPRODUCT(React!$C$162:$F$162,Curves!$BS$67:$BV$67)</f>
        <v/>
      </c>
      <c r="G163" s="5">
        <f>SUMPRODUCT(React!$C$160:$G$160,Curves!$BR$21:$BV$21)+SUMPRODUCT(React!$C$161:$G$161,Curves!$BR$44:$BV$44)+SUMPRODUCT(React!$C$162:$G$162,Curves!$BR$67:$BV$67)</f>
        <v/>
      </c>
      <c r="H163" s="5">
        <f>SUMPRODUCT(React!$C$160:$H$160,Curves!$BQ$21:$BV$21)+SUMPRODUCT(React!$C$161:$H$161,Curves!$BQ$44:$BV$44)+SUMPRODUCT(React!$C$162:$H$162,Curves!$BQ$67:$BV$67)</f>
        <v/>
      </c>
      <c r="I163" s="5">
        <f>SUMPRODUCT(React!$C$160:$I$160,Curves!$BP$21:$BV$21)+SUMPRODUCT(React!$C$161:$I$161,Curves!$BP$44:$BV$44)+SUMPRODUCT(React!$C$162:$I$162,Curves!$BP$67:$BV$67)</f>
        <v/>
      </c>
      <c r="J163" s="5">
        <f>SUMPRODUCT(React!$C$160:$J$160,Curves!$BO$21:$BV$21)+SUMPRODUCT(React!$C$161:$J$161,Curves!$BO$44:$BV$44)+SUMPRODUCT(React!$C$162:$J$162,Curves!$BO$67:$BV$67)</f>
        <v/>
      </c>
      <c r="K163" s="5">
        <f>SUMPRODUCT(React!$C$160:$K$160,Curves!$BN$21:$BV$21)+SUMPRODUCT(React!$C$161:$K$161,Curves!$BN$44:$BV$44)+SUMPRODUCT(React!$C$162:$K$162,Curves!$BN$67:$BV$67)</f>
        <v/>
      </c>
      <c r="L163" s="5">
        <f>SUMPRODUCT(React!$C$160:$L$160,Curves!$BM$21:$BV$21)+SUMPRODUCT(React!$C$161:$L$161,Curves!$BM$44:$BV$44)+SUMPRODUCT(React!$C$162:$L$162,Curves!$BM$67:$BV$67)</f>
        <v/>
      </c>
      <c r="M163" s="5">
        <f>SUMPRODUCT(React!$C$160:$M$160,Curves!$BL$21:$BV$21)+SUMPRODUCT(React!$C$161:$M$161,Curves!$BL$44:$BV$44)+SUMPRODUCT(React!$C$162:$M$162,Curves!$BL$67:$BV$67)</f>
        <v/>
      </c>
      <c r="N163" s="5">
        <f>SUMPRODUCT(React!$C$160:$N$160,Curves!$BK$21:$BV$21)+SUMPRODUCT(React!$C$161:$N$161,Curves!$BK$44:$BV$44)+SUMPRODUCT(React!$C$162:$N$162,Curves!$BK$67:$BV$67)</f>
        <v/>
      </c>
      <c r="O163" s="5">
        <f>SUMPRODUCT(React!$C$160:$O$160,Curves!$BJ$21:$BV$21)+SUMPRODUCT(React!$C$161:$O$161,Curves!$BJ$44:$BV$44)+SUMPRODUCT(React!$C$162:$O$162,Curves!$BJ$67:$BV$67)</f>
        <v/>
      </c>
      <c r="P163" s="5">
        <f>SUMPRODUCT(React!$C$160:$P$160,Curves!$BI$21:$BV$21)+SUMPRODUCT(React!$C$161:$P$161,Curves!$BI$44:$BV$44)+SUMPRODUCT(React!$C$162:$P$162,Curves!$BI$67:$BV$67)</f>
        <v/>
      </c>
      <c r="Q163" s="5">
        <f>SUMPRODUCT(React!$C$160:$Q$160,Curves!$BH$21:$BV$21)+SUMPRODUCT(React!$C$161:$Q$161,Curves!$BH$44:$BV$44)+SUMPRODUCT(React!$C$162:$Q$162,Curves!$BH$67:$BV$67)</f>
        <v/>
      </c>
      <c r="R163" s="5">
        <f>SUMPRODUCT(React!$C$160:$R$160,Curves!$BG$21:$BV$21)+SUMPRODUCT(React!$C$161:$R$161,Curves!$BG$44:$BV$44)+SUMPRODUCT(React!$C$162:$R$162,Curves!$BG$67:$BV$67)</f>
        <v/>
      </c>
      <c r="S163" s="5">
        <f>SUMPRODUCT(React!$C$160:$S$160,Curves!$BF$21:$BV$21)+SUMPRODUCT(React!$C$161:$S$161,Curves!$BF$44:$BV$44)+SUMPRODUCT(React!$C$162:$S$162,Curves!$BF$67:$BV$67)</f>
        <v/>
      </c>
      <c r="T163" s="5">
        <f>SUMPRODUCT(React!$C$160:$T$160,Curves!$BE$21:$BV$21)+SUMPRODUCT(React!$C$161:$T$161,Curves!$BE$44:$BV$44)+SUMPRODUCT(React!$C$162:$T$162,Curves!$BE$67:$BV$67)</f>
        <v/>
      </c>
      <c r="U163" s="5">
        <f>SUMPRODUCT(React!$C$160:$U$160,Curves!$BD$21:$BV$21)+SUMPRODUCT(React!$C$161:$U$161,Curves!$BD$44:$BV$44)+SUMPRODUCT(React!$C$162:$U$162,Curves!$BD$67:$BV$67)</f>
        <v/>
      </c>
      <c r="V163" s="5">
        <f>SUMPRODUCT(React!$C$160:$V$160,Curves!$BC$21:$BV$21)+SUMPRODUCT(React!$C$161:$V$161,Curves!$BC$44:$BV$44)+SUMPRODUCT(React!$C$162:$V$162,Curves!$BC$67:$BV$67)</f>
        <v/>
      </c>
      <c r="W163" s="5">
        <f>SUMPRODUCT(React!$C$160:$W$160,Curves!$BB$21:$BV$21)+SUMPRODUCT(React!$C$161:$W$161,Curves!$BB$44:$BV$44)+SUMPRODUCT(React!$C$162:$W$162,Curves!$BB$67:$BV$67)</f>
        <v/>
      </c>
      <c r="X163" s="5">
        <f>SUMPRODUCT(React!$C$160:$X$160,Curves!$BA$21:$BV$21)+SUMPRODUCT(React!$C$161:$X$161,Curves!$BA$44:$BV$44)+SUMPRODUCT(React!$C$162:$X$162,Curves!$BA$67:$BV$67)</f>
        <v/>
      </c>
      <c r="Y163" s="5">
        <f>SUMPRODUCT(React!$C$160:$Y$160,Curves!$AZ$21:$BV$21)+SUMPRODUCT(React!$C$161:$Y$161,Curves!$AZ$44:$BV$44)+SUMPRODUCT(React!$C$162:$Y$162,Curves!$AZ$67:$BV$67)</f>
        <v/>
      </c>
      <c r="Z163" s="5">
        <f>SUMPRODUCT(React!$C$160:$Z$160,Curves!$AY$21:$BV$21)+SUMPRODUCT(React!$C$161:$Z$161,Curves!$AY$44:$BV$44)+SUMPRODUCT(React!$C$162:$Z$162,Curves!$AY$67:$BV$67)</f>
        <v/>
      </c>
      <c r="AA163" s="5">
        <f>SUMPRODUCT(React!$C$160:$AA$160,Curves!$AX$21:$BV$21)+SUMPRODUCT(React!$C$161:$AA$161,Curves!$AX$44:$BV$44)+SUMPRODUCT(React!$C$162:$AA$162,Curves!$AX$67:$BV$67)</f>
        <v/>
      </c>
      <c r="AB163" s="5">
        <f>SUMPRODUCT(React!$C$160:$AB$160,Curves!$AW$21:$BV$21)+SUMPRODUCT(React!$C$161:$AB$161,Curves!$AW$44:$BV$44)+SUMPRODUCT(React!$C$162:$AB$162,Curves!$AW$67:$BV$67)</f>
        <v/>
      </c>
      <c r="AC163" s="5">
        <f>SUMPRODUCT(React!$C$160:$AC$160,Curves!$AV$21:$BV$21)+SUMPRODUCT(React!$C$161:$AC$161,Curves!$AV$44:$BV$44)+SUMPRODUCT(React!$C$162:$AC$162,Curves!$AV$67:$BV$67)</f>
        <v/>
      </c>
      <c r="AD163" s="5">
        <f>SUMPRODUCT(React!$C$160:$AD$160,Curves!$AU$21:$BV$21)+SUMPRODUCT(React!$C$161:$AD$161,Curves!$AU$44:$BV$44)+SUMPRODUCT(React!$C$162:$AD$162,Curves!$AU$67:$BV$67)</f>
        <v/>
      </c>
      <c r="AE163" s="5">
        <f>SUMPRODUCT(React!$C$160:$AE$160,Curves!$AT$21:$BV$21)+SUMPRODUCT(React!$C$161:$AE$161,Curves!$AT$44:$BV$44)+SUMPRODUCT(React!$C$162:$AE$162,Curves!$AT$67:$BV$67)</f>
        <v/>
      </c>
      <c r="AF163" s="5">
        <f>SUMPRODUCT(React!$C$160:$AF$160,Curves!$AS$21:$BV$21)+SUMPRODUCT(React!$C$161:$AF$161,Curves!$AS$44:$BV$44)+SUMPRODUCT(React!$C$162:$AF$162,Curves!$AS$67:$BV$67)</f>
        <v/>
      </c>
      <c r="AG163" s="5">
        <f>SUMPRODUCT(React!$C$160:$AG$160,Curves!$AR$21:$BV$21)+SUMPRODUCT(React!$C$161:$AG$161,Curves!$AR$44:$BV$44)+SUMPRODUCT(React!$C$162:$AG$162,Curves!$AR$67:$BV$67)</f>
        <v/>
      </c>
      <c r="AH163" s="5">
        <f>SUMPRODUCT(React!$C$160:$AH$160,Curves!$AQ$21:$BV$21)+SUMPRODUCT(React!$C$161:$AH$161,Curves!$AQ$44:$BV$44)+SUMPRODUCT(React!$C$162:$AH$162,Curves!$AQ$67:$BV$67)</f>
        <v/>
      </c>
      <c r="AI163" s="5">
        <f>SUMPRODUCT(React!$C$160:$AI$160,Curves!$AP$21:$BV$21)+SUMPRODUCT(React!$C$161:$AI$161,Curves!$AP$44:$BV$44)+SUMPRODUCT(React!$C$162:$AI$162,Curves!$AP$67:$BV$67)</f>
        <v/>
      </c>
      <c r="AJ163" s="5">
        <f>SUMPRODUCT(React!$C$160:$AJ$160,Curves!$AO$21:$BV$21)+SUMPRODUCT(React!$C$161:$AJ$161,Curves!$AO$44:$BV$44)+SUMPRODUCT(React!$C$162:$AJ$162,Curves!$AO$67:$BV$67)</f>
        <v/>
      </c>
      <c r="AK163" s="5">
        <f>SUMPRODUCT(React!$C$160:$AK$160,Curves!$AN$21:$BV$21)+SUMPRODUCT(React!$C$161:$AK$161,Curves!$AN$44:$BV$44)+SUMPRODUCT(React!$C$162:$AK$162,Curves!$AN$67:$BV$67)</f>
        <v/>
      </c>
      <c r="AL163" s="5">
        <f>SUMPRODUCT(React!$C$160:$AL$160,Curves!$AM$21:$BV$21)+SUMPRODUCT(React!$C$161:$AL$161,Curves!$AM$44:$BV$44)+SUMPRODUCT(React!$C$162:$AL$162,Curves!$AM$67:$BV$67)</f>
        <v/>
      </c>
      <c r="AM163" s="5">
        <f>SUMPRODUCT(React!$C$160:$AM$160,Curves!$AL$21:$BV$21)+SUMPRODUCT(React!$C$161:$AM$161,Curves!$AL$44:$BV$44)+SUMPRODUCT(React!$C$162:$AM$162,Curves!$AL$67:$BV$67)</f>
        <v/>
      </c>
      <c r="AN163" s="5">
        <f>SUMPRODUCT(React!$C$160:$AN$160,Curves!$AK$21:$BV$21)+SUMPRODUCT(React!$C$161:$AN$161,Curves!$AK$44:$BV$44)+SUMPRODUCT(React!$C$162:$AN$162,Curves!$AK$67:$BV$67)</f>
        <v/>
      </c>
      <c r="AO163" s="5">
        <f>SUMPRODUCT(React!$C$160:$AO$160,Curves!$AJ$21:$BV$21)+SUMPRODUCT(React!$C$161:$AO$161,Curves!$AJ$44:$BV$44)+SUMPRODUCT(React!$C$162:$AO$162,Curves!$AJ$67:$BV$67)</f>
        <v/>
      </c>
      <c r="AP163" s="5">
        <f>SUMPRODUCT(React!$C$160:$AP$160,Curves!$AI$21:$BV$21)+SUMPRODUCT(React!$C$161:$AP$161,Curves!$AI$44:$BV$44)+SUMPRODUCT(React!$C$162:$AP$162,Curves!$AI$67:$BV$67)</f>
        <v/>
      </c>
      <c r="AQ163" s="5">
        <f>SUMPRODUCT(React!$C$160:$AQ$160,Curves!$AH$21:$BV$21)+SUMPRODUCT(React!$C$161:$AQ$161,Curves!$AH$44:$BV$44)+SUMPRODUCT(React!$C$162:$AQ$162,Curves!$AH$67:$BV$67)</f>
        <v/>
      </c>
      <c r="AR163" s="5">
        <f>SUMPRODUCT(React!$C$160:$AR$160,Curves!$AG$21:$BV$21)+SUMPRODUCT(React!$C$161:$AR$161,Curves!$AG$44:$BV$44)+SUMPRODUCT(React!$C$162:$AR$162,Curves!$AG$67:$BV$67)</f>
        <v/>
      </c>
      <c r="AS163" s="5">
        <f>SUMPRODUCT(React!$C$160:$AS$160,Curves!$AF$21:$BV$21)+SUMPRODUCT(React!$C$161:$AS$161,Curves!$AF$44:$BV$44)+SUMPRODUCT(React!$C$162:$AS$162,Curves!$AF$67:$BV$67)</f>
        <v/>
      </c>
      <c r="AT163" s="5">
        <f>SUMPRODUCT(React!$C$160:$AT$160,Curves!$AE$21:$BV$21)+SUMPRODUCT(React!$C$161:$AT$161,Curves!$AE$44:$BV$44)+SUMPRODUCT(React!$C$162:$AT$162,Curves!$AE$67:$BV$67)</f>
        <v/>
      </c>
      <c r="AU163" s="5">
        <f>SUMPRODUCT(React!$C$160:$AU$160,Curves!$AD$21:$BV$21)+SUMPRODUCT(React!$C$161:$AU$161,Curves!$AD$44:$BV$44)+SUMPRODUCT(React!$C$162:$AU$162,Curves!$AD$67:$BV$67)</f>
        <v/>
      </c>
      <c r="AV163" s="5">
        <f>SUMPRODUCT(React!$C$160:$AV$160,Curves!$AC$21:$BV$21)+SUMPRODUCT(React!$C$161:$AV$161,Curves!$AC$44:$BV$44)+SUMPRODUCT(React!$C$162:$AV$162,Curves!$AC$67:$BV$67)</f>
        <v/>
      </c>
      <c r="AW163" s="5">
        <f>SUMPRODUCT(React!$C$160:$AW$160,Curves!$AB$21:$BV$21)+SUMPRODUCT(React!$C$161:$AW$161,Curves!$AB$44:$BV$44)+SUMPRODUCT(React!$C$162:$AW$162,Curves!$AB$67:$BV$67)</f>
        <v/>
      </c>
      <c r="AX163" s="5">
        <f>SUMPRODUCT(React!$C$160:$AX$160,Curves!$AA$21:$BV$21)+SUMPRODUCT(React!$C$161:$AX$161,Curves!$AA$44:$BV$44)+SUMPRODUCT(React!$C$162:$AX$162,Curves!$AA$67:$BV$67)</f>
        <v/>
      </c>
      <c r="AY163" s="5">
        <f>SUMPRODUCT(React!$C$160:$AY$160,Curves!$Z$21:$BV$21)+SUMPRODUCT(React!$C$161:$AY$161,Curves!$Z$44:$BV$44)+SUMPRODUCT(React!$C$162:$AY$162,Curves!$Z$67:$BV$67)</f>
        <v/>
      </c>
      <c r="AZ163" s="5">
        <f>SUMPRODUCT(React!$C$160:$AZ$160,Curves!$Y$21:$BV$21)+SUMPRODUCT(React!$C$161:$AZ$161,Curves!$Y$44:$BV$44)+SUMPRODUCT(React!$C$162:$AZ$162,Curves!$Y$67:$BV$67)</f>
        <v/>
      </c>
      <c r="BA163" s="5">
        <f>SUMPRODUCT(React!$C$160:$BA$160,Curves!$X$21:$BV$21)+SUMPRODUCT(React!$C$161:$BA$161,Curves!$X$44:$BV$44)+SUMPRODUCT(React!$C$162:$BA$162,Curves!$X$67:$BV$67)</f>
        <v/>
      </c>
      <c r="BB163" s="5">
        <f>SUMPRODUCT(React!$C$160:$BB$160,Curves!$W$21:$BV$21)+SUMPRODUCT(React!$C$161:$BB$161,Curves!$W$44:$BV$44)+SUMPRODUCT(React!$C$162:$BB$162,Curves!$W$67:$BV$67)</f>
        <v/>
      </c>
      <c r="BC163" s="5">
        <f>SUMPRODUCT(React!$C$160:$BC$160,Curves!$V$21:$BV$21)+SUMPRODUCT(React!$C$161:$BC$161,Curves!$V$44:$BV$44)+SUMPRODUCT(React!$C$162:$BC$162,Curves!$V$67:$BV$67)</f>
        <v/>
      </c>
      <c r="BD163" s="5">
        <f>SUMPRODUCT(React!$C$160:$BD$160,Curves!$U$21:$BV$21)+SUMPRODUCT(React!$C$161:$BD$161,Curves!$U$44:$BV$44)+SUMPRODUCT(React!$C$162:$BD$162,Curves!$U$67:$BV$67)</f>
        <v/>
      </c>
      <c r="BE163" s="5">
        <f>SUMPRODUCT(React!$C$160:$BE$160,Curves!$T$21:$BV$21)+SUMPRODUCT(React!$C$161:$BE$161,Curves!$T$44:$BV$44)+SUMPRODUCT(React!$C$162:$BE$162,Curves!$T$67:$BV$67)</f>
        <v/>
      </c>
      <c r="BF163" s="5">
        <f>SUMPRODUCT(React!$C$160:$BF$160,Curves!$S$21:$BV$21)+SUMPRODUCT(React!$C$161:$BF$161,Curves!$S$44:$BV$44)+SUMPRODUCT(React!$C$162:$BF$162,Curves!$S$67:$BV$67)</f>
        <v/>
      </c>
      <c r="BG163" s="5">
        <f>SUMPRODUCT(React!$C$160:$BG$160,Curves!$R$21:$BV$21)+SUMPRODUCT(React!$C$161:$BG$161,Curves!$R$44:$BV$44)+SUMPRODUCT(React!$C$162:$BG$162,Curves!$R$67:$BV$67)</f>
        <v/>
      </c>
      <c r="BH163" s="5">
        <f>SUMPRODUCT(React!$C$160:$BH$160,Curves!$Q$21:$BV$21)+SUMPRODUCT(React!$C$161:$BH$161,Curves!$Q$44:$BV$44)+SUMPRODUCT(React!$C$162:$BH$162,Curves!$Q$67:$BV$67)</f>
        <v/>
      </c>
      <c r="BI163" s="5">
        <f>SUMPRODUCT(React!$C$160:$BI$160,Curves!$P$21:$BV$21)+SUMPRODUCT(React!$C$161:$BI$161,Curves!$P$44:$BV$44)+SUMPRODUCT(React!$C$162:$BI$162,Curves!$P$67:$BV$67)</f>
        <v/>
      </c>
      <c r="BJ163" s="5">
        <f>SUMPRODUCT(React!$C$160:$BJ$160,Curves!$O$21:$BV$21)+SUMPRODUCT(React!$C$161:$BJ$161,Curves!$O$44:$BV$44)+SUMPRODUCT(React!$C$162:$BJ$162,Curves!$O$67:$BV$67)</f>
        <v/>
      </c>
      <c r="BK163" s="5">
        <f>SUMPRODUCT(React!$C$160:$BK$160,Curves!$N$21:$BV$21)+SUMPRODUCT(React!$C$161:$BK$161,Curves!$N$44:$BV$44)+SUMPRODUCT(React!$C$162:$BK$162,Curves!$N$67:$BV$67)</f>
        <v/>
      </c>
      <c r="BL163" s="5">
        <f>SUMPRODUCT(React!$C$160:$BL$160,Curves!$M$21:$BV$21)+SUMPRODUCT(React!$C$161:$BL$161,Curves!$M$44:$BV$44)+SUMPRODUCT(React!$C$162:$BL$162,Curves!$M$67:$BV$67)</f>
        <v/>
      </c>
      <c r="BM163" s="5">
        <f>SUMPRODUCT(React!$C$160:$BM$160,Curves!$L$21:$BV$21)+SUMPRODUCT(React!$C$161:$BM$161,Curves!$L$44:$BV$44)+SUMPRODUCT(React!$C$162:$BM$162,Curves!$L$67:$BV$67)</f>
        <v/>
      </c>
      <c r="BN163" s="5">
        <f>SUMPRODUCT(React!$C$160:$BN$160,Curves!$K$21:$BV$21)+SUMPRODUCT(React!$C$161:$BN$161,Curves!$K$44:$BV$44)+SUMPRODUCT(React!$C$162:$BN$162,Curves!$K$67:$BV$67)</f>
        <v/>
      </c>
      <c r="BO163" s="5">
        <f>SUMPRODUCT(React!$C$160:$BO$160,Curves!$J$21:$BV$21)+SUMPRODUCT(React!$C$161:$BO$161,Curves!$J$44:$BV$44)+SUMPRODUCT(React!$C$162:$BO$162,Curves!$J$67:$BV$67)</f>
        <v/>
      </c>
      <c r="BP163" s="5">
        <f>SUMPRODUCT(React!$C$160:$BP$160,Curves!$I$21:$BV$21)+SUMPRODUCT(React!$C$161:$BP$161,Curves!$I$44:$BV$44)+SUMPRODUCT(React!$C$162:$BP$162,Curves!$I$67:$BV$67)</f>
        <v/>
      </c>
      <c r="BQ163" s="5">
        <f>SUMPRODUCT(React!$C$160:$BQ$160,Curves!$H$21:$BV$21)+SUMPRODUCT(React!$C$161:$BQ$161,Curves!$H$44:$BV$44)+SUMPRODUCT(React!$C$162:$BQ$162,Curves!$H$67:$BV$67)</f>
        <v/>
      </c>
      <c r="BR163" s="5">
        <f>SUMPRODUCT(React!$C$160:$BR$160,Curves!$G$21:$BV$21)+SUMPRODUCT(React!$C$161:$BR$161,Curves!$G$44:$BV$44)+SUMPRODUCT(React!$C$162:$BR$162,Curves!$G$67:$BV$67)</f>
        <v/>
      </c>
      <c r="BS163" s="5">
        <f>SUMPRODUCT(React!$C$160:$BS$160,Curves!$F$21:$BV$21)+SUMPRODUCT(React!$C$161:$BS$161,Curves!$F$44:$BV$44)+SUMPRODUCT(React!$C$162:$BS$162,Curves!$F$67:$BV$67)</f>
        <v/>
      </c>
      <c r="BT163" s="5">
        <f>SUMPRODUCT(React!$C$160:$BT$160,Curves!$E$21:$BV$21)+SUMPRODUCT(React!$C$161:$BT$161,Curves!$E$44:$BV$44)+SUMPRODUCT(React!$C$162:$BT$162,Curves!$E$67:$BV$67)</f>
        <v/>
      </c>
      <c r="BU163" s="5">
        <f>SUMPRODUCT(React!$C$160:$BU$160,Curves!$D$21:$BV$21)+SUMPRODUCT(React!$C$161:$BU$161,Curves!$D$44:$BV$44)+SUMPRODUCT(React!$C$162:$BU$162,Curves!$D$67:$BV$67)</f>
        <v/>
      </c>
      <c r="BV163" s="5">
        <f>SUMPRODUCT(React!$C$160:$BV$160,Curves!$C$21:$BV$21)+SUMPRODUCT(React!$C$161:$BV$161,Curves!$C$44:$BV$44)+SUMPRODUCT(React!$C$162:$BV$162,Curves!$C$67:$BV$67)</f>
        <v/>
      </c>
    </row>
    <row r="164">
      <c r="A164" t="inlineStr">
        <is>
          <t>reactivated in</t>
        </is>
      </c>
      <c r="B164" t="inlineStr">
        <is>
          <t>APAC|NITRO_M</t>
        </is>
      </c>
      <c r="C164" s="5">
        <f>C163+C176</f>
        <v/>
      </c>
      <c r="D164" s="5">
        <f>D163+D176</f>
        <v/>
      </c>
      <c r="E164" s="5">
        <f>E163+E176</f>
        <v/>
      </c>
      <c r="F164" s="5">
        <f>F163+F176</f>
        <v/>
      </c>
      <c r="G164" s="5">
        <f>G163+G176</f>
        <v/>
      </c>
      <c r="H164" s="5">
        <f>H163+H176</f>
        <v/>
      </c>
      <c r="I164" s="5">
        <f>I163+I176</f>
        <v/>
      </c>
      <c r="J164" s="5">
        <f>J163+J176</f>
        <v/>
      </c>
      <c r="K164" s="5">
        <f>K163+K176</f>
        <v/>
      </c>
      <c r="L164" s="5">
        <f>L163+L176</f>
        <v/>
      </c>
      <c r="M164" s="5">
        <f>M163+M176</f>
        <v/>
      </c>
      <c r="N164" s="5">
        <f>N163+N176</f>
        <v/>
      </c>
      <c r="O164" s="5">
        <f>O163+O176</f>
        <v/>
      </c>
      <c r="P164" s="5">
        <f>P163+P176</f>
        <v/>
      </c>
      <c r="Q164" s="5">
        <f>Q163+Q176</f>
        <v/>
      </c>
      <c r="R164" s="5">
        <f>R163+R176</f>
        <v/>
      </c>
      <c r="S164" s="5">
        <f>S163+S176</f>
        <v/>
      </c>
      <c r="T164" s="5">
        <f>T163+T176</f>
        <v/>
      </c>
      <c r="U164" s="5">
        <f>U163+U176</f>
        <v/>
      </c>
      <c r="V164" s="5">
        <f>V163+V176</f>
        <v/>
      </c>
      <c r="W164" s="5">
        <f>W163+W176</f>
        <v/>
      </c>
      <c r="X164" s="5">
        <f>X163+X176</f>
        <v/>
      </c>
      <c r="Y164" s="5">
        <f>Y163+Y176</f>
        <v/>
      </c>
      <c r="Z164" s="5">
        <f>Z163+Z176</f>
        <v/>
      </c>
      <c r="AA164" s="5">
        <f>AA163+AA176</f>
        <v/>
      </c>
      <c r="AB164" s="5">
        <f>AB163+AB176</f>
        <v/>
      </c>
      <c r="AC164" s="5">
        <f>AC163+AC176</f>
        <v/>
      </c>
      <c r="AD164" s="5">
        <f>AD163+AD176</f>
        <v/>
      </c>
      <c r="AE164" s="5">
        <f>AE163+AE176</f>
        <v/>
      </c>
      <c r="AF164" s="5">
        <f>AF163+AF176</f>
        <v/>
      </c>
      <c r="AG164" s="5">
        <f>AG163+AG176</f>
        <v/>
      </c>
      <c r="AH164" s="5">
        <f>AH163+AH176</f>
        <v/>
      </c>
      <c r="AI164" s="5">
        <f>AI163+AI176</f>
        <v/>
      </c>
      <c r="AJ164" s="5">
        <f>AJ163+AJ176</f>
        <v/>
      </c>
      <c r="AK164" s="5">
        <f>AK163+AK176</f>
        <v/>
      </c>
      <c r="AL164" s="5">
        <f>AL163+AL176</f>
        <v/>
      </c>
      <c r="AM164" s="5">
        <f>AM163+AM176</f>
        <v/>
      </c>
      <c r="AN164" s="5">
        <f>AN163+AN176</f>
        <v/>
      </c>
      <c r="AO164" s="5">
        <f>AO163+AO176</f>
        <v/>
      </c>
      <c r="AP164" s="5">
        <f>AP163+AP176</f>
        <v/>
      </c>
      <c r="AQ164" s="5">
        <f>AQ163+AQ176</f>
        <v/>
      </c>
      <c r="AR164" s="5">
        <f>AR163+AR176</f>
        <v/>
      </c>
      <c r="AS164" s="5">
        <f>AS163+AS176</f>
        <v/>
      </c>
      <c r="AT164" s="5">
        <f>AT163+AT176</f>
        <v/>
      </c>
      <c r="AU164" s="5">
        <f>AU163+AU176</f>
        <v/>
      </c>
      <c r="AV164" s="5">
        <f>AV163+AV176</f>
        <v/>
      </c>
      <c r="AW164" s="5">
        <f>AW163+AW176</f>
        <v/>
      </c>
      <c r="AX164" s="5">
        <f>AX163+AX176</f>
        <v/>
      </c>
      <c r="AY164" s="5">
        <f>AY163+AY176</f>
        <v/>
      </c>
      <c r="AZ164" s="5">
        <f>AZ163+AZ176</f>
        <v/>
      </c>
      <c r="BA164" s="5">
        <f>BA163+BA176</f>
        <v/>
      </c>
      <c r="BB164" s="5">
        <f>BB163+BB176</f>
        <v/>
      </c>
      <c r="BC164" s="5">
        <f>BC163+BC176</f>
        <v/>
      </c>
      <c r="BD164" s="5">
        <f>BD163+BD176</f>
        <v/>
      </c>
      <c r="BE164" s="5">
        <f>BE163+BE176</f>
        <v/>
      </c>
      <c r="BF164" s="5">
        <f>BF163+BF176</f>
        <v/>
      </c>
      <c r="BG164" s="5">
        <f>BG163+BG176</f>
        <v/>
      </c>
      <c r="BH164" s="5">
        <f>BH163+BH176</f>
        <v/>
      </c>
      <c r="BI164" s="5">
        <f>BI163+BI176</f>
        <v/>
      </c>
      <c r="BJ164" s="5">
        <f>BJ163+BJ176</f>
        <v/>
      </c>
      <c r="BK164" s="5">
        <f>BK163+BK176</f>
        <v/>
      </c>
      <c r="BL164" s="5">
        <f>BL163+BL176</f>
        <v/>
      </c>
      <c r="BM164" s="5">
        <f>BM163+BM176</f>
        <v/>
      </c>
      <c r="BN164" s="5">
        <f>BN163+BN176</f>
        <v/>
      </c>
      <c r="BO164" s="5">
        <f>BO163+BO176</f>
        <v/>
      </c>
      <c r="BP164" s="5">
        <f>BP163+BP176</f>
        <v/>
      </c>
      <c r="BQ164" s="5">
        <f>BQ163+BQ176</f>
        <v/>
      </c>
      <c r="BR164" s="5">
        <f>BR163+BR176</f>
        <v/>
      </c>
      <c r="BS164" s="5">
        <f>BS163+BS176</f>
        <v/>
      </c>
      <c r="BT164" s="5">
        <f>BT163+BT176</f>
        <v/>
      </c>
      <c r="BU164" s="5">
        <f>BU163+BU176</f>
        <v/>
      </c>
      <c r="BV164" s="5">
        <f>BV163+BV176</f>
        <v/>
      </c>
    </row>
    <row r="165">
      <c r="A165" t="inlineStr">
        <is>
          <t>reactivated in @0</t>
        </is>
      </c>
      <c r="B165" t="inlineStr">
        <is>
          <t>APAC|NITRO_M</t>
        </is>
      </c>
      <c r="C165" s="5">
        <f>C164*Eras!C$3</f>
        <v/>
      </c>
      <c r="D165" s="5">
        <f>D164*Eras!D$3</f>
        <v/>
      </c>
      <c r="E165" s="5">
        <f>E164*Eras!E$3</f>
        <v/>
      </c>
      <c r="F165" s="5">
        <f>F164*Eras!F$3</f>
        <v/>
      </c>
      <c r="G165" s="5">
        <f>G164*Eras!G$3</f>
        <v/>
      </c>
      <c r="H165" s="5">
        <f>H164*Eras!H$3</f>
        <v/>
      </c>
      <c r="I165" s="5">
        <f>I164*Eras!I$3</f>
        <v/>
      </c>
      <c r="J165" s="5">
        <f>J164*Eras!J$3</f>
        <v/>
      </c>
      <c r="K165" s="5">
        <f>K164*Eras!K$3</f>
        <v/>
      </c>
      <c r="L165" s="5">
        <f>L164*Eras!L$3</f>
        <v/>
      </c>
      <c r="M165" s="5">
        <f>M164*Eras!M$3</f>
        <v/>
      </c>
      <c r="N165" s="5">
        <f>N164*Eras!N$3</f>
        <v/>
      </c>
      <c r="O165" s="5">
        <f>O164*Eras!O$3</f>
        <v/>
      </c>
      <c r="P165" s="5">
        <f>P164*Eras!P$3</f>
        <v/>
      </c>
      <c r="Q165" s="5">
        <f>Q164*Eras!Q$3</f>
        <v/>
      </c>
      <c r="R165" s="5">
        <f>R164*Eras!R$3</f>
        <v/>
      </c>
      <c r="S165" s="5">
        <f>S164*Eras!S$3</f>
        <v/>
      </c>
      <c r="T165" s="5">
        <f>T164*Eras!T$3</f>
        <v/>
      </c>
      <c r="U165" s="5">
        <f>U164*Eras!U$3</f>
        <v/>
      </c>
      <c r="V165" s="5">
        <f>V164*Eras!V$3</f>
        <v/>
      </c>
      <c r="W165" s="5">
        <f>W164*Eras!W$3</f>
        <v/>
      </c>
      <c r="X165" s="5">
        <f>X164*Eras!X$3</f>
        <v/>
      </c>
      <c r="Y165" s="5">
        <f>Y164*Eras!Y$3</f>
        <v/>
      </c>
      <c r="Z165" s="5">
        <f>Z164*Eras!Z$3</f>
        <v/>
      </c>
      <c r="AA165" s="5">
        <f>AA164*Eras!AA$3</f>
        <v/>
      </c>
      <c r="AB165" s="5">
        <f>AB164*Eras!AB$3</f>
        <v/>
      </c>
      <c r="AC165" s="5">
        <f>AC164*Eras!AC$3</f>
        <v/>
      </c>
      <c r="AD165" s="5">
        <f>AD164*Eras!AD$3</f>
        <v/>
      </c>
      <c r="AE165" s="5">
        <f>AE164*Eras!AE$3</f>
        <v/>
      </c>
      <c r="AF165" s="5">
        <f>AF164*Eras!AF$3</f>
        <v/>
      </c>
      <c r="AG165" s="5">
        <f>AG164*Eras!AG$3</f>
        <v/>
      </c>
      <c r="AH165" s="5">
        <f>AH164*Eras!AH$3</f>
        <v/>
      </c>
      <c r="AI165" s="5">
        <f>AI164*Eras!AI$3</f>
        <v/>
      </c>
      <c r="AJ165" s="5">
        <f>AJ164*Eras!AJ$3</f>
        <v/>
      </c>
      <c r="AK165" s="5">
        <f>AK164*Eras!AK$3</f>
        <v/>
      </c>
      <c r="AL165" s="5">
        <f>AL164*Eras!AL$3</f>
        <v/>
      </c>
      <c r="AM165" s="5">
        <f>AM164*Eras!AM$3</f>
        <v/>
      </c>
      <c r="AN165" s="5">
        <f>AN164*Eras!AN$3</f>
        <v/>
      </c>
      <c r="AO165" s="5">
        <f>AO164*Eras!AO$3</f>
        <v/>
      </c>
      <c r="AP165" s="5">
        <f>AP164*Eras!AP$3</f>
        <v/>
      </c>
      <c r="AQ165" s="5">
        <f>AQ164*Eras!AQ$3</f>
        <v/>
      </c>
      <c r="AR165" s="5">
        <f>AR164*Eras!AR$3</f>
        <v/>
      </c>
      <c r="AS165" s="5">
        <f>AS164*Eras!AS$3</f>
        <v/>
      </c>
      <c r="AT165" s="5">
        <f>AT164*Eras!AT$3</f>
        <v/>
      </c>
      <c r="AU165" s="5">
        <f>AU164*Eras!AU$3</f>
        <v/>
      </c>
      <c r="AV165" s="5">
        <f>AV164*Eras!AV$3</f>
        <v/>
      </c>
      <c r="AW165" s="5">
        <f>AW164*Eras!AW$3</f>
        <v/>
      </c>
      <c r="AX165" s="5">
        <f>AX164*Eras!AX$3</f>
        <v/>
      </c>
      <c r="AY165" s="5">
        <f>AY164*Eras!AY$3</f>
        <v/>
      </c>
      <c r="AZ165" s="5">
        <f>AZ164*Eras!AZ$3</f>
        <v/>
      </c>
      <c r="BA165" s="5">
        <f>BA164*Eras!BA$3</f>
        <v/>
      </c>
      <c r="BB165" s="5">
        <f>BB164*Eras!BB$3</f>
        <v/>
      </c>
      <c r="BC165" s="5">
        <f>BC164*Eras!BC$3</f>
        <v/>
      </c>
      <c r="BD165" s="5">
        <f>BD164*Eras!BD$3</f>
        <v/>
      </c>
      <c r="BE165" s="5">
        <f>BE164*Eras!BE$3</f>
        <v/>
      </c>
      <c r="BF165" s="5">
        <f>BF164*Eras!BF$3</f>
        <v/>
      </c>
      <c r="BG165" s="5">
        <f>BG164*Eras!BG$3</f>
        <v/>
      </c>
      <c r="BH165" s="5">
        <f>BH164*Eras!BH$3</f>
        <v/>
      </c>
      <c r="BI165" s="5">
        <f>BI164*Eras!BI$3</f>
        <v/>
      </c>
      <c r="BJ165" s="5">
        <f>BJ164*Eras!BJ$3</f>
        <v/>
      </c>
      <c r="BK165" s="5">
        <f>BK164*Eras!BK$3</f>
        <v/>
      </c>
      <c r="BL165" s="5">
        <f>BL164*Eras!BL$3</f>
        <v/>
      </c>
      <c r="BM165" s="5">
        <f>BM164*Eras!BM$3</f>
        <v/>
      </c>
      <c r="BN165" s="5">
        <f>BN164*Eras!BN$3</f>
        <v/>
      </c>
      <c r="BO165" s="5">
        <f>BO164*Eras!BO$3</f>
        <v/>
      </c>
      <c r="BP165" s="5">
        <f>BP164*Eras!BP$3</f>
        <v/>
      </c>
      <c r="BQ165" s="5">
        <f>BQ164*Eras!BQ$3</f>
        <v/>
      </c>
      <c r="BR165" s="5">
        <f>BR164*Eras!BR$3</f>
        <v/>
      </c>
      <c r="BS165" s="5">
        <f>BS164*Eras!BS$3</f>
        <v/>
      </c>
      <c r="BT165" s="5">
        <f>BT164*Eras!BT$3</f>
        <v/>
      </c>
      <c r="BU165" s="5">
        <f>BU164*Eras!BU$3</f>
        <v/>
      </c>
      <c r="BV165" s="5">
        <f>BV164*Eras!BV$3</f>
        <v/>
      </c>
    </row>
    <row r="166">
      <c r="A166" t="inlineStr">
        <is>
          <t>reactivated in @1</t>
        </is>
      </c>
      <c r="B166" t="inlineStr">
        <is>
          <t>APAC|NITRO_M</t>
        </is>
      </c>
      <c r="C166" s="5">
        <f>C164*Eras!C$4</f>
        <v/>
      </c>
      <c r="D166" s="5">
        <f>D164*Eras!D$4</f>
        <v/>
      </c>
      <c r="E166" s="5">
        <f>E164*Eras!E$4</f>
        <v/>
      </c>
      <c r="F166" s="5">
        <f>F164*Eras!F$4</f>
        <v/>
      </c>
      <c r="G166" s="5">
        <f>G164*Eras!G$4</f>
        <v/>
      </c>
      <c r="H166" s="5">
        <f>H164*Eras!H$4</f>
        <v/>
      </c>
      <c r="I166" s="5">
        <f>I164*Eras!I$4</f>
        <v/>
      </c>
      <c r="J166" s="5">
        <f>J164*Eras!J$4</f>
        <v/>
      </c>
      <c r="K166" s="5">
        <f>K164*Eras!K$4</f>
        <v/>
      </c>
      <c r="L166" s="5">
        <f>L164*Eras!L$4</f>
        <v/>
      </c>
      <c r="M166" s="5">
        <f>M164*Eras!M$4</f>
        <v/>
      </c>
      <c r="N166" s="5">
        <f>N164*Eras!N$4</f>
        <v/>
      </c>
      <c r="O166" s="5">
        <f>O164*Eras!O$4</f>
        <v/>
      </c>
      <c r="P166" s="5">
        <f>P164*Eras!P$4</f>
        <v/>
      </c>
      <c r="Q166" s="5">
        <f>Q164*Eras!Q$4</f>
        <v/>
      </c>
      <c r="R166" s="5">
        <f>R164*Eras!R$4</f>
        <v/>
      </c>
      <c r="S166" s="5">
        <f>S164*Eras!S$4</f>
        <v/>
      </c>
      <c r="T166" s="5">
        <f>T164*Eras!T$4</f>
        <v/>
      </c>
      <c r="U166" s="5">
        <f>U164*Eras!U$4</f>
        <v/>
      </c>
      <c r="V166" s="5">
        <f>V164*Eras!V$4</f>
        <v/>
      </c>
      <c r="W166" s="5">
        <f>W164*Eras!W$4</f>
        <v/>
      </c>
      <c r="X166" s="5">
        <f>X164*Eras!X$4</f>
        <v/>
      </c>
      <c r="Y166" s="5">
        <f>Y164*Eras!Y$4</f>
        <v/>
      </c>
      <c r="Z166" s="5">
        <f>Z164*Eras!Z$4</f>
        <v/>
      </c>
      <c r="AA166" s="5">
        <f>AA164*Eras!AA$4</f>
        <v/>
      </c>
      <c r="AB166" s="5">
        <f>AB164*Eras!AB$4</f>
        <v/>
      </c>
      <c r="AC166" s="5">
        <f>AC164*Eras!AC$4</f>
        <v/>
      </c>
      <c r="AD166" s="5">
        <f>AD164*Eras!AD$4</f>
        <v/>
      </c>
      <c r="AE166" s="5">
        <f>AE164*Eras!AE$4</f>
        <v/>
      </c>
      <c r="AF166" s="5">
        <f>AF164*Eras!AF$4</f>
        <v/>
      </c>
      <c r="AG166" s="5">
        <f>AG164*Eras!AG$4</f>
        <v/>
      </c>
      <c r="AH166" s="5">
        <f>AH164*Eras!AH$4</f>
        <v/>
      </c>
      <c r="AI166" s="5">
        <f>AI164*Eras!AI$4</f>
        <v/>
      </c>
      <c r="AJ166" s="5">
        <f>AJ164*Eras!AJ$4</f>
        <v/>
      </c>
      <c r="AK166" s="5">
        <f>AK164*Eras!AK$4</f>
        <v/>
      </c>
      <c r="AL166" s="5">
        <f>AL164*Eras!AL$4</f>
        <v/>
      </c>
      <c r="AM166" s="5">
        <f>AM164*Eras!AM$4</f>
        <v/>
      </c>
      <c r="AN166" s="5">
        <f>AN164*Eras!AN$4</f>
        <v/>
      </c>
      <c r="AO166" s="5">
        <f>AO164*Eras!AO$4</f>
        <v/>
      </c>
      <c r="AP166" s="5">
        <f>AP164*Eras!AP$4</f>
        <v/>
      </c>
      <c r="AQ166" s="5">
        <f>AQ164*Eras!AQ$4</f>
        <v/>
      </c>
      <c r="AR166" s="5">
        <f>AR164*Eras!AR$4</f>
        <v/>
      </c>
      <c r="AS166" s="5">
        <f>AS164*Eras!AS$4</f>
        <v/>
      </c>
      <c r="AT166" s="5">
        <f>AT164*Eras!AT$4</f>
        <v/>
      </c>
      <c r="AU166" s="5">
        <f>AU164*Eras!AU$4</f>
        <v/>
      </c>
      <c r="AV166" s="5">
        <f>AV164*Eras!AV$4</f>
        <v/>
      </c>
      <c r="AW166" s="5">
        <f>AW164*Eras!AW$4</f>
        <v/>
      </c>
      <c r="AX166" s="5">
        <f>AX164*Eras!AX$4</f>
        <v/>
      </c>
      <c r="AY166" s="5">
        <f>AY164*Eras!AY$4</f>
        <v/>
      </c>
      <c r="AZ166" s="5">
        <f>AZ164*Eras!AZ$4</f>
        <v/>
      </c>
      <c r="BA166" s="5">
        <f>BA164*Eras!BA$4</f>
        <v/>
      </c>
      <c r="BB166" s="5">
        <f>BB164*Eras!BB$4</f>
        <v/>
      </c>
      <c r="BC166" s="5">
        <f>BC164*Eras!BC$4</f>
        <v/>
      </c>
      <c r="BD166" s="5">
        <f>BD164*Eras!BD$4</f>
        <v/>
      </c>
      <c r="BE166" s="5">
        <f>BE164*Eras!BE$4</f>
        <v/>
      </c>
      <c r="BF166" s="5">
        <f>BF164*Eras!BF$4</f>
        <v/>
      </c>
      <c r="BG166" s="5">
        <f>BG164*Eras!BG$4</f>
        <v/>
      </c>
      <c r="BH166" s="5">
        <f>BH164*Eras!BH$4</f>
        <v/>
      </c>
      <c r="BI166" s="5">
        <f>BI164*Eras!BI$4</f>
        <v/>
      </c>
      <c r="BJ166" s="5">
        <f>BJ164*Eras!BJ$4</f>
        <v/>
      </c>
      <c r="BK166" s="5">
        <f>BK164*Eras!BK$4</f>
        <v/>
      </c>
      <c r="BL166" s="5">
        <f>BL164*Eras!BL$4</f>
        <v/>
      </c>
      <c r="BM166" s="5">
        <f>BM164*Eras!BM$4</f>
        <v/>
      </c>
      <c r="BN166" s="5">
        <f>BN164*Eras!BN$4</f>
        <v/>
      </c>
      <c r="BO166" s="5">
        <f>BO164*Eras!BO$4</f>
        <v/>
      </c>
      <c r="BP166" s="5">
        <f>BP164*Eras!BP$4</f>
        <v/>
      </c>
      <c r="BQ166" s="5">
        <f>BQ164*Eras!BQ$4</f>
        <v/>
      </c>
      <c r="BR166" s="5">
        <f>BR164*Eras!BR$4</f>
        <v/>
      </c>
      <c r="BS166" s="5">
        <f>BS164*Eras!BS$4</f>
        <v/>
      </c>
      <c r="BT166" s="5">
        <f>BT164*Eras!BT$4</f>
        <v/>
      </c>
      <c r="BU166" s="5">
        <f>BU164*Eras!BU$4</f>
        <v/>
      </c>
      <c r="BV166" s="5">
        <f>BV164*Eras!BV$4</f>
        <v/>
      </c>
    </row>
    <row r="167">
      <c r="A167" t="inlineStr">
        <is>
          <t>reactivated in @2</t>
        </is>
      </c>
      <c r="B167" t="inlineStr">
        <is>
          <t>APAC|NITRO_M</t>
        </is>
      </c>
      <c r="C167" s="5">
        <f>C164*Eras!C$5</f>
        <v/>
      </c>
      <c r="D167" s="5">
        <f>D164*Eras!D$5</f>
        <v/>
      </c>
      <c r="E167" s="5">
        <f>E164*Eras!E$5</f>
        <v/>
      </c>
      <c r="F167" s="5">
        <f>F164*Eras!F$5</f>
        <v/>
      </c>
      <c r="G167" s="5">
        <f>G164*Eras!G$5</f>
        <v/>
      </c>
      <c r="H167" s="5">
        <f>H164*Eras!H$5</f>
        <v/>
      </c>
      <c r="I167" s="5">
        <f>I164*Eras!I$5</f>
        <v/>
      </c>
      <c r="J167" s="5">
        <f>J164*Eras!J$5</f>
        <v/>
      </c>
      <c r="K167" s="5">
        <f>K164*Eras!K$5</f>
        <v/>
      </c>
      <c r="L167" s="5">
        <f>L164*Eras!L$5</f>
        <v/>
      </c>
      <c r="M167" s="5">
        <f>M164*Eras!M$5</f>
        <v/>
      </c>
      <c r="N167" s="5">
        <f>N164*Eras!N$5</f>
        <v/>
      </c>
      <c r="O167" s="5">
        <f>O164*Eras!O$5</f>
        <v/>
      </c>
      <c r="P167" s="5">
        <f>P164*Eras!P$5</f>
        <v/>
      </c>
      <c r="Q167" s="5">
        <f>Q164*Eras!Q$5</f>
        <v/>
      </c>
      <c r="R167" s="5">
        <f>R164*Eras!R$5</f>
        <v/>
      </c>
      <c r="S167" s="5">
        <f>S164*Eras!S$5</f>
        <v/>
      </c>
      <c r="T167" s="5">
        <f>T164*Eras!T$5</f>
        <v/>
      </c>
      <c r="U167" s="5">
        <f>U164*Eras!U$5</f>
        <v/>
      </c>
      <c r="V167" s="5">
        <f>V164*Eras!V$5</f>
        <v/>
      </c>
      <c r="W167" s="5">
        <f>W164*Eras!W$5</f>
        <v/>
      </c>
      <c r="X167" s="5">
        <f>X164*Eras!X$5</f>
        <v/>
      </c>
      <c r="Y167" s="5">
        <f>Y164*Eras!Y$5</f>
        <v/>
      </c>
      <c r="Z167" s="5">
        <f>Z164*Eras!Z$5</f>
        <v/>
      </c>
      <c r="AA167" s="5">
        <f>AA164*Eras!AA$5</f>
        <v/>
      </c>
      <c r="AB167" s="5">
        <f>AB164*Eras!AB$5</f>
        <v/>
      </c>
      <c r="AC167" s="5">
        <f>AC164*Eras!AC$5</f>
        <v/>
      </c>
      <c r="AD167" s="5">
        <f>AD164*Eras!AD$5</f>
        <v/>
      </c>
      <c r="AE167" s="5">
        <f>AE164*Eras!AE$5</f>
        <v/>
      </c>
      <c r="AF167" s="5">
        <f>AF164*Eras!AF$5</f>
        <v/>
      </c>
      <c r="AG167" s="5">
        <f>AG164*Eras!AG$5</f>
        <v/>
      </c>
      <c r="AH167" s="5">
        <f>AH164*Eras!AH$5</f>
        <v/>
      </c>
      <c r="AI167" s="5">
        <f>AI164*Eras!AI$5</f>
        <v/>
      </c>
      <c r="AJ167" s="5">
        <f>AJ164*Eras!AJ$5</f>
        <v/>
      </c>
      <c r="AK167" s="5">
        <f>AK164*Eras!AK$5</f>
        <v/>
      </c>
      <c r="AL167" s="5">
        <f>AL164*Eras!AL$5</f>
        <v/>
      </c>
      <c r="AM167" s="5">
        <f>AM164*Eras!AM$5</f>
        <v/>
      </c>
      <c r="AN167" s="5">
        <f>AN164*Eras!AN$5</f>
        <v/>
      </c>
      <c r="AO167" s="5">
        <f>AO164*Eras!AO$5</f>
        <v/>
      </c>
      <c r="AP167" s="5">
        <f>AP164*Eras!AP$5</f>
        <v/>
      </c>
      <c r="AQ167" s="5">
        <f>AQ164*Eras!AQ$5</f>
        <v/>
      </c>
      <c r="AR167" s="5">
        <f>AR164*Eras!AR$5</f>
        <v/>
      </c>
      <c r="AS167" s="5">
        <f>AS164*Eras!AS$5</f>
        <v/>
      </c>
      <c r="AT167" s="5">
        <f>AT164*Eras!AT$5</f>
        <v/>
      </c>
      <c r="AU167" s="5">
        <f>AU164*Eras!AU$5</f>
        <v/>
      </c>
      <c r="AV167" s="5">
        <f>AV164*Eras!AV$5</f>
        <v/>
      </c>
      <c r="AW167" s="5">
        <f>AW164*Eras!AW$5</f>
        <v/>
      </c>
      <c r="AX167" s="5">
        <f>AX164*Eras!AX$5</f>
        <v/>
      </c>
      <c r="AY167" s="5">
        <f>AY164*Eras!AY$5</f>
        <v/>
      </c>
      <c r="AZ167" s="5">
        <f>AZ164*Eras!AZ$5</f>
        <v/>
      </c>
      <c r="BA167" s="5">
        <f>BA164*Eras!BA$5</f>
        <v/>
      </c>
      <c r="BB167" s="5">
        <f>BB164*Eras!BB$5</f>
        <v/>
      </c>
      <c r="BC167" s="5">
        <f>BC164*Eras!BC$5</f>
        <v/>
      </c>
      <c r="BD167" s="5">
        <f>BD164*Eras!BD$5</f>
        <v/>
      </c>
      <c r="BE167" s="5">
        <f>BE164*Eras!BE$5</f>
        <v/>
      </c>
      <c r="BF167" s="5">
        <f>BF164*Eras!BF$5</f>
        <v/>
      </c>
      <c r="BG167" s="5">
        <f>BG164*Eras!BG$5</f>
        <v/>
      </c>
      <c r="BH167" s="5">
        <f>BH164*Eras!BH$5</f>
        <v/>
      </c>
      <c r="BI167" s="5">
        <f>BI164*Eras!BI$5</f>
        <v/>
      </c>
      <c r="BJ167" s="5">
        <f>BJ164*Eras!BJ$5</f>
        <v/>
      </c>
      <c r="BK167" s="5">
        <f>BK164*Eras!BK$5</f>
        <v/>
      </c>
      <c r="BL167" s="5">
        <f>BL164*Eras!BL$5</f>
        <v/>
      </c>
      <c r="BM167" s="5">
        <f>BM164*Eras!BM$5</f>
        <v/>
      </c>
      <c r="BN167" s="5">
        <f>BN164*Eras!BN$5</f>
        <v/>
      </c>
      <c r="BO167" s="5">
        <f>BO164*Eras!BO$5</f>
        <v/>
      </c>
      <c r="BP167" s="5">
        <f>BP164*Eras!BP$5</f>
        <v/>
      </c>
      <c r="BQ167" s="5">
        <f>BQ164*Eras!BQ$5</f>
        <v/>
      </c>
      <c r="BR167" s="5">
        <f>BR164*Eras!BR$5</f>
        <v/>
      </c>
      <c r="BS167" s="5">
        <f>BS164*Eras!BS$5</f>
        <v/>
      </c>
      <c r="BT167" s="5">
        <f>BT164*Eras!BT$5</f>
        <v/>
      </c>
      <c r="BU167" s="5">
        <f>BU164*Eras!BU$5</f>
        <v/>
      </c>
      <c r="BV167" s="5">
        <f>BV164*Eras!BV$5</f>
        <v/>
      </c>
    </row>
    <row r="168">
      <c r="A168" t="inlineStr">
        <is>
          <t>active</t>
        </is>
      </c>
      <c r="B168" t="inlineStr">
        <is>
          <t>APAC|NITRO_M</t>
        </is>
      </c>
      <c r="C168" s="5">
        <f>React!$C$165*Curves!$BV$19+React!$C$166*Curves!$BV$42+React!$C$167*Curves!$BV$65</f>
        <v/>
      </c>
      <c r="D168" s="5">
        <f>SUMPRODUCT(React!$C$165:$D$165,Curves!$BU$19:$BV$19)+SUMPRODUCT(React!$C$166:$D$166,Curves!$BU$42:$BV$42)+SUMPRODUCT(React!$C$167:$D$167,Curves!$BU$65:$BV$65)</f>
        <v/>
      </c>
      <c r="E168" s="5">
        <f>SUMPRODUCT(React!$C$165:$E$165,Curves!$BT$19:$BV$19)+SUMPRODUCT(React!$C$166:$E$166,Curves!$BT$42:$BV$42)+SUMPRODUCT(React!$C$167:$E$167,Curves!$BT$65:$BV$65)</f>
        <v/>
      </c>
      <c r="F168" s="5">
        <f>SUMPRODUCT(React!$C$165:$F$165,Curves!$BS$19:$BV$19)+SUMPRODUCT(React!$C$166:$F$166,Curves!$BS$42:$BV$42)+SUMPRODUCT(React!$C$167:$F$167,Curves!$BS$65:$BV$65)</f>
        <v/>
      </c>
      <c r="G168" s="5">
        <f>SUMPRODUCT(React!$C$165:$G$165,Curves!$BR$19:$BV$19)+SUMPRODUCT(React!$C$166:$G$166,Curves!$BR$42:$BV$42)+SUMPRODUCT(React!$C$167:$G$167,Curves!$BR$65:$BV$65)</f>
        <v/>
      </c>
      <c r="H168" s="5">
        <f>SUMPRODUCT(React!$C$165:$H$165,Curves!$BQ$19:$BV$19)+SUMPRODUCT(React!$C$166:$H$166,Curves!$BQ$42:$BV$42)+SUMPRODUCT(React!$C$167:$H$167,Curves!$BQ$65:$BV$65)</f>
        <v/>
      </c>
      <c r="I168" s="5">
        <f>SUMPRODUCT(React!$C$165:$I$165,Curves!$BP$19:$BV$19)+SUMPRODUCT(React!$C$166:$I$166,Curves!$BP$42:$BV$42)+SUMPRODUCT(React!$C$167:$I$167,Curves!$BP$65:$BV$65)</f>
        <v/>
      </c>
      <c r="J168" s="5">
        <f>SUMPRODUCT(React!$C$165:$J$165,Curves!$BO$19:$BV$19)+SUMPRODUCT(React!$C$166:$J$166,Curves!$BO$42:$BV$42)+SUMPRODUCT(React!$C$167:$J$167,Curves!$BO$65:$BV$65)</f>
        <v/>
      </c>
      <c r="K168" s="5">
        <f>SUMPRODUCT(React!$C$165:$K$165,Curves!$BN$19:$BV$19)+SUMPRODUCT(React!$C$166:$K$166,Curves!$BN$42:$BV$42)+SUMPRODUCT(React!$C$167:$K$167,Curves!$BN$65:$BV$65)</f>
        <v/>
      </c>
      <c r="L168" s="5">
        <f>SUMPRODUCT(React!$C$165:$L$165,Curves!$BM$19:$BV$19)+SUMPRODUCT(React!$C$166:$L$166,Curves!$BM$42:$BV$42)+SUMPRODUCT(React!$C$167:$L$167,Curves!$BM$65:$BV$65)</f>
        <v/>
      </c>
      <c r="M168" s="5">
        <f>SUMPRODUCT(React!$C$165:$M$165,Curves!$BL$19:$BV$19)+SUMPRODUCT(React!$C$166:$M$166,Curves!$BL$42:$BV$42)+SUMPRODUCT(React!$C$167:$M$167,Curves!$BL$65:$BV$65)</f>
        <v/>
      </c>
      <c r="N168" s="5">
        <f>SUMPRODUCT(React!$C$165:$N$165,Curves!$BK$19:$BV$19)+SUMPRODUCT(React!$C$166:$N$166,Curves!$BK$42:$BV$42)+SUMPRODUCT(React!$C$167:$N$167,Curves!$BK$65:$BV$65)</f>
        <v/>
      </c>
      <c r="O168" s="5">
        <f>SUMPRODUCT(React!$C$165:$O$165,Curves!$BJ$19:$BV$19)+SUMPRODUCT(React!$C$166:$O$166,Curves!$BJ$42:$BV$42)+SUMPRODUCT(React!$C$167:$O$167,Curves!$BJ$65:$BV$65)</f>
        <v/>
      </c>
      <c r="P168" s="5">
        <f>SUMPRODUCT(React!$C$165:$P$165,Curves!$BI$19:$BV$19)+SUMPRODUCT(React!$C$166:$P$166,Curves!$BI$42:$BV$42)+SUMPRODUCT(React!$C$167:$P$167,Curves!$BI$65:$BV$65)</f>
        <v/>
      </c>
      <c r="Q168" s="5">
        <f>SUMPRODUCT(React!$C$165:$Q$165,Curves!$BH$19:$BV$19)+SUMPRODUCT(React!$C$166:$Q$166,Curves!$BH$42:$BV$42)+SUMPRODUCT(React!$C$167:$Q$167,Curves!$BH$65:$BV$65)</f>
        <v/>
      </c>
      <c r="R168" s="5">
        <f>SUMPRODUCT(React!$C$165:$R$165,Curves!$BG$19:$BV$19)+SUMPRODUCT(React!$C$166:$R$166,Curves!$BG$42:$BV$42)+SUMPRODUCT(React!$C$167:$R$167,Curves!$BG$65:$BV$65)</f>
        <v/>
      </c>
      <c r="S168" s="5">
        <f>SUMPRODUCT(React!$C$165:$S$165,Curves!$BF$19:$BV$19)+SUMPRODUCT(React!$C$166:$S$166,Curves!$BF$42:$BV$42)+SUMPRODUCT(React!$C$167:$S$167,Curves!$BF$65:$BV$65)</f>
        <v/>
      </c>
      <c r="T168" s="5">
        <f>SUMPRODUCT(React!$C$165:$T$165,Curves!$BE$19:$BV$19)+SUMPRODUCT(React!$C$166:$T$166,Curves!$BE$42:$BV$42)+SUMPRODUCT(React!$C$167:$T$167,Curves!$BE$65:$BV$65)</f>
        <v/>
      </c>
      <c r="U168" s="5">
        <f>SUMPRODUCT(React!$C$165:$U$165,Curves!$BD$19:$BV$19)+SUMPRODUCT(React!$C$166:$U$166,Curves!$BD$42:$BV$42)+SUMPRODUCT(React!$C$167:$U$167,Curves!$BD$65:$BV$65)</f>
        <v/>
      </c>
      <c r="V168" s="5">
        <f>SUMPRODUCT(React!$C$165:$V$165,Curves!$BC$19:$BV$19)+SUMPRODUCT(React!$C$166:$V$166,Curves!$BC$42:$BV$42)+SUMPRODUCT(React!$C$167:$V$167,Curves!$BC$65:$BV$65)</f>
        <v/>
      </c>
      <c r="W168" s="5">
        <f>SUMPRODUCT(React!$C$165:$W$165,Curves!$BB$19:$BV$19)+SUMPRODUCT(React!$C$166:$W$166,Curves!$BB$42:$BV$42)+SUMPRODUCT(React!$C$167:$W$167,Curves!$BB$65:$BV$65)</f>
        <v/>
      </c>
      <c r="X168" s="5">
        <f>SUMPRODUCT(React!$C$165:$X$165,Curves!$BA$19:$BV$19)+SUMPRODUCT(React!$C$166:$X$166,Curves!$BA$42:$BV$42)+SUMPRODUCT(React!$C$167:$X$167,Curves!$BA$65:$BV$65)</f>
        <v/>
      </c>
      <c r="Y168" s="5">
        <f>SUMPRODUCT(React!$C$165:$Y$165,Curves!$AZ$19:$BV$19)+SUMPRODUCT(React!$C$166:$Y$166,Curves!$AZ$42:$BV$42)+SUMPRODUCT(React!$C$167:$Y$167,Curves!$AZ$65:$BV$65)</f>
        <v/>
      </c>
      <c r="Z168" s="5">
        <f>SUMPRODUCT(React!$C$165:$Z$165,Curves!$AY$19:$BV$19)+SUMPRODUCT(React!$C$166:$Z$166,Curves!$AY$42:$BV$42)+SUMPRODUCT(React!$C$167:$Z$167,Curves!$AY$65:$BV$65)</f>
        <v/>
      </c>
      <c r="AA168" s="5">
        <f>SUMPRODUCT(React!$C$165:$AA$165,Curves!$AX$19:$BV$19)+SUMPRODUCT(React!$C$166:$AA$166,Curves!$AX$42:$BV$42)+SUMPRODUCT(React!$C$167:$AA$167,Curves!$AX$65:$BV$65)</f>
        <v/>
      </c>
      <c r="AB168" s="5">
        <f>SUMPRODUCT(React!$C$165:$AB$165,Curves!$AW$19:$BV$19)+SUMPRODUCT(React!$C$166:$AB$166,Curves!$AW$42:$BV$42)+SUMPRODUCT(React!$C$167:$AB$167,Curves!$AW$65:$BV$65)</f>
        <v/>
      </c>
      <c r="AC168" s="5">
        <f>SUMPRODUCT(React!$C$165:$AC$165,Curves!$AV$19:$BV$19)+SUMPRODUCT(React!$C$166:$AC$166,Curves!$AV$42:$BV$42)+SUMPRODUCT(React!$C$167:$AC$167,Curves!$AV$65:$BV$65)</f>
        <v/>
      </c>
      <c r="AD168" s="5">
        <f>SUMPRODUCT(React!$C$165:$AD$165,Curves!$AU$19:$BV$19)+SUMPRODUCT(React!$C$166:$AD$166,Curves!$AU$42:$BV$42)+SUMPRODUCT(React!$C$167:$AD$167,Curves!$AU$65:$BV$65)</f>
        <v/>
      </c>
      <c r="AE168" s="5">
        <f>SUMPRODUCT(React!$C$165:$AE$165,Curves!$AT$19:$BV$19)+SUMPRODUCT(React!$C$166:$AE$166,Curves!$AT$42:$BV$42)+SUMPRODUCT(React!$C$167:$AE$167,Curves!$AT$65:$BV$65)</f>
        <v/>
      </c>
      <c r="AF168" s="5">
        <f>SUMPRODUCT(React!$C$165:$AF$165,Curves!$AS$19:$BV$19)+SUMPRODUCT(React!$C$166:$AF$166,Curves!$AS$42:$BV$42)+SUMPRODUCT(React!$C$167:$AF$167,Curves!$AS$65:$BV$65)</f>
        <v/>
      </c>
      <c r="AG168" s="5">
        <f>SUMPRODUCT(React!$C$165:$AG$165,Curves!$AR$19:$BV$19)+SUMPRODUCT(React!$C$166:$AG$166,Curves!$AR$42:$BV$42)+SUMPRODUCT(React!$C$167:$AG$167,Curves!$AR$65:$BV$65)</f>
        <v/>
      </c>
      <c r="AH168" s="5">
        <f>SUMPRODUCT(React!$C$165:$AH$165,Curves!$AQ$19:$BV$19)+SUMPRODUCT(React!$C$166:$AH$166,Curves!$AQ$42:$BV$42)+SUMPRODUCT(React!$C$167:$AH$167,Curves!$AQ$65:$BV$65)</f>
        <v/>
      </c>
      <c r="AI168" s="5">
        <f>SUMPRODUCT(React!$C$165:$AI$165,Curves!$AP$19:$BV$19)+SUMPRODUCT(React!$C$166:$AI$166,Curves!$AP$42:$BV$42)+SUMPRODUCT(React!$C$167:$AI$167,Curves!$AP$65:$BV$65)</f>
        <v/>
      </c>
      <c r="AJ168" s="5">
        <f>SUMPRODUCT(React!$C$165:$AJ$165,Curves!$AO$19:$BV$19)+SUMPRODUCT(React!$C$166:$AJ$166,Curves!$AO$42:$BV$42)+SUMPRODUCT(React!$C$167:$AJ$167,Curves!$AO$65:$BV$65)</f>
        <v/>
      </c>
      <c r="AK168" s="5">
        <f>SUMPRODUCT(React!$C$165:$AK$165,Curves!$AN$19:$BV$19)+SUMPRODUCT(React!$C$166:$AK$166,Curves!$AN$42:$BV$42)+SUMPRODUCT(React!$C$167:$AK$167,Curves!$AN$65:$BV$65)</f>
        <v/>
      </c>
      <c r="AL168" s="5">
        <f>SUMPRODUCT(React!$C$165:$AL$165,Curves!$AM$19:$BV$19)+SUMPRODUCT(React!$C$166:$AL$166,Curves!$AM$42:$BV$42)+SUMPRODUCT(React!$C$167:$AL$167,Curves!$AM$65:$BV$65)</f>
        <v/>
      </c>
      <c r="AM168" s="5">
        <f>SUMPRODUCT(React!$C$165:$AM$165,Curves!$AL$19:$BV$19)+SUMPRODUCT(React!$C$166:$AM$166,Curves!$AL$42:$BV$42)+SUMPRODUCT(React!$C$167:$AM$167,Curves!$AL$65:$BV$65)</f>
        <v/>
      </c>
      <c r="AN168" s="5">
        <f>SUMPRODUCT(React!$C$165:$AN$165,Curves!$AK$19:$BV$19)+SUMPRODUCT(React!$C$166:$AN$166,Curves!$AK$42:$BV$42)+SUMPRODUCT(React!$C$167:$AN$167,Curves!$AK$65:$BV$65)</f>
        <v/>
      </c>
      <c r="AO168" s="5">
        <f>SUMPRODUCT(React!$C$165:$AO$165,Curves!$AJ$19:$BV$19)+SUMPRODUCT(React!$C$166:$AO$166,Curves!$AJ$42:$BV$42)+SUMPRODUCT(React!$C$167:$AO$167,Curves!$AJ$65:$BV$65)</f>
        <v/>
      </c>
      <c r="AP168" s="5">
        <f>SUMPRODUCT(React!$C$165:$AP$165,Curves!$AI$19:$BV$19)+SUMPRODUCT(React!$C$166:$AP$166,Curves!$AI$42:$BV$42)+SUMPRODUCT(React!$C$167:$AP$167,Curves!$AI$65:$BV$65)</f>
        <v/>
      </c>
      <c r="AQ168" s="5">
        <f>SUMPRODUCT(React!$C$165:$AQ$165,Curves!$AH$19:$BV$19)+SUMPRODUCT(React!$C$166:$AQ$166,Curves!$AH$42:$BV$42)+SUMPRODUCT(React!$C$167:$AQ$167,Curves!$AH$65:$BV$65)</f>
        <v/>
      </c>
      <c r="AR168" s="5">
        <f>SUMPRODUCT(React!$C$165:$AR$165,Curves!$AG$19:$BV$19)+SUMPRODUCT(React!$C$166:$AR$166,Curves!$AG$42:$BV$42)+SUMPRODUCT(React!$C$167:$AR$167,Curves!$AG$65:$BV$65)</f>
        <v/>
      </c>
      <c r="AS168" s="5">
        <f>SUMPRODUCT(React!$C$165:$AS$165,Curves!$AF$19:$BV$19)+SUMPRODUCT(React!$C$166:$AS$166,Curves!$AF$42:$BV$42)+SUMPRODUCT(React!$C$167:$AS$167,Curves!$AF$65:$BV$65)</f>
        <v/>
      </c>
      <c r="AT168" s="5">
        <f>SUMPRODUCT(React!$C$165:$AT$165,Curves!$AE$19:$BV$19)+SUMPRODUCT(React!$C$166:$AT$166,Curves!$AE$42:$BV$42)+SUMPRODUCT(React!$C$167:$AT$167,Curves!$AE$65:$BV$65)</f>
        <v/>
      </c>
      <c r="AU168" s="5">
        <f>SUMPRODUCT(React!$C$165:$AU$165,Curves!$AD$19:$BV$19)+SUMPRODUCT(React!$C$166:$AU$166,Curves!$AD$42:$BV$42)+SUMPRODUCT(React!$C$167:$AU$167,Curves!$AD$65:$BV$65)</f>
        <v/>
      </c>
      <c r="AV168" s="5">
        <f>SUMPRODUCT(React!$C$165:$AV$165,Curves!$AC$19:$BV$19)+SUMPRODUCT(React!$C$166:$AV$166,Curves!$AC$42:$BV$42)+SUMPRODUCT(React!$C$167:$AV$167,Curves!$AC$65:$BV$65)</f>
        <v/>
      </c>
      <c r="AW168" s="5">
        <f>SUMPRODUCT(React!$C$165:$AW$165,Curves!$AB$19:$BV$19)+SUMPRODUCT(React!$C$166:$AW$166,Curves!$AB$42:$BV$42)+SUMPRODUCT(React!$C$167:$AW$167,Curves!$AB$65:$BV$65)</f>
        <v/>
      </c>
      <c r="AX168" s="5">
        <f>SUMPRODUCT(React!$C$165:$AX$165,Curves!$AA$19:$BV$19)+SUMPRODUCT(React!$C$166:$AX$166,Curves!$AA$42:$BV$42)+SUMPRODUCT(React!$C$167:$AX$167,Curves!$AA$65:$BV$65)</f>
        <v/>
      </c>
      <c r="AY168" s="5">
        <f>SUMPRODUCT(React!$C$165:$AY$165,Curves!$Z$19:$BV$19)+SUMPRODUCT(React!$C$166:$AY$166,Curves!$Z$42:$BV$42)+SUMPRODUCT(React!$C$167:$AY$167,Curves!$Z$65:$BV$65)</f>
        <v/>
      </c>
      <c r="AZ168" s="5">
        <f>SUMPRODUCT(React!$C$165:$AZ$165,Curves!$Y$19:$BV$19)+SUMPRODUCT(React!$C$166:$AZ$166,Curves!$Y$42:$BV$42)+SUMPRODUCT(React!$C$167:$AZ$167,Curves!$Y$65:$BV$65)</f>
        <v/>
      </c>
      <c r="BA168" s="5">
        <f>SUMPRODUCT(React!$C$165:$BA$165,Curves!$X$19:$BV$19)+SUMPRODUCT(React!$C$166:$BA$166,Curves!$X$42:$BV$42)+SUMPRODUCT(React!$C$167:$BA$167,Curves!$X$65:$BV$65)</f>
        <v/>
      </c>
      <c r="BB168" s="5">
        <f>SUMPRODUCT(React!$C$165:$BB$165,Curves!$W$19:$BV$19)+SUMPRODUCT(React!$C$166:$BB$166,Curves!$W$42:$BV$42)+SUMPRODUCT(React!$C$167:$BB$167,Curves!$W$65:$BV$65)</f>
        <v/>
      </c>
      <c r="BC168" s="5">
        <f>SUMPRODUCT(React!$C$165:$BC$165,Curves!$V$19:$BV$19)+SUMPRODUCT(React!$C$166:$BC$166,Curves!$V$42:$BV$42)+SUMPRODUCT(React!$C$167:$BC$167,Curves!$V$65:$BV$65)</f>
        <v/>
      </c>
      <c r="BD168" s="5">
        <f>SUMPRODUCT(React!$C$165:$BD$165,Curves!$U$19:$BV$19)+SUMPRODUCT(React!$C$166:$BD$166,Curves!$U$42:$BV$42)+SUMPRODUCT(React!$C$167:$BD$167,Curves!$U$65:$BV$65)</f>
        <v/>
      </c>
      <c r="BE168" s="5">
        <f>SUMPRODUCT(React!$C$165:$BE$165,Curves!$T$19:$BV$19)+SUMPRODUCT(React!$C$166:$BE$166,Curves!$T$42:$BV$42)+SUMPRODUCT(React!$C$167:$BE$167,Curves!$T$65:$BV$65)</f>
        <v/>
      </c>
      <c r="BF168" s="5">
        <f>SUMPRODUCT(React!$C$165:$BF$165,Curves!$S$19:$BV$19)+SUMPRODUCT(React!$C$166:$BF$166,Curves!$S$42:$BV$42)+SUMPRODUCT(React!$C$167:$BF$167,Curves!$S$65:$BV$65)</f>
        <v/>
      </c>
      <c r="BG168" s="5">
        <f>SUMPRODUCT(React!$C$165:$BG$165,Curves!$R$19:$BV$19)+SUMPRODUCT(React!$C$166:$BG$166,Curves!$R$42:$BV$42)+SUMPRODUCT(React!$C$167:$BG$167,Curves!$R$65:$BV$65)</f>
        <v/>
      </c>
      <c r="BH168" s="5">
        <f>SUMPRODUCT(React!$C$165:$BH$165,Curves!$Q$19:$BV$19)+SUMPRODUCT(React!$C$166:$BH$166,Curves!$Q$42:$BV$42)+SUMPRODUCT(React!$C$167:$BH$167,Curves!$Q$65:$BV$65)</f>
        <v/>
      </c>
      <c r="BI168" s="5">
        <f>SUMPRODUCT(React!$C$165:$BI$165,Curves!$P$19:$BV$19)+SUMPRODUCT(React!$C$166:$BI$166,Curves!$P$42:$BV$42)+SUMPRODUCT(React!$C$167:$BI$167,Curves!$P$65:$BV$65)</f>
        <v/>
      </c>
      <c r="BJ168" s="5">
        <f>SUMPRODUCT(React!$C$165:$BJ$165,Curves!$O$19:$BV$19)+SUMPRODUCT(React!$C$166:$BJ$166,Curves!$O$42:$BV$42)+SUMPRODUCT(React!$C$167:$BJ$167,Curves!$O$65:$BV$65)</f>
        <v/>
      </c>
      <c r="BK168" s="5">
        <f>SUMPRODUCT(React!$C$165:$BK$165,Curves!$N$19:$BV$19)+SUMPRODUCT(React!$C$166:$BK$166,Curves!$N$42:$BV$42)+SUMPRODUCT(React!$C$167:$BK$167,Curves!$N$65:$BV$65)</f>
        <v/>
      </c>
      <c r="BL168" s="5">
        <f>SUMPRODUCT(React!$C$165:$BL$165,Curves!$M$19:$BV$19)+SUMPRODUCT(React!$C$166:$BL$166,Curves!$M$42:$BV$42)+SUMPRODUCT(React!$C$167:$BL$167,Curves!$M$65:$BV$65)</f>
        <v/>
      </c>
      <c r="BM168" s="5">
        <f>SUMPRODUCT(React!$C$165:$BM$165,Curves!$L$19:$BV$19)+SUMPRODUCT(React!$C$166:$BM$166,Curves!$L$42:$BV$42)+SUMPRODUCT(React!$C$167:$BM$167,Curves!$L$65:$BV$65)</f>
        <v/>
      </c>
      <c r="BN168" s="5">
        <f>SUMPRODUCT(React!$C$165:$BN$165,Curves!$K$19:$BV$19)+SUMPRODUCT(React!$C$166:$BN$166,Curves!$K$42:$BV$42)+SUMPRODUCT(React!$C$167:$BN$167,Curves!$K$65:$BV$65)</f>
        <v/>
      </c>
      <c r="BO168" s="5">
        <f>SUMPRODUCT(React!$C$165:$BO$165,Curves!$J$19:$BV$19)+SUMPRODUCT(React!$C$166:$BO$166,Curves!$J$42:$BV$42)+SUMPRODUCT(React!$C$167:$BO$167,Curves!$J$65:$BV$65)</f>
        <v/>
      </c>
      <c r="BP168" s="5">
        <f>SUMPRODUCT(React!$C$165:$BP$165,Curves!$I$19:$BV$19)+SUMPRODUCT(React!$C$166:$BP$166,Curves!$I$42:$BV$42)+SUMPRODUCT(React!$C$167:$BP$167,Curves!$I$65:$BV$65)</f>
        <v/>
      </c>
      <c r="BQ168" s="5">
        <f>SUMPRODUCT(React!$C$165:$BQ$165,Curves!$H$19:$BV$19)+SUMPRODUCT(React!$C$166:$BQ$166,Curves!$H$42:$BV$42)+SUMPRODUCT(React!$C$167:$BQ$167,Curves!$H$65:$BV$65)</f>
        <v/>
      </c>
      <c r="BR168" s="5">
        <f>SUMPRODUCT(React!$C$165:$BR$165,Curves!$G$19:$BV$19)+SUMPRODUCT(React!$C$166:$BR$166,Curves!$G$42:$BV$42)+SUMPRODUCT(React!$C$167:$BR$167,Curves!$G$65:$BV$65)</f>
        <v/>
      </c>
      <c r="BS168" s="5">
        <f>SUMPRODUCT(React!$C$165:$BS$165,Curves!$F$19:$BV$19)+SUMPRODUCT(React!$C$166:$BS$166,Curves!$F$42:$BV$42)+SUMPRODUCT(React!$C$167:$BS$167,Curves!$F$65:$BV$65)</f>
        <v/>
      </c>
      <c r="BT168" s="5">
        <f>SUMPRODUCT(React!$C$165:$BT$165,Curves!$E$19:$BV$19)+SUMPRODUCT(React!$C$166:$BT$166,Curves!$E$42:$BV$42)+SUMPRODUCT(React!$C$167:$BT$167,Curves!$E$65:$BV$65)</f>
        <v/>
      </c>
      <c r="BU168" s="5">
        <f>SUMPRODUCT(React!$C$165:$BU$165,Curves!$D$19:$BV$19)+SUMPRODUCT(React!$C$166:$BU$166,Curves!$D$42:$BV$42)+SUMPRODUCT(React!$C$167:$BU$167,Curves!$D$65:$BV$65)</f>
        <v/>
      </c>
      <c r="BV168" s="5">
        <f>SUMPRODUCT(React!$C$165:$BV$165,Curves!$C$19:$BV$19)+SUMPRODUCT(React!$C$166:$BV$166,Curves!$C$42:$BV$42)+SUMPRODUCT(React!$C$167:$BV$167,Curves!$C$65:$BV$65)</f>
        <v/>
      </c>
    </row>
    <row r="169">
      <c r="A169" t="inlineStr">
        <is>
          <t>active yr 1</t>
        </is>
      </c>
      <c r="B169" t="inlineStr">
        <is>
          <t>APAC|NITRO_M</t>
        </is>
      </c>
      <c r="C169" s="5">
        <f>React!$C$165*Curves!$BV$24+React!$C$166*Curves!$BV$47+React!$C$167*Curves!$BV$70</f>
        <v/>
      </c>
      <c r="D169" s="5">
        <f>SUMPRODUCT(React!$C$165:$D$165,Curves!$BU$24:$BV$24)+SUMPRODUCT(React!$C$166:$D$166,Curves!$BU$47:$BV$47)+SUMPRODUCT(React!$C$167:$D$167,Curves!$BU$70:$BV$70)</f>
        <v/>
      </c>
      <c r="E169" s="5">
        <f>SUMPRODUCT(React!$C$165:$E$165,Curves!$BT$24:$BV$24)+SUMPRODUCT(React!$C$166:$E$166,Curves!$BT$47:$BV$47)+SUMPRODUCT(React!$C$167:$E$167,Curves!$BT$70:$BV$70)</f>
        <v/>
      </c>
      <c r="F169" s="5">
        <f>SUMPRODUCT(React!$C$165:$F$165,Curves!$BS$24:$BV$24)+SUMPRODUCT(React!$C$166:$F$166,Curves!$BS$47:$BV$47)+SUMPRODUCT(React!$C$167:$F$167,Curves!$BS$70:$BV$70)</f>
        <v/>
      </c>
      <c r="G169" s="5">
        <f>SUMPRODUCT(React!$C$165:$G$165,Curves!$BR$24:$BV$24)+SUMPRODUCT(React!$C$166:$G$166,Curves!$BR$47:$BV$47)+SUMPRODUCT(React!$C$167:$G$167,Curves!$BR$70:$BV$70)</f>
        <v/>
      </c>
      <c r="H169" s="5">
        <f>SUMPRODUCT(React!$C$165:$H$165,Curves!$BQ$24:$BV$24)+SUMPRODUCT(React!$C$166:$H$166,Curves!$BQ$47:$BV$47)+SUMPRODUCT(React!$C$167:$H$167,Curves!$BQ$70:$BV$70)</f>
        <v/>
      </c>
      <c r="I169" s="5">
        <f>SUMPRODUCT(React!$C$165:$I$165,Curves!$BP$24:$BV$24)+SUMPRODUCT(React!$C$166:$I$166,Curves!$BP$47:$BV$47)+SUMPRODUCT(React!$C$167:$I$167,Curves!$BP$70:$BV$70)</f>
        <v/>
      </c>
      <c r="J169" s="5">
        <f>SUMPRODUCT(React!$C$165:$J$165,Curves!$BO$24:$BV$24)+SUMPRODUCT(React!$C$166:$J$166,Curves!$BO$47:$BV$47)+SUMPRODUCT(React!$C$167:$J$167,Curves!$BO$70:$BV$70)</f>
        <v/>
      </c>
      <c r="K169" s="5">
        <f>SUMPRODUCT(React!$C$165:$K$165,Curves!$BN$24:$BV$24)+SUMPRODUCT(React!$C$166:$K$166,Curves!$BN$47:$BV$47)+SUMPRODUCT(React!$C$167:$K$167,Curves!$BN$70:$BV$70)</f>
        <v/>
      </c>
      <c r="L169" s="5">
        <f>SUMPRODUCT(React!$C$165:$L$165,Curves!$BM$24:$BV$24)+SUMPRODUCT(React!$C$166:$L$166,Curves!$BM$47:$BV$47)+SUMPRODUCT(React!$C$167:$L$167,Curves!$BM$70:$BV$70)</f>
        <v/>
      </c>
      <c r="M169" s="5">
        <f>SUMPRODUCT(React!$C$165:$M$165,Curves!$BL$24:$BV$24)+SUMPRODUCT(React!$C$166:$M$166,Curves!$BL$47:$BV$47)+SUMPRODUCT(React!$C$167:$M$167,Curves!$BL$70:$BV$70)</f>
        <v/>
      </c>
      <c r="N169" s="5">
        <f>SUMPRODUCT(React!$C$165:$N$165,Curves!$BK$24:$BV$24)+SUMPRODUCT(React!$C$166:$N$166,Curves!$BK$47:$BV$47)+SUMPRODUCT(React!$C$167:$N$167,Curves!$BK$70:$BV$70)</f>
        <v/>
      </c>
      <c r="O169" s="5">
        <f>SUMPRODUCT(React!$C$165:$O$165,Curves!$BJ$24:$BV$24)+SUMPRODUCT(React!$C$166:$O$166,Curves!$BJ$47:$BV$47)+SUMPRODUCT(React!$C$167:$O$167,Curves!$BJ$70:$BV$70)</f>
        <v/>
      </c>
      <c r="P169" s="5">
        <f>SUMPRODUCT(React!$C$165:$P$165,Curves!$BI$24:$BV$24)+SUMPRODUCT(React!$C$166:$P$166,Curves!$BI$47:$BV$47)+SUMPRODUCT(React!$C$167:$P$167,Curves!$BI$70:$BV$70)</f>
        <v/>
      </c>
      <c r="Q169" s="5">
        <f>SUMPRODUCT(React!$C$165:$Q$165,Curves!$BH$24:$BV$24)+SUMPRODUCT(React!$C$166:$Q$166,Curves!$BH$47:$BV$47)+SUMPRODUCT(React!$C$167:$Q$167,Curves!$BH$70:$BV$70)</f>
        <v/>
      </c>
      <c r="R169" s="5">
        <f>SUMPRODUCT(React!$C$165:$R$165,Curves!$BG$24:$BV$24)+SUMPRODUCT(React!$C$166:$R$166,Curves!$BG$47:$BV$47)+SUMPRODUCT(React!$C$167:$R$167,Curves!$BG$70:$BV$70)</f>
        <v/>
      </c>
      <c r="S169" s="5">
        <f>SUMPRODUCT(React!$C$165:$S$165,Curves!$BF$24:$BV$24)+SUMPRODUCT(React!$C$166:$S$166,Curves!$BF$47:$BV$47)+SUMPRODUCT(React!$C$167:$S$167,Curves!$BF$70:$BV$70)</f>
        <v/>
      </c>
      <c r="T169" s="5">
        <f>SUMPRODUCT(React!$C$165:$T$165,Curves!$BE$24:$BV$24)+SUMPRODUCT(React!$C$166:$T$166,Curves!$BE$47:$BV$47)+SUMPRODUCT(React!$C$167:$T$167,Curves!$BE$70:$BV$70)</f>
        <v/>
      </c>
      <c r="U169" s="5">
        <f>SUMPRODUCT(React!$C$165:$U$165,Curves!$BD$24:$BV$24)+SUMPRODUCT(React!$C$166:$U$166,Curves!$BD$47:$BV$47)+SUMPRODUCT(React!$C$167:$U$167,Curves!$BD$70:$BV$70)</f>
        <v/>
      </c>
      <c r="V169" s="5">
        <f>SUMPRODUCT(React!$C$165:$V$165,Curves!$BC$24:$BV$24)+SUMPRODUCT(React!$C$166:$V$166,Curves!$BC$47:$BV$47)+SUMPRODUCT(React!$C$167:$V$167,Curves!$BC$70:$BV$70)</f>
        <v/>
      </c>
      <c r="W169" s="5">
        <f>SUMPRODUCT(React!$C$165:$W$165,Curves!$BB$24:$BV$24)+SUMPRODUCT(React!$C$166:$W$166,Curves!$BB$47:$BV$47)+SUMPRODUCT(React!$C$167:$W$167,Curves!$BB$70:$BV$70)</f>
        <v/>
      </c>
      <c r="X169" s="5">
        <f>SUMPRODUCT(React!$C$165:$X$165,Curves!$BA$24:$BV$24)+SUMPRODUCT(React!$C$166:$X$166,Curves!$BA$47:$BV$47)+SUMPRODUCT(React!$C$167:$X$167,Curves!$BA$70:$BV$70)</f>
        <v/>
      </c>
      <c r="Y169" s="5">
        <f>SUMPRODUCT(React!$C$165:$Y$165,Curves!$AZ$24:$BV$24)+SUMPRODUCT(React!$C$166:$Y$166,Curves!$AZ$47:$BV$47)+SUMPRODUCT(React!$C$167:$Y$167,Curves!$AZ$70:$BV$70)</f>
        <v/>
      </c>
      <c r="Z169" s="5">
        <f>SUMPRODUCT(React!$C$165:$Z$165,Curves!$AY$24:$BV$24)+SUMPRODUCT(React!$C$166:$Z$166,Curves!$AY$47:$BV$47)+SUMPRODUCT(React!$C$167:$Z$167,Curves!$AY$70:$BV$70)</f>
        <v/>
      </c>
      <c r="AA169" s="5">
        <f>SUMPRODUCT(React!$C$165:$AA$165,Curves!$AX$24:$BV$24)+SUMPRODUCT(React!$C$166:$AA$166,Curves!$AX$47:$BV$47)+SUMPRODUCT(React!$C$167:$AA$167,Curves!$AX$70:$BV$70)</f>
        <v/>
      </c>
      <c r="AB169" s="5">
        <f>SUMPRODUCT(React!$C$165:$AB$165,Curves!$AW$24:$BV$24)+SUMPRODUCT(React!$C$166:$AB$166,Curves!$AW$47:$BV$47)+SUMPRODUCT(React!$C$167:$AB$167,Curves!$AW$70:$BV$70)</f>
        <v/>
      </c>
      <c r="AC169" s="5">
        <f>SUMPRODUCT(React!$C$165:$AC$165,Curves!$AV$24:$BV$24)+SUMPRODUCT(React!$C$166:$AC$166,Curves!$AV$47:$BV$47)+SUMPRODUCT(React!$C$167:$AC$167,Curves!$AV$70:$BV$70)</f>
        <v/>
      </c>
      <c r="AD169" s="5">
        <f>SUMPRODUCT(React!$C$165:$AD$165,Curves!$AU$24:$BV$24)+SUMPRODUCT(React!$C$166:$AD$166,Curves!$AU$47:$BV$47)+SUMPRODUCT(React!$C$167:$AD$167,Curves!$AU$70:$BV$70)</f>
        <v/>
      </c>
      <c r="AE169" s="5">
        <f>SUMPRODUCT(React!$C$165:$AE$165,Curves!$AT$24:$BV$24)+SUMPRODUCT(React!$C$166:$AE$166,Curves!$AT$47:$BV$47)+SUMPRODUCT(React!$C$167:$AE$167,Curves!$AT$70:$BV$70)</f>
        <v/>
      </c>
      <c r="AF169" s="5">
        <f>SUMPRODUCT(React!$C$165:$AF$165,Curves!$AS$24:$BV$24)+SUMPRODUCT(React!$C$166:$AF$166,Curves!$AS$47:$BV$47)+SUMPRODUCT(React!$C$167:$AF$167,Curves!$AS$70:$BV$70)</f>
        <v/>
      </c>
      <c r="AG169" s="5">
        <f>SUMPRODUCT(React!$C$165:$AG$165,Curves!$AR$24:$BV$24)+SUMPRODUCT(React!$C$166:$AG$166,Curves!$AR$47:$BV$47)+SUMPRODUCT(React!$C$167:$AG$167,Curves!$AR$70:$BV$70)</f>
        <v/>
      </c>
      <c r="AH169" s="5">
        <f>SUMPRODUCT(React!$C$165:$AH$165,Curves!$AQ$24:$BV$24)+SUMPRODUCT(React!$C$166:$AH$166,Curves!$AQ$47:$BV$47)+SUMPRODUCT(React!$C$167:$AH$167,Curves!$AQ$70:$BV$70)</f>
        <v/>
      </c>
      <c r="AI169" s="5">
        <f>SUMPRODUCT(React!$C$165:$AI$165,Curves!$AP$24:$BV$24)+SUMPRODUCT(React!$C$166:$AI$166,Curves!$AP$47:$BV$47)+SUMPRODUCT(React!$C$167:$AI$167,Curves!$AP$70:$BV$70)</f>
        <v/>
      </c>
      <c r="AJ169" s="5">
        <f>SUMPRODUCT(React!$C$165:$AJ$165,Curves!$AO$24:$BV$24)+SUMPRODUCT(React!$C$166:$AJ$166,Curves!$AO$47:$BV$47)+SUMPRODUCT(React!$C$167:$AJ$167,Curves!$AO$70:$BV$70)</f>
        <v/>
      </c>
      <c r="AK169" s="5">
        <f>SUMPRODUCT(React!$C$165:$AK$165,Curves!$AN$24:$BV$24)+SUMPRODUCT(React!$C$166:$AK$166,Curves!$AN$47:$BV$47)+SUMPRODUCT(React!$C$167:$AK$167,Curves!$AN$70:$BV$70)</f>
        <v/>
      </c>
      <c r="AL169" s="5">
        <f>SUMPRODUCT(React!$C$165:$AL$165,Curves!$AM$24:$BV$24)+SUMPRODUCT(React!$C$166:$AL$166,Curves!$AM$47:$BV$47)+SUMPRODUCT(React!$C$167:$AL$167,Curves!$AM$70:$BV$70)</f>
        <v/>
      </c>
      <c r="AM169" s="5">
        <f>SUMPRODUCT(React!$C$165:$AM$165,Curves!$AL$24:$BV$24)+SUMPRODUCT(React!$C$166:$AM$166,Curves!$AL$47:$BV$47)+SUMPRODUCT(React!$C$167:$AM$167,Curves!$AL$70:$BV$70)</f>
        <v/>
      </c>
      <c r="AN169" s="5">
        <f>SUMPRODUCT(React!$C$165:$AN$165,Curves!$AK$24:$BV$24)+SUMPRODUCT(React!$C$166:$AN$166,Curves!$AK$47:$BV$47)+SUMPRODUCT(React!$C$167:$AN$167,Curves!$AK$70:$BV$70)</f>
        <v/>
      </c>
      <c r="AO169" s="5">
        <f>SUMPRODUCT(React!$C$165:$AO$165,Curves!$AJ$24:$BV$24)+SUMPRODUCT(React!$C$166:$AO$166,Curves!$AJ$47:$BV$47)+SUMPRODUCT(React!$C$167:$AO$167,Curves!$AJ$70:$BV$70)</f>
        <v/>
      </c>
      <c r="AP169" s="5">
        <f>SUMPRODUCT(React!$C$165:$AP$165,Curves!$AI$24:$BV$24)+SUMPRODUCT(React!$C$166:$AP$166,Curves!$AI$47:$BV$47)+SUMPRODUCT(React!$C$167:$AP$167,Curves!$AI$70:$BV$70)</f>
        <v/>
      </c>
      <c r="AQ169" s="5">
        <f>SUMPRODUCT(React!$C$165:$AQ$165,Curves!$AH$24:$BV$24)+SUMPRODUCT(React!$C$166:$AQ$166,Curves!$AH$47:$BV$47)+SUMPRODUCT(React!$C$167:$AQ$167,Curves!$AH$70:$BV$70)</f>
        <v/>
      </c>
      <c r="AR169" s="5">
        <f>SUMPRODUCT(React!$C$165:$AR$165,Curves!$AG$24:$BV$24)+SUMPRODUCT(React!$C$166:$AR$166,Curves!$AG$47:$BV$47)+SUMPRODUCT(React!$C$167:$AR$167,Curves!$AG$70:$BV$70)</f>
        <v/>
      </c>
      <c r="AS169" s="5">
        <f>SUMPRODUCT(React!$C$165:$AS$165,Curves!$AF$24:$BV$24)+SUMPRODUCT(React!$C$166:$AS$166,Curves!$AF$47:$BV$47)+SUMPRODUCT(React!$C$167:$AS$167,Curves!$AF$70:$BV$70)</f>
        <v/>
      </c>
      <c r="AT169" s="5">
        <f>SUMPRODUCT(React!$C$165:$AT$165,Curves!$AE$24:$BV$24)+SUMPRODUCT(React!$C$166:$AT$166,Curves!$AE$47:$BV$47)+SUMPRODUCT(React!$C$167:$AT$167,Curves!$AE$70:$BV$70)</f>
        <v/>
      </c>
      <c r="AU169" s="5">
        <f>SUMPRODUCT(React!$C$165:$AU$165,Curves!$AD$24:$BV$24)+SUMPRODUCT(React!$C$166:$AU$166,Curves!$AD$47:$BV$47)+SUMPRODUCT(React!$C$167:$AU$167,Curves!$AD$70:$BV$70)</f>
        <v/>
      </c>
      <c r="AV169" s="5">
        <f>SUMPRODUCT(React!$C$165:$AV$165,Curves!$AC$24:$BV$24)+SUMPRODUCT(React!$C$166:$AV$166,Curves!$AC$47:$BV$47)+SUMPRODUCT(React!$C$167:$AV$167,Curves!$AC$70:$BV$70)</f>
        <v/>
      </c>
      <c r="AW169" s="5">
        <f>SUMPRODUCT(React!$C$165:$AW$165,Curves!$AB$24:$BV$24)+SUMPRODUCT(React!$C$166:$AW$166,Curves!$AB$47:$BV$47)+SUMPRODUCT(React!$C$167:$AW$167,Curves!$AB$70:$BV$70)</f>
        <v/>
      </c>
      <c r="AX169" s="5">
        <f>SUMPRODUCT(React!$C$165:$AX$165,Curves!$AA$24:$BV$24)+SUMPRODUCT(React!$C$166:$AX$166,Curves!$AA$47:$BV$47)+SUMPRODUCT(React!$C$167:$AX$167,Curves!$AA$70:$BV$70)</f>
        <v/>
      </c>
      <c r="AY169" s="5">
        <f>SUMPRODUCT(React!$C$165:$AY$165,Curves!$Z$24:$BV$24)+SUMPRODUCT(React!$C$166:$AY$166,Curves!$Z$47:$BV$47)+SUMPRODUCT(React!$C$167:$AY$167,Curves!$Z$70:$BV$70)</f>
        <v/>
      </c>
      <c r="AZ169" s="5">
        <f>SUMPRODUCT(React!$C$165:$AZ$165,Curves!$Y$24:$BV$24)+SUMPRODUCT(React!$C$166:$AZ$166,Curves!$Y$47:$BV$47)+SUMPRODUCT(React!$C$167:$AZ$167,Curves!$Y$70:$BV$70)</f>
        <v/>
      </c>
      <c r="BA169" s="5">
        <f>SUMPRODUCT(React!$C$165:$BA$165,Curves!$X$24:$BV$24)+SUMPRODUCT(React!$C$166:$BA$166,Curves!$X$47:$BV$47)+SUMPRODUCT(React!$C$167:$BA$167,Curves!$X$70:$BV$70)</f>
        <v/>
      </c>
      <c r="BB169" s="5">
        <f>SUMPRODUCT(React!$C$165:$BB$165,Curves!$W$24:$BV$24)+SUMPRODUCT(React!$C$166:$BB$166,Curves!$W$47:$BV$47)+SUMPRODUCT(React!$C$167:$BB$167,Curves!$W$70:$BV$70)</f>
        <v/>
      </c>
      <c r="BC169" s="5">
        <f>SUMPRODUCT(React!$C$165:$BC$165,Curves!$V$24:$BV$24)+SUMPRODUCT(React!$C$166:$BC$166,Curves!$V$47:$BV$47)+SUMPRODUCT(React!$C$167:$BC$167,Curves!$V$70:$BV$70)</f>
        <v/>
      </c>
      <c r="BD169" s="5">
        <f>SUMPRODUCT(React!$C$165:$BD$165,Curves!$U$24:$BV$24)+SUMPRODUCT(React!$C$166:$BD$166,Curves!$U$47:$BV$47)+SUMPRODUCT(React!$C$167:$BD$167,Curves!$U$70:$BV$70)</f>
        <v/>
      </c>
      <c r="BE169" s="5">
        <f>SUMPRODUCT(React!$C$165:$BE$165,Curves!$T$24:$BV$24)+SUMPRODUCT(React!$C$166:$BE$166,Curves!$T$47:$BV$47)+SUMPRODUCT(React!$C$167:$BE$167,Curves!$T$70:$BV$70)</f>
        <v/>
      </c>
      <c r="BF169" s="5">
        <f>SUMPRODUCT(React!$C$165:$BF$165,Curves!$S$24:$BV$24)+SUMPRODUCT(React!$C$166:$BF$166,Curves!$S$47:$BV$47)+SUMPRODUCT(React!$C$167:$BF$167,Curves!$S$70:$BV$70)</f>
        <v/>
      </c>
      <c r="BG169" s="5">
        <f>SUMPRODUCT(React!$C$165:$BG$165,Curves!$R$24:$BV$24)+SUMPRODUCT(React!$C$166:$BG$166,Curves!$R$47:$BV$47)+SUMPRODUCT(React!$C$167:$BG$167,Curves!$R$70:$BV$70)</f>
        <v/>
      </c>
      <c r="BH169" s="5">
        <f>SUMPRODUCT(React!$C$165:$BH$165,Curves!$Q$24:$BV$24)+SUMPRODUCT(React!$C$166:$BH$166,Curves!$Q$47:$BV$47)+SUMPRODUCT(React!$C$167:$BH$167,Curves!$Q$70:$BV$70)</f>
        <v/>
      </c>
      <c r="BI169" s="5">
        <f>SUMPRODUCT(React!$C$165:$BI$165,Curves!$P$24:$BV$24)+SUMPRODUCT(React!$C$166:$BI$166,Curves!$P$47:$BV$47)+SUMPRODUCT(React!$C$167:$BI$167,Curves!$P$70:$BV$70)</f>
        <v/>
      </c>
      <c r="BJ169" s="5">
        <f>SUMPRODUCT(React!$C$165:$BJ$165,Curves!$O$24:$BV$24)+SUMPRODUCT(React!$C$166:$BJ$166,Curves!$O$47:$BV$47)+SUMPRODUCT(React!$C$167:$BJ$167,Curves!$O$70:$BV$70)</f>
        <v/>
      </c>
      <c r="BK169" s="5">
        <f>SUMPRODUCT(React!$C$165:$BK$165,Curves!$N$24:$BV$24)+SUMPRODUCT(React!$C$166:$BK$166,Curves!$N$47:$BV$47)+SUMPRODUCT(React!$C$167:$BK$167,Curves!$N$70:$BV$70)</f>
        <v/>
      </c>
      <c r="BL169" s="5">
        <f>SUMPRODUCT(React!$C$165:$BL$165,Curves!$M$24:$BV$24)+SUMPRODUCT(React!$C$166:$BL$166,Curves!$M$47:$BV$47)+SUMPRODUCT(React!$C$167:$BL$167,Curves!$M$70:$BV$70)</f>
        <v/>
      </c>
      <c r="BM169" s="5">
        <f>SUMPRODUCT(React!$C$165:$BM$165,Curves!$L$24:$BV$24)+SUMPRODUCT(React!$C$166:$BM$166,Curves!$L$47:$BV$47)+SUMPRODUCT(React!$C$167:$BM$167,Curves!$L$70:$BV$70)</f>
        <v/>
      </c>
      <c r="BN169" s="5">
        <f>SUMPRODUCT(React!$C$165:$BN$165,Curves!$K$24:$BV$24)+SUMPRODUCT(React!$C$166:$BN$166,Curves!$K$47:$BV$47)+SUMPRODUCT(React!$C$167:$BN$167,Curves!$K$70:$BV$70)</f>
        <v/>
      </c>
      <c r="BO169" s="5">
        <f>SUMPRODUCT(React!$C$165:$BO$165,Curves!$J$24:$BV$24)+SUMPRODUCT(React!$C$166:$BO$166,Curves!$J$47:$BV$47)+SUMPRODUCT(React!$C$167:$BO$167,Curves!$J$70:$BV$70)</f>
        <v/>
      </c>
      <c r="BP169" s="5">
        <f>SUMPRODUCT(React!$C$165:$BP$165,Curves!$I$24:$BV$24)+SUMPRODUCT(React!$C$166:$BP$166,Curves!$I$47:$BV$47)+SUMPRODUCT(React!$C$167:$BP$167,Curves!$I$70:$BV$70)</f>
        <v/>
      </c>
      <c r="BQ169" s="5">
        <f>SUMPRODUCT(React!$C$165:$BQ$165,Curves!$H$24:$BV$24)+SUMPRODUCT(React!$C$166:$BQ$166,Curves!$H$47:$BV$47)+SUMPRODUCT(React!$C$167:$BQ$167,Curves!$H$70:$BV$70)</f>
        <v/>
      </c>
      <c r="BR169" s="5">
        <f>SUMPRODUCT(React!$C$165:$BR$165,Curves!$G$24:$BV$24)+SUMPRODUCT(React!$C$166:$BR$166,Curves!$G$47:$BV$47)+SUMPRODUCT(React!$C$167:$BR$167,Curves!$G$70:$BV$70)</f>
        <v/>
      </c>
      <c r="BS169" s="5">
        <f>SUMPRODUCT(React!$C$165:$BS$165,Curves!$F$24:$BV$24)+SUMPRODUCT(React!$C$166:$BS$166,Curves!$F$47:$BV$47)+SUMPRODUCT(React!$C$167:$BS$167,Curves!$F$70:$BV$70)</f>
        <v/>
      </c>
      <c r="BT169" s="5">
        <f>SUMPRODUCT(React!$C$165:$BT$165,Curves!$E$24:$BV$24)+SUMPRODUCT(React!$C$166:$BT$166,Curves!$E$47:$BV$47)+SUMPRODUCT(React!$C$167:$BT$167,Curves!$E$70:$BV$70)</f>
        <v/>
      </c>
      <c r="BU169" s="5">
        <f>SUMPRODUCT(React!$C$165:$BU$165,Curves!$D$24:$BV$24)+SUMPRODUCT(React!$C$166:$BU$166,Curves!$D$47:$BV$47)+SUMPRODUCT(React!$C$167:$BU$167,Curves!$D$70:$BV$70)</f>
        <v/>
      </c>
      <c r="BV169" s="5">
        <f>SUMPRODUCT(React!$C$165:$BV$165,Curves!$C$24:$BV$24)+SUMPRODUCT(React!$C$166:$BV$166,Curves!$C$47:$BV$47)+SUMPRODUCT(React!$C$167:$BV$167,Curves!$C$70:$BV$70)</f>
        <v/>
      </c>
    </row>
    <row r="170">
      <c r="A170" t="inlineStr">
        <is>
          <t>churned</t>
        </is>
      </c>
      <c r="B170" t="inlineStr">
        <is>
          <t>APAC|NITRO_M</t>
        </is>
      </c>
      <c r="C170" s="5">
        <f>React!$C$165*Curves!$BV$20+React!$C$166*Curves!$BV$43+React!$C$167*Curves!$BV$66</f>
        <v/>
      </c>
      <c r="D170" s="5">
        <f>SUMPRODUCT(React!$C$165:$D$165,Curves!$BU$20:$BV$20)+SUMPRODUCT(React!$C$166:$D$166,Curves!$BU$43:$BV$43)+SUMPRODUCT(React!$C$167:$D$167,Curves!$BU$66:$BV$66)</f>
        <v/>
      </c>
      <c r="E170" s="5">
        <f>SUMPRODUCT(React!$C$165:$E$165,Curves!$BT$20:$BV$20)+SUMPRODUCT(React!$C$166:$E$166,Curves!$BT$43:$BV$43)+SUMPRODUCT(React!$C$167:$E$167,Curves!$BT$66:$BV$66)</f>
        <v/>
      </c>
      <c r="F170" s="5">
        <f>SUMPRODUCT(React!$C$165:$F$165,Curves!$BS$20:$BV$20)+SUMPRODUCT(React!$C$166:$F$166,Curves!$BS$43:$BV$43)+SUMPRODUCT(React!$C$167:$F$167,Curves!$BS$66:$BV$66)</f>
        <v/>
      </c>
      <c r="G170" s="5">
        <f>SUMPRODUCT(React!$C$165:$G$165,Curves!$BR$20:$BV$20)+SUMPRODUCT(React!$C$166:$G$166,Curves!$BR$43:$BV$43)+SUMPRODUCT(React!$C$167:$G$167,Curves!$BR$66:$BV$66)</f>
        <v/>
      </c>
      <c r="H170" s="5">
        <f>SUMPRODUCT(React!$C$165:$H$165,Curves!$BQ$20:$BV$20)+SUMPRODUCT(React!$C$166:$H$166,Curves!$BQ$43:$BV$43)+SUMPRODUCT(React!$C$167:$H$167,Curves!$BQ$66:$BV$66)</f>
        <v/>
      </c>
      <c r="I170" s="5">
        <f>SUMPRODUCT(React!$C$165:$I$165,Curves!$BP$20:$BV$20)+SUMPRODUCT(React!$C$166:$I$166,Curves!$BP$43:$BV$43)+SUMPRODUCT(React!$C$167:$I$167,Curves!$BP$66:$BV$66)</f>
        <v/>
      </c>
      <c r="J170" s="5">
        <f>SUMPRODUCT(React!$C$165:$J$165,Curves!$BO$20:$BV$20)+SUMPRODUCT(React!$C$166:$J$166,Curves!$BO$43:$BV$43)+SUMPRODUCT(React!$C$167:$J$167,Curves!$BO$66:$BV$66)</f>
        <v/>
      </c>
      <c r="K170" s="5">
        <f>SUMPRODUCT(React!$C$165:$K$165,Curves!$BN$20:$BV$20)+SUMPRODUCT(React!$C$166:$K$166,Curves!$BN$43:$BV$43)+SUMPRODUCT(React!$C$167:$K$167,Curves!$BN$66:$BV$66)</f>
        <v/>
      </c>
      <c r="L170" s="5">
        <f>SUMPRODUCT(React!$C$165:$L$165,Curves!$BM$20:$BV$20)+SUMPRODUCT(React!$C$166:$L$166,Curves!$BM$43:$BV$43)+SUMPRODUCT(React!$C$167:$L$167,Curves!$BM$66:$BV$66)</f>
        <v/>
      </c>
      <c r="M170" s="5">
        <f>SUMPRODUCT(React!$C$165:$M$165,Curves!$BL$20:$BV$20)+SUMPRODUCT(React!$C$166:$M$166,Curves!$BL$43:$BV$43)+SUMPRODUCT(React!$C$167:$M$167,Curves!$BL$66:$BV$66)</f>
        <v/>
      </c>
      <c r="N170" s="5">
        <f>SUMPRODUCT(React!$C$165:$N$165,Curves!$BK$20:$BV$20)+SUMPRODUCT(React!$C$166:$N$166,Curves!$BK$43:$BV$43)+SUMPRODUCT(React!$C$167:$N$167,Curves!$BK$66:$BV$66)</f>
        <v/>
      </c>
      <c r="O170" s="5">
        <f>SUMPRODUCT(React!$C$165:$O$165,Curves!$BJ$20:$BV$20)+SUMPRODUCT(React!$C$166:$O$166,Curves!$BJ$43:$BV$43)+SUMPRODUCT(React!$C$167:$O$167,Curves!$BJ$66:$BV$66)</f>
        <v/>
      </c>
      <c r="P170" s="5">
        <f>SUMPRODUCT(React!$C$165:$P$165,Curves!$BI$20:$BV$20)+SUMPRODUCT(React!$C$166:$P$166,Curves!$BI$43:$BV$43)+SUMPRODUCT(React!$C$167:$P$167,Curves!$BI$66:$BV$66)</f>
        <v/>
      </c>
      <c r="Q170" s="5">
        <f>SUMPRODUCT(React!$C$165:$Q$165,Curves!$BH$20:$BV$20)+SUMPRODUCT(React!$C$166:$Q$166,Curves!$BH$43:$BV$43)+SUMPRODUCT(React!$C$167:$Q$167,Curves!$BH$66:$BV$66)</f>
        <v/>
      </c>
      <c r="R170" s="5">
        <f>SUMPRODUCT(React!$C$165:$R$165,Curves!$BG$20:$BV$20)+SUMPRODUCT(React!$C$166:$R$166,Curves!$BG$43:$BV$43)+SUMPRODUCT(React!$C$167:$R$167,Curves!$BG$66:$BV$66)</f>
        <v/>
      </c>
      <c r="S170" s="5">
        <f>SUMPRODUCT(React!$C$165:$S$165,Curves!$BF$20:$BV$20)+SUMPRODUCT(React!$C$166:$S$166,Curves!$BF$43:$BV$43)+SUMPRODUCT(React!$C$167:$S$167,Curves!$BF$66:$BV$66)</f>
        <v/>
      </c>
      <c r="T170" s="5">
        <f>SUMPRODUCT(React!$C$165:$T$165,Curves!$BE$20:$BV$20)+SUMPRODUCT(React!$C$166:$T$166,Curves!$BE$43:$BV$43)+SUMPRODUCT(React!$C$167:$T$167,Curves!$BE$66:$BV$66)</f>
        <v/>
      </c>
      <c r="U170" s="5">
        <f>SUMPRODUCT(React!$C$165:$U$165,Curves!$BD$20:$BV$20)+SUMPRODUCT(React!$C$166:$U$166,Curves!$BD$43:$BV$43)+SUMPRODUCT(React!$C$167:$U$167,Curves!$BD$66:$BV$66)</f>
        <v/>
      </c>
      <c r="V170" s="5">
        <f>SUMPRODUCT(React!$C$165:$V$165,Curves!$BC$20:$BV$20)+SUMPRODUCT(React!$C$166:$V$166,Curves!$BC$43:$BV$43)+SUMPRODUCT(React!$C$167:$V$167,Curves!$BC$66:$BV$66)</f>
        <v/>
      </c>
      <c r="W170" s="5">
        <f>SUMPRODUCT(React!$C$165:$W$165,Curves!$BB$20:$BV$20)+SUMPRODUCT(React!$C$166:$W$166,Curves!$BB$43:$BV$43)+SUMPRODUCT(React!$C$167:$W$167,Curves!$BB$66:$BV$66)</f>
        <v/>
      </c>
      <c r="X170" s="5">
        <f>SUMPRODUCT(React!$C$165:$X$165,Curves!$BA$20:$BV$20)+SUMPRODUCT(React!$C$166:$X$166,Curves!$BA$43:$BV$43)+SUMPRODUCT(React!$C$167:$X$167,Curves!$BA$66:$BV$66)</f>
        <v/>
      </c>
      <c r="Y170" s="5">
        <f>SUMPRODUCT(React!$C$165:$Y$165,Curves!$AZ$20:$BV$20)+SUMPRODUCT(React!$C$166:$Y$166,Curves!$AZ$43:$BV$43)+SUMPRODUCT(React!$C$167:$Y$167,Curves!$AZ$66:$BV$66)</f>
        <v/>
      </c>
      <c r="Z170" s="5">
        <f>SUMPRODUCT(React!$C$165:$Z$165,Curves!$AY$20:$BV$20)+SUMPRODUCT(React!$C$166:$Z$166,Curves!$AY$43:$BV$43)+SUMPRODUCT(React!$C$167:$Z$167,Curves!$AY$66:$BV$66)</f>
        <v/>
      </c>
      <c r="AA170" s="5">
        <f>SUMPRODUCT(React!$C$165:$AA$165,Curves!$AX$20:$BV$20)+SUMPRODUCT(React!$C$166:$AA$166,Curves!$AX$43:$BV$43)+SUMPRODUCT(React!$C$167:$AA$167,Curves!$AX$66:$BV$66)</f>
        <v/>
      </c>
      <c r="AB170" s="5">
        <f>SUMPRODUCT(React!$C$165:$AB$165,Curves!$AW$20:$BV$20)+SUMPRODUCT(React!$C$166:$AB$166,Curves!$AW$43:$BV$43)+SUMPRODUCT(React!$C$167:$AB$167,Curves!$AW$66:$BV$66)</f>
        <v/>
      </c>
      <c r="AC170" s="5">
        <f>SUMPRODUCT(React!$C$165:$AC$165,Curves!$AV$20:$BV$20)+SUMPRODUCT(React!$C$166:$AC$166,Curves!$AV$43:$BV$43)+SUMPRODUCT(React!$C$167:$AC$167,Curves!$AV$66:$BV$66)</f>
        <v/>
      </c>
      <c r="AD170" s="5">
        <f>SUMPRODUCT(React!$C$165:$AD$165,Curves!$AU$20:$BV$20)+SUMPRODUCT(React!$C$166:$AD$166,Curves!$AU$43:$BV$43)+SUMPRODUCT(React!$C$167:$AD$167,Curves!$AU$66:$BV$66)</f>
        <v/>
      </c>
      <c r="AE170" s="5">
        <f>SUMPRODUCT(React!$C$165:$AE$165,Curves!$AT$20:$BV$20)+SUMPRODUCT(React!$C$166:$AE$166,Curves!$AT$43:$BV$43)+SUMPRODUCT(React!$C$167:$AE$167,Curves!$AT$66:$BV$66)</f>
        <v/>
      </c>
      <c r="AF170" s="5">
        <f>SUMPRODUCT(React!$C$165:$AF$165,Curves!$AS$20:$BV$20)+SUMPRODUCT(React!$C$166:$AF$166,Curves!$AS$43:$BV$43)+SUMPRODUCT(React!$C$167:$AF$167,Curves!$AS$66:$BV$66)</f>
        <v/>
      </c>
      <c r="AG170" s="5">
        <f>SUMPRODUCT(React!$C$165:$AG$165,Curves!$AR$20:$BV$20)+SUMPRODUCT(React!$C$166:$AG$166,Curves!$AR$43:$BV$43)+SUMPRODUCT(React!$C$167:$AG$167,Curves!$AR$66:$BV$66)</f>
        <v/>
      </c>
      <c r="AH170" s="5">
        <f>SUMPRODUCT(React!$C$165:$AH$165,Curves!$AQ$20:$BV$20)+SUMPRODUCT(React!$C$166:$AH$166,Curves!$AQ$43:$BV$43)+SUMPRODUCT(React!$C$167:$AH$167,Curves!$AQ$66:$BV$66)</f>
        <v/>
      </c>
      <c r="AI170" s="5">
        <f>SUMPRODUCT(React!$C$165:$AI$165,Curves!$AP$20:$BV$20)+SUMPRODUCT(React!$C$166:$AI$166,Curves!$AP$43:$BV$43)+SUMPRODUCT(React!$C$167:$AI$167,Curves!$AP$66:$BV$66)</f>
        <v/>
      </c>
      <c r="AJ170" s="5">
        <f>SUMPRODUCT(React!$C$165:$AJ$165,Curves!$AO$20:$BV$20)+SUMPRODUCT(React!$C$166:$AJ$166,Curves!$AO$43:$BV$43)+SUMPRODUCT(React!$C$167:$AJ$167,Curves!$AO$66:$BV$66)</f>
        <v/>
      </c>
      <c r="AK170" s="5">
        <f>SUMPRODUCT(React!$C$165:$AK$165,Curves!$AN$20:$BV$20)+SUMPRODUCT(React!$C$166:$AK$166,Curves!$AN$43:$BV$43)+SUMPRODUCT(React!$C$167:$AK$167,Curves!$AN$66:$BV$66)</f>
        <v/>
      </c>
      <c r="AL170" s="5">
        <f>SUMPRODUCT(React!$C$165:$AL$165,Curves!$AM$20:$BV$20)+SUMPRODUCT(React!$C$166:$AL$166,Curves!$AM$43:$BV$43)+SUMPRODUCT(React!$C$167:$AL$167,Curves!$AM$66:$BV$66)</f>
        <v/>
      </c>
      <c r="AM170" s="5">
        <f>SUMPRODUCT(React!$C$165:$AM$165,Curves!$AL$20:$BV$20)+SUMPRODUCT(React!$C$166:$AM$166,Curves!$AL$43:$BV$43)+SUMPRODUCT(React!$C$167:$AM$167,Curves!$AL$66:$BV$66)</f>
        <v/>
      </c>
      <c r="AN170" s="5">
        <f>SUMPRODUCT(React!$C$165:$AN$165,Curves!$AK$20:$BV$20)+SUMPRODUCT(React!$C$166:$AN$166,Curves!$AK$43:$BV$43)+SUMPRODUCT(React!$C$167:$AN$167,Curves!$AK$66:$BV$66)</f>
        <v/>
      </c>
      <c r="AO170" s="5">
        <f>SUMPRODUCT(React!$C$165:$AO$165,Curves!$AJ$20:$BV$20)+SUMPRODUCT(React!$C$166:$AO$166,Curves!$AJ$43:$BV$43)+SUMPRODUCT(React!$C$167:$AO$167,Curves!$AJ$66:$BV$66)</f>
        <v/>
      </c>
      <c r="AP170" s="5">
        <f>SUMPRODUCT(React!$C$165:$AP$165,Curves!$AI$20:$BV$20)+SUMPRODUCT(React!$C$166:$AP$166,Curves!$AI$43:$BV$43)+SUMPRODUCT(React!$C$167:$AP$167,Curves!$AI$66:$BV$66)</f>
        <v/>
      </c>
      <c r="AQ170" s="5">
        <f>SUMPRODUCT(React!$C$165:$AQ$165,Curves!$AH$20:$BV$20)+SUMPRODUCT(React!$C$166:$AQ$166,Curves!$AH$43:$BV$43)+SUMPRODUCT(React!$C$167:$AQ$167,Curves!$AH$66:$BV$66)</f>
        <v/>
      </c>
      <c r="AR170" s="5">
        <f>SUMPRODUCT(React!$C$165:$AR$165,Curves!$AG$20:$BV$20)+SUMPRODUCT(React!$C$166:$AR$166,Curves!$AG$43:$BV$43)+SUMPRODUCT(React!$C$167:$AR$167,Curves!$AG$66:$BV$66)</f>
        <v/>
      </c>
      <c r="AS170" s="5">
        <f>SUMPRODUCT(React!$C$165:$AS$165,Curves!$AF$20:$BV$20)+SUMPRODUCT(React!$C$166:$AS$166,Curves!$AF$43:$BV$43)+SUMPRODUCT(React!$C$167:$AS$167,Curves!$AF$66:$BV$66)</f>
        <v/>
      </c>
      <c r="AT170" s="5">
        <f>SUMPRODUCT(React!$C$165:$AT$165,Curves!$AE$20:$BV$20)+SUMPRODUCT(React!$C$166:$AT$166,Curves!$AE$43:$BV$43)+SUMPRODUCT(React!$C$167:$AT$167,Curves!$AE$66:$BV$66)</f>
        <v/>
      </c>
      <c r="AU170" s="5">
        <f>SUMPRODUCT(React!$C$165:$AU$165,Curves!$AD$20:$BV$20)+SUMPRODUCT(React!$C$166:$AU$166,Curves!$AD$43:$BV$43)+SUMPRODUCT(React!$C$167:$AU$167,Curves!$AD$66:$BV$66)</f>
        <v/>
      </c>
      <c r="AV170" s="5">
        <f>SUMPRODUCT(React!$C$165:$AV$165,Curves!$AC$20:$BV$20)+SUMPRODUCT(React!$C$166:$AV$166,Curves!$AC$43:$BV$43)+SUMPRODUCT(React!$C$167:$AV$167,Curves!$AC$66:$BV$66)</f>
        <v/>
      </c>
      <c r="AW170" s="5">
        <f>SUMPRODUCT(React!$C$165:$AW$165,Curves!$AB$20:$BV$20)+SUMPRODUCT(React!$C$166:$AW$166,Curves!$AB$43:$BV$43)+SUMPRODUCT(React!$C$167:$AW$167,Curves!$AB$66:$BV$66)</f>
        <v/>
      </c>
      <c r="AX170" s="5">
        <f>SUMPRODUCT(React!$C$165:$AX$165,Curves!$AA$20:$BV$20)+SUMPRODUCT(React!$C$166:$AX$166,Curves!$AA$43:$BV$43)+SUMPRODUCT(React!$C$167:$AX$167,Curves!$AA$66:$BV$66)</f>
        <v/>
      </c>
      <c r="AY170" s="5">
        <f>SUMPRODUCT(React!$C$165:$AY$165,Curves!$Z$20:$BV$20)+SUMPRODUCT(React!$C$166:$AY$166,Curves!$Z$43:$BV$43)+SUMPRODUCT(React!$C$167:$AY$167,Curves!$Z$66:$BV$66)</f>
        <v/>
      </c>
      <c r="AZ170" s="5">
        <f>SUMPRODUCT(React!$C$165:$AZ$165,Curves!$Y$20:$BV$20)+SUMPRODUCT(React!$C$166:$AZ$166,Curves!$Y$43:$BV$43)+SUMPRODUCT(React!$C$167:$AZ$167,Curves!$Y$66:$BV$66)</f>
        <v/>
      </c>
      <c r="BA170" s="5">
        <f>SUMPRODUCT(React!$C$165:$BA$165,Curves!$X$20:$BV$20)+SUMPRODUCT(React!$C$166:$BA$166,Curves!$X$43:$BV$43)+SUMPRODUCT(React!$C$167:$BA$167,Curves!$X$66:$BV$66)</f>
        <v/>
      </c>
      <c r="BB170" s="5">
        <f>SUMPRODUCT(React!$C$165:$BB$165,Curves!$W$20:$BV$20)+SUMPRODUCT(React!$C$166:$BB$166,Curves!$W$43:$BV$43)+SUMPRODUCT(React!$C$167:$BB$167,Curves!$W$66:$BV$66)</f>
        <v/>
      </c>
      <c r="BC170" s="5">
        <f>SUMPRODUCT(React!$C$165:$BC$165,Curves!$V$20:$BV$20)+SUMPRODUCT(React!$C$166:$BC$166,Curves!$V$43:$BV$43)+SUMPRODUCT(React!$C$167:$BC$167,Curves!$V$66:$BV$66)</f>
        <v/>
      </c>
      <c r="BD170" s="5">
        <f>SUMPRODUCT(React!$C$165:$BD$165,Curves!$U$20:$BV$20)+SUMPRODUCT(React!$C$166:$BD$166,Curves!$U$43:$BV$43)+SUMPRODUCT(React!$C$167:$BD$167,Curves!$U$66:$BV$66)</f>
        <v/>
      </c>
      <c r="BE170" s="5">
        <f>SUMPRODUCT(React!$C$165:$BE$165,Curves!$T$20:$BV$20)+SUMPRODUCT(React!$C$166:$BE$166,Curves!$T$43:$BV$43)+SUMPRODUCT(React!$C$167:$BE$167,Curves!$T$66:$BV$66)</f>
        <v/>
      </c>
      <c r="BF170" s="5">
        <f>SUMPRODUCT(React!$C$165:$BF$165,Curves!$S$20:$BV$20)+SUMPRODUCT(React!$C$166:$BF$166,Curves!$S$43:$BV$43)+SUMPRODUCT(React!$C$167:$BF$167,Curves!$S$66:$BV$66)</f>
        <v/>
      </c>
      <c r="BG170" s="5">
        <f>SUMPRODUCT(React!$C$165:$BG$165,Curves!$R$20:$BV$20)+SUMPRODUCT(React!$C$166:$BG$166,Curves!$R$43:$BV$43)+SUMPRODUCT(React!$C$167:$BG$167,Curves!$R$66:$BV$66)</f>
        <v/>
      </c>
      <c r="BH170" s="5">
        <f>SUMPRODUCT(React!$C$165:$BH$165,Curves!$Q$20:$BV$20)+SUMPRODUCT(React!$C$166:$BH$166,Curves!$Q$43:$BV$43)+SUMPRODUCT(React!$C$167:$BH$167,Curves!$Q$66:$BV$66)</f>
        <v/>
      </c>
      <c r="BI170" s="5">
        <f>SUMPRODUCT(React!$C$165:$BI$165,Curves!$P$20:$BV$20)+SUMPRODUCT(React!$C$166:$BI$166,Curves!$P$43:$BV$43)+SUMPRODUCT(React!$C$167:$BI$167,Curves!$P$66:$BV$66)</f>
        <v/>
      </c>
      <c r="BJ170" s="5">
        <f>SUMPRODUCT(React!$C$165:$BJ$165,Curves!$O$20:$BV$20)+SUMPRODUCT(React!$C$166:$BJ$166,Curves!$O$43:$BV$43)+SUMPRODUCT(React!$C$167:$BJ$167,Curves!$O$66:$BV$66)</f>
        <v/>
      </c>
      <c r="BK170" s="5">
        <f>SUMPRODUCT(React!$C$165:$BK$165,Curves!$N$20:$BV$20)+SUMPRODUCT(React!$C$166:$BK$166,Curves!$N$43:$BV$43)+SUMPRODUCT(React!$C$167:$BK$167,Curves!$N$66:$BV$66)</f>
        <v/>
      </c>
      <c r="BL170" s="5">
        <f>SUMPRODUCT(React!$C$165:$BL$165,Curves!$M$20:$BV$20)+SUMPRODUCT(React!$C$166:$BL$166,Curves!$M$43:$BV$43)+SUMPRODUCT(React!$C$167:$BL$167,Curves!$M$66:$BV$66)</f>
        <v/>
      </c>
      <c r="BM170" s="5">
        <f>SUMPRODUCT(React!$C$165:$BM$165,Curves!$L$20:$BV$20)+SUMPRODUCT(React!$C$166:$BM$166,Curves!$L$43:$BV$43)+SUMPRODUCT(React!$C$167:$BM$167,Curves!$L$66:$BV$66)</f>
        <v/>
      </c>
      <c r="BN170" s="5">
        <f>SUMPRODUCT(React!$C$165:$BN$165,Curves!$K$20:$BV$20)+SUMPRODUCT(React!$C$166:$BN$166,Curves!$K$43:$BV$43)+SUMPRODUCT(React!$C$167:$BN$167,Curves!$K$66:$BV$66)</f>
        <v/>
      </c>
      <c r="BO170" s="5">
        <f>SUMPRODUCT(React!$C$165:$BO$165,Curves!$J$20:$BV$20)+SUMPRODUCT(React!$C$166:$BO$166,Curves!$J$43:$BV$43)+SUMPRODUCT(React!$C$167:$BO$167,Curves!$J$66:$BV$66)</f>
        <v/>
      </c>
      <c r="BP170" s="5">
        <f>SUMPRODUCT(React!$C$165:$BP$165,Curves!$I$20:$BV$20)+SUMPRODUCT(React!$C$166:$BP$166,Curves!$I$43:$BV$43)+SUMPRODUCT(React!$C$167:$BP$167,Curves!$I$66:$BV$66)</f>
        <v/>
      </c>
      <c r="BQ170" s="5">
        <f>SUMPRODUCT(React!$C$165:$BQ$165,Curves!$H$20:$BV$20)+SUMPRODUCT(React!$C$166:$BQ$166,Curves!$H$43:$BV$43)+SUMPRODUCT(React!$C$167:$BQ$167,Curves!$H$66:$BV$66)</f>
        <v/>
      </c>
      <c r="BR170" s="5">
        <f>SUMPRODUCT(React!$C$165:$BR$165,Curves!$G$20:$BV$20)+SUMPRODUCT(React!$C$166:$BR$166,Curves!$G$43:$BV$43)+SUMPRODUCT(React!$C$167:$BR$167,Curves!$G$66:$BV$66)</f>
        <v/>
      </c>
      <c r="BS170" s="5">
        <f>SUMPRODUCT(React!$C$165:$BS$165,Curves!$F$20:$BV$20)+SUMPRODUCT(React!$C$166:$BS$166,Curves!$F$43:$BV$43)+SUMPRODUCT(React!$C$167:$BS$167,Curves!$F$66:$BV$66)</f>
        <v/>
      </c>
      <c r="BT170" s="5">
        <f>SUMPRODUCT(React!$C$165:$BT$165,Curves!$E$20:$BV$20)+SUMPRODUCT(React!$C$166:$BT$166,Curves!$E$43:$BV$43)+SUMPRODUCT(React!$C$167:$BT$167,Curves!$E$66:$BV$66)</f>
        <v/>
      </c>
      <c r="BU170" s="5">
        <f>SUMPRODUCT(React!$C$165:$BU$165,Curves!$D$20:$BV$20)+SUMPRODUCT(React!$C$166:$BU$166,Curves!$D$43:$BV$43)+SUMPRODUCT(React!$C$167:$BU$167,Curves!$D$66:$BV$66)</f>
        <v/>
      </c>
      <c r="BV170" s="5">
        <f>SUMPRODUCT(React!$C$165:$BV$165,Curves!$C$20:$BV$20)+SUMPRODUCT(React!$C$166:$BV$166,Curves!$C$43:$BV$43)+SUMPRODUCT(React!$C$167:$BV$167,Curves!$C$66:$BV$66)</f>
        <v/>
      </c>
    </row>
    <row r="172">
      <c r="A172" t="inlineStr">
        <is>
          <t>churn pool inflow</t>
        </is>
      </c>
      <c r="B172" t="inlineStr">
        <is>
          <t>APAC|NITRO_A</t>
        </is>
      </c>
      <c r="C172" s="5">
        <f>Paid!C57+Legacy!C59</f>
        <v/>
      </c>
      <c r="D172" s="5">
        <f>Paid!D57+Legacy!D59</f>
        <v/>
      </c>
      <c r="E172" s="5">
        <f>Paid!E57+Legacy!E59</f>
        <v/>
      </c>
      <c r="F172" s="5">
        <f>Paid!F57+Legacy!F59</f>
        <v/>
      </c>
      <c r="G172" s="5">
        <f>Paid!G57+Legacy!G59</f>
        <v/>
      </c>
      <c r="H172" s="5">
        <f>Paid!H57+Legacy!H59</f>
        <v/>
      </c>
      <c r="I172" s="5">
        <f>Paid!I57+Legacy!I59</f>
        <v/>
      </c>
      <c r="J172" s="5">
        <f>Paid!J57+Legacy!J59</f>
        <v/>
      </c>
      <c r="K172" s="5">
        <f>Paid!K57+Legacy!K59</f>
        <v/>
      </c>
      <c r="L172" s="5">
        <f>Paid!L57+Legacy!L59</f>
        <v/>
      </c>
      <c r="M172" s="5">
        <f>Paid!M57+Legacy!M59</f>
        <v/>
      </c>
      <c r="N172" s="5">
        <f>Paid!N57+Legacy!N59</f>
        <v/>
      </c>
      <c r="O172" s="5">
        <f>Paid!O57+Legacy!O59</f>
        <v/>
      </c>
      <c r="P172" s="5">
        <f>Paid!P57+Legacy!P59</f>
        <v/>
      </c>
      <c r="Q172" s="5">
        <f>Paid!Q57+Legacy!Q59</f>
        <v/>
      </c>
      <c r="R172" s="5">
        <f>Paid!R57+Legacy!R59</f>
        <v/>
      </c>
      <c r="S172" s="5">
        <f>Paid!S57+Legacy!S59</f>
        <v/>
      </c>
      <c r="T172" s="5">
        <f>Paid!T57+Legacy!T59</f>
        <v/>
      </c>
      <c r="U172" s="5">
        <f>Paid!U57+Legacy!U59</f>
        <v/>
      </c>
      <c r="V172" s="5">
        <f>Paid!V57+Legacy!V59</f>
        <v/>
      </c>
      <c r="W172" s="5">
        <f>Paid!W57+Legacy!W59</f>
        <v/>
      </c>
      <c r="X172" s="5">
        <f>Paid!X57+Legacy!X59</f>
        <v/>
      </c>
      <c r="Y172" s="5">
        <f>Paid!Y57+Legacy!Y59</f>
        <v/>
      </c>
      <c r="Z172" s="5">
        <f>Paid!Z57+Legacy!Z59</f>
        <v/>
      </c>
      <c r="AA172" s="5">
        <f>Paid!AA57+Legacy!AA59</f>
        <v/>
      </c>
      <c r="AB172" s="5">
        <f>Paid!AB57+Legacy!AB59</f>
        <v/>
      </c>
      <c r="AC172" s="5">
        <f>Paid!AC57+Legacy!AC59</f>
        <v/>
      </c>
      <c r="AD172" s="5">
        <f>Paid!AD57+Legacy!AD59</f>
        <v/>
      </c>
      <c r="AE172" s="5">
        <f>Paid!AE57+Legacy!AE59</f>
        <v/>
      </c>
      <c r="AF172" s="5">
        <f>Paid!AF57+Legacy!AF59</f>
        <v/>
      </c>
      <c r="AG172" s="5">
        <f>Paid!AG57+Legacy!AG59</f>
        <v/>
      </c>
      <c r="AH172" s="5">
        <f>Paid!AH57+Legacy!AH59</f>
        <v/>
      </c>
      <c r="AI172" s="5">
        <f>Paid!AI57+Legacy!AI59</f>
        <v/>
      </c>
      <c r="AJ172" s="5">
        <f>Paid!AJ57+Legacy!AJ59</f>
        <v/>
      </c>
      <c r="AK172" s="5">
        <f>Paid!AK57+Legacy!AK59</f>
        <v/>
      </c>
      <c r="AL172" s="5">
        <f>Paid!AL57+Legacy!AL59</f>
        <v/>
      </c>
      <c r="AM172" s="5">
        <f>Paid!AM57+Legacy!AM59</f>
        <v/>
      </c>
      <c r="AN172" s="5">
        <f>Paid!AN57+Legacy!AN59</f>
        <v/>
      </c>
      <c r="AO172" s="5">
        <f>Paid!AO57+Legacy!AO59</f>
        <v/>
      </c>
      <c r="AP172" s="5">
        <f>Paid!AP57+Legacy!AP59</f>
        <v/>
      </c>
      <c r="AQ172" s="5">
        <f>Paid!AQ57+Legacy!AQ59</f>
        <v/>
      </c>
      <c r="AR172" s="5">
        <f>Paid!AR57+Legacy!AR59</f>
        <v/>
      </c>
      <c r="AS172" s="5">
        <f>Paid!AS57+Legacy!AS59</f>
        <v/>
      </c>
      <c r="AT172" s="5">
        <f>Paid!AT57+Legacy!AT59</f>
        <v/>
      </c>
      <c r="AU172" s="5">
        <f>Paid!AU57+Legacy!AU59</f>
        <v/>
      </c>
      <c r="AV172" s="5">
        <f>Paid!AV57+Legacy!AV59</f>
        <v/>
      </c>
      <c r="AW172" s="5">
        <f>Paid!AW57+Legacy!AW59</f>
        <v/>
      </c>
      <c r="AX172" s="5">
        <f>Paid!AX57+Legacy!AX59</f>
        <v/>
      </c>
      <c r="AY172" s="5">
        <f>Paid!AY57+Legacy!AY59</f>
        <v/>
      </c>
      <c r="AZ172" s="5">
        <f>Paid!AZ57+Legacy!AZ59</f>
        <v/>
      </c>
      <c r="BA172" s="5">
        <f>Paid!BA57+Legacy!BA59</f>
        <v/>
      </c>
      <c r="BB172" s="5">
        <f>Paid!BB57+Legacy!BB59</f>
        <v/>
      </c>
      <c r="BC172" s="5">
        <f>Paid!BC57+Legacy!BC59</f>
        <v/>
      </c>
      <c r="BD172" s="5">
        <f>Paid!BD57+Legacy!BD59</f>
        <v/>
      </c>
      <c r="BE172" s="5">
        <f>Paid!BE57+Legacy!BE59</f>
        <v/>
      </c>
      <c r="BF172" s="5">
        <f>Paid!BF57+Legacy!BF59</f>
        <v/>
      </c>
      <c r="BG172" s="5">
        <f>Paid!BG57+Legacy!BG59</f>
        <v/>
      </c>
      <c r="BH172" s="5">
        <f>Paid!BH57+Legacy!BH59</f>
        <v/>
      </c>
      <c r="BI172" s="5">
        <f>Paid!BI57+Legacy!BI59</f>
        <v/>
      </c>
      <c r="BJ172" s="5">
        <f>Paid!BJ57+Legacy!BJ59</f>
        <v/>
      </c>
      <c r="BK172" s="5">
        <f>Paid!BK57+Legacy!BK59</f>
        <v/>
      </c>
      <c r="BL172" s="5">
        <f>Paid!BL57+Legacy!BL59</f>
        <v/>
      </c>
      <c r="BM172" s="5">
        <f>Paid!BM57+Legacy!BM59</f>
        <v/>
      </c>
      <c r="BN172" s="5">
        <f>Paid!BN57+Legacy!BN59</f>
        <v/>
      </c>
      <c r="BO172" s="5">
        <f>Paid!BO57+Legacy!BO59</f>
        <v/>
      </c>
      <c r="BP172" s="5">
        <f>Paid!BP57+Legacy!BP59</f>
        <v/>
      </c>
      <c r="BQ172" s="5">
        <f>Paid!BQ57+Legacy!BQ59</f>
        <v/>
      </c>
      <c r="BR172" s="5">
        <f>Paid!BR57+Legacy!BR59</f>
        <v/>
      </c>
      <c r="BS172" s="5">
        <f>Paid!BS57+Legacy!BS59</f>
        <v/>
      </c>
      <c r="BT172" s="5">
        <f>Paid!BT57+Legacy!BT59</f>
        <v/>
      </c>
      <c r="BU172" s="5">
        <f>Paid!BU57+Legacy!BU59</f>
        <v/>
      </c>
      <c r="BV172" s="5">
        <f>Paid!BV57+Legacy!BV59</f>
        <v/>
      </c>
    </row>
    <row r="173">
      <c r="A173" t="inlineStr">
        <is>
          <t>inflow @0</t>
        </is>
      </c>
      <c r="B173" t="inlineStr">
        <is>
          <t>APAC|NITRO_A</t>
        </is>
      </c>
      <c r="C173" s="5">
        <f>C172*Eras!C$3</f>
        <v/>
      </c>
      <c r="D173" s="5">
        <f>D172*Eras!D$3</f>
        <v/>
      </c>
      <c r="E173" s="5">
        <f>E172*Eras!E$3</f>
        <v/>
      </c>
      <c r="F173" s="5">
        <f>F172*Eras!F$3</f>
        <v/>
      </c>
      <c r="G173" s="5">
        <f>G172*Eras!G$3</f>
        <v/>
      </c>
      <c r="H173" s="5">
        <f>H172*Eras!H$3</f>
        <v/>
      </c>
      <c r="I173" s="5">
        <f>I172*Eras!I$3</f>
        <v/>
      </c>
      <c r="J173" s="5">
        <f>J172*Eras!J$3</f>
        <v/>
      </c>
      <c r="K173" s="5">
        <f>K172*Eras!K$3</f>
        <v/>
      </c>
      <c r="L173" s="5">
        <f>L172*Eras!L$3</f>
        <v/>
      </c>
      <c r="M173" s="5">
        <f>M172*Eras!M$3</f>
        <v/>
      </c>
      <c r="N173" s="5">
        <f>N172*Eras!N$3</f>
        <v/>
      </c>
      <c r="O173" s="5">
        <f>O172*Eras!O$3</f>
        <v/>
      </c>
      <c r="P173" s="5">
        <f>P172*Eras!P$3</f>
        <v/>
      </c>
      <c r="Q173" s="5">
        <f>Q172*Eras!Q$3</f>
        <v/>
      </c>
      <c r="R173" s="5">
        <f>R172*Eras!R$3</f>
        <v/>
      </c>
      <c r="S173" s="5">
        <f>S172*Eras!S$3</f>
        <v/>
      </c>
      <c r="T173" s="5">
        <f>T172*Eras!T$3</f>
        <v/>
      </c>
      <c r="U173" s="5">
        <f>U172*Eras!U$3</f>
        <v/>
      </c>
      <c r="V173" s="5">
        <f>V172*Eras!V$3</f>
        <v/>
      </c>
      <c r="W173" s="5">
        <f>W172*Eras!W$3</f>
        <v/>
      </c>
      <c r="X173" s="5">
        <f>X172*Eras!X$3</f>
        <v/>
      </c>
      <c r="Y173" s="5">
        <f>Y172*Eras!Y$3</f>
        <v/>
      </c>
      <c r="Z173" s="5">
        <f>Z172*Eras!Z$3</f>
        <v/>
      </c>
      <c r="AA173" s="5">
        <f>AA172*Eras!AA$3</f>
        <v/>
      </c>
      <c r="AB173" s="5">
        <f>AB172*Eras!AB$3</f>
        <v/>
      </c>
      <c r="AC173" s="5">
        <f>AC172*Eras!AC$3</f>
        <v/>
      </c>
      <c r="AD173" s="5">
        <f>AD172*Eras!AD$3</f>
        <v/>
      </c>
      <c r="AE173" s="5">
        <f>AE172*Eras!AE$3</f>
        <v/>
      </c>
      <c r="AF173" s="5">
        <f>AF172*Eras!AF$3</f>
        <v/>
      </c>
      <c r="AG173" s="5">
        <f>AG172*Eras!AG$3</f>
        <v/>
      </c>
      <c r="AH173" s="5">
        <f>AH172*Eras!AH$3</f>
        <v/>
      </c>
      <c r="AI173" s="5">
        <f>AI172*Eras!AI$3</f>
        <v/>
      </c>
      <c r="AJ173" s="5">
        <f>AJ172*Eras!AJ$3</f>
        <v/>
      </c>
      <c r="AK173" s="5">
        <f>AK172*Eras!AK$3</f>
        <v/>
      </c>
      <c r="AL173" s="5">
        <f>AL172*Eras!AL$3</f>
        <v/>
      </c>
      <c r="AM173" s="5">
        <f>AM172*Eras!AM$3</f>
        <v/>
      </c>
      <c r="AN173" s="5">
        <f>AN172*Eras!AN$3</f>
        <v/>
      </c>
      <c r="AO173" s="5">
        <f>AO172*Eras!AO$3</f>
        <v/>
      </c>
      <c r="AP173" s="5">
        <f>AP172*Eras!AP$3</f>
        <v/>
      </c>
      <c r="AQ173" s="5">
        <f>AQ172*Eras!AQ$3</f>
        <v/>
      </c>
      <c r="AR173" s="5">
        <f>AR172*Eras!AR$3</f>
        <v/>
      </c>
      <c r="AS173" s="5">
        <f>AS172*Eras!AS$3</f>
        <v/>
      </c>
      <c r="AT173" s="5">
        <f>AT172*Eras!AT$3</f>
        <v/>
      </c>
      <c r="AU173" s="5">
        <f>AU172*Eras!AU$3</f>
        <v/>
      </c>
      <c r="AV173" s="5">
        <f>AV172*Eras!AV$3</f>
        <v/>
      </c>
      <c r="AW173" s="5">
        <f>AW172*Eras!AW$3</f>
        <v/>
      </c>
      <c r="AX173" s="5">
        <f>AX172*Eras!AX$3</f>
        <v/>
      </c>
      <c r="AY173" s="5">
        <f>AY172*Eras!AY$3</f>
        <v/>
      </c>
      <c r="AZ173" s="5">
        <f>AZ172*Eras!AZ$3</f>
        <v/>
      </c>
      <c r="BA173" s="5">
        <f>BA172*Eras!BA$3</f>
        <v/>
      </c>
      <c r="BB173" s="5">
        <f>BB172*Eras!BB$3</f>
        <v/>
      </c>
      <c r="BC173" s="5">
        <f>BC172*Eras!BC$3</f>
        <v/>
      </c>
      <c r="BD173" s="5">
        <f>BD172*Eras!BD$3</f>
        <v/>
      </c>
      <c r="BE173" s="5">
        <f>BE172*Eras!BE$3</f>
        <v/>
      </c>
      <c r="BF173" s="5">
        <f>BF172*Eras!BF$3</f>
        <v/>
      </c>
      <c r="BG173" s="5">
        <f>BG172*Eras!BG$3</f>
        <v/>
      </c>
      <c r="BH173" s="5">
        <f>BH172*Eras!BH$3</f>
        <v/>
      </c>
      <c r="BI173" s="5">
        <f>BI172*Eras!BI$3</f>
        <v/>
      </c>
      <c r="BJ173" s="5">
        <f>BJ172*Eras!BJ$3</f>
        <v/>
      </c>
      <c r="BK173" s="5">
        <f>BK172*Eras!BK$3</f>
        <v/>
      </c>
      <c r="BL173" s="5">
        <f>BL172*Eras!BL$3</f>
        <v/>
      </c>
      <c r="BM173" s="5">
        <f>BM172*Eras!BM$3</f>
        <v/>
      </c>
      <c r="BN173" s="5">
        <f>BN172*Eras!BN$3</f>
        <v/>
      </c>
      <c r="BO173" s="5">
        <f>BO172*Eras!BO$3</f>
        <v/>
      </c>
      <c r="BP173" s="5">
        <f>BP172*Eras!BP$3</f>
        <v/>
      </c>
      <c r="BQ173" s="5">
        <f>BQ172*Eras!BQ$3</f>
        <v/>
      </c>
      <c r="BR173" s="5">
        <f>BR172*Eras!BR$3</f>
        <v/>
      </c>
      <c r="BS173" s="5">
        <f>BS172*Eras!BS$3</f>
        <v/>
      </c>
      <c r="BT173" s="5">
        <f>BT172*Eras!BT$3</f>
        <v/>
      </c>
      <c r="BU173" s="5">
        <f>BU172*Eras!BU$3</f>
        <v/>
      </c>
      <c r="BV173" s="5">
        <f>BV172*Eras!BV$3</f>
        <v/>
      </c>
    </row>
    <row r="174">
      <c r="A174" t="inlineStr">
        <is>
          <t>inflow @1</t>
        </is>
      </c>
      <c r="B174" t="inlineStr">
        <is>
          <t>APAC|NITRO_A</t>
        </is>
      </c>
      <c r="C174" s="5">
        <f>C172*Eras!C$4</f>
        <v/>
      </c>
      <c r="D174" s="5">
        <f>D172*Eras!D$4</f>
        <v/>
      </c>
      <c r="E174" s="5">
        <f>E172*Eras!E$4</f>
        <v/>
      </c>
      <c r="F174" s="5">
        <f>F172*Eras!F$4</f>
        <v/>
      </c>
      <c r="G174" s="5">
        <f>G172*Eras!G$4</f>
        <v/>
      </c>
      <c r="H174" s="5">
        <f>H172*Eras!H$4</f>
        <v/>
      </c>
      <c r="I174" s="5">
        <f>I172*Eras!I$4</f>
        <v/>
      </c>
      <c r="J174" s="5">
        <f>J172*Eras!J$4</f>
        <v/>
      </c>
      <c r="K174" s="5">
        <f>K172*Eras!K$4</f>
        <v/>
      </c>
      <c r="L174" s="5">
        <f>L172*Eras!L$4</f>
        <v/>
      </c>
      <c r="M174" s="5">
        <f>M172*Eras!M$4</f>
        <v/>
      </c>
      <c r="N174" s="5">
        <f>N172*Eras!N$4</f>
        <v/>
      </c>
      <c r="O174" s="5">
        <f>O172*Eras!O$4</f>
        <v/>
      </c>
      <c r="P174" s="5">
        <f>P172*Eras!P$4</f>
        <v/>
      </c>
      <c r="Q174" s="5">
        <f>Q172*Eras!Q$4</f>
        <v/>
      </c>
      <c r="R174" s="5">
        <f>R172*Eras!R$4</f>
        <v/>
      </c>
      <c r="S174" s="5">
        <f>S172*Eras!S$4</f>
        <v/>
      </c>
      <c r="T174" s="5">
        <f>T172*Eras!T$4</f>
        <v/>
      </c>
      <c r="U174" s="5">
        <f>U172*Eras!U$4</f>
        <v/>
      </c>
      <c r="V174" s="5">
        <f>V172*Eras!V$4</f>
        <v/>
      </c>
      <c r="W174" s="5">
        <f>W172*Eras!W$4</f>
        <v/>
      </c>
      <c r="X174" s="5">
        <f>X172*Eras!X$4</f>
        <v/>
      </c>
      <c r="Y174" s="5">
        <f>Y172*Eras!Y$4</f>
        <v/>
      </c>
      <c r="Z174" s="5">
        <f>Z172*Eras!Z$4</f>
        <v/>
      </c>
      <c r="AA174" s="5">
        <f>AA172*Eras!AA$4</f>
        <v/>
      </c>
      <c r="AB174" s="5">
        <f>AB172*Eras!AB$4</f>
        <v/>
      </c>
      <c r="AC174" s="5">
        <f>AC172*Eras!AC$4</f>
        <v/>
      </c>
      <c r="AD174" s="5">
        <f>AD172*Eras!AD$4</f>
        <v/>
      </c>
      <c r="AE174" s="5">
        <f>AE172*Eras!AE$4</f>
        <v/>
      </c>
      <c r="AF174" s="5">
        <f>AF172*Eras!AF$4</f>
        <v/>
      </c>
      <c r="AG174" s="5">
        <f>AG172*Eras!AG$4</f>
        <v/>
      </c>
      <c r="AH174" s="5">
        <f>AH172*Eras!AH$4</f>
        <v/>
      </c>
      <c r="AI174" s="5">
        <f>AI172*Eras!AI$4</f>
        <v/>
      </c>
      <c r="AJ174" s="5">
        <f>AJ172*Eras!AJ$4</f>
        <v/>
      </c>
      <c r="AK174" s="5">
        <f>AK172*Eras!AK$4</f>
        <v/>
      </c>
      <c r="AL174" s="5">
        <f>AL172*Eras!AL$4</f>
        <v/>
      </c>
      <c r="AM174" s="5">
        <f>AM172*Eras!AM$4</f>
        <v/>
      </c>
      <c r="AN174" s="5">
        <f>AN172*Eras!AN$4</f>
        <v/>
      </c>
      <c r="AO174" s="5">
        <f>AO172*Eras!AO$4</f>
        <v/>
      </c>
      <c r="AP174" s="5">
        <f>AP172*Eras!AP$4</f>
        <v/>
      </c>
      <c r="AQ174" s="5">
        <f>AQ172*Eras!AQ$4</f>
        <v/>
      </c>
      <c r="AR174" s="5">
        <f>AR172*Eras!AR$4</f>
        <v/>
      </c>
      <c r="AS174" s="5">
        <f>AS172*Eras!AS$4</f>
        <v/>
      </c>
      <c r="AT174" s="5">
        <f>AT172*Eras!AT$4</f>
        <v/>
      </c>
      <c r="AU174" s="5">
        <f>AU172*Eras!AU$4</f>
        <v/>
      </c>
      <c r="AV174" s="5">
        <f>AV172*Eras!AV$4</f>
        <v/>
      </c>
      <c r="AW174" s="5">
        <f>AW172*Eras!AW$4</f>
        <v/>
      </c>
      <c r="AX174" s="5">
        <f>AX172*Eras!AX$4</f>
        <v/>
      </c>
      <c r="AY174" s="5">
        <f>AY172*Eras!AY$4</f>
        <v/>
      </c>
      <c r="AZ174" s="5">
        <f>AZ172*Eras!AZ$4</f>
        <v/>
      </c>
      <c r="BA174" s="5">
        <f>BA172*Eras!BA$4</f>
        <v/>
      </c>
      <c r="BB174" s="5">
        <f>BB172*Eras!BB$4</f>
        <v/>
      </c>
      <c r="BC174" s="5">
        <f>BC172*Eras!BC$4</f>
        <v/>
      </c>
      <c r="BD174" s="5">
        <f>BD172*Eras!BD$4</f>
        <v/>
      </c>
      <c r="BE174" s="5">
        <f>BE172*Eras!BE$4</f>
        <v/>
      </c>
      <c r="BF174" s="5">
        <f>BF172*Eras!BF$4</f>
        <v/>
      </c>
      <c r="BG174" s="5">
        <f>BG172*Eras!BG$4</f>
        <v/>
      </c>
      <c r="BH174" s="5">
        <f>BH172*Eras!BH$4</f>
        <v/>
      </c>
      <c r="BI174" s="5">
        <f>BI172*Eras!BI$4</f>
        <v/>
      </c>
      <c r="BJ174" s="5">
        <f>BJ172*Eras!BJ$4</f>
        <v/>
      </c>
      <c r="BK174" s="5">
        <f>BK172*Eras!BK$4</f>
        <v/>
      </c>
      <c r="BL174" s="5">
        <f>BL172*Eras!BL$4</f>
        <v/>
      </c>
      <c r="BM174" s="5">
        <f>BM172*Eras!BM$4</f>
        <v/>
      </c>
      <c r="BN174" s="5">
        <f>BN172*Eras!BN$4</f>
        <v/>
      </c>
      <c r="BO174" s="5">
        <f>BO172*Eras!BO$4</f>
        <v/>
      </c>
      <c r="BP174" s="5">
        <f>BP172*Eras!BP$4</f>
        <v/>
      </c>
      <c r="BQ174" s="5">
        <f>BQ172*Eras!BQ$4</f>
        <v/>
      </c>
      <c r="BR174" s="5">
        <f>BR172*Eras!BR$4</f>
        <v/>
      </c>
      <c r="BS174" s="5">
        <f>BS172*Eras!BS$4</f>
        <v/>
      </c>
      <c r="BT174" s="5">
        <f>BT172*Eras!BT$4</f>
        <v/>
      </c>
      <c r="BU174" s="5">
        <f>BU172*Eras!BU$4</f>
        <v/>
      </c>
      <c r="BV174" s="5">
        <f>BV172*Eras!BV$4</f>
        <v/>
      </c>
    </row>
    <row r="175">
      <c r="A175" t="inlineStr">
        <is>
          <t>inflow @2</t>
        </is>
      </c>
      <c r="B175" t="inlineStr">
        <is>
          <t>APAC|NITRO_A</t>
        </is>
      </c>
      <c r="C175" s="5">
        <f>C172*Eras!C$5</f>
        <v/>
      </c>
      <c r="D175" s="5">
        <f>D172*Eras!D$5</f>
        <v/>
      </c>
      <c r="E175" s="5">
        <f>E172*Eras!E$5</f>
        <v/>
      </c>
      <c r="F175" s="5">
        <f>F172*Eras!F$5</f>
        <v/>
      </c>
      <c r="G175" s="5">
        <f>G172*Eras!G$5</f>
        <v/>
      </c>
      <c r="H175" s="5">
        <f>H172*Eras!H$5</f>
        <v/>
      </c>
      <c r="I175" s="5">
        <f>I172*Eras!I$5</f>
        <v/>
      </c>
      <c r="J175" s="5">
        <f>J172*Eras!J$5</f>
        <v/>
      </c>
      <c r="K175" s="5">
        <f>K172*Eras!K$5</f>
        <v/>
      </c>
      <c r="L175" s="5">
        <f>L172*Eras!L$5</f>
        <v/>
      </c>
      <c r="M175" s="5">
        <f>M172*Eras!M$5</f>
        <v/>
      </c>
      <c r="N175" s="5">
        <f>N172*Eras!N$5</f>
        <v/>
      </c>
      <c r="O175" s="5">
        <f>O172*Eras!O$5</f>
        <v/>
      </c>
      <c r="P175" s="5">
        <f>P172*Eras!P$5</f>
        <v/>
      </c>
      <c r="Q175" s="5">
        <f>Q172*Eras!Q$5</f>
        <v/>
      </c>
      <c r="R175" s="5">
        <f>R172*Eras!R$5</f>
        <v/>
      </c>
      <c r="S175" s="5">
        <f>S172*Eras!S$5</f>
        <v/>
      </c>
      <c r="T175" s="5">
        <f>T172*Eras!T$5</f>
        <v/>
      </c>
      <c r="U175" s="5">
        <f>U172*Eras!U$5</f>
        <v/>
      </c>
      <c r="V175" s="5">
        <f>V172*Eras!V$5</f>
        <v/>
      </c>
      <c r="W175" s="5">
        <f>W172*Eras!W$5</f>
        <v/>
      </c>
      <c r="X175" s="5">
        <f>X172*Eras!X$5</f>
        <v/>
      </c>
      <c r="Y175" s="5">
        <f>Y172*Eras!Y$5</f>
        <v/>
      </c>
      <c r="Z175" s="5">
        <f>Z172*Eras!Z$5</f>
        <v/>
      </c>
      <c r="AA175" s="5">
        <f>AA172*Eras!AA$5</f>
        <v/>
      </c>
      <c r="AB175" s="5">
        <f>AB172*Eras!AB$5</f>
        <v/>
      </c>
      <c r="AC175" s="5">
        <f>AC172*Eras!AC$5</f>
        <v/>
      </c>
      <c r="AD175" s="5">
        <f>AD172*Eras!AD$5</f>
        <v/>
      </c>
      <c r="AE175" s="5">
        <f>AE172*Eras!AE$5</f>
        <v/>
      </c>
      <c r="AF175" s="5">
        <f>AF172*Eras!AF$5</f>
        <v/>
      </c>
      <c r="AG175" s="5">
        <f>AG172*Eras!AG$5</f>
        <v/>
      </c>
      <c r="AH175" s="5">
        <f>AH172*Eras!AH$5</f>
        <v/>
      </c>
      <c r="AI175" s="5">
        <f>AI172*Eras!AI$5</f>
        <v/>
      </c>
      <c r="AJ175" s="5">
        <f>AJ172*Eras!AJ$5</f>
        <v/>
      </c>
      <c r="AK175" s="5">
        <f>AK172*Eras!AK$5</f>
        <v/>
      </c>
      <c r="AL175" s="5">
        <f>AL172*Eras!AL$5</f>
        <v/>
      </c>
      <c r="AM175" s="5">
        <f>AM172*Eras!AM$5</f>
        <v/>
      </c>
      <c r="AN175" s="5">
        <f>AN172*Eras!AN$5</f>
        <v/>
      </c>
      <c r="AO175" s="5">
        <f>AO172*Eras!AO$5</f>
        <v/>
      </c>
      <c r="AP175" s="5">
        <f>AP172*Eras!AP$5</f>
        <v/>
      </c>
      <c r="AQ175" s="5">
        <f>AQ172*Eras!AQ$5</f>
        <v/>
      </c>
      <c r="AR175" s="5">
        <f>AR172*Eras!AR$5</f>
        <v/>
      </c>
      <c r="AS175" s="5">
        <f>AS172*Eras!AS$5</f>
        <v/>
      </c>
      <c r="AT175" s="5">
        <f>AT172*Eras!AT$5</f>
        <v/>
      </c>
      <c r="AU175" s="5">
        <f>AU172*Eras!AU$5</f>
        <v/>
      </c>
      <c r="AV175" s="5">
        <f>AV172*Eras!AV$5</f>
        <v/>
      </c>
      <c r="AW175" s="5">
        <f>AW172*Eras!AW$5</f>
        <v/>
      </c>
      <c r="AX175" s="5">
        <f>AX172*Eras!AX$5</f>
        <v/>
      </c>
      <c r="AY175" s="5">
        <f>AY172*Eras!AY$5</f>
        <v/>
      </c>
      <c r="AZ175" s="5">
        <f>AZ172*Eras!AZ$5</f>
        <v/>
      </c>
      <c r="BA175" s="5">
        <f>BA172*Eras!BA$5</f>
        <v/>
      </c>
      <c r="BB175" s="5">
        <f>BB172*Eras!BB$5</f>
        <v/>
      </c>
      <c r="BC175" s="5">
        <f>BC172*Eras!BC$5</f>
        <v/>
      </c>
      <c r="BD175" s="5">
        <f>BD172*Eras!BD$5</f>
        <v/>
      </c>
      <c r="BE175" s="5">
        <f>BE172*Eras!BE$5</f>
        <v/>
      </c>
      <c r="BF175" s="5">
        <f>BF172*Eras!BF$5</f>
        <v/>
      </c>
      <c r="BG175" s="5">
        <f>BG172*Eras!BG$5</f>
        <v/>
      </c>
      <c r="BH175" s="5">
        <f>BH172*Eras!BH$5</f>
        <v/>
      </c>
      <c r="BI175" s="5">
        <f>BI172*Eras!BI$5</f>
        <v/>
      </c>
      <c r="BJ175" s="5">
        <f>BJ172*Eras!BJ$5</f>
        <v/>
      </c>
      <c r="BK175" s="5">
        <f>BK172*Eras!BK$5</f>
        <v/>
      </c>
      <c r="BL175" s="5">
        <f>BL172*Eras!BL$5</f>
        <v/>
      </c>
      <c r="BM175" s="5">
        <f>BM172*Eras!BM$5</f>
        <v/>
      </c>
      <c r="BN175" s="5">
        <f>BN172*Eras!BN$5</f>
        <v/>
      </c>
      <c r="BO175" s="5">
        <f>BO172*Eras!BO$5</f>
        <v/>
      </c>
      <c r="BP175" s="5">
        <f>BP172*Eras!BP$5</f>
        <v/>
      </c>
      <c r="BQ175" s="5">
        <f>BQ172*Eras!BQ$5</f>
        <v/>
      </c>
      <c r="BR175" s="5">
        <f>BR172*Eras!BR$5</f>
        <v/>
      </c>
      <c r="BS175" s="5">
        <f>BS172*Eras!BS$5</f>
        <v/>
      </c>
      <c r="BT175" s="5">
        <f>BT172*Eras!BT$5</f>
        <v/>
      </c>
      <c r="BU175" s="5">
        <f>BU172*Eras!BU$5</f>
        <v/>
      </c>
      <c r="BV175" s="5">
        <f>BV172*Eras!BV$5</f>
        <v/>
      </c>
    </row>
    <row r="176">
      <c r="A176" t="inlineStr">
        <is>
          <t>reactivations out</t>
        </is>
      </c>
      <c r="B176" t="inlineStr">
        <is>
          <t>APAC|NITRO_A</t>
        </is>
      </c>
      <c r="C176" s="5">
        <f>React!$C$173*Curves!$BV$21+React!$C$174*Curves!$BV$44+React!$C$175*Curves!$BV$67</f>
        <v/>
      </c>
      <c r="D176" s="5">
        <f>SUMPRODUCT(React!$C$173:$D$173,Curves!$BU$21:$BV$21)+SUMPRODUCT(React!$C$174:$D$174,Curves!$BU$44:$BV$44)+SUMPRODUCT(React!$C$175:$D$175,Curves!$BU$67:$BV$67)</f>
        <v/>
      </c>
      <c r="E176" s="5">
        <f>SUMPRODUCT(React!$C$173:$E$173,Curves!$BT$21:$BV$21)+SUMPRODUCT(React!$C$174:$E$174,Curves!$BT$44:$BV$44)+SUMPRODUCT(React!$C$175:$E$175,Curves!$BT$67:$BV$67)</f>
        <v/>
      </c>
      <c r="F176" s="5">
        <f>SUMPRODUCT(React!$C$173:$F$173,Curves!$BS$21:$BV$21)+SUMPRODUCT(React!$C$174:$F$174,Curves!$BS$44:$BV$44)+SUMPRODUCT(React!$C$175:$F$175,Curves!$BS$67:$BV$67)</f>
        <v/>
      </c>
      <c r="G176" s="5">
        <f>SUMPRODUCT(React!$C$173:$G$173,Curves!$BR$21:$BV$21)+SUMPRODUCT(React!$C$174:$G$174,Curves!$BR$44:$BV$44)+SUMPRODUCT(React!$C$175:$G$175,Curves!$BR$67:$BV$67)</f>
        <v/>
      </c>
      <c r="H176" s="5">
        <f>SUMPRODUCT(React!$C$173:$H$173,Curves!$BQ$21:$BV$21)+SUMPRODUCT(React!$C$174:$H$174,Curves!$BQ$44:$BV$44)+SUMPRODUCT(React!$C$175:$H$175,Curves!$BQ$67:$BV$67)</f>
        <v/>
      </c>
      <c r="I176" s="5">
        <f>SUMPRODUCT(React!$C$173:$I$173,Curves!$BP$21:$BV$21)+SUMPRODUCT(React!$C$174:$I$174,Curves!$BP$44:$BV$44)+SUMPRODUCT(React!$C$175:$I$175,Curves!$BP$67:$BV$67)</f>
        <v/>
      </c>
      <c r="J176" s="5">
        <f>SUMPRODUCT(React!$C$173:$J$173,Curves!$BO$21:$BV$21)+SUMPRODUCT(React!$C$174:$J$174,Curves!$BO$44:$BV$44)+SUMPRODUCT(React!$C$175:$J$175,Curves!$BO$67:$BV$67)</f>
        <v/>
      </c>
      <c r="K176" s="5">
        <f>SUMPRODUCT(React!$C$173:$K$173,Curves!$BN$21:$BV$21)+SUMPRODUCT(React!$C$174:$K$174,Curves!$BN$44:$BV$44)+SUMPRODUCT(React!$C$175:$K$175,Curves!$BN$67:$BV$67)</f>
        <v/>
      </c>
      <c r="L176" s="5">
        <f>SUMPRODUCT(React!$C$173:$L$173,Curves!$BM$21:$BV$21)+SUMPRODUCT(React!$C$174:$L$174,Curves!$BM$44:$BV$44)+SUMPRODUCT(React!$C$175:$L$175,Curves!$BM$67:$BV$67)</f>
        <v/>
      </c>
      <c r="M176" s="5">
        <f>SUMPRODUCT(React!$C$173:$M$173,Curves!$BL$21:$BV$21)+SUMPRODUCT(React!$C$174:$M$174,Curves!$BL$44:$BV$44)+SUMPRODUCT(React!$C$175:$M$175,Curves!$BL$67:$BV$67)</f>
        <v/>
      </c>
      <c r="N176" s="5">
        <f>SUMPRODUCT(React!$C$173:$N$173,Curves!$BK$21:$BV$21)+SUMPRODUCT(React!$C$174:$N$174,Curves!$BK$44:$BV$44)+SUMPRODUCT(React!$C$175:$N$175,Curves!$BK$67:$BV$67)</f>
        <v/>
      </c>
      <c r="O176" s="5">
        <f>SUMPRODUCT(React!$C$173:$O$173,Curves!$BJ$21:$BV$21)+SUMPRODUCT(React!$C$174:$O$174,Curves!$BJ$44:$BV$44)+SUMPRODUCT(React!$C$175:$O$175,Curves!$BJ$67:$BV$67)</f>
        <v/>
      </c>
      <c r="P176" s="5">
        <f>SUMPRODUCT(React!$C$173:$P$173,Curves!$BI$21:$BV$21)+SUMPRODUCT(React!$C$174:$P$174,Curves!$BI$44:$BV$44)+SUMPRODUCT(React!$C$175:$P$175,Curves!$BI$67:$BV$67)</f>
        <v/>
      </c>
      <c r="Q176" s="5">
        <f>SUMPRODUCT(React!$C$173:$Q$173,Curves!$BH$21:$BV$21)+SUMPRODUCT(React!$C$174:$Q$174,Curves!$BH$44:$BV$44)+SUMPRODUCT(React!$C$175:$Q$175,Curves!$BH$67:$BV$67)</f>
        <v/>
      </c>
      <c r="R176" s="5">
        <f>SUMPRODUCT(React!$C$173:$R$173,Curves!$BG$21:$BV$21)+SUMPRODUCT(React!$C$174:$R$174,Curves!$BG$44:$BV$44)+SUMPRODUCT(React!$C$175:$R$175,Curves!$BG$67:$BV$67)</f>
        <v/>
      </c>
      <c r="S176" s="5">
        <f>SUMPRODUCT(React!$C$173:$S$173,Curves!$BF$21:$BV$21)+SUMPRODUCT(React!$C$174:$S$174,Curves!$BF$44:$BV$44)+SUMPRODUCT(React!$C$175:$S$175,Curves!$BF$67:$BV$67)</f>
        <v/>
      </c>
      <c r="T176" s="5">
        <f>SUMPRODUCT(React!$C$173:$T$173,Curves!$BE$21:$BV$21)+SUMPRODUCT(React!$C$174:$T$174,Curves!$BE$44:$BV$44)+SUMPRODUCT(React!$C$175:$T$175,Curves!$BE$67:$BV$67)</f>
        <v/>
      </c>
      <c r="U176" s="5">
        <f>SUMPRODUCT(React!$C$173:$U$173,Curves!$BD$21:$BV$21)+SUMPRODUCT(React!$C$174:$U$174,Curves!$BD$44:$BV$44)+SUMPRODUCT(React!$C$175:$U$175,Curves!$BD$67:$BV$67)</f>
        <v/>
      </c>
      <c r="V176" s="5">
        <f>SUMPRODUCT(React!$C$173:$V$173,Curves!$BC$21:$BV$21)+SUMPRODUCT(React!$C$174:$V$174,Curves!$BC$44:$BV$44)+SUMPRODUCT(React!$C$175:$V$175,Curves!$BC$67:$BV$67)</f>
        <v/>
      </c>
      <c r="W176" s="5">
        <f>SUMPRODUCT(React!$C$173:$W$173,Curves!$BB$21:$BV$21)+SUMPRODUCT(React!$C$174:$W$174,Curves!$BB$44:$BV$44)+SUMPRODUCT(React!$C$175:$W$175,Curves!$BB$67:$BV$67)</f>
        <v/>
      </c>
      <c r="X176" s="5">
        <f>SUMPRODUCT(React!$C$173:$X$173,Curves!$BA$21:$BV$21)+SUMPRODUCT(React!$C$174:$X$174,Curves!$BA$44:$BV$44)+SUMPRODUCT(React!$C$175:$X$175,Curves!$BA$67:$BV$67)</f>
        <v/>
      </c>
      <c r="Y176" s="5">
        <f>SUMPRODUCT(React!$C$173:$Y$173,Curves!$AZ$21:$BV$21)+SUMPRODUCT(React!$C$174:$Y$174,Curves!$AZ$44:$BV$44)+SUMPRODUCT(React!$C$175:$Y$175,Curves!$AZ$67:$BV$67)</f>
        <v/>
      </c>
      <c r="Z176" s="5">
        <f>SUMPRODUCT(React!$C$173:$Z$173,Curves!$AY$21:$BV$21)+SUMPRODUCT(React!$C$174:$Z$174,Curves!$AY$44:$BV$44)+SUMPRODUCT(React!$C$175:$Z$175,Curves!$AY$67:$BV$67)</f>
        <v/>
      </c>
      <c r="AA176" s="5">
        <f>SUMPRODUCT(React!$C$173:$AA$173,Curves!$AX$21:$BV$21)+SUMPRODUCT(React!$C$174:$AA$174,Curves!$AX$44:$BV$44)+SUMPRODUCT(React!$C$175:$AA$175,Curves!$AX$67:$BV$67)</f>
        <v/>
      </c>
      <c r="AB176" s="5">
        <f>SUMPRODUCT(React!$C$173:$AB$173,Curves!$AW$21:$BV$21)+SUMPRODUCT(React!$C$174:$AB$174,Curves!$AW$44:$BV$44)+SUMPRODUCT(React!$C$175:$AB$175,Curves!$AW$67:$BV$67)</f>
        <v/>
      </c>
      <c r="AC176" s="5">
        <f>SUMPRODUCT(React!$C$173:$AC$173,Curves!$AV$21:$BV$21)+SUMPRODUCT(React!$C$174:$AC$174,Curves!$AV$44:$BV$44)+SUMPRODUCT(React!$C$175:$AC$175,Curves!$AV$67:$BV$67)</f>
        <v/>
      </c>
      <c r="AD176" s="5">
        <f>SUMPRODUCT(React!$C$173:$AD$173,Curves!$AU$21:$BV$21)+SUMPRODUCT(React!$C$174:$AD$174,Curves!$AU$44:$BV$44)+SUMPRODUCT(React!$C$175:$AD$175,Curves!$AU$67:$BV$67)</f>
        <v/>
      </c>
      <c r="AE176" s="5">
        <f>SUMPRODUCT(React!$C$173:$AE$173,Curves!$AT$21:$BV$21)+SUMPRODUCT(React!$C$174:$AE$174,Curves!$AT$44:$BV$44)+SUMPRODUCT(React!$C$175:$AE$175,Curves!$AT$67:$BV$67)</f>
        <v/>
      </c>
      <c r="AF176" s="5">
        <f>SUMPRODUCT(React!$C$173:$AF$173,Curves!$AS$21:$BV$21)+SUMPRODUCT(React!$C$174:$AF$174,Curves!$AS$44:$BV$44)+SUMPRODUCT(React!$C$175:$AF$175,Curves!$AS$67:$BV$67)</f>
        <v/>
      </c>
      <c r="AG176" s="5">
        <f>SUMPRODUCT(React!$C$173:$AG$173,Curves!$AR$21:$BV$21)+SUMPRODUCT(React!$C$174:$AG$174,Curves!$AR$44:$BV$44)+SUMPRODUCT(React!$C$175:$AG$175,Curves!$AR$67:$BV$67)</f>
        <v/>
      </c>
      <c r="AH176" s="5">
        <f>SUMPRODUCT(React!$C$173:$AH$173,Curves!$AQ$21:$BV$21)+SUMPRODUCT(React!$C$174:$AH$174,Curves!$AQ$44:$BV$44)+SUMPRODUCT(React!$C$175:$AH$175,Curves!$AQ$67:$BV$67)</f>
        <v/>
      </c>
      <c r="AI176" s="5">
        <f>SUMPRODUCT(React!$C$173:$AI$173,Curves!$AP$21:$BV$21)+SUMPRODUCT(React!$C$174:$AI$174,Curves!$AP$44:$BV$44)+SUMPRODUCT(React!$C$175:$AI$175,Curves!$AP$67:$BV$67)</f>
        <v/>
      </c>
      <c r="AJ176" s="5">
        <f>SUMPRODUCT(React!$C$173:$AJ$173,Curves!$AO$21:$BV$21)+SUMPRODUCT(React!$C$174:$AJ$174,Curves!$AO$44:$BV$44)+SUMPRODUCT(React!$C$175:$AJ$175,Curves!$AO$67:$BV$67)</f>
        <v/>
      </c>
      <c r="AK176" s="5">
        <f>SUMPRODUCT(React!$C$173:$AK$173,Curves!$AN$21:$BV$21)+SUMPRODUCT(React!$C$174:$AK$174,Curves!$AN$44:$BV$44)+SUMPRODUCT(React!$C$175:$AK$175,Curves!$AN$67:$BV$67)</f>
        <v/>
      </c>
      <c r="AL176" s="5">
        <f>SUMPRODUCT(React!$C$173:$AL$173,Curves!$AM$21:$BV$21)+SUMPRODUCT(React!$C$174:$AL$174,Curves!$AM$44:$BV$44)+SUMPRODUCT(React!$C$175:$AL$175,Curves!$AM$67:$BV$67)</f>
        <v/>
      </c>
      <c r="AM176" s="5">
        <f>SUMPRODUCT(React!$C$173:$AM$173,Curves!$AL$21:$BV$21)+SUMPRODUCT(React!$C$174:$AM$174,Curves!$AL$44:$BV$44)+SUMPRODUCT(React!$C$175:$AM$175,Curves!$AL$67:$BV$67)</f>
        <v/>
      </c>
      <c r="AN176" s="5">
        <f>SUMPRODUCT(React!$C$173:$AN$173,Curves!$AK$21:$BV$21)+SUMPRODUCT(React!$C$174:$AN$174,Curves!$AK$44:$BV$44)+SUMPRODUCT(React!$C$175:$AN$175,Curves!$AK$67:$BV$67)</f>
        <v/>
      </c>
      <c r="AO176" s="5">
        <f>SUMPRODUCT(React!$C$173:$AO$173,Curves!$AJ$21:$BV$21)+SUMPRODUCT(React!$C$174:$AO$174,Curves!$AJ$44:$BV$44)+SUMPRODUCT(React!$C$175:$AO$175,Curves!$AJ$67:$BV$67)</f>
        <v/>
      </c>
      <c r="AP176" s="5">
        <f>SUMPRODUCT(React!$C$173:$AP$173,Curves!$AI$21:$BV$21)+SUMPRODUCT(React!$C$174:$AP$174,Curves!$AI$44:$BV$44)+SUMPRODUCT(React!$C$175:$AP$175,Curves!$AI$67:$BV$67)</f>
        <v/>
      </c>
      <c r="AQ176" s="5">
        <f>SUMPRODUCT(React!$C$173:$AQ$173,Curves!$AH$21:$BV$21)+SUMPRODUCT(React!$C$174:$AQ$174,Curves!$AH$44:$BV$44)+SUMPRODUCT(React!$C$175:$AQ$175,Curves!$AH$67:$BV$67)</f>
        <v/>
      </c>
      <c r="AR176" s="5">
        <f>SUMPRODUCT(React!$C$173:$AR$173,Curves!$AG$21:$BV$21)+SUMPRODUCT(React!$C$174:$AR$174,Curves!$AG$44:$BV$44)+SUMPRODUCT(React!$C$175:$AR$175,Curves!$AG$67:$BV$67)</f>
        <v/>
      </c>
      <c r="AS176" s="5">
        <f>SUMPRODUCT(React!$C$173:$AS$173,Curves!$AF$21:$BV$21)+SUMPRODUCT(React!$C$174:$AS$174,Curves!$AF$44:$BV$44)+SUMPRODUCT(React!$C$175:$AS$175,Curves!$AF$67:$BV$67)</f>
        <v/>
      </c>
      <c r="AT176" s="5">
        <f>SUMPRODUCT(React!$C$173:$AT$173,Curves!$AE$21:$BV$21)+SUMPRODUCT(React!$C$174:$AT$174,Curves!$AE$44:$BV$44)+SUMPRODUCT(React!$C$175:$AT$175,Curves!$AE$67:$BV$67)</f>
        <v/>
      </c>
      <c r="AU176" s="5">
        <f>SUMPRODUCT(React!$C$173:$AU$173,Curves!$AD$21:$BV$21)+SUMPRODUCT(React!$C$174:$AU$174,Curves!$AD$44:$BV$44)+SUMPRODUCT(React!$C$175:$AU$175,Curves!$AD$67:$BV$67)</f>
        <v/>
      </c>
      <c r="AV176" s="5">
        <f>SUMPRODUCT(React!$C$173:$AV$173,Curves!$AC$21:$BV$21)+SUMPRODUCT(React!$C$174:$AV$174,Curves!$AC$44:$BV$44)+SUMPRODUCT(React!$C$175:$AV$175,Curves!$AC$67:$BV$67)</f>
        <v/>
      </c>
      <c r="AW176" s="5">
        <f>SUMPRODUCT(React!$C$173:$AW$173,Curves!$AB$21:$BV$21)+SUMPRODUCT(React!$C$174:$AW$174,Curves!$AB$44:$BV$44)+SUMPRODUCT(React!$C$175:$AW$175,Curves!$AB$67:$BV$67)</f>
        <v/>
      </c>
      <c r="AX176" s="5">
        <f>SUMPRODUCT(React!$C$173:$AX$173,Curves!$AA$21:$BV$21)+SUMPRODUCT(React!$C$174:$AX$174,Curves!$AA$44:$BV$44)+SUMPRODUCT(React!$C$175:$AX$175,Curves!$AA$67:$BV$67)</f>
        <v/>
      </c>
      <c r="AY176" s="5">
        <f>SUMPRODUCT(React!$C$173:$AY$173,Curves!$Z$21:$BV$21)+SUMPRODUCT(React!$C$174:$AY$174,Curves!$Z$44:$BV$44)+SUMPRODUCT(React!$C$175:$AY$175,Curves!$Z$67:$BV$67)</f>
        <v/>
      </c>
      <c r="AZ176" s="5">
        <f>SUMPRODUCT(React!$C$173:$AZ$173,Curves!$Y$21:$BV$21)+SUMPRODUCT(React!$C$174:$AZ$174,Curves!$Y$44:$BV$44)+SUMPRODUCT(React!$C$175:$AZ$175,Curves!$Y$67:$BV$67)</f>
        <v/>
      </c>
      <c r="BA176" s="5">
        <f>SUMPRODUCT(React!$C$173:$BA$173,Curves!$X$21:$BV$21)+SUMPRODUCT(React!$C$174:$BA$174,Curves!$X$44:$BV$44)+SUMPRODUCT(React!$C$175:$BA$175,Curves!$X$67:$BV$67)</f>
        <v/>
      </c>
      <c r="BB176" s="5">
        <f>SUMPRODUCT(React!$C$173:$BB$173,Curves!$W$21:$BV$21)+SUMPRODUCT(React!$C$174:$BB$174,Curves!$W$44:$BV$44)+SUMPRODUCT(React!$C$175:$BB$175,Curves!$W$67:$BV$67)</f>
        <v/>
      </c>
      <c r="BC176" s="5">
        <f>SUMPRODUCT(React!$C$173:$BC$173,Curves!$V$21:$BV$21)+SUMPRODUCT(React!$C$174:$BC$174,Curves!$V$44:$BV$44)+SUMPRODUCT(React!$C$175:$BC$175,Curves!$V$67:$BV$67)</f>
        <v/>
      </c>
      <c r="BD176" s="5">
        <f>SUMPRODUCT(React!$C$173:$BD$173,Curves!$U$21:$BV$21)+SUMPRODUCT(React!$C$174:$BD$174,Curves!$U$44:$BV$44)+SUMPRODUCT(React!$C$175:$BD$175,Curves!$U$67:$BV$67)</f>
        <v/>
      </c>
      <c r="BE176" s="5">
        <f>SUMPRODUCT(React!$C$173:$BE$173,Curves!$T$21:$BV$21)+SUMPRODUCT(React!$C$174:$BE$174,Curves!$T$44:$BV$44)+SUMPRODUCT(React!$C$175:$BE$175,Curves!$T$67:$BV$67)</f>
        <v/>
      </c>
      <c r="BF176" s="5">
        <f>SUMPRODUCT(React!$C$173:$BF$173,Curves!$S$21:$BV$21)+SUMPRODUCT(React!$C$174:$BF$174,Curves!$S$44:$BV$44)+SUMPRODUCT(React!$C$175:$BF$175,Curves!$S$67:$BV$67)</f>
        <v/>
      </c>
      <c r="BG176" s="5">
        <f>SUMPRODUCT(React!$C$173:$BG$173,Curves!$R$21:$BV$21)+SUMPRODUCT(React!$C$174:$BG$174,Curves!$R$44:$BV$44)+SUMPRODUCT(React!$C$175:$BG$175,Curves!$R$67:$BV$67)</f>
        <v/>
      </c>
      <c r="BH176" s="5">
        <f>SUMPRODUCT(React!$C$173:$BH$173,Curves!$Q$21:$BV$21)+SUMPRODUCT(React!$C$174:$BH$174,Curves!$Q$44:$BV$44)+SUMPRODUCT(React!$C$175:$BH$175,Curves!$Q$67:$BV$67)</f>
        <v/>
      </c>
      <c r="BI176" s="5">
        <f>SUMPRODUCT(React!$C$173:$BI$173,Curves!$P$21:$BV$21)+SUMPRODUCT(React!$C$174:$BI$174,Curves!$P$44:$BV$44)+SUMPRODUCT(React!$C$175:$BI$175,Curves!$P$67:$BV$67)</f>
        <v/>
      </c>
      <c r="BJ176" s="5">
        <f>SUMPRODUCT(React!$C$173:$BJ$173,Curves!$O$21:$BV$21)+SUMPRODUCT(React!$C$174:$BJ$174,Curves!$O$44:$BV$44)+SUMPRODUCT(React!$C$175:$BJ$175,Curves!$O$67:$BV$67)</f>
        <v/>
      </c>
      <c r="BK176" s="5">
        <f>SUMPRODUCT(React!$C$173:$BK$173,Curves!$N$21:$BV$21)+SUMPRODUCT(React!$C$174:$BK$174,Curves!$N$44:$BV$44)+SUMPRODUCT(React!$C$175:$BK$175,Curves!$N$67:$BV$67)</f>
        <v/>
      </c>
      <c r="BL176" s="5">
        <f>SUMPRODUCT(React!$C$173:$BL$173,Curves!$M$21:$BV$21)+SUMPRODUCT(React!$C$174:$BL$174,Curves!$M$44:$BV$44)+SUMPRODUCT(React!$C$175:$BL$175,Curves!$M$67:$BV$67)</f>
        <v/>
      </c>
      <c r="BM176" s="5">
        <f>SUMPRODUCT(React!$C$173:$BM$173,Curves!$L$21:$BV$21)+SUMPRODUCT(React!$C$174:$BM$174,Curves!$L$44:$BV$44)+SUMPRODUCT(React!$C$175:$BM$175,Curves!$L$67:$BV$67)</f>
        <v/>
      </c>
      <c r="BN176" s="5">
        <f>SUMPRODUCT(React!$C$173:$BN$173,Curves!$K$21:$BV$21)+SUMPRODUCT(React!$C$174:$BN$174,Curves!$K$44:$BV$44)+SUMPRODUCT(React!$C$175:$BN$175,Curves!$K$67:$BV$67)</f>
        <v/>
      </c>
      <c r="BO176" s="5">
        <f>SUMPRODUCT(React!$C$173:$BO$173,Curves!$J$21:$BV$21)+SUMPRODUCT(React!$C$174:$BO$174,Curves!$J$44:$BV$44)+SUMPRODUCT(React!$C$175:$BO$175,Curves!$J$67:$BV$67)</f>
        <v/>
      </c>
      <c r="BP176" s="5">
        <f>SUMPRODUCT(React!$C$173:$BP$173,Curves!$I$21:$BV$21)+SUMPRODUCT(React!$C$174:$BP$174,Curves!$I$44:$BV$44)+SUMPRODUCT(React!$C$175:$BP$175,Curves!$I$67:$BV$67)</f>
        <v/>
      </c>
      <c r="BQ176" s="5">
        <f>SUMPRODUCT(React!$C$173:$BQ$173,Curves!$H$21:$BV$21)+SUMPRODUCT(React!$C$174:$BQ$174,Curves!$H$44:$BV$44)+SUMPRODUCT(React!$C$175:$BQ$175,Curves!$H$67:$BV$67)</f>
        <v/>
      </c>
      <c r="BR176" s="5">
        <f>SUMPRODUCT(React!$C$173:$BR$173,Curves!$G$21:$BV$21)+SUMPRODUCT(React!$C$174:$BR$174,Curves!$G$44:$BV$44)+SUMPRODUCT(React!$C$175:$BR$175,Curves!$G$67:$BV$67)</f>
        <v/>
      </c>
      <c r="BS176" s="5">
        <f>SUMPRODUCT(React!$C$173:$BS$173,Curves!$F$21:$BV$21)+SUMPRODUCT(React!$C$174:$BS$174,Curves!$F$44:$BV$44)+SUMPRODUCT(React!$C$175:$BS$175,Curves!$F$67:$BV$67)</f>
        <v/>
      </c>
      <c r="BT176" s="5">
        <f>SUMPRODUCT(React!$C$173:$BT$173,Curves!$E$21:$BV$21)+SUMPRODUCT(React!$C$174:$BT$174,Curves!$E$44:$BV$44)+SUMPRODUCT(React!$C$175:$BT$175,Curves!$E$67:$BV$67)</f>
        <v/>
      </c>
      <c r="BU176" s="5">
        <f>SUMPRODUCT(React!$C$173:$BU$173,Curves!$D$21:$BV$21)+SUMPRODUCT(React!$C$174:$BU$174,Curves!$D$44:$BV$44)+SUMPRODUCT(React!$C$175:$BU$175,Curves!$D$67:$BV$67)</f>
        <v/>
      </c>
      <c r="BV176" s="5">
        <f>SUMPRODUCT(React!$C$173:$BV$173,Curves!$C$21:$BV$21)+SUMPRODUCT(React!$C$174:$BV$174,Curves!$C$44:$BV$44)+SUMPRODUCT(React!$C$175:$BV$175,Curves!$C$67:$BV$67)</f>
        <v/>
      </c>
    </row>
    <row r="177">
      <c r="A177" t="inlineStr">
        <is>
          <t>reactivated in</t>
        </is>
      </c>
      <c r="B177" t="inlineStr">
        <is>
          <t>APAC|NITRO_A</t>
        </is>
      </c>
      <c r="C177" s="5">
        <f>0</f>
        <v/>
      </c>
      <c r="D177" s="5">
        <f>0</f>
        <v/>
      </c>
      <c r="E177" s="5">
        <f>0</f>
        <v/>
      </c>
      <c r="F177" s="5">
        <f>0</f>
        <v/>
      </c>
      <c r="G177" s="5">
        <f>0</f>
        <v/>
      </c>
      <c r="H177" s="5">
        <f>0</f>
        <v/>
      </c>
      <c r="I177" s="5">
        <f>0</f>
        <v/>
      </c>
      <c r="J177" s="5">
        <f>0</f>
        <v/>
      </c>
      <c r="K177" s="5">
        <f>0</f>
        <v/>
      </c>
      <c r="L177" s="5">
        <f>0</f>
        <v/>
      </c>
      <c r="M177" s="5">
        <f>0</f>
        <v/>
      </c>
      <c r="N177" s="5">
        <f>0</f>
        <v/>
      </c>
      <c r="O177" s="5">
        <f>0</f>
        <v/>
      </c>
      <c r="P177" s="5">
        <f>0</f>
        <v/>
      </c>
      <c r="Q177" s="5">
        <f>0</f>
        <v/>
      </c>
      <c r="R177" s="5">
        <f>0</f>
        <v/>
      </c>
      <c r="S177" s="5">
        <f>0</f>
        <v/>
      </c>
      <c r="T177" s="5">
        <f>0</f>
        <v/>
      </c>
      <c r="U177" s="5">
        <f>0</f>
        <v/>
      </c>
      <c r="V177" s="5">
        <f>0</f>
        <v/>
      </c>
      <c r="W177" s="5">
        <f>0</f>
        <v/>
      </c>
      <c r="X177" s="5">
        <f>0</f>
        <v/>
      </c>
      <c r="Y177" s="5">
        <f>0</f>
        <v/>
      </c>
      <c r="Z177" s="5">
        <f>0</f>
        <v/>
      </c>
      <c r="AA177" s="5">
        <f>0</f>
        <v/>
      </c>
      <c r="AB177" s="5">
        <f>0</f>
        <v/>
      </c>
      <c r="AC177" s="5">
        <f>0</f>
        <v/>
      </c>
      <c r="AD177" s="5">
        <f>0</f>
        <v/>
      </c>
      <c r="AE177" s="5">
        <f>0</f>
        <v/>
      </c>
      <c r="AF177" s="5">
        <f>0</f>
        <v/>
      </c>
      <c r="AG177" s="5">
        <f>0</f>
        <v/>
      </c>
      <c r="AH177" s="5">
        <f>0</f>
        <v/>
      </c>
      <c r="AI177" s="5">
        <f>0</f>
        <v/>
      </c>
      <c r="AJ177" s="5">
        <f>0</f>
        <v/>
      </c>
      <c r="AK177" s="5">
        <f>0</f>
        <v/>
      </c>
      <c r="AL177" s="5">
        <f>0</f>
        <v/>
      </c>
      <c r="AM177" s="5">
        <f>0</f>
        <v/>
      </c>
      <c r="AN177" s="5">
        <f>0</f>
        <v/>
      </c>
      <c r="AO177" s="5">
        <f>0</f>
        <v/>
      </c>
      <c r="AP177" s="5">
        <f>0</f>
        <v/>
      </c>
      <c r="AQ177" s="5">
        <f>0</f>
        <v/>
      </c>
      <c r="AR177" s="5">
        <f>0</f>
        <v/>
      </c>
      <c r="AS177" s="5">
        <f>0</f>
        <v/>
      </c>
      <c r="AT177" s="5">
        <f>0</f>
        <v/>
      </c>
      <c r="AU177" s="5">
        <f>0</f>
        <v/>
      </c>
      <c r="AV177" s="5">
        <f>0</f>
        <v/>
      </c>
      <c r="AW177" s="5">
        <f>0</f>
        <v/>
      </c>
      <c r="AX177" s="5">
        <f>0</f>
        <v/>
      </c>
      <c r="AY177" s="5">
        <f>0</f>
        <v/>
      </c>
      <c r="AZ177" s="5">
        <f>0</f>
        <v/>
      </c>
      <c r="BA177" s="5">
        <f>0</f>
        <v/>
      </c>
      <c r="BB177" s="5">
        <f>0</f>
        <v/>
      </c>
      <c r="BC177" s="5">
        <f>0</f>
        <v/>
      </c>
      <c r="BD177" s="5">
        <f>0</f>
        <v/>
      </c>
      <c r="BE177" s="5">
        <f>0</f>
        <v/>
      </c>
      <c r="BF177" s="5">
        <f>0</f>
        <v/>
      </c>
      <c r="BG177" s="5">
        <f>0</f>
        <v/>
      </c>
      <c r="BH177" s="5">
        <f>0</f>
        <v/>
      </c>
      <c r="BI177" s="5">
        <f>0</f>
        <v/>
      </c>
      <c r="BJ177" s="5">
        <f>0</f>
        <v/>
      </c>
      <c r="BK177" s="5">
        <f>0</f>
        <v/>
      </c>
      <c r="BL177" s="5">
        <f>0</f>
        <v/>
      </c>
      <c r="BM177" s="5">
        <f>0</f>
        <v/>
      </c>
      <c r="BN177" s="5">
        <f>0</f>
        <v/>
      </c>
      <c r="BO177" s="5">
        <f>0</f>
        <v/>
      </c>
      <c r="BP177" s="5">
        <f>0</f>
        <v/>
      </c>
      <c r="BQ177" s="5">
        <f>0</f>
        <v/>
      </c>
      <c r="BR177" s="5">
        <f>0</f>
        <v/>
      </c>
      <c r="BS177" s="5">
        <f>0</f>
        <v/>
      </c>
      <c r="BT177" s="5">
        <f>0</f>
        <v/>
      </c>
      <c r="BU177" s="5">
        <f>0</f>
        <v/>
      </c>
      <c r="BV177" s="5">
        <f>0</f>
        <v/>
      </c>
    </row>
    <row r="178">
      <c r="A178" t="inlineStr">
        <is>
          <t>reactivated in @0</t>
        </is>
      </c>
      <c r="B178" t="inlineStr">
        <is>
          <t>APAC|NITRO_A</t>
        </is>
      </c>
      <c r="C178" s="5">
        <f>C177*Eras!C$3</f>
        <v/>
      </c>
      <c r="D178" s="5">
        <f>D177*Eras!D$3</f>
        <v/>
      </c>
      <c r="E178" s="5">
        <f>E177*Eras!E$3</f>
        <v/>
      </c>
      <c r="F178" s="5">
        <f>F177*Eras!F$3</f>
        <v/>
      </c>
      <c r="G178" s="5">
        <f>G177*Eras!G$3</f>
        <v/>
      </c>
      <c r="H178" s="5">
        <f>H177*Eras!H$3</f>
        <v/>
      </c>
      <c r="I178" s="5">
        <f>I177*Eras!I$3</f>
        <v/>
      </c>
      <c r="J178" s="5">
        <f>J177*Eras!J$3</f>
        <v/>
      </c>
      <c r="K178" s="5">
        <f>K177*Eras!K$3</f>
        <v/>
      </c>
      <c r="L178" s="5">
        <f>L177*Eras!L$3</f>
        <v/>
      </c>
      <c r="M178" s="5">
        <f>M177*Eras!M$3</f>
        <v/>
      </c>
      <c r="N178" s="5">
        <f>N177*Eras!N$3</f>
        <v/>
      </c>
      <c r="O178" s="5">
        <f>O177*Eras!O$3</f>
        <v/>
      </c>
      <c r="P178" s="5">
        <f>P177*Eras!P$3</f>
        <v/>
      </c>
      <c r="Q178" s="5">
        <f>Q177*Eras!Q$3</f>
        <v/>
      </c>
      <c r="R178" s="5">
        <f>R177*Eras!R$3</f>
        <v/>
      </c>
      <c r="S178" s="5">
        <f>S177*Eras!S$3</f>
        <v/>
      </c>
      <c r="T178" s="5">
        <f>T177*Eras!T$3</f>
        <v/>
      </c>
      <c r="U178" s="5">
        <f>U177*Eras!U$3</f>
        <v/>
      </c>
      <c r="V178" s="5">
        <f>V177*Eras!V$3</f>
        <v/>
      </c>
      <c r="W178" s="5">
        <f>W177*Eras!W$3</f>
        <v/>
      </c>
      <c r="X178" s="5">
        <f>X177*Eras!X$3</f>
        <v/>
      </c>
      <c r="Y178" s="5">
        <f>Y177*Eras!Y$3</f>
        <v/>
      </c>
      <c r="Z178" s="5">
        <f>Z177*Eras!Z$3</f>
        <v/>
      </c>
      <c r="AA178" s="5">
        <f>AA177*Eras!AA$3</f>
        <v/>
      </c>
      <c r="AB178" s="5">
        <f>AB177*Eras!AB$3</f>
        <v/>
      </c>
      <c r="AC178" s="5">
        <f>AC177*Eras!AC$3</f>
        <v/>
      </c>
      <c r="AD178" s="5">
        <f>AD177*Eras!AD$3</f>
        <v/>
      </c>
      <c r="AE178" s="5">
        <f>AE177*Eras!AE$3</f>
        <v/>
      </c>
      <c r="AF178" s="5">
        <f>AF177*Eras!AF$3</f>
        <v/>
      </c>
      <c r="AG178" s="5">
        <f>AG177*Eras!AG$3</f>
        <v/>
      </c>
      <c r="AH178" s="5">
        <f>AH177*Eras!AH$3</f>
        <v/>
      </c>
      <c r="AI178" s="5">
        <f>AI177*Eras!AI$3</f>
        <v/>
      </c>
      <c r="AJ178" s="5">
        <f>AJ177*Eras!AJ$3</f>
        <v/>
      </c>
      <c r="AK178" s="5">
        <f>AK177*Eras!AK$3</f>
        <v/>
      </c>
      <c r="AL178" s="5">
        <f>AL177*Eras!AL$3</f>
        <v/>
      </c>
      <c r="AM178" s="5">
        <f>AM177*Eras!AM$3</f>
        <v/>
      </c>
      <c r="AN178" s="5">
        <f>AN177*Eras!AN$3</f>
        <v/>
      </c>
      <c r="AO178" s="5">
        <f>AO177*Eras!AO$3</f>
        <v/>
      </c>
      <c r="AP178" s="5">
        <f>AP177*Eras!AP$3</f>
        <v/>
      </c>
      <c r="AQ178" s="5">
        <f>AQ177*Eras!AQ$3</f>
        <v/>
      </c>
      <c r="AR178" s="5">
        <f>AR177*Eras!AR$3</f>
        <v/>
      </c>
      <c r="AS178" s="5">
        <f>AS177*Eras!AS$3</f>
        <v/>
      </c>
      <c r="AT178" s="5">
        <f>AT177*Eras!AT$3</f>
        <v/>
      </c>
      <c r="AU178" s="5">
        <f>AU177*Eras!AU$3</f>
        <v/>
      </c>
      <c r="AV178" s="5">
        <f>AV177*Eras!AV$3</f>
        <v/>
      </c>
      <c r="AW178" s="5">
        <f>AW177*Eras!AW$3</f>
        <v/>
      </c>
      <c r="AX178" s="5">
        <f>AX177*Eras!AX$3</f>
        <v/>
      </c>
      <c r="AY178" s="5">
        <f>AY177*Eras!AY$3</f>
        <v/>
      </c>
      <c r="AZ178" s="5">
        <f>AZ177*Eras!AZ$3</f>
        <v/>
      </c>
      <c r="BA178" s="5">
        <f>BA177*Eras!BA$3</f>
        <v/>
      </c>
      <c r="BB178" s="5">
        <f>BB177*Eras!BB$3</f>
        <v/>
      </c>
      <c r="BC178" s="5">
        <f>BC177*Eras!BC$3</f>
        <v/>
      </c>
      <c r="BD178" s="5">
        <f>BD177*Eras!BD$3</f>
        <v/>
      </c>
      <c r="BE178" s="5">
        <f>BE177*Eras!BE$3</f>
        <v/>
      </c>
      <c r="BF178" s="5">
        <f>BF177*Eras!BF$3</f>
        <v/>
      </c>
      <c r="BG178" s="5">
        <f>BG177*Eras!BG$3</f>
        <v/>
      </c>
      <c r="BH178" s="5">
        <f>BH177*Eras!BH$3</f>
        <v/>
      </c>
      <c r="BI178" s="5">
        <f>BI177*Eras!BI$3</f>
        <v/>
      </c>
      <c r="BJ178" s="5">
        <f>BJ177*Eras!BJ$3</f>
        <v/>
      </c>
      <c r="BK178" s="5">
        <f>BK177*Eras!BK$3</f>
        <v/>
      </c>
      <c r="BL178" s="5">
        <f>BL177*Eras!BL$3</f>
        <v/>
      </c>
      <c r="BM178" s="5">
        <f>BM177*Eras!BM$3</f>
        <v/>
      </c>
      <c r="BN178" s="5">
        <f>BN177*Eras!BN$3</f>
        <v/>
      </c>
      <c r="BO178" s="5">
        <f>BO177*Eras!BO$3</f>
        <v/>
      </c>
      <c r="BP178" s="5">
        <f>BP177*Eras!BP$3</f>
        <v/>
      </c>
      <c r="BQ178" s="5">
        <f>BQ177*Eras!BQ$3</f>
        <v/>
      </c>
      <c r="BR178" s="5">
        <f>BR177*Eras!BR$3</f>
        <v/>
      </c>
      <c r="BS178" s="5">
        <f>BS177*Eras!BS$3</f>
        <v/>
      </c>
      <c r="BT178" s="5">
        <f>BT177*Eras!BT$3</f>
        <v/>
      </c>
      <c r="BU178" s="5">
        <f>BU177*Eras!BU$3</f>
        <v/>
      </c>
      <c r="BV178" s="5">
        <f>BV177*Eras!BV$3</f>
        <v/>
      </c>
    </row>
    <row r="179">
      <c r="A179" t="inlineStr">
        <is>
          <t>reactivated in @1</t>
        </is>
      </c>
      <c r="B179" t="inlineStr">
        <is>
          <t>APAC|NITRO_A</t>
        </is>
      </c>
      <c r="C179" s="5">
        <f>C177*Eras!C$4</f>
        <v/>
      </c>
      <c r="D179" s="5">
        <f>D177*Eras!D$4</f>
        <v/>
      </c>
      <c r="E179" s="5">
        <f>E177*Eras!E$4</f>
        <v/>
      </c>
      <c r="F179" s="5">
        <f>F177*Eras!F$4</f>
        <v/>
      </c>
      <c r="G179" s="5">
        <f>G177*Eras!G$4</f>
        <v/>
      </c>
      <c r="H179" s="5">
        <f>H177*Eras!H$4</f>
        <v/>
      </c>
      <c r="I179" s="5">
        <f>I177*Eras!I$4</f>
        <v/>
      </c>
      <c r="J179" s="5">
        <f>J177*Eras!J$4</f>
        <v/>
      </c>
      <c r="K179" s="5">
        <f>K177*Eras!K$4</f>
        <v/>
      </c>
      <c r="L179" s="5">
        <f>L177*Eras!L$4</f>
        <v/>
      </c>
      <c r="M179" s="5">
        <f>M177*Eras!M$4</f>
        <v/>
      </c>
      <c r="N179" s="5">
        <f>N177*Eras!N$4</f>
        <v/>
      </c>
      <c r="O179" s="5">
        <f>O177*Eras!O$4</f>
        <v/>
      </c>
      <c r="P179" s="5">
        <f>P177*Eras!P$4</f>
        <v/>
      </c>
      <c r="Q179" s="5">
        <f>Q177*Eras!Q$4</f>
        <v/>
      </c>
      <c r="R179" s="5">
        <f>R177*Eras!R$4</f>
        <v/>
      </c>
      <c r="S179" s="5">
        <f>S177*Eras!S$4</f>
        <v/>
      </c>
      <c r="T179" s="5">
        <f>T177*Eras!T$4</f>
        <v/>
      </c>
      <c r="U179" s="5">
        <f>U177*Eras!U$4</f>
        <v/>
      </c>
      <c r="V179" s="5">
        <f>V177*Eras!V$4</f>
        <v/>
      </c>
      <c r="W179" s="5">
        <f>W177*Eras!W$4</f>
        <v/>
      </c>
      <c r="X179" s="5">
        <f>X177*Eras!X$4</f>
        <v/>
      </c>
      <c r="Y179" s="5">
        <f>Y177*Eras!Y$4</f>
        <v/>
      </c>
      <c r="Z179" s="5">
        <f>Z177*Eras!Z$4</f>
        <v/>
      </c>
      <c r="AA179" s="5">
        <f>AA177*Eras!AA$4</f>
        <v/>
      </c>
      <c r="AB179" s="5">
        <f>AB177*Eras!AB$4</f>
        <v/>
      </c>
      <c r="AC179" s="5">
        <f>AC177*Eras!AC$4</f>
        <v/>
      </c>
      <c r="AD179" s="5">
        <f>AD177*Eras!AD$4</f>
        <v/>
      </c>
      <c r="AE179" s="5">
        <f>AE177*Eras!AE$4</f>
        <v/>
      </c>
      <c r="AF179" s="5">
        <f>AF177*Eras!AF$4</f>
        <v/>
      </c>
      <c r="AG179" s="5">
        <f>AG177*Eras!AG$4</f>
        <v/>
      </c>
      <c r="AH179" s="5">
        <f>AH177*Eras!AH$4</f>
        <v/>
      </c>
      <c r="AI179" s="5">
        <f>AI177*Eras!AI$4</f>
        <v/>
      </c>
      <c r="AJ179" s="5">
        <f>AJ177*Eras!AJ$4</f>
        <v/>
      </c>
      <c r="AK179" s="5">
        <f>AK177*Eras!AK$4</f>
        <v/>
      </c>
      <c r="AL179" s="5">
        <f>AL177*Eras!AL$4</f>
        <v/>
      </c>
      <c r="AM179" s="5">
        <f>AM177*Eras!AM$4</f>
        <v/>
      </c>
      <c r="AN179" s="5">
        <f>AN177*Eras!AN$4</f>
        <v/>
      </c>
      <c r="AO179" s="5">
        <f>AO177*Eras!AO$4</f>
        <v/>
      </c>
      <c r="AP179" s="5">
        <f>AP177*Eras!AP$4</f>
        <v/>
      </c>
      <c r="AQ179" s="5">
        <f>AQ177*Eras!AQ$4</f>
        <v/>
      </c>
      <c r="AR179" s="5">
        <f>AR177*Eras!AR$4</f>
        <v/>
      </c>
      <c r="AS179" s="5">
        <f>AS177*Eras!AS$4</f>
        <v/>
      </c>
      <c r="AT179" s="5">
        <f>AT177*Eras!AT$4</f>
        <v/>
      </c>
      <c r="AU179" s="5">
        <f>AU177*Eras!AU$4</f>
        <v/>
      </c>
      <c r="AV179" s="5">
        <f>AV177*Eras!AV$4</f>
        <v/>
      </c>
      <c r="AW179" s="5">
        <f>AW177*Eras!AW$4</f>
        <v/>
      </c>
      <c r="AX179" s="5">
        <f>AX177*Eras!AX$4</f>
        <v/>
      </c>
      <c r="AY179" s="5">
        <f>AY177*Eras!AY$4</f>
        <v/>
      </c>
      <c r="AZ179" s="5">
        <f>AZ177*Eras!AZ$4</f>
        <v/>
      </c>
      <c r="BA179" s="5">
        <f>BA177*Eras!BA$4</f>
        <v/>
      </c>
      <c r="BB179" s="5">
        <f>BB177*Eras!BB$4</f>
        <v/>
      </c>
      <c r="BC179" s="5">
        <f>BC177*Eras!BC$4</f>
        <v/>
      </c>
      <c r="BD179" s="5">
        <f>BD177*Eras!BD$4</f>
        <v/>
      </c>
      <c r="BE179" s="5">
        <f>BE177*Eras!BE$4</f>
        <v/>
      </c>
      <c r="BF179" s="5">
        <f>BF177*Eras!BF$4</f>
        <v/>
      </c>
      <c r="BG179" s="5">
        <f>BG177*Eras!BG$4</f>
        <v/>
      </c>
      <c r="BH179" s="5">
        <f>BH177*Eras!BH$4</f>
        <v/>
      </c>
      <c r="BI179" s="5">
        <f>BI177*Eras!BI$4</f>
        <v/>
      </c>
      <c r="BJ179" s="5">
        <f>BJ177*Eras!BJ$4</f>
        <v/>
      </c>
      <c r="BK179" s="5">
        <f>BK177*Eras!BK$4</f>
        <v/>
      </c>
      <c r="BL179" s="5">
        <f>BL177*Eras!BL$4</f>
        <v/>
      </c>
      <c r="BM179" s="5">
        <f>BM177*Eras!BM$4</f>
        <v/>
      </c>
      <c r="BN179" s="5">
        <f>BN177*Eras!BN$4</f>
        <v/>
      </c>
      <c r="BO179" s="5">
        <f>BO177*Eras!BO$4</f>
        <v/>
      </c>
      <c r="BP179" s="5">
        <f>BP177*Eras!BP$4</f>
        <v/>
      </c>
      <c r="BQ179" s="5">
        <f>BQ177*Eras!BQ$4</f>
        <v/>
      </c>
      <c r="BR179" s="5">
        <f>BR177*Eras!BR$4</f>
        <v/>
      </c>
      <c r="BS179" s="5">
        <f>BS177*Eras!BS$4</f>
        <v/>
      </c>
      <c r="BT179" s="5">
        <f>BT177*Eras!BT$4</f>
        <v/>
      </c>
      <c r="BU179" s="5">
        <f>BU177*Eras!BU$4</f>
        <v/>
      </c>
      <c r="BV179" s="5">
        <f>BV177*Eras!BV$4</f>
        <v/>
      </c>
    </row>
    <row r="180">
      <c r="A180" t="inlineStr">
        <is>
          <t>reactivated in @2</t>
        </is>
      </c>
      <c r="B180" t="inlineStr">
        <is>
          <t>APAC|NITRO_A</t>
        </is>
      </c>
      <c r="C180" s="5">
        <f>C177*Eras!C$5</f>
        <v/>
      </c>
      <c r="D180" s="5">
        <f>D177*Eras!D$5</f>
        <v/>
      </c>
      <c r="E180" s="5">
        <f>E177*Eras!E$5</f>
        <v/>
      </c>
      <c r="F180" s="5">
        <f>F177*Eras!F$5</f>
        <v/>
      </c>
      <c r="G180" s="5">
        <f>G177*Eras!G$5</f>
        <v/>
      </c>
      <c r="H180" s="5">
        <f>H177*Eras!H$5</f>
        <v/>
      </c>
      <c r="I180" s="5">
        <f>I177*Eras!I$5</f>
        <v/>
      </c>
      <c r="J180" s="5">
        <f>J177*Eras!J$5</f>
        <v/>
      </c>
      <c r="K180" s="5">
        <f>K177*Eras!K$5</f>
        <v/>
      </c>
      <c r="L180" s="5">
        <f>L177*Eras!L$5</f>
        <v/>
      </c>
      <c r="M180" s="5">
        <f>M177*Eras!M$5</f>
        <v/>
      </c>
      <c r="N180" s="5">
        <f>N177*Eras!N$5</f>
        <v/>
      </c>
      <c r="O180" s="5">
        <f>O177*Eras!O$5</f>
        <v/>
      </c>
      <c r="P180" s="5">
        <f>P177*Eras!P$5</f>
        <v/>
      </c>
      <c r="Q180" s="5">
        <f>Q177*Eras!Q$5</f>
        <v/>
      </c>
      <c r="R180" s="5">
        <f>R177*Eras!R$5</f>
        <v/>
      </c>
      <c r="S180" s="5">
        <f>S177*Eras!S$5</f>
        <v/>
      </c>
      <c r="T180" s="5">
        <f>T177*Eras!T$5</f>
        <v/>
      </c>
      <c r="U180" s="5">
        <f>U177*Eras!U$5</f>
        <v/>
      </c>
      <c r="V180" s="5">
        <f>V177*Eras!V$5</f>
        <v/>
      </c>
      <c r="W180" s="5">
        <f>W177*Eras!W$5</f>
        <v/>
      </c>
      <c r="X180" s="5">
        <f>X177*Eras!X$5</f>
        <v/>
      </c>
      <c r="Y180" s="5">
        <f>Y177*Eras!Y$5</f>
        <v/>
      </c>
      <c r="Z180" s="5">
        <f>Z177*Eras!Z$5</f>
        <v/>
      </c>
      <c r="AA180" s="5">
        <f>AA177*Eras!AA$5</f>
        <v/>
      </c>
      <c r="AB180" s="5">
        <f>AB177*Eras!AB$5</f>
        <v/>
      </c>
      <c r="AC180" s="5">
        <f>AC177*Eras!AC$5</f>
        <v/>
      </c>
      <c r="AD180" s="5">
        <f>AD177*Eras!AD$5</f>
        <v/>
      </c>
      <c r="AE180" s="5">
        <f>AE177*Eras!AE$5</f>
        <v/>
      </c>
      <c r="AF180" s="5">
        <f>AF177*Eras!AF$5</f>
        <v/>
      </c>
      <c r="AG180" s="5">
        <f>AG177*Eras!AG$5</f>
        <v/>
      </c>
      <c r="AH180" s="5">
        <f>AH177*Eras!AH$5</f>
        <v/>
      </c>
      <c r="AI180" s="5">
        <f>AI177*Eras!AI$5</f>
        <v/>
      </c>
      <c r="AJ180" s="5">
        <f>AJ177*Eras!AJ$5</f>
        <v/>
      </c>
      <c r="AK180" s="5">
        <f>AK177*Eras!AK$5</f>
        <v/>
      </c>
      <c r="AL180" s="5">
        <f>AL177*Eras!AL$5</f>
        <v/>
      </c>
      <c r="AM180" s="5">
        <f>AM177*Eras!AM$5</f>
        <v/>
      </c>
      <c r="AN180" s="5">
        <f>AN177*Eras!AN$5</f>
        <v/>
      </c>
      <c r="AO180" s="5">
        <f>AO177*Eras!AO$5</f>
        <v/>
      </c>
      <c r="AP180" s="5">
        <f>AP177*Eras!AP$5</f>
        <v/>
      </c>
      <c r="AQ180" s="5">
        <f>AQ177*Eras!AQ$5</f>
        <v/>
      </c>
      <c r="AR180" s="5">
        <f>AR177*Eras!AR$5</f>
        <v/>
      </c>
      <c r="AS180" s="5">
        <f>AS177*Eras!AS$5</f>
        <v/>
      </c>
      <c r="AT180" s="5">
        <f>AT177*Eras!AT$5</f>
        <v/>
      </c>
      <c r="AU180" s="5">
        <f>AU177*Eras!AU$5</f>
        <v/>
      </c>
      <c r="AV180" s="5">
        <f>AV177*Eras!AV$5</f>
        <v/>
      </c>
      <c r="AW180" s="5">
        <f>AW177*Eras!AW$5</f>
        <v/>
      </c>
      <c r="AX180" s="5">
        <f>AX177*Eras!AX$5</f>
        <v/>
      </c>
      <c r="AY180" s="5">
        <f>AY177*Eras!AY$5</f>
        <v/>
      </c>
      <c r="AZ180" s="5">
        <f>AZ177*Eras!AZ$5</f>
        <v/>
      </c>
      <c r="BA180" s="5">
        <f>BA177*Eras!BA$5</f>
        <v/>
      </c>
      <c r="BB180" s="5">
        <f>BB177*Eras!BB$5</f>
        <v/>
      </c>
      <c r="BC180" s="5">
        <f>BC177*Eras!BC$5</f>
        <v/>
      </c>
      <c r="BD180" s="5">
        <f>BD177*Eras!BD$5</f>
        <v/>
      </c>
      <c r="BE180" s="5">
        <f>BE177*Eras!BE$5</f>
        <v/>
      </c>
      <c r="BF180" s="5">
        <f>BF177*Eras!BF$5</f>
        <v/>
      </c>
      <c r="BG180" s="5">
        <f>BG177*Eras!BG$5</f>
        <v/>
      </c>
      <c r="BH180" s="5">
        <f>BH177*Eras!BH$5</f>
        <v/>
      </c>
      <c r="BI180" s="5">
        <f>BI177*Eras!BI$5</f>
        <v/>
      </c>
      <c r="BJ180" s="5">
        <f>BJ177*Eras!BJ$5</f>
        <v/>
      </c>
      <c r="BK180" s="5">
        <f>BK177*Eras!BK$5</f>
        <v/>
      </c>
      <c r="BL180" s="5">
        <f>BL177*Eras!BL$5</f>
        <v/>
      </c>
      <c r="BM180" s="5">
        <f>BM177*Eras!BM$5</f>
        <v/>
      </c>
      <c r="BN180" s="5">
        <f>BN177*Eras!BN$5</f>
        <v/>
      </c>
      <c r="BO180" s="5">
        <f>BO177*Eras!BO$5</f>
        <v/>
      </c>
      <c r="BP180" s="5">
        <f>BP177*Eras!BP$5</f>
        <v/>
      </c>
      <c r="BQ180" s="5">
        <f>BQ177*Eras!BQ$5</f>
        <v/>
      </c>
      <c r="BR180" s="5">
        <f>BR177*Eras!BR$5</f>
        <v/>
      </c>
      <c r="BS180" s="5">
        <f>BS177*Eras!BS$5</f>
        <v/>
      </c>
      <c r="BT180" s="5">
        <f>BT177*Eras!BT$5</f>
        <v/>
      </c>
      <c r="BU180" s="5">
        <f>BU177*Eras!BU$5</f>
        <v/>
      </c>
      <c r="BV180" s="5">
        <f>BV177*Eras!BV$5</f>
        <v/>
      </c>
    </row>
    <row r="181">
      <c r="A181" t="inlineStr">
        <is>
          <t>active</t>
        </is>
      </c>
      <c r="B181" t="inlineStr">
        <is>
          <t>APAC|NITRO_A</t>
        </is>
      </c>
      <c r="C181" s="5">
        <f>React!$C$178*Curves!$BV$19+React!$C$179*Curves!$BV$42+React!$C$180*Curves!$BV$65</f>
        <v/>
      </c>
      <c r="D181" s="5">
        <f>SUMPRODUCT(React!$C$178:$D$178,Curves!$BU$19:$BV$19)+SUMPRODUCT(React!$C$179:$D$179,Curves!$BU$42:$BV$42)+SUMPRODUCT(React!$C$180:$D$180,Curves!$BU$65:$BV$65)</f>
        <v/>
      </c>
      <c r="E181" s="5">
        <f>SUMPRODUCT(React!$C$178:$E$178,Curves!$BT$19:$BV$19)+SUMPRODUCT(React!$C$179:$E$179,Curves!$BT$42:$BV$42)+SUMPRODUCT(React!$C$180:$E$180,Curves!$BT$65:$BV$65)</f>
        <v/>
      </c>
      <c r="F181" s="5">
        <f>SUMPRODUCT(React!$C$178:$F$178,Curves!$BS$19:$BV$19)+SUMPRODUCT(React!$C$179:$F$179,Curves!$BS$42:$BV$42)+SUMPRODUCT(React!$C$180:$F$180,Curves!$BS$65:$BV$65)</f>
        <v/>
      </c>
      <c r="G181" s="5">
        <f>SUMPRODUCT(React!$C$178:$G$178,Curves!$BR$19:$BV$19)+SUMPRODUCT(React!$C$179:$G$179,Curves!$BR$42:$BV$42)+SUMPRODUCT(React!$C$180:$G$180,Curves!$BR$65:$BV$65)</f>
        <v/>
      </c>
      <c r="H181" s="5">
        <f>SUMPRODUCT(React!$C$178:$H$178,Curves!$BQ$19:$BV$19)+SUMPRODUCT(React!$C$179:$H$179,Curves!$BQ$42:$BV$42)+SUMPRODUCT(React!$C$180:$H$180,Curves!$BQ$65:$BV$65)</f>
        <v/>
      </c>
      <c r="I181" s="5">
        <f>SUMPRODUCT(React!$C$178:$I$178,Curves!$BP$19:$BV$19)+SUMPRODUCT(React!$C$179:$I$179,Curves!$BP$42:$BV$42)+SUMPRODUCT(React!$C$180:$I$180,Curves!$BP$65:$BV$65)</f>
        <v/>
      </c>
      <c r="J181" s="5">
        <f>SUMPRODUCT(React!$C$178:$J$178,Curves!$BO$19:$BV$19)+SUMPRODUCT(React!$C$179:$J$179,Curves!$BO$42:$BV$42)+SUMPRODUCT(React!$C$180:$J$180,Curves!$BO$65:$BV$65)</f>
        <v/>
      </c>
      <c r="K181" s="5">
        <f>SUMPRODUCT(React!$C$178:$K$178,Curves!$BN$19:$BV$19)+SUMPRODUCT(React!$C$179:$K$179,Curves!$BN$42:$BV$42)+SUMPRODUCT(React!$C$180:$K$180,Curves!$BN$65:$BV$65)</f>
        <v/>
      </c>
      <c r="L181" s="5">
        <f>SUMPRODUCT(React!$C$178:$L$178,Curves!$BM$19:$BV$19)+SUMPRODUCT(React!$C$179:$L$179,Curves!$BM$42:$BV$42)+SUMPRODUCT(React!$C$180:$L$180,Curves!$BM$65:$BV$65)</f>
        <v/>
      </c>
      <c r="M181" s="5">
        <f>SUMPRODUCT(React!$C$178:$M$178,Curves!$BL$19:$BV$19)+SUMPRODUCT(React!$C$179:$M$179,Curves!$BL$42:$BV$42)+SUMPRODUCT(React!$C$180:$M$180,Curves!$BL$65:$BV$65)</f>
        <v/>
      </c>
      <c r="N181" s="5">
        <f>SUMPRODUCT(React!$C$178:$N$178,Curves!$BK$19:$BV$19)+SUMPRODUCT(React!$C$179:$N$179,Curves!$BK$42:$BV$42)+SUMPRODUCT(React!$C$180:$N$180,Curves!$BK$65:$BV$65)</f>
        <v/>
      </c>
      <c r="O181" s="5">
        <f>SUMPRODUCT(React!$C$178:$O$178,Curves!$BJ$19:$BV$19)+SUMPRODUCT(React!$C$179:$O$179,Curves!$BJ$42:$BV$42)+SUMPRODUCT(React!$C$180:$O$180,Curves!$BJ$65:$BV$65)</f>
        <v/>
      </c>
      <c r="P181" s="5">
        <f>SUMPRODUCT(React!$C$178:$P$178,Curves!$BI$19:$BV$19)+SUMPRODUCT(React!$C$179:$P$179,Curves!$BI$42:$BV$42)+SUMPRODUCT(React!$C$180:$P$180,Curves!$BI$65:$BV$65)</f>
        <v/>
      </c>
      <c r="Q181" s="5">
        <f>SUMPRODUCT(React!$C$178:$Q$178,Curves!$BH$19:$BV$19)+SUMPRODUCT(React!$C$179:$Q$179,Curves!$BH$42:$BV$42)+SUMPRODUCT(React!$C$180:$Q$180,Curves!$BH$65:$BV$65)</f>
        <v/>
      </c>
      <c r="R181" s="5">
        <f>SUMPRODUCT(React!$C$178:$R$178,Curves!$BG$19:$BV$19)+SUMPRODUCT(React!$C$179:$R$179,Curves!$BG$42:$BV$42)+SUMPRODUCT(React!$C$180:$R$180,Curves!$BG$65:$BV$65)</f>
        <v/>
      </c>
      <c r="S181" s="5">
        <f>SUMPRODUCT(React!$C$178:$S$178,Curves!$BF$19:$BV$19)+SUMPRODUCT(React!$C$179:$S$179,Curves!$BF$42:$BV$42)+SUMPRODUCT(React!$C$180:$S$180,Curves!$BF$65:$BV$65)</f>
        <v/>
      </c>
      <c r="T181" s="5">
        <f>SUMPRODUCT(React!$C$178:$T$178,Curves!$BE$19:$BV$19)+SUMPRODUCT(React!$C$179:$T$179,Curves!$BE$42:$BV$42)+SUMPRODUCT(React!$C$180:$T$180,Curves!$BE$65:$BV$65)</f>
        <v/>
      </c>
      <c r="U181" s="5">
        <f>SUMPRODUCT(React!$C$178:$U$178,Curves!$BD$19:$BV$19)+SUMPRODUCT(React!$C$179:$U$179,Curves!$BD$42:$BV$42)+SUMPRODUCT(React!$C$180:$U$180,Curves!$BD$65:$BV$65)</f>
        <v/>
      </c>
      <c r="V181" s="5">
        <f>SUMPRODUCT(React!$C$178:$V$178,Curves!$BC$19:$BV$19)+SUMPRODUCT(React!$C$179:$V$179,Curves!$BC$42:$BV$42)+SUMPRODUCT(React!$C$180:$V$180,Curves!$BC$65:$BV$65)</f>
        <v/>
      </c>
      <c r="W181" s="5">
        <f>SUMPRODUCT(React!$C$178:$W$178,Curves!$BB$19:$BV$19)+SUMPRODUCT(React!$C$179:$W$179,Curves!$BB$42:$BV$42)+SUMPRODUCT(React!$C$180:$W$180,Curves!$BB$65:$BV$65)</f>
        <v/>
      </c>
      <c r="X181" s="5">
        <f>SUMPRODUCT(React!$C$178:$X$178,Curves!$BA$19:$BV$19)+SUMPRODUCT(React!$C$179:$X$179,Curves!$BA$42:$BV$42)+SUMPRODUCT(React!$C$180:$X$180,Curves!$BA$65:$BV$65)</f>
        <v/>
      </c>
      <c r="Y181" s="5">
        <f>SUMPRODUCT(React!$C$178:$Y$178,Curves!$AZ$19:$BV$19)+SUMPRODUCT(React!$C$179:$Y$179,Curves!$AZ$42:$BV$42)+SUMPRODUCT(React!$C$180:$Y$180,Curves!$AZ$65:$BV$65)</f>
        <v/>
      </c>
      <c r="Z181" s="5">
        <f>SUMPRODUCT(React!$C$178:$Z$178,Curves!$AY$19:$BV$19)+SUMPRODUCT(React!$C$179:$Z$179,Curves!$AY$42:$BV$42)+SUMPRODUCT(React!$C$180:$Z$180,Curves!$AY$65:$BV$65)</f>
        <v/>
      </c>
      <c r="AA181" s="5">
        <f>SUMPRODUCT(React!$C$178:$AA$178,Curves!$AX$19:$BV$19)+SUMPRODUCT(React!$C$179:$AA$179,Curves!$AX$42:$BV$42)+SUMPRODUCT(React!$C$180:$AA$180,Curves!$AX$65:$BV$65)</f>
        <v/>
      </c>
      <c r="AB181" s="5">
        <f>SUMPRODUCT(React!$C$178:$AB$178,Curves!$AW$19:$BV$19)+SUMPRODUCT(React!$C$179:$AB$179,Curves!$AW$42:$BV$42)+SUMPRODUCT(React!$C$180:$AB$180,Curves!$AW$65:$BV$65)</f>
        <v/>
      </c>
      <c r="AC181" s="5">
        <f>SUMPRODUCT(React!$C$178:$AC$178,Curves!$AV$19:$BV$19)+SUMPRODUCT(React!$C$179:$AC$179,Curves!$AV$42:$BV$42)+SUMPRODUCT(React!$C$180:$AC$180,Curves!$AV$65:$BV$65)</f>
        <v/>
      </c>
      <c r="AD181" s="5">
        <f>SUMPRODUCT(React!$C$178:$AD$178,Curves!$AU$19:$BV$19)+SUMPRODUCT(React!$C$179:$AD$179,Curves!$AU$42:$BV$42)+SUMPRODUCT(React!$C$180:$AD$180,Curves!$AU$65:$BV$65)</f>
        <v/>
      </c>
      <c r="AE181" s="5">
        <f>SUMPRODUCT(React!$C$178:$AE$178,Curves!$AT$19:$BV$19)+SUMPRODUCT(React!$C$179:$AE$179,Curves!$AT$42:$BV$42)+SUMPRODUCT(React!$C$180:$AE$180,Curves!$AT$65:$BV$65)</f>
        <v/>
      </c>
      <c r="AF181" s="5">
        <f>SUMPRODUCT(React!$C$178:$AF$178,Curves!$AS$19:$BV$19)+SUMPRODUCT(React!$C$179:$AF$179,Curves!$AS$42:$BV$42)+SUMPRODUCT(React!$C$180:$AF$180,Curves!$AS$65:$BV$65)</f>
        <v/>
      </c>
      <c r="AG181" s="5">
        <f>SUMPRODUCT(React!$C$178:$AG$178,Curves!$AR$19:$BV$19)+SUMPRODUCT(React!$C$179:$AG$179,Curves!$AR$42:$BV$42)+SUMPRODUCT(React!$C$180:$AG$180,Curves!$AR$65:$BV$65)</f>
        <v/>
      </c>
      <c r="AH181" s="5">
        <f>SUMPRODUCT(React!$C$178:$AH$178,Curves!$AQ$19:$BV$19)+SUMPRODUCT(React!$C$179:$AH$179,Curves!$AQ$42:$BV$42)+SUMPRODUCT(React!$C$180:$AH$180,Curves!$AQ$65:$BV$65)</f>
        <v/>
      </c>
      <c r="AI181" s="5">
        <f>SUMPRODUCT(React!$C$178:$AI$178,Curves!$AP$19:$BV$19)+SUMPRODUCT(React!$C$179:$AI$179,Curves!$AP$42:$BV$42)+SUMPRODUCT(React!$C$180:$AI$180,Curves!$AP$65:$BV$65)</f>
        <v/>
      </c>
      <c r="AJ181" s="5">
        <f>SUMPRODUCT(React!$C$178:$AJ$178,Curves!$AO$19:$BV$19)+SUMPRODUCT(React!$C$179:$AJ$179,Curves!$AO$42:$BV$42)+SUMPRODUCT(React!$C$180:$AJ$180,Curves!$AO$65:$BV$65)</f>
        <v/>
      </c>
      <c r="AK181" s="5">
        <f>SUMPRODUCT(React!$C$178:$AK$178,Curves!$AN$19:$BV$19)+SUMPRODUCT(React!$C$179:$AK$179,Curves!$AN$42:$BV$42)+SUMPRODUCT(React!$C$180:$AK$180,Curves!$AN$65:$BV$65)</f>
        <v/>
      </c>
      <c r="AL181" s="5">
        <f>SUMPRODUCT(React!$C$178:$AL$178,Curves!$AM$19:$BV$19)+SUMPRODUCT(React!$C$179:$AL$179,Curves!$AM$42:$BV$42)+SUMPRODUCT(React!$C$180:$AL$180,Curves!$AM$65:$BV$65)</f>
        <v/>
      </c>
      <c r="AM181" s="5">
        <f>SUMPRODUCT(React!$C$178:$AM$178,Curves!$AL$19:$BV$19)+SUMPRODUCT(React!$C$179:$AM$179,Curves!$AL$42:$BV$42)+SUMPRODUCT(React!$C$180:$AM$180,Curves!$AL$65:$BV$65)</f>
        <v/>
      </c>
      <c r="AN181" s="5">
        <f>SUMPRODUCT(React!$C$178:$AN$178,Curves!$AK$19:$BV$19)+SUMPRODUCT(React!$C$179:$AN$179,Curves!$AK$42:$BV$42)+SUMPRODUCT(React!$C$180:$AN$180,Curves!$AK$65:$BV$65)</f>
        <v/>
      </c>
      <c r="AO181" s="5">
        <f>SUMPRODUCT(React!$C$178:$AO$178,Curves!$AJ$19:$BV$19)+SUMPRODUCT(React!$C$179:$AO$179,Curves!$AJ$42:$BV$42)+SUMPRODUCT(React!$C$180:$AO$180,Curves!$AJ$65:$BV$65)</f>
        <v/>
      </c>
      <c r="AP181" s="5">
        <f>SUMPRODUCT(React!$C$178:$AP$178,Curves!$AI$19:$BV$19)+SUMPRODUCT(React!$C$179:$AP$179,Curves!$AI$42:$BV$42)+SUMPRODUCT(React!$C$180:$AP$180,Curves!$AI$65:$BV$65)</f>
        <v/>
      </c>
      <c r="AQ181" s="5">
        <f>SUMPRODUCT(React!$C$178:$AQ$178,Curves!$AH$19:$BV$19)+SUMPRODUCT(React!$C$179:$AQ$179,Curves!$AH$42:$BV$42)+SUMPRODUCT(React!$C$180:$AQ$180,Curves!$AH$65:$BV$65)</f>
        <v/>
      </c>
      <c r="AR181" s="5">
        <f>SUMPRODUCT(React!$C$178:$AR$178,Curves!$AG$19:$BV$19)+SUMPRODUCT(React!$C$179:$AR$179,Curves!$AG$42:$BV$42)+SUMPRODUCT(React!$C$180:$AR$180,Curves!$AG$65:$BV$65)</f>
        <v/>
      </c>
      <c r="AS181" s="5">
        <f>SUMPRODUCT(React!$C$178:$AS$178,Curves!$AF$19:$BV$19)+SUMPRODUCT(React!$C$179:$AS$179,Curves!$AF$42:$BV$42)+SUMPRODUCT(React!$C$180:$AS$180,Curves!$AF$65:$BV$65)</f>
        <v/>
      </c>
      <c r="AT181" s="5">
        <f>SUMPRODUCT(React!$C$178:$AT$178,Curves!$AE$19:$BV$19)+SUMPRODUCT(React!$C$179:$AT$179,Curves!$AE$42:$BV$42)+SUMPRODUCT(React!$C$180:$AT$180,Curves!$AE$65:$BV$65)</f>
        <v/>
      </c>
      <c r="AU181" s="5">
        <f>SUMPRODUCT(React!$C$178:$AU$178,Curves!$AD$19:$BV$19)+SUMPRODUCT(React!$C$179:$AU$179,Curves!$AD$42:$BV$42)+SUMPRODUCT(React!$C$180:$AU$180,Curves!$AD$65:$BV$65)</f>
        <v/>
      </c>
      <c r="AV181" s="5">
        <f>SUMPRODUCT(React!$C$178:$AV$178,Curves!$AC$19:$BV$19)+SUMPRODUCT(React!$C$179:$AV$179,Curves!$AC$42:$BV$42)+SUMPRODUCT(React!$C$180:$AV$180,Curves!$AC$65:$BV$65)</f>
        <v/>
      </c>
      <c r="AW181" s="5">
        <f>SUMPRODUCT(React!$C$178:$AW$178,Curves!$AB$19:$BV$19)+SUMPRODUCT(React!$C$179:$AW$179,Curves!$AB$42:$BV$42)+SUMPRODUCT(React!$C$180:$AW$180,Curves!$AB$65:$BV$65)</f>
        <v/>
      </c>
      <c r="AX181" s="5">
        <f>SUMPRODUCT(React!$C$178:$AX$178,Curves!$AA$19:$BV$19)+SUMPRODUCT(React!$C$179:$AX$179,Curves!$AA$42:$BV$42)+SUMPRODUCT(React!$C$180:$AX$180,Curves!$AA$65:$BV$65)</f>
        <v/>
      </c>
      <c r="AY181" s="5">
        <f>SUMPRODUCT(React!$C$178:$AY$178,Curves!$Z$19:$BV$19)+SUMPRODUCT(React!$C$179:$AY$179,Curves!$Z$42:$BV$42)+SUMPRODUCT(React!$C$180:$AY$180,Curves!$Z$65:$BV$65)</f>
        <v/>
      </c>
      <c r="AZ181" s="5">
        <f>SUMPRODUCT(React!$C$178:$AZ$178,Curves!$Y$19:$BV$19)+SUMPRODUCT(React!$C$179:$AZ$179,Curves!$Y$42:$BV$42)+SUMPRODUCT(React!$C$180:$AZ$180,Curves!$Y$65:$BV$65)</f>
        <v/>
      </c>
      <c r="BA181" s="5">
        <f>SUMPRODUCT(React!$C$178:$BA$178,Curves!$X$19:$BV$19)+SUMPRODUCT(React!$C$179:$BA$179,Curves!$X$42:$BV$42)+SUMPRODUCT(React!$C$180:$BA$180,Curves!$X$65:$BV$65)</f>
        <v/>
      </c>
      <c r="BB181" s="5">
        <f>SUMPRODUCT(React!$C$178:$BB$178,Curves!$W$19:$BV$19)+SUMPRODUCT(React!$C$179:$BB$179,Curves!$W$42:$BV$42)+SUMPRODUCT(React!$C$180:$BB$180,Curves!$W$65:$BV$65)</f>
        <v/>
      </c>
      <c r="BC181" s="5">
        <f>SUMPRODUCT(React!$C$178:$BC$178,Curves!$V$19:$BV$19)+SUMPRODUCT(React!$C$179:$BC$179,Curves!$V$42:$BV$42)+SUMPRODUCT(React!$C$180:$BC$180,Curves!$V$65:$BV$65)</f>
        <v/>
      </c>
      <c r="BD181" s="5">
        <f>SUMPRODUCT(React!$C$178:$BD$178,Curves!$U$19:$BV$19)+SUMPRODUCT(React!$C$179:$BD$179,Curves!$U$42:$BV$42)+SUMPRODUCT(React!$C$180:$BD$180,Curves!$U$65:$BV$65)</f>
        <v/>
      </c>
      <c r="BE181" s="5">
        <f>SUMPRODUCT(React!$C$178:$BE$178,Curves!$T$19:$BV$19)+SUMPRODUCT(React!$C$179:$BE$179,Curves!$T$42:$BV$42)+SUMPRODUCT(React!$C$180:$BE$180,Curves!$T$65:$BV$65)</f>
        <v/>
      </c>
      <c r="BF181" s="5">
        <f>SUMPRODUCT(React!$C$178:$BF$178,Curves!$S$19:$BV$19)+SUMPRODUCT(React!$C$179:$BF$179,Curves!$S$42:$BV$42)+SUMPRODUCT(React!$C$180:$BF$180,Curves!$S$65:$BV$65)</f>
        <v/>
      </c>
      <c r="BG181" s="5">
        <f>SUMPRODUCT(React!$C$178:$BG$178,Curves!$R$19:$BV$19)+SUMPRODUCT(React!$C$179:$BG$179,Curves!$R$42:$BV$42)+SUMPRODUCT(React!$C$180:$BG$180,Curves!$R$65:$BV$65)</f>
        <v/>
      </c>
      <c r="BH181" s="5">
        <f>SUMPRODUCT(React!$C$178:$BH$178,Curves!$Q$19:$BV$19)+SUMPRODUCT(React!$C$179:$BH$179,Curves!$Q$42:$BV$42)+SUMPRODUCT(React!$C$180:$BH$180,Curves!$Q$65:$BV$65)</f>
        <v/>
      </c>
      <c r="BI181" s="5">
        <f>SUMPRODUCT(React!$C$178:$BI$178,Curves!$P$19:$BV$19)+SUMPRODUCT(React!$C$179:$BI$179,Curves!$P$42:$BV$42)+SUMPRODUCT(React!$C$180:$BI$180,Curves!$P$65:$BV$65)</f>
        <v/>
      </c>
      <c r="BJ181" s="5">
        <f>SUMPRODUCT(React!$C$178:$BJ$178,Curves!$O$19:$BV$19)+SUMPRODUCT(React!$C$179:$BJ$179,Curves!$O$42:$BV$42)+SUMPRODUCT(React!$C$180:$BJ$180,Curves!$O$65:$BV$65)</f>
        <v/>
      </c>
      <c r="BK181" s="5">
        <f>SUMPRODUCT(React!$C$178:$BK$178,Curves!$N$19:$BV$19)+SUMPRODUCT(React!$C$179:$BK$179,Curves!$N$42:$BV$42)+SUMPRODUCT(React!$C$180:$BK$180,Curves!$N$65:$BV$65)</f>
        <v/>
      </c>
      <c r="BL181" s="5">
        <f>SUMPRODUCT(React!$C$178:$BL$178,Curves!$M$19:$BV$19)+SUMPRODUCT(React!$C$179:$BL$179,Curves!$M$42:$BV$42)+SUMPRODUCT(React!$C$180:$BL$180,Curves!$M$65:$BV$65)</f>
        <v/>
      </c>
      <c r="BM181" s="5">
        <f>SUMPRODUCT(React!$C$178:$BM$178,Curves!$L$19:$BV$19)+SUMPRODUCT(React!$C$179:$BM$179,Curves!$L$42:$BV$42)+SUMPRODUCT(React!$C$180:$BM$180,Curves!$L$65:$BV$65)</f>
        <v/>
      </c>
      <c r="BN181" s="5">
        <f>SUMPRODUCT(React!$C$178:$BN$178,Curves!$K$19:$BV$19)+SUMPRODUCT(React!$C$179:$BN$179,Curves!$K$42:$BV$42)+SUMPRODUCT(React!$C$180:$BN$180,Curves!$K$65:$BV$65)</f>
        <v/>
      </c>
      <c r="BO181" s="5">
        <f>SUMPRODUCT(React!$C$178:$BO$178,Curves!$J$19:$BV$19)+SUMPRODUCT(React!$C$179:$BO$179,Curves!$J$42:$BV$42)+SUMPRODUCT(React!$C$180:$BO$180,Curves!$J$65:$BV$65)</f>
        <v/>
      </c>
      <c r="BP181" s="5">
        <f>SUMPRODUCT(React!$C$178:$BP$178,Curves!$I$19:$BV$19)+SUMPRODUCT(React!$C$179:$BP$179,Curves!$I$42:$BV$42)+SUMPRODUCT(React!$C$180:$BP$180,Curves!$I$65:$BV$65)</f>
        <v/>
      </c>
      <c r="BQ181" s="5">
        <f>SUMPRODUCT(React!$C$178:$BQ$178,Curves!$H$19:$BV$19)+SUMPRODUCT(React!$C$179:$BQ$179,Curves!$H$42:$BV$42)+SUMPRODUCT(React!$C$180:$BQ$180,Curves!$H$65:$BV$65)</f>
        <v/>
      </c>
      <c r="BR181" s="5">
        <f>SUMPRODUCT(React!$C$178:$BR$178,Curves!$G$19:$BV$19)+SUMPRODUCT(React!$C$179:$BR$179,Curves!$G$42:$BV$42)+SUMPRODUCT(React!$C$180:$BR$180,Curves!$G$65:$BV$65)</f>
        <v/>
      </c>
      <c r="BS181" s="5">
        <f>SUMPRODUCT(React!$C$178:$BS$178,Curves!$F$19:$BV$19)+SUMPRODUCT(React!$C$179:$BS$179,Curves!$F$42:$BV$42)+SUMPRODUCT(React!$C$180:$BS$180,Curves!$F$65:$BV$65)</f>
        <v/>
      </c>
      <c r="BT181" s="5">
        <f>SUMPRODUCT(React!$C$178:$BT$178,Curves!$E$19:$BV$19)+SUMPRODUCT(React!$C$179:$BT$179,Curves!$E$42:$BV$42)+SUMPRODUCT(React!$C$180:$BT$180,Curves!$E$65:$BV$65)</f>
        <v/>
      </c>
      <c r="BU181" s="5">
        <f>SUMPRODUCT(React!$C$178:$BU$178,Curves!$D$19:$BV$19)+SUMPRODUCT(React!$C$179:$BU$179,Curves!$D$42:$BV$42)+SUMPRODUCT(React!$C$180:$BU$180,Curves!$D$65:$BV$65)</f>
        <v/>
      </c>
      <c r="BV181" s="5">
        <f>SUMPRODUCT(React!$C$178:$BV$178,Curves!$C$19:$BV$19)+SUMPRODUCT(React!$C$179:$BV$179,Curves!$C$42:$BV$42)+SUMPRODUCT(React!$C$180:$BV$180,Curves!$C$65:$BV$65)</f>
        <v/>
      </c>
    </row>
    <row r="182">
      <c r="A182" t="inlineStr">
        <is>
          <t>active yr 1</t>
        </is>
      </c>
      <c r="B182" t="inlineStr">
        <is>
          <t>APAC|NITRO_A</t>
        </is>
      </c>
      <c r="C182" s="5">
        <f>React!$C$178*Curves!$BV$24+React!$C$179*Curves!$BV$47+React!$C$180*Curves!$BV$70</f>
        <v/>
      </c>
      <c r="D182" s="5">
        <f>SUMPRODUCT(React!$C$178:$D$178,Curves!$BU$24:$BV$24)+SUMPRODUCT(React!$C$179:$D$179,Curves!$BU$47:$BV$47)+SUMPRODUCT(React!$C$180:$D$180,Curves!$BU$70:$BV$70)</f>
        <v/>
      </c>
      <c r="E182" s="5">
        <f>SUMPRODUCT(React!$C$178:$E$178,Curves!$BT$24:$BV$24)+SUMPRODUCT(React!$C$179:$E$179,Curves!$BT$47:$BV$47)+SUMPRODUCT(React!$C$180:$E$180,Curves!$BT$70:$BV$70)</f>
        <v/>
      </c>
      <c r="F182" s="5">
        <f>SUMPRODUCT(React!$C$178:$F$178,Curves!$BS$24:$BV$24)+SUMPRODUCT(React!$C$179:$F$179,Curves!$BS$47:$BV$47)+SUMPRODUCT(React!$C$180:$F$180,Curves!$BS$70:$BV$70)</f>
        <v/>
      </c>
      <c r="G182" s="5">
        <f>SUMPRODUCT(React!$C$178:$G$178,Curves!$BR$24:$BV$24)+SUMPRODUCT(React!$C$179:$G$179,Curves!$BR$47:$BV$47)+SUMPRODUCT(React!$C$180:$G$180,Curves!$BR$70:$BV$70)</f>
        <v/>
      </c>
      <c r="H182" s="5">
        <f>SUMPRODUCT(React!$C$178:$H$178,Curves!$BQ$24:$BV$24)+SUMPRODUCT(React!$C$179:$H$179,Curves!$BQ$47:$BV$47)+SUMPRODUCT(React!$C$180:$H$180,Curves!$BQ$70:$BV$70)</f>
        <v/>
      </c>
      <c r="I182" s="5">
        <f>SUMPRODUCT(React!$C$178:$I$178,Curves!$BP$24:$BV$24)+SUMPRODUCT(React!$C$179:$I$179,Curves!$BP$47:$BV$47)+SUMPRODUCT(React!$C$180:$I$180,Curves!$BP$70:$BV$70)</f>
        <v/>
      </c>
      <c r="J182" s="5">
        <f>SUMPRODUCT(React!$C$178:$J$178,Curves!$BO$24:$BV$24)+SUMPRODUCT(React!$C$179:$J$179,Curves!$BO$47:$BV$47)+SUMPRODUCT(React!$C$180:$J$180,Curves!$BO$70:$BV$70)</f>
        <v/>
      </c>
      <c r="K182" s="5">
        <f>SUMPRODUCT(React!$C$178:$K$178,Curves!$BN$24:$BV$24)+SUMPRODUCT(React!$C$179:$K$179,Curves!$BN$47:$BV$47)+SUMPRODUCT(React!$C$180:$K$180,Curves!$BN$70:$BV$70)</f>
        <v/>
      </c>
      <c r="L182" s="5">
        <f>SUMPRODUCT(React!$C$178:$L$178,Curves!$BM$24:$BV$24)+SUMPRODUCT(React!$C$179:$L$179,Curves!$BM$47:$BV$47)+SUMPRODUCT(React!$C$180:$L$180,Curves!$BM$70:$BV$70)</f>
        <v/>
      </c>
      <c r="M182" s="5">
        <f>SUMPRODUCT(React!$C$178:$M$178,Curves!$BL$24:$BV$24)+SUMPRODUCT(React!$C$179:$M$179,Curves!$BL$47:$BV$47)+SUMPRODUCT(React!$C$180:$M$180,Curves!$BL$70:$BV$70)</f>
        <v/>
      </c>
      <c r="N182" s="5">
        <f>SUMPRODUCT(React!$C$178:$N$178,Curves!$BK$24:$BV$24)+SUMPRODUCT(React!$C$179:$N$179,Curves!$BK$47:$BV$47)+SUMPRODUCT(React!$C$180:$N$180,Curves!$BK$70:$BV$70)</f>
        <v/>
      </c>
      <c r="O182" s="5">
        <f>SUMPRODUCT(React!$C$178:$O$178,Curves!$BJ$24:$BV$24)+SUMPRODUCT(React!$C$179:$O$179,Curves!$BJ$47:$BV$47)+SUMPRODUCT(React!$C$180:$O$180,Curves!$BJ$70:$BV$70)</f>
        <v/>
      </c>
      <c r="P182" s="5">
        <f>SUMPRODUCT(React!$C$178:$P$178,Curves!$BI$24:$BV$24)+SUMPRODUCT(React!$C$179:$P$179,Curves!$BI$47:$BV$47)+SUMPRODUCT(React!$C$180:$P$180,Curves!$BI$70:$BV$70)</f>
        <v/>
      </c>
      <c r="Q182" s="5">
        <f>SUMPRODUCT(React!$C$178:$Q$178,Curves!$BH$24:$BV$24)+SUMPRODUCT(React!$C$179:$Q$179,Curves!$BH$47:$BV$47)+SUMPRODUCT(React!$C$180:$Q$180,Curves!$BH$70:$BV$70)</f>
        <v/>
      </c>
      <c r="R182" s="5">
        <f>SUMPRODUCT(React!$C$178:$R$178,Curves!$BG$24:$BV$24)+SUMPRODUCT(React!$C$179:$R$179,Curves!$BG$47:$BV$47)+SUMPRODUCT(React!$C$180:$R$180,Curves!$BG$70:$BV$70)</f>
        <v/>
      </c>
      <c r="S182" s="5">
        <f>SUMPRODUCT(React!$C$178:$S$178,Curves!$BF$24:$BV$24)+SUMPRODUCT(React!$C$179:$S$179,Curves!$BF$47:$BV$47)+SUMPRODUCT(React!$C$180:$S$180,Curves!$BF$70:$BV$70)</f>
        <v/>
      </c>
      <c r="T182" s="5">
        <f>SUMPRODUCT(React!$C$178:$T$178,Curves!$BE$24:$BV$24)+SUMPRODUCT(React!$C$179:$T$179,Curves!$BE$47:$BV$47)+SUMPRODUCT(React!$C$180:$T$180,Curves!$BE$70:$BV$70)</f>
        <v/>
      </c>
      <c r="U182" s="5">
        <f>SUMPRODUCT(React!$C$178:$U$178,Curves!$BD$24:$BV$24)+SUMPRODUCT(React!$C$179:$U$179,Curves!$BD$47:$BV$47)+SUMPRODUCT(React!$C$180:$U$180,Curves!$BD$70:$BV$70)</f>
        <v/>
      </c>
      <c r="V182" s="5">
        <f>SUMPRODUCT(React!$C$178:$V$178,Curves!$BC$24:$BV$24)+SUMPRODUCT(React!$C$179:$V$179,Curves!$BC$47:$BV$47)+SUMPRODUCT(React!$C$180:$V$180,Curves!$BC$70:$BV$70)</f>
        <v/>
      </c>
      <c r="W182" s="5">
        <f>SUMPRODUCT(React!$C$178:$W$178,Curves!$BB$24:$BV$24)+SUMPRODUCT(React!$C$179:$W$179,Curves!$BB$47:$BV$47)+SUMPRODUCT(React!$C$180:$W$180,Curves!$BB$70:$BV$70)</f>
        <v/>
      </c>
      <c r="X182" s="5">
        <f>SUMPRODUCT(React!$C$178:$X$178,Curves!$BA$24:$BV$24)+SUMPRODUCT(React!$C$179:$X$179,Curves!$BA$47:$BV$47)+SUMPRODUCT(React!$C$180:$X$180,Curves!$BA$70:$BV$70)</f>
        <v/>
      </c>
      <c r="Y182" s="5">
        <f>SUMPRODUCT(React!$C$178:$Y$178,Curves!$AZ$24:$BV$24)+SUMPRODUCT(React!$C$179:$Y$179,Curves!$AZ$47:$BV$47)+SUMPRODUCT(React!$C$180:$Y$180,Curves!$AZ$70:$BV$70)</f>
        <v/>
      </c>
      <c r="Z182" s="5">
        <f>SUMPRODUCT(React!$C$178:$Z$178,Curves!$AY$24:$BV$24)+SUMPRODUCT(React!$C$179:$Z$179,Curves!$AY$47:$BV$47)+SUMPRODUCT(React!$C$180:$Z$180,Curves!$AY$70:$BV$70)</f>
        <v/>
      </c>
      <c r="AA182" s="5">
        <f>SUMPRODUCT(React!$C$178:$AA$178,Curves!$AX$24:$BV$24)+SUMPRODUCT(React!$C$179:$AA$179,Curves!$AX$47:$BV$47)+SUMPRODUCT(React!$C$180:$AA$180,Curves!$AX$70:$BV$70)</f>
        <v/>
      </c>
      <c r="AB182" s="5">
        <f>SUMPRODUCT(React!$C$178:$AB$178,Curves!$AW$24:$BV$24)+SUMPRODUCT(React!$C$179:$AB$179,Curves!$AW$47:$BV$47)+SUMPRODUCT(React!$C$180:$AB$180,Curves!$AW$70:$BV$70)</f>
        <v/>
      </c>
      <c r="AC182" s="5">
        <f>SUMPRODUCT(React!$C$178:$AC$178,Curves!$AV$24:$BV$24)+SUMPRODUCT(React!$C$179:$AC$179,Curves!$AV$47:$BV$47)+SUMPRODUCT(React!$C$180:$AC$180,Curves!$AV$70:$BV$70)</f>
        <v/>
      </c>
      <c r="AD182" s="5">
        <f>SUMPRODUCT(React!$C$178:$AD$178,Curves!$AU$24:$BV$24)+SUMPRODUCT(React!$C$179:$AD$179,Curves!$AU$47:$BV$47)+SUMPRODUCT(React!$C$180:$AD$180,Curves!$AU$70:$BV$70)</f>
        <v/>
      </c>
      <c r="AE182" s="5">
        <f>SUMPRODUCT(React!$C$178:$AE$178,Curves!$AT$24:$BV$24)+SUMPRODUCT(React!$C$179:$AE$179,Curves!$AT$47:$BV$47)+SUMPRODUCT(React!$C$180:$AE$180,Curves!$AT$70:$BV$70)</f>
        <v/>
      </c>
      <c r="AF182" s="5">
        <f>SUMPRODUCT(React!$C$178:$AF$178,Curves!$AS$24:$BV$24)+SUMPRODUCT(React!$C$179:$AF$179,Curves!$AS$47:$BV$47)+SUMPRODUCT(React!$C$180:$AF$180,Curves!$AS$70:$BV$70)</f>
        <v/>
      </c>
      <c r="AG182" s="5">
        <f>SUMPRODUCT(React!$C$178:$AG$178,Curves!$AR$24:$BV$24)+SUMPRODUCT(React!$C$179:$AG$179,Curves!$AR$47:$BV$47)+SUMPRODUCT(React!$C$180:$AG$180,Curves!$AR$70:$BV$70)</f>
        <v/>
      </c>
      <c r="AH182" s="5">
        <f>SUMPRODUCT(React!$C$178:$AH$178,Curves!$AQ$24:$BV$24)+SUMPRODUCT(React!$C$179:$AH$179,Curves!$AQ$47:$BV$47)+SUMPRODUCT(React!$C$180:$AH$180,Curves!$AQ$70:$BV$70)</f>
        <v/>
      </c>
      <c r="AI182" s="5">
        <f>SUMPRODUCT(React!$C$178:$AI$178,Curves!$AP$24:$BV$24)+SUMPRODUCT(React!$C$179:$AI$179,Curves!$AP$47:$BV$47)+SUMPRODUCT(React!$C$180:$AI$180,Curves!$AP$70:$BV$70)</f>
        <v/>
      </c>
      <c r="AJ182" s="5">
        <f>SUMPRODUCT(React!$C$178:$AJ$178,Curves!$AO$24:$BV$24)+SUMPRODUCT(React!$C$179:$AJ$179,Curves!$AO$47:$BV$47)+SUMPRODUCT(React!$C$180:$AJ$180,Curves!$AO$70:$BV$70)</f>
        <v/>
      </c>
      <c r="AK182" s="5">
        <f>SUMPRODUCT(React!$C$178:$AK$178,Curves!$AN$24:$BV$24)+SUMPRODUCT(React!$C$179:$AK$179,Curves!$AN$47:$BV$47)+SUMPRODUCT(React!$C$180:$AK$180,Curves!$AN$70:$BV$70)</f>
        <v/>
      </c>
      <c r="AL182" s="5">
        <f>SUMPRODUCT(React!$C$178:$AL$178,Curves!$AM$24:$BV$24)+SUMPRODUCT(React!$C$179:$AL$179,Curves!$AM$47:$BV$47)+SUMPRODUCT(React!$C$180:$AL$180,Curves!$AM$70:$BV$70)</f>
        <v/>
      </c>
      <c r="AM182" s="5">
        <f>SUMPRODUCT(React!$C$178:$AM$178,Curves!$AL$24:$BV$24)+SUMPRODUCT(React!$C$179:$AM$179,Curves!$AL$47:$BV$47)+SUMPRODUCT(React!$C$180:$AM$180,Curves!$AL$70:$BV$70)</f>
        <v/>
      </c>
      <c r="AN182" s="5">
        <f>SUMPRODUCT(React!$C$178:$AN$178,Curves!$AK$24:$BV$24)+SUMPRODUCT(React!$C$179:$AN$179,Curves!$AK$47:$BV$47)+SUMPRODUCT(React!$C$180:$AN$180,Curves!$AK$70:$BV$70)</f>
        <v/>
      </c>
      <c r="AO182" s="5">
        <f>SUMPRODUCT(React!$C$178:$AO$178,Curves!$AJ$24:$BV$24)+SUMPRODUCT(React!$C$179:$AO$179,Curves!$AJ$47:$BV$47)+SUMPRODUCT(React!$C$180:$AO$180,Curves!$AJ$70:$BV$70)</f>
        <v/>
      </c>
      <c r="AP182" s="5">
        <f>SUMPRODUCT(React!$C$178:$AP$178,Curves!$AI$24:$BV$24)+SUMPRODUCT(React!$C$179:$AP$179,Curves!$AI$47:$BV$47)+SUMPRODUCT(React!$C$180:$AP$180,Curves!$AI$70:$BV$70)</f>
        <v/>
      </c>
      <c r="AQ182" s="5">
        <f>SUMPRODUCT(React!$C$178:$AQ$178,Curves!$AH$24:$BV$24)+SUMPRODUCT(React!$C$179:$AQ$179,Curves!$AH$47:$BV$47)+SUMPRODUCT(React!$C$180:$AQ$180,Curves!$AH$70:$BV$70)</f>
        <v/>
      </c>
      <c r="AR182" s="5">
        <f>SUMPRODUCT(React!$C$178:$AR$178,Curves!$AG$24:$BV$24)+SUMPRODUCT(React!$C$179:$AR$179,Curves!$AG$47:$BV$47)+SUMPRODUCT(React!$C$180:$AR$180,Curves!$AG$70:$BV$70)</f>
        <v/>
      </c>
      <c r="AS182" s="5">
        <f>SUMPRODUCT(React!$C$178:$AS$178,Curves!$AF$24:$BV$24)+SUMPRODUCT(React!$C$179:$AS$179,Curves!$AF$47:$BV$47)+SUMPRODUCT(React!$C$180:$AS$180,Curves!$AF$70:$BV$70)</f>
        <v/>
      </c>
      <c r="AT182" s="5">
        <f>SUMPRODUCT(React!$C$178:$AT$178,Curves!$AE$24:$BV$24)+SUMPRODUCT(React!$C$179:$AT$179,Curves!$AE$47:$BV$47)+SUMPRODUCT(React!$C$180:$AT$180,Curves!$AE$70:$BV$70)</f>
        <v/>
      </c>
      <c r="AU182" s="5">
        <f>SUMPRODUCT(React!$C$178:$AU$178,Curves!$AD$24:$BV$24)+SUMPRODUCT(React!$C$179:$AU$179,Curves!$AD$47:$BV$47)+SUMPRODUCT(React!$C$180:$AU$180,Curves!$AD$70:$BV$70)</f>
        <v/>
      </c>
      <c r="AV182" s="5">
        <f>SUMPRODUCT(React!$C$178:$AV$178,Curves!$AC$24:$BV$24)+SUMPRODUCT(React!$C$179:$AV$179,Curves!$AC$47:$BV$47)+SUMPRODUCT(React!$C$180:$AV$180,Curves!$AC$70:$BV$70)</f>
        <v/>
      </c>
      <c r="AW182" s="5">
        <f>SUMPRODUCT(React!$C$178:$AW$178,Curves!$AB$24:$BV$24)+SUMPRODUCT(React!$C$179:$AW$179,Curves!$AB$47:$BV$47)+SUMPRODUCT(React!$C$180:$AW$180,Curves!$AB$70:$BV$70)</f>
        <v/>
      </c>
      <c r="AX182" s="5">
        <f>SUMPRODUCT(React!$C$178:$AX$178,Curves!$AA$24:$BV$24)+SUMPRODUCT(React!$C$179:$AX$179,Curves!$AA$47:$BV$47)+SUMPRODUCT(React!$C$180:$AX$180,Curves!$AA$70:$BV$70)</f>
        <v/>
      </c>
      <c r="AY182" s="5">
        <f>SUMPRODUCT(React!$C$178:$AY$178,Curves!$Z$24:$BV$24)+SUMPRODUCT(React!$C$179:$AY$179,Curves!$Z$47:$BV$47)+SUMPRODUCT(React!$C$180:$AY$180,Curves!$Z$70:$BV$70)</f>
        <v/>
      </c>
      <c r="AZ182" s="5">
        <f>SUMPRODUCT(React!$C$178:$AZ$178,Curves!$Y$24:$BV$24)+SUMPRODUCT(React!$C$179:$AZ$179,Curves!$Y$47:$BV$47)+SUMPRODUCT(React!$C$180:$AZ$180,Curves!$Y$70:$BV$70)</f>
        <v/>
      </c>
      <c r="BA182" s="5">
        <f>SUMPRODUCT(React!$C$178:$BA$178,Curves!$X$24:$BV$24)+SUMPRODUCT(React!$C$179:$BA$179,Curves!$X$47:$BV$47)+SUMPRODUCT(React!$C$180:$BA$180,Curves!$X$70:$BV$70)</f>
        <v/>
      </c>
      <c r="BB182" s="5">
        <f>SUMPRODUCT(React!$C$178:$BB$178,Curves!$W$24:$BV$24)+SUMPRODUCT(React!$C$179:$BB$179,Curves!$W$47:$BV$47)+SUMPRODUCT(React!$C$180:$BB$180,Curves!$W$70:$BV$70)</f>
        <v/>
      </c>
      <c r="BC182" s="5">
        <f>SUMPRODUCT(React!$C$178:$BC$178,Curves!$V$24:$BV$24)+SUMPRODUCT(React!$C$179:$BC$179,Curves!$V$47:$BV$47)+SUMPRODUCT(React!$C$180:$BC$180,Curves!$V$70:$BV$70)</f>
        <v/>
      </c>
      <c r="BD182" s="5">
        <f>SUMPRODUCT(React!$C$178:$BD$178,Curves!$U$24:$BV$24)+SUMPRODUCT(React!$C$179:$BD$179,Curves!$U$47:$BV$47)+SUMPRODUCT(React!$C$180:$BD$180,Curves!$U$70:$BV$70)</f>
        <v/>
      </c>
      <c r="BE182" s="5">
        <f>SUMPRODUCT(React!$C$178:$BE$178,Curves!$T$24:$BV$24)+SUMPRODUCT(React!$C$179:$BE$179,Curves!$T$47:$BV$47)+SUMPRODUCT(React!$C$180:$BE$180,Curves!$T$70:$BV$70)</f>
        <v/>
      </c>
      <c r="BF182" s="5">
        <f>SUMPRODUCT(React!$C$178:$BF$178,Curves!$S$24:$BV$24)+SUMPRODUCT(React!$C$179:$BF$179,Curves!$S$47:$BV$47)+SUMPRODUCT(React!$C$180:$BF$180,Curves!$S$70:$BV$70)</f>
        <v/>
      </c>
      <c r="BG182" s="5">
        <f>SUMPRODUCT(React!$C$178:$BG$178,Curves!$R$24:$BV$24)+SUMPRODUCT(React!$C$179:$BG$179,Curves!$R$47:$BV$47)+SUMPRODUCT(React!$C$180:$BG$180,Curves!$R$70:$BV$70)</f>
        <v/>
      </c>
      <c r="BH182" s="5">
        <f>SUMPRODUCT(React!$C$178:$BH$178,Curves!$Q$24:$BV$24)+SUMPRODUCT(React!$C$179:$BH$179,Curves!$Q$47:$BV$47)+SUMPRODUCT(React!$C$180:$BH$180,Curves!$Q$70:$BV$70)</f>
        <v/>
      </c>
      <c r="BI182" s="5">
        <f>SUMPRODUCT(React!$C$178:$BI$178,Curves!$P$24:$BV$24)+SUMPRODUCT(React!$C$179:$BI$179,Curves!$P$47:$BV$47)+SUMPRODUCT(React!$C$180:$BI$180,Curves!$P$70:$BV$70)</f>
        <v/>
      </c>
      <c r="BJ182" s="5">
        <f>SUMPRODUCT(React!$C$178:$BJ$178,Curves!$O$24:$BV$24)+SUMPRODUCT(React!$C$179:$BJ$179,Curves!$O$47:$BV$47)+SUMPRODUCT(React!$C$180:$BJ$180,Curves!$O$70:$BV$70)</f>
        <v/>
      </c>
      <c r="BK182" s="5">
        <f>SUMPRODUCT(React!$C$178:$BK$178,Curves!$N$24:$BV$24)+SUMPRODUCT(React!$C$179:$BK$179,Curves!$N$47:$BV$47)+SUMPRODUCT(React!$C$180:$BK$180,Curves!$N$70:$BV$70)</f>
        <v/>
      </c>
      <c r="BL182" s="5">
        <f>SUMPRODUCT(React!$C$178:$BL$178,Curves!$M$24:$BV$24)+SUMPRODUCT(React!$C$179:$BL$179,Curves!$M$47:$BV$47)+SUMPRODUCT(React!$C$180:$BL$180,Curves!$M$70:$BV$70)</f>
        <v/>
      </c>
      <c r="BM182" s="5">
        <f>SUMPRODUCT(React!$C$178:$BM$178,Curves!$L$24:$BV$24)+SUMPRODUCT(React!$C$179:$BM$179,Curves!$L$47:$BV$47)+SUMPRODUCT(React!$C$180:$BM$180,Curves!$L$70:$BV$70)</f>
        <v/>
      </c>
      <c r="BN182" s="5">
        <f>SUMPRODUCT(React!$C$178:$BN$178,Curves!$K$24:$BV$24)+SUMPRODUCT(React!$C$179:$BN$179,Curves!$K$47:$BV$47)+SUMPRODUCT(React!$C$180:$BN$180,Curves!$K$70:$BV$70)</f>
        <v/>
      </c>
      <c r="BO182" s="5">
        <f>SUMPRODUCT(React!$C$178:$BO$178,Curves!$J$24:$BV$24)+SUMPRODUCT(React!$C$179:$BO$179,Curves!$J$47:$BV$47)+SUMPRODUCT(React!$C$180:$BO$180,Curves!$J$70:$BV$70)</f>
        <v/>
      </c>
      <c r="BP182" s="5">
        <f>SUMPRODUCT(React!$C$178:$BP$178,Curves!$I$24:$BV$24)+SUMPRODUCT(React!$C$179:$BP$179,Curves!$I$47:$BV$47)+SUMPRODUCT(React!$C$180:$BP$180,Curves!$I$70:$BV$70)</f>
        <v/>
      </c>
      <c r="BQ182" s="5">
        <f>SUMPRODUCT(React!$C$178:$BQ$178,Curves!$H$24:$BV$24)+SUMPRODUCT(React!$C$179:$BQ$179,Curves!$H$47:$BV$47)+SUMPRODUCT(React!$C$180:$BQ$180,Curves!$H$70:$BV$70)</f>
        <v/>
      </c>
      <c r="BR182" s="5">
        <f>SUMPRODUCT(React!$C$178:$BR$178,Curves!$G$24:$BV$24)+SUMPRODUCT(React!$C$179:$BR$179,Curves!$G$47:$BV$47)+SUMPRODUCT(React!$C$180:$BR$180,Curves!$G$70:$BV$70)</f>
        <v/>
      </c>
      <c r="BS182" s="5">
        <f>SUMPRODUCT(React!$C$178:$BS$178,Curves!$F$24:$BV$24)+SUMPRODUCT(React!$C$179:$BS$179,Curves!$F$47:$BV$47)+SUMPRODUCT(React!$C$180:$BS$180,Curves!$F$70:$BV$70)</f>
        <v/>
      </c>
      <c r="BT182" s="5">
        <f>SUMPRODUCT(React!$C$178:$BT$178,Curves!$E$24:$BV$24)+SUMPRODUCT(React!$C$179:$BT$179,Curves!$E$47:$BV$47)+SUMPRODUCT(React!$C$180:$BT$180,Curves!$E$70:$BV$70)</f>
        <v/>
      </c>
      <c r="BU182" s="5">
        <f>SUMPRODUCT(React!$C$178:$BU$178,Curves!$D$24:$BV$24)+SUMPRODUCT(React!$C$179:$BU$179,Curves!$D$47:$BV$47)+SUMPRODUCT(React!$C$180:$BU$180,Curves!$D$70:$BV$70)</f>
        <v/>
      </c>
      <c r="BV182" s="5">
        <f>SUMPRODUCT(React!$C$178:$BV$178,Curves!$C$24:$BV$24)+SUMPRODUCT(React!$C$179:$BV$179,Curves!$C$47:$BV$47)+SUMPRODUCT(React!$C$180:$BV$180,Curves!$C$70:$BV$70)</f>
        <v/>
      </c>
    </row>
    <row r="183">
      <c r="A183" t="inlineStr">
        <is>
          <t>churned</t>
        </is>
      </c>
      <c r="B183" t="inlineStr">
        <is>
          <t>APAC|NITRO_A</t>
        </is>
      </c>
      <c r="C183" s="5">
        <f>React!$C$178*Curves!$BV$20+React!$C$179*Curves!$BV$43+React!$C$180*Curves!$BV$66</f>
        <v/>
      </c>
      <c r="D183" s="5">
        <f>SUMPRODUCT(React!$C$178:$D$178,Curves!$BU$20:$BV$20)+SUMPRODUCT(React!$C$179:$D$179,Curves!$BU$43:$BV$43)+SUMPRODUCT(React!$C$180:$D$180,Curves!$BU$66:$BV$66)</f>
        <v/>
      </c>
      <c r="E183" s="5">
        <f>SUMPRODUCT(React!$C$178:$E$178,Curves!$BT$20:$BV$20)+SUMPRODUCT(React!$C$179:$E$179,Curves!$BT$43:$BV$43)+SUMPRODUCT(React!$C$180:$E$180,Curves!$BT$66:$BV$66)</f>
        <v/>
      </c>
      <c r="F183" s="5">
        <f>SUMPRODUCT(React!$C$178:$F$178,Curves!$BS$20:$BV$20)+SUMPRODUCT(React!$C$179:$F$179,Curves!$BS$43:$BV$43)+SUMPRODUCT(React!$C$180:$F$180,Curves!$BS$66:$BV$66)</f>
        <v/>
      </c>
      <c r="G183" s="5">
        <f>SUMPRODUCT(React!$C$178:$G$178,Curves!$BR$20:$BV$20)+SUMPRODUCT(React!$C$179:$G$179,Curves!$BR$43:$BV$43)+SUMPRODUCT(React!$C$180:$G$180,Curves!$BR$66:$BV$66)</f>
        <v/>
      </c>
      <c r="H183" s="5">
        <f>SUMPRODUCT(React!$C$178:$H$178,Curves!$BQ$20:$BV$20)+SUMPRODUCT(React!$C$179:$H$179,Curves!$BQ$43:$BV$43)+SUMPRODUCT(React!$C$180:$H$180,Curves!$BQ$66:$BV$66)</f>
        <v/>
      </c>
      <c r="I183" s="5">
        <f>SUMPRODUCT(React!$C$178:$I$178,Curves!$BP$20:$BV$20)+SUMPRODUCT(React!$C$179:$I$179,Curves!$BP$43:$BV$43)+SUMPRODUCT(React!$C$180:$I$180,Curves!$BP$66:$BV$66)</f>
        <v/>
      </c>
      <c r="J183" s="5">
        <f>SUMPRODUCT(React!$C$178:$J$178,Curves!$BO$20:$BV$20)+SUMPRODUCT(React!$C$179:$J$179,Curves!$BO$43:$BV$43)+SUMPRODUCT(React!$C$180:$J$180,Curves!$BO$66:$BV$66)</f>
        <v/>
      </c>
      <c r="K183" s="5">
        <f>SUMPRODUCT(React!$C$178:$K$178,Curves!$BN$20:$BV$20)+SUMPRODUCT(React!$C$179:$K$179,Curves!$BN$43:$BV$43)+SUMPRODUCT(React!$C$180:$K$180,Curves!$BN$66:$BV$66)</f>
        <v/>
      </c>
      <c r="L183" s="5">
        <f>SUMPRODUCT(React!$C$178:$L$178,Curves!$BM$20:$BV$20)+SUMPRODUCT(React!$C$179:$L$179,Curves!$BM$43:$BV$43)+SUMPRODUCT(React!$C$180:$L$180,Curves!$BM$66:$BV$66)</f>
        <v/>
      </c>
      <c r="M183" s="5">
        <f>SUMPRODUCT(React!$C$178:$M$178,Curves!$BL$20:$BV$20)+SUMPRODUCT(React!$C$179:$M$179,Curves!$BL$43:$BV$43)+SUMPRODUCT(React!$C$180:$M$180,Curves!$BL$66:$BV$66)</f>
        <v/>
      </c>
      <c r="N183" s="5">
        <f>SUMPRODUCT(React!$C$178:$N$178,Curves!$BK$20:$BV$20)+SUMPRODUCT(React!$C$179:$N$179,Curves!$BK$43:$BV$43)+SUMPRODUCT(React!$C$180:$N$180,Curves!$BK$66:$BV$66)</f>
        <v/>
      </c>
      <c r="O183" s="5">
        <f>SUMPRODUCT(React!$C$178:$O$178,Curves!$BJ$20:$BV$20)+SUMPRODUCT(React!$C$179:$O$179,Curves!$BJ$43:$BV$43)+SUMPRODUCT(React!$C$180:$O$180,Curves!$BJ$66:$BV$66)</f>
        <v/>
      </c>
      <c r="P183" s="5">
        <f>SUMPRODUCT(React!$C$178:$P$178,Curves!$BI$20:$BV$20)+SUMPRODUCT(React!$C$179:$P$179,Curves!$BI$43:$BV$43)+SUMPRODUCT(React!$C$180:$P$180,Curves!$BI$66:$BV$66)</f>
        <v/>
      </c>
      <c r="Q183" s="5">
        <f>SUMPRODUCT(React!$C$178:$Q$178,Curves!$BH$20:$BV$20)+SUMPRODUCT(React!$C$179:$Q$179,Curves!$BH$43:$BV$43)+SUMPRODUCT(React!$C$180:$Q$180,Curves!$BH$66:$BV$66)</f>
        <v/>
      </c>
      <c r="R183" s="5">
        <f>SUMPRODUCT(React!$C$178:$R$178,Curves!$BG$20:$BV$20)+SUMPRODUCT(React!$C$179:$R$179,Curves!$BG$43:$BV$43)+SUMPRODUCT(React!$C$180:$R$180,Curves!$BG$66:$BV$66)</f>
        <v/>
      </c>
      <c r="S183" s="5">
        <f>SUMPRODUCT(React!$C$178:$S$178,Curves!$BF$20:$BV$20)+SUMPRODUCT(React!$C$179:$S$179,Curves!$BF$43:$BV$43)+SUMPRODUCT(React!$C$180:$S$180,Curves!$BF$66:$BV$66)</f>
        <v/>
      </c>
      <c r="T183" s="5">
        <f>SUMPRODUCT(React!$C$178:$T$178,Curves!$BE$20:$BV$20)+SUMPRODUCT(React!$C$179:$T$179,Curves!$BE$43:$BV$43)+SUMPRODUCT(React!$C$180:$T$180,Curves!$BE$66:$BV$66)</f>
        <v/>
      </c>
      <c r="U183" s="5">
        <f>SUMPRODUCT(React!$C$178:$U$178,Curves!$BD$20:$BV$20)+SUMPRODUCT(React!$C$179:$U$179,Curves!$BD$43:$BV$43)+SUMPRODUCT(React!$C$180:$U$180,Curves!$BD$66:$BV$66)</f>
        <v/>
      </c>
      <c r="V183" s="5">
        <f>SUMPRODUCT(React!$C$178:$V$178,Curves!$BC$20:$BV$20)+SUMPRODUCT(React!$C$179:$V$179,Curves!$BC$43:$BV$43)+SUMPRODUCT(React!$C$180:$V$180,Curves!$BC$66:$BV$66)</f>
        <v/>
      </c>
      <c r="W183" s="5">
        <f>SUMPRODUCT(React!$C$178:$W$178,Curves!$BB$20:$BV$20)+SUMPRODUCT(React!$C$179:$W$179,Curves!$BB$43:$BV$43)+SUMPRODUCT(React!$C$180:$W$180,Curves!$BB$66:$BV$66)</f>
        <v/>
      </c>
      <c r="X183" s="5">
        <f>SUMPRODUCT(React!$C$178:$X$178,Curves!$BA$20:$BV$20)+SUMPRODUCT(React!$C$179:$X$179,Curves!$BA$43:$BV$43)+SUMPRODUCT(React!$C$180:$X$180,Curves!$BA$66:$BV$66)</f>
        <v/>
      </c>
      <c r="Y183" s="5">
        <f>SUMPRODUCT(React!$C$178:$Y$178,Curves!$AZ$20:$BV$20)+SUMPRODUCT(React!$C$179:$Y$179,Curves!$AZ$43:$BV$43)+SUMPRODUCT(React!$C$180:$Y$180,Curves!$AZ$66:$BV$66)</f>
        <v/>
      </c>
      <c r="Z183" s="5">
        <f>SUMPRODUCT(React!$C$178:$Z$178,Curves!$AY$20:$BV$20)+SUMPRODUCT(React!$C$179:$Z$179,Curves!$AY$43:$BV$43)+SUMPRODUCT(React!$C$180:$Z$180,Curves!$AY$66:$BV$66)</f>
        <v/>
      </c>
      <c r="AA183" s="5">
        <f>SUMPRODUCT(React!$C$178:$AA$178,Curves!$AX$20:$BV$20)+SUMPRODUCT(React!$C$179:$AA$179,Curves!$AX$43:$BV$43)+SUMPRODUCT(React!$C$180:$AA$180,Curves!$AX$66:$BV$66)</f>
        <v/>
      </c>
      <c r="AB183" s="5">
        <f>SUMPRODUCT(React!$C$178:$AB$178,Curves!$AW$20:$BV$20)+SUMPRODUCT(React!$C$179:$AB$179,Curves!$AW$43:$BV$43)+SUMPRODUCT(React!$C$180:$AB$180,Curves!$AW$66:$BV$66)</f>
        <v/>
      </c>
      <c r="AC183" s="5">
        <f>SUMPRODUCT(React!$C$178:$AC$178,Curves!$AV$20:$BV$20)+SUMPRODUCT(React!$C$179:$AC$179,Curves!$AV$43:$BV$43)+SUMPRODUCT(React!$C$180:$AC$180,Curves!$AV$66:$BV$66)</f>
        <v/>
      </c>
      <c r="AD183" s="5">
        <f>SUMPRODUCT(React!$C$178:$AD$178,Curves!$AU$20:$BV$20)+SUMPRODUCT(React!$C$179:$AD$179,Curves!$AU$43:$BV$43)+SUMPRODUCT(React!$C$180:$AD$180,Curves!$AU$66:$BV$66)</f>
        <v/>
      </c>
      <c r="AE183" s="5">
        <f>SUMPRODUCT(React!$C$178:$AE$178,Curves!$AT$20:$BV$20)+SUMPRODUCT(React!$C$179:$AE$179,Curves!$AT$43:$BV$43)+SUMPRODUCT(React!$C$180:$AE$180,Curves!$AT$66:$BV$66)</f>
        <v/>
      </c>
      <c r="AF183" s="5">
        <f>SUMPRODUCT(React!$C$178:$AF$178,Curves!$AS$20:$BV$20)+SUMPRODUCT(React!$C$179:$AF$179,Curves!$AS$43:$BV$43)+SUMPRODUCT(React!$C$180:$AF$180,Curves!$AS$66:$BV$66)</f>
        <v/>
      </c>
      <c r="AG183" s="5">
        <f>SUMPRODUCT(React!$C$178:$AG$178,Curves!$AR$20:$BV$20)+SUMPRODUCT(React!$C$179:$AG$179,Curves!$AR$43:$BV$43)+SUMPRODUCT(React!$C$180:$AG$180,Curves!$AR$66:$BV$66)</f>
        <v/>
      </c>
      <c r="AH183" s="5">
        <f>SUMPRODUCT(React!$C$178:$AH$178,Curves!$AQ$20:$BV$20)+SUMPRODUCT(React!$C$179:$AH$179,Curves!$AQ$43:$BV$43)+SUMPRODUCT(React!$C$180:$AH$180,Curves!$AQ$66:$BV$66)</f>
        <v/>
      </c>
      <c r="AI183" s="5">
        <f>SUMPRODUCT(React!$C$178:$AI$178,Curves!$AP$20:$BV$20)+SUMPRODUCT(React!$C$179:$AI$179,Curves!$AP$43:$BV$43)+SUMPRODUCT(React!$C$180:$AI$180,Curves!$AP$66:$BV$66)</f>
        <v/>
      </c>
      <c r="AJ183" s="5">
        <f>SUMPRODUCT(React!$C$178:$AJ$178,Curves!$AO$20:$BV$20)+SUMPRODUCT(React!$C$179:$AJ$179,Curves!$AO$43:$BV$43)+SUMPRODUCT(React!$C$180:$AJ$180,Curves!$AO$66:$BV$66)</f>
        <v/>
      </c>
      <c r="AK183" s="5">
        <f>SUMPRODUCT(React!$C$178:$AK$178,Curves!$AN$20:$BV$20)+SUMPRODUCT(React!$C$179:$AK$179,Curves!$AN$43:$BV$43)+SUMPRODUCT(React!$C$180:$AK$180,Curves!$AN$66:$BV$66)</f>
        <v/>
      </c>
      <c r="AL183" s="5">
        <f>SUMPRODUCT(React!$C$178:$AL$178,Curves!$AM$20:$BV$20)+SUMPRODUCT(React!$C$179:$AL$179,Curves!$AM$43:$BV$43)+SUMPRODUCT(React!$C$180:$AL$180,Curves!$AM$66:$BV$66)</f>
        <v/>
      </c>
      <c r="AM183" s="5">
        <f>SUMPRODUCT(React!$C$178:$AM$178,Curves!$AL$20:$BV$20)+SUMPRODUCT(React!$C$179:$AM$179,Curves!$AL$43:$BV$43)+SUMPRODUCT(React!$C$180:$AM$180,Curves!$AL$66:$BV$66)</f>
        <v/>
      </c>
      <c r="AN183" s="5">
        <f>SUMPRODUCT(React!$C$178:$AN$178,Curves!$AK$20:$BV$20)+SUMPRODUCT(React!$C$179:$AN$179,Curves!$AK$43:$BV$43)+SUMPRODUCT(React!$C$180:$AN$180,Curves!$AK$66:$BV$66)</f>
        <v/>
      </c>
      <c r="AO183" s="5">
        <f>SUMPRODUCT(React!$C$178:$AO$178,Curves!$AJ$20:$BV$20)+SUMPRODUCT(React!$C$179:$AO$179,Curves!$AJ$43:$BV$43)+SUMPRODUCT(React!$C$180:$AO$180,Curves!$AJ$66:$BV$66)</f>
        <v/>
      </c>
      <c r="AP183" s="5">
        <f>SUMPRODUCT(React!$C$178:$AP$178,Curves!$AI$20:$BV$20)+SUMPRODUCT(React!$C$179:$AP$179,Curves!$AI$43:$BV$43)+SUMPRODUCT(React!$C$180:$AP$180,Curves!$AI$66:$BV$66)</f>
        <v/>
      </c>
      <c r="AQ183" s="5">
        <f>SUMPRODUCT(React!$C$178:$AQ$178,Curves!$AH$20:$BV$20)+SUMPRODUCT(React!$C$179:$AQ$179,Curves!$AH$43:$BV$43)+SUMPRODUCT(React!$C$180:$AQ$180,Curves!$AH$66:$BV$66)</f>
        <v/>
      </c>
      <c r="AR183" s="5">
        <f>SUMPRODUCT(React!$C$178:$AR$178,Curves!$AG$20:$BV$20)+SUMPRODUCT(React!$C$179:$AR$179,Curves!$AG$43:$BV$43)+SUMPRODUCT(React!$C$180:$AR$180,Curves!$AG$66:$BV$66)</f>
        <v/>
      </c>
      <c r="AS183" s="5">
        <f>SUMPRODUCT(React!$C$178:$AS$178,Curves!$AF$20:$BV$20)+SUMPRODUCT(React!$C$179:$AS$179,Curves!$AF$43:$BV$43)+SUMPRODUCT(React!$C$180:$AS$180,Curves!$AF$66:$BV$66)</f>
        <v/>
      </c>
      <c r="AT183" s="5">
        <f>SUMPRODUCT(React!$C$178:$AT$178,Curves!$AE$20:$BV$20)+SUMPRODUCT(React!$C$179:$AT$179,Curves!$AE$43:$BV$43)+SUMPRODUCT(React!$C$180:$AT$180,Curves!$AE$66:$BV$66)</f>
        <v/>
      </c>
      <c r="AU183" s="5">
        <f>SUMPRODUCT(React!$C$178:$AU$178,Curves!$AD$20:$BV$20)+SUMPRODUCT(React!$C$179:$AU$179,Curves!$AD$43:$BV$43)+SUMPRODUCT(React!$C$180:$AU$180,Curves!$AD$66:$BV$66)</f>
        <v/>
      </c>
      <c r="AV183" s="5">
        <f>SUMPRODUCT(React!$C$178:$AV$178,Curves!$AC$20:$BV$20)+SUMPRODUCT(React!$C$179:$AV$179,Curves!$AC$43:$BV$43)+SUMPRODUCT(React!$C$180:$AV$180,Curves!$AC$66:$BV$66)</f>
        <v/>
      </c>
      <c r="AW183" s="5">
        <f>SUMPRODUCT(React!$C$178:$AW$178,Curves!$AB$20:$BV$20)+SUMPRODUCT(React!$C$179:$AW$179,Curves!$AB$43:$BV$43)+SUMPRODUCT(React!$C$180:$AW$180,Curves!$AB$66:$BV$66)</f>
        <v/>
      </c>
      <c r="AX183" s="5">
        <f>SUMPRODUCT(React!$C$178:$AX$178,Curves!$AA$20:$BV$20)+SUMPRODUCT(React!$C$179:$AX$179,Curves!$AA$43:$BV$43)+SUMPRODUCT(React!$C$180:$AX$180,Curves!$AA$66:$BV$66)</f>
        <v/>
      </c>
      <c r="AY183" s="5">
        <f>SUMPRODUCT(React!$C$178:$AY$178,Curves!$Z$20:$BV$20)+SUMPRODUCT(React!$C$179:$AY$179,Curves!$Z$43:$BV$43)+SUMPRODUCT(React!$C$180:$AY$180,Curves!$Z$66:$BV$66)</f>
        <v/>
      </c>
      <c r="AZ183" s="5">
        <f>SUMPRODUCT(React!$C$178:$AZ$178,Curves!$Y$20:$BV$20)+SUMPRODUCT(React!$C$179:$AZ$179,Curves!$Y$43:$BV$43)+SUMPRODUCT(React!$C$180:$AZ$180,Curves!$Y$66:$BV$66)</f>
        <v/>
      </c>
      <c r="BA183" s="5">
        <f>SUMPRODUCT(React!$C$178:$BA$178,Curves!$X$20:$BV$20)+SUMPRODUCT(React!$C$179:$BA$179,Curves!$X$43:$BV$43)+SUMPRODUCT(React!$C$180:$BA$180,Curves!$X$66:$BV$66)</f>
        <v/>
      </c>
      <c r="BB183" s="5">
        <f>SUMPRODUCT(React!$C$178:$BB$178,Curves!$W$20:$BV$20)+SUMPRODUCT(React!$C$179:$BB$179,Curves!$W$43:$BV$43)+SUMPRODUCT(React!$C$180:$BB$180,Curves!$W$66:$BV$66)</f>
        <v/>
      </c>
      <c r="BC183" s="5">
        <f>SUMPRODUCT(React!$C$178:$BC$178,Curves!$V$20:$BV$20)+SUMPRODUCT(React!$C$179:$BC$179,Curves!$V$43:$BV$43)+SUMPRODUCT(React!$C$180:$BC$180,Curves!$V$66:$BV$66)</f>
        <v/>
      </c>
      <c r="BD183" s="5">
        <f>SUMPRODUCT(React!$C$178:$BD$178,Curves!$U$20:$BV$20)+SUMPRODUCT(React!$C$179:$BD$179,Curves!$U$43:$BV$43)+SUMPRODUCT(React!$C$180:$BD$180,Curves!$U$66:$BV$66)</f>
        <v/>
      </c>
      <c r="BE183" s="5">
        <f>SUMPRODUCT(React!$C$178:$BE$178,Curves!$T$20:$BV$20)+SUMPRODUCT(React!$C$179:$BE$179,Curves!$T$43:$BV$43)+SUMPRODUCT(React!$C$180:$BE$180,Curves!$T$66:$BV$66)</f>
        <v/>
      </c>
      <c r="BF183" s="5">
        <f>SUMPRODUCT(React!$C$178:$BF$178,Curves!$S$20:$BV$20)+SUMPRODUCT(React!$C$179:$BF$179,Curves!$S$43:$BV$43)+SUMPRODUCT(React!$C$180:$BF$180,Curves!$S$66:$BV$66)</f>
        <v/>
      </c>
      <c r="BG183" s="5">
        <f>SUMPRODUCT(React!$C$178:$BG$178,Curves!$R$20:$BV$20)+SUMPRODUCT(React!$C$179:$BG$179,Curves!$R$43:$BV$43)+SUMPRODUCT(React!$C$180:$BG$180,Curves!$R$66:$BV$66)</f>
        <v/>
      </c>
      <c r="BH183" s="5">
        <f>SUMPRODUCT(React!$C$178:$BH$178,Curves!$Q$20:$BV$20)+SUMPRODUCT(React!$C$179:$BH$179,Curves!$Q$43:$BV$43)+SUMPRODUCT(React!$C$180:$BH$180,Curves!$Q$66:$BV$66)</f>
        <v/>
      </c>
      <c r="BI183" s="5">
        <f>SUMPRODUCT(React!$C$178:$BI$178,Curves!$P$20:$BV$20)+SUMPRODUCT(React!$C$179:$BI$179,Curves!$P$43:$BV$43)+SUMPRODUCT(React!$C$180:$BI$180,Curves!$P$66:$BV$66)</f>
        <v/>
      </c>
      <c r="BJ183" s="5">
        <f>SUMPRODUCT(React!$C$178:$BJ$178,Curves!$O$20:$BV$20)+SUMPRODUCT(React!$C$179:$BJ$179,Curves!$O$43:$BV$43)+SUMPRODUCT(React!$C$180:$BJ$180,Curves!$O$66:$BV$66)</f>
        <v/>
      </c>
      <c r="BK183" s="5">
        <f>SUMPRODUCT(React!$C$178:$BK$178,Curves!$N$20:$BV$20)+SUMPRODUCT(React!$C$179:$BK$179,Curves!$N$43:$BV$43)+SUMPRODUCT(React!$C$180:$BK$180,Curves!$N$66:$BV$66)</f>
        <v/>
      </c>
      <c r="BL183" s="5">
        <f>SUMPRODUCT(React!$C$178:$BL$178,Curves!$M$20:$BV$20)+SUMPRODUCT(React!$C$179:$BL$179,Curves!$M$43:$BV$43)+SUMPRODUCT(React!$C$180:$BL$180,Curves!$M$66:$BV$66)</f>
        <v/>
      </c>
      <c r="BM183" s="5">
        <f>SUMPRODUCT(React!$C$178:$BM$178,Curves!$L$20:$BV$20)+SUMPRODUCT(React!$C$179:$BM$179,Curves!$L$43:$BV$43)+SUMPRODUCT(React!$C$180:$BM$180,Curves!$L$66:$BV$66)</f>
        <v/>
      </c>
      <c r="BN183" s="5">
        <f>SUMPRODUCT(React!$C$178:$BN$178,Curves!$K$20:$BV$20)+SUMPRODUCT(React!$C$179:$BN$179,Curves!$K$43:$BV$43)+SUMPRODUCT(React!$C$180:$BN$180,Curves!$K$66:$BV$66)</f>
        <v/>
      </c>
      <c r="BO183" s="5">
        <f>SUMPRODUCT(React!$C$178:$BO$178,Curves!$J$20:$BV$20)+SUMPRODUCT(React!$C$179:$BO$179,Curves!$J$43:$BV$43)+SUMPRODUCT(React!$C$180:$BO$180,Curves!$J$66:$BV$66)</f>
        <v/>
      </c>
      <c r="BP183" s="5">
        <f>SUMPRODUCT(React!$C$178:$BP$178,Curves!$I$20:$BV$20)+SUMPRODUCT(React!$C$179:$BP$179,Curves!$I$43:$BV$43)+SUMPRODUCT(React!$C$180:$BP$180,Curves!$I$66:$BV$66)</f>
        <v/>
      </c>
      <c r="BQ183" s="5">
        <f>SUMPRODUCT(React!$C$178:$BQ$178,Curves!$H$20:$BV$20)+SUMPRODUCT(React!$C$179:$BQ$179,Curves!$H$43:$BV$43)+SUMPRODUCT(React!$C$180:$BQ$180,Curves!$H$66:$BV$66)</f>
        <v/>
      </c>
      <c r="BR183" s="5">
        <f>SUMPRODUCT(React!$C$178:$BR$178,Curves!$G$20:$BV$20)+SUMPRODUCT(React!$C$179:$BR$179,Curves!$G$43:$BV$43)+SUMPRODUCT(React!$C$180:$BR$180,Curves!$G$66:$BV$66)</f>
        <v/>
      </c>
      <c r="BS183" s="5">
        <f>SUMPRODUCT(React!$C$178:$BS$178,Curves!$F$20:$BV$20)+SUMPRODUCT(React!$C$179:$BS$179,Curves!$F$43:$BV$43)+SUMPRODUCT(React!$C$180:$BS$180,Curves!$F$66:$BV$66)</f>
        <v/>
      </c>
      <c r="BT183" s="5">
        <f>SUMPRODUCT(React!$C$178:$BT$178,Curves!$E$20:$BV$20)+SUMPRODUCT(React!$C$179:$BT$179,Curves!$E$43:$BV$43)+SUMPRODUCT(React!$C$180:$BT$180,Curves!$E$66:$BV$66)</f>
        <v/>
      </c>
      <c r="BU183" s="5">
        <f>SUMPRODUCT(React!$C$178:$BU$178,Curves!$D$20:$BV$20)+SUMPRODUCT(React!$C$179:$BU$179,Curves!$D$43:$BV$43)+SUMPRODUCT(React!$C$180:$BU$180,Curves!$D$66:$BV$66)</f>
        <v/>
      </c>
      <c r="BV183" s="5">
        <f>SUMPRODUCT(React!$C$178:$BV$178,Curves!$C$20:$BV$20)+SUMPRODUCT(React!$C$179:$BV$179,Curves!$C$43:$BV$43)+SUMPRODUCT(React!$C$180:$BV$180,Curves!$C$66:$BV$66)</f>
        <v/>
      </c>
    </row>
    <row r="185">
      <c r="A185" t="inlineStr">
        <is>
          <t>churn pool inflow</t>
        </is>
      </c>
      <c r="B185" t="inlineStr">
        <is>
          <t>APAC|BASIC_M</t>
        </is>
      </c>
      <c r="C185" s="5">
        <f>Paid!C61+Legacy!C63</f>
        <v/>
      </c>
      <c r="D185" s="5">
        <f>Paid!D61+Legacy!D63</f>
        <v/>
      </c>
      <c r="E185" s="5">
        <f>Paid!E61+Legacy!E63</f>
        <v/>
      </c>
      <c r="F185" s="5">
        <f>Paid!F61+Legacy!F63</f>
        <v/>
      </c>
      <c r="G185" s="5">
        <f>Paid!G61+Legacy!G63</f>
        <v/>
      </c>
      <c r="H185" s="5">
        <f>Paid!H61+Legacy!H63</f>
        <v/>
      </c>
      <c r="I185" s="5">
        <f>Paid!I61+Legacy!I63</f>
        <v/>
      </c>
      <c r="J185" s="5">
        <f>Paid!J61+Legacy!J63</f>
        <v/>
      </c>
      <c r="K185" s="5">
        <f>Paid!K61+Legacy!K63</f>
        <v/>
      </c>
      <c r="L185" s="5">
        <f>Paid!L61+Legacy!L63</f>
        <v/>
      </c>
      <c r="M185" s="5">
        <f>Paid!M61+Legacy!M63</f>
        <v/>
      </c>
      <c r="N185" s="5">
        <f>Paid!N61+Legacy!N63</f>
        <v/>
      </c>
      <c r="O185" s="5">
        <f>Paid!O61+Legacy!O63</f>
        <v/>
      </c>
      <c r="P185" s="5">
        <f>Paid!P61+Legacy!P63</f>
        <v/>
      </c>
      <c r="Q185" s="5">
        <f>Paid!Q61+Legacy!Q63</f>
        <v/>
      </c>
      <c r="R185" s="5">
        <f>Paid!R61+Legacy!R63</f>
        <v/>
      </c>
      <c r="S185" s="5">
        <f>Paid!S61+Legacy!S63</f>
        <v/>
      </c>
      <c r="T185" s="5">
        <f>Paid!T61+Legacy!T63</f>
        <v/>
      </c>
      <c r="U185" s="5">
        <f>Paid!U61+Legacy!U63</f>
        <v/>
      </c>
      <c r="V185" s="5">
        <f>Paid!V61+Legacy!V63</f>
        <v/>
      </c>
      <c r="W185" s="5">
        <f>Paid!W61+Legacy!W63</f>
        <v/>
      </c>
      <c r="X185" s="5">
        <f>Paid!X61+Legacy!X63</f>
        <v/>
      </c>
      <c r="Y185" s="5">
        <f>Paid!Y61+Legacy!Y63</f>
        <v/>
      </c>
      <c r="Z185" s="5">
        <f>Paid!Z61+Legacy!Z63</f>
        <v/>
      </c>
      <c r="AA185" s="5">
        <f>Paid!AA61+Legacy!AA63</f>
        <v/>
      </c>
      <c r="AB185" s="5">
        <f>Paid!AB61+Legacy!AB63</f>
        <v/>
      </c>
      <c r="AC185" s="5">
        <f>Paid!AC61+Legacy!AC63</f>
        <v/>
      </c>
      <c r="AD185" s="5">
        <f>Paid!AD61+Legacy!AD63</f>
        <v/>
      </c>
      <c r="AE185" s="5">
        <f>Paid!AE61+Legacy!AE63</f>
        <v/>
      </c>
      <c r="AF185" s="5">
        <f>Paid!AF61+Legacy!AF63</f>
        <v/>
      </c>
      <c r="AG185" s="5">
        <f>Paid!AG61+Legacy!AG63</f>
        <v/>
      </c>
      <c r="AH185" s="5">
        <f>Paid!AH61+Legacy!AH63</f>
        <v/>
      </c>
      <c r="AI185" s="5">
        <f>Paid!AI61+Legacy!AI63</f>
        <v/>
      </c>
      <c r="AJ185" s="5">
        <f>Paid!AJ61+Legacy!AJ63</f>
        <v/>
      </c>
      <c r="AK185" s="5">
        <f>Paid!AK61+Legacy!AK63</f>
        <v/>
      </c>
      <c r="AL185" s="5">
        <f>Paid!AL61+Legacy!AL63</f>
        <v/>
      </c>
      <c r="AM185" s="5">
        <f>Paid!AM61+Legacy!AM63</f>
        <v/>
      </c>
      <c r="AN185" s="5">
        <f>Paid!AN61+Legacy!AN63</f>
        <v/>
      </c>
      <c r="AO185" s="5">
        <f>Paid!AO61+Legacy!AO63</f>
        <v/>
      </c>
      <c r="AP185" s="5">
        <f>Paid!AP61+Legacy!AP63</f>
        <v/>
      </c>
      <c r="AQ185" s="5">
        <f>Paid!AQ61+Legacy!AQ63</f>
        <v/>
      </c>
      <c r="AR185" s="5">
        <f>Paid!AR61+Legacy!AR63</f>
        <v/>
      </c>
      <c r="AS185" s="5">
        <f>Paid!AS61+Legacy!AS63</f>
        <v/>
      </c>
      <c r="AT185" s="5">
        <f>Paid!AT61+Legacy!AT63</f>
        <v/>
      </c>
      <c r="AU185" s="5">
        <f>Paid!AU61+Legacy!AU63</f>
        <v/>
      </c>
      <c r="AV185" s="5">
        <f>Paid!AV61+Legacy!AV63</f>
        <v/>
      </c>
      <c r="AW185" s="5">
        <f>Paid!AW61+Legacy!AW63</f>
        <v/>
      </c>
      <c r="AX185" s="5">
        <f>Paid!AX61+Legacy!AX63</f>
        <v/>
      </c>
      <c r="AY185" s="5">
        <f>Paid!AY61+Legacy!AY63</f>
        <v/>
      </c>
      <c r="AZ185" s="5">
        <f>Paid!AZ61+Legacy!AZ63</f>
        <v/>
      </c>
      <c r="BA185" s="5">
        <f>Paid!BA61+Legacy!BA63</f>
        <v/>
      </c>
      <c r="BB185" s="5">
        <f>Paid!BB61+Legacy!BB63</f>
        <v/>
      </c>
      <c r="BC185" s="5">
        <f>Paid!BC61+Legacy!BC63</f>
        <v/>
      </c>
      <c r="BD185" s="5">
        <f>Paid!BD61+Legacy!BD63</f>
        <v/>
      </c>
      <c r="BE185" s="5">
        <f>Paid!BE61+Legacy!BE63</f>
        <v/>
      </c>
      <c r="BF185" s="5">
        <f>Paid!BF61+Legacy!BF63</f>
        <v/>
      </c>
      <c r="BG185" s="5">
        <f>Paid!BG61+Legacy!BG63</f>
        <v/>
      </c>
      <c r="BH185" s="5">
        <f>Paid!BH61+Legacy!BH63</f>
        <v/>
      </c>
      <c r="BI185" s="5">
        <f>Paid!BI61+Legacy!BI63</f>
        <v/>
      </c>
      <c r="BJ185" s="5">
        <f>Paid!BJ61+Legacy!BJ63</f>
        <v/>
      </c>
      <c r="BK185" s="5">
        <f>Paid!BK61+Legacy!BK63</f>
        <v/>
      </c>
      <c r="BL185" s="5">
        <f>Paid!BL61+Legacy!BL63</f>
        <v/>
      </c>
      <c r="BM185" s="5">
        <f>Paid!BM61+Legacy!BM63</f>
        <v/>
      </c>
      <c r="BN185" s="5">
        <f>Paid!BN61+Legacy!BN63</f>
        <v/>
      </c>
      <c r="BO185" s="5">
        <f>Paid!BO61+Legacy!BO63</f>
        <v/>
      </c>
      <c r="BP185" s="5">
        <f>Paid!BP61+Legacy!BP63</f>
        <v/>
      </c>
      <c r="BQ185" s="5">
        <f>Paid!BQ61+Legacy!BQ63</f>
        <v/>
      </c>
      <c r="BR185" s="5">
        <f>Paid!BR61+Legacy!BR63</f>
        <v/>
      </c>
      <c r="BS185" s="5">
        <f>Paid!BS61+Legacy!BS63</f>
        <v/>
      </c>
      <c r="BT185" s="5">
        <f>Paid!BT61+Legacy!BT63</f>
        <v/>
      </c>
      <c r="BU185" s="5">
        <f>Paid!BU61+Legacy!BU63</f>
        <v/>
      </c>
      <c r="BV185" s="5">
        <f>Paid!BV61+Legacy!BV63</f>
        <v/>
      </c>
    </row>
    <row r="186">
      <c r="A186" t="inlineStr">
        <is>
          <t>inflow @0</t>
        </is>
      </c>
      <c r="B186" t="inlineStr">
        <is>
          <t>APAC|BASIC_M</t>
        </is>
      </c>
      <c r="C186" s="5">
        <f>C185*Eras!C$3</f>
        <v/>
      </c>
      <c r="D186" s="5">
        <f>D185*Eras!D$3</f>
        <v/>
      </c>
      <c r="E186" s="5">
        <f>E185*Eras!E$3</f>
        <v/>
      </c>
      <c r="F186" s="5">
        <f>F185*Eras!F$3</f>
        <v/>
      </c>
      <c r="G186" s="5">
        <f>G185*Eras!G$3</f>
        <v/>
      </c>
      <c r="H186" s="5">
        <f>H185*Eras!H$3</f>
        <v/>
      </c>
      <c r="I186" s="5">
        <f>I185*Eras!I$3</f>
        <v/>
      </c>
      <c r="J186" s="5">
        <f>J185*Eras!J$3</f>
        <v/>
      </c>
      <c r="K186" s="5">
        <f>K185*Eras!K$3</f>
        <v/>
      </c>
      <c r="L186" s="5">
        <f>L185*Eras!L$3</f>
        <v/>
      </c>
      <c r="M186" s="5">
        <f>M185*Eras!M$3</f>
        <v/>
      </c>
      <c r="N186" s="5">
        <f>N185*Eras!N$3</f>
        <v/>
      </c>
      <c r="O186" s="5">
        <f>O185*Eras!O$3</f>
        <v/>
      </c>
      <c r="P186" s="5">
        <f>P185*Eras!P$3</f>
        <v/>
      </c>
      <c r="Q186" s="5">
        <f>Q185*Eras!Q$3</f>
        <v/>
      </c>
      <c r="R186" s="5">
        <f>R185*Eras!R$3</f>
        <v/>
      </c>
      <c r="S186" s="5">
        <f>S185*Eras!S$3</f>
        <v/>
      </c>
      <c r="T186" s="5">
        <f>T185*Eras!T$3</f>
        <v/>
      </c>
      <c r="U186" s="5">
        <f>U185*Eras!U$3</f>
        <v/>
      </c>
      <c r="V186" s="5">
        <f>V185*Eras!V$3</f>
        <v/>
      </c>
      <c r="W186" s="5">
        <f>W185*Eras!W$3</f>
        <v/>
      </c>
      <c r="X186" s="5">
        <f>X185*Eras!X$3</f>
        <v/>
      </c>
      <c r="Y186" s="5">
        <f>Y185*Eras!Y$3</f>
        <v/>
      </c>
      <c r="Z186" s="5">
        <f>Z185*Eras!Z$3</f>
        <v/>
      </c>
      <c r="AA186" s="5">
        <f>AA185*Eras!AA$3</f>
        <v/>
      </c>
      <c r="AB186" s="5">
        <f>AB185*Eras!AB$3</f>
        <v/>
      </c>
      <c r="AC186" s="5">
        <f>AC185*Eras!AC$3</f>
        <v/>
      </c>
      <c r="AD186" s="5">
        <f>AD185*Eras!AD$3</f>
        <v/>
      </c>
      <c r="AE186" s="5">
        <f>AE185*Eras!AE$3</f>
        <v/>
      </c>
      <c r="AF186" s="5">
        <f>AF185*Eras!AF$3</f>
        <v/>
      </c>
      <c r="AG186" s="5">
        <f>AG185*Eras!AG$3</f>
        <v/>
      </c>
      <c r="AH186" s="5">
        <f>AH185*Eras!AH$3</f>
        <v/>
      </c>
      <c r="AI186" s="5">
        <f>AI185*Eras!AI$3</f>
        <v/>
      </c>
      <c r="AJ186" s="5">
        <f>AJ185*Eras!AJ$3</f>
        <v/>
      </c>
      <c r="AK186" s="5">
        <f>AK185*Eras!AK$3</f>
        <v/>
      </c>
      <c r="AL186" s="5">
        <f>AL185*Eras!AL$3</f>
        <v/>
      </c>
      <c r="AM186" s="5">
        <f>AM185*Eras!AM$3</f>
        <v/>
      </c>
      <c r="AN186" s="5">
        <f>AN185*Eras!AN$3</f>
        <v/>
      </c>
      <c r="AO186" s="5">
        <f>AO185*Eras!AO$3</f>
        <v/>
      </c>
      <c r="AP186" s="5">
        <f>AP185*Eras!AP$3</f>
        <v/>
      </c>
      <c r="AQ186" s="5">
        <f>AQ185*Eras!AQ$3</f>
        <v/>
      </c>
      <c r="AR186" s="5">
        <f>AR185*Eras!AR$3</f>
        <v/>
      </c>
      <c r="AS186" s="5">
        <f>AS185*Eras!AS$3</f>
        <v/>
      </c>
      <c r="AT186" s="5">
        <f>AT185*Eras!AT$3</f>
        <v/>
      </c>
      <c r="AU186" s="5">
        <f>AU185*Eras!AU$3</f>
        <v/>
      </c>
      <c r="AV186" s="5">
        <f>AV185*Eras!AV$3</f>
        <v/>
      </c>
      <c r="AW186" s="5">
        <f>AW185*Eras!AW$3</f>
        <v/>
      </c>
      <c r="AX186" s="5">
        <f>AX185*Eras!AX$3</f>
        <v/>
      </c>
      <c r="AY186" s="5">
        <f>AY185*Eras!AY$3</f>
        <v/>
      </c>
      <c r="AZ186" s="5">
        <f>AZ185*Eras!AZ$3</f>
        <v/>
      </c>
      <c r="BA186" s="5">
        <f>BA185*Eras!BA$3</f>
        <v/>
      </c>
      <c r="BB186" s="5">
        <f>BB185*Eras!BB$3</f>
        <v/>
      </c>
      <c r="BC186" s="5">
        <f>BC185*Eras!BC$3</f>
        <v/>
      </c>
      <c r="BD186" s="5">
        <f>BD185*Eras!BD$3</f>
        <v/>
      </c>
      <c r="BE186" s="5">
        <f>BE185*Eras!BE$3</f>
        <v/>
      </c>
      <c r="BF186" s="5">
        <f>BF185*Eras!BF$3</f>
        <v/>
      </c>
      <c r="BG186" s="5">
        <f>BG185*Eras!BG$3</f>
        <v/>
      </c>
      <c r="BH186" s="5">
        <f>BH185*Eras!BH$3</f>
        <v/>
      </c>
      <c r="BI186" s="5">
        <f>BI185*Eras!BI$3</f>
        <v/>
      </c>
      <c r="BJ186" s="5">
        <f>BJ185*Eras!BJ$3</f>
        <v/>
      </c>
      <c r="BK186" s="5">
        <f>BK185*Eras!BK$3</f>
        <v/>
      </c>
      <c r="BL186" s="5">
        <f>BL185*Eras!BL$3</f>
        <v/>
      </c>
      <c r="BM186" s="5">
        <f>BM185*Eras!BM$3</f>
        <v/>
      </c>
      <c r="BN186" s="5">
        <f>BN185*Eras!BN$3</f>
        <v/>
      </c>
      <c r="BO186" s="5">
        <f>BO185*Eras!BO$3</f>
        <v/>
      </c>
      <c r="BP186" s="5">
        <f>BP185*Eras!BP$3</f>
        <v/>
      </c>
      <c r="BQ186" s="5">
        <f>BQ185*Eras!BQ$3</f>
        <v/>
      </c>
      <c r="BR186" s="5">
        <f>BR185*Eras!BR$3</f>
        <v/>
      </c>
      <c r="BS186" s="5">
        <f>BS185*Eras!BS$3</f>
        <v/>
      </c>
      <c r="BT186" s="5">
        <f>BT185*Eras!BT$3</f>
        <v/>
      </c>
      <c r="BU186" s="5">
        <f>BU185*Eras!BU$3</f>
        <v/>
      </c>
      <c r="BV186" s="5">
        <f>BV185*Eras!BV$3</f>
        <v/>
      </c>
    </row>
    <row r="187">
      <c r="A187" t="inlineStr">
        <is>
          <t>inflow @1</t>
        </is>
      </c>
      <c r="B187" t="inlineStr">
        <is>
          <t>APAC|BASIC_M</t>
        </is>
      </c>
      <c r="C187" s="5">
        <f>C185*Eras!C$4</f>
        <v/>
      </c>
      <c r="D187" s="5">
        <f>D185*Eras!D$4</f>
        <v/>
      </c>
      <c r="E187" s="5">
        <f>E185*Eras!E$4</f>
        <v/>
      </c>
      <c r="F187" s="5">
        <f>F185*Eras!F$4</f>
        <v/>
      </c>
      <c r="G187" s="5">
        <f>G185*Eras!G$4</f>
        <v/>
      </c>
      <c r="H187" s="5">
        <f>H185*Eras!H$4</f>
        <v/>
      </c>
      <c r="I187" s="5">
        <f>I185*Eras!I$4</f>
        <v/>
      </c>
      <c r="J187" s="5">
        <f>J185*Eras!J$4</f>
        <v/>
      </c>
      <c r="K187" s="5">
        <f>K185*Eras!K$4</f>
        <v/>
      </c>
      <c r="L187" s="5">
        <f>L185*Eras!L$4</f>
        <v/>
      </c>
      <c r="M187" s="5">
        <f>M185*Eras!M$4</f>
        <v/>
      </c>
      <c r="N187" s="5">
        <f>N185*Eras!N$4</f>
        <v/>
      </c>
      <c r="O187" s="5">
        <f>O185*Eras!O$4</f>
        <v/>
      </c>
      <c r="P187" s="5">
        <f>P185*Eras!P$4</f>
        <v/>
      </c>
      <c r="Q187" s="5">
        <f>Q185*Eras!Q$4</f>
        <v/>
      </c>
      <c r="R187" s="5">
        <f>R185*Eras!R$4</f>
        <v/>
      </c>
      <c r="S187" s="5">
        <f>S185*Eras!S$4</f>
        <v/>
      </c>
      <c r="T187" s="5">
        <f>T185*Eras!T$4</f>
        <v/>
      </c>
      <c r="U187" s="5">
        <f>U185*Eras!U$4</f>
        <v/>
      </c>
      <c r="V187" s="5">
        <f>V185*Eras!V$4</f>
        <v/>
      </c>
      <c r="W187" s="5">
        <f>W185*Eras!W$4</f>
        <v/>
      </c>
      <c r="X187" s="5">
        <f>X185*Eras!X$4</f>
        <v/>
      </c>
      <c r="Y187" s="5">
        <f>Y185*Eras!Y$4</f>
        <v/>
      </c>
      <c r="Z187" s="5">
        <f>Z185*Eras!Z$4</f>
        <v/>
      </c>
      <c r="AA187" s="5">
        <f>AA185*Eras!AA$4</f>
        <v/>
      </c>
      <c r="AB187" s="5">
        <f>AB185*Eras!AB$4</f>
        <v/>
      </c>
      <c r="AC187" s="5">
        <f>AC185*Eras!AC$4</f>
        <v/>
      </c>
      <c r="AD187" s="5">
        <f>AD185*Eras!AD$4</f>
        <v/>
      </c>
      <c r="AE187" s="5">
        <f>AE185*Eras!AE$4</f>
        <v/>
      </c>
      <c r="AF187" s="5">
        <f>AF185*Eras!AF$4</f>
        <v/>
      </c>
      <c r="AG187" s="5">
        <f>AG185*Eras!AG$4</f>
        <v/>
      </c>
      <c r="AH187" s="5">
        <f>AH185*Eras!AH$4</f>
        <v/>
      </c>
      <c r="AI187" s="5">
        <f>AI185*Eras!AI$4</f>
        <v/>
      </c>
      <c r="AJ187" s="5">
        <f>AJ185*Eras!AJ$4</f>
        <v/>
      </c>
      <c r="AK187" s="5">
        <f>AK185*Eras!AK$4</f>
        <v/>
      </c>
      <c r="AL187" s="5">
        <f>AL185*Eras!AL$4</f>
        <v/>
      </c>
      <c r="AM187" s="5">
        <f>AM185*Eras!AM$4</f>
        <v/>
      </c>
      <c r="AN187" s="5">
        <f>AN185*Eras!AN$4</f>
        <v/>
      </c>
      <c r="AO187" s="5">
        <f>AO185*Eras!AO$4</f>
        <v/>
      </c>
      <c r="AP187" s="5">
        <f>AP185*Eras!AP$4</f>
        <v/>
      </c>
      <c r="AQ187" s="5">
        <f>AQ185*Eras!AQ$4</f>
        <v/>
      </c>
      <c r="AR187" s="5">
        <f>AR185*Eras!AR$4</f>
        <v/>
      </c>
      <c r="AS187" s="5">
        <f>AS185*Eras!AS$4</f>
        <v/>
      </c>
      <c r="AT187" s="5">
        <f>AT185*Eras!AT$4</f>
        <v/>
      </c>
      <c r="AU187" s="5">
        <f>AU185*Eras!AU$4</f>
        <v/>
      </c>
      <c r="AV187" s="5">
        <f>AV185*Eras!AV$4</f>
        <v/>
      </c>
      <c r="AW187" s="5">
        <f>AW185*Eras!AW$4</f>
        <v/>
      </c>
      <c r="AX187" s="5">
        <f>AX185*Eras!AX$4</f>
        <v/>
      </c>
      <c r="AY187" s="5">
        <f>AY185*Eras!AY$4</f>
        <v/>
      </c>
      <c r="AZ187" s="5">
        <f>AZ185*Eras!AZ$4</f>
        <v/>
      </c>
      <c r="BA187" s="5">
        <f>BA185*Eras!BA$4</f>
        <v/>
      </c>
      <c r="BB187" s="5">
        <f>BB185*Eras!BB$4</f>
        <v/>
      </c>
      <c r="BC187" s="5">
        <f>BC185*Eras!BC$4</f>
        <v/>
      </c>
      <c r="BD187" s="5">
        <f>BD185*Eras!BD$4</f>
        <v/>
      </c>
      <c r="BE187" s="5">
        <f>BE185*Eras!BE$4</f>
        <v/>
      </c>
      <c r="BF187" s="5">
        <f>BF185*Eras!BF$4</f>
        <v/>
      </c>
      <c r="BG187" s="5">
        <f>BG185*Eras!BG$4</f>
        <v/>
      </c>
      <c r="BH187" s="5">
        <f>BH185*Eras!BH$4</f>
        <v/>
      </c>
      <c r="BI187" s="5">
        <f>BI185*Eras!BI$4</f>
        <v/>
      </c>
      <c r="BJ187" s="5">
        <f>BJ185*Eras!BJ$4</f>
        <v/>
      </c>
      <c r="BK187" s="5">
        <f>BK185*Eras!BK$4</f>
        <v/>
      </c>
      <c r="BL187" s="5">
        <f>BL185*Eras!BL$4</f>
        <v/>
      </c>
      <c r="BM187" s="5">
        <f>BM185*Eras!BM$4</f>
        <v/>
      </c>
      <c r="BN187" s="5">
        <f>BN185*Eras!BN$4</f>
        <v/>
      </c>
      <c r="BO187" s="5">
        <f>BO185*Eras!BO$4</f>
        <v/>
      </c>
      <c r="BP187" s="5">
        <f>BP185*Eras!BP$4</f>
        <v/>
      </c>
      <c r="BQ187" s="5">
        <f>BQ185*Eras!BQ$4</f>
        <v/>
      </c>
      <c r="BR187" s="5">
        <f>BR185*Eras!BR$4</f>
        <v/>
      </c>
      <c r="BS187" s="5">
        <f>BS185*Eras!BS$4</f>
        <v/>
      </c>
      <c r="BT187" s="5">
        <f>BT185*Eras!BT$4</f>
        <v/>
      </c>
      <c r="BU187" s="5">
        <f>BU185*Eras!BU$4</f>
        <v/>
      </c>
      <c r="BV187" s="5">
        <f>BV185*Eras!BV$4</f>
        <v/>
      </c>
    </row>
    <row r="188">
      <c r="A188" t="inlineStr">
        <is>
          <t>inflow @2</t>
        </is>
      </c>
      <c r="B188" t="inlineStr">
        <is>
          <t>APAC|BASIC_M</t>
        </is>
      </c>
      <c r="C188" s="5">
        <f>C185*Eras!C$5</f>
        <v/>
      </c>
      <c r="D188" s="5">
        <f>D185*Eras!D$5</f>
        <v/>
      </c>
      <c r="E188" s="5">
        <f>E185*Eras!E$5</f>
        <v/>
      </c>
      <c r="F188" s="5">
        <f>F185*Eras!F$5</f>
        <v/>
      </c>
      <c r="G188" s="5">
        <f>G185*Eras!G$5</f>
        <v/>
      </c>
      <c r="H188" s="5">
        <f>H185*Eras!H$5</f>
        <v/>
      </c>
      <c r="I188" s="5">
        <f>I185*Eras!I$5</f>
        <v/>
      </c>
      <c r="J188" s="5">
        <f>J185*Eras!J$5</f>
        <v/>
      </c>
      <c r="K188" s="5">
        <f>K185*Eras!K$5</f>
        <v/>
      </c>
      <c r="L188" s="5">
        <f>L185*Eras!L$5</f>
        <v/>
      </c>
      <c r="M188" s="5">
        <f>M185*Eras!M$5</f>
        <v/>
      </c>
      <c r="N188" s="5">
        <f>N185*Eras!N$5</f>
        <v/>
      </c>
      <c r="O188" s="5">
        <f>O185*Eras!O$5</f>
        <v/>
      </c>
      <c r="P188" s="5">
        <f>P185*Eras!P$5</f>
        <v/>
      </c>
      <c r="Q188" s="5">
        <f>Q185*Eras!Q$5</f>
        <v/>
      </c>
      <c r="R188" s="5">
        <f>R185*Eras!R$5</f>
        <v/>
      </c>
      <c r="S188" s="5">
        <f>S185*Eras!S$5</f>
        <v/>
      </c>
      <c r="T188" s="5">
        <f>T185*Eras!T$5</f>
        <v/>
      </c>
      <c r="U188" s="5">
        <f>U185*Eras!U$5</f>
        <v/>
      </c>
      <c r="V188" s="5">
        <f>V185*Eras!V$5</f>
        <v/>
      </c>
      <c r="W188" s="5">
        <f>W185*Eras!W$5</f>
        <v/>
      </c>
      <c r="X188" s="5">
        <f>X185*Eras!X$5</f>
        <v/>
      </c>
      <c r="Y188" s="5">
        <f>Y185*Eras!Y$5</f>
        <v/>
      </c>
      <c r="Z188" s="5">
        <f>Z185*Eras!Z$5</f>
        <v/>
      </c>
      <c r="AA188" s="5">
        <f>AA185*Eras!AA$5</f>
        <v/>
      </c>
      <c r="AB188" s="5">
        <f>AB185*Eras!AB$5</f>
        <v/>
      </c>
      <c r="AC188" s="5">
        <f>AC185*Eras!AC$5</f>
        <v/>
      </c>
      <c r="AD188" s="5">
        <f>AD185*Eras!AD$5</f>
        <v/>
      </c>
      <c r="AE188" s="5">
        <f>AE185*Eras!AE$5</f>
        <v/>
      </c>
      <c r="AF188" s="5">
        <f>AF185*Eras!AF$5</f>
        <v/>
      </c>
      <c r="AG188" s="5">
        <f>AG185*Eras!AG$5</f>
        <v/>
      </c>
      <c r="AH188" s="5">
        <f>AH185*Eras!AH$5</f>
        <v/>
      </c>
      <c r="AI188" s="5">
        <f>AI185*Eras!AI$5</f>
        <v/>
      </c>
      <c r="AJ188" s="5">
        <f>AJ185*Eras!AJ$5</f>
        <v/>
      </c>
      <c r="AK188" s="5">
        <f>AK185*Eras!AK$5</f>
        <v/>
      </c>
      <c r="AL188" s="5">
        <f>AL185*Eras!AL$5</f>
        <v/>
      </c>
      <c r="AM188" s="5">
        <f>AM185*Eras!AM$5</f>
        <v/>
      </c>
      <c r="AN188" s="5">
        <f>AN185*Eras!AN$5</f>
        <v/>
      </c>
      <c r="AO188" s="5">
        <f>AO185*Eras!AO$5</f>
        <v/>
      </c>
      <c r="AP188" s="5">
        <f>AP185*Eras!AP$5</f>
        <v/>
      </c>
      <c r="AQ188" s="5">
        <f>AQ185*Eras!AQ$5</f>
        <v/>
      </c>
      <c r="AR188" s="5">
        <f>AR185*Eras!AR$5</f>
        <v/>
      </c>
      <c r="AS188" s="5">
        <f>AS185*Eras!AS$5</f>
        <v/>
      </c>
      <c r="AT188" s="5">
        <f>AT185*Eras!AT$5</f>
        <v/>
      </c>
      <c r="AU188" s="5">
        <f>AU185*Eras!AU$5</f>
        <v/>
      </c>
      <c r="AV188" s="5">
        <f>AV185*Eras!AV$5</f>
        <v/>
      </c>
      <c r="AW188" s="5">
        <f>AW185*Eras!AW$5</f>
        <v/>
      </c>
      <c r="AX188" s="5">
        <f>AX185*Eras!AX$5</f>
        <v/>
      </c>
      <c r="AY188" s="5">
        <f>AY185*Eras!AY$5</f>
        <v/>
      </c>
      <c r="AZ188" s="5">
        <f>AZ185*Eras!AZ$5</f>
        <v/>
      </c>
      <c r="BA188" s="5">
        <f>BA185*Eras!BA$5</f>
        <v/>
      </c>
      <c r="BB188" s="5">
        <f>BB185*Eras!BB$5</f>
        <v/>
      </c>
      <c r="BC188" s="5">
        <f>BC185*Eras!BC$5</f>
        <v/>
      </c>
      <c r="BD188" s="5">
        <f>BD185*Eras!BD$5</f>
        <v/>
      </c>
      <c r="BE188" s="5">
        <f>BE185*Eras!BE$5</f>
        <v/>
      </c>
      <c r="BF188" s="5">
        <f>BF185*Eras!BF$5</f>
        <v/>
      </c>
      <c r="BG188" s="5">
        <f>BG185*Eras!BG$5</f>
        <v/>
      </c>
      <c r="BH188" s="5">
        <f>BH185*Eras!BH$5</f>
        <v/>
      </c>
      <c r="BI188" s="5">
        <f>BI185*Eras!BI$5</f>
        <v/>
      </c>
      <c r="BJ188" s="5">
        <f>BJ185*Eras!BJ$5</f>
        <v/>
      </c>
      <c r="BK188" s="5">
        <f>BK185*Eras!BK$5</f>
        <v/>
      </c>
      <c r="BL188" s="5">
        <f>BL185*Eras!BL$5</f>
        <v/>
      </c>
      <c r="BM188" s="5">
        <f>BM185*Eras!BM$5</f>
        <v/>
      </c>
      <c r="BN188" s="5">
        <f>BN185*Eras!BN$5</f>
        <v/>
      </c>
      <c r="BO188" s="5">
        <f>BO185*Eras!BO$5</f>
        <v/>
      </c>
      <c r="BP188" s="5">
        <f>BP185*Eras!BP$5</f>
        <v/>
      </c>
      <c r="BQ188" s="5">
        <f>BQ185*Eras!BQ$5</f>
        <v/>
      </c>
      <c r="BR188" s="5">
        <f>BR185*Eras!BR$5</f>
        <v/>
      </c>
      <c r="BS188" s="5">
        <f>BS185*Eras!BS$5</f>
        <v/>
      </c>
      <c r="BT188" s="5">
        <f>BT185*Eras!BT$5</f>
        <v/>
      </c>
      <c r="BU188" s="5">
        <f>BU185*Eras!BU$5</f>
        <v/>
      </c>
      <c r="BV188" s="5">
        <f>BV185*Eras!BV$5</f>
        <v/>
      </c>
    </row>
    <row r="189">
      <c r="A189" t="inlineStr">
        <is>
          <t>reactivations out</t>
        </is>
      </c>
      <c r="B189" t="inlineStr">
        <is>
          <t>APAC|BASIC_M</t>
        </is>
      </c>
      <c r="C189" s="5">
        <f>React!$C$186*Curves!$BV$21+React!$C$187*Curves!$BV$44+React!$C$188*Curves!$BV$67</f>
        <v/>
      </c>
      <c r="D189" s="5">
        <f>SUMPRODUCT(React!$C$186:$D$186,Curves!$BU$21:$BV$21)+SUMPRODUCT(React!$C$187:$D$187,Curves!$BU$44:$BV$44)+SUMPRODUCT(React!$C$188:$D$188,Curves!$BU$67:$BV$67)</f>
        <v/>
      </c>
      <c r="E189" s="5">
        <f>SUMPRODUCT(React!$C$186:$E$186,Curves!$BT$21:$BV$21)+SUMPRODUCT(React!$C$187:$E$187,Curves!$BT$44:$BV$44)+SUMPRODUCT(React!$C$188:$E$188,Curves!$BT$67:$BV$67)</f>
        <v/>
      </c>
      <c r="F189" s="5">
        <f>SUMPRODUCT(React!$C$186:$F$186,Curves!$BS$21:$BV$21)+SUMPRODUCT(React!$C$187:$F$187,Curves!$BS$44:$BV$44)+SUMPRODUCT(React!$C$188:$F$188,Curves!$BS$67:$BV$67)</f>
        <v/>
      </c>
      <c r="G189" s="5">
        <f>SUMPRODUCT(React!$C$186:$G$186,Curves!$BR$21:$BV$21)+SUMPRODUCT(React!$C$187:$G$187,Curves!$BR$44:$BV$44)+SUMPRODUCT(React!$C$188:$G$188,Curves!$BR$67:$BV$67)</f>
        <v/>
      </c>
      <c r="H189" s="5">
        <f>SUMPRODUCT(React!$C$186:$H$186,Curves!$BQ$21:$BV$21)+SUMPRODUCT(React!$C$187:$H$187,Curves!$BQ$44:$BV$44)+SUMPRODUCT(React!$C$188:$H$188,Curves!$BQ$67:$BV$67)</f>
        <v/>
      </c>
      <c r="I189" s="5">
        <f>SUMPRODUCT(React!$C$186:$I$186,Curves!$BP$21:$BV$21)+SUMPRODUCT(React!$C$187:$I$187,Curves!$BP$44:$BV$44)+SUMPRODUCT(React!$C$188:$I$188,Curves!$BP$67:$BV$67)</f>
        <v/>
      </c>
      <c r="J189" s="5">
        <f>SUMPRODUCT(React!$C$186:$J$186,Curves!$BO$21:$BV$21)+SUMPRODUCT(React!$C$187:$J$187,Curves!$BO$44:$BV$44)+SUMPRODUCT(React!$C$188:$J$188,Curves!$BO$67:$BV$67)</f>
        <v/>
      </c>
      <c r="K189" s="5">
        <f>SUMPRODUCT(React!$C$186:$K$186,Curves!$BN$21:$BV$21)+SUMPRODUCT(React!$C$187:$K$187,Curves!$BN$44:$BV$44)+SUMPRODUCT(React!$C$188:$K$188,Curves!$BN$67:$BV$67)</f>
        <v/>
      </c>
      <c r="L189" s="5">
        <f>SUMPRODUCT(React!$C$186:$L$186,Curves!$BM$21:$BV$21)+SUMPRODUCT(React!$C$187:$L$187,Curves!$BM$44:$BV$44)+SUMPRODUCT(React!$C$188:$L$188,Curves!$BM$67:$BV$67)</f>
        <v/>
      </c>
      <c r="M189" s="5">
        <f>SUMPRODUCT(React!$C$186:$M$186,Curves!$BL$21:$BV$21)+SUMPRODUCT(React!$C$187:$M$187,Curves!$BL$44:$BV$44)+SUMPRODUCT(React!$C$188:$M$188,Curves!$BL$67:$BV$67)</f>
        <v/>
      </c>
      <c r="N189" s="5">
        <f>SUMPRODUCT(React!$C$186:$N$186,Curves!$BK$21:$BV$21)+SUMPRODUCT(React!$C$187:$N$187,Curves!$BK$44:$BV$44)+SUMPRODUCT(React!$C$188:$N$188,Curves!$BK$67:$BV$67)</f>
        <v/>
      </c>
      <c r="O189" s="5">
        <f>SUMPRODUCT(React!$C$186:$O$186,Curves!$BJ$21:$BV$21)+SUMPRODUCT(React!$C$187:$O$187,Curves!$BJ$44:$BV$44)+SUMPRODUCT(React!$C$188:$O$188,Curves!$BJ$67:$BV$67)</f>
        <v/>
      </c>
      <c r="P189" s="5">
        <f>SUMPRODUCT(React!$C$186:$P$186,Curves!$BI$21:$BV$21)+SUMPRODUCT(React!$C$187:$P$187,Curves!$BI$44:$BV$44)+SUMPRODUCT(React!$C$188:$P$188,Curves!$BI$67:$BV$67)</f>
        <v/>
      </c>
      <c r="Q189" s="5">
        <f>SUMPRODUCT(React!$C$186:$Q$186,Curves!$BH$21:$BV$21)+SUMPRODUCT(React!$C$187:$Q$187,Curves!$BH$44:$BV$44)+SUMPRODUCT(React!$C$188:$Q$188,Curves!$BH$67:$BV$67)</f>
        <v/>
      </c>
      <c r="R189" s="5">
        <f>SUMPRODUCT(React!$C$186:$R$186,Curves!$BG$21:$BV$21)+SUMPRODUCT(React!$C$187:$R$187,Curves!$BG$44:$BV$44)+SUMPRODUCT(React!$C$188:$R$188,Curves!$BG$67:$BV$67)</f>
        <v/>
      </c>
      <c r="S189" s="5">
        <f>SUMPRODUCT(React!$C$186:$S$186,Curves!$BF$21:$BV$21)+SUMPRODUCT(React!$C$187:$S$187,Curves!$BF$44:$BV$44)+SUMPRODUCT(React!$C$188:$S$188,Curves!$BF$67:$BV$67)</f>
        <v/>
      </c>
      <c r="T189" s="5">
        <f>SUMPRODUCT(React!$C$186:$T$186,Curves!$BE$21:$BV$21)+SUMPRODUCT(React!$C$187:$T$187,Curves!$BE$44:$BV$44)+SUMPRODUCT(React!$C$188:$T$188,Curves!$BE$67:$BV$67)</f>
        <v/>
      </c>
      <c r="U189" s="5">
        <f>SUMPRODUCT(React!$C$186:$U$186,Curves!$BD$21:$BV$21)+SUMPRODUCT(React!$C$187:$U$187,Curves!$BD$44:$BV$44)+SUMPRODUCT(React!$C$188:$U$188,Curves!$BD$67:$BV$67)</f>
        <v/>
      </c>
      <c r="V189" s="5">
        <f>SUMPRODUCT(React!$C$186:$V$186,Curves!$BC$21:$BV$21)+SUMPRODUCT(React!$C$187:$V$187,Curves!$BC$44:$BV$44)+SUMPRODUCT(React!$C$188:$V$188,Curves!$BC$67:$BV$67)</f>
        <v/>
      </c>
      <c r="W189" s="5">
        <f>SUMPRODUCT(React!$C$186:$W$186,Curves!$BB$21:$BV$21)+SUMPRODUCT(React!$C$187:$W$187,Curves!$BB$44:$BV$44)+SUMPRODUCT(React!$C$188:$W$188,Curves!$BB$67:$BV$67)</f>
        <v/>
      </c>
      <c r="X189" s="5">
        <f>SUMPRODUCT(React!$C$186:$X$186,Curves!$BA$21:$BV$21)+SUMPRODUCT(React!$C$187:$X$187,Curves!$BA$44:$BV$44)+SUMPRODUCT(React!$C$188:$X$188,Curves!$BA$67:$BV$67)</f>
        <v/>
      </c>
      <c r="Y189" s="5">
        <f>SUMPRODUCT(React!$C$186:$Y$186,Curves!$AZ$21:$BV$21)+SUMPRODUCT(React!$C$187:$Y$187,Curves!$AZ$44:$BV$44)+SUMPRODUCT(React!$C$188:$Y$188,Curves!$AZ$67:$BV$67)</f>
        <v/>
      </c>
      <c r="Z189" s="5">
        <f>SUMPRODUCT(React!$C$186:$Z$186,Curves!$AY$21:$BV$21)+SUMPRODUCT(React!$C$187:$Z$187,Curves!$AY$44:$BV$44)+SUMPRODUCT(React!$C$188:$Z$188,Curves!$AY$67:$BV$67)</f>
        <v/>
      </c>
      <c r="AA189" s="5">
        <f>SUMPRODUCT(React!$C$186:$AA$186,Curves!$AX$21:$BV$21)+SUMPRODUCT(React!$C$187:$AA$187,Curves!$AX$44:$BV$44)+SUMPRODUCT(React!$C$188:$AA$188,Curves!$AX$67:$BV$67)</f>
        <v/>
      </c>
      <c r="AB189" s="5">
        <f>SUMPRODUCT(React!$C$186:$AB$186,Curves!$AW$21:$BV$21)+SUMPRODUCT(React!$C$187:$AB$187,Curves!$AW$44:$BV$44)+SUMPRODUCT(React!$C$188:$AB$188,Curves!$AW$67:$BV$67)</f>
        <v/>
      </c>
      <c r="AC189" s="5">
        <f>SUMPRODUCT(React!$C$186:$AC$186,Curves!$AV$21:$BV$21)+SUMPRODUCT(React!$C$187:$AC$187,Curves!$AV$44:$BV$44)+SUMPRODUCT(React!$C$188:$AC$188,Curves!$AV$67:$BV$67)</f>
        <v/>
      </c>
      <c r="AD189" s="5">
        <f>SUMPRODUCT(React!$C$186:$AD$186,Curves!$AU$21:$BV$21)+SUMPRODUCT(React!$C$187:$AD$187,Curves!$AU$44:$BV$44)+SUMPRODUCT(React!$C$188:$AD$188,Curves!$AU$67:$BV$67)</f>
        <v/>
      </c>
      <c r="AE189" s="5">
        <f>SUMPRODUCT(React!$C$186:$AE$186,Curves!$AT$21:$BV$21)+SUMPRODUCT(React!$C$187:$AE$187,Curves!$AT$44:$BV$44)+SUMPRODUCT(React!$C$188:$AE$188,Curves!$AT$67:$BV$67)</f>
        <v/>
      </c>
      <c r="AF189" s="5">
        <f>SUMPRODUCT(React!$C$186:$AF$186,Curves!$AS$21:$BV$21)+SUMPRODUCT(React!$C$187:$AF$187,Curves!$AS$44:$BV$44)+SUMPRODUCT(React!$C$188:$AF$188,Curves!$AS$67:$BV$67)</f>
        <v/>
      </c>
      <c r="AG189" s="5">
        <f>SUMPRODUCT(React!$C$186:$AG$186,Curves!$AR$21:$BV$21)+SUMPRODUCT(React!$C$187:$AG$187,Curves!$AR$44:$BV$44)+SUMPRODUCT(React!$C$188:$AG$188,Curves!$AR$67:$BV$67)</f>
        <v/>
      </c>
      <c r="AH189" s="5">
        <f>SUMPRODUCT(React!$C$186:$AH$186,Curves!$AQ$21:$BV$21)+SUMPRODUCT(React!$C$187:$AH$187,Curves!$AQ$44:$BV$44)+SUMPRODUCT(React!$C$188:$AH$188,Curves!$AQ$67:$BV$67)</f>
        <v/>
      </c>
      <c r="AI189" s="5">
        <f>SUMPRODUCT(React!$C$186:$AI$186,Curves!$AP$21:$BV$21)+SUMPRODUCT(React!$C$187:$AI$187,Curves!$AP$44:$BV$44)+SUMPRODUCT(React!$C$188:$AI$188,Curves!$AP$67:$BV$67)</f>
        <v/>
      </c>
      <c r="AJ189" s="5">
        <f>SUMPRODUCT(React!$C$186:$AJ$186,Curves!$AO$21:$BV$21)+SUMPRODUCT(React!$C$187:$AJ$187,Curves!$AO$44:$BV$44)+SUMPRODUCT(React!$C$188:$AJ$188,Curves!$AO$67:$BV$67)</f>
        <v/>
      </c>
      <c r="AK189" s="5">
        <f>SUMPRODUCT(React!$C$186:$AK$186,Curves!$AN$21:$BV$21)+SUMPRODUCT(React!$C$187:$AK$187,Curves!$AN$44:$BV$44)+SUMPRODUCT(React!$C$188:$AK$188,Curves!$AN$67:$BV$67)</f>
        <v/>
      </c>
      <c r="AL189" s="5">
        <f>SUMPRODUCT(React!$C$186:$AL$186,Curves!$AM$21:$BV$21)+SUMPRODUCT(React!$C$187:$AL$187,Curves!$AM$44:$BV$44)+SUMPRODUCT(React!$C$188:$AL$188,Curves!$AM$67:$BV$67)</f>
        <v/>
      </c>
      <c r="AM189" s="5">
        <f>SUMPRODUCT(React!$C$186:$AM$186,Curves!$AL$21:$BV$21)+SUMPRODUCT(React!$C$187:$AM$187,Curves!$AL$44:$BV$44)+SUMPRODUCT(React!$C$188:$AM$188,Curves!$AL$67:$BV$67)</f>
        <v/>
      </c>
      <c r="AN189" s="5">
        <f>SUMPRODUCT(React!$C$186:$AN$186,Curves!$AK$21:$BV$21)+SUMPRODUCT(React!$C$187:$AN$187,Curves!$AK$44:$BV$44)+SUMPRODUCT(React!$C$188:$AN$188,Curves!$AK$67:$BV$67)</f>
        <v/>
      </c>
      <c r="AO189" s="5">
        <f>SUMPRODUCT(React!$C$186:$AO$186,Curves!$AJ$21:$BV$21)+SUMPRODUCT(React!$C$187:$AO$187,Curves!$AJ$44:$BV$44)+SUMPRODUCT(React!$C$188:$AO$188,Curves!$AJ$67:$BV$67)</f>
        <v/>
      </c>
      <c r="AP189" s="5">
        <f>SUMPRODUCT(React!$C$186:$AP$186,Curves!$AI$21:$BV$21)+SUMPRODUCT(React!$C$187:$AP$187,Curves!$AI$44:$BV$44)+SUMPRODUCT(React!$C$188:$AP$188,Curves!$AI$67:$BV$67)</f>
        <v/>
      </c>
      <c r="AQ189" s="5">
        <f>SUMPRODUCT(React!$C$186:$AQ$186,Curves!$AH$21:$BV$21)+SUMPRODUCT(React!$C$187:$AQ$187,Curves!$AH$44:$BV$44)+SUMPRODUCT(React!$C$188:$AQ$188,Curves!$AH$67:$BV$67)</f>
        <v/>
      </c>
      <c r="AR189" s="5">
        <f>SUMPRODUCT(React!$C$186:$AR$186,Curves!$AG$21:$BV$21)+SUMPRODUCT(React!$C$187:$AR$187,Curves!$AG$44:$BV$44)+SUMPRODUCT(React!$C$188:$AR$188,Curves!$AG$67:$BV$67)</f>
        <v/>
      </c>
      <c r="AS189" s="5">
        <f>SUMPRODUCT(React!$C$186:$AS$186,Curves!$AF$21:$BV$21)+SUMPRODUCT(React!$C$187:$AS$187,Curves!$AF$44:$BV$44)+SUMPRODUCT(React!$C$188:$AS$188,Curves!$AF$67:$BV$67)</f>
        <v/>
      </c>
      <c r="AT189" s="5">
        <f>SUMPRODUCT(React!$C$186:$AT$186,Curves!$AE$21:$BV$21)+SUMPRODUCT(React!$C$187:$AT$187,Curves!$AE$44:$BV$44)+SUMPRODUCT(React!$C$188:$AT$188,Curves!$AE$67:$BV$67)</f>
        <v/>
      </c>
      <c r="AU189" s="5">
        <f>SUMPRODUCT(React!$C$186:$AU$186,Curves!$AD$21:$BV$21)+SUMPRODUCT(React!$C$187:$AU$187,Curves!$AD$44:$BV$44)+SUMPRODUCT(React!$C$188:$AU$188,Curves!$AD$67:$BV$67)</f>
        <v/>
      </c>
      <c r="AV189" s="5">
        <f>SUMPRODUCT(React!$C$186:$AV$186,Curves!$AC$21:$BV$21)+SUMPRODUCT(React!$C$187:$AV$187,Curves!$AC$44:$BV$44)+SUMPRODUCT(React!$C$188:$AV$188,Curves!$AC$67:$BV$67)</f>
        <v/>
      </c>
      <c r="AW189" s="5">
        <f>SUMPRODUCT(React!$C$186:$AW$186,Curves!$AB$21:$BV$21)+SUMPRODUCT(React!$C$187:$AW$187,Curves!$AB$44:$BV$44)+SUMPRODUCT(React!$C$188:$AW$188,Curves!$AB$67:$BV$67)</f>
        <v/>
      </c>
      <c r="AX189" s="5">
        <f>SUMPRODUCT(React!$C$186:$AX$186,Curves!$AA$21:$BV$21)+SUMPRODUCT(React!$C$187:$AX$187,Curves!$AA$44:$BV$44)+SUMPRODUCT(React!$C$188:$AX$188,Curves!$AA$67:$BV$67)</f>
        <v/>
      </c>
      <c r="AY189" s="5">
        <f>SUMPRODUCT(React!$C$186:$AY$186,Curves!$Z$21:$BV$21)+SUMPRODUCT(React!$C$187:$AY$187,Curves!$Z$44:$BV$44)+SUMPRODUCT(React!$C$188:$AY$188,Curves!$Z$67:$BV$67)</f>
        <v/>
      </c>
      <c r="AZ189" s="5">
        <f>SUMPRODUCT(React!$C$186:$AZ$186,Curves!$Y$21:$BV$21)+SUMPRODUCT(React!$C$187:$AZ$187,Curves!$Y$44:$BV$44)+SUMPRODUCT(React!$C$188:$AZ$188,Curves!$Y$67:$BV$67)</f>
        <v/>
      </c>
      <c r="BA189" s="5">
        <f>SUMPRODUCT(React!$C$186:$BA$186,Curves!$X$21:$BV$21)+SUMPRODUCT(React!$C$187:$BA$187,Curves!$X$44:$BV$44)+SUMPRODUCT(React!$C$188:$BA$188,Curves!$X$67:$BV$67)</f>
        <v/>
      </c>
      <c r="BB189" s="5">
        <f>SUMPRODUCT(React!$C$186:$BB$186,Curves!$W$21:$BV$21)+SUMPRODUCT(React!$C$187:$BB$187,Curves!$W$44:$BV$44)+SUMPRODUCT(React!$C$188:$BB$188,Curves!$W$67:$BV$67)</f>
        <v/>
      </c>
      <c r="BC189" s="5">
        <f>SUMPRODUCT(React!$C$186:$BC$186,Curves!$V$21:$BV$21)+SUMPRODUCT(React!$C$187:$BC$187,Curves!$V$44:$BV$44)+SUMPRODUCT(React!$C$188:$BC$188,Curves!$V$67:$BV$67)</f>
        <v/>
      </c>
      <c r="BD189" s="5">
        <f>SUMPRODUCT(React!$C$186:$BD$186,Curves!$U$21:$BV$21)+SUMPRODUCT(React!$C$187:$BD$187,Curves!$U$44:$BV$44)+SUMPRODUCT(React!$C$188:$BD$188,Curves!$U$67:$BV$67)</f>
        <v/>
      </c>
      <c r="BE189" s="5">
        <f>SUMPRODUCT(React!$C$186:$BE$186,Curves!$T$21:$BV$21)+SUMPRODUCT(React!$C$187:$BE$187,Curves!$T$44:$BV$44)+SUMPRODUCT(React!$C$188:$BE$188,Curves!$T$67:$BV$67)</f>
        <v/>
      </c>
      <c r="BF189" s="5">
        <f>SUMPRODUCT(React!$C$186:$BF$186,Curves!$S$21:$BV$21)+SUMPRODUCT(React!$C$187:$BF$187,Curves!$S$44:$BV$44)+SUMPRODUCT(React!$C$188:$BF$188,Curves!$S$67:$BV$67)</f>
        <v/>
      </c>
      <c r="BG189" s="5">
        <f>SUMPRODUCT(React!$C$186:$BG$186,Curves!$R$21:$BV$21)+SUMPRODUCT(React!$C$187:$BG$187,Curves!$R$44:$BV$44)+SUMPRODUCT(React!$C$188:$BG$188,Curves!$R$67:$BV$67)</f>
        <v/>
      </c>
      <c r="BH189" s="5">
        <f>SUMPRODUCT(React!$C$186:$BH$186,Curves!$Q$21:$BV$21)+SUMPRODUCT(React!$C$187:$BH$187,Curves!$Q$44:$BV$44)+SUMPRODUCT(React!$C$188:$BH$188,Curves!$Q$67:$BV$67)</f>
        <v/>
      </c>
      <c r="BI189" s="5">
        <f>SUMPRODUCT(React!$C$186:$BI$186,Curves!$P$21:$BV$21)+SUMPRODUCT(React!$C$187:$BI$187,Curves!$P$44:$BV$44)+SUMPRODUCT(React!$C$188:$BI$188,Curves!$P$67:$BV$67)</f>
        <v/>
      </c>
      <c r="BJ189" s="5">
        <f>SUMPRODUCT(React!$C$186:$BJ$186,Curves!$O$21:$BV$21)+SUMPRODUCT(React!$C$187:$BJ$187,Curves!$O$44:$BV$44)+SUMPRODUCT(React!$C$188:$BJ$188,Curves!$O$67:$BV$67)</f>
        <v/>
      </c>
      <c r="BK189" s="5">
        <f>SUMPRODUCT(React!$C$186:$BK$186,Curves!$N$21:$BV$21)+SUMPRODUCT(React!$C$187:$BK$187,Curves!$N$44:$BV$44)+SUMPRODUCT(React!$C$188:$BK$188,Curves!$N$67:$BV$67)</f>
        <v/>
      </c>
      <c r="BL189" s="5">
        <f>SUMPRODUCT(React!$C$186:$BL$186,Curves!$M$21:$BV$21)+SUMPRODUCT(React!$C$187:$BL$187,Curves!$M$44:$BV$44)+SUMPRODUCT(React!$C$188:$BL$188,Curves!$M$67:$BV$67)</f>
        <v/>
      </c>
      <c r="BM189" s="5">
        <f>SUMPRODUCT(React!$C$186:$BM$186,Curves!$L$21:$BV$21)+SUMPRODUCT(React!$C$187:$BM$187,Curves!$L$44:$BV$44)+SUMPRODUCT(React!$C$188:$BM$188,Curves!$L$67:$BV$67)</f>
        <v/>
      </c>
      <c r="BN189" s="5">
        <f>SUMPRODUCT(React!$C$186:$BN$186,Curves!$K$21:$BV$21)+SUMPRODUCT(React!$C$187:$BN$187,Curves!$K$44:$BV$44)+SUMPRODUCT(React!$C$188:$BN$188,Curves!$K$67:$BV$67)</f>
        <v/>
      </c>
      <c r="BO189" s="5">
        <f>SUMPRODUCT(React!$C$186:$BO$186,Curves!$J$21:$BV$21)+SUMPRODUCT(React!$C$187:$BO$187,Curves!$J$44:$BV$44)+SUMPRODUCT(React!$C$188:$BO$188,Curves!$J$67:$BV$67)</f>
        <v/>
      </c>
      <c r="BP189" s="5">
        <f>SUMPRODUCT(React!$C$186:$BP$186,Curves!$I$21:$BV$21)+SUMPRODUCT(React!$C$187:$BP$187,Curves!$I$44:$BV$44)+SUMPRODUCT(React!$C$188:$BP$188,Curves!$I$67:$BV$67)</f>
        <v/>
      </c>
      <c r="BQ189" s="5">
        <f>SUMPRODUCT(React!$C$186:$BQ$186,Curves!$H$21:$BV$21)+SUMPRODUCT(React!$C$187:$BQ$187,Curves!$H$44:$BV$44)+SUMPRODUCT(React!$C$188:$BQ$188,Curves!$H$67:$BV$67)</f>
        <v/>
      </c>
      <c r="BR189" s="5">
        <f>SUMPRODUCT(React!$C$186:$BR$186,Curves!$G$21:$BV$21)+SUMPRODUCT(React!$C$187:$BR$187,Curves!$G$44:$BV$44)+SUMPRODUCT(React!$C$188:$BR$188,Curves!$G$67:$BV$67)</f>
        <v/>
      </c>
      <c r="BS189" s="5">
        <f>SUMPRODUCT(React!$C$186:$BS$186,Curves!$F$21:$BV$21)+SUMPRODUCT(React!$C$187:$BS$187,Curves!$F$44:$BV$44)+SUMPRODUCT(React!$C$188:$BS$188,Curves!$F$67:$BV$67)</f>
        <v/>
      </c>
      <c r="BT189" s="5">
        <f>SUMPRODUCT(React!$C$186:$BT$186,Curves!$E$21:$BV$21)+SUMPRODUCT(React!$C$187:$BT$187,Curves!$E$44:$BV$44)+SUMPRODUCT(React!$C$188:$BT$188,Curves!$E$67:$BV$67)</f>
        <v/>
      </c>
      <c r="BU189" s="5">
        <f>SUMPRODUCT(React!$C$186:$BU$186,Curves!$D$21:$BV$21)+SUMPRODUCT(React!$C$187:$BU$187,Curves!$D$44:$BV$44)+SUMPRODUCT(React!$C$188:$BU$188,Curves!$D$67:$BV$67)</f>
        <v/>
      </c>
      <c r="BV189" s="5">
        <f>SUMPRODUCT(React!$C$186:$BV$186,Curves!$C$21:$BV$21)+SUMPRODUCT(React!$C$187:$BV$187,Curves!$C$44:$BV$44)+SUMPRODUCT(React!$C$188:$BV$188,Curves!$C$67:$BV$67)</f>
        <v/>
      </c>
    </row>
    <row r="190">
      <c r="A190" t="inlineStr">
        <is>
          <t>reactivated in</t>
        </is>
      </c>
      <c r="B190" t="inlineStr">
        <is>
          <t>APAC|BASIC_M</t>
        </is>
      </c>
      <c r="C190" s="5">
        <f>C189+C202</f>
        <v/>
      </c>
      <c r="D190" s="5">
        <f>D189+D202</f>
        <v/>
      </c>
      <c r="E190" s="5">
        <f>E189+E202</f>
        <v/>
      </c>
      <c r="F190" s="5">
        <f>F189+F202</f>
        <v/>
      </c>
      <c r="G190" s="5">
        <f>G189+G202</f>
        <v/>
      </c>
      <c r="H190" s="5">
        <f>H189+H202</f>
        <v/>
      </c>
      <c r="I190" s="5">
        <f>I189+I202</f>
        <v/>
      </c>
      <c r="J190" s="5">
        <f>J189+J202</f>
        <v/>
      </c>
      <c r="K190" s="5">
        <f>K189+K202</f>
        <v/>
      </c>
      <c r="L190" s="5">
        <f>L189+L202</f>
        <v/>
      </c>
      <c r="M190" s="5">
        <f>M189+M202</f>
        <v/>
      </c>
      <c r="N190" s="5">
        <f>N189+N202</f>
        <v/>
      </c>
      <c r="O190" s="5">
        <f>O189+O202</f>
        <v/>
      </c>
      <c r="P190" s="5">
        <f>P189+P202</f>
        <v/>
      </c>
      <c r="Q190" s="5">
        <f>Q189+Q202</f>
        <v/>
      </c>
      <c r="R190" s="5">
        <f>R189+R202</f>
        <v/>
      </c>
      <c r="S190" s="5">
        <f>S189+S202</f>
        <v/>
      </c>
      <c r="T190" s="5">
        <f>T189+T202</f>
        <v/>
      </c>
      <c r="U190" s="5">
        <f>U189+U202</f>
        <v/>
      </c>
      <c r="V190" s="5">
        <f>V189+V202</f>
        <v/>
      </c>
      <c r="W190" s="5">
        <f>W189+W202</f>
        <v/>
      </c>
      <c r="X190" s="5">
        <f>X189+X202</f>
        <v/>
      </c>
      <c r="Y190" s="5">
        <f>Y189+Y202</f>
        <v/>
      </c>
      <c r="Z190" s="5">
        <f>Z189+Z202</f>
        <v/>
      </c>
      <c r="AA190" s="5">
        <f>AA189+AA202</f>
        <v/>
      </c>
      <c r="AB190" s="5">
        <f>AB189+AB202</f>
        <v/>
      </c>
      <c r="AC190" s="5">
        <f>AC189+AC202</f>
        <v/>
      </c>
      <c r="AD190" s="5">
        <f>AD189+AD202</f>
        <v/>
      </c>
      <c r="AE190" s="5">
        <f>AE189+AE202</f>
        <v/>
      </c>
      <c r="AF190" s="5">
        <f>AF189+AF202</f>
        <v/>
      </c>
      <c r="AG190" s="5">
        <f>AG189+AG202</f>
        <v/>
      </c>
      <c r="AH190" s="5">
        <f>AH189+AH202</f>
        <v/>
      </c>
      <c r="AI190" s="5">
        <f>AI189+AI202</f>
        <v/>
      </c>
      <c r="AJ190" s="5">
        <f>AJ189+AJ202</f>
        <v/>
      </c>
      <c r="AK190" s="5">
        <f>AK189+AK202</f>
        <v/>
      </c>
      <c r="AL190" s="5">
        <f>AL189+AL202</f>
        <v/>
      </c>
      <c r="AM190" s="5">
        <f>AM189+AM202</f>
        <v/>
      </c>
      <c r="AN190" s="5">
        <f>AN189+AN202</f>
        <v/>
      </c>
      <c r="AO190" s="5">
        <f>AO189+AO202</f>
        <v/>
      </c>
      <c r="AP190" s="5">
        <f>AP189+AP202</f>
        <v/>
      </c>
      <c r="AQ190" s="5">
        <f>AQ189+AQ202</f>
        <v/>
      </c>
      <c r="AR190" s="5">
        <f>AR189+AR202</f>
        <v/>
      </c>
      <c r="AS190" s="5">
        <f>AS189+AS202</f>
        <v/>
      </c>
      <c r="AT190" s="5">
        <f>AT189+AT202</f>
        <v/>
      </c>
      <c r="AU190" s="5">
        <f>AU189+AU202</f>
        <v/>
      </c>
      <c r="AV190" s="5">
        <f>AV189+AV202</f>
        <v/>
      </c>
      <c r="AW190" s="5">
        <f>AW189+AW202</f>
        <v/>
      </c>
      <c r="AX190" s="5">
        <f>AX189+AX202</f>
        <v/>
      </c>
      <c r="AY190" s="5">
        <f>AY189+AY202</f>
        <v/>
      </c>
      <c r="AZ190" s="5">
        <f>AZ189+AZ202</f>
        <v/>
      </c>
      <c r="BA190" s="5">
        <f>BA189+BA202</f>
        <v/>
      </c>
      <c r="BB190" s="5">
        <f>BB189+BB202</f>
        <v/>
      </c>
      <c r="BC190" s="5">
        <f>BC189+BC202</f>
        <v/>
      </c>
      <c r="BD190" s="5">
        <f>BD189+BD202</f>
        <v/>
      </c>
      <c r="BE190" s="5">
        <f>BE189+BE202</f>
        <v/>
      </c>
      <c r="BF190" s="5">
        <f>BF189+BF202</f>
        <v/>
      </c>
      <c r="BG190" s="5">
        <f>BG189+BG202</f>
        <v/>
      </c>
      <c r="BH190" s="5">
        <f>BH189+BH202</f>
        <v/>
      </c>
      <c r="BI190" s="5">
        <f>BI189+BI202</f>
        <v/>
      </c>
      <c r="BJ190" s="5">
        <f>BJ189+BJ202</f>
        <v/>
      </c>
      <c r="BK190" s="5">
        <f>BK189+BK202</f>
        <v/>
      </c>
      <c r="BL190" s="5">
        <f>BL189+BL202</f>
        <v/>
      </c>
      <c r="BM190" s="5">
        <f>BM189+BM202</f>
        <v/>
      </c>
      <c r="BN190" s="5">
        <f>BN189+BN202</f>
        <v/>
      </c>
      <c r="BO190" s="5">
        <f>BO189+BO202</f>
        <v/>
      </c>
      <c r="BP190" s="5">
        <f>BP189+BP202</f>
        <v/>
      </c>
      <c r="BQ190" s="5">
        <f>BQ189+BQ202</f>
        <v/>
      </c>
      <c r="BR190" s="5">
        <f>BR189+BR202</f>
        <v/>
      </c>
      <c r="BS190" s="5">
        <f>BS189+BS202</f>
        <v/>
      </c>
      <c r="BT190" s="5">
        <f>BT189+BT202</f>
        <v/>
      </c>
      <c r="BU190" s="5">
        <f>BU189+BU202</f>
        <v/>
      </c>
      <c r="BV190" s="5">
        <f>BV189+BV202</f>
        <v/>
      </c>
    </row>
    <row r="191">
      <c r="A191" t="inlineStr">
        <is>
          <t>reactivated in @0</t>
        </is>
      </c>
      <c r="B191" t="inlineStr">
        <is>
          <t>APAC|BASIC_M</t>
        </is>
      </c>
      <c r="C191" s="5">
        <f>C190*Eras!C$3</f>
        <v/>
      </c>
      <c r="D191" s="5">
        <f>D190*Eras!D$3</f>
        <v/>
      </c>
      <c r="E191" s="5">
        <f>E190*Eras!E$3</f>
        <v/>
      </c>
      <c r="F191" s="5">
        <f>F190*Eras!F$3</f>
        <v/>
      </c>
      <c r="G191" s="5">
        <f>G190*Eras!G$3</f>
        <v/>
      </c>
      <c r="H191" s="5">
        <f>H190*Eras!H$3</f>
        <v/>
      </c>
      <c r="I191" s="5">
        <f>I190*Eras!I$3</f>
        <v/>
      </c>
      <c r="J191" s="5">
        <f>J190*Eras!J$3</f>
        <v/>
      </c>
      <c r="K191" s="5">
        <f>K190*Eras!K$3</f>
        <v/>
      </c>
      <c r="L191" s="5">
        <f>L190*Eras!L$3</f>
        <v/>
      </c>
      <c r="M191" s="5">
        <f>M190*Eras!M$3</f>
        <v/>
      </c>
      <c r="N191" s="5">
        <f>N190*Eras!N$3</f>
        <v/>
      </c>
      <c r="O191" s="5">
        <f>O190*Eras!O$3</f>
        <v/>
      </c>
      <c r="P191" s="5">
        <f>P190*Eras!P$3</f>
        <v/>
      </c>
      <c r="Q191" s="5">
        <f>Q190*Eras!Q$3</f>
        <v/>
      </c>
      <c r="R191" s="5">
        <f>R190*Eras!R$3</f>
        <v/>
      </c>
      <c r="S191" s="5">
        <f>S190*Eras!S$3</f>
        <v/>
      </c>
      <c r="T191" s="5">
        <f>T190*Eras!T$3</f>
        <v/>
      </c>
      <c r="U191" s="5">
        <f>U190*Eras!U$3</f>
        <v/>
      </c>
      <c r="V191" s="5">
        <f>V190*Eras!V$3</f>
        <v/>
      </c>
      <c r="W191" s="5">
        <f>W190*Eras!W$3</f>
        <v/>
      </c>
      <c r="X191" s="5">
        <f>X190*Eras!X$3</f>
        <v/>
      </c>
      <c r="Y191" s="5">
        <f>Y190*Eras!Y$3</f>
        <v/>
      </c>
      <c r="Z191" s="5">
        <f>Z190*Eras!Z$3</f>
        <v/>
      </c>
      <c r="AA191" s="5">
        <f>AA190*Eras!AA$3</f>
        <v/>
      </c>
      <c r="AB191" s="5">
        <f>AB190*Eras!AB$3</f>
        <v/>
      </c>
      <c r="AC191" s="5">
        <f>AC190*Eras!AC$3</f>
        <v/>
      </c>
      <c r="AD191" s="5">
        <f>AD190*Eras!AD$3</f>
        <v/>
      </c>
      <c r="AE191" s="5">
        <f>AE190*Eras!AE$3</f>
        <v/>
      </c>
      <c r="AF191" s="5">
        <f>AF190*Eras!AF$3</f>
        <v/>
      </c>
      <c r="AG191" s="5">
        <f>AG190*Eras!AG$3</f>
        <v/>
      </c>
      <c r="AH191" s="5">
        <f>AH190*Eras!AH$3</f>
        <v/>
      </c>
      <c r="AI191" s="5">
        <f>AI190*Eras!AI$3</f>
        <v/>
      </c>
      <c r="AJ191" s="5">
        <f>AJ190*Eras!AJ$3</f>
        <v/>
      </c>
      <c r="AK191" s="5">
        <f>AK190*Eras!AK$3</f>
        <v/>
      </c>
      <c r="AL191" s="5">
        <f>AL190*Eras!AL$3</f>
        <v/>
      </c>
      <c r="AM191" s="5">
        <f>AM190*Eras!AM$3</f>
        <v/>
      </c>
      <c r="AN191" s="5">
        <f>AN190*Eras!AN$3</f>
        <v/>
      </c>
      <c r="AO191" s="5">
        <f>AO190*Eras!AO$3</f>
        <v/>
      </c>
      <c r="AP191" s="5">
        <f>AP190*Eras!AP$3</f>
        <v/>
      </c>
      <c r="AQ191" s="5">
        <f>AQ190*Eras!AQ$3</f>
        <v/>
      </c>
      <c r="AR191" s="5">
        <f>AR190*Eras!AR$3</f>
        <v/>
      </c>
      <c r="AS191" s="5">
        <f>AS190*Eras!AS$3</f>
        <v/>
      </c>
      <c r="AT191" s="5">
        <f>AT190*Eras!AT$3</f>
        <v/>
      </c>
      <c r="AU191" s="5">
        <f>AU190*Eras!AU$3</f>
        <v/>
      </c>
      <c r="AV191" s="5">
        <f>AV190*Eras!AV$3</f>
        <v/>
      </c>
      <c r="AW191" s="5">
        <f>AW190*Eras!AW$3</f>
        <v/>
      </c>
      <c r="AX191" s="5">
        <f>AX190*Eras!AX$3</f>
        <v/>
      </c>
      <c r="AY191" s="5">
        <f>AY190*Eras!AY$3</f>
        <v/>
      </c>
      <c r="AZ191" s="5">
        <f>AZ190*Eras!AZ$3</f>
        <v/>
      </c>
      <c r="BA191" s="5">
        <f>BA190*Eras!BA$3</f>
        <v/>
      </c>
      <c r="BB191" s="5">
        <f>BB190*Eras!BB$3</f>
        <v/>
      </c>
      <c r="BC191" s="5">
        <f>BC190*Eras!BC$3</f>
        <v/>
      </c>
      <c r="BD191" s="5">
        <f>BD190*Eras!BD$3</f>
        <v/>
      </c>
      <c r="BE191" s="5">
        <f>BE190*Eras!BE$3</f>
        <v/>
      </c>
      <c r="BF191" s="5">
        <f>BF190*Eras!BF$3</f>
        <v/>
      </c>
      <c r="BG191" s="5">
        <f>BG190*Eras!BG$3</f>
        <v/>
      </c>
      <c r="BH191" s="5">
        <f>BH190*Eras!BH$3</f>
        <v/>
      </c>
      <c r="BI191" s="5">
        <f>BI190*Eras!BI$3</f>
        <v/>
      </c>
      <c r="BJ191" s="5">
        <f>BJ190*Eras!BJ$3</f>
        <v/>
      </c>
      <c r="BK191" s="5">
        <f>BK190*Eras!BK$3</f>
        <v/>
      </c>
      <c r="BL191" s="5">
        <f>BL190*Eras!BL$3</f>
        <v/>
      </c>
      <c r="BM191" s="5">
        <f>BM190*Eras!BM$3</f>
        <v/>
      </c>
      <c r="BN191" s="5">
        <f>BN190*Eras!BN$3</f>
        <v/>
      </c>
      <c r="BO191" s="5">
        <f>BO190*Eras!BO$3</f>
        <v/>
      </c>
      <c r="BP191" s="5">
        <f>BP190*Eras!BP$3</f>
        <v/>
      </c>
      <c r="BQ191" s="5">
        <f>BQ190*Eras!BQ$3</f>
        <v/>
      </c>
      <c r="BR191" s="5">
        <f>BR190*Eras!BR$3</f>
        <v/>
      </c>
      <c r="BS191" s="5">
        <f>BS190*Eras!BS$3</f>
        <v/>
      </c>
      <c r="BT191" s="5">
        <f>BT190*Eras!BT$3</f>
        <v/>
      </c>
      <c r="BU191" s="5">
        <f>BU190*Eras!BU$3</f>
        <v/>
      </c>
      <c r="BV191" s="5">
        <f>BV190*Eras!BV$3</f>
        <v/>
      </c>
    </row>
    <row r="192">
      <c r="A192" t="inlineStr">
        <is>
          <t>reactivated in @1</t>
        </is>
      </c>
      <c r="B192" t="inlineStr">
        <is>
          <t>APAC|BASIC_M</t>
        </is>
      </c>
      <c r="C192" s="5">
        <f>C190*Eras!C$4</f>
        <v/>
      </c>
      <c r="D192" s="5">
        <f>D190*Eras!D$4</f>
        <v/>
      </c>
      <c r="E192" s="5">
        <f>E190*Eras!E$4</f>
        <v/>
      </c>
      <c r="F192" s="5">
        <f>F190*Eras!F$4</f>
        <v/>
      </c>
      <c r="G192" s="5">
        <f>G190*Eras!G$4</f>
        <v/>
      </c>
      <c r="H192" s="5">
        <f>H190*Eras!H$4</f>
        <v/>
      </c>
      <c r="I192" s="5">
        <f>I190*Eras!I$4</f>
        <v/>
      </c>
      <c r="J192" s="5">
        <f>J190*Eras!J$4</f>
        <v/>
      </c>
      <c r="K192" s="5">
        <f>K190*Eras!K$4</f>
        <v/>
      </c>
      <c r="L192" s="5">
        <f>L190*Eras!L$4</f>
        <v/>
      </c>
      <c r="M192" s="5">
        <f>M190*Eras!M$4</f>
        <v/>
      </c>
      <c r="N192" s="5">
        <f>N190*Eras!N$4</f>
        <v/>
      </c>
      <c r="O192" s="5">
        <f>O190*Eras!O$4</f>
        <v/>
      </c>
      <c r="P192" s="5">
        <f>P190*Eras!P$4</f>
        <v/>
      </c>
      <c r="Q192" s="5">
        <f>Q190*Eras!Q$4</f>
        <v/>
      </c>
      <c r="R192" s="5">
        <f>R190*Eras!R$4</f>
        <v/>
      </c>
      <c r="S192" s="5">
        <f>S190*Eras!S$4</f>
        <v/>
      </c>
      <c r="T192" s="5">
        <f>T190*Eras!T$4</f>
        <v/>
      </c>
      <c r="U192" s="5">
        <f>U190*Eras!U$4</f>
        <v/>
      </c>
      <c r="V192" s="5">
        <f>V190*Eras!V$4</f>
        <v/>
      </c>
      <c r="W192" s="5">
        <f>W190*Eras!W$4</f>
        <v/>
      </c>
      <c r="X192" s="5">
        <f>X190*Eras!X$4</f>
        <v/>
      </c>
      <c r="Y192" s="5">
        <f>Y190*Eras!Y$4</f>
        <v/>
      </c>
      <c r="Z192" s="5">
        <f>Z190*Eras!Z$4</f>
        <v/>
      </c>
      <c r="AA192" s="5">
        <f>AA190*Eras!AA$4</f>
        <v/>
      </c>
      <c r="AB192" s="5">
        <f>AB190*Eras!AB$4</f>
        <v/>
      </c>
      <c r="AC192" s="5">
        <f>AC190*Eras!AC$4</f>
        <v/>
      </c>
      <c r="AD192" s="5">
        <f>AD190*Eras!AD$4</f>
        <v/>
      </c>
      <c r="AE192" s="5">
        <f>AE190*Eras!AE$4</f>
        <v/>
      </c>
      <c r="AF192" s="5">
        <f>AF190*Eras!AF$4</f>
        <v/>
      </c>
      <c r="AG192" s="5">
        <f>AG190*Eras!AG$4</f>
        <v/>
      </c>
      <c r="AH192" s="5">
        <f>AH190*Eras!AH$4</f>
        <v/>
      </c>
      <c r="AI192" s="5">
        <f>AI190*Eras!AI$4</f>
        <v/>
      </c>
      <c r="AJ192" s="5">
        <f>AJ190*Eras!AJ$4</f>
        <v/>
      </c>
      <c r="AK192" s="5">
        <f>AK190*Eras!AK$4</f>
        <v/>
      </c>
      <c r="AL192" s="5">
        <f>AL190*Eras!AL$4</f>
        <v/>
      </c>
      <c r="AM192" s="5">
        <f>AM190*Eras!AM$4</f>
        <v/>
      </c>
      <c r="AN192" s="5">
        <f>AN190*Eras!AN$4</f>
        <v/>
      </c>
      <c r="AO192" s="5">
        <f>AO190*Eras!AO$4</f>
        <v/>
      </c>
      <c r="AP192" s="5">
        <f>AP190*Eras!AP$4</f>
        <v/>
      </c>
      <c r="AQ192" s="5">
        <f>AQ190*Eras!AQ$4</f>
        <v/>
      </c>
      <c r="AR192" s="5">
        <f>AR190*Eras!AR$4</f>
        <v/>
      </c>
      <c r="AS192" s="5">
        <f>AS190*Eras!AS$4</f>
        <v/>
      </c>
      <c r="AT192" s="5">
        <f>AT190*Eras!AT$4</f>
        <v/>
      </c>
      <c r="AU192" s="5">
        <f>AU190*Eras!AU$4</f>
        <v/>
      </c>
      <c r="AV192" s="5">
        <f>AV190*Eras!AV$4</f>
        <v/>
      </c>
      <c r="AW192" s="5">
        <f>AW190*Eras!AW$4</f>
        <v/>
      </c>
      <c r="AX192" s="5">
        <f>AX190*Eras!AX$4</f>
        <v/>
      </c>
      <c r="AY192" s="5">
        <f>AY190*Eras!AY$4</f>
        <v/>
      </c>
      <c r="AZ192" s="5">
        <f>AZ190*Eras!AZ$4</f>
        <v/>
      </c>
      <c r="BA192" s="5">
        <f>BA190*Eras!BA$4</f>
        <v/>
      </c>
      <c r="BB192" s="5">
        <f>BB190*Eras!BB$4</f>
        <v/>
      </c>
      <c r="BC192" s="5">
        <f>BC190*Eras!BC$4</f>
        <v/>
      </c>
      <c r="BD192" s="5">
        <f>BD190*Eras!BD$4</f>
        <v/>
      </c>
      <c r="BE192" s="5">
        <f>BE190*Eras!BE$4</f>
        <v/>
      </c>
      <c r="BF192" s="5">
        <f>BF190*Eras!BF$4</f>
        <v/>
      </c>
      <c r="BG192" s="5">
        <f>BG190*Eras!BG$4</f>
        <v/>
      </c>
      <c r="BH192" s="5">
        <f>BH190*Eras!BH$4</f>
        <v/>
      </c>
      <c r="BI192" s="5">
        <f>BI190*Eras!BI$4</f>
        <v/>
      </c>
      <c r="BJ192" s="5">
        <f>BJ190*Eras!BJ$4</f>
        <v/>
      </c>
      <c r="BK192" s="5">
        <f>BK190*Eras!BK$4</f>
        <v/>
      </c>
      <c r="BL192" s="5">
        <f>BL190*Eras!BL$4</f>
        <v/>
      </c>
      <c r="BM192" s="5">
        <f>BM190*Eras!BM$4</f>
        <v/>
      </c>
      <c r="BN192" s="5">
        <f>BN190*Eras!BN$4</f>
        <v/>
      </c>
      <c r="BO192" s="5">
        <f>BO190*Eras!BO$4</f>
        <v/>
      </c>
      <c r="BP192" s="5">
        <f>BP190*Eras!BP$4</f>
        <v/>
      </c>
      <c r="BQ192" s="5">
        <f>BQ190*Eras!BQ$4</f>
        <v/>
      </c>
      <c r="BR192" s="5">
        <f>BR190*Eras!BR$4</f>
        <v/>
      </c>
      <c r="BS192" s="5">
        <f>BS190*Eras!BS$4</f>
        <v/>
      </c>
      <c r="BT192" s="5">
        <f>BT190*Eras!BT$4</f>
        <v/>
      </c>
      <c r="BU192" s="5">
        <f>BU190*Eras!BU$4</f>
        <v/>
      </c>
      <c r="BV192" s="5">
        <f>BV190*Eras!BV$4</f>
        <v/>
      </c>
    </row>
    <row r="193">
      <c r="A193" t="inlineStr">
        <is>
          <t>reactivated in @2</t>
        </is>
      </c>
      <c r="B193" t="inlineStr">
        <is>
          <t>APAC|BASIC_M</t>
        </is>
      </c>
      <c r="C193" s="5">
        <f>C190*Eras!C$5</f>
        <v/>
      </c>
      <c r="D193" s="5">
        <f>D190*Eras!D$5</f>
        <v/>
      </c>
      <c r="E193" s="5">
        <f>E190*Eras!E$5</f>
        <v/>
      </c>
      <c r="F193" s="5">
        <f>F190*Eras!F$5</f>
        <v/>
      </c>
      <c r="G193" s="5">
        <f>G190*Eras!G$5</f>
        <v/>
      </c>
      <c r="H193" s="5">
        <f>H190*Eras!H$5</f>
        <v/>
      </c>
      <c r="I193" s="5">
        <f>I190*Eras!I$5</f>
        <v/>
      </c>
      <c r="J193" s="5">
        <f>J190*Eras!J$5</f>
        <v/>
      </c>
      <c r="K193" s="5">
        <f>K190*Eras!K$5</f>
        <v/>
      </c>
      <c r="L193" s="5">
        <f>L190*Eras!L$5</f>
        <v/>
      </c>
      <c r="M193" s="5">
        <f>M190*Eras!M$5</f>
        <v/>
      </c>
      <c r="N193" s="5">
        <f>N190*Eras!N$5</f>
        <v/>
      </c>
      <c r="O193" s="5">
        <f>O190*Eras!O$5</f>
        <v/>
      </c>
      <c r="P193" s="5">
        <f>P190*Eras!P$5</f>
        <v/>
      </c>
      <c r="Q193" s="5">
        <f>Q190*Eras!Q$5</f>
        <v/>
      </c>
      <c r="R193" s="5">
        <f>R190*Eras!R$5</f>
        <v/>
      </c>
      <c r="S193" s="5">
        <f>S190*Eras!S$5</f>
        <v/>
      </c>
      <c r="T193" s="5">
        <f>T190*Eras!T$5</f>
        <v/>
      </c>
      <c r="U193" s="5">
        <f>U190*Eras!U$5</f>
        <v/>
      </c>
      <c r="V193" s="5">
        <f>V190*Eras!V$5</f>
        <v/>
      </c>
      <c r="W193" s="5">
        <f>W190*Eras!W$5</f>
        <v/>
      </c>
      <c r="X193" s="5">
        <f>X190*Eras!X$5</f>
        <v/>
      </c>
      <c r="Y193" s="5">
        <f>Y190*Eras!Y$5</f>
        <v/>
      </c>
      <c r="Z193" s="5">
        <f>Z190*Eras!Z$5</f>
        <v/>
      </c>
      <c r="AA193" s="5">
        <f>AA190*Eras!AA$5</f>
        <v/>
      </c>
      <c r="AB193" s="5">
        <f>AB190*Eras!AB$5</f>
        <v/>
      </c>
      <c r="AC193" s="5">
        <f>AC190*Eras!AC$5</f>
        <v/>
      </c>
      <c r="AD193" s="5">
        <f>AD190*Eras!AD$5</f>
        <v/>
      </c>
      <c r="AE193" s="5">
        <f>AE190*Eras!AE$5</f>
        <v/>
      </c>
      <c r="AF193" s="5">
        <f>AF190*Eras!AF$5</f>
        <v/>
      </c>
      <c r="AG193" s="5">
        <f>AG190*Eras!AG$5</f>
        <v/>
      </c>
      <c r="AH193" s="5">
        <f>AH190*Eras!AH$5</f>
        <v/>
      </c>
      <c r="AI193" s="5">
        <f>AI190*Eras!AI$5</f>
        <v/>
      </c>
      <c r="AJ193" s="5">
        <f>AJ190*Eras!AJ$5</f>
        <v/>
      </c>
      <c r="AK193" s="5">
        <f>AK190*Eras!AK$5</f>
        <v/>
      </c>
      <c r="AL193" s="5">
        <f>AL190*Eras!AL$5</f>
        <v/>
      </c>
      <c r="AM193" s="5">
        <f>AM190*Eras!AM$5</f>
        <v/>
      </c>
      <c r="AN193" s="5">
        <f>AN190*Eras!AN$5</f>
        <v/>
      </c>
      <c r="AO193" s="5">
        <f>AO190*Eras!AO$5</f>
        <v/>
      </c>
      <c r="AP193" s="5">
        <f>AP190*Eras!AP$5</f>
        <v/>
      </c>
      <c r="AQ193" s="5">
        <f>AQ190*Eras!AQ$5</f>
        <v/>
      </c>
      <c r="AR193" s="5">
        <f>AR190*Eras!AR$5</f>
        <v/>
      </c>
      <c r="AS193" s="5">
        <f>AS190*Eras!AS$5</f>
        <v/>
      </c>
      <c r="AT193" s="5">
        <f>AT190*Eras!AT$5</f>
        <v/>
      </c>
      <c r="AU193" s="5">
        <f>AU190*Eras!AU$5</f>
        <v/>
      </c>
      <c r="AV193" s="5">
        <f>AV190*Eras!AV$5</f>
        <v/>
      </c>
      <c r="AW193" s="5">
        <f>AW190*Eras!AW$5</f>
        <v/>
      </c>
      <c r="AX193" s="5">
        <f>AX190*Eras!AX$5</f>
        <v/>
      </c>
      <c r="AY193" s="5">
        <f>AY190*Eras!AY$5</f>
        <v/>
      </c>
      <c r="AZ193" s="5">
        <f>AZ190*Eras!AZ$5</f>
        <v/>
      </c>
      <c r="BA193" s="5">
        <f>BA190*Eras!BA$5</f>
        <v/>
      </c>
      <c r="BB193" s="5">
        <f>BB190*Eras!BB$5</f>
        <v/>
      </c>
      <c r="BC193" s="5">
        <f>BC190*Eras!BC$5</f>
        <v/>
      </c>
      <c r="BD193" s="5">
        <f>BD190*Eras!BD$5</f>
        <v/>
      </c>
      <c r="BE193" s="5">
        <f>BE190*Eras!BE$5</f>
        <v/>
      </c>
      <c r="BF193" s="5">
        <f>BF190*Eras!BF$5</f>
        <v/>
      </c>
      <c r="BG193" s="5">
        <f>BG190*Eras!BG$5</f>
        <v/>
      </c>
      <c r="BH193" s="5">
        <f>BH190*Eras!BH$5</f>
        <v/>
      </c>
      <c r="BI193" s="5">
        <f>BI190*Eras!BI$5</f>
        <v/>
      </c>
      <c r="BJ193" s="5">
        <f>BJ190*Eras!BJ$5</f>
        <v/>
      </c>
      <c r="BK193" s="5">
        <f>BK190*Eras!BK$5</f>
        <v/>
      </c>
      <c r="BL193" s="5">
        <f>BL190*Eras!BL$5</f>
        <v/>
      </c>
      <c r="BM193" s="5">
        <f>BM190*Eras!BM$5</f>
        <v/>
      </c>
      <c r="BN193" s="5">
        <f>BN190*Eras!BN$5</f>
        <v/>
      </c>
      <c r="BO193" s="5">
        <f>BO190*Eras!BO$5</f>
        <v/>
      </c>
      <c r="BP193" s="5">
        <f>BP190*Eras!BP$5</f>
        <v/>
      </c>
      <c r="BQ193" s="5">
        <f>BQ190*Eras!BQ$5</f>
        <v/>
      </c>
      <c r="BR193" s="5">
        <f>BR190*Eras!BR$5</f>
        <v/>
      </c>
      <c r="BS193" s="5">
        <f>BS190*Eras!BS$5</f>
        <v/>
      </c>
      <c r="BT193" s="5">
        <f>BT190*Eras!BT$5</f>
        <v/>
      </c>
      <c r="BU193" s="5">
        <f>BU190*Eras!BU$5</f>
        <v/>
      </c>
      <c r="BV193" s="5">
        <f>BV190*Eras!BV$5</f>
        <v/>
      </c>
    </row>
    <row r="194">
      <c r="A194" t="inlineStr">
        <is>
          <t>active</t>
        </is>
      </c>
      <c r="B194" t="inlineStr">
        <is>
          <t>APAC|BASIC_M</t>
        </is>
      </c>
      <c r="C194" s="5">
        <f>React!$C$191*Curves!$BV$19+React!$C$192*Curves!$BV$42+React!$C$193*Curves!$BV$65</f>
        <v/>
      </c>
      <c r="D194" s="5">
        <f>SUMPRODUCT(React!$C$191:$D$191,Curves!$BU$19:$BV$19)+SUMPRODUCT(React!$C$192:$D$192,Curves!$BU$42:$BV$42)+SUMPRODUCT(React!$C$193:$D$193,Curves!$BU$65:$BV$65)</f>
        <v/>
      </c>
      <c r="E194" s="5">
        <f>SUMPRODUCT(React!$C$191:$E$191,Curves!$BT$19:$BV$19)+SUMPRODUCT(React!$C$192:$E$192,Curves!$BT$42:$BV$42)+SUMPRODUCT(React!$C$193:$E$193,Curves!$BT$65:$BV$65)</f>
        <v/>
      </c>
      <c r="F194" s="5">
        <f>SUMPRODUCT(React!$C$191:$F$191,Curves!$BS$19:$BV$19)+SUMPRODUCT(React!$C$192:$F$192,Curves!$BS$42:$BV$42)+SUMPRODUCT(React!$C$193:$F$193,Curves!$BS$65:$BV$65)</f>
        <v/>
      </c>
      <c r="G194" s="5">
        <f>SUMPRODUCT(React!$C$191:$G$191,Curves!$BR$19:$BV$19)+SUMPRODUCT(React!$C$192:$G$192,Curves!$BR$42:$BV$42)+SUMPRODUCT(React!$C$193:$G$193,Curves!$BR$65:$BV$65)</f>
        <v/>
      </c>
      <c r="H194" s="5">
        <f>SUMPRODUCT(React!$C$191:$H$191,Curves!$BQ$19:$BV$19)+SUMPRODUCT(React!$C$192:$H$192,Curves!$BQ$42:$BV$42)+SUMPRODUCT(React!$C$193:$H$193,Curves!$BQ$65:$BV$65)</f>
        <v/>
      </c>
      <c r="I194" s="5">
        <f>SUMPRODUCT(React!$C$191:$I$191,Curves!$BP$19:$BV$19)+SUMPRODUCT(React!$C$192:$I$192,Curves!$BP$42:$BV$42)+SUMPRODUCT(React!$C$193:$I$193,Curves!$BP$65:$BV$65)</f>
        <v/>
      </c>
      <c r="J194" s="5">
        <f>SUMPRODUCT(React!$C$191:$J$191,Curves!$BO$19:$BV$19)+SUMPRODUCT(React!$C$192:$J$192,Curves!$BO$42:$BV$42)+SUMPRODUCT(React!$C$193:$J$193,Curves!$BO$65:$BV$65)</f>
        <v/>
      </c>
      <c r="K194" s="5">
        <f>SUMPRODUCT(React!$C$191:$K$191,Curves!$BN$19:$BV$19)+SUMPRODUCT(React!$C$192:$K$192,Curves!$BN$42:$BV$42)+SUMPRODUCT(React!$C$193:$K$193,Curves!$BN$65:$BV$65)</f>
        <v/>
      </c>
      <c r="L194" s="5">
        <f>SUMPRODUCT(React!$C$191:$L$191,Curves!$BM$19:$BV$19)+SUMPRODUCT(React!$C$192:$L$192,Curves!$BM$42:$BV$42)+SUMPRODUCT(React!$C$193:$L$193,Curves!$BM$65:$BV$65)</f>
        <v/>
      </c>
      <c r="M194" s="5">
        <f>SUMPRODUCT(React!$C$191:$M$191,Curves!$BL$19:$BV$19)+SUMPRODUCT(React!$C$192:$M$192,Curves!$BL$42:$BV$42)+SUMPRODUCT(React!$C$193:$M$193,Curves!$BL$65:$BV$65)</f>
        <v/>
      </c>
      <c r="N194" s="5">
        <f>SUMPRODUCT(React!$C$191:$N$191,Curves!$BK$19:$BV$19)+SUMPRODUCT(React!$C$192:$N$192,Curves!$BK$42:$BV$42)+SUMPRODUCT(React!$C$193:$N$193,Curves!$BK$65:$BV$65)</f>
        <v/>
      </c>
      <c r="O194" s="5">
        <f>SUMPRODUCT(React!$C$191:$O$191,Curves!$BJ$19:$BV$19)+SUMPRODUCT(React!$C$192:$O$192,Curves!$BJ$42:$BV$42)+SUMPRODUCT(React!$C$193:$O$193,Curves!$BJ$65:$BV$65)</f>
        <v/>
      </c>
      <c r="P194" s="5">
        <f>SUMPRODUCT(React!$C$191:$P$191,Curves!$BI$19:$BV$19)+SUMPRODUCT(React!$C$192:$P$192,Curves!$BI$42:$BV$42)+SUMPRODUCT(React!$C$193:$P$193,Curves!$BI$65:$BV$65)</f>
        <v/>
      </c>
      <c r="Q194" s="5">
        <f>SUMPRODUCT(React!$C$191:$Q$191,Curves!$BH$19:$BV$19)+SUMPRODUCT(React!$C$192:$Q$192,Curves!$BH$42:$BV$42)+SUMPRODUCT(React!$C$193:$Q$193,Curves!$BH$65:$BV$65)</f>
        <v/>
      </c>
      <c r="R194" s="5">
        <f>SUMPRODUCT(React!$C$191:$R$191,Curves!$BG$19:$BV$19)+SUMPRODUCT(React!$C$192:$R$192,Curves!$BG$42:$BV$42)+SUMPRODUCT(React!$C$193:$R$193,Curves!$BG$65:$BV$65)</f>
        <v/>
      </c>
      <c r="S194" s="5">
        <f>SUMPRODUCT(React!$C$191:$S$191,Curves!$BF$19:$BV$19)+SUMPRODUCT(React!$C$192:$S$192,Curves!$BF$42:$BV$42)+SUMPRODUCT(React!$C$193:$S$193,Curves!$BF$65:$BV$65)</f>
        <v/>
      </c>
      <c r="T194" s="5">
        <f>SUMPRODUCT(React!$C$191:$T$191,Curves!$BE$19:$BV$19)+SUMPRODUCT(React!$C$192:$T$192,Curves!$BE$42:$BV$42)+SUMPRODUCT(React!$C$193:$T$193,Curves!$BE$65:$BV$65)</f>
        <v/>
      </c>
      <c r="U194" s="5">
        <f>SUMPRODUCT(React!$C$191:$U$191,Curves!$BD$19:$BV$19)+SUMPRODUCT(React!$C$192:$U$192,Curves!$BD$42:$BV$42)+SUMPRODUCT(React!$C$193:$U$193,Curves!$BD$65:$BV$65)</f>
        <v/>
      </c>
      <c r="V194" s="5">
        <f>SUMPRODUCT(React!$C$191:$V$191,Curves!$BC$19:$BV$19)+SUMPRODUCT(React!$C$192:$V$192,Curves!$BC$42:$BV$42)+SUMPRODUCT(React!$C$193:$V$193,Curves!$BC$65:$BV$65)</f>
        <v/>
      </c>
      <c r="W194" s="5">
        <f>SUMPRODUCT(React!$C$191:$W$191,Curves!$BB$19:$BV$19)+SUMPRODUCT(React!$C$192:$W$192,Curves!$BB$42:$BV$42)+SUMPRODUCT(React!$C$193:$W$193,Curves!$BB$65:$BV$65)</f>
        <v/>
      </c>
      <c r="X194" s="5">
        <f>SUMPRODUCT(React!$C$191:$X$191,Curves!$BA$19:$BV$19)+SUMPRODUCT(React!$C$192:$X$192,Curves!$BA$42:$BV$42)+SUMPRODUCT(React!$C$193:$X$193,Curves!$BA$65:$BV$65)</f>
        <v/>
      </c>
      <c r="Y194" s="5">
        <f>SUMPRODUCT(React!$C$191:$Y$191,Curves!$AZ$19:$BV$19)+SUMPRODUCT(React!$C$192:$Y$192,Curves!$AZ$42:$BV$42)+SUMPRODUCT(React!$C$193:$Y$193,Curves!$AZ$65:$BV$65)</f>
        <v/>
      </c>
      <c r="Z194" s="5">
        <f>SUMPRODUCT(React!$C$191:$Z$191,Curves!$AY$19:$BV$19)+SUMPRODUCT(React!$C$192:$Z$192,Curves!$AY$42:$BV$42)+SUMPRODUCT(React!$C$193:$Z$193,Curves!$AY$65:$BV$65)</f>
        <v/>
      </c>
      <c r="AA194" s="5">
        <f>SUMPRODUCT(React!$C$191:$AA$191,Curves!$AX$19:$BV$19)+SUMPRODUCT(React!$C$192:$AA$192,Curves!$AX$42:$BV$42)+SUMPRODUCT(React!$C$193:$AA$193,Curves!$AX$65:$BV$65)</f>
        <v/>
      </c>
      <c r="AB194" s="5">
        <f>SUMPRODUCT(React!$C$191:$AB$191,Curves!$AW$19:$BV$19)+SUMPRODUCT(React!$C$192:$AB$192,Curves!$AW$42:$BV$42)+SUMPRODUCT(React!$C$193:$AB$193,Curves!$AW$65:$BV$65)</f>
        <v/>
      </c>
      <c r="AC194" s="5">
        <f>SUMPRODUCT(React!$C$191:$AC$191,Curves!$AV$19:$BV$19)+SUMPRODUCT(React!$C$192:$AC$192,Curves!$AV$42:$BV$42)+SUMPRODUCT(React!$C$193:$AC$193,Curves!$AV$65:$BV$65)</f>
        <v/>
      </c>
      <c r="AD194" s="5">
        <f>SUMPRODUCT(React!$C$191:$AD$191,Curves!$AU$19:$BV$19)+SUMPRODUCT(React!$C$192:$AD$192,Curves!$AU$42:$BV$42)+SUMPRODUCT(React!$C$193:$AD$193,Curves!$AU$65:$BV$65)</f>
        <v/>
      </c>
      <c r="AE194" s="5">
        <f>SUMPRODUCT(React!$C$191:$AE$191,Curves!$AT$19:$BV$19)+SUMPRODUCT(React!$C$192:$AE$192,Curves!$AT$42:$BV$42)+SUMPRODUCT(React!$C$193:$AE$193,Curves!$AT$65:$BV$65)</f>
        <v/>
      </c>
      <c r="AF194" s="5">
        <f>SUMPRODUCT(React!$C$191:$AF$191,Curves!$AS$19:$BV$19)+SUMPRODUCT(React!$C$192:$AF$192,Curves!$AS$42:$BV$42)+SUMPRODUCT(React!$C$193:$AF$193,Curves!$AS$65:$BV$65)</f>
        <v/>
      </c>
      <c r="AG194" s="5">
        <f>SUMPRODUCT(React!$C$191:$AG$191,Curves!$AR$19:$BV$19)+SUMPRODUCT(React!$C$192:$AG$192,Curves!$AR$42:$BV$42)+SUMPRODUCT(React!$C$193:$AG$193,Curves!$AR$65:$BV$65)</f>
        <v/>
      </c>
      <c r="AH194" s="5">
        <f>SUMPRODUCT(React!$C$191:$AH$191,Curves!$AQ$19:$BV$19)+SUMPRODUCT(React!$C$192:$AH$192,Curves!$AQ$42:$BV$42)+SUMPRODUCT(React!$C$193:$AH$193,Curves!$AQ$65:$BV$65)</f>
        <v/>
      </c>
      <c r="AI194" s="5">
        <f>SUMPRODUCT(React!$C$191:$AI$191,Curves!$AP$19:$BV$19)+SUMPRODUCT(React!$C$192:$AI$192,Curves!$AP$42:$BV$42)+SUMPRODUCT(React!$C$193:$AI$193,Curves!$AP$65:$BV$65)</f>
        <v/>
      </c>
      <c r="AJ194" s="5">
        <f>SUMPRODUCT(React!$C$191:$AJ$191,Curves!$AO$19:$BV$19)+SUMPRODUCT(React!$C$192:$AJ$192,Curves!$AO$42:$BV$42)+SUMPRODUCT(React!$C$193:$AJ$193,Curves!$AO$65:$BV$65)</f>
        <v/>
      </c>
      <c r="AK194" s="5">
        <f>SUMPRODUCT(React!$C$191:$AK$191,Curves!$AN$19:$BV$19)+SUMPRODUCT(React!$C$192:$AK$192,Curves!$AN$42:$BV$42)+SUMPRODUCT(React!$C$193:$AK$193,Curves!$AN$65:$BV$65)</f>
        <v/>
      </c>
      <c r="AL194" s="5">
        <f>SUMPRODUCT(React!$C$191:$AL$191,Curves!$AM$19:$BV$19)+SUMPRODUCT(React!$C$192:$AL$192,Curves!$AM$42:$BV$42)+SUMPRODUCT(React!$C$193:$AL$193,Curves!$AM$65:$BV$65)</f>
        <v/>
      </c>
      <c r="AM194" s="5">
        <f>SUMPRODUCT(React!$C$191:$AM$191,Curves!$AL$19:$BV$19)+SUMPRODUCT(React!$C$192:$AM$192,Curves!$AL$42:$BV$42)+SUMPRODUCT(React!$C$193:$AM$193,Curves!$AL$65:$BV$65)</f>
        <v/>
      </c>
      <c r="AN194" s="5">
        <f>SUMPRODUCT(React!$C$191:$AN$191,Curves!$AK$19:$BV$19)+SUMPRODUCT(React!$C$192:$AN$192,Curves!$AK$42:$BV$42)+SUMPRODUCT(React!$C$193:$AN$193,Curves!$AK$65:$BV$65)</f>
        <v/>
      </c>
      <c r="AO194" s="5">
        <f>SUMPRODUCT(React!$C$191:$AO$191,Curves!$AJ$19:$BV$19)+SUMPRODUCT(React!$C$192:$AO$192,Curves!$AJ$42:$BV$42)+SUMPRODUCT(React!$C$193:$AO$193,Curves!$AJ$65:$BV$65)</f>
        <v/>
      </c>
      <c r="AP194" s="5">
        <f>SUMPRODUCT(React!$C$191:$AP$191,Curves!$AI$19:$BV$19)+SUMPRODUCT(React!$C$192:$AP$192,Curves!$AI$42:$BV$42)+SUMPRODUCT(React!$C$193:$AP$193,Curves!$AI$65:$BV$65)</f>
        <v/>
      </c>
      <c r="AQ194" s="5">
        <f>SUMPRODUCT(React!$C$191:$AQ$191,Curves!$AH$19:$BV$19)+SUMPRODUCT(React!$C$192:$AQ$192,Curves!$AH$42:$BV$42)+SUMPRODUCT(React!$C$193:$AQ$193,Curves!$AH$65:$BV$65)</f>
        <v/>
      </c>
      <c r="AR194" s="5">
        <f>SUMPRODUCT(React!$C$191:$AR$191,Curves!$AG$19:$BV$19)+SUMPRODUCT(React!$C$192:$AR$192,Curves!$AG$42:$BV$42)+SUMPRODUCT(React!$C$193:$AR$193,Curves!$AG$65:$BV$65)</f>
        <v/>
      </c>
      <c r="AS194" s="5">
        <f>SUMPRODUCT(React!$C$191:$AS$191,Curves!$AF$19:$BV$19)+SUMPRODUCT(React!$C$192:$AS$192,Curves!$AF$42:$BV$42)+SUMPRODUCT(React!$C$193:$AS$193,Curves!$AF$65:$BV$65)</f>
        <v/>
      </c>
      <c r="AT194" s="5">
        <f>SUMPRODUCT(React!$C$191:$AT$191,Curves!$AE$19:$BV$19)+SUMPRODUCT(React!$C$192:$AT$192,Curves!$AE$42:$BV$42)+SUMPRODUCT(React!$C$193:$AT$193,Curves!$AE$65:$BV$65)</f>
        <v/>
      </c>
      <c r="AU194" s="5">
        <f>SUMPRODUCT(React!$C$191:$AU$191,Curves!$AD$19:$BV$19)+SUMPRODUCT(React!$C$192:$AU$192,Curves!$AD$42:$BV$42)+SUMPRODUCT(React!$C$193:$AU$193,Curves!$AD$65:$BV$65)</f>
        <v/>
      </c>
      <c r="AV194" s="5">
        <f>SUMPRODUCT(React!$C$191:$AV$191,Curves!$AC$19:$BV$19)+SUMPRODUCT(React!$C$192:$AV$192,Curves!$AC$42:$BV$42)+SUMPRODUCT(React!$C$193:$AV$193,Curves!$AC$65:$BV$65)</f>
        <v/>
      </c>
      <c r="AW194" s="5">
        <f>SUMPRODUCT(React!$C$191:$AW$191,Curves!$AB$19:$BV$19)+SUMPRODUCT(React!$C$192:$AW$192,Curves!$AB$42:$BV$42)+SUMPRODUCT(React!$C$193:$AW$193,Curves!$AB$65:$BV$65)</f>
        <v/>
      </c>
      <c r="AX194" s="5">
        <f>SUMPRODUCT(React!$C$191:$AX$191,Curves!$AA$19:$BV$19)+SUMPRODUCT(React!$C$192:$AX$192,Curves!$AA$42:$BV$42)+SUMPRODUCT(React!$C$193:$AX$193,Curves!$AA$65:$BV$65)</f>
        <v/>
      </c>
      <c r="AY194" s="5">
        <f>SUMPRODUCT(React!$C$191:$AY$191,Curves!$Z$19:$BV$19)+SUMPRODUCT(React!$C$192:$AY$192,Curves!$Z$42:$BV$42)+SUMPRODUCT(React!$C$193:$AY$193,Curves!$Z$65:$BV$65)</f>
        <v/>
      </c>
      <c r="AZ194" s="5">
        <f>SUMPRODUCT(React!$C$191:$AZ$191,Curves!$Y$19:$BV$19)+SUMPRODUCT(React!$C$192:$AZ$192,Curves!$Y$42:$BV$42)+SUMPRODUCT(React!$C$193:$AZ$193,Curves!$Y$65:$BV$65)</f>
        <v/>
      </c>
      <c r="BA194" s="5">
        <f>SUMPRODUCT(React!$C$191:$BA$191,Curves!$X$19:$BV$19)+SUMPRODUCT(React!$C$192:$BA$192,Curves!$X$42:$BV$42)+SUMPRODUCT(React!$C$193:$BA$193,Curves!$X$65:$BV$65)</f>
        <v/>
      </c>
      <c r="BB194" s="5">
        <f>SUMPRODUCT(React!$C$191:$BB$191,Curves!$W$19:$BV$19)+SUMPRODUCT(React!$C$192:$BB$192,Curves!$W$42:$BV$42)+SUMPRODUCT(React!$C$193:$BB$193,Curves!$W$65:$BV$65)</f>
        <v/>
      </c>
      <c r="BC194" s="5">
        <f>SUMPRODUCT(React!$C$191:$BC$191,Curves!$V$19:$BV$19)+SUMPRODUCT(React!$C$192:$BC$192,Curves!$V$42:$BV$42)+SUMPRODUCT(React!$C$193:$BC$193,Curves!$V$65:$BV$65)</f>
        <v/>
      </c>
      <c r="BD194" s="5">
        <f>SUMPRODUCT(React!$C$191:$BD$191,Curves!$U$19:$BV$19)+SUMPRODUCT(React!$C$192:$BD$192,Curves!$U$42:$BV$42)+SUMPRODUCT(React!$C$193:$BD$193,Curves!$U$65:$BV$65)</f>
        <v/>
      </c>
      <c r="BE194" s="5">
        <f>SUMPRODUCT(React!$C$191:$BE$191,Curves!$T$19:$BV$19)+SUMPRODUCT(React!$C$192:$BE$192,Curves!$T$42:$BV$42)+SUMPRODUCT(React!$C$193:$BE$193,Curves!$T$65:$BV$65)</f>
        <v/>
      </c>
      <c r="BF194" s="5">
        <f>SUMPRODUCT(React!$C$191:$BF$191,Curves!$S$19:$BV$19)+SUMPRODUCT(React!$C$192:$BF$192,Curves!$S$42:$BV$42)+SUMPRODUCT(React!$C$193:$BF$193,Curves!$S$65:$BV$65)</f>
        <v/>
      </c>
      <c r="BG194" s="5">
        <f>SUMPRODUCT(React!$C$191:$BG$191,Curves!$R$19:$BV$19)+SUMPRODUCT(React!$C$192:$BG$192,Curves!$R$42:$BV$42)+SUMPRODUCT(React!$C$193:$BG$193,Curves!$R$65:$BV$65)</f>
        <v/>
      </c>
      <c r="BH194" s="5">
        <f>SUMPRODUCT(React!$C$191:$BH$191,Curves!$Q$19:$BV$19)+SUMPRODUCT(React!$C$192:$BH$192,Curves!$Q$42:$BV$42)+SUMPRODUCT(React!$C$193:$BH$193,Curves!$Q$65:$BV$65)</f>
        <v/>
      </c>
      <c r="BI194" s="5">
        <f>SUMPRODUCT(React!$C$191:$BI$191,Curves!$P$19:$BV$19)+SUMPRODUCT(React!$C$192:$BI$192,Curves!$P$42:$BV$42)+SUMPRODUCT(React!$C$193:$BI$193,Curves!$P$65:$BV$65)</f>
        <v/>
      </c>
      <c r="BJ194" s="5">
        <f>SUMPRODUCT(React!$C$191:$BJ$191,Curves!$O$19:$BV$19)+SUMPRODUCT(React!$C$192:$BJ$192,Curves!$O$42:$BV$42)+SUMPRODUCT(React!$C$193:$BJ$193,Curves!$O$65:$BV$65)</f>
        <v/>
      </c>
      <c r="BK194" s="5">
        <f>SUMPRODUCT(React!$C$191:$BK$191,Curves!$N$19:$BV$19)+SUMPRODUCT(React!$C$192:$BK$192,Curves!$N$42:$BV$42)+SUMPRODUCT(React!$C$193:$BK$193,Curves!$N$65:$BV$65)</f>
        <v/>
      </c>
      <c r="BL194" s="5">
        <f>SUMPRODUCT(React!$C$191:$BL$191,Curves!$M$19:$BV$19)+SUMPRODUCT(React!$C$192:$BL$192,Curves!$M$42:$BV$42)+SUMPRODUCT(React!$C$193:$BL$193,Curves!$M$65:$BV$65)</f>
        <v/>
      </c>
      <c r="BM194" s="5">
        <f>SUMPRODUCT(React!$C$191:$BM$191,Curves!$L$19:$BV$19)+SUMPRODUCT(React!$C$192:$BM$192,Curves!$L$42:$BV$42)+SUMPRODUCT(React!$C$193:$BM$193,Curves!$L$65:$BV$65)</f>
        <v/>
      </c>
      <c r="BN194" s="5">
        <f>SUMPRODUCT(React!$C$191:$BN$191,Curves!$K$19:$BV$19)+SUMPRODUCT(React!$C$192:$BN$192,Curves!$K$42:$BV$42)+SUMPRODUCT(React!$C$193:$BN$193,Curves!$K$65:$BV$65)</f>
        <v/>
      </c>
      <c r="BO194" s="5">
        <f>SUMPRODUCT(React!$C$191:$BO$191,Curves!$J$19:$BV$19)+SUMPRODUCT(React!$C$192:$BO$192,Curves!$J$42:$BV$42)+SUMPRODUCT(React!$C$193:$BO$193,Curves!$J$65:$BV$65)</f>
        <v/>
      </c>
      <c r="BP194" s="5">
        <f>SUMPRODUCT(React!$C$191:$BP$191,Curves!$I$19:$BV$19)+SUMPRODUCT(React!$C$192:$BP$192,Curves!$I$42:$BV$42)+SUMPRODUCT(React!$C$193:$BP$193,Curves!$I$65:$BV$65)</f>
        <v/>
      </c>
      <c r="BQ194" s="5">
        <f>SUMPRODUCT(React!$C$191:$BQ$191,Curves!$H$19:$BV$19)+SUMPRODUCT(React!$C$192:$BQ$192,Curves!$H$42:$BV$42)+SUMPRODUCT(React!$C$193:$BQ$193,Curves!$H$65:$BV$65)</f>
        <v/>
      </c>
      <c r="BR194" s="5">
        <f>SUMPRODUCT(React!$C$191:$BR$191,Curves!$G$19:$BV$19)+SUMPRODUCT(React!$C$192:$BR$192,Curves!$G$42:$BV$42)+SUMPRODUCT(React!$C$193:$BR$193,Curves!$G$65:$BV$65)</f>
        <v/>
      </c>
      <c r="BS194" s="5">
        <f>SUMPRODUCT(React!$C$191:$BS$191,Curves!$F$19:$BV$19)+SUMPRODUCT(React!$C$192:$BS$192,Curves!$F$42:$BV$42)+SUMPRODUCT(React!$C$193:$BS$193,Curves!$F$65:$BV$65)</f>
        <v/>
      </c>
      <c r="BT194" s="5">
        <f>SUMPRODUCT(React!$C$191:$BT$191,Curves!$E$19:$BV$19)+SUMPRODUCT(React!$C$192:$BT$192,Curves!$E$42:$BV$42)+SUMPRODUCT(React!$C$193:$BT$193,Curves!$E$65:$BV$65)</f>
        <v/>
      </c>
      <c r="BU194" s="5">
        <f>SUMPRODUCT(React!$C$191:$BU$191,Curves!$D$19:$BV$19)+SUMPRODUCT(React!$C$192:$BU$192,Curves!$D$42:$BV$42)+SUMPRODUCT(React!$C$193:$BU$193,Curves!$D$65:$BV$65)</f>
        <v/>
      </c>
      <c r="BV194" s="5">
        <f>SUMPRODUCT(React!$C$191:$BV$191,Curves!$C$19:$BV$19)+SUMPRODUCT(React!$C$192:$BV$192,Curves!$C$42:$BV$42)+SUMPRODUCT(React!$C$193:$BV$193,Curves!$C$65:$BV$65)</f>
        <v/>
      </c>
    </row>
    <row r="195">
      <c r="A195" t="inlineStr">
        <is>
          <t>active yr 1</t>
        </is>
      </c>
      <c r="B195" t="inlineStr">
        <is>
          <t>APAC|BASIC_M</t>
        </is>
      </c>
      <c r="C195" s="5">
        <f>React!$C$191*Curves!$BV$24+React!$C$192*Curves!$BV$47+React!$C$193*Curves!$BV$70</f>
        <v/>
      </c>
      <c r="D195" s="5">
        <f>SUMPRODUCT(React!$C$191:$D$191,Curves!$BU$24:$BV$24)+SUMPRODUCT(React!$C$192:$D$192,Curves!$BU$47:$BV$47)+SUMPRODUCT(React!$C$193:$D$193,Curves!$BU$70:$BV$70)</f>
        <v/>
      </c>
      <c r="E195" s="5">
        <f>SUMPRODUCT(React!$C$191:$E$191,Curves!$BT$24:$BV$24)+SUMPRODUCT(React!$C$192:$E$192,Curves!$BT$47:$BV$47)+SUMPRODUCT(React!$C$193:$E$193,Curves!$BT$70:$BV$70)</f>
        <v/>
      </c>
      <c r="F195" s="5">
        <f>SUMPRODUCT(React!$C$191:$F$191,Curves!$BS$24:$BV$24)+SUMPRODUCT(React!$C$192:$F$192,Curves!$BS$47:$BV$47)+SUMPRODUCT(React!$C$193:$F$193,Curves!$BS$70:$BV$70)</f>
        <v/>
      </c>
      <c r="G195" s="5">
        <f>SUMPRODUCT(React!$C$191:$G$191,Curves!$BR$24:$BV$24)+SUMPRODUCT(React!$C$192:$G$192,Curves!$BR$47:$BV$47)+SUMPRODUCT(React!$C$193:$G$193,Curves!$BR$70:$BV$70)</f>
        <v/>
      </c>
      <c r="H195" s="5">
        <f>SUMPRODUCT(React!$C$191:$H$191,Curves!$BQ$24:$BV$24)+SUMPRODUCT(React!$C$192:$H$192,Curves!$BQ$47:$BV$47)+SUMPRODUCT(React!$C$193:$H$193,Curves!$BQ$70:$BV$70)</f>
        <v/>
      </c>
      <c r="I195" s="5">
        <f>SUMPRODUCT(React!$C$191:$I$191,Curves!$BP$24:$BV$24)+SUMPRODUCT(React!$C$192:$I$192,Curves!$BP$47:$BV$47)+SUMPRODUCT(React!$C$193:$I$193,Curves!$BP$70:$BV$70)</f>
        <v/>
      </c>
      <c r="J195" s="5">
        <f>SUMPRODUCT(React!$C$191:$J$191,Curves!$BO$24:$BV$24)+SUMPRODUCT(React!$C$192:$J$192,Curves!$BO$47:$BV$47)+SUMPRODUCT(React!$C$193:$J$193,Curves!$BO$70:$BV$70)</f>
        <v/>
      </c>
      <c r="K195" s="5">
        <f>SUMPRODUCT(React!$C$191:$K$191,Curves!$BN$24:$BV$24)+SUMPRODUCT(React!$C$192:$K$192,Curves!$BN$47:$BV$47)+SUMPRODUCT(React!$C$193:$K$193,Curves!$BN$70:$BV$70)</f>
        <v/>
      </c>
      <c r="L195" s="5">
        <f>SUMPRODUCT(React!$C$191:$L$191,Curves!$BM$24:$BV$24)+SUMPRODUCT(React!$C$192:$L$192,Curves!$BM$47:$BV$47)+SUMPRODUCT(React!$C$193:$L$193,Curves!$BM$70:$BV$70)</f>
        <v/>
      </c>
      <c r="M195" s="5">
        <f>SUMPRODUCT(React!$C$191:$M$191,Curves!$BL$24:$BV$24)+SUMPRODUCT(React!$C$192:$M$192,Curves!$BL$47:$BV$47)+SUMPRODUCT(React!$C$193:$M$193,Curves!$BL$70:$BV$70)</f>
        <v/>
      </c>
      <c r="N195" s="5">
        <f>SUMPRODUCT(React!$C$191:$N$191,Curves!$BK$24:$BV$24)+SUMPRODUCT(React!$C$192:$N$192,Curves!$BK$47:$BV$47)+SUMPRODUCT(React!$C$193:$N$193,Curves!$BK$70:$BV$70)</f>
        <v/>
      </c>
      <c r="O195" s="5">
        <f>SUMPRODUCT(React!$C$191:$O$191,Curves!$BJ$24:$BV$24)+SUMPRODUCT(React!$C$192:$O$192,Curves!$BJ$47:$BV$47)+SUMPRODUCT(React!$C$193:$O$193,Curves!$BJ$70:$BV$70)</f>
        <v/>
      </c>
      <c r="P195" s="5">
        <f>SUMPRODUCT(React!$C$191:$P$191,Curves!$BI$24:$BV$24)+SUMPRODUCT(React!$C$192:$P$192,Curves!$BI$47:$BV$47)+SUMPRODUCT(React!$C$193:$P$193,Curves!$BI$70:$BV$70)</f>
        <v/>
      </c>
      <c r="Q195" s="5">
        <f>SUMPRODUCT(React!$C$191:$Q$191,Curves!$BH$24:$BV$24)+SUMPRODUCT(React!$C$192:$Q$192,Curves!$BH$47:$BV$47)+SUMPRODUCT(React!$C$193:$Q$193,Curves!$BH$70:$BV$70)</f>
        <v/>
      </c>
      <c r="R195" s="5">
        <f>SUMPRODUCT(React!$C$191:$R$191,Curves!$BG$24:$BV$24)+SUMPRODUCT(React!$C$192:$R$192,Curves!$BG$47:$BV$47)+SUMPRODUCT(React!$C$193:$R$193,Curves!$BG$70:$BV$70)</f>
        <v/>
      </c>
      <c r="S195" s="5">
        <f>SUMPRODUCT(React!$C$191:$S$191,Curves!$BF$24:$BV$24)+SUMPRODUCT(React!$C$192:$S$192,Curves!$BF$47:$BV$47)+SUMPRODUCT(React!$C$193:$S$193,Curves!$BF$70:$BV$70)</f>
        <v/>
      </c>
      <c r="T195" s="5">
        <f>SUMPRODUCT(React!$C$191:$T$191,Curves!$BE$24:$BV$24)+SUMPRODUCT(React!$C$192:$T$192,Curves!$BE$47:$BV$47)+SUMPRODUCT(React!$C$193:$T$193,Curves!$BE$70:$BV$70)</f>
        <v/>
      </c>
      <c r="U195" s="5">
        <f>SUMPRODUCT(React!$C$191:$U$191,Curves!$BD$24:$BV$24)+SUMPRODUCT(React!$C$192:$U$192,Curves!$BD$47:$BV$47)+SUMPRODUCT(React!$C$193:$U$193,Curves!$BD$70:$BV$70)</f>
        <v/>
      </c>
      <c r="V195" s="5">
        <f>SUMPRODUCT(React!$C$191:$V$191,Curves!$BC$24:$BV$24)+SUMPRODUCT(React!$C$192:$V$192,Curves!$BC$47:$BV$47)+SUMPRODUCT(React!$C$193:$V$193,Curves!$BC$70:$BV$70)</f>
        <v/>
      </c>
      <c r="W195" s="5">
        <f>SUMPRODUCT(React!$C$191:$W$191,Curves!$BB$24:$BV$24)+SUMPRODUCT(React!$C$192:$W$192,Curves!$BB$47:$BV$47)+SUMPRODUCT(React!$C$193:$W$193,Curves!$BB$70:$BV$70)</f>
        <v/>
      </c>
      <c r="X195" s="5">
        <f>SUMPRODUCT(React!$C$191:$X$191,Curves!$BA$24:$BV$24)+SUMPRODUCT(React!$C$192:$X$192,Curves!$BA$47:$BV$47)+SUMPRODUCT(React!$C$193:$X$193,Curves!$BA$70:$BV$70)</f>
        <v/>
      </c>
      <c r="Y195" s="5">
        <f>SUMPRODUCT(React!$C$191:$Y$191,Curves!$AZ$24:$BV$24)+SUMPRODUCT(React!$C$192:$Y$192,Curves!$AZ$47:$BV$47)+SUMPRODUCT(React!$C$193:$Y$193,Curves!$AZ$70:$BV$70)</f>
        <v/>
      </c>
      <c r="Z195" s="5">
        <f>SUMPRODUCT(React!$C$191:$Z$191,Curves!$AY$24:$BV$24)+SUMPRODUCT(React!$C$192:$Z$192,Curves!$AY$47:$BV$47)+SUMPRODUCT(React!$C$193:$Z$193,Curves!$AY$70:$BV$70)</f>
        <v/>
      </c>
      <c r="AA195" s="5">
        <f>SUMPRODUCT(React!$C$191:$AA$191,Curves!$AX$24:$BV$24)+SUMPRODUCT(React!$C$192:$AA$192,Curves!$AX$47:$BV$47)+SUMPRODUCT(React!$C$193:$AA$193,Curves!$AX$70:$BV$70)</f>
        <v/>
      </c>
      <c r="AB195" s="5">
        <f>SUMPRODUCT(React!$C$191:$AB$191,Curves!$AW$24:$BV$24)+SUMPRODUCT(React!$C$192:$AB$192,Curves!$AW$47:$BV$47)+SUMPRODUCT(React!$C$193:$AB$193,Curves!$AW$70:$BV$70)</f>
        <v/>
      </c>
      <c r="AC195" s="5">
        <f>SUMPRODUCT(React!$C$191:$AC$191,Curves!$AV$24:$BV$24)+SUMPRODUCT(React!$C$192:$AC$192,Curves!$AV$47:$BV$47)+SUMPRODUCT(React!$C$193:$AC$193,Curves!$AV$70:$BV$70)</f>
        <v/>
      </c>
      <c r="AD195" s="5">
        <f>SUMPRODUCT(React!$C$191:$AD$191,Curves!$AU$24:$BV$24)+SUMPRODUCT(React!$C$192:$AD$192,Curves!$AU$47:$BV$47)+SUMPRODUCT(React!$C$193:$AD$193,Curves!$AU$70:$BV$70)</f>
        <v/>
      </c>
      <c r="AE195" s="5">
        <f>SUMPRODUCT(React!$C$191:$AE$191,Curves!$AT$24:$BV$24)+SUMPRODUCT(React!$C$192:$AE$192,Curves!$AT$47:$BV$47)+SUMPRODUCT(React!$C$193:$AE$193,Curves!$AT$70:$BV$70)</f>
        <v/>
      </c>
      <c r="AF195" s="5">
        <f>SUMPRODUCT(React!$C$191:$AF$191,Curves!$AS$24:$BV$24)+SUMPRODUCT(React!$C$192:$AF$192,Curves!$AS$47:$BV$47)+SUMPRODUCT(React!$C$193:$AF$193,Curves!$AS$70:$BV$70)</f>
        <v/>
      </c>
      <c r="AG195" s="5">
        <f>SUMPRODUCT(React!$C$191:$AG$191,Curves!$AR$24:$BV$24)+SUMPRODUCT(React!$C$192:$AG$192,Curves!$AR$47:$BV$47)+SUMPRODUCT(React!$C$193:$AG$193,Curves!$AR$70:$BV$70)</f>
        <v/>
      </c>
      <c r="AH195" s="5">
        <f>SUMPRODUCT(React!$C$191:$AH$191,Curves!$AQ$24:$BV$24)+SUMPRODUCT(React!$C$192:$AH$192,Curves!$AQ$47:$BV$47)+SUMPRODUCT(React!$C$193:$AH$193,Curves!$AQ$70:$BV$70)</f>
        <v/>
      </c>
      <c r="AI195" s="5">
        <f>SUMPRODUCT(React!$C$191:$AI$191,Curves!$AP$24:$BV$24)+SUMPRODUCT(React!$C$192:$AI$192,Curves!$AP$47:$BV$47)+SUMPRODUCT(React!$C$193:$AI$193,Curves!$AP$70:$BV$70)</f>
        <v/>
      </c>
      <c r="AJ195" s="5">
        <f>SUMPRODUCT(React!$C$191:$AJ$191,Curves!$AO$24:$BV$24)+SUMPRODUCT(React!$C$192:$AJ$192,Curves!$AO$47:$BV$47)+SUMPRODUCT(React!$C$193:$AJ$193,Curves!$AO$70:$BV$70)</f>
        <v/>
      </c>
      <c r="AK195" s="5">
        <f>SUMPRODUCT(React!$C$191:$AK$191,Curves!$AN$24:$BV$24)+SUMPRODUCT(React!$C$192:$AK$192,Curves!$AN$47:$BV$47)+SUMPRODUCT(React!$C$193:$AK$193,Curves!$AN$70:$BV$70)</f>
        <v/>
      </c>
      <c r="AL195" s="5">
        <f>SUMPRODUCT(React!$C$191:$AL$191,Curves!$AM$24:$BV$24)+SUMPRODUCT(React!$C$192:$AL$192,Curves!$AM$47:$BV$47)+SUMPRODUCT(React!$C$193:$AL$193,Curves!$AM$70:$BV$70)</f>
        <v/>
      </c>
      <c r="AM195" s="5">
        <f>SUMPRODUCT(React!$C$191:$AM$191,Curves!$AL$24:$BV$24)+SUMPRODUCT(React!$C$192:$AM$192,Curves!$AL$47:$BV$47)+SUMPRODUCT(React!$C$193:$AM$193,Curves!$AL$70:$BV$70)</f>
        <v/>
      </c>
      <c r="AN195" s="5">
        <f>SUMPRODUCT(React!$C$191:$AN$191,Curves!$AK$24:$BV$24)+SUMPRODUCT(React!$C$192:$AN$192,Curves!$AK$47:$BV$47)+SUMPRODUCT(React!$C$193:$AN$193,Curves!$AK$70:$BV$70)</f>
        <v/>
      </c>
      <c r="AO195" s="5">
        <f>SUMPRODUCT(React!$C$191:$AO$191,Curves!$AJ$24:$BV$24)+SUMPRODUCT(React!$C$192:$AO$192,Curves!$AJ$47:$BV$47)+SUMPRODUCT(React!$C$193:$AO$193,Curves!$AJ$70:$BV$70)</f>
        <v/>
      </c>
      <c r="AP195" s="5">
        <f>SUMPRODUCT(React!$C$191:$AP$191,Curves!$AI$24:$BV$24)+SUMPRODUCT(React!$C$192:$AP$192,Curves!$AI$47:$BV$47)+SUMPRODUCT(React!$C$193:$AP$193,Curves!$AI$70:$BV$70)</f>
        <v/>
      </c>
      <c r="AQ195" s="5">
        <f>SUMPRODUCT(React!$C$191:$AQ$191,Curves!$AH$24:$BV$24)+SUMPRODUCT(React!$C$192:$AQ$192,Curves!$AH$47:$BV$47)+SUMPRODUCT(React!$C$193:$AQ$193,Curves!$AH$70:$BV$70)</f>
        <v/>
      </c>
      <c r="AR195" s="5">
        <f>SUMPRODUCT(React!$C$191:$AR$191,Curves!$AG$24:$BV$24)+SUMPRODUCT(React!$C$192:$AR$192,Curves!$AG$47:$BV$47)+SUMPRODUCT(React!$C$193:$AR$193,Curves!$AG$70:$BV$70)</f>
        <v/>
      </c>
      <c r="AS195" s="5">
        <f>SUMPRODUCT(React!$C$191:$AS$191,Curves!$AF$24:$BV$24)+SUMPRODUCT(React!$C$192:$AS$192,Curves!$AF$47:$BV$47)+SUMPRODUCT(React!$C$193:$AS$193,Curves!$AF$70:$BV$70)</f>
        <v/>
      </c>
      <c r="AT195" s="5">
        <f>SUMPRODUCT(React!$C$191:$AT$191,Curves!$AE$24:$BV$24)+SUMPRODUCT(React!$C$192:$AT$192,Curves!$AE$47:$BV$47)+SUMPRODUCT(React!$C$193:$AT$193,Curves!$AE$70:$BV$70)</f>
        <v/>
      </c>
      <c r="AU195" s="5">
        <f>SUMPRODUCT(React!$C$191:$AU$191,Curves!$AD$24:$BV$24)+SUMPRODUCT(React!$C$192:$AU$192,Curves!$AD$47:$BV$47)+SUMPRODUCT(React!$C$193:$AU$193,Curves!$AD$70:$BV$70)</f>
        <v/>
      </c>
      <c r="AV195" s="5">
        <f>SUMPRODUCT(React!$C$191:$AV$191,Curves!$AC$24:$BV$24)+SUMPRODUCT(React!$C$192:$AV$192,Curves!$AC$47:$BV$47)+SUMPRODUCT(React!$C$193:$AV$193,Curves!$AC$70:$BV$70)</f>
        <v/>
      </c>
      <c r="AW195" s="5">
        <f>SUMPRODUCT(React!$C$191:$AW$191,Curves!$AB$24:$BV$24)+SUMPRODUCT(React!$C$192:$AW$192,Curves!$AB$47:$BV$47)+SUMPRODUCT(React!$C$193:$AW$193,Curves!$AB$70:$BV$70)</f>
        <v/>
      </c>
      <c r="AX195" s="5">
        <f>SUMPRODUCT(React!$C$191:$AX$191,Curves!$AA$24:$BV$24)+SUMPRODUCT(React!$C$192:$AX$192,Curves!$AA$47:$BV$47)+SUMPRODUCT(React!$C$193:$AX$193,Curves!$AA$70:$BV$70)</f>
        <v/>
      </c>
      <c r="AY195" s="5">
        <f>SUMPRODUCT(React!$C$191:$AY$191,Curves!$Z$24:$BV$24)+SUMPRODUCT(React!$C$192:$AY$192,Curves!$Z$47:$BV$47)+SUMPRODUCT(React!$C$193:$AY$193,Curves!$Z$70:$BV$70)</f>
        <v/>
      </c>
      <c r="AZ195" s="5">
        <f>SUMPRODUCT(React!$C$191:$AZ$191,Curves!$Y$24:$BV$24)+SUMPRODUCT(React!$C$192:$AZ$192,Curves!$Y$47:$BV$47)+SUMPRODUCT(React!$C$193:$AZ$193,Curves!$Y$70:$BV$70)</f>
        <v/>
      </c>
      <c r="BA195" s="5">
        <f>SUMPRODUCT(React!$C$191:$BA$191,Curves!$X$24:$BV$24)+SUMPRODUCT(React!$C$192:$BA$192,Curves!$X$47:$BV$47)+SUMPRODUCT(React!$C$193:$BA$193,Curves!$X$70:$BV$70)</f>
        <v/>
      </c>
      <c r="BB195" s="5">
        <f>SUMPRODUCT(React!$C$191:$BB$191,Curves!$W$24:$BV$24)+SUMPRODUCT(React!$C$192:$BB$192,Curves!$W$47:$BV$47)+SUMPRODUCT(React!$C$193:$BB$193,Curves!$W$70:$BV$70)</f>
        <v/>
      </c>
      <c r="BC195" s="5">
        <f>SUMPRODUCT(React!$C$191:$BC$191,Curves!$V$24:$BV$24)+SUMPRODUCT(React!$C$192:$BC$192,Curves!$V$47:$BV$47)+SUMPRODUCT(React!$C$193:$BC$193,Curves!$V$70:$BV$70)</f>
        <v/>
      </c>
      <c r="BD195" s="5">
        <f>SUMPRODUCT(React!$C$191:$BD$191,Curves!$U$24:$BV$24)+SUMPRODUCT(React!$C$192:$BD$192,Curves!$U$47:$BV$47)+SUMPRODUCT(React!$C$193:$BD$193,Curves!$U$70:$BV$70)</f>
        <v/>
      </c>
      <c r="BE195" s="5">
        <f>SUMPRODUCT(React!$C$191:$BE$191,Curves!$T$24:$BV$24)+SUMPRODUCT(React!$C$192:$BE$192,Curves!$T$47:$BV$47)+SUMPRODUCT(React!$C$193:$BE$193,Curves!$T$70:$BV$70)</f>
        <v/>
      </c>
      <c r="BF195" s="5">
        <f>SUMPRODUCT(React!$C$191:$BF$191,Curves!$S$24:$BV$24)+SUMPRODUCT(React!$C$192:$BF$192,Curves!$S$47:$BV$47)+SUMPRODUCT(React!$C$193:$BF$193,Curves!$S$70:$BV$70)</f>
        <v/>
      </c>
      <c r="BG195" s="5">
        <f>SUMPRODUCT(React!$C$191:$BG$191,Curves!$R$24:$BV$24)+SUMPRODUCT(React!$C$192:$BG$192,Curves!$R$47:$BV$47)+SUMPRODUCT(React!$C$193:$BG$193,Curves!$R$70:$BV$70)</f>
        <v/>
      </c>
      <c r="BH195" s="5">
        <f>SUMPRODUCT(React!$C$191:$BH$191,Curves!$Q$24:$BV$24)+SUMPRODUCT(React!$C$192:$BH$192,Curves!$Q$47:$BV$47)+SUMPRODUCT(React!$C$193:$BH$193,Curves!$Q$70:$BV$70)</f>
        <v/>
      </c>
      <c r="BI195" s="5">
        <f>SUMPRODUCT(React!$C$191:$BI$191,Curves!$P$24:$BV$24)+SUMPRODUCT(React!$C$192:$BI$192,Curves!$P$47:$BV$47)+SUMPRODUCT(React!$C$193:$BI$193,Curves!$P$70:$BV$70)</f>
        <v/>
      </c>
      <c r="BJ195" s="5">
        <f>SUMPRODUCT(React!$C$191:$BJ$191,Curves!$O$24:$BV$24)+SUMPRODUCT(React!$C$192:$BJ$192,Curves!$O$47:$BV$47)+SUMPRODUCT(React!$C$193:$BJ$193,Curves!$O$70:$BV$70)</f>
        <v/>
      </c>
      <c r="BK195" s="5">
        <f>SUMPRODUCT(React!$C$191:$BK$191,Curves!$N$24:$BV$24)+SUMPRODUCT(React!$C$192:$BK$192,Curves!$N$47:$BV$47)+SUMPRODUCT(React!$C$193:$BK$193,Curves!$N$70:$BV$70)</f>
        <v/>
      </c>
      <c r="BL195" s="5">
        <f>SUMPRODUCT(React!$C$191:$BL$191,Curves!$M$24:$BV$24)+SUMPRODUCT(React!$C$192:$BL$192,Curves!$M$47:$BV$47)+SUMPRODUCT(React!$C$193:$BL$193,Curves!$M$70:$BV$70)</f>
        <v/>
      </c>
      <c r="BM195" s="5">
        <f>SUMPRODUCT(React!$C$191:$BM$191,Curves!$L$24:$BV$24)+SUMPRODUCT(React!$C$192:$BM$192,Curves!$L$47:$BV$47)+SUMPRODUCT(React!$C$193:$BM$193,Curves!$L$70:$BV$70)</f>
        <v/>
      </c>
      <c r="BN195" s="5">
        <f>SUMPRODUCT(React!$C$191:$BN$191,Curves!$K$24:$BV$24)+SUMPRODUCT(React!$C$192:$BN$192,Curves!$K$47:$BV$47)+SUMPRODUCT(React!$C$193:$BN$193,Curves!$K$70:$BV$70)</f>
        <v/>
      </c>
      <c r="BO195" s="5">
        <f>SUMPRODUCT(React!$C$191:$BO$191,Curves!$J$24:$BV$24)+SUMPRODUCT(React!$C$192:$BO$192,Curves!$J$47:$BV$47)+SUMPRODUCT(React!$C$193:$BO$193,Curves!$J$70:$BV$70)</f>
        <v/>
      </c>
      <c r="BP195" s="5">
        <f>SUMPRODUCT(React!$C$191:$BP$191,Curves!$I$24:$BV$24)+SUMPRODUCT(React!$C$192:$BP$192,Curves!$I$47:$BV$47)+SUMPRODUCT(React!$C$193:$BP$193,Curves!$I$70:$BV$70)</f>
        <v/>
      </c>
      <c r="BQ195" s="5">
        <f>SUMPRODUCT(React!$C$191:$BQ$191,Curves!$H$24:$BV$24)+SUMPRODUCT(React!$C$192:$BQ$192,Curves!$H$47:$BV$47)+SUMPRODUCT(React!$C$193:$BQ$193,Curves!$H$70:$BV$70)</f>
        <v/>
      </c>
      <c r="BR195" s="5">
        <f>SUMPRODUCT(React!$C$191:$BR$191,Curves!$G$24:$BV$24)+SUMPRODUCT(React!$C$192:$BR$192,Curves!$G$47:$BV$47)+SUMPRODUCT(React!$C$193:$BR$193,Curves!$G$70:$BV$70)</f>
        <v/>
      </c>
      <c r="BS195" s="5">
        <f>SUMPRODUCT(React!$C$191:$BS$191,Curves!$F$24:$BV$24)+SUMPRODUCT(React!$C$192:$BS$192,Curves!$F$47:$BV$47)+SUMPRODUCT(React!$C$193:$BS$193,Curves!$F$70:$BV$70)</f>
        <v/>
      </c>
      <c r="BT195" s="5">
        <f>SUMPRODUCT(React!$C$191:$BT$191,Curves!$E$24:$BV$24)+SUMPRODUCT(React!$C$192:$BT$192,Curves!$E$47:$BV$47)+SUMPRODUCT(React!$C$193:$BT$193,Curves!$E$70:$BV$70)</f>
        <v/>
      </c>
      <c r="BU195" s="5">
        <f>SUMPRODUCT(React!$C$191:$BU$191,Curves!$D$24:$BV$24)+SUMPRODUCT(React!$C$192:$BU$192,Curves!$D$47:$BV$47)+SUMPRODUCT(React!$C$193:$BU$193,Curves!$D$70:$BV$70)</f>
        <v/>
      </c>
      <c r="BV195" s="5">
        <f>SUMPRODUCT(React!$C$191:$BV$191,Curves!$C$24:$BV$24)+SUMPRODUCT(React!$C$192:$BV$192,Curves!$C$47:$BV$47)+SUMPRODUCT(React!$C$193:$BV$193,Curves!$C$70:$BV$70)</f>
        <v/>
      </c>
    </row>
    <row r="196">
      <c r="A196" t="inlineStr">
        <is>
          <t>churned</t>
        </is>
      </c>
      <c r="B196" t="inlineStr">
        <is>
          <t>APAC|BASIC_M</t>
        </is>
      </c>
      <c r="C196" s="5">
        <f>React!$C$191*Curves!$BV$20+React!$C$192*Curves!$BV$43+React!$C$193*Curves!$BV$66</f>
        <v/>
      </c>
      <c r="D196" s="5">
        <f>SUMPRODUCT(React!$C$191:$D$191,Curves!$BU$20:$BV$20)+SUMPRODUCT(React!$C$192:$D$192,Curves!$BU$43:$BV$43)+SUMPRODUCT(React!$C$193:$D$193,Curves!$BU$66:$BV$66)</f>
        <v/>
      </c>
      <c r="E196" s="5">
        <f>SUMPRODUCT(React!$C$191:$E$191,Curves!$BT$20:$BV$20)+SUMPRODUCT(React!$C$192:$E$192,Curves!$BT$43:$BV$43)+SUMPRODUCT(React!$C$193:$E$193,Curves!$BT$66:$BV$66)</f>
        <v/>
      </c>
      <c r="F196" s="5">
        <f>SUMPRODUCT(React!$C$191:$F$191,Curves!$BS$20:$BV$20)+SUMPRODUCT(React!$C$192:$F$192,Curves!$BS$43:$BV$43)+SUMPRODUCT(React!$C$193:$F$193,Curves!$BS$66:$BV$66)</f>
        <v/>
      </c>
      <c r="G196" s="5">
        <f>SUMPRODUCT(React!$C$191:$G$191,Curves!$BR$20:$BV$20)+SUMPRODUCT(React!$C$192:$G$192,Curves!$BR$43:$BV$43)+SUMPRODUCT(React!$C$193:$G$193,Curves!$BR$66:$BV$66)</f>
        <v/>
      </c>
      <c r="H196" s="5">
        <f>SUMPRODUCT(React!$C$191:$H$191,Curves!$BQ$20:$BV$20)+SUMPRODUCT(React!$C$192:$H$192,Curves!$BQ$43:$BV$43)+SUMPRODUCT(React!$C$193:$H$193,Curves!$BQ$66:$BV$66)</f>
        <v/>
      </c>
      <c r="I196" s="5">
        <f>SUMPRODUCT(React!$C$191:$I$191,Curves!$BP$20:$BV$20)+SUMPRODUCT(React!$C$192:$I$192,Curves!$BP$43:$BV$43)+SUMPRODUCT(React!$C$193:$I$193,Curves!$BP$66:$BV$66)</f>
        <v/>
      </c>
      <c r="J196" s="5">
        <f>SUMPRODUCT(React!$C$191:$J$191,Curves!$BO$20:$BV$20)+SUMPRODUCT(React!$C$192:$J$192,Curves!$BO$43:$BV$43)+SUMPRODUCT(React!$C$193:$J$193,Curves!$BO$66:$BV$66)</f>
        <v/>
      </c>
      <c r="K196" s="5">
        <f>SUMPRODUCT(React!$C$191:$K$191,Curves!$BN$20:$BV$20)+SUMPRODUCT(React!$C$192:$K$192,Curves!$BN$43:$BV$43)+SUMPRODUCT(React!$C$193:$K$193,Curves!$BN$66:$BV$66)</f>
        <v/>
      </c>
      <c r="L196" s="5">
        <f>SUMPRODUCT(React!$C$191:$L$191,Curves!$BM$20:$BV$20)+SUMPRODUCT(React!$C$192:$L$192,Curves!$BM$43:$BV$43)+SUMPRODUCT(React!$C$193:$L$193,Curves!$BM$66:$BV$66)</f>
        <v/>
      </c>
      <c r="M196" s="5">
        <f>SUMPRODUCT(React!$C$191:$M$191,Curves!$BL$20:$BV$20)+SUMPRODUCT(React!$C$192:$M$192,Curves!$BL$43:$BV$43)+SUMPRODUCT(React!$C$193:$M$193,Curves!$BL$66:$BV$66)</f>
        <v/>
      </c>
      <c r="N196" s="5">
        <f>SUMPRODUCT(React!$C$191:$N$191,Curves!$BK$20:$BV$20)+SUMPRODUCT(React!$C$192:$N$192,Curves!$BK$43:$BV$43)+SUMPRODUCT(React!$C$193:$N$193,Curves!$BK$66:$BV$66)</f>
        <v/>
      </c>
      <c r="O196" s="5">
        <f>SUMPRODUCT(React!$C$191:$O$191,Curves!$BJ$20:$BV$20)+SUMPRODUCT(React!$C$192:$O$192,Curves!$BJ$43:$BV$43)+SUMPRODUCT(React!$C$193:$O$193,Curves!$BJ$66:$BV$66)</f>
        <v/>
      </c>
      <c r="P196" s="5">
        <f>SUMPRODUCT(React!$C$191:$P$191,Curves!$BI$20:$BV$20)+SUMPRODUCT(React!$C$192:$P$192,Curves!$BI$43:$BV$43)+SUMPRODUCT(React!$C$193:$P$193,Curves!$BI$66:$BV$66)</f>
        <v/>
      </c>
      <c r="Q196" s="5">
        <f>SUMPRODUCT(React!$C$191:$Q$191,Curves!$BH$20:$BV$20)+SUMPRODUCT(React!$C$192:$Q$192,Curves!$BH$43:$BV$43)+SUMPRODUCT(React!$C$193:$Q$193,Curves!$BH$66:$BV$66)</f>
        <v/>
      </c>
      <c r="R196" s="5">
        <f>SUMPRODUCT(React!$C$191:$R$191,Curves!$BG$20:$BV$20)+SUMPRODUCT(React!$C$192:$R$192,Curves!$BG$43:$BV$43)+SUMPRODUCT(React!$C$193:$R$193,Curves!$BG$66:$BV$66)</f>
        <v/>
      </c>
      <c r="S196" s="5">
        <f>SUMPRODUCT(React!$C$191:$S$191,Curves!$BF$20:$BV$20)+SUMPRODUCT(React!$C$192:$S$192,Curves!$BF$43:$BV$43)+SUMPRODUCT(React!$C$193:$S$193,Curves!$BF$66:$BV$66)</f>
        <v/>
      </c>
      <c r="T196" s="5">
        <f>SUMPRODUCT(React!$C$191:$T$191,Curves!$BE$20:$BV$20)+SUMPRODUCT(React!$C$192:$T$192,Curves!$BE$43:$BV$43)+SUMPRODUCT(React!$C$193:$T$193,Curves!$BE$66:$BV$66)</f>
        <v/>
      </c>
      <c r="U196" s="5">
        <f>SUMPRODUCT(React!$C$191:$U$191,Curves!$BD$20:$BV$20)+SUMPRODUCT(React!$C$192:$U$192,Curves!$BD$43:$BV$43)+SUMPRODUCT(React!$C$193:$U$193,Curves!$BD$66:$BV$66)</f>
        <v/>
      </c>
      <c r="V196" s="5">
        <f>SUMPRODUCT(React!$C$191:$V$191,Curves!$BC$20:$BV$20)+SUMPRODUCT(React!$C$192:$V$192,Curves!$BC$43:$BV$43)+SUMPRODUCT(React!$C$193:$V$193,Curves!$BC$66:$BV$66)</f>
        <v/>
      </c>
      <c r="W196" s="5">
        <f>SUMPRODUCT(React!$C$191:$W$191,Curves!$BB$20:$BV$20)+SUMPRODUCT(React!$C$192:$W$192,Curves!$BB$43:$BV$43)+SUMPRODUCT(React!$C$193:$W$193,Curves!$BB$66:$BV$66)</f>
        <v/>
      </c>
      <c r="X196" s="5">
        <f>SUMPRODUCT(React!$C$191:$X$191,Curves!$BA$20:$BV$20)+SUMPRODUCT(React!$C$192:$X$192,Curves!$BA$43:$BV$43)+SUMPRODUCT(React!$C$193:$X$193,Curves!$BA$66:$BV$66)</f>
        <v/>
      </c>
      <c r="Y196" s="5">
        <f>SUMPRODUCT(React!$C$191:$Y$191,Curves!$AZ$20:$BV$20)+SUMPRODUCT(React!$C$192:$Y$192,Curves!$AZ$43:$BV$43)+SUMPRODUCT(React!$C$193:$Y$193,Curves!$AZ$66:$BV$66)</f>
        <v/>
      </c>
      <c r="Z196" s="5">
        <f>SUMPRODUCT(React!$C$191:$Z$191,Curves!$AY$20:$BV$20)+SUMPRODUCT(React!$C$192:$Z$192,Curves!$AY$43:$BV$43)+SUMPRODUCT(React!$C$193:$Z$193,Curves!$AY$66:$BV$66)</f>
        <v/>
      </c>
      <c r="AA196" s="5">
        <f>SUMPRODUCT(React!$C$191:$AA$191,Curves!$AX$20:$BV$20)+SUMPRODUCT(React!$C$192:$AA$192,Curves!$AX$43:$BV$43)+SUMPRODUCT(React!$C$193:$AA$193,Curves!$AX$66:$BV$66)</f>
        <v/>
      </c>
      <c r="AB196" s="5">
        <f>SUMPRODUCT(React!$C$191:$AB$191,Curves!$AW$20:$BV$20)+SUMPRODUCT(React!$C$192:$AB$192,Curves!$AW$43:$BV$43)+SUMPRODUCT(React!$C$193:$AB$193,Curves!$AW$66:$BV$66)</f>
        <v/>
      </c>
      <c r="AC196" s="5">
        <f>SUMPRODUCT(React!$C$191:$AC$191,Curves!$AV$20:$BV$20)+SUMPRODUCT(React!$C$192:$AC$192,Curves!$AV$43:$BV$43)+SUMPRODUCT(React!$C$193:$AC$193,Curves!$AV$66:$BV$66)</f>
        <v/>
      </c>
      <c r="AD196" s="5">
        <f>SUMPRODUCT(React!$C$191:$AD$191,Curves!$AU$20:$BV$20)+SUMPRODUCT(React!$C$192:$AD$192,Curves!$AU$43:$BV$43)+SUMPRODUCT(React!$C$193:$AD$193,Curves!$AU$66:$BV$66)</f>
        <v/>
      </c>
      <c r="AE196" s="5">
        <f>SUMPRODUCT(React!$C$191:$AE$191,Curves!$AT$20:$BV$20)+SUMPRODUCT(React!$C$192:$AE$192,Curves!$AT$43:$BV$43)+SUMPRODUCT(React!$C$193:$AE$193,Curves!$AT$66:$BV$66)</f>
        <v/>
      </c>
      <c r="AF196" s="5">
        <f>SUMPRODUCT(React!$C$191:$AF$191,Curves!$AS$20:$BV$20)+SUMPRODUCT(React!$C$192:$AF$192,Curves!$AS$43:$BV$43)+SUMPRODUCT(React!$C$193:$AF$193,Curves!$AS$66:$BV$66)</f>
        <v/>
      </c>
      <c r="AG196" s="5">
        <f>SUMPRODUCT(React!$C$191:$AG$191,Curves!$AR$20:$BV$20)+SUMPRODUCT(React!$C$192:$AG$192,Curves!$AR$43:$BV$43)+SUMPRODUCT(React!$C$193:$AG$193,Curves!$AR$66:$BV$66)</f>
        <v/>
      </c>
      <c r="AH196" s="5">
        <f>SUMPRODUCT(React!$C$191:$AH$191,Curves!$AQ$20:$BV$20)+SUMPRODUCT(React!$C$192:$AH$192,Curves!$AQ$43:$BV$43)+SUMPRODUCT(React!$C$193:$AH$193,Curves!$AQ$66:$BV$66)</f>
        <v/>
      </c>
      <c r="AI196" s="5">
        <f>SUMPRODUCT(React!$C$191:$AI$191,Curves!$AP$20:$BV$20)+SUMPRODUCT(React!$C$192:$AI$192,Curves!$AP$43:$BV$43)+SUMPRODUCT(React!$C$193:$AI$193,Curves!$AP$66:$BV$66)</f>
        <v/>
      </c>
      <c r="AJ196" s="5">
        <f>SUMPRODUCT(React!$C$191:$AJ$191,Curves!$AO$20:$BV$20)+SUMPRODUCT(React!$C$192:$AJ$192,Curves!$AO$43:$BV$43)+SUMPRODUCT(React!$C$193:$AJ$193,Curves!$AO$66:$BV$66)</f>
        <v/>
      </c>
      <c r="AK196" s="5">
        <f>SUMPRODUCT(React!$C$191:$AK$191,Curves!$AN$20:$BV$20)+SUMPRODUCT(React!$C$192:$AK$192,Curves!$AN$43:$BV$43)+SUMPRODUCT(React!$C$193:$AK$193,Curves!$AN$66:$BV$66)</f>
        <v/>
      </c>
      <c r="AL196" s="5">
        <f>SUMPRODUCT(React!$C$191:$AL$191,Curves!$AM$20:$BV$20)+SUMPRODUCT(React!$C$192:$AL$192,Curves!$AM$43:$BV$43)+SUMPRODUCT(React!$C$193:$AL$193,Curves!$AM$66:$BV$66)</f>
        <v/>
      </c>
      <c r="AM196" s="5">
        <f>SUMPRODUCT(React!$C$191:$AM$191,Curves!$AL$20:$BV$20)+SUMPRODUCT(React!$C$192:$AM$192,Curves!$AL$43:$BV$43)+SUMPRODUCT(React!$C$193:$AM$193,Curves!$AL$66:$BV$66)</f>
        <v/>
      </c>
      <c r="AN196" s="5">
        <f>SUMPRODUCT(React!$C$191:$AN$191,Curves!$AK$20:$BV$20)+SUMPRODUCT(React!$C$192:$AN$192,Curves!$AK$43:$BV$43)+SUMPRODUCT(React!$C$193:$AN$193,Curves!$AK$66:$BV$66)</f>
        <v/>
      </c>
      <c r="AO196" s="5">
        <f>SUMPRODUCT(React!$C$191:$AO$191,Curves!$AJ$20:$BV$20)+SUMPRODUCT(React!$C$192:$AO$192,Curves!$AJ$43:$BV$43)+SUMPRODUCT(React!$C$193:$AO$193,Curves!$AJ$66:$BV$66)</f>
        <v/>
      </c>
      <c r="AP196" s="5">
        <f>SUMPRODUCT(React!$C$191:$AP$191,Curves!$AI$20:$BV$20)+SUMPRODUCT(React!$C$192:$AP$192,Curves!$AI$43:$BV$43)+SUMPRODUCT(React!$C$193:$AP$193,Curves!$AI$66:$BV$66)</f>
        <v/>
      </c>
      <c r="AQ196" s="5">
        <f>SUMPRODUCT(React!$C$191:$AQ$191,Curves!$AH$20:$BV$20)+SUMPRODUCT(React!$C$192:$AQ$192,Curves!$AH$43:$BV$43)+SUMPRODUCT(React!$C$193:$AQ$193,Curves!$AH$66:$BV$66)</f>
        <v/>
      </c>
      <c r="AR196" s="5">
        <f>SUMPRODUCT(React!$C$191:$AR$191,Curves!$AG$20:$BV$20)+SUMPRODUCT(React!$C$192:$AR$192,Curves!$AG$43:$BV$43)+SUMPRODUCT(React!$C$193:$AR$193,Curves!$AG$66:$BV$66)</f>
        <v/>
      </c>
      <c r="AS196" s="5">
        <f>SUMPRODUCT(React!$C$191:$AS$191,Curves!$AF$20:$BV$20)+SUMPRODUCT(React!$C$192:$AS$192,Curves!$AF$43:$BV$43)+SUMPRODUCT(React!$C$193:$AS$193,Curves!$AF$66:$BV$66)</f>
        <v/>
      </c>
      <c r="AT196" s="5">
        <f>SUMPRODUCT(React!$C$191:$AT$191,Curves!$AE$20:$BV$20)+SUMPRODUCT(React!$C$192:$AT$192,Curves!$AE$43:$BV$43)+SUMPRODUCT(React!$C$193:$AT$193,Curves!$AE$66:$BV$66)</f>
        <v/>
      </c>
      <c r="AU196" s="5">
        <f>SUMPRODUCT(React!$C$191:$AU$191,Curves!$AD$20:$BV$20)+SUMPRODUCT(React!$C$192:$AU$192,Curves!$AD$43:$BV$43)+SUMPRODUCT(React!$C$193:$AU$193,Curves!$AD$66:$BV$66)</f>
        <v/>
      </c>
      <c r="AV196" s="5">
        <f>SUMPRODUCT(React!$C$191:$AV$191,Curves!$AC$20:$BV$20)+SUMPRODUCT(React!$C$192:$AV$192,Curves!$AC$43:$BV$43)+SUMPRODUCT(React!$C$193:$AV$193,Curves!$AC$66:$BV$66)</f>
        <v/>
      </c>
      <c r="AW196" s="5">
        <f>SUMPRODUCT(React!$C$191:$AW$191,Curves!$AB$20:$BV$20)+SUMPRODUCT(React!$C$192:$AW$192,Curves!$AB$43:$BV$43)+SUMPRODUCT(React!$C$193:$AW$193,Curves!$AB$66:$BV$66)</f>
        <v/>
      </c>
      <c r="AX196" s="5">
        <f>SUMPRODUCT(React!$C$191:$AX$191,Curves!$AA$20:$BV$20)+SUMPRODUCT(React!$C$192:$AX$192,Curves!$AA$43:$BV$43)+SUMPRODUCT(React!$C$193:$AX$193,Curves!$AA$66:$BV$66)</f>
        <v/>
      </c>
      <c r="AY196" s="5">
        <f>SUMPRODUCT(React!$C$191:$AY$191,Curves!$Z$20:$BV$20)+SUMPRODUCT(React!$C$192:$AY$192,Curves!$Z$43:$BV$43)+SUMPRODUCT(React!$C$193:$AY$193,Curves!$Z$66:$BV$66)</f>
        <v/>
      </c>
      <c r="AZ196" s="5">
        <f>SUMPRODUCT(React!$C$191:$AZ$191,Curves!$Y$20:$BV$20)+SUMPRODUCT(React!$C$192:$AZ$192,Curves!$Y$43:$BV$43)+SUMPRODUCT(React!$C$193:$AZ$193,Curves!$Y$66:$BV$66)</f>
        <v/>
      </c>
      <c r="BA196" s="5">
        <f>SUMPRODUCT(React!$C$191:$BA$191,Curves!$X$20:$BV$20)+SUMPRODUCT(React!$C$192:$BA$192,Curves!$X$43:$BV$43)+SUMPRODUCT(React!$C$193:$BA$193,Curves!$X$66:$BV$66)</f>
        <v/>
      </c>
      <c r="BB196" s="5">
        <f>SUMPRODUCT(React!$C$191:$BB$191,Curves!$W$20:$BV$20)+SUMPRODUCT(React!$C$192:$BB$192,Curves!$W$43:$BV$43)+SUMPRODUCT(React!$C$193:$BB$193,Curves!$W$66:$BV$66)</f>
        <v/>
      </c>
      <c r="BC196" s="5">
        <f>SUMPRODUCT(React!$C$191:$BC$191,Curves!$V$20:$BV$20)+SUMPRODUCT(React!$C$192:$BC$192,Curves!$V$43:$BV$43)+SUMPRODUCT(React!$C$193:$BC$193,Curves!$V$66:$BV$66)</f>
        <v/>
      </c>
      <c r="BD196" s="5">
        <f>SUMPRODUCT(React!$C$191:$BD$191,Curves!$U$20:$BV$20)+SUMPRODUCT(React!$C$192:$BD$192,Curves!$U$43:$BV$43)+SUMPRODUCT(React!$C$193:$BD$193,Curves!$U$66:$BV$66)</f>
        <v/>
      </c>
      <c r="BE196" s="5">
        <f>SUMPRODUCT(React!$C$191:$BE$191,Curves!$T$20:$BV$20)+SUMPRODUCT(React!$C$192:$BE$192,Curves!$T$43:$BV$43)+SUMPRODUCT(React!$C$193:$BE$193,Curves!$T$66:$BV$66)</f>
        <v/>
      </c>
      <c r="BF196" s="5">
        <f>SUMPRODUCT(React!$C$191:$BF$191,Curves!$S$20:$BV$20)+SUMPRODUCT(React!$C$192:$BF$192,Curves!$S$43:$BV$43)+SUMPRODUCT(React!$C$193:$BF$193,Curves!$S$66:$BV$66)</f>
        <v/>
      </c>
      <c r="BG196" s="5">
        <f>SUMPRODUCT(React!$C$191:$BG$191,Curves!$R$20:$BV$20)+SUMPRODUCT(React!$C$192:$BG$192,Curves!$R$43:$BV$43)+SUMPRODUCT(React!$C$193:$BG$193,Curves!$R$66:$BV$66)</f>
        <v/>
      </c>
      <c r="BH196" s="5">
        <f>SUMPRODUCT(React!$C$191:$BH$191,Curves!$Q$20:$BV$20)+SUMPRODUCT(React!$C$192:$BH$192,Curves!$Q$43:$BV$43)+SUMPRODUCT(React!$C$193:$BH$193,Curves!$Q$66:$BV$66)</f>
        <v/>
      </c>
      <c r="BI196" s="5">
        <f>SUMPRODUCT(React!$C$191:$BI$191,Curves!$P$20:$BV$20)+SUMPRODUCT(React!$C$192:$BI$192,Curves!$P$43:$BV$43)+SUMPRODUCT(React!$C$193:$BI$193,Curves!$P$66:$BV$66)</f>
        <v/>
      </c>
      <c r="BJ196" s="5">
        <f>SUMPRODUCT(React!$C$191:$BJ$191,Curves!$O$20:$BV$20)+SUMPRODUCT(React!$C$192:$BJ$192,Curves!$O$43:$BV$43)+SUMPRODUCT(React!$C$193:$BJ$193,Curves!$O$66:$BV$66)</f>
        <v/>
      </c>
      <c r="BK196" s="5">
        <f>SUMPRODUCT(React!$C$191:$BK$191,Curves!$N$20:$BV$20)+SUMPRODUCT(React!$C$192:$BK$192,Curves!$N$43:$BV$43)+SUMPRODUCT(React!$C$193:$BK$193,Curves!$N$66:$BV$66)</f>
        <v/>
      </c>
      <c r="BL196" s="5">
        <f>SUMPRODUCT(React!$C$191:$BL$191,Curves!$M$20:$BV$20)+SUMPRODUCT(React!$C$192:$BL$192,Curves!$M$43:$BV$43)+SUMPRODUCT(React!$C$193:$BL$193,Curves!$M$66:$BV$66)</f>
        <v/>
      </c>
      <c r="BM196" s="5">
        <f>SUMPRODUCT(React!$C$191:$BM$191,Curves!$L$20:$BV$20)+SUMPRODUCT(React!$C$192:$BM$192,Curves!$L$43:$BV$43)+SUMPRODUCT(React!$C$193:$BM$193,Curves!$L$66:$BV$66)</f>
        <v/>
      </c>
      <c r="BN196" s="5">
        <f>SUMPRODUCT(React!$C$191:$BN$191,Curves!$K$20:$BV$20)+SUMPRODUCT(React!$C$192:$BN$192,Curves!$K$43:$BV$43)+SUMPRODUCT(React!$C$193:$BN$193,Curves!$K$66:$BV$66)</f>
        <v/>
      </c>
      <c r="BO196" s="5">
        <f>SUMPRODUCT(React!$C$191:$BO$191,Curves!$J$20:$BV$20)+SUMPRODUCT(React!$C$192:$BO$192,Curves!$J$43:$BV$43)+SUMPRODUCT(React!$C$193:$BO$193,Curves!$J$66:$BV$66)</f>
        <v/>
      </c>
      <c r="BP196" s="5">
        <f>SUMPRODUCT(React!$C$191:$BP$191,Curves!$I$20:$BV$20)+SUMPRODUCT(React!$C$192:$BP$192,Curves!$I$43:$BV$43)+SUMPRODUCT(React!$C$193:$BP$193,Curves!$I$66:$BV$66)</f>
        <v/>
      </c>
      <c r="BQ196" s="5">
        <f>SUMPRODUCT(React!$C$191:$BQ$191,Curves!$H$20:$BV$20)+SUMPRODUCT(React!$C$192:$BQ$192,Curves!$H$43:$BV$43)+SUMPRODUCT(React!$C$193:$BQ$193,Curves!$H$66:$BV$66)</f>
        <v/>
      </c>
      <c r="BR196" s="5">
        <f>SUMPRODUCT(React!$C$191:$BR$191,Curves!$G$20:$BV$20)+SUMPRODUCT(React!$C$192:$BR$192,Curves!$G$43:$BV$43)+SUMPRODUCT(React!$C$193:$BR$193,Curves!$G$66:$BV$66)</f>
        <v/>
      </c>
      <c r="BS196" s="5">
        <f>SUMPRODUCT(React!$C$191:$BS$191,Curves!$F$20:$BV$20)+SUMPRODUCT(React!$C$192:$BS$192,Curves!$F$43:$BV$43)+SUMPRODUCT(React!$C$193:$BS$193,Curves!$F$66:$BV$66)</f>
        <v/>
      </c>
      <c r="BT196" s="5">
        <f>SUMPRODUCT(React!$C$191:$BT$191,Curves!$E$20:$BV$20)+SUMPRODUCT(React!$C$192:$BT$192,Curves!$E$43:$BV$43)+SUMPRODUCT(React!$C$193:$BT$193,Curves!$E$66:$BV$66)</f>
        <v/>
      </c>
      <c r="BU196" s="5">
        <f>SUMPRODUCT(React!$C$191:$BU$191,Curves!$D$20:$BV$20)+SUMPRODUCT(React!$C$192:$BU$192,Curves!$D$43:$BV$43)+SUMPRODUCT(React!$C$193:$BU$193,Curves!$D$66:$BV$66)</f>
        <v/>
      </c>
      <c r="BV196" s="5">
        <f>SUMPRODUCT(React!$C$191:$BV$191,Curves!$C$20:$BV$20)+SUMPRODUCT(React!$C$192:$BV$192,Curves!$C$43:$BV$43)+SUMPRODUCT(React!$C$193:$BV$193,Curves!$C$66:$BV$66)</f>
        <v/>
      </c>
    </row>
    <row r="198">
      <c r="A198" t="inlineStr">
        <is>
          <t>churn pool inflow</t>
        </is>
      </c>
      <c r="B198" t="inlineStr">
        <is>
          <t>APAC|BASIC_A</t>
        </is>
      </c>
      <c r="C198" s="5">
        <f>Paid!C65+Legacy!C67</f>
        <v/>
      </c>
      <c r="D198" s="5">
        <f>Paid!D65+Legacy!D67</f>
        <v/>
      </c>
      <c r="E198" s="5">
        <f>Paid!E65+Legacy!E67</f>
        <v/>
      </c>
      <c r="F198" s="5">
        <f>Paid!F65+Legacy!F67</f>
        <v/>
      </c>
      <c r="G198" s="5">
        <f>Paid!G65+Legacy!G67</f>
        <v/>
      </c>
      <c r="H198" s="5">
        <f>Paid!H65+Legacy!H67</f>
        <v/>
      </c>
      <c r="I198" s="5">
        <f>Paid!I65+Legacy!I67</f>
        <v/>
      </c>
      <c r="J198" s="5">
        <f>Paid!J65+Legacy!J67</f>
        <v/>
      </c>
      <c r="K198" s="5">
        <f>Paid!K65+Legacy!K67</f>
        <v/>
      </c>
      <c r="L198" s="5">
        <f>Paid!L65+Legacy!L67</f>
        <v/>
      </c>
      <c r="M198" s="5">
        <f>Paid!M65+Legacy!M67</f>
        <v/>
      </c>
      <c r="N198" s="5">
        <f>Paid!N65+Legacy!N67</f>
        <v/>
      </c>
      <c r="O198" s="5">
        <f>Paid!O65+Legacy!O67</f>
        <v/>
      </c>
      <c r="P198" s="5">
        <f>Paid!P65+Legacy!P67</f>
        <v/>
      </c>
      <c r="Q198" s="5">
        <f>Paid!Q65+Legacy!Q67</f>
        <v/>
      </c>
      <c r="R198" s="5">
        <f>Paid!R65+Legacy!R67</f>
        <v/>
      </c>
      <c r="S198" s="5">
        <f>Paid!S65+Legacy!S67</f>
        <v/>
      </c>
      <c r="T198" s="5">
        <f>Paid!T65+Legacy!T67</f>
        <v/>
      </c>
      <c r="U198" s="5">
        <f>Paid!U65+Legacy!U67</f>
        <v/>
      </c>
      <c r="V198" s="5">
        <f>Paid!V65+Legacy!V67</f>
        <v/>
      </c>
      <c r="W198" s="5">
        <f>Paid!W65+Legacy!W67</f>
        <v/>
      </c>
      <c r="X198" s="5">
        <f>Paid!X65+Legacy!X67</f>
        <v/>
      </c>
      <c r="Y198" s="5">
        <f>Paid!Y65+Legacy!Y67</f>
        <v/>
      </c>
      <c r="Z198" s="5">
        <f>Paid!Z65+Legacy!Z67</f>
        <v/>
      </c>
      <c r="AA198" s="5">
        <f>Paid!AA65+Legacy!AA67</f>
        <v/>
      </c>
      <c r="AB198" s="5">
        <f>Paid!AB65+Legacy!AB67</f>
        <v/>
      </c>
      <c r="AC198" s="5">
        <f>Paid!AC65+Legacy!AC67</f>
        <v/>
      </c>
      <c r="AD198" s="5">
        <f>Paid!AD65+Legacy!AD67</f>
        <v/>
      </c>
      <c r="AE198" s="5">
        <f>Paid!AE65+Legacy!AE67</f>
        <v/>
      </c>
      <c r="AF198" s="5">
        <f>Paid!AF65+Legacy!AF67</f>
        <v/>
      </c>
      <c r="AG198" s="5">
        <f>Paid!AG65+Legacy!AG67</f>
        <v/>
      </c>
      <c r="AH198" s="5">
        <f>Paid!AH65+Legacy!AH67</f>
        <v/>
      </c>
      <c r="AI198" s="5">
        <f>Paid!AI65+Legacy!AI67</f>
        <v/>
      </c>
      <c r="AJ198" s="5">
        <f>Paid!AJ65+Legacy!AJ67</f>
        <v/>
      </c>
      <c r="AK198" s="5">
        <f>Paid!AK65+Legacy!AK67</f>
        <v/>
      </c>
      <c r="AL198" s="5">
        <f>Paid!AL65+Legacy!AL67</f>
        <v/>
      </c>
      <c r="AM198" s="5">
        <f>Paid!AM65+Legacy!AM67</f>
        <v/>
      </c>
      <c r="AN198" s="5">
        <f>Paid!AN65+Legacy!AN67</f>
        <v/>
      </c>
      <c r="AO198" s="5">
        <f>Paid!AO65+Legacy!AO67</f>
        <v/>
      </c>
      <c r="AP198" s="5">
        <f>Paid!AP65+Legacy!AP67</f>
        <v/>
      </c>
      <c r="AQ198" s="5">
        <f>Paid!AQ65+Legacy!AQ67</f>
        <v/>
      </c>
      <c r="AR198" s="5">
        <f>Paid!AR65+Legacy!AR67</f>
        <v/>
      </c>
      <c r="AS198" s="5">
        <f>Paid!AS65+Legacy!AS67</f>
        <v/>
      </c>
      <c r="AT198" s="5">
        <f>Paid!AT65+Legacy!AT67</f>
        <v/>
      </c>
      <c r="AU198" s="5">
        <f>Paid!AU65+Legacy!AU67</f>
        <v/>
      </c>
      <c r="AV198" s="5">
        <f>Paid!AV65+Legacy!AV67</f>
        <v/>
      </c>
      <c r="AW198" s="5">
        <f>Paid!AW65+Legacy!AW67</f>
        <v/>
      </c>
      <c r="AX198" s="5">
        <f>Paid!AX65+Legacy!AX67</f>
        <v/>
      </c>
      <c r="AY198" s="5">
        <f>Paid!AY65+Legacy!AY67</f>
        <v/>
      </c>
      <c r="AZ198" s="5">
        <f>Paid!AZ65+Legacy!AZ67</f>
        <v/>
      </c>
      <c r="BA198" s="5">
        <f>Paid!BA65+Legacy!BA67</f>
        <v/>
      </c>
      <c r="BB198" s="5">
        <f>Paid!BB65+Legacy!BB67</f>
        <v/>
      </c>
      <c r="BC198" s="5">
        <f>Paid!BC65+Legacy!BC67</f>
        <v/>
      </c>
      <c r="BD198" s="5">
        <f>Paid!BD65+Legacy!BD67</f>
        <v/>
      </c>
      <c r="BE198" s="5">
        <f>Paid!BE65+Legacy!BE67</f>
        <v/>
      </c>
      <c r="BF198" s="5">
        <f>Paid!BF65+Legacy!BF67</f>
        <v/>
      </c>
      <c r="BG198" s="5">
        <f>Paid!BG65+Legacy!BG67</f>
        <v/>
      </c>
      <c r="BH198" s="5">
        <f>Paid!BH65+Legacy!BH67</f>
        <v/>
      </c>
      <c r="BI198" s="5">
        <f>Paid!BI65+Legacy!BI67</f>
        <v/>
      </c>
      <c r="BJ198" s="5">
        <f>Paid!BJ65+Legacy!BJ67</f>
        <v/>
      </c>
      <c r="BK198" s="5">
        <f>Paid!BK65+Legacy!BK67</f>
        <v/>
      </c>
      <c r="BL198" s="5">
        <f>Paid!BL65+Legacy!BL67</f>
        <v/>
      </c>
      <c r="BM198" s="5">
        <f>Paid!BM65+Legacy!BM67</f>
        <v/>
      </c>
      <c r="BN198" s="5">
        <f>Paid!BN65+Legacy!BN67</f>
        <v/>
      </c>
      <c r="BO198" s="5">
        <f>Paid!BO65+Legacy!BO67</f>
        <v/>
      </c>
      <c r="BP198" s="5">
        <f>Paid!BP65+Legacy!BP67</f>
        <v/>
      </c>
      <c r="BQ198" s="5">
        <f>Paid!BQ65+Legacy!BQ67</f>
        <v/>
      </c>
      <c r="BR198" s="5">
        <f>Paid!BR65+Legacy!BR67</f>
        <v/>
      </c>
      <c r="BS198" s="5">
        <f>Paid!BS65+Legacy!BS67</f>
        <v/>
      </c>
      <c r="BT198" s="5">
        <f>Paid!BT65+Legacy!BT67</f>
        <v/>
      </c>
      <c r="BU198" s="5">
        <f>Paid!BU65+Legacy!BU67</f>
        <v/>
      </c>
      <c r="BV198" s="5">
        <f>Paid!BV65+Legacy!BV67</f>
        <v/>
      </c>
    </row>
    <row r="199">
      <c r="A199" t="inlineStr">
        <is>
          <t>inflow @0</t>
        </is>
      </c>
      <c r="B199" t="inlineStr">
        <is>
          <t>APAC|BASIC_A</t>
        </is>
      </c>
      <c r="C199" s="5">
        <f>C198*Eras!C$3</f>
        <v/>
      </c>
      <c r="D199" s="5">
        <f>D198*Eras!D$3</f>
        <v/>
      </c>
      <c r="E199" s="5">
        <f>E198*Eras!E$3</f>
        <v/>
      </c>
      <c r="F199" s="5">
        <f>F198*Eras!F$3</f>
        <v/>
      </c>
      <c r="G199" s="5">
        <f>G198*Eras!G$3</f>
        <v/>
      </c>
      <c r="H199" s="5">
        <f>H198*Eras!H$3</f>
        <v/>
      </c>
      <c r="I199" s="5">
        <f>I198*Eras!I$3</f>
        <v/>
      </c>
      <c r="J199" s="5">
        <f>J198*Eras!J$3</f>
        <v/>
      </c>
      <c r="K199" s="5">
        <f>K198*Eras!K$3</f>
        <v/>
      </c>
      <c r="L199" s="5">
        <f>L198*Eras!L$3</f>
        <v/>
      </c>
      <c r="M199" s="5">
        <f>M198*Eras!M$3</f>
        <v/>
      </c>
      <c r="N199" s="5">
        <f>N198*Eras!N$3</f>
        <v/>
      </c>
      <c r="O199" s="5">
        <f>O198*Eras!O$3</f>
        <v/>
      </c>
      <c r="P199" s="5">
        <f>P198*Eras!P$3</f>
        <v/>
      </c>
      <c r="Q199" s="5">
        <f>Q198*Eras!Q$3</f>
        <v/>
      </c>
      <c r="R199" s="5">
        <f>R198*Eras!R$3</f>
        <v/>
      </c>
      <c r="S199" s="5">
        <f>S198*Eras!S$3</f>
        <v/>
      </c>
      <c r="T199" s="5">
        <f>T198*Eras!T$3</f>
        <v/>
      </c>
      <c r="U199" s="5">
        <f>U198*Eras!U$3</f>
        <v/>
      </c>
      <c r="V199" s="5">
        <f>V198*Eras!V$3</f>
        <v/>
      </c>
      <c r="W199" s="5">
        <f>W198*Eras!W$3</f>
        <v/>
      </c>
      <c r="X199" s="5">
        <f>X198*Eras!X$3</f>
        <v/>
      </c>
      <c r="Y199" s="5">
        <f>Y198*Eras!Y$3</f>
        <v/>
      </c>
      <c r="Z199" s="5">
        <f>Z198*Eras!Z$3</f>
        <v/>
      </c>
      <c r="AA199" s="5">
        <f>AA198*Eras!AA$3</f>
        <v/>
      </c>
      <c r="AB199" s="5">
        <f>AB198*Eras!AB$3</f>
        <v/>
      </c>
      <c r="AC199" s="5">
        <f>AC198*Eras!AC$3</f>
        <v/>
      </c>
      <c r="AD199" s="5">
        <f>AD198*Eras!AD$3</f>
        <v/>
      </c>
      <c r="AE199" s="5">
        <f>AE198*Eras!AE$3</f>
        <v/>
      </c>
      <c r="AF199" s="5">
        <f>AF198*Eras!AF$3</f>
        <v/>
      </c>
      <c r="AG199" s="5">
        <f>AG198*Eras!AG$3</f>
        <v/>
      </c>
      <c r="AH199" s="5">
        <f>AH198*Eras!AH$3</f>
        <v/>
      </c>
      <c r="AI199" s="5">
        <f>AI198*Eras!AI$3</f>
        <v/>
      </c>
      <c r="AJ199" s="5">
        <f>AJ198*Eras!AJ$3</f>
        <v/>
      </c>
      <c r="AK199" s="5">
        <f>AK198*Eras!AK$3</f>
        <v/>
      </c>
      <c r="AL199" s="5">
        <f>AL198*Eras!AL$3</f>
        <v/>
      </c>
      <c r="AM199" s="5">
        <f>AM198*Eras!AM$3</f>
        <v/>
      </c>
      <c r="AN199" s="5">
        <f>AN198*Eras!AN$3</f>
        <v/>
      </c>
      <c r="AO199" s="5">
        <f>AO198*Eras!AO$3</f>
        <v/>
      </c>
      <c r="AP199" s="5">
        <f>AP198*Eras!AP$3</f>
        <v/>
      </c>
      <c r="AQ199" s="5">
        <f>AQ198*Eras!AQ$3</f>
        <v/>
      </c>
      <c r="AR199" s="5">
        <f>AR198*Eras!AR$3</f>
        <v/>
      </c>
      <c r="AS199" s="5">
        <f>AS198*Eras!AS$3</f>
        <v/>
      </c>
      <c r="AT199" s="5">
        <f>AT198*Eras!AT$3</f>
        <v/>
      </c>
      <c r="AU199" s="5">
        <f>AU198*Eras!AU$3</f>
        <v/>
      </c>
      <c r="AV199" s="5">
        <f>AV198*Eras!AV$3</f>
        <v/>
      </c>
      <c r="AW199" s="5">
        <f>AW198*Eras!AW$3</f>
        <v/>
      </c>
      <c r="AX199" s="5">
        <f>AX198*Eras!AX$3</f>
        <v/>
      </c>
      <c r="AY199" s="5">
        <f>AY198*Eras!AY$3</f>
        <v/>
      </c>
      <c r="AZ199" s="5">
        <f>AZ198*Eras!AZ$3</f>
        <v/>
      </c>
      <c r="BA199" s="5">
        <f>BA198*Eras!BA$3</f>
        <v/>
      </c>
      <c r="BB199" s="5">
        <f>BB198*Eras!BB$3</f>
        <v/>
      </c>
      <c r="BC199" s="5">
        <f>BC198*Eras!BC$3</f>
        <v/>
      </c>
      <c r="BD199" s="5">
        <f>BD198*Eras!BD$3</f>
        <v/>
      </c>
      <c r="BE199" s="5">
        <f>BE198*Eras!BE$3</f>
        <v/>
      </c>
      <c r="BF199" s="5">
        <f>BF198*Eras!BF$3</f>
        <v/>
      </c>
      <c r="BG199" s="5">
        <f>BG198*Eras!BG$3</f>
        <v/>
      </c>
      <c r="BH199" s="5">
        <f>BH198*Eras!BH$3</f>
        <v/>
      </c>
      <c r="BI199" s="5">
        <f>BI198*Eras!BI$3</f>
        <v/>
      </c>
      <c r="BJ199" s="5">
        <f>BJ198*Eras!BJ$3</f>
        <v/>
      </c>
      <c r="BK199" s="5">
        <f>BK198*Eras!BK$3</f>
        <v/>
      </c>
      <c r="BL199" s="5">
        <f>BL198*Eras!BL$3</f>
        <v/>
      </c>
      <c r="BM199" s="5">
        <f>BM198*Eras!BM$3</f>
        <v/>
      </c>
      <c r="BN199" s="5">
        <f>BN198*Eras!BN$3</f>
        <v/>
      </c>
      <c r="BO199" s="5">
        <f>BO198*Eras!BO$3</f>
        <v/>
      </c>
      <c r="BP199" s="5">
        <f>BP198*Eras!BP$3</f>
        <v/>
      </c>
      <c r="BQ199" s="5">
        <f>BQ198*Eras!BQ$3</f>
        <v/>
      </c>
      <c r="BR199" s="5">
        <f>BR198*Eras!BR$3</f>
        <v/>
      </c>
      <c r="BS199" s="5">
        <f>BS198*Eras!BS$3</f>
        <v/>
      </c>
      <c r="BT199" s="5">
        <f>BT198*Eras!BT$3</f>
        <v/>
      </c>
      <c r="BU199" s="5">
        <f>BU198*Eras!BU$3</f>
        <v/>
      </c>
      <c r="BV199" s="5">
        <f>BV198*Eras!BV$3</f>
        <v/>
      </c>
    </row>
    <row r="200">
      <c r="A200" t="inlineStr">
        <is>
          <t>inflow @1</t>
        </is>
      </c>
      <c r="B200" t="inlineStr">
        <is>
          <t>APAC|BASIC_A</t>
        </is>
      </c>
      <c r="C200" s="5">
        <f>C198*Eras!C$4</f>
        <v/>
      </c>
      <c r="D200" s="5">
        <f>D198*Eras!D$4</f>
        <v/>
      </c>
      <c r="E200" s="5">
        <f>E198*Eras!E$4</f>
        <v/>
      </c>
      <c r="F200" s="5">
        <f>F198*Eras!F$4</f>
        <v/>
      </c>
      <c r="G200" s="5">
        <f>G198*Eras!G$4</f>
        <v/>
      </c>
      <c r="H200" s="5">
        <f>H198*Eras!H$4</f>
        <v/>
      </c>
      <c r="I200" s="5">
        <f>I198*Eras!I$4</f>
        <v/>
      </c>
      <c r="J200" s="5">
        <f>J198*Eras!J$4</f>
        <v/>
      </c>
      <c r="K200" s="5">
        <f>K198*Eras!K$4</f>
        <v/>
      </c>
      <c r="L200" s="5">
        <f>L198*Eras!L$4</f>
        <v/>
      </c>
      <c r="M200" s="5">
        <f>M198*Eras!M$4</f>
        <v/>
      </c>
      <c r="N200" s="5">
        <f>N198*Eras!N$4</f>
        <v/>
      </c>
      <c r="O200" s="5">
        <f>O198*Eras!O$4</f>
        <v/>
      </c>
      <c r="P200" s="5">
        <f>P198*Eras!P$4</f>
        <v/>
      </c>
      <c r="Q200" s="5">
        <f>Q198*Eras!Q$4</f>
        <v/>
      </c>
      <c r="R200" s="5">
        <f>R198*Eras!R$4</f>
        <v/>
      </c>
      <c r="S200" s="5">
        <f>S198*Eras!S$4</f>
        <v/>
      </c>
      <c r="T200" s="5">
        <f>T198*Eras!T$4</f>
        <v/>
      </c>
      <c r="U200" s="5">
        <f>U198*Eras!U$4</f>
        <v/>
      </c>
      <c r="V200" s="5">
        <f>V198*Eras!V$4</f>
        <v/>
      </c>
      <c r="W200" s="5">
        <f>W198*Eras!W$4</f>
        <v/>
      </c>
      <c r="X200" s="5">
        <f>X198*Eras!X$4</f>
        <v/>
      </c>
      <c r="Y200" s="5">
        <f>Y198*Eras!Y$4</f>
        <v/>
      </c>
      <c r="Z200" s="5">
        <f>Z198*Eras!Z$4</f>
        <v/>
      </c>
      <c r="AA200" s="5">
        <f>AA198*Eras!AA$4</f>
        <v/>
      </c>
      <c r="AB200" s="5">
        <f>AB198*Eras!AB$4</f>
        <v/>
      </c>
      <c r="AC200" s="5">
        <f>AC198*Eras!AC$4</f>
        <v/>
      </c>
      <c r="AD200" s="5">
        <f>AD198*Eras!AD$4</f>
        <v/>
      </c>
      <c r="AE200" s="5">
        <f>AE198*Eras!AE$4</f>
        <v/>
      </c>
      <c r="AF200" s="5">
        <f>AF198*Eras!AF$4</f>
        <v/>
      </c>
      <c r="AG200" s="5">
        <f>AG198*Eras!AG$4</f>
        <v/>
      </c>
      <c r="AH200" s="5">
        <f>AH198*Eras!AH$4</f>
        <v/>
      </c>
      <c r="AI200" s="5">
        <f>AI198*Eras!AI$4</f>
        <v/>
      </c>
      <c r="AJ200" s="5">
        <f>AJ198*Eras!AJ$4</f>
        <v/>
      </c>
      <c r="AK200" s="5">
        <f>AK198*Eras!AK$4</f>
        <v/>
      </c>
      <c r="AL200" s="5">
        <f>AL198*Eras!AL$4</f>
        <v/>
      </c>
      <c r="AM200" s="5">
        <f>AM198*Eras!AM$4</f>
        <v/>
      </c>
      <c r="AN200" s="5">
        <f>AN198*Eras!AN$4</f>
        <v/>
      </c>
      <c r="AO200" s="5">
        <f>AO198*Eras!AO$4</f>
        <v/>
      </c>
      <c r="AP200" s="5">
        <f>AP198*Eras!AP$4</f>
        <v/>
      </c>
      <c r="AQ200" s="5">
        <f>AQ198*Eras!AQ$4</f>
        <v/>
      </c>
      <c r="AR200" s="5">
        <f>AR198*Eras!AR$4</f>
        <v/>
      </c>
      <c r="AS200" s="5">
        <f>AS198*Eras!AS$4</f>
        <v/>
      </c>
      <c r="AT200" s="5">
        <f>AT198*Eras!AT$4</f>
        <v/>
      </c>
      <c r="AU200" s="5">
        <f>AU198*Eras!AU$4</f>
        <v/>
      </c>
      <c r="AV200" s="5">
        <f>AV198*Eras!AV$4</f>
        <v/>
      </c>
      <c r="AW200" s="5">
        <f>AW198*Eras!AW$4</f>
        <v/>
      </c>
      <c r="AX200" s="5">
        <f>AX198*Eras!AX$4</f>
        <v/>
      </c>
      <c r="AY200" s="5">
        <f>AY198*Eras!AY$4</f>
        <v/>
      </c>
      <c r="AZ200" s="5">
        <f>AZ198*Eras!AZ$4</f>
        <v/>
      </c>
      <c r="BA200" s="5">
        <f>BA198*Eras!BA$4</f>
        <v/>
      </c>
      <c r="BB200" s="5">
        <f>BB198*Eras!BB$4</f>
        <v/>
      </c>
      <c r="BC200" s="5">
        <f>BC198*Eras!BC$4</f>
        <v/>
      </c>
      <c r="BD200" s="5">
        <f>BD198*Eras!BD$4</f>
        <v/>
      </c>
      <c r="BE200" s="5">
        <f>BE198*Eras!BE$4</f>
        <v/>
      </c>
      <c r="BF200" s="5">
        <f>BF198*Eras!BF$4</f>
        <v/>
      </c>
      <c r="BG200" s="5">
        <f>BG198*Eras!BG$4</f>
        <v/>
      </c>
      <c r="BH200" s="5">
        <f>BH198*Eras!BH$4</f>
        <v/>
      </c>
      <c r="BI200" s="5">
        <f>BI198*Eras!BI$4</f>
        <v/>
      </c>
      <c r="BJ200" s="5">
        <f>BJ198*Eras!BJ$4</f>
        <v/>
      </c>
      <c r="BK200" s="5">
        <f>BK198*Eras!BK$4</f>
        <v/>
      </c>
      <c r="BL200" s="5">
        <f>BL198*Eras!BL$4</f>
        <v/>
      </c>
      <c r="BM200" s="5">
        <f>BM198*Eras!BM$4</f>
        <v/>
      </c>
      <c r="BN200" s="5">
        <f>BN198*Eras!BN$4</f>
        <v/>
      </c>
      <c r="BO200" s="5">
        <f>BO198*Eras!BO$4</f>
        <v/>
      </c>
      <c r="BP200" s="5">
        <f>BP198*Eras!BP$4</f>
        <v/>
      </c>
      <c r="BQ200" s="5">
        <f>BQ198*Eras!BQ$4</f>
        <v/>
      </c>
      <c r="BR200" s="5">
        <f>BR198*Eras!BR$4</f>
        <v/>
      </c>
      <c r="BS200" s="5">
        <f>BS198*Eras!BS$4</f>
        <v/>
      </c>
      <c r="BT200" s="5">
        <f>BT198*Eras!BT$4</f>
        <v/>
      </c>
      <c r="BU200" s="5">
        <f>BU198*Eras!BU$4</f>
        <v/>
      </c>
      <c r="BV200" s="5">
        <f>BV198*Eras!BV$4</f>
        <v/>
      </c>
    </row>
    <row r="201">
      <c r="A201" t="inlineStr">
        <is>
          <t>inflow @2</t>
        </is>
      </c>
      <c r="B201" t="inlineStr">
        <is>
          <t>APAC|BASIC_A</t>
        </is>
      </c>
      <c r="C201" s="5">
        <f>C198*Eras!C$5</f>
        <v/>
      </c>
      <c r="D201" s="5">
        <f>D198*Eras!D$5</f>
        <v/>
      </c>
      <c r="E201" s="5">
        <f>E198*Eras!E$5</f>
        <v/>
      </c>
      <c r="F201" s="5">
        <f>F198*Eras!F$5</f>
        <v/>
      </c>
      <c r="G201" s="5">
        <f>G198*Eras!G$5</f>
        <v/>
      </c>
      <c r="H201" s="5">
        <f>H198*Eras!H$5</f>
        <v/>
      </c>
      <c r="I201" s="5">
        <f>I198*Eras!I$5</f>
        <v/>
      </c>
      <c r="J201" s="5">
        <f>J198*Eras!J$5</f>
        <v/>
      </c>
      <c r="K201" s="5">
        <f>K198*Eras!K$5</f>
        <v/>
      </c>
      <c r="L201" s="5">
        <f>L198*Eras!L$5</f>
        <v/>
      </c>
      <c r="M201" s="5">
        <f>M198*Eras!M$5</f>
        <v/>
      </c>
      <c r="N201" s="5">
        <f>N198*Eras!N$5</f>
        <v/>
      </c>
      <c r="O201" s="5">
        <f>O198*Eras!O$5</f>
        <v/>
      </c>
      <c r="P201" s="5">
        <f>P198*Eras!P$5</f>
        <v/>
      </c>
      <c r="Q201" s="5">
        <f>Q198*Eras!Q$5</f>
        <v/>
      </c>
      <c r="R201" s="5">
        <f>R198*Eras!R$5</f>
        <v/>
      </c>
      <c r="S201" s="5">
        <f>S198*Eras!S$5</f>
        <v/>
      </c>
      <c r="T201" s="5">
        <f>T198*Eras!T$5</f>
        <v/>
      </c>
      <c r="U201" s="5">
        <f>U198*Eras!U$5</f>
        <v/>
      </c>
      <c r="V201" s="5">
        <f>V198*Eras!V$5</f>
        <v/>
      </c>
      <c r="W201" s="5">
        <f>W198*Eras!W$5</f>
        <v/>
      </c>
      <c r="X201" s="5">
        <f>X198*Eras!X$5</f>
        <v/>
      </c>
      <c r="Y201" s="5">
        <f>Y198*Eras!Y$5</f>
        <v/>
      </c>
      <c r="Z201" s="5">
        <f>Z198*Eras!Z$5</f>
        <v/>
      </c>
      <c r="AA201" s="5">
        <f>AA198*Eras!AA$5</f>
        <v/>
      </c>
      <c r="AB201" s="5">
        <f>AB198*Eras!AB$5</f>
        <v/>
      </c>
      <c r="AC201" s="5">
        <f>AC198*Eras!AC$5</f>
        <v/>
      </c>
      <c r="AD201" s="5">
        <f>AD198*Eras!AD$5</f>
        <v/>
      </c>
      <c r="AE201" s="5">
        <f>AE198*Eras!AE$5</f>
        <v/>
      </c>
      <c r="AF201" s="5">
        <f>AF198*Eras!AF$5</f>
        <v/>
      </c>
      <c r="AG201" s="5">
        <f>AG198*Eras!AG$5</f>
        <v/>
      </c>
      <c r="AH201" s="5">
        <f>AH198*Eras!AH$5</f>
        <v/>
      </c>
      <c r="AI201" s="5">
        <f>AI198*Eras!AI$5</f>
        <v/>
      </c>
      <c r="AJ201" s="5">
        <f>AJ198*Eras!AJ$5</f>
        <v/>
      </c>
      <c r="AK201" s="5">
        <f>AK198*Eras!AK$5</f>
        <v/>
      </c>
      <c r="AL201" s="5">
        <f>AL198*Eras!AL$5</f>
        <v/>
      </c>
      <c r="AM201" s="5">
        <f>AM198*Eras!AM$5</f>
        <v/>
      </c>
      <c r="AN201" s="5">
        <f>AN198*Eras!AN$5</f>
        <v/>
      </c>
      <c r="AO201" s="5">
        <f>AO198*Eras!AO$5</f>
        <v/>
      </c>
      <c r="AP201" s="5">
        <f>AP198*Eras!AP$5</f>
        <v/>
      </c>
      <c r="AQ201" s="5">
        <f>AQ198*Eras!AQ$5</f>
        <v/>
      </c>
      <c r="AR201" s="5">
        <f>AR198*Eras!AR$5</f>
        <v/>
      </c>
      <c r="AS201" s="5">
        <f>AS198*Eras!AS$5</f>
        <v/>
      </c>
      <c r="AT201" s="5">
        <f>AT198*Eras!AT$5</f>
        <v/>
      </c>
      <c r="AU201" s="5">
        <f>AU198*Eras!AU$5</f>
        <v/>
      </c>
      <c r="AV201" s="5">
        <f>AV198*Eras!AV$5</f>
        <v/>
      </c>
      <c r="AW201" s="5">
        <f>AW198*Eras!AW$5</f>
        <v/>
      </c>
      <c r="AX201" s="5">
        <f>AX198*Eras!AX$5</f>
        <v/>
      </c>
      <c r="AY201" s="5">
        <f>AY198*Eras!AY$5</f>
        <v/>
      </c>
      <c r="AZ201" s="5">
        <f>AZ198*Eras!AZ$5</f>
        <v/>
      </c>
      <c r="BA201" s="5">
        <f>BA198*Eras!BA$5</f>
        <v/>
      </c>
      <c r="BB201" s="5">
        <f>BB198*Eras!BB$5</f>
        <v/>
      </c>
      <c r="BC201" s="5">
        <f>BC198*Eras!BC$5</f>
        <v/>
      </c>
      <c r="BD201" s="5">
        <f>BD198*Eras!BD$5</f>
        <v/>
      </c>
      <c r="BE201" s="5">
        <f>BE198*Eras!BE$5</f>
        <v/>
      </c>
      <c r="BF201" s="5">
        <f>BF198*Eras!BF$5</f>
        <v/>
      </c>
      <c r="BG201" s="5">
        <f>BG198*Eras!BG$5</f>
        <v/>
      </c>
      <c r="BH201" s="5">
        <f>BH198*Eras!BH$5</f>
        <v/>
      </c>
      <c r="BI201" s="5">
        <f>BI198*Eras!BI$5</f>
        <v/>
      </c>
      <c r="BJ201" s="5">
        <f>BJ198*Eras!BJ$5</f>
        <v/>
      </c>
      <c r="BK201" s="5">
        <f>BK198*Eras!BK$5</f>
        <v/>
      </c>
      <c r="BL201" s="5">
        <f>BL198*Eras!BL$5</f>
        <v/>
      </c>
      <c r="BM201" s="5">
        <f>BM198*Eras!BM$5</f>
        <v/>
      </c>
      <c r="BN201" s="5">
        <f>BN198*Eras!BN$5</f>
        <v/>
      </c>
      <c r="BO201" s="5">
        <f>BO198*Eras!BO$5</f>
        <v/>
      </c>
      <c r="BP201" s="5">
        <f>BP198*Eras!BP$5</f>
        <v/>
      </c>
      <c r="BQ201" s="5">
        <f>BQ198*Eras!BQ$5</f>
        <v/>
      </c>
      <c r="BR201" s="5">
        <f>BR198*Eras!BR$5</f>
        <v/>
      </c>
      <c r="BS201" s="5">
        <f>BS198*Eras!BS$5</f>
        <v/>
      </c>
      <c r="BT201" s="5">
        <f>BT198*Eras!BT$5</f>
        <v/>
      </c>
      <c r="BU201" s="5">
        <f>BU198*Eras!BU$5</f>
        <v/>
      </c>
      <c r="BV201" s="5">
        <f>BV198*Eras!BV$5</f>
        <v/>
      </c>
    </row>
    <row r="202">
      <c r="A202" t="inlineStr">
        <is>
          <t>reactivations out</t>
        </is>
      </c>
      <c r="B202" t="inlineStr">
        <is>
          <t>APAC|BASIC_A</t>
        </is>
      </c>
      <c r="C202" s="5">
        <f>React!$C$199*Curves!$BV$21+React!$C$200*Curves!$BV$44+React!$C$201*Curves!$BV$67</f>
        <v/>
      </c>
      <c r="D202" s="5">
        <f>SUMPRODUCT(React!$C$199:$D$199,Curves!$BU$21:$BV$21)+SUMPRODUCT(React!$C$200:$D$200,Curves!$BU$44:$BV$44)+SUMPRODUCT(React!$C$201:$D$201,Curves!$BU$67:$BV$67)</f>
        <v/>
      </c>
      <c r="E202" s="5">
        <f>SUMPRODUCT(React!$C$199:$E$199,Curves!$BT$21:$BV$21)+SUMPRODUCT(React!$C$200:$E$200,Curves!$BT$44:$BV$44)+SUMPRODUCT(React!$C$201:$E$201,Curves!$BT$67:$BV$67)</f>
        <v/>
      </c>
      <c r="F202" s="5">
        <f>SUMPRODUCT(React!$C$199:$F$199,Curves!$BS$21:$BV$21)+SUMPRODUCT(React!$C$200:$F$200,Curves!$BS$44:$BV$44)+SUMPRODUCT(React!$C$201:$F$201,Curves!$BS$67:$BV$67)</f>
        <v/>
      </c>
      <c r="G202" s="5">
        <f>SUMPRODUCT(React!$C$199:$G$199,Curves!$BR$21:$BV$21)+SUMPRODUCT(React!$C$200:$G$200,Curves!$BR$44:$BV$44)+SUMPRODUCT(React!$C$201:$G$201,Curves!$BR$67:$BV$67)</f>
        <v/>
      </c>
      <c r="H202" s="5">
        <f>SUMPRODUCT(React!$C$199:$H$199,Curves!$BQ$21:$BV$21)+SUMPRODUCT(React!$C$200:$H$200,Curves!$BQ$44:$BV$44)+SUMPRODUCT(React!$C$201:$H$201,Curves!$BQ$67:$BV$67)</f>
        <v/>
      </c>
      <c r="I202" s="5">
        <f>SUMPRODUCT(React!$C$199:$I$199,Curves!$BP$21:$BV$21)+SUMPRODUCT(React!$C$200:$I$200,Curves!$BP$44:$BV$44)+SUMPRODUCT(React!$C$201:$I$201,Curves!$BP$67:$BV$67)</f>
        <v/>
      </c>
      <c r="J202" s="5">
        <f>SUMPRODUCT(React!$C$199:$J$199,Curves!$BO$21:$BV$21)+SUMPRODUCT(React!$C$200:$J$200,Curves!$BO$44:$BV$44)+SUMPRODUCT(React!$C$201:$J$201,Curves!$BO$67:$BV$67)</f>
        <v/>
      </c>
      <c r="K202" s="5">
        <f>SUMPRODUCT(React!$C$199:$K$199,Curves!$BN$21:$BV$21)+SUMPRODUCT(React!$C$200:$K$200,Curves!$BN$44:$BV$44)+SUMPRODUCT(React!$C$201:$K$201,Curves!$BN$67:$BV$67)</f>
        <v/>
      </c>
      <c r="L202" s="5">
        <f>SUMPRODUCT(React!$C$199:$L$199,Curves!$BM$21:$BV$21)+SUMPRODUCT(React!$C$200:$L$200,Curves!$BM$44:$BV$44)+SUMPRODUCT(React!$C$201:$L$201,Curves!$BM$67:$BV$67)</f>
        <v/>
      </c>
      <c r="M202" s="5">
        <f>SUMPRODUCT(React!$C$199:$M$199,Curves!$BL$21:$BV$21)+SUMPRODUCT(React!$C$200:$M$200,Curves!$BL$44:$BV$44)+SUMPRODUCT(React!$C$201:$M$201,Curves!$BL$67:$BV$67)</f>
        <v/>
      </c>
      <c r="N202" s="5">
        <f>SUMPRODUCT(React!$C$199:$N$199,Curves!$BK$21:$BV$21)+SUMPRODUCT(React!$C$200:$N$200,Curves!$BK$44:$BV$44)+SUMPRODUCT(React!$C$201:$N$201,Curves!$BK$67:$BV$67)</f>
        <v/>
      </c>
      <c r="O202" s="5">
        <f>SUMPRODUCT(React!$C$199:$O$199,Curves!$BJ$21:$BV$21)+SUMPRODUCT(React!$C$200:$O$200,Curves!$BJ$44:$BV$44)+SUMPRODUCT(React!$C$201:$O$201,Curves!$BJ$67:$BV$67)</f>
        <v/>
      </c>
      <c r="P202" s="5">
        <f>SUMPRODUCT(React!$C$199:$P$199,Curves!$BI$21:$BV$21)+SUMPRODUCT(React!$C$200:$P$200,Curves!$BI$44:$BV$44)+SUMPRODUCT(React!$C$201:$P$201,Curves!$BI$67:$BV$67)</f>
        <v/>
      </c>
      <c r="Q202" s="5">
        <f>SUMPRODUCT(React!$C$199:$Q$199,Curves!$BH$21:$BV$21)+SUMPRODUCT(React!$C$200:$Q$200,Curves!$BH$44:$BV$44)+SUMPRODUCT(React!$C$201:$Q$201,Curves!$BH$67:$BV$67)</f>
        <v/>
      </c>
      <c r="R202" s="5">
        <f>SUMPRODUCT(React!$C$199:$R$199,Curves!$BG$21:$BV$21)+SUMPRODUCT(React!$C$200:$R$200,Curves!$BG$44:$BV$44)+SUMPRODUCT(React!$C$201:$R$201,Curves!$BG$67:$BV$67)</f>
        <v/>
      </c>
      <c r="S202" s="5">
        <f>SUMPRODUCT(React!$C$199:$S$199,Curves!$BF$21:$BV$21)+SUMPRODUCT(React!$C$200:$S$200,Curves!$BF$44:$BV$44)+SUMPRODUCT(React!$C$201:$S$201,Curves!$BF$67:$BV$67)</f>
        <v/>
      </c>
      <c r="T202" s="5">
        <f>SUMPRODUCT(React!$C$199:$T$199,Curves!$BE$21:$BV$21)+SUMPRODUCT(React!$C$200:$T$200,Curves!$BE$44:$BV$44)+SUMPRODUCT(React!$C$201:$T$201,Curves!$BE$67:$BV$67)</f>
        <v/>
      </c>
      <c r="U202" s="5">
        <f>SUMPRODUCT(React!$C$199:$U$199,Curves!$BD$21:$BV$21)+SUMPRODUCT(React!$C$200:$U$200,Curves!$BD$44:$BV$44)+SUMPRODUCT(React!$C$201:$U$201,Curves!$BD$67:$BV$67)</f>
        <v/>
      </c>
      <c r="V202" s="5">
        <f>SUMPRODUCT(React!$C$199:$V$199,Curves!$BC$21:$BV$21)+SUMPRODUCT(React!$C$200:$V$200,Curves!$BC$44:$BV$44)+SUMPRODUCT(React!$C$201:$V$201,Curves!$BC$67:$BV$67)</f>
        <v/>
      </c>
      <c r="W202" s="5">
        <f>SUMPRODUCT(React!$C$199:$W$199,Curves!$BB$21:$BV$21)+SUMPRODUCT(React!$C$200:$W$200,Curves!$BB$44:$BV$44)+SUMPRODUCT(React!$C$201:$W$201,Curves!$BB$67:$BV$67)</f>
        <v/>
      </c>
      <c r="X202" s="5">
        <f>SUMPRODUCT(React!$C$199:$X$199,Curves!$BA$21:$BV$21)+SUMPRODUCT(React!$C$200:$X$200,Curves!$BA$44:$BV$44)+SUMPRODUCT(React!$C$201:$X$201,Curves!$BA$67:$BV$67)</f>
        <v/>
      </c>
      <c r="Y202" s="5">
        <f>SUMPRODUCT(React!$C$199:$Y$199,Curves!$AZ$21:$BV$21)+SUMPRODUCT(React!$C$200:$Y$200,Curves!$AZ$44:$BV$44)+SUMPRODUCT(React!$C$201:$Y$201,Curves!$AZ$67:$BV$67)</f>
        <v/>
      </c>
      <c r="Z202" s="5">
        <f>SUMPRODUCT(React!$C$199:$Z$199,Curves!$AY$21:$BV$21)+SUMPRODUCT(React!$C$200:$Z$200,Curves!$AY$44:$BV$44)+SUMPRODUCT(React!$C$201:$Z$201,Curves!$AY$67:$BV$67)</f>
        <v/>
      </c>
      <c r="AA202" s="5">
        <f>SUMPRODUCT(React!$C$199:$AA$199,Curves!$AX$21:$BV$21)+SUMPRODUCT(React!$C$200:$AA$200,Curves!$AX$44:$BV$44)+SUMPRODUCT(React!$C$201:$AA$201,Curves!$AX$67:$BV$67)</f>
        <v/>
      </c>
      <c r="AB202" s="5">
        <f>SUMPRODUCT(React!$C$199:$AB$199,Curves!$AW$21:$BV$21)+SUMPRODUCT(React!$C$200:$AB$200,Curves!$AW$44:$BV$44)+SUMPRODUCT(React!$C$201:$AB$201,Curves!$AW$67:$BV$67)</f>
        <v/>
      </c>
      <c r="AC202" s="5">
        <f>SUMPRODUCT(React!$C$199:$AC$199,Curves!$AV$21:$BV$21)+SUMPRODUCT(React!$C$200:$AC$200,Curves!$AV$44:$BV$44)+SUMPRODUCT(React!$C$201:$AC$201,Curves!$AV$67:$BV$67)</f>
        <v/>
      </c>
      <c r="AD202" s="5">
        <f>SUMPRODUCT(React!$C$199:$AD$199,Curves!$AU$21:$BV$21)+SUMPRODUCT(React!$C$200:$AD$200,Curves!$AU$44:$BV$44)+SUMPRODUCT(React!$C$201:$AD$201,Curves!$AU$67:$BV$67)</f>
        <v/>
      </c>
      <c r="AE202" s="5">
        <f>SUMPRODUCT(React!$C$199:$AE$199,Curves!$AT$21:$BV$21)+SUMPRODUCT(React!$C$200:$AE$200,Curves!$AT$44:$BV$44)+SUMPRODUCT(React!$C$201:$AE$201,Curves!$AT$67:$BV$67)</f>
        <v/>
      </c>
      <c r="AF202" s="5">
        <f>SUMPRODUCT(React!$C$199:$AF$199,Curves!$AS$21:$BV$21)+SUMPRODUCT(React!$C$200:$AF$200,Curves!$AS$44:$BV$44)+SUMPRODUCT(React!$C$201:$AF$201,Curves!$AS$67:$BV$67)</f>
        <v/>
      </c>
      <c r="AG202" s="5">
        <f>SUMPRODUCT(React!$C$199:$AG$199,Curves!$AR$21:$BV$21)+SUMPRODUCT(React!$C$200:$AG$200,Curves!$AR$44:$BV$44)+SUMPRODUCT(React!$C$201:$AG$201,Curves!$AR$67:$BV$67)</f>
        <v/>
      </c>
      <c r="AH202" s="5">
        <f>SUMPRODUCT(React!$C$199:$AH$199,Curves!$AQ$21:$BV$21)+SUMPRODUCT(React!$C$200:$AH$200,Curves!$AQ$44:$BV$44)+SUMPRODUCT(React!$C$201:$AH$201,Curves!$AQ$67:$BV$67)</f>
        <v/>
      </c>
      <c r="AI202" s="5">
        <f>SUMPRODUCT(React!$C$199:$AI$199,Curves!$AP$21:$BV$21)+SUMPRODUCT(React!$C$200:$AI$200,Curves!$AP$44:$BV$44)+SUMPRODUCT(React!$C$201:$AI$201,Curves!$AP$67:$BV$67)</f>
        <v/>
      </c>
      <c r="AJ202" s="5">
        <f>SUMPRODUCT(React!$C$199:$AJ$199,Curves!$AO$21:$BV$21)+SUMPRODUCT(React!$C$200:$AJ$200,Curves!$AO$44:$BV$44)+SUMPRODUCT(React!$C$201:$AJ$201,Curves!$AO$67:$BV$67)</f>
        <v/>
      </c>
      <c r="AK202" s="5">
        <f>SUMPRODUCT(React!$C$199:$AK$199,Curves!$AN$21:$BV$21)+SUMPRODUCT(React!$C$200:$AK$200,Curves!$AN$44:$BV$44)+SUMPRODUCT(React!$C$201:$AK$201,Curves!$AN$67:$BV$67)</f>
        <v/>
      </c>
      <c r="AL202" s="5">
        <f>SUMPRODUCT(React!$C$199:$AL$199,Curves!$AM$21:$BV$21)+SUMPRODUCT(React!$C$200:$AL$200,Curves!$AM$44:$BV$44)+SUMPRODUCT(React!$C$201:$AL$201,Curves!$AM$67:$BV$67)</f>
        <v/>
      </c>
      <c r="AM202" s="5">
        <f>SUMPRODUCT(React!$C$199:$AM$199,Curves!$AL$21:$BV$21)+SUMPRODUCT(React!$C$200:$AM$200,Curves!$AL$44:$BV$44)+SUMPRODUCT(React!$C$201:$AM$201,Curves!$AL$67:$BV$67)</f>
        <v/>
      </c>
      <c r="AN202" s="5">
        <f>SUMPRODUCT(React!$C$199:$AN$199,Curves!$AK$21:$BV$21)+SUMPRODUCT(React!$C$200:$AN$200,Curves!$AK$44:$BV$44)+SUMPRODUCT(React!$C$201:$AN$201,Curves!$AK$67:$BV$67)</f>
        <v/>
      </c>
      <c r="AO202" s="5">
        <f>SUMPRODUCT(React!$C$199:$AO$199,Curves!$AJ$21:$BV$21)+SUMPRODUCT(React!$C$200:$AO$200,Curves!$AJ$44:$BV$44)+SUMPRODUCT(React!$C$201:$AO$201,Curves!$AJ$67:$BV$67)</f>
        <v/>
      </c>
      <c r="AP202" s="5">
        <f>SUMPRODUCT(React!$C$199:$AP$199,Curves!$AI$21:$BV$21)+SUMPRODUCT(React!$C$200:$AP$200,Curves!$AI$44:$BV$44)+SUMPRODUCT(React!$C$201:$AP$201,Curves!$AI$67:$BV$67)</f>
        <v/>
      </c>
      <c r="AQ202" s="5">
        <f>SUMPRODUCT(React!$C$199:$AQ$199,Curves!$AH$21:$BV$21)+SUMPRODUCT(React!$C$200:$AQ$200,Curves!$AH$44:$BV$44)+SUMPRODUCT(React!$C$201:$AQ$201,Curves!$AH$67:$BV$67)</f>
        <v/>
      </c>
      <c r="AR202" s="5">
        <f>SUMPRODUCT(React!$C$199:$AR$199,Curves!$AG$21:$BV$21)+SUMPRODUCT(React!$C$200:$AR$200,Curves!$AG$44:$BV$44)+SUMPRODUCT(React!$C$201:$AR$201,Curves!$AG$67:$BV$67)</f>
        <v/>
      </c>
      <c r="AS202" s="5">
        <f>SUMPRODUCT(React!$C$199:$AS$199,Curves!$AF$21:$BV$21)+SUMPRODUCT(React!$C$200:$AS$200,Curves!$AF$44:$BV$44)+SUMPRODUCT(React!$C$201:$AS$201,Curves!$AF$67:$BV$67)</f>
        <v/>
      </c>
      <c r="AT202" s="5">
        <f>SUMPRODUCT(React!$C$199:$AT$199,Curves!$AE$21:$BV$21)+SUMPRODUCT(React!$C$200:$AT$200,Curves!$AE$44:$BV$44)+SUMPRODUCT(React!$C$201:$AT$201,Curves!$AE$67:$BV$67)</f>
        <v/>
      </c>
      <c r="AU202" s="5">
        <f>SUMPRODUCT(React!$C$199:$AU$199,Curves!$AD$21:$BV$21)+SUMPRODUCT(React!$C$200:$AU$200,Curves!$AD$44:$BV$44)+SUMPRODUCT(React!$C$201:$AU$201,Curves!$AD$67:$BV$67)</f>
        <v/>
      </c>
      <c r="AV202" s="5">
        <f>SUMPRODUCT(React!$C$199:$AV$199,Curves!$AC$21:$BV$21)+SUMPRODUCT(React!$C$200:$AV$200,Curves!$AC$44:$BV$44)+SUMPRODUCT(React!$C$201:$AV$201,Curves!$AC$67:$BV$67)</f>
        <v/>
      </c>
      <c r="AW202" s="5">
        <f>SUMPRODUCT(React!$C$199:$AW$199,Curves!$AB$21:$BV$21)+SUMPRODUCT(React!$C$200:$AW$200,Curves!$AB$44:$BV$44)+SUMPRODUCT(React!$C$201:$AW$201,Curves!$AB$67:$BV$67)</f>
        <v/>
      </c>
      <c r="AX202" s="5">
        <f>SUMPRODUCT(React!$C$199:$AX$199,Curves!$AA$21:$BV$21)+SUMPRODUCT(React!$C$200:$AX$200,Curves!$AA$44:$BV$44)+SUMPRODUCT(React!$C$201:$AX$201,Curves!$AA$67:$BV$67)</f>
        <v/>
      </c>
      <c r="AY202" s="5">
        <f>SUMPRODUCT(React!$C$199:$AY$199,Curves!$Z$21:$BV$21)+SUMPRODUCT(React!$C$200:$AY$200,Curves!$Z$44:$BV$44)+SUMPRODUCT(React!$C$201:$AY$201,Curves!$Z$67:$BV$67)</f>
        <v/>
      </c>
      <c r="AZ202" s="5">
        <f>SUMPRODUCT(React!$C$199:$AZ$199,Curves!$Y$21:$BV$21)+SUMPRODUCT(React!$C$200:$AZ$200,Curves!$Y$44:$BV$44)+SUMPRODUCT(React!$C$201:$AZ$201,Curves!$Y$67:$BV$67)</f>
        <v/>
      </c>
      <c r="BA202" s="5">
        <f>SUMPRODUCT(React!$C$199:$BA$199,Curves!$X$21:$BV$21)+SUMPRODUCT(React!$C$200:$BA$200,Curves!$X$44:$BV$44)+SUMPRODUCT(React!$C$201:$BA$201,Curves!$X$67:$BV$67)</f>
        <v/>
      </c>
      <c r="BB202" s="5">
        <f>SUMPRODUCT(React!$C$199:$BB$199,Curves!$W$21:$BV$21)+SUMPRODUCT(React!$C$200:$BB$200,Curves!$W$44:$BV$44)+SUMPRODUCT(React!$C$201:$BB$201,Curves!$W$67:$BV$67)</f>
        <v/>
      </c>
      <c r="BC202" s="5">
        <f>SUMPRODUCT(React!$C$199:$BC$199,Curves!$V$21:$BV$21)+SUMPRODUCT(React!$C$200:$BC$200,Curves!$V$44:$BV$44)+SUMPRODUCT(React!$C$201:$BC$201,Curves!$V$67:$BV$67)</f>
        <v/>
      </c>
      <c r="BD202" s="5">
        <f>SUMPRODUCT(React!$C$199:$BD$199,Curves!$U$21:$BV$21)+SUMPRODUCT(React!$C$200:$BD$200,Curves!$U$44:$BV$44)+SUMPRODUCT(React!$C$201:$BD$201,Curves!$U$67:$BV$67)</f>
        <v/>
      </c>
      <c r="BE202" s="5">
        <f>SUMPRODUCT(React!$C$199:$BE$199,Curves!$T$21:$BV$21)+SUMPRODUCT(React!$C$200:$BE$200,Curves!$T$44:$BV$44)+SUMPRODUCT(React!$C$201:$BE$201,Curves!$T$67:$BV$67)</f>
        <v/>
      </c>
      <c r="BF202" s="5">
        <f>SUMPRODUCT(React!$C$199:$BF$199,Curves!$S$21:$BV$21)+SUMPRODUCT(React!$C$200:$BF$200,Curves!$S$44:$BV$44)+SUMPRODUCT(React!$C$201:$BF$201,Curves!$S$67:$BV$67)</f>
        <v/>
      </c>
      <c r="BG202" s="5">
        <f>SUMPRODUCT(React!$C$199:$BG$199,Curves!$R$21:$BV$21)+SUMPRODUCT(React!$C$200:$BG$200,Curves!$R$44:$BV$44)+SUMPRODUCT(React!$C$201:$BG$201,Curves!$R$67:$BV$67)</f>
        <v/>
      </c>
      <c r="BH202" s="5">
        <f>SUMPRODUCT(React!$C$199:$BH$199,Curves!$Q$21:$BV$21)+SUMPRODUCT(React!$C$200:$BH$200,Curves!$Q$44:$BV$44)+SUMPRODUCT(React!$C$201:$BH$201,Curves!$Q$67:$BV$67)</f>
        <v/>
      </c>
      <c r="BI202" s="5">
        <f>SUMPRODUCT(React!$C$199:$BI$199,Curves!$P$21:$BV$21)+SUMPRODUCT(React!$C$200:$BI$200,Curves!$P$44:$BV$44)+SUMPRODUCT(React!$C$201:$BI$201,Curves!$P$67:$BV$67)</f>
        <v/>
      </c>
      <c r="BJ202" s="5">
        <f>SUMPRODUCT(React!$C$199:$BJ$199,Curves!$O$21:$BV$21)+SUMPRODUCT(React!$C$200:$BJ$200,Curves!$O$44:$BV$44)+SUMPRODUCT(React!$C$201:$BJ$201,Curves!$O$67:$BV$67)</f>
        <v/>
      </c>
      <c r="BK202" s="5">
        <f>SUMPRODUCT(React!$C$199:$BK$199,Curves!$N$21:$BV$21)+SUMPRODUCT(React!$C$200:$BK$200,Curves!$N$44:$BV$44)+SUMPRODUCT(React!$C$201:$BK$201,Curves!$N$67:$BV$67)</f>
        <v/>
      </c>
      <c r="BL202" s="5">
        <f>SUMPRODUCT(React!$C$199:$BL$199,Curves!$M$21:$BV$21)+SUMPRODUCT(React!$C$200:$BL$200,Curves!$M$44:$BV$44)+SUMPRODUCT(React!$C$201:$BL$201,Curves!$M$67:$BV$67)</f>
        <v/>
      </c>
      <c r="BM202" s="5">
        <f>SUMPRODUCT(React!$C$199:$BM$199,Curves!$L$21:$BV$21)+SUMPRODUCT(React!$C$200:$BM$200,Curves!$L$44:$BV$44)+SUMPRODUCT(React!$C$201:$BM$201,Curves!$L$67:$BV$67)</f>
        <v/>
      </c>
      <c r="BN202" s="5">
        <f>SUMPRODUCT(React!$C$199:$BN$199,Curves!$K$21:$BV$21)+SUMPRODUCT(React!$C$200:$BN$200,Curves!$K$44:$BV$44)+SUMPRODUCT(React!$C$201:$BN$201,Curves!$K$67:$BV$67)</f>
        <v/>
      </c>
      <c r="BO202" s="5">
        <f>SUMPRODUCT(React!$C$199:$BO$199,Curves!$J$21:$BV$21)+SUMPRODUCT(React!$C$200:$BO$200,Curves!$J$44:$BV$44)+SUMPRODUCT(React!$C$201:$BO$201,Curves!$J$67:$BV$67)</f>
        <v/>
      </c>
      <c r="BP202" s="5">
        <f>SUMPRODUCT(React!$C$199:$BP$199,Curves!$I$21:$BV$21)+SUMPRODUCT(React!$C$200:$BP$200,Curves!$I$44:$BV$44)+SUMPRODUCT(React!$C$201:$BP$201,Curves!$I$67:$BV$67)</f>
        <v/>
      </c>
      <c r="BQ202" s="5">
        <f>SUMPRODUCT(React!$C$199:$BQ$199,Curves!$H$21:$BV$21)+SUMPRODUCT(React!$C$200:$BQ$200,Curves!$H$44:$BV$44)+SUMPRODUCT(React!$C$201:$BQ$201,Curves!$H$67:$BV$67)</f>
        <v/>
      </c>
      <c r="BR202" s="5">
        <f>SUMPRODUCT(React!$C$199:$BR$199,Curves!$G$21:$BV$21)+SUMPRODUCT(React!$C$200:$BR$200,Curves!$G$44:$BV$44)+SUMPRODUCT(React!$C$201:$BR$201,Curves!$G$67:$BV$67)</f>
        <v/>
      </c>
      <c r="BS202" s="5">
        <f>SUMPRODUCT(React!$C$199:$BS$199,Curves!$F$21:$BV$21)+SUMPRODUCT(React!$C$200:$BS$200,Curves!$F$44:$BV$44)+SUMPRODUCT(React!$C$201:$BS$201,Curves!$F$67:$BV$67)</f>
        <v/>
      </c>
      <c r="BT202" s="5">
        <f>SUMPRODUCT(React!$C$199:$BT$199,Curves!$E$21:$BV$21)+SUMPRODUCT(React!$C$200:$BT$200,Curves!$E$44:$BV$44)+SUMPRODUCT(React!$C$201:$BT$201,Curves!$E$67:$BV$67)</f>
        <v/>
      </c>
      <c r="BU202" s="5">
        <f>SUMPRODUCT(React!$C$199:$BU$199,Curves!$D$21:$BV$21)+SUMPRODUCT(React!$C$200:$BU$200,Curves!$D$44:$BV$44)+SUMPRODUCT(React!$C$201:$BU$201,Curves!$D$67:$BV$67)</f>
        <v/>
      </c>
      <c r="BV202" s="5">
        <f>SUMPRODUCT(React!$C$199:$BV$199,Curves!$C$21:$BV$21)+SUMPRODUCT(React!$C$200:$BV$200,Curves!$C$44:$BV$44)+SUMPRODUCT(React!$C$201:$BV$201,Curves!$C$67:$BV$67)</f>
        <v/>
      </c>
    </row>
    <row r="203">
      <c r="A203" t="inlineStr">
        <is>
          <t>reactivated in</t>
        </is>
      </c>
      <c r="B203" t="inlineStr">
        <is>
          <t>APAC|BASIC_A</t>
        </is>
      </c>
      <c r="C203" s="5">
        <f>0</f>
        <v/>
      </c>
      <c r="D203" s="5">
        <f>0</f>
        <v/>
      </c>
      <c r="E203" s="5">
        <f>0</f>
        <v/>
      </c>
      <c r="F203" s="5">
        <f>0</f>
        <v/>
      </c>
      <c r="G203" s="5">
        <f>0</f>
        <v/>
      </c>
      <c r="H203" s="5">
        <f>0</f>
        <v/>
      </c>
      <c r="I203" s="5">
        <f>0</f>
        <v/>
      </c>
      <c r="J203" s="5">
        <f>0</f>
        <v/>
      </c>
      <c r="K203" s="5">
        <f>0</f>
        <v/>
      </c>
      <c r="L203" s="5">
        <f>0</f>
        <v/>
      </c>
      <c r="M203" s="5">
        <f>0</f>
        <v/>
      </c>
      <c r="N203" s="5">
        <f>0</f>
        <v/>
      </c>
      <c r="O203" s="5">
        <f>0</f>
        <v/>
      </c>
      <c r="P203" s="5">
        <f>0</f>
        <v/>
      </c>
      <c r="Q203" s="5">
        <f>0</f>
        <v/>
      </c>
      <c r="R203" s="5">
        <f>0</f>
        <v/>
      </c>
      <c r="S203" s="5">
        <f>0</f>
        <v/>
      </c>
      <c r="T203" s="5">
        <f>0</f>
        <v/>
      </c>
      <c r="U203" s="5">
        <f>0</f>
        <v/>
      </c>
      <c r="V203" s="5">
        <f>0</f>
        <v/>
      </c>
      <c r="W203" s="5">
        <f>0</f>
        <v/>
      </c>
      <c r="X203" s="5">
        <f>0</f>
        <v/>
      </c>
      <c r="Y203" s="5">
        <f>0</f>
        <v/>
      </c>
      <c r="Z203" s="5">
        <f>0</f>
        <v/>
      </c>
      <c r="AA203" s="5">
        <f>0</f>
        <v/>
      </c>
      <c r="AB203" s="5">
        <f>0</f>
        <v/>
      </c>
      <c r="AC203" s="5">
        <f>0</f>
        <v/>
      </c>
      <c r="AD203" s="5">
        <f>0</f>
        <v/>
      </c>
      <c r="AE203" s="5">
        <f>0</f>
        <v/>
      </c>
      <c r="AF203" s="5">
        <f>0</f>
        <v/>
      </c>
      <c r="AG203" s="5">
        <f>0</f>
        <v/>
      </c>
      <c r="AH203" s="5">
        <f>0</f>
        <v/>
      </c>
      <c r="AI203" s="5">
        <f>0</f>
        <v/>
      </c>
      <c r="AJ203" s="5">
        <f>0</f>
        <v/>
      </c>
      <c r="AK203" s="5">
        <f>0</f>
        <v/>
      </c>
      <c r="AL203" s="5">
        <f>0</f>
        <v/>
      </c>
      <c r="AM203" s="5">
        <f>0</f>
        <v/>
      </c>
      <c r="AN203" s="5">
        <f>0</f>
        <v/>
      </c>
      <c r="AO203" s="5">
        <f>0</f>
        <v/>
      </c>
      <c r="AP203" s="5">
        <f>0</f>
        <v/>
      </c>
      <c r="AQ203" s="5">
        <f>0</f>
        <v/>
      </c>
      <c r="AR203" s="5">
        <f>0</f>
        <v/>
      </c>
      <c r="AS203" s="5">
        <f>0</f>
        <v/>
      </c>
      <c r="AT203" s="5">
        <f>0</f>
        <v/>
      </c>
      <c r="AU203" s="5">
        <f>0</f>
        <v/>
      </c>
      <c r="AV203" s="5">
        <f>0</f>
        <v/>
      </c>
      <c r="AW203" s="5">
        <f>0</f>
        <v/>
      </c>
      <c r="AX203" s="5">
        <f>0</f>
        <v/>
      </c>
      <c r="AY203" s="5">
        <f>0</f>
        <v/>
      </c>
      <c r="AZ203" s="5">
        <f>0</f>
        <v/>
      </c>
      <c r="BA203" s="5">
        <f>0</f>
        <v/>
      </c>
      <c r="BB203" s="5">
        <f>0</f>
        <v/>
      </c>
      <c r="BC203" s="5">
        <f>0</f>
        <v/>
      </c>
      <c r="BD203" s="5">
        <f>0</f>
        <v/>
      </c>
      <c r="BE203" s="5">
        <f>0</f>
        <v/>
      </c>
      <c r="BF203" s="5">
        <f>0</f>
        <v/>
      </c>
      <c r="BG203" s="5">
        <f>0</f>
        <v/>
      </c>
      <c r="BH203" s="5">
        <f>0</f>
        <v/>
      </c>
      <c r="BI203" s="5">
        <f>0</f>
        <v/>
      </c>
      <c r="BJ203" s="5">
        <f>0</f>
        <v/>
      </c>
      <c r="BK203" s="5">
        <f>0</f>
        <v/>
      </c>
      <c r="BL203" s="5">
        <f>0</f>
        <v/>
      </c>
      <c r="BM203" s="5">
        <f>0</f>
        <v/>
      </c>
      <c r="BN203" s="5">
        <f>0</f>
        <v/>
      </c>
      <c r="BO203" s="5">
        <f>0</f>
        <v/>
      </c>
      <c r="BP203" s="5">
        <f>0</f>
        <v/>
      </c>
      <c r="BQ203" s="5">
        <f>0</f>
        <v/>
      </c>
      <c r="BR203" s="5">
        <f>0</f>
        <v/>
      </c>
      <c r="BS203" s="5">
        <f>0</f>
        <v/>
      </c>
      <c r="BT203" s="5">
        <f>0</f>
        <v/>
      </c>
      <c r="BU203" s="5">
        <f>0</f>
        <v/>
      </c>
      <c r="BV203" s="5">
        <f>0</f>
        <v/>
      </c>
    </row>
    <row r="204">
      <c r="A204" t="inlineStr">
        <is>
          <t>reactivated in @0</t>
        </is>
      </c>
      <c r="B204" t="inlineStr">
        <is>
          <t>APAC|BASIC_A</t>
        </is>
      </c>
      <c r="C204" s="5">
        <f>C203*Eras!C$3</f>
        <v/>
      </c>
      <c r="D204" s="5">
        <f>D203*Eras!D$3</f>
        <v/>
      </c>
      <c r="E204" s="5">
        <f>E203*Eras!E$3</f>
        <v/>
      </c>
      <c r="F204" s="5">
        <f>F203*Eras!F$3</f>
        <v/>
      </c>
      <c r="G204" s="5">
        <f>G203*Eras!G$3</f>
        <v/>
      </c>
      <c r="H204" s="5">
        <f>H203*Eras!H$3</f>
        <v/>
      </c>
      <c r="I204" s="5">
        <f>I203*Eras!I$3</f>
        <v/>
      </c>
      <c r="J204" s="5">
        <f>J203*Eras!J$3</f>
        <v/>
      </c>
      <c r="K204" s="5">
        <f>K203*Eras!K$3</f>
        <v/>
      </c>
      <c r="L204" s="5">
        <f>L203*Eras!L$3</f>
        <v/>
      </c>
      <c r="M204" s="5">
        <f>M203*Eras!M$3</f>
        <v/>
      </c>
      <c r="N204" s="5">
        <f>N203*Eras!N$3</f>
        <v/>
      </c>
      <c r="O204" s="5">
        <f>O203*Eras!O$3</f>
        <v/>
      </c>
      <c r="P204" s="5">
        <f>P203*Eras!P$3</f>
        <v/>
      </c>
      <c r="Q204" s="5">
        <f>Q203*Eras!Q$3</f>
        <v/>
      </c>
      <c r="R204" s="5">
        <f>R203*Eras!R$3</f>
        <v/>
      </c>
      <c r="S204" s="5">
        <f>S203*Eras!S$3</f>
        <v/>
      </c>
      <c r="T204" s="5">
        <f>T203*Eras!T$3</f>
        <v/>
      </c>
      <c r="U204" s="5">
        <f>U203*Eras!U$3</f>
        <v/>
      </c>
      <c r="V204" s="5">
        <f>V203*Eras!V$3</f>
        <v/>
      </c>
      <c r="W204" s="5">
        <f>W203*Eras!W$3</f>
        <v/>
      </c>
      <c r="X204" s="5">
        <f>X203*Eras!X$3</f>
        <v/>
      </c>
      <c r="Y204" s="5">
        <f>Y203*Eras!Y$3</f>
        <v/>
      </c>
      <c r="Z204" s="5">
        <f>Z203*Eras!Z$3</f>
        <v/>
      </c>
      <c r="AA204" s="5">
        <f>AA203*Eras!AA$3</f>
        <v/>
      </c>
      <c r="AB204" s="5">
        <f>AB203*Eras!AB$3</f>
        <v/>
      </c>
      <c r="AC204" s="5">
        <f>AC203*Eras!AC$3</f>
        <v/>
      </c>
      <c r="AD204" s="5">
        <f>AD203*Eras!AD$3</f>
        <v/>
      </c>
      <c r="AE204" s="5">
        <f>AE203*Eras!AE$3</f>
        <v/>
      </c>
      <c r="AF204" s="5">
        <f>AF203*Eras!AF$3</f>
        <v/>
      </c>
      <c r="AG204" s="5">
        <f>AG203*Eras!AG$3</f>
        <v/>
      </c>
      <c r="AH204" s="5">
        <f>AH203*Eras!AH$3</f>
        <v/>
      </c>
      <c r="AI204" s="5">
        <f>AI203*Eras!AI$3</f>
        <v/>
      </c>
      <c r="AJ204" s="5">
        <f>AJ203*Eras!AJ$3</f>
        <v/>
      </c>
      <c r="AK204" s="5">
        <f>AK203*Eras!AK$3</f>
        <v/>
      </c>
      <c r="AL204" s="5">
        <f>AL203*Eras!AL$3</f>
        <v/>
      </c>
      <c r="AM204" s="5">
        <f>AM203*Eras!AM$3</f>
        <v/>
      </c>
      <c r="AN204" s="5">
        <f>AN203*Eras!AN$3</f>
        <v/>
      </c>
      <c r="AO204" s="5">
        <f>AO203*Eras!AO$3</f>
        <v/>
      </c>
      <c r="AP204" s="5">
        <f>AP203*Eras!AP$3</f>
        <v/>
      </c>
      <c r="AQ204" s="5">
        <f>AQ203*Eras!AQ$3</f>
        <v/>
      </c>
      <c r="AR204" s="5">
        <f>AR203*Eras!AR$3</f>
        <v/>
      </c>
      <c r="AS204" s="5">
        <f>AS203*Eras!AS$3</f>
        <v/>
      </c>
      <c r="AT204" s="5">
        <f>AT203*Eras!AT$3</f>
        <v/>
      </c>
      <c r="AU204" s="5">
        <f>AU203*Eras!AU$3</f>
        <v/>
      </c>
      <c r="AV204" s="5">
        <f>AV203*Eras!AV$3</f>
        <v/>
      </c>
      <c r="AW204" s="5">
        <f>AW203*Eras!AW$3</f>
        <v/>
      </c>
      <c r="AX204" s="5">
        <f>AX203*Eras!AX$3</f>
        <v/>
      </c>
      <c r="AY204" s="5">
        <f>AY203*Eras!AY$3</f>
        <v/>
      </c>
      <c r="AZ204" s="5">
        <f>AZ203*Eras!AZ$3</f>
        <v/>
      </c>
      <c r="BA204" s="5">
        <f>BA203*Eras!BA$3</f>
        <v/>
      </c>
      <c r="BB204" s="5">
        <f>BB203*Eras!BB$3</f>
        <v/>
      </c>
      <c r="BC204" s="5">
        <f>BC203*Eras!BC$3</f>
        <v/>
      </c>
      <c r="BD204" s="5">
        <f>BD203*Eras!BD$3</f>
        <v/>
      </c>
      <c r="BE204" s="5">
        <f>BE203*Eras!BE$3</f>
        <v/>
      </c>
      <c r="BF204" s="5">
        <f>BF203*Eras!BF$3</f>
        <v/>
      </c>
      <c r="BG204" s="5">
        <f>BG203*Eras!BG$3</f>
        <v/>
      </c>
      <c r="BH204" s="5">
        <f>BH203*Eras!BH$3</f>
        <v/>
      </c>
      <c r="BI204" s="5">
        <f>BI203*Eras!BI$3</f>
        <v/>
      </c>
      <c r="BJ204" s="5">
        <f>BJ203*Eras!BJ$3</f>
        <v/>
      </c>
      <c r="BK204" s="5">
        <f>BK203*Eras!BK$3</f>
        <v/>
      </c>
      <c r="BL204" s="5">
        <f>BL203*Eras!BL$3</f>
        <v/>
      </c>
      <c r="BM204" s="5">
        <f>BM203*Eras!BM$3</f>
        <v/>
      </c>
      <c r="BN204" s="5">
        <f>BN203*Eras!BN$3</f>
        <v/>
      </c>
      <c r="BO204" s="5">
        <f>BO203*Eras!BO$3</f>
        <v/>
      </c>
      <c r="BP204" s="5">
        <f>BP203*Eras!BP$3</f>
        <v/>
      </c>
      <c r="BQ204" s="5">
        <f>BQ203*Eras!BQ$3</f>
        <v/>
      </c>
      <c r="BR204" s="5">
        <f>BR203*Eras!BR$3</f>
        <v/>
      </c>
      <c r="BS204" s="5">
        <f>BS203*Eras!BS$3</f>
        <v/>
      </c>
      <c r="BT204" s="5">
        <f>BT203*Eras!BT$3</f>
        <v/>
      </c>
      <c r="BU204" s="5">
        <f>BU203*Eras!BU$3</f>
        <v/>
      </c>
      <c r="BV204" s="5">
        <f>BV203*Eras!BV$3</f>
        <v/>
      </c>
    </row>
    <row r="205">
      <c r="A205" t="inlineStr">
        <is>
          <t>reactivated in @1</t>
        </is>
      </c>
      <c r="B205" t="inlineStr">
        <is>
          <t>APAC|BASIC_A</t>
        </is>
      </c>
      <c r="C205" s="5">
        <f>C203*Eras!C$4</f>
        <v/>
      </c>
      <c r="D205" s="5">
        <f>D203*Eras!D$4</f>
        <v/>
      </c>
      <c r="E205" s="5">
        <f>E203*Eras!E$4</f>
        <v/>
      </c>
      <c r="F205" s="5">
        <f>F203*Eras!F$4</f>
        <v/>
      </c>
      <c r="G205" s="5">
        <f>G203*Eras!G$4</f>
        <v/>
      </c>
      <c r="H205" s="5">
        <f>H203*Eras!H$4</f>
        <v/>
      </c>
      <c r="I205" s="5">
        <f>I203*Eras!I$4</f>
        <v/>
      </c>
      <c r="J205" s="5">
        <f>J203*Eras!J$4</f>
        <v/>
      </c>
      <c r="K205" s="5">
        <f>K203*Eras!K$4</f>
        <v/>
      </c>
      <c r="L205" s="5">
        <f>L203*Eras!L$4</f>
        <v/>
      </c>
      <c r="M205" s="5">
        <f>M203*Eras!M$4</f>
        <v/>
      </c>
      <c r="N205" s="5">
        <f>N203*Eras!N$4</f>
        <v/>
      </c>
      <c r="O205" s="5">
        <f>O203*Eras!O$4</f>
        <v/>
      </c>
      <c r="P205" s="5">
        <f>P203*Eras!P$4</f>
        <v/>
      </c>
      <c r="Q205" s="5">
        <f>Q203*Eras!Q$4</f>
        <v/>
      </c>
      <c r="R205" s="5">
        <f>R203*Eras!R$4</f>
        <v/>
      </c>
      <c r="S205" s="5">
        <f>S203*Eras!S$4</f>
        <v/>
      </c>
      <c r="T205" s="5">
        <f>T203*Eras!T$4</f>
        <v/>
      </c>
      <c r="U205" s="5">
        <f>U203*Eras!U$4</f>
        <v/>
      </c>
      <c r="V205" s="5">
        <f>V203*Eras!V$4</f>
        <v/>
      </c>
      <c r="W205" s="5">
        <f>W203*Eras!W$4</f>
        <v/>
      </c>
      <c r="X205" s="5">
        <f>X203*Eras!X$4</f>
        <v/>
      </c>
      <c r="Y205" s="5">
        <f>Y203*Eras!Y$4</f>
        <v/>
      </c>
      <c r="Z205" s="5">
        <f>Z203*Eras!Z$4</f>
        <v/>
      </c>
      <c r="AA205" s="5">
        <f>AA203*Eras!AA$4</f>
        <v/>
      </c>
      <c r="AB205" s="5">
        <f>AB203*Eras!AB$4</f>
        <v/>
      </c>
      <c r="AC205" s="5">
        <f>AC203*Eras!AC$4</f>
        <v/>
      </c>
      <c r="AD205" s="5">
        <f>AD203*Eras!AD$4</f>
        <v/>
      </c>
      <c r="AE205" s="5">
        <f>AE203*Eras!AE$4</f>
        <v/>
      </c>
      <c r="AF205" s="5">
        <f>AF203*Eras!AF$4</f>
        <v/>
      </c>
      <c r="AG205" s="5">
        <f>AG203*Eras!AG$4</f>
        <v/>
      </c>
      <c r="AH205" s="5">
        <f>AH203*Eras!AH$4</f>
        <v/>
      </c>
      <c r="AI205" s="5">
        <f>AI203*Eras!AI$4</f>
        <v/>
      </c>
      <c r="AJ205" s="5">
        <f>AJ203*Eras!AJ$4</f>
        <v/>
      </c>
      <c r="AK205" s="5">
        <f>AK203*Eras!AK$4</f>
        <v/>
      </c>
      <c r="AL205" s="5">
        <f>AL203*Eras!AL$4</f>
        <v/>
      </c>
      <c r="AM205" s="5">
        <f>AM203*Eras!AM$4</f>
        <v/>
      </c>
      <c r="AN205" s="5">
        <f>AN203*Eras!AN$4</f>
        <v/>
      </c>
      <c r="AO205" s="5">
        <f>AO203*Eras!AO$4</f>
        <v/>
      </c>
      <c r="AP205" s="5">
        <f>AP203*Eras!AP$4</f>
        <v/>
      </c>
      <c r="AQ205" s="5">
        <f>AQ203*Eras!AQ$4</f>
        <v/>
      </c>
      <c r="AR205" s="5">
        <f>AR203*Eras!AR$4</f>
        <v/>
      </c>
      <c r="AS205" s="5">
        <f>AS203*Eras!AS$4</f>
        <v/>
      </c>
      <c r="AT205" s="5">
        <f>AT203*Eras!AT$4</f>
        <v/>
      </c>
      <c r="AU205" s="5">
        <f>AU203*Eras!AU$4</f>
        <v/>
      </c>
      <c r="AV205" s="5">
        <f>AV203*Eras!AV$4</f>
        <v/>
      </c>
      <c r="AW205" s="5">
        <f>AW203*Eras!AW$4</f>
        <v/>
      </c>
      <c r="AX205" s="5">
        <f>AX203*Eras!AX$4</f>
        <v/>
      </c>
      <c r="AY205" s="5">
        <f>AY203*Eras!AY$4</f>
        <v/>
      </c>
      <c r="AZ205" s="5">
        <f>AZ203*Eras!AZ$4</f>
        <v/>
      </c>
      <c r="BA205" s="5">
        <f>BA203*Eras!BA$4</f>
        <v/>
      </c>
      <c r="BB205" s="5">
        <f>BB203*Eras!BB$4</f>
        <v/>
      </c>
      <c r="BC205" s="5">
        <f>BC203*Eras!BC$4</f>
        <v/>
      </c>
      <c r="BD205" s="5">
        <f>BD203*Eras!BD$4</f>
        <v/>
      </c>
      <c r="BE205" s="5">
        <f>BE203*Eras!BE$4</f>
        <v/>
      </c>
      <c r="BF205" s="5">
        <f>BF203*Eras!BF$4</f>
        <v/>
      </c>
      <c r="BG205" s="5">
        <f>BG203*Eras!BG$4</f>
        <v/>
      </c>
      <c r="BH205" s="5">
        <f>BH203*Eras!BH$4</f>
        <v/>
      </c>
      <c r="BI205" s="5">
        <f>BI203*Eras!BI$4</f>
        <v/>
      </c>
      <c r="BJ205" s="5">
        <f>BJ203*Eras!BJ$4</f>
        <v/>
      </c>
      <c r="BK205" s="5">
        <f>BK203*Eras!BK$4</f>
        <v/>
      </c>
      <c r="BL205" s="5">
        <f>BL203*Eras!BL$4</f>
        <v/>
      </c>
      <c r="BM205" s="5">
        <f>BM203*Eras!BM$4</f>
        <v/>
      </c>
      <c r="BN205" s="5">
        <f>BN203*Eras!BN$4</f>
        <v/>
      </c>
      <c r="BO205" s="5">
        <f>BO203*Eras!BO$4</f>
        <v/>
      </c>
      <c r="BP205" s="5">
        <f>BP203*Eras!BP$4</f>
        <v/>
      </c>
      <c r="BQ205" s="5">
        <f>BQ203*Eras!BQ$4</f>
        <v/>
      </c>
      <c r="BR205" s="5">
        <f>BR203*Eras!BR$4</f>
        <v/>
      </c>
      <c r="BS205" s="5">
        <f>BS203*Eras!BS$4</f>
        <v/>
      </c>
      <c r="BT205" s="5">
        <f>BT203*Eras!BT$4</f>
        <v/>
      </c>
      <c r="BU205" s="5">
        <f>BU203*Eras!BU$4</f>
        <v/>
      </c>
      <c r="BV205" s="5">
        <f>BV203*Eras!BV$4</f>
        <v/>
      </c>
    </row>
    <row r="206">
      <c r="A206" t="inlineStr">
        <is>
          <t>reactivated in @2</t>
        </is>
      </c>
      <c r="B206" t="inlineStr">
        <is>
          <t>APAC|BASIC_A</t>
        </is>
      </c>
      <c r="C206" s="5">
        <f>C203*Eras!C$5</f>
        <v/>
      </c>
      <c r="D206" s="5">
        <f>D203*Eras!D$5</f>
        <v/>
      </c>
      <c r="E206" s="5">
        <f>E203*Eras!E$5</f>
        <v/>
      </c>
      <c r="F206" s="5">
        <f>F203*Eras!F$5</f>
        <v/>
      </c>
      <c r="G206" s="5">
        <f>G203*Eras!G$5</f>
        <v/>
      </c>
      <c r="H206" s="5">
        <f>H203*Eras!H$5</f>
        <v/>
      </c>
      <c r="I206" s="5">
        <f>I203*Eras!I$5</f>
        <v/>
      </c>
      <c r="J206" s="5">
        <f>J203*Eras!J$5</f>
        <v/>
      </c>
      <c r="K206" s="5">
        <f>K203*Eras!K$5</f>
        <v/>
      </c>
      <c r="L206" s="5">
        <f>L203*Eras!L$5</f>
        <v/>
      </c>
      <c r="M206" s="5">
        <f>M203*Eras!M$5</f>
        <v/>
      </c>
      <c r="N206" s="5">
        <f>N203*Eras!N$5</f>
        <v/>
      </c>
      <c r="O206" s="5">
        <f>O203*Eras!O$5</f>
        <v/>
      </c>
      <c r="P206" s="5">
        <f>P203*Eras!P$5</f>
        <v/>
      </c>
      <c r="Q206" s="5">
        <f>Q203*Eras!Q$5</f>
        <v/>
      </c>
      <c r="R206" s="5">
        <f>R203*Eras!R$5</f>
        <v/>
      </c>
      <c r="S206" s="5">
        <f>S203*Eras!S$5</f>
        <v/>
      </c>
      <c r="T206" s="5">
        <f>T203*Eras!T$5</f>
        <v/>
      </c>
      <c r="U206" s="5">
        <f>U203*Eras!U$5</f>
        <v/>
      </c>
      <c r="V206" s="5">
        <f>V203*Eras!V$5</f>
        <v/>
      </c>
      <c r="W206" s="5">
        <f>W203*Eras!W$5</f>
        <v/>
      </c>
      <c r="X206" s="5">
        <f>X203*Eras!X$5</f>
        <v/>
      </c>
      <c r="Y206" s="5">
        <f>Y203*Eras!Y$5</f>
        <v/>
      </c>
      <c r="Z206" s="5">
        <f>Z203*Eras!Z$5</f>
        <v/>
      </c>
      <c r="AA206" s="5">
        <f>AA203*Eras!AA$5</f>
        <v/>
      </c>
      <c r="AB206" s="5">
        <f>AB203*Eras!AB$5</f>
        <v/>
      </c>
      <c r="AC206" s="5">
        <f>AC203*Eras!AC$5</f>
        <v/>
      </c>
      <c r="AD206" s="5">
        <f>AD203*Eras!AD$5</f>
        <v/>
      </c>
      <c r="AE206" s="5">
        <f>AE203*Eras!AE$5</f>
        <v/>
      </c>
      <c r="AF206" s="5">
        <f>AF203*Eras!AF$5</f>
        <v/>
      </c>
      <c r="AG206" s="5">
        <f>AG203*Eras!AG$5</f>
        <v/>
      </c>
      <c r="AH206" s="5">
        <f>AH203*Eras!AH$5</f>
        <v/>
      </c>
      <c r="AI206" s="5">
        <f>AI203*Eras!AI$5</f>
        <v/>
      </c>
      <c r="AJ206" s="5">
        <f>AJ203*Eras!AJ$5</f>
        <v/>
      </c>
      <c r="AK206" s="5">
        <f>AK203*Eras!AK$5</f>
        <v/>
      </c>
      <c r="AL206" s="5">
        <f>AL203*Eras!AL$5</f>
        <v/>
      </c>
      <c r="AM206" s="5">
        <f>AM203*Eras!AM$5</f>
        <v/>
      </c>
      <c r="AN206" s="5">
        <f>AN203*Eras!AN$5</f>
        <v/>
      </c>
      <c r="AO206" s="5">
        <f>AO203*Eras!AO$5</f>
        <v/>
      </c>
      <c r="AP206" s="5">
        <f>AP203*Eras!AP$5</f>
        <v/>
      </c>
      <c r="AQ206" s="5">
        <f>AQ203*Eras!AQ$5</f>
        <v/>
      </c>
      <c r="AR206" s="5">
        <f>AR203*Eras!AR$5</f>
        <v/>
      </c>
      <c r="AS206" s="5">
        <f>AS203*Eras!AS$5</f>
        <v/>
      </c>
      <c r="AT206" s="5">
        <f>AT203*Eras!AT$5</f>
        <v/>
      </c>
      <c r="AU206" s="5">
        <f>AU203*Eras!AU$5</f>
        <v/>
      </c>
      <c r="AV206" s="5">
        <f>AV203*Eras!AV$5</f>
        <v/>
      </c>
      <c r="AW206" s="5">
        <f>AW203*Eras!AW$5</f>
        <v/>
      </c>
      <c r="AX206" s="5">
        <f>AX203*Eras!AX$5</f>
        <v/>
      </c>
      <c r="AY206" s="5">
        <f>AY203*Eras!AY$5</f>
        <v/>
      </c>
      <c r="AZ206" s="5">
        <f>AZ203*Eras!AZ$5</f>
        <v/>
      </c>
      <c r="BA206" s="5">
        <f>BA203*Eras!BA$5</f>
        <v/>
      </c>
      <c r="BB206" s="5">
        <f>BB203*Eras!BB$5</f>
        <v/>
      </c>
      <c r="BC206" s="5">
        <f>BC203*Eras!BC$5</f>
        <v/>
      </c>
      <c r="BD206" s="5">
        <f>BD203*Eras!BD$5</f>
        <v/>
      </c>
      <c r="BE206" s="5">
        <f>BE203*Eras!BE$5</f>
        <v/>
      </c>
      <c r="BF206" s="5">
        <f>BF203*Eras!BF$5</f>
        <v/>
      </c>
      <c r="BG206" s="5">
        <f>BG203*Eras!BG$5</f>
        <v/>
      </c>
      <c r="BH206" s="5">
        <f>BH203*Eras!BH$5</f>
        <v/>
      </c>
      <c r="BI206" s="5">
        <f>BI203*Eras!BI$5</f>
        <v/>
      </c>
      <c r="BJ206" s="5">
        <f>BJ203*Eras!BJ$5</f>
        <v/>
      </c>
      <c r="BK206" s="5">
        <f>BK203*Eras!BK$5</f>
        <v/>
      </c>
      <c r="BL206" s="5">
        <f>BL203*Eras!BL$5</f>
        <v/>
      </c>
      <c r="BM206" s="5">
        <f>BM203*Eras!BM$5</f>
        <v/>
      </c>
      <c r="BN206" s="5">
        <f>BN203*Eras!BN$5</f>
        <v/>
      </c>
      <c r="BO206" s="5">
        <f>BO203*Eras!BO$5</f>
        <v/>
      </c>
      <c r="BP206" s="5">
        <f>BP203*Eras!BP$5</f>
        <v/>
      </c>
      <c r="BQ206" s="5">
        <f>BQ203*Eras!BQ$5</f>
        <v/>
      </c>
      <c r="BR206" s="5">
        <f>BR203*Eras!BR$5</f>
        <v/>
      </c>
      <c r="BS206" s="5">
        <f>BS203*Eras!BS$5</f>
        <v/>
      </c>
      <c r="BT206" s="5">
        <f>BT203*Eras!BT$5</f>
        <v/>
      </c>
      <c r="BU206" s="5">
        <f>BU203*Eras!BU$5</f>
        <v/>
      </c>
      <c r="BV206" s="5">
        <f>BV203*Eras!BV$5</f>
        <v/>
      </c>
    </row>
    <row r="207">
      <c r="A207" t="inlineStr">
        <is>
          <t>active</t>
        </is>
      </c>
      <c r="B207" t="inlineStr">
        <is>
          <t>APAC|BASIC_A</t>
        </is>
      </c>
      <c r="C207" s="5">
        <f>React!$C$204*Curves!$BV$19+React!$C$205*Curves!$BV$42+React!$C$206*Curves!$BV$65</f>
        <v/>
      </c>
      <c r="D207" s="5">
        <f>SUMPRODUCT(React!$C$204:$D$204,Curves!$BU$19:$BV$19)+SUMPRODUCT(React!$C$205:$D$205,Curves!$BU$42:$BV$42)+SUMPRODUCT(React!$C$206:$D$206,Curves!$BU$65:$BV$65)</f>
        <v/>
      </c>
      <c r="E207" s="5">
        <f>SUMPRODUCT(React!$C$204:$E$204,Curves!$BT$19:$BV$19)+SUMPRODUCT(React!$C$205:$E$205,Curves!$BT$42:$BV$42)+SUMPRODUCT(React!$C$206:$E$206,Curves!$BT$65:$BV$65)</f>
        <v/>
      </c>
      <c r="F207" s="5">
        <f>SUMPRODUCT(React!$C$204:$F$204,Curves!$BS$19:$BV$19)+SUMPRODUCT(React!$C$205:$F$205,Curves!$BS$42:$BV$42)+SUMPRODUCT(React!$C$206:$F$206,Curves!$BS$65:$BV$65)</f>
        <v/>
      </c>
      <c r="G207" s="5">
        <f>SUMPRODUCT(React!$C$204:$G$204,Curves!$BR$19:$BV$19)+SUMPRODUCT(React!$C$205:$G$205,Curves!$BR$42:$BV$42)+SUMPRODUCT(React!$C$206:$G$206,Curves!$BR$65:$BV$65)</f>
        <v/>
      </c>
      <c r="H207" s="5">
        <f>SUMPRODUCT(React!$C$204:$H$204,Curves!$BQ$19:$BV$19)+SUMPRODUCT(React!$C$205:$H$205,Curves!$BQ$42:$BV$42)+SUMPRODUCT(React!$C$206:$H$206,Curves!$BQ$65:$BV$65)</f>
        <v/>
      </c>
      <c r="I207" s="5">
        <f>SUMPRODUCT(React!$C$204:$I$204,Curves!$BP$19:$BV$19)+SUMPRODUCT(React!$C$205:$I$205,Curves!$BP$42:$BV$42)+SUMPRODUCT(React!$C$206:$I$206,Curves!$BP$65:$BV$65)</f>
        <v/>
      </c>
      <c r="J207" s="5">
        <f>SUMPRODUCT(React!$C$204:$J$204,Curves!$BO$19:$BV$19)+SUMPRODUCT(React!$C$205:$J$205,Curves!$BO$42:$BV$42)+SUMPRODUCT(React!$C$206:$J$206,Curves!$BO$65:$BV$65)</f>
        <v/>
      </c>
      <c r="K207" s="5">
        <f>SUMPRODUCT(React!$C$204:$K$204,Curves!$BN$19:$BV$19)+SUMPRODUCT(React!$C$205:$K$205,Curves!$BN$42:$BV$42)+SUMPRODUCT(React!$C$206:$K$206,Curves!$BN$65:$BV$65)</f>
        <v/>
      </c>
      <c r="L207" s="5">
        <f>SUMPRODUCT(React!$C$204:$L$204,Curves!$BM$19:$BV$19)+SUMPRODUCT(React!$C$205:$L$205,Curves!$BM$42:$BV$42)+SUMPRODUCT(React!$C$206:$L$206,Curves!$BM$65:$BV$65)</f>
        <v/>
      </c>
      <c r="M207" s="5">
        <f>SUMPRODUCT(React!$C$204:$M$204,Curves!$BL$19:$BV$19)+SUMPRODUCT(React!$C$205:$M$205,Curves!$BL$42:$BV$42)+SUMPRODUCT(React!$C$206:$M$206,Curves!$BL$65:$BV$65)</f>
        <v/>
      </c>
      <c r="N207" s="5">
        <f>SUMPRODUCT(React!$C$204:$N$204,Curves!$BK$19:$BV$19)+SUMPRODUCT(React!$C$205:$N$205,Curves!$BK$42:$BV$42)+SUMPRODUCT(React!$C$206:$N$206,Curves!$BK$65:$BV$65)</f>
        <v/>
      </c>
      <c r="O207" s="5">
        <f>SUMPRODUCT(React!$C$204:$O$204,Curves!$BJ$19:$BV$19)+SUMPRODUCT(React!$C$205:$O$205,Curves!$BJ$42:$BV$42)+SUMPRODUCT(React!$C$206:$O$206,Curves!$BJ$65:$BV$65)</f>
        <v/>
      </c>
      <c r="P207" s="5">
        <f>SUMPRODUCT(React!$C$204:$P$204,Curves!$BI$19:$BV$19)+SUMPRODUCT(React!$C$205:$P$205,Curves!$BI$42:$BV$42)+SUMPRODUCT(React!$C$206:$P$206,Curves!$BI$65:$BV$65)</f>
        <v/>
      </c>
      <c r="Q207" s="5">
        <f>SUMPRODUCT(React!$C$204:$Q$204,Curves!$BH$19:$BV$19)+SUMPRODUCT(React!$C$205:$Q$205,Curves!$BH$42:$BV$42)+SUMPRODUCT(React!$C$206:$Q$206,Curves!$BH$65:$BV$65)</f>
        <v/>
      </c>
      <c r="R207" s="5">
        <f>SUMPRODUCT(React!$C$204:$R$204,Curves!$BG$19:$BV$19)+SUMPRODUCT(React!$C$205:$R$205,Curves!$BG$42:$BV$42)+SUMPRODUCT(React!$C$206:$R$206,Curves!$BG$65:$BV$65)</f>
        <v/>
      </c>
      <c r="S207" s="5">
        <f>SUMPRODUCT(React!$C$204:$S$204,Curves!$BF$19:$BV$19)+SUMPRODUCT(React!$C$205:$S$205,Curves!$BF$42:$BV$42)+SUMPRODUCT(React!$C$206:$S$206,Curves!$BF$65:$BV$65)</f>
        <v/>
      </c>
      <c r="T207" s="5">
        <f>SUMPRODUCT(React!$C$204:$T$204,Curves!$BE$19:$BV$19)+SUMPRODUCT(React!$C$205:$T$205,Curves!$BE$42:$BV$42)+SUMPRODUCT(React!$C$206:$T$206,Curves!$BE$65:$BV$65)</f>
        <v/>
      </c>
      <c r="U207" s="5">
        <f>SUMPRODUCT(React!$C$204:$U$204,Curves!$BD$19:$BV$19)+SUMPRODUCT(React!$C$205:$U$205,Curves!$BD$42:$BV$42)+SUMPRODUCT(React!$C$206:$U$206,Curves!$BD$65:$BV$65)</f>
        <v/>
      </c>
      <c r="V207" s="5">
        <f>SUMPRODUCT(React!$C$204:$V$204,Curves!$BC$19:$BV$19)+SUMPRODUCT(React!$C$205:$V$205,Curves!$BC$42:$BV$42)+SUMPRODUCT(React!$C$206:$V$206,Curves!$BC$65:$BV$65)</f>
        <v/>
      </c>
      <c r="W207" s="5">
        <f>SUMPRODUCT(React!$C$204:$W$204,Curves!$BB$19:$BV$19)+SUMPRODUCT(React!$C$205:$W$205,Curves!$BB$42:$BV$42)+SUMPRODUCT(React!$C$206:$W$206,Curves!$BB$65:$BV$65)</f>
        <v/>
      </c>
      <c r="X207" s="5">
        <f>SUMPRODUCT(React!$C$204:$X$204,Curves!$BA$19:$BV$19)+SUMPRODUCT(React!$C$205:$X$205,Curves!$BA$42:$BV$42)+SUMPRODUCT(React!$C$206:$X$206,Curves!$BA$65:$BV$65)</f>
        <v/>
      </c>
      <c r="Y207" s="5">
        <f>SUMPRODUCT(React!$C$204:$Y$204,Curves!$AZ$19:$BV$19)+SUMPRODUCT(React!$C$205:$Y$205,Curves!$AZ$42:$BV$42)+SUMPRODUCT(React!$C$206:$Y$206,Curves!$AZ$65:$BV$65)</f>
        <v/>
      </c>
      <c r="Z207" s="5">
        <f>SUMPRODUCT(React!$C$204:$Z$204,Curves!$AY$19:$BV$19)+SUMPRODUCT(React!$C$205:$Z$205,Curves!$AY$42:$BV$42)+SUMPRODUCT(React!$C$206:$Z$206,Curves!$AY$65:$BV$65)</f>
        <v/>
      </c>
      <c r="AA207" s="5">
        <f>SUMPRODUCT(React!$C$204:$AA$204,Curves!$AX$19:$BV$19)+SUMPRODUCT(React!$C$205:$AA$205,Curves!$AX$42:$BV$42)+SUMPRODUCT(React!$C$206:$AA$206,Curves!$AX$65:$BV$65)</f>
        <v/>
      </c>
      <c r="AB207" s="5">
        <f>SUMPRODUCT(React!$C$204:$AB$204,Curves!$AW$19:$BV$19)+SUMPRODUCT(React!$C$205:$AB$205,Curves!$AW$42:$BV$42)+SUMPRODUCT(React!$C$206:$AB$206,Curves!$AW$65:$BV$65)</f>
        <v/>
      </c>
      <c r="AC207" s="5">
        <f>SUMPRODUCT(React!$C$204:$AC$204,Curves!$AV$19:$BV$19)+SUMPRODUCT(React!$C$205:$AC$205,Curves!$AV$42:$BV$42)+SUMPRODUCT(React!$C$206:$AC$206,Curves!$AV$65:$BV$65)</f>
        <v/>
      </c>
      <c r="AD207" s="5">
        <f>SUMPRODUCT(React!$C$204:$AD$204,Curves!$AU$19:$BV$19)+SUMPRODUCT(React!$C$205:$AD$205,Curves!$AU$42:$BV$42)+SUMPRODUCT(React!$C$206:$AD$206,Curves!$AU$65:$BV$65)</f>
        <v/>
      </c>
      <c r="AE207" s="5">
        <f>SUMPRODUCT(React!$C$204:$AE$204,Curves!$AT$19:$BV$19)+SUMPRODUCT(React!$C$205:$AE$205,Curves!$AT$42:$BV$42)+SUMPRODUCT(React!$C$206:$AE$206,Curves!$AT$65:$BV$65)</f>
        <v/>
      </c>
      <c r="AF207" s="5">
        <f>SUMPRODUCT(React!$C$204:$AF$204,Curves!$AS$19:$BV$19)+SUMPRODUCT(React!$C$205:$AF$205,Curves!$AS$42:$BV$42)+SUMPRODUCT(React!$C$206:$AF$206,Curves!$AS$65:$BV$65)</f>
        <v/>
      </c>
      <c r="AG207" s="5">
        <f>SUMPRODUCT(React!$C$204:$AG$204,Curves!$AR$19:$BV$19)+SUMPRODUCT(React!$C$205:$AG$205,Curves!$AR$42:$BV$42)+SUMPRODUCT(React!$C$206:$AG$206,Curves!$AR$65:$BV$65)</f>
        <v/>
      </c>
      <c r="AH207" s="5">
        <f>SUMPRODUCT(React!$C$204:$AH$204,Curves!$AQ$19:$BV$19)+SUMPRODUCT(React!$C$205:$AH$205,Curves!$AQ$42:$BV$42)+SUMPRODUCT(React!$C$206:$AH$206,Curves!$AQ$65:$BV$65)</f>
        <v/>
      </c>
      <c r="AI207" s="5">
        <f>SUMPRODUCT(React!$C$204:$AI$204,Curves!$AP$19:$BV$19)+SUMPRODUCT(React!$C$205:$AI$205,Curves!$AP$42:$BV$42)+SUMPRODUCT(React!$C$206:$AI$206,Curves!$AP$65:$BV$65)</f>
        <v/>
      </c>
      <c r="AJ207" s="5">
        <f>SUMPRODUCT(React!$C$204:$AJ$204,Curves!$AO$19:$BV$19)+SUMPRODUCT(React!$C$205:$AJ$205,Curves!$AO$42:$BV$42)+SUMPRODUCT(React!$C$206:$AJ$206,Curves!$AO$65:$BV$65)</f>
        <v/>
      </c>
      <c r="AK207" s="5">
        <f>SUMPRODUCT(React!$C$204:$AK$204,Curves!$AN$19:$BV$19)+SUMPRODUCT(React!$C$205:$AK$205,Curves!$AN$42:$BV$42)+SUMPRODUCT(React!$C$206:$AK$206,Curves!$AN$65:$BV$65)</f>
        <v/>
      </c>
      <c r="AL207" s="5">
        <f>SUMPRODUCT(React!$C$204:$AL$204,Curves!$AM$19:$BV$19)+SUMPRODUCT(React!$C$205:$AL$205,Curves!$AM$42:$BV$42)+SUMPRODUCT(React!$C$206:$AL$206,Curves!$AM$65:$BV$65)</f>
        <v/>
      </c>
      <c r="AM207" s="5">
        <f>SUMPRODUCT(React!$C$204:$AM$204,Curves!$AL$19:$BV$19)+SUMPRODUCT(React!$C$205:$AM$205,Curves!$AL$42:$BV$42)+SUMPRODUCT(React!$C$206:$AM$206,Curves!$AL$65:$BV$65)</f>
        <v/>
      </c>
      <c r="AN207" s="5">
        <f>SUMPRODUCT(React!$C$204:$AN$204,Curves!$AK$19:$BV$19)+SUMPRODUCT(React!$C$205:$AN$205,Curves!$AK$42:$BV$42)+SUMPRODUCT(React!$C$206:$AN$206,Curves!$AK$65:$BV$65)</f>
        <v/>
      </c>
      <c r="AO207" s="5">
        <f>SUMPRODUCT(React!$C$204:$AO$204,Curves!$AJ$19:$BV$19)+SUMPRODUCT(React!$C$205:$AO$205,Curves!$AJ$42:$BV$42)+SUMPRODUCT(React!$C$206:$AO$206,Curves!$AJ$65:$BV$65)</f>
        <v/>
      </c>
      <c r="AP207" s="5">
        <f>SUMPRODUCT(React!$C$204:$AP$204,Curves!$AI$19:$BV$19)+SUMPRODUCT(React!$C$205:$AP$205,Curves!$AI$42:$BV$42)+SUMPRODUCT(React!$C$206:$AP$206,Curves!$AI$65:$BV$65)</f>
        <v/>
      </c>
      <c r="AQ207" s="5">
        <f>SUMPRODUCT(React!$C$204:$AQ$204,Curves!$AH$19:$BV$19)+SUMPRODUCT(React!$C$205:$AQ$205,Curves!$AH$42:$BV$42)+SUMPRODUCT(React!$C$206:$AQ$206,Curves!$AH$65:$BV$65)</f>
        <v/>
      </c>
      <c r="AR207" s="5">
        <f>SUMPRODUCT(React!$C$204:$AR$204,Curves!$AG$19:$BV$19)+SUMPRODUCT(React!$C$205:$AR$205,Curves!$AG$42:$BV$42)+SUMPRODUCT(React!$C$206:$AR$206,Curves!$AG$65:$BV$65)</f>
        <v/>
      </c>
      <c r="AS207" s="5">
        <f>SUMPRODUCT(React!$C$204:$AS$204,Curves!$AF$19:$BV$19)+SUMPRODUCT(React!$C$205:$AS$205,Curves!$AF$42:$BV$42)+SUMPRODUCT(React!$C$206:$AS$206,Curves!$AF$65:$BV$65)</f>
        <v/>
      </c>
      <c r="AT207" s="5">
        <f>SUMPRODUCT(React!$C$204:$AT$204,Curves!$AE$19:$BV$19)+SUMPRODUCT(React!$C$205:$AT$205,Curves!$AE$42:$BV$42)+SUMPRODUCT(React!$C$206:$AT$206,Curves!$AE$65:$BV$65)</f>
        <v/>
      </c>
      <c r="AU207" s="5">
        <f>SUMPRODUCT(React!$C$204:$AU$204,Curves!$AD$19:$BV$19)+SUMPRODUCT(React!$C$205:$AU$205,Curves!$AD$42:$BV$42)+SUMPRODUCT(React!$C$206:$AU$206,Curves!$AD$65:$BV$65)</f>
        <v/>
      </c>
      <c r="AV207" s="5">
        <f>SUMPRODUCT(React!$C$204:$AV$204,Curves!$AC$19:$BV$19)+SUMPRODUCT(React!$C$205:$AV$205,Curves!$AC$42:$BV$42)+SUMPRODUCT(React!$C$206:$AV$206,Curves!$AC$65:$BV$65)</f>
        <v/>
      </c>
      <c r="AW207" s="5">
        <f>SUMPRODUCT(React!$C$204:$AW$204,Curves!$AB$19:$BV$19)+SUMPRODUCT(React!$C$205:$AW$205,Curves!$AB$42:$BV$42)+SUMPRODUCT(React!$C$206:$AW$206,Curves!$AB$65:$BV$65)</f>
        <v/>
      </c>
      <c r="AX207" s="5">
        <f>SUMPRODUCT(React!$C$204:$AX$204,Curves!$AA$19:$BV$19)+SUMPRODUCT(React!$C$205:$AX$205,Curves!$AA$42:$BV$42)+SUMPRODUCT(React!$C$206:$AX$206,Curves!$AA$65:$BV$65)</f>
        <v/>
      </c>
      <c r="AY207" s="5">
        <f>SUMPRODUCT(React!$C$204:$AY$204,Curves!$Z$19:$BV$19)+SUMPRODUCT(React!$C$205:$AY$205,Curves!$Z$42:$BV$42)+SUMPRODUCT(React!$C$206:$AY$206,Curves!$Z$65:$BV$65)</f>
        <v/>
      </c>
      <c r="AZ207" s="5">
        <f>SUMPRODUCT(React!$C$204:$AZ$204,Curves!$Y$19:$BV$19)+SUMPRODUCT(React!$C$205:$AZ$205,Curves!$Y$42:$BV$42)+SUMPRODUCT(React!$C$206:$AZ$206,Curves!$Y$65:$BV$65)</f>
        <v/>
      </c>
      <c r="BA207" s="5">
        <f>SUMPRODUCT(React!$C$204:$BA$204,Curves!$X$19:$BV$19)+SUMPRODUCT(React!$C$205:$BA$205,Curves!$X$42:$BV$42)+SUMPRODUCT(React!$C$206:$BA$206,Curves!$X$65:$BV$65)</f>
        <v/>
      </c>
      <c r="BB207" s="5">
        <f>SUMPRODUCT(React!$C$204:$BB$204,Curves!$W$19:$BV$19)+SUMPRODUCT(React!$C$205:$BB$205,Curves!$W$42:$BV$42)+SUMPRODUCT(React!$C$206:$BB$206,Curves!$W$65:$BV$65)</f>
        <v/>
      </c>
      <c r="BC207" s="5">
        <f>SUMPRODUCT(React!$C$204:$BC$204,Curves!$V$19:$BV$19)+SUMPRODUCT(React!$C$205:$BC$205,Curves!$V$42:$BV$42)+SUMPRODUCT(React!$C$206:$BC$206,Curves!$V$65:$BV$65)</f>
        <v/>
      </c>
      <c r="BD207" s="5">
        <f>SUMPRODUCT(React!$C$204:$BD$204,Curves!$U$19:$BV$19)+SUMPRODUCT(React!$C$205:$BD$205,Curves!$U$42:$BV$42)+SUMPRODUCT(React!$C$206:$BD$206,Curves!$U$65:$BV$65)</f>
        <v/>
      </c>
      <c r="BE207" s="5">
        <f>SUMPRODUCT(React!$C$204:$BE$204,Curves!$T$19:$BV$19)+SUMPRODUCT(React!$C$205:$BE$205,Curves!$T$42:$BV$42)+SUMPRODUCT(React!$C$206:$BE$206,Curves!$T$65:$BV$65)</f>
        <v/>
      </c>
      <c r="BF207" s="5">
        <f>SUMPRODUCT(React!$C$204:$BF$204,Curves!$S$19:$BV$19)+SUMPRODUCT(React!$C$205:$BF$205,Curves!$S$42:$BV$42)+SUMPRODUCT(React!$C$206:$BF$206,Curves!$S$65:$BV$65)</f>
        <v/>
      </c>
      <c r="BG207" s="5">
        <f>SUMPRODUCT(React!$C$204:$BG$204,Curves!$R$19:$BV$19)+SUMPRODUCT(React!$C$205:$BG$205,Curves!$R$42:$BV$42)+SUMPRODUCT(React!$C$206:$BG$206,Curves!$R$65:$BV$65)</f>
        <v/>
      </c>
      <c r="BH207" s="5">
        <f>SUMPRODUCT(React!$C$204:$BH$204,Curves!$Q$19:$BV$19)+SUMPRODUCT(React!$C$205:$BH$205,Curves!$Q$42:$BV$42)+SUMPRODUCT(React!$C$206:$BH$206,Curves!$Q$65:$BV$65)</f>
        <v/>
      </c>
      <c r="BI207" s="5">
        <f>SUMPRODUCT(React!$C$204:$BI$204,Curves!$P$19:$BV$19)+SUMPRODUCT(React!$C$205:$BI$205,Curves!$P$42:$BV$42)+SUMPRODUCT(React!$C$206:$BI$206,Curves!$P$65:$BV$65)</f>
        <v/>
      </c>
      <c r="BJ207" s="5">
        <f>SUMPRODUCT(React!$C$204:$BJ$204,Curves!$O$19:$BV$19)+SUMPRODUCT(React!$C$205:$BJ$205,Curves!$O$42:$BV$42)+SUMPRODUCT(React!$C$206:$BJ$206,Curves!$O$65:$BV$65)</f>
        <v/>
      </c>
      <c r="BK207" s="5">
        <f>SUMPRODUCT(React!$C$204:$BK$204,Curves!$N$19:$BV$19)+SUMPRODUCT(React!$C$205:$BK$205,Curves!$N$42:$BV$42)+SUMPRODUCT(React!$C$206:$BK$206,Curves!$N$65:$BV$65)</f>
        <v/>
      </c>
      <c r="BL207" s="5">
        <f>SUMPRODUCT(React!$C$204:$BL$204,Curves!$M$19:$BV$19)+SUMPRODUCT(React!$C$205:$BL$205,Curves!$M$42:$BV$42)+SUMPRODUCT(React!$C$206:$BL$206,Curves!$M$65:$BV$65)</f>
        <v/>
      </c>
      <c r="BM207" s="5">
        <f>SUMPRODUCT(React!$C$204:$BM$204,Curves!$L$19:$BV$19)+SUMPRODUCT(React!$C$205:$BM$205,Curves!$L$42:$BV$42)+SUMPRODUCT(React!$C$206:$BM$206,Curves!$L$65:$BV$65)</f>
        <v/>
      </c>
      <c r="BN207" s="5">
        <f>SUMPRODUCT(React!$C$204:$BN$204,Curves!$K$19:$BV$19)+SUMPRODUCT(React!$C$205:$BN$205,Curves!$K$42:$BV$42)+SUMPRODUCT(React!$C$206:$BN$206,Curves!$K$65:$BV$65)</f>
        <v/>
      </c>
      <c r="BO207" s="5">
        <f>SUMPRODUCT(React!$C$204:$BO$204,Curves!$J$19:$BV$19)+SUMPRODUCT(React!$C$205:$BO$205,Curves!$J$42:$BV$42)+SUMPRODUCT(React!$C$206:$BO$206,Curves!$J$65:$BV$65)</f>
        <v/>
      </c>
      <c r="BP207" s="5">
        <f>SUMPRODUCT(React!$C$204:$BP$204,Curves!$I$19:$BV$19)+SUMPRODUCT(React!$C$205:$BP$205,Curves!$I$42:$BV$42)+SUMPRODUCT(React!$C$206:$BP$206,Curves!$I$65:$BV$65)</f>
        <v/>
      </c>
      <c r="BQ207" s="5">
        <f>SUMPRODUCT(React!$C$204:$BQ$204,Curves!$H$19:$BV$19)+SUMPRODUCT(React!$C$205:$BQ$205,Curves!$H$42:$BV$42)+SUMPRODUCT(React!$C$206:$BQ$206,Curves!$H$65:$BV$65)</f>
        <v/>
      </c>
      <c r="BR207" s="5">
        <f>SUMPRODUCT(React!$C$204:$BR$204,Curves!$G$19:$BV$19)+SUMPRODUCT(React!$C$205:$BR$205,Curves!$G$42:$BV$42)+SUMPRODUCT(React!$C$206:$BR$206,Curves!$G$65:$BV$65)</f>
        <v/>
      </c>
      <c r="BS207" s="5">
        <f>SUMPRODUCT(React!$C$204:$BS$204,Curves!$F$19:$BV$19)+SUMPRODUCT(React!$C$205:$BS$205,Curves!$F$42:$BV$42)+SUMPRODUCT(React!$C$206:$BS$206,Curves!$F$65:$BV$65)</f>
        <v/>
      </c>
      <c r="BT207" s="5">
        <f>SUMPRODUCT(React!$C$204:$BT$204,Curves!$E$19:$BV$19)+SUMPRODUCT(React!$C$205:$BT$205,Curves!$E$42:$BV$42)+SUMPRODUCT(React!$C$206:$BT$206,Curves!$E$65:$BV$65)</f>
        <v/>
      </c>
      <c r="BU207" s="5">
        <f>SUMPRODUCT(React!$C$204:$BU$204,Curves!$D$19:$BV$19)+SUMPRODUCT(React!$C$205:$BU$205,Curves!$D$42:$BV$42)+SUMPRODUCT(React!$C$206:$BU$206,Curves!$D$65:$BV$65)</f>
        <v/>
      </c>
      <c r="BV207" s="5">
        <f>SUMPRODUCT(React!$C$204:$BV$204,Curves!$C$19:$BV$19)+SUMPRODUCT(React!$C$205:$BV$205,Curves!$C$42:$BV$42)+SUMPRODUCT(React!$C$206:$BV$206,Curves!$C$65:$BV$65)</f>
        <v/>
      </c>
    </row>
    <row r="208">
      <c r="A208" t="inlineStr">
        <is>
          <t>active yr 1</t>
        </is>
      </c>
      <c r="B208" t="inlineStr">
        <is>
          <t>APAC|BASIC_A</t>
        </is>
      </c>
      <c r="C208" s="5">
        <f>React!$C$204*Curves!$BV$24+React!$C$205*Curves!$BV$47+React!$C$206*Curves!$BV$70</f>
        <v/>
      </c>
      <c r="D208" s="5">
        <f>SUMPRODUCT(React!$C$204:$D$204,Curves!$BU$24:$BV$24)+SUMPRODUCT(React!$C$205:$D$205,Curves!$BU$47:$BV$47)+SUMPRODUCT(React!$C$206:$D$206,Curves!$BU$70:$BV$70)</f>
        <v/>
      </c>
      <c r="E208" s="5">
        <f>SUMPRODUCT(React!$C$204:$E$204,Curves!$BT$24:$BV$24)+SUMPRODUCT(React!$C$205:$E$205,Curves!$BT$47:$BV$47)+SUMPRODUCT(React!$C$206:$E$206,Curves!$BT$70:$BV$70)</f>
        <v/>
      </c>
      <c r="F208" s="5">
        <f>SUMPRODUCT(React!$C$204:$F$204,Curves!$BS$24:$BV$24)+SUMPRODUCT(React!$C$205:$F$205,Curves!$BS$47:$BV$47)+SUMPRODUCT(React!$C$206:$F$206,Curves!$BS$70:$BV$70)</f>
        <v/>
      </c>
      <c r="G208" s="5">
        <f>SUMPRODUCT(React!$C$204:$G$204,Curves!$BR$24:$BV$24)+SUMPRODUCT(React!$C$205:$G$205,Curves!$BR$47:$BV$47)+SUMPRODUCT(React!$C$206:$G$206,Curves!$BR$70:$BV$70)</f>
        <v/>
      </c>
      <c r="H208" s="5">
        <f>SUMPRODUCT(React!$C$204:$H$204,Curves!$BQ$24:$BV$24)+SUMPRODUCT(React!$C$205:$H$205,Curves!$BQ$47:$BV$47)+SUMPRODUCT(React!$C$206:$H$206,Curves!$BQ$70:$BV$70)</f>
        <v/>
      </c>
      <c r="I208" s="5">
        <f>SUMPRODUCT(React!$C$204:$I$204,Curves!$BP$24:$BV$24)+SUMPRODUCT(React!$C$205:$I$205,Curves!$BP$47:$BV$47)+SUMPRODUCT(React!$C$206:$I$206,Curves!$BP$70:$BV$70)</f>
        <v/>
      </c>
      <c r="J208" s="5">
        <f>SUMPRODUCT(React!$C$204:$J$204,Curves!$BO$24:$BV$24)+SUMPRODUCT(React!$C$205:$J$205,Curves!$BO$47:$BV$47)+SUMPRODUCT(React!$C$206:$J$206,Curves!$BO$70:$BV$70)</f>
        <v/>
      </c>
      <c r="K208" s="5">
        <f>SUMPRODUCT(React!$C$204:$K$204,Curves!$BN$24:$BV$24)+SUMPRODUCT(React!$C$205:$K$205,Curves!$BN$47:$BV$47)+SUMPRODUCT(React!$C$206:$K$206,Curves!$BN$70:$BV$70)</f>
        <v/>
      </c>
      <c r="L208" s="5">
        <f>SUMPRODUCT(React!$C$204:$L$204,Curves!$BM$24:$BV$24)+SUMPRODUCT(React!$C$205:$L$205,Curves!$BM$47:$BV$47)+SUMPRODUCT(React!$C$206:$L$206,Curves!$BM$70:$BV$70)</f>
        <v/>
      </c>
      <c r="M208" s="5">
        <f>SUMPRODUCT(React!$C$204:$M$204,Curves!$BL$24:$BV$24)+SUMPRODUCT(React!$C$205:$M$205,Curves!$BL$47:$BV$47)+SUMPRODUCT(React!$C$206:$M$206,Curves!$BL$70:$BV$70)</f>
        <v/>
      </c>
      <c r="N208" s="5">
        <f>SUMPRODUCT(React!$C$204:$N$204,Curves!$BK$24:$BV$24)+SUMPRODUCT(React!$C$205:$N$205,Curves!$BK$47:$BV$47)+SUMPRODUCT(React!$C$206:$N$206,Curves!$BK$70:$BV$70)</f>
        <v/>
      </c>
      <c r="O208" s="5">
        <f>SUMPRODUCT(React!$C$204:$O$204,Curves!$BJ$24:$BV$24)+SUMPRODUCT(React!$C$205:$O$205,Curves!$BJ$47:$BV$47)+SUMPRODUCT(React!$C$206:$O$206,Curves!$BJ$70:$BV$70)</f>
        <v/>
      </c>
      <c r="P208" s="5">
        <f>SUMPRODUCT(React!$C$204:$P$204,Curves!$BI$24:$BV$24)+SUMPRODUCT(React!$C$205:$P$205,Curves!$BI$47:$BV$47)+SUMPRODUCT(React!$C$206:$P$206,Curves!$BI$70:$BV$70)</f>
        <v/>
      </c>
      <c r="Q208" s="5">
        <f>SUMPRODUCT(React!$C$204:$Q$204,Curves!$BH$24:$BV$24)+SUMPRODUCT(React!$C$205:$Q$205,Curves!$BH$47:$BV$47)+SUMPRODUCT(React!$C$206:$Q$206,Curves!$BH$70:$BV$70)</f>
        <v/>
      </c>
      <c r="R208" s="5">
        <f>SUMPRODUCT(React!$C$204:$R$204,Curves!$BG$24:$BV$24)+SUMPRODUCT(React!$C$205:$R$205,Curves!$BG$47:$BV$47)+SUMPRODUCT(React!$C$206:$R$206,Curves!$BG$70:$BV$70)</f>
        <v/>
      </c>
      <c r="S208" s="5">
        <f>SUMPRODUCT(React!$C$204:$S$204,Curves!$BF$24:$BV$24)+SUMPRODUCT(React!$C$205:$S$205,Curves!$BF$47:$BV$47)+SUMPRODUCT(React!$C$206:$S$206,Curves!$BF$70:$BV$70)</f>
        <v/>
      </c>
      <c r="T208" s="5">
        <f>SUMPRODUCT(React!$C$204:$T$204,Curves!$BE$24:$BV$24)+SUMPRODUCT(React!$C$205:$T$205,Curves!$BE$47:$BV$47)+SUMPRODUCT(React!$C$206:$T$206,Curves!$BE$70:$BV$70)</f>
        <v/>
      </c>
      <c r="U208" s="5">
        <f>SUMPRODUCT(React!$C$204:$U$204,Curves!$BD$24:$BV$24)+SUMPRODUCT(React!$C$205:$U$205,Curves!$BD$47:$BV$47)+SUMPRODUCT(React!$C$206:$U$206,Curves!$BD$70:$BV$70)</f>
        <v/>
      </c>
      <c r="V208" s="5">
        <f>SUMPRODUCT(React!$C$204:$V$204,Curves!$BC$24:$BV$24)+SUMPRODUCT(React!$C$205:$V$205,Curves!$BC$47:$BV$47)+SUMPRODUCT(React!$C$206:$V$206,Curves!$BC$70:$BV$70)</f>
        <v/>
      </c>
      <c r="W208" s="5">
        <f>SUMPRODUCT(React!$C$204:$W$204,Curves!$BB$24:$BV$24)+SUMPRODUCT(React!$C$205:$W$205,Curves!$BB$47:$BV$47)+SUMPRODUCT(React!$C$206:$W$206,Curves!$BB$70:$BV$70)</f>
        <v/>
      </c>
      <c r="X208" s="5">
        <f>SUMPRODUCT(React!$C$204:$X$204,Curves!$BA$24:$BV$24)+SUMPRODUCT(React!$C$205:$X$205,Curves!$BA$47:$BV$47)+SUMPRODUCT(React!$C$206:$X$206,Curves!$BA$70:$BV$70)</f>
        <v/>
      </c>
      <c r="Y208" s="5">
        <f>SUMPRODUCT(React!$C$204:$Y$204,Curves!$AZ$24:$BV$24)+SUMPRODUCT(React!$C$205:$Y$205,Curves!$AZ$47:$BV$47)+SUMPRODUCT(React!$C$206:$Y$206,Curves!$AZ$70:$BV$70)</f>
        <v/>
      </c>
      <c r="Z208" s="5">
        <f>SUMPRODUCT(React!$C$204:$Z$204,Curves!$AY$24:$BV$24)+SUMPRODUCT(React!$C$205:$Z$205,Curves!$AY$47:$BV$47)+SUMPRODUCT(React!$C$206:$Z$206,Curves!$AY$70:$BV$70)</f>
        <v/>
      </c>
      <c r="AA208" s="5">
        <f>SUMPRODUCT(React!$C$204:$AA$204,Curves!$AX$24:$BV$24)+SUMPRODUCT(React!$C$205:$AA$205,Curves!$AX$47:$BV$47)+SUMPRODUCT(React!$C$206:$AA$206,Curves!$AX$70:$BV$70)</f>
        <v/>
      </c>
      <c r="AB208" s="5">
        <f>SUMPRODUCT(React!$C$204:$AB$204,Curves!$AW$24:$BV$24)+SUMPRODUCT(React!$C$205:$AB$205,Curves!$AW$47:$BV$47)+SUMPRODUCT(React!$C$206:$AB$206,Curves!$AW$70:$BV$70)</f>
        <v/>
      </c>
      <c r="AC208" s="5">
        <f>SUMPRODUCT(React!$C$204:$AC$204,Curves!$AV$24:$BV$24)+SUMPRODUCT(React!$C$205:$AC$205,Curves!$AV$47:$BV$47)+SUMPRODUCT(React!$C$206:$AC$206,Curves!$AV$70:$BV$70)</f>
        <v/>
      </c>
      <c r="AD208" s="5">
        <f>SUMPRODUCT(React!$C$204:$AD$204,Curves!$AU$24:$BV$24)+SUMPRODUCT(React!$C$205:$AD$205,Curves!$AU$47:$BV$47)+SUMPRODUCT(React!$C$206:$AD$206,Curves!$AU$70:$BV$70)</f>
        <v/>
      </c>
      <c r="AE208" s="5">
        <f>SUMPRODUCT(React!$C$204:$AE$204,Curves!$AT$24:$BV$24)+SUMPRODUCT(React!$C$205:$AE$205,Curves!$AT$47:$BV$47)+SUMPRODUCT(React!$C$206:$AE$206,Curves!$AT$70:$BV$70)</f>
        <v/>
      </c>
      <c r="AF208" s="5">
        <f>SUMPRODUCT(React!$C$204:$AF$204,Curves!$AS$24:$BV$24)+SUMPRODUCT(React!$C$205:$AF$205,Curves!$AS$47:$BV$47)+SUMPRODUCT(React!$C$206:$AF$206,Curves!$AS$70:$BV$70)</f>
        <v/>
      </c>
      <c r="AG208" s="5">
        <f>SUMPRODUCT(React!$C$204:$AG$204,Curves!$AR$24:$BV$24)+SUMPRODUCT(React!$C$205:$AG$205,Curves!$AR$47:$BV$47)+SUMPRODUCT(React!$C$206:$AG$206,Curves!$AR$70:$BV$70)</f>
        <v/>
      </c>
      <c r="AH208" s="5">
        <f>SUMPRODUCT(React!$C$204:$AH$204,Curves!$AQ$24:$BV$24)+SUMPRODUCT(React!$C$205:$AH$205,Curves!$AQ$47:$BV$47)+SUMPRODUCT(React!$C$206:$AH$206,Curves!$AQ$70:$BV$70)</f>
        <v/>
      </c>
      <c r="AI208" s="5">
        <f>SUMPRODUCT(React!$C$204:$AI$204,Curves!$AP$24:$BV$24)+SUMPRODUCT(React!$C$205:$AI$205,Curves!$AP$47:$BV$47)+SUMPRODUCT(React!$C$206:$AI$206,Curves!$AP$70:$BV$70)</f>
        <v/>
      </c>
      <c r="AJ208" s="5">
        <f>SUMPRODUCT(React!$C$204:$AJ$204,Curves!$AO$24:$BV$24)+SUMPRODUCT(React!$C$205:$AJ$205,Curves!$AO$47:$BV$47)+SUMPRODUCT(React!$C$206:$AJ$206,Curves!$AO$70:$BV$70)</f>
        <v/>
      </c>
      <c r="AK208" s="5">
        <f>SUMPRODUCT(React!$C$204:$AK$204,Curves!$AN$24:$BV$24)+SUMPRODUCT(React!$C$205:$AK$205,Curves!$AN$47:$BV$47)+SUMPRODUCT(React!$C$206:$AK$206,Curves!$AN$70:$BV$70)</f>
        <v/>
      </c>
      <c r="AL208" s="5">
        <f>SUMPRODUCT(React!$C$204:$AL$204,Curves!$AM$24:$BV$24)+SUMPRODUCT(React!$C$205:$AL$205,Curves!$AM$47:$BV$47)+SUMPRODUCT(React!$C$206:$AL$206,Curves!$AM$70:$BV$70)</f>
        <v/>
      </c>
      <c r="AM208" s="5">
        <f>SUMPRODUCT(React!$C$204:$AM$204,Curves!$AL$24:$BV$24)+SUMPRODUCT(React!$C$205:$AM$205,Curves!$AL$47:$BV$47)+SUMPRODUCT(React!$C$206:$AM$206,Curves!$AL$70:$BV$70)</f>
        <v/>
      </c>
      <c r="AN208" s="5">
        <f>SUMPRODUCT(React!$C$204:$AN$204,Curves!$AK$24:$BV$24)+SUMPRODUCT(React!$C$205:$AN$205,Curves!$AK$47:$BV$47)+SUMPRODUCT(React!$C$206:$AN$206,Curves!$AK$70:$BV$70)</f>
        <v/>
      </c>
      <c r="AO208" s="5">
        <f>SUMPRODUCT(React!$C$204:$AO$204,Curves!$AJ$24:$BV$24)+SUMPRODUCT(React!$C$205:$AO$205,Curves!$AJ$47:$BV$47)+SUMPRODUCT(React!$C$206:$AO$206,Curves!$AJ$70:$BV$70)</f>
        <v/>
      </c>
      <c r="AP208" s="5">
        <f>SUMPRODUCT(React!$C$204:$AP$204,Curves!$AI$24:$BV$24)+SUMPRODUCT(React!$C$205:$AP$205,Curves!$AI$47:$BV$47)+SUMPRODUCT(React!$C$206:$AP$206,Curves!$AI$70:$BV$70)</f>
        <v/>
      </c>
      <c r="AQ208" s="5">
        <f>SUMPRODUCT(React!$C$204:$AQ$204,Curves!$AH$24:$BV$24)+SUMPRODUCT(React!$C$205:$AQ$205,Curves!$AH$47:$BV$47)+SUMPRODUCT(React!$C$206:$AQ$206,Curves!$AH$70:$BV$70)</f>
        <v/>
      </c>
      <c r="AR208" s="5">
        <f>SUMPRODUCT(React!$C$204:$AR$204,Curves!$AG$24:$BV$24)+SUMPRODUCT(React!$C$205:$AR$205,Curves!$AG$47:$BV$47)+SUMPRODUCT(React!$C$206:$AR$206,Curves!$AG$70:$BV$70)</f>
        <v/>
      </c>
      <c r="AS208" s="5">
        <f>SUMPRODUCT(React!$C$204:$AS$204,Curves!$AF$24:$BV$24)+SUMPRODUCT(React!$C$205:$AS$205,Curves!$AF$47:$BV$47)+SUMPRODUCT(React!$C$206:$AS$206,Curves!$AF$70:$BV$70)</f>
        <v/>
      </c>
      <c r="AT208" s="5">
        <f>SUMPRODUCT(React!$C$204:$AT$204,Curves!$AE$24:$BV$24)+SUMPRODUCT(React!$C$205:$AT$205,Curves!$AE$47:$BV$47)+SUMPRODUCT(React!$C$206:$AT$206,Curves!$AE$70:$BV$70)</f>
        <v/>
      </c>
      <c r="AU208" s="5">
        <f>SUMPRODUCT(React!$C$204:$AU$204,Curves!$AD$24:$BV$24)+SUMPRODUCT(React!$C$205:$AU$205,Curves!$AD$47:$BV$47)+SUMPRODUCT(React!$C$206:$AU$206,Curves!$AD$70:$BV$70)</f>
        <v/>
      </c>
      <c r="AV208" s="5">
        <f>SUMPRODUCT(React!$C$204:$AV$204,Curves!$AC$24:$BV$24)+SUMPRODUCT(React!$C$205:$AV$205,Curves!$AC$47:$BV$47)+SUMPRODUCT(React!$C$206:$AV$206,Curves!$AC$70:$BV$70)</f>
        <v/>
      </c>
      <c r="AW208" s="5">
        <f>SUMPRODUCT(React!$C$204:$AW$204,Curves!$AB$24:$BV$24)+SUMPRODUCT(React!$C$205:$AW$205,Curves!$AB$47:$BV$47)+SUMPRODUCT(React!$C$206:$AW$206,Curves!$AB$70:$BV$70)</f>
        <v/>
      </c>
      <c r="AX208" s="5">
        <f>SUMPRODUCT(React!$C$204:$AX$204,Curves!$AA$24:$BV$24)+SUMPRODUCT(React!$C$205:$AX$205,Curves!$AA$47:$BV$47)+SUMPRODUCT(React!$C$206:$AX$206,Curves!$AA$70:$BV$70)</f>
        <v/>
      </c>
      <c r="AY208" s="5">
        <f>SUMPRODUCT(React!$C$204:$AY$204,Curves!$Z$24:$BV$24)+SUMPRODUCT(React!$C$205:$AY$205,Curves!$Z$47:$BV$47)+SUMPRODUCT(React!$C$206:$AY$206,Curves!$Z$70:$BV$70)</f>
        <v/>
      </c>
      <c r="AZ208" s="5">
        <f>SUMPRODUCT(React!$C$204:$AZ$204,Curves!$Y$24:$BV$24)+SUMPRODUCT(React!$C$205:$AZ$205,Curves!$Y$47:$BV$47)+SUMPRODUCT(React!$C$206:$AZ$206,Curves!$Y$70:$BV$70)</f>
        <v/>
      </c>
      <c r="BA208" s="5">
        <f>SUMPRODUCT(React!$C$204:$BA$204,Curves!$X$24:$BV$24)+SUMPRODUCT(React!$C$205:$BA$205,Curves!$X$47:$BV$47)+SUMPRODUCT(React!$C$206:$BA$206,Curves!$X$70:$BV$70)</f>
        <v/>
      </c>
      <c r="BB208" s="5">
        <f>SUMPRODUCT(React!$C$204:$BB$204,Curves!$W$24:$BV$24)+SUMPRODUCT(React!$C$205:$BB$205,Curves!$W$47:$BV$47)+SUMPRODUCT(React!$C$206:$BB$206,Curves!$W$70:$BV$70)</f>
        <v/>
      </c>
      <c r="BC208" s="5">
        <f>SUMPRODUCT(React!$C$204:$BC$204,Curves!$V$24:$BV$24)+SUMPRODUCT(React!$C$205:$BC$205,Curves!$V$47:$BV$47)+SUMPRODUCT(React!$C$206:$BC$206,Curves!$V$70:$BV$70)</f>
        <v/>
      </c>
      <c r="BD208" s="5">
        <f>SUMPRODUCT(React!$C$204:$BD$204,Curves!$U$24:$BV$24)+SUMPRODUCT(React!$C$205:$BD$205,Curves!$U$47:$BV$47)+SUMPRODUCT(React!$C$206:$BD$206,Curves!$U$70:$BV$70)</f>
        <v/>
      </c>
      <c r="BE208" s="5">
        <f>SUMPRODUCT(React!$C$204:$BE$204,Curves!$T$24:$BV$24)+SUMPRODUCT(React!$C$205:$BE$205,Curves!$T$47:$BV$47)+SUMPRODUCT(React!$C$206:$BE$206,Curves!$T$70:$BV$70)</f>
        <v/>
      </c>
      <c r="BF208" s="5">
        <f>SUMPRODUCT(React!$C$204:$BF$204,Curves!$S$24:$BV$24)+SUMPRODUCT(React!$C$205:$BF$205,Curves!$S$47:$BV$47)+SUMPRODUCT(React!$C$206:$BF$206,Curves!$S$70:$BV$70)</f>
        <v/>
      </c>
      <c r="BG208" s="5">
        <f>SUMPRODUCT(React!$C$204:$BG$204,Curves!$R$24:$BV$24)+SUMPRODUCT(React!$C$205:$BG$205,Curves!$R$47:$BV$47)+SUMPRODUCT(React!$C$206:$BG$206,Curves!$R$70:$BV$70)</f>
        <v/>
      </c>
      <c r="BH208" s="5">
        <f>SUMPRODUCT(React!$C$204:$BH$204,Curves!$Q$24:$BV$24)+SUMPRODUCT(React!$C$205:$BH$205,Curves!$Q$47:$BV$47)+SUMPRODUCT(React!$C$206:$BH$206,Curves!$Q$70:$BV$70)</f>
        <v/>
      </c>
      <c r="BI208" s="5">
        <f>SUMPRODUCT(React!$C$204:$BI$204,Curves!$P$24:$BV$24)+SUMPRODUCT(React!$C$205:$BI$205,Curves!$P$47:$BV$47)+SUMPRODUCT(React!$C$206:$BI$206,Curves!$P$70:$BV$70)</f>
        <v/>
      </c>
      <c r="BJ208" s="5">
        <f>SUMPRODUCT(React!$C$204:$BJ$204,Curves!$O$24:$BV$24)+SUMPRODUCT(React!$C$205:$BJ$205,Curves!$O$47:$BV$47)+SUMPRODUCT(React!$C$206:$BJ$206,Curves!$O$70:$BV$70)</f>
        <v/>
      </c>
      <c r="BK208" s="5">
        <f>SUMPRODUCT(React!$C$204:$BK$204,Curves!$N$24:$BV$24)+SUMPRODUCT(React!$C$205:$BK$205,Curves!$N$47:$BV$47)+SUMPRODUCT(React!$C$206:$BK$206,Curves!$N$70:$BV$70)</f>
        <v/>
      </c>
      <c r="BL208" s="5">
        <f>SUMPRODUCT(React!$C$204:$BL$204,Curves!$M$24:$BV$24)+SUMPRODUCT(React!$C$205:$BL$205,Curves!$M$47:$BV$47)+SUMPRODUCT(React!$C$206:$BL$206,Curves!$M$70:$BV$70)</f>
        <v/>
      </c>
      <c r="BM208" s="5">
        <f>SUMPRODUCT(React!$C$204:$BM$204,Curves!$L$24:$BV$24)+SUMPRODUCT(React!$C$205:$BM$205,Curves!$L$47:$BV$47)+SUMPRODUCT(React!$C$206:$BM$206,Curves!$L$70:$BV$70)</f>
        <v/>
      </c>
      <c r="BN208" s="5">
        <f>SUMPRODUCT(React!$C$204:$BN$204,Curves!$K$24:$BV$24)+SUMPRODUCT(React!$C$205:$BN$205,Curves!$K$47:$BV$47)+SUMPRODUCT(React!$C$206:$BN$206,Curves!$K$70:$BV$70)</f>
        <v/>
      </c>
      <c r="BO208" s="5">
        <f>SUMPRODUCT(React!$C$204:$BO$204,Curves!$J$24:$BV$24)+SUMPRODUCT(React!$C$205:$BO$205,Curves!$J$47:$BV$47)+SUMPRODUCT(React!$C$206:$BO$206,Curves!$J$70:$BV$70)</f>
        <v/>
      </c>
      <c r="BP208" s="5">
        <f>SUMPRODUCT(React!$C$204:$BP$204,Curves!$I$24:$BV$24)+SUMPRODUCT(React!$C$205:$BP$205,Curves!$I$47:$BV$47)+SUMPRODUCT(React!$C$206:$BP$206,Curves!$I$70:$BV$70)</f>
        <v/>
      </c>
      <c r="BQ208" s="5">
        <f>SUMPRODUCT(React!$C$204:$BQ$204,Curves!$H$24:$BV$24)+SUMPRODUCT(React!$C$205:$BQ$205,Curves!$H$47:$BV$47)+SUMPRODUCT(React!$C$206:$BQ$206,Curves!$H$70:$BV$70)</f>
        <v/>
      </c>
      <c r="BR208" s="5">
        <f>SUMPRODUCT(React!$C$204:$BR$204,Curves!$G$24:$BV$24)+SUMPRODUCT(React!$C$205:$BR$205,Curves!$G$47:$BV$47)+SUMPRODUCT(React!$C$206:$BR$206,Curves!$G$70:$BV$70)</f>
        <v/>
      </c>
      <c r="BS208" s="5">
        <f>SUMPRODUCT(React!$C$204:$BS$204,Curves!$F$24:$BV$24)+SUMPRODUCT(React!$C$205:$BS$205,Curves!$F$47:$BV$47)+SUMPRODUCT(React!$C$206:$BS$206,Curves!$F$70:$BV$70)</f>
        <v/>
      </c>
      <c r="BT208" s="5">
        <f>SUMPRODUCT(React!$C$204:$BT$204,Curves!$E$24:$BV$24)+SUMPRODUCT(React!$C$205:$BT$205,Curves!$E$47:$BV$47)+SUMPRODUCT(React!$C$206:$BT$206,Curves!$E$70:$BV$70)</f>
        <v/>
      </c>
      <c r="BU208" s="5">
        <f>SUMPRODUCT(React!$C$204:$BU$204,Curves!$D$24:$BV$24)+SUMPRODUCT(React!$C$205:$BU$205,Curves!$D$47:$BV$47)+SUMPRODUCT(React!$C$206:$BU$206,Curves!$D$70:$BV$70)</f>
        <v/>
      </c>
      <c r="BV208" s="5">
        <f>SUMPRODUCT(React!$C$204:$BV$204,Curves!$C$24:$BV$24)+SUMPRODUCT(React!$C$205:$BV$205,Curves!$C$47:$BV$47)+SUMPRODUCT(React!$C$206:$BV$206,Curves!$C$70:$BV$70)</f>
        <v/>
      </c>
    </row>
    <row r="209">
      <c r="A209" t="inlineStr">
        <is>
          <t>churned</t>
        </is>
      </c>
      <c r="B209" t="inlineStr">
        <is>
          <t>APAC|BASIC_A</t>
        </is>
      </c>
      <c r="C209" s="5">
        <f>React!$C$204*Curves!$BV$20+React!$C$205*Curves!$BV$43+React!$C$206*Curves!$BV$66</f>
        <v/>
      </c>
      <c r="D209" s="5">
        <f>SUMPRODUCT(React!$C$204:$D$204,Curves!$BU$20:$BV$20)+SUMPRODUCT(React!$C$205:$D$205,Curves!$BU$43:$BV$43)+SUMPRODUCT(React!$C$206:$D$206,Curves!$BU$66:$BV$66)</f>
        <v/>
      </c>
      <c r="E209" s="5">
        <f>SUMPRODUCT(React!$C$204:$E$204,Curves!$BT$20:$BV$20)+SUMPRODUCT(React!$C$205:$E$205,Curves!$BT$43:$BV$43)+SUMPRODUCT(React!$C$206:$E$206,Curves!$BT$66:$BV$66)</f>
        <v/>
      </c>
      <c r="F209" s="5">
        <f>SUMPRODUCT(React!$C$204:$F$204,Curves!$BS$20:$BV$20)+SUMPRODUCT(React!$C$205:$F$205,Curves!$BS$43:$BV$43)+SUMPRODUCT(React!$C$206:$F$206,Curves!$BS$66:$BV$66)</f>
        <v/>
      </c>
      <c r="G209" s="5">
        <f>SUMPRODUCT(React!$C$204:$G$204,Curves!$BR$20:$BV$20)+SUMPRODUCT(React!$C$205:$G$205,Curves!$BR$43:$BV$43)+SUMPRODUCT(React!$C$206:$G$206,Curves!$BR$66:$BV$66)</f>
        <v/>
      </c>
      <c r="H209" s="5">
        <f>SUMPRODUCT(React!$C$204:$H$204,Curves!$BQ$20:$BV$20)+SUMPRODUCT(React!$C$205:$H$205,Curves!$BQ$43:$BV$43)+SUMPRODUCT(React!$C$206:$H$206,Curves!$BQ$66:$BV$66)</f>
        <v/>
      </c>
      <c r="I209" s="5">
        <f>SUMPRODUCT(React!$C$204:$I$204,Curves!$BP$20:$BV$20)+SUMPRODUCT(React!$C$205:$I$205,Curves!$BP$43:$BV$43)+SUMPRODUCT(React!$C$206:$I$206,Curves!$BP$66:$BV$66)</f>
        <v/>
      </c>
      <c r="J209" s="5">
        <f>SUMPRODUCT(React!$C$204:$J$204,Curves!$BO$20:$BV$20)+SUMPRODUCT(React!$C$205:$J$205,Curves!$BO$43:$BV$43)+SUMPRODUCT(React!$C$206:$J$206,Curves!$BO$66:$BV$66)</f>
        <v/>
      </c>
      <c r="K209" s="5">
        <f>SUMPRODUCT(React!$C$204:$K$204,Curves!$BN$20:$BV$20)+SUMPRODUCT(React!$C$205:$K$205,Curves!$BN$43:$BV$43)+SUMPRODUCT(React!$C$206:$K$206,Curves!$BN$66:$BV$66)</f>
        <v/>
      </c>
      <c r="L209" s="5">
        <f>SUMPRODUCT(React!$C$204:$L$204,Curves!$BM$20:$BV$20)+SUMPRODUCT(React!$C$205:$L$205,Curves!$BM$43:$BV$43)+SUMPRODUCT(React!$C$206:$L$206,Curves!$BM$66:$BV$66)</f>
        <v/>
      </c>
      <c r="M209" s="5">
        <f>SUMPRODUCT(React!$C$204:$M$204,Curves!$BL$20:$BV$20)+SUMPRODUCT(React!$C$205:$M$205,Curves!$BL$43:$BV$43)+SUMPRODUCT(React!$C$206:$M$206,Curves!$BL$66:$BV$66)</f>
        <v/>
      </c>
      <c r="N209" s="5">
        <f>SUMPRODUCT(React!$C$204:$N$204,Curves!$BK$20:$BV$20)+SUMPRODUCT(React!$C$205:$N$205,Curves!$BK$43:$BV$43)+SUMPRODUCT(React!$C$206:$N$206,Curves!$BK$66:$BV$66)</f>
        <v/>
      </c>
      <c r="O209" s="5">
        <f>SUMPRODUCT(React!$C$204:$O$204,Curves!$BJ$20:$BV$20)+SUMPRODUCT(React!$C$205:$O$205,Curves!$BJ$43:$BV$43)+SUMPRODUCT(React!$C$206:$O$206,Curves!$BJ$66:$BV$66)</f>
        <v/>
      </c>
      <c r="P209" s="5">
        <f>SUMPRODUCT(React!$C$204:$P$204,Curves!$BI$20:$BV$20)+SUMPRODUCT(React!$C$205:$P$205,Curves!$BI$43:$BV$43)+SUMPRODUCT(React!$C$206:$P$206,Curves!$BI$66:$BV$66)</f>
        <v/>
      </c>
      <c r="Q209" s="5">
        <f>SUMPRODUCT(React!$C$204:$Q$204,Curves!$BH$20:$BV$20)+SUMPRODUCT(React!$C$205:$Q$205,Curves!$BH$43:$BV$43)+SUMPRODUCT(React!$C$206:$Q$206,Curves!$BH$66:$BV$66)</f>
        <v/>
      </c>
      <c r="R209" s="5">
        <f>SUMPRODUCT(React!$C$204:$R$204,Curves!$BG$20:$BV$20)+SUMPRODUCT(React!$C$205:$R$205,Curves!$BG$43:$BV$43)+SUMPRODUCT(React!$C$206:$R$206,Curves!$BG$66:$BV$66)</f>
        <v/>
      </c>
      <c r="S209" s="5">
        <f>SUMPRODUCT(React!$C$204:$S$204,Curves!$BF$20:$BV$20)+SUMPRODUCT(React!$C$205:$S$205,Curves!$BF$43:$BV$43)+SUMPRODUCT(React!$C$206:$S$206,Curves!$BF$66:$BV$66)</f>
        <v/>
      </c>
      <c r="T209" s="5">
        <f>SUMPRODUCT(React!$C$204:$T$204,Curves!$BE$20:$BV$20)+SUMPRODUCT(React!$C$205:$T$205,Curves!$BE$43:$BV$43)+SUMPRODUCT(React!$C$206:$T$206,Curves!$BE$66:$BV$66)</f>
        <v/>
      </c>
      <c r="U209" s="5">
        <f>SUMPRODUCT(React!$C$204:$U$204,Curves!$BD$20:$BV$20)+SUMPRODUCT(React!$C$205:$U$205,Curves!$BD$43:$BV$43)+SUMPRODUCT(React!$C$206:$U$206,Curves!$BD$66:$BV$66)</f>
        <v/>
      </c>
      <c r="V209" s="5">
        <f>SUMPRODUCT(React!$C$204:$V$204,Curves!$BC$20:$BV$20)+SUMPRODUCT(React!$C$205:$V$205,Curves!$BC$43:$BV$43)+SUMPRODUCT(React!$C$206:$V$206,Curves!$BC$66:$BV$66)</f>
        <v/>
      </c>
      <c r="W209" s="5">
        <f>SUMPRODUCT(React!$C$204:$W$204,Curves!$BB$20:$BV$20)+SUMPRODUCT(React!$C$205:$W$205,Curves!$BB$43:$BV$43)+SUMPRODUCT(React!$C$206:$W$206,Curves!$BB$66:$BV$66)</f>
        <v/>
      </c>
      <c r="X209" s="5">
        <f>SUMPRODUCT(React!$C$204:$X$204,Curves!$BA$20:$BV$20)+SUMPRODUCT(React!$C$205:$X$205,Curves!$BA$43:$BV$43)+SUMPRODUCT(React!$C$206:$X$206,Curves!$BA$66:$BV$66)</f>
        <v/>
      </c>
      <c r="Y209" s="5">
        <f>SUMPRODUCT(React!$C$204:$Y$204,Curves!$AZ$20:$BV$20)+SUMPRODUCT(React!$C$205:$Y$205,Curves!$AZ$43:$BV$43)+SUMPRODUCT(React!$C$206:$Y$206,Curves!$AZ$66:$BV$66)</f>
        <v/>
      </c>
      <c r="Z209" s="5">
        <f>SUMPRODUCT(React!$C$204:$Z$204,Curves!$AY$20:$BV$20)+SUMPRODUCT(React!$C$205:$Z$205,Curves!$AY$43:$BV$43)+SUMPRODUCT(React!$C$206:$Z$206,Curves!$AY$66:$BV$66)</f>
        <v/>
      </c>
      <c r="AA209" s="5">
        <f>SUMPRODUCT(React!$C$204:$AA$204,Curves!$AX$20:$BV$20)+SUMPRODUCT(React!$C$205:$AA$205,Curves!$AX$43:$BV$43)+SUMPRODUCT(React!$C$206:$AA$206,Curves!$AX$66:$BV$66)</f>
        <v/>
      </c>
      <c r="AB209" s="5">
        <f>SUMPRODUCT(React!$C$204:$AB$204,Curves!$AW$20:$BV$20)+SUMPRODUCT(React!$C$205:$AB$205,Curves!$AW$43:$BV$43)+SUMPRODUCT(React!$C$206:$AB$206,Curves!$AW$66:$BV$66)</f>
        <v/>
      </c>
      <c r="AC209" s="5">
        <f>SUMPRODUCT(React!$C$204:$AC$204,Curves!$AV$20:$BV$20)+SUMPRODUCT(React!$C$205:$AC$205,Curves!$AV$43:$BV$43)+SUMPRODUCT(React!$C$206:$AC$206,Curves!$AV$66:$BV$66)</f>
        <v/>
      </c>
      <c r="AD209" s="5">
        <f>SUMPRODUCT(React!$C$204:$AD$204,Curves!$AU$20:$BV$20)+SUMPRODUCT(React!$C$205:$AD$205,Curves!$AU$43:$BV$43)+SUMPRODUCT(React!$C$206:$AD$206,Curves!$AU$66:$BV$66)</f>
        <v/>
      </c>
      <c r="AE209" s="5">
        <f>SUMPRODUCT(React!$C$204:$AE$204,Curves!$AT$20:$BV$20)+SUMPRODUCT(React!$C$205:$AE$205,Curves!$AT$43:$BV$43)+SUMPRODUCT(React!$C$206:$AE$206,Curves!$AT$66:$BV$66)</f>
        <v/>
      </c>
      <c r="AF209" s="5">
        <f>SUMPRODUCT(React!$C$204:$AF$204,Curves!$AS$20:$BV$20)+SUMPRODUCT(React!$C$205:$AF$205,Curves!$AS$43:$BV$43)+SUMPRODUCT(React!$C$206:$AF$206,Curves!$AS$66:$BV$66)</f>
        <v/>
      </c>
      <c r="AG209" s="5">
        <f>SUMPRODUCT(React!$C$204:$AG$204,Curves!$AR$20:$BV$20)+SUMPRODUCT(React!$C$205:$AG$205,Curves!$AR$43:$BV$43)+SUMPRODUCT(React!$C$206:$AG$206,Curves!$AR$66:$BV$66)</f>
        <v/>
      </c>
      <c r="AH209" s="5">
        <f>SUMPRODUCT(React!$C$204:$AH$204,Curves!$AQ$20:$BV$20)+SUMPRODUCT(React!$C$205:$AH$205,Curves!$AQ$43:$BV$43)+SUMPRODUCT(React!$C$206:$AH$206,Curves!$AQ$66:$BV$66)</f>
        <v/>
      </c>
      <c r="AI209" s="5">
        <f>SUMPRODUCT(React!$C$204:$AI$204,Curves!$AP$20:$BV$20)+SUMPRODUCT(React!$C$205:$AI$205,Curves!$AP$43:$BV$43)+SUMPRODUCT(React!$C$206:$AI$206,Curves!$AP$66:$BV$66)</f>
        <v/>
      </c>
      <c r="AJ209" s="5">
        <f>SUMPRODUCT(React!$C$204:$AJ$204,Curves!$AO$20:$BV$20)+SUMPRODUCT(React!$C$205:$AJ$205,Curves!$AO$43:$BV$43)+SUMPRODUCT(React!$C$206:$AJ$206,Curves!$AO$66:$BV$66)</f>
        <v/>
      </c>
      <c r="AK209" s="5">
        <f>SUMPRODUCT(React!$C$204:$AK$204,Curves!$AN$20:$BV$20)+SUMPRODUCT(React!$C$205:$AK$205,Curves!$AN$43:$BV$43)+SUMPRODUCT(React!$C$206:$AK$206,Curves!$AN$66:$BV$66)</f>
        <v/>
      </c>
      <c r="AL209" s="5">
        <f>SUMPRODUCT(React!$C$204:$AL$204,Curves!$AM$20:$BV$20)+SUMPRODUCT(React!$C$205:$AL$205,Curves!$AM$43:$BV$43)+SUMPRODUCT(React!$C$206:$AL$206,Curves!$AM$66:$BV$66)</f>
        <v/>
      </c>
      <c r="AM209" s="5">
        <f>SUMPRODUCT(React!$C$204:$AM$204,Curves!$AL$20:$BV$20)+SUMPRODUCT(React!$C$205:$AM$205,Curves!$AL$43:$BV$43)+SUMPRODUCT(React!$C$206:$AM$206,Curves!$AL$66:$BV$66)</f>
        <v/>
      </c>
      <c r="AN209" s="5">
        <f>SUMPRODUCT(React!$C$204:$AN$204,Curves!$AK$20:$BV$20)+SUMPRODUCT(React!$C$205:$AN$205,Curves!$AK$43:$BV$43)+SUMPRODUCT(React!$C$206:$AN$206,Curves!$AK$66:$BV$66)</f>
        <v/>
      </c>
      <c r="AO209" s="5">
        <f>SUMPRODUCT(React!$C$204:$AO$204,Curves!$AJ$20:$BV$20)+SUMPRODUCT(React!$C$205:$AO$205,Curves!$AJ$43:$BV$43)+SUMPRODUCT(React!$C$206:$AO$206,Curves!$AJ$66:$BV$66)</f>
        <v/>
      </c>
      <c r="AP209" s="5">
        <f>SUMPRODUCT(React!$C$204:$AP$204,Curves!$AI$20:$BV$20)+SUMPRODUCT(React!$C$205:$AP$205,Curves!$AI$43:$BV$43)+SUMPRODUCT(React!$C$206:$AP$206,Curves!$AI$66:$BV$66)</f>
        <v/>
      </c>
      <c r="AQ209" s="5">
        <f>SUMPRODUCT(React!$C$204:$AQ$204,Curves!$AH$20:$BV$20)+SUMPRODUCT(React!$C$205:$AQ$205,Curves!$AH$43:$BV$43)+SUMPRODUCT(React!$C$206:$AQ$206,Curves!$AH$66:$BV$66)</f>
        <v/>
      </c>
      <c r="AR209" s="5">
        <f>SUMPRODUCT(React!$C$204:$AR$204,Curves!$AG$20:$BV$20)+SUMPRODUCT(React!$C$205:$AR$205,Curves!$AG$43:$BV$43)+SUMPRODUCT(React!$C$206:$AR$206,Curves!$AG$66:$BV$66)</f>
        <v/>
      </c>
      <c r="AS209" s="5">
        <f>SUMPRODUCT(React!$C$204:$AS$204,Curves!$AF$20:$BV$20)+SUMPRODUCT(React!$C$205:$AS$205,Curves!$AF$43:$BV$43)+SUMPRODUCT(React!$C$206:$AS$206,Curves!$AF$66:$BV$66)</f>
        <v/>
      </c>
      <c r="AT209" s="5">
        <f>SUMPRODUCT(React!$C$204:$AT$204,Curves!$AE$20:$BV$20)+SUMPRODUCT(React!$C$205:$AT$205,Curves!$AE$43:$BV$43)+SUMPRODUCT(React!$C$206:$AT$206,Curves!$AE$66:$BV$66)</f>
        <v/>
      </c>
      <c r="AU209" s="5">
        <f>SUMPRODUCT(React!$C$204:$AU$204,Curves!$AD$20:$BV$20)+SUMPRODUCT(React!$C$205:$AU$205,Curves!$AD$43:$BV$43)+SUMPRODUCT(React!$C$206:$AU$206,Curves!$AD$66:$BV$66)</f>
        <v/>
      </c>
      <c r="AV209" s="5">
        <f>SUMPRODUCT(React!$C$204:$AV$204,Curves!$AC$20:$BV$20)+SUMPRODUCT(React!$C$205:$AV$205,Curves!$AC$43:$BV$43)+SUMPRODUCT(React!$C$206:$AV$206,Curves!$AC$66:$BV$66)</f>
        <v/>
      </c>
      <c r="AW209" s="5">
        <f>SUMPRODUCT(React!$C$204:$AW$204,Curves!$AB$20:$BV$20)+SUMPRODUCT(React!$C$205:$AW$205,Curves!$AB$43:$BV$43)+SUMPRODUCT(React!$C$206:$AW$206,Curves!$AB$66:$BV$66)</f>
        <v/>
      </c>
      <c r="AX209" s="5">
        <f>SUMPRODUCT(React!$C$204:$AX$204,Curves!$AA$20:$BV$20)+SUMPRODUCT(React!$C$205:$AX$205,Curves!$AA$43:$BV$43)+SUMPRODUCT(React!$C$206:$AX$206,Curves!$AA$66:$BV$66)</f>
        <v/>
      </c>
      <c r="AY209" s="5">
        <f>SUMPRODUCT(React!$C$204:$AY$204,Curves!$Z$20:$BV$20)+SUMPRODUCT(React!$C$205:$AY$205,Curves!$Z$43:$BV$43)+SUMPRODUCT(React!$C$206:$AY$206,Curves!$Z$66:$BV$66)</f>
        <v/>
      </c>
      <c r="AZ209" s="5">
        <f>SUMPRODUCT(React!$C$204:$AZ$204,Curves!$Y$20:$BV$20)+SUMPRODUCT(React!$C$205:$AZ$205,Curves!$Y$43:$BV$43)+SUMPRODUCT(React!$C$206:$AZ$206,Curves!$Y$66:$BV$66)</f>
        <v/>
      </c>
      <c r="BA209" s="5">
        <f>SUMPRODUCT(React!$C$204:$BA$204,Curves!$X$20:$BV$20)+SUMPRODUCT(React!$C$205:$BA$205,Curves!$X$43:$BV$43)+SUMPRODUCT(React!$C$206:$BA$206,Curves!$X$66:$BV$66)</f>
        <v/>
      </c>
      <c r="BB209" s="5">
        <f>SUMPRODUCT(React!$C$204:$BB$204,Curves!$W$20:$BV$20)+SUMPRODUCT(React!$C$205:$BB$205,Curves!$W$43:$BV$43)+SUMPRODUCT(React!$C$206:$BB$206,Curves!$W$66:$BV$66)</f>
        <v/>
      </c>
      <c r="BC209" s="5">
        <f>SUMPRODUCT(React!$C$204:$BC$204,Curves!$V$20:$BV$20)+SUMPRODUCT(React!$C$205:$BC$205,Curves!$V$43:$BV$43)+SUMPRODUCT(React!$C$206:$BC$206,Curves!$V$66:$BV$66)</f>
        <v/>
      </c>
      <c r="BD209" s="5">
        <f>SUMPRODUCT(React!$C$204:$BD$204,Curves!$U$20:$BV$20)+SUMPRODUCT(React!$C$205:$BD$205,Curves!$U$43:$BV$43)+SUMPRODUCT(React!$C$206:$BD$206,Curves!$U$66:$BV$66)</f>
        <v/>
      </c>
      <c r="BE209" s="5">
        <f>SUMPRODUCT(React!$C$204:$BE$204,Curves!$T$20:$BV$20)+SUMPRODUCT(React!$C$205:$BE$205,Curves!$T$43:$BV$43)+SUMPRODUCT(React!$C$206:$BE$206,Curves!$T$66:$BV$66)</f>
        <v/>
      </c>
      <c r="BF209" s="5">
        <f>SUMPRODUCT(React!$C$204:$BF$204,Curves!$S$20:$BV$20)+SUMPRODUCT(React!$C$205:$BF$205,Curves!$S$43:$BV$43)+SUMPRODUCT(React!$C$206:$BF$206,Curves!$S$66:$BV$66)</f>
        <v/>
      </c>
      <c r="BG209" s="5">
        <f>SUMPRODUCT(React!$C$204:$BG$204,Curves!$R$20:$BV$20)+SUMPRODUCT(React!$C$205:$BG$205,Curves!$R$43:$BV$43)+SUMPRODUCT(React!$C$206:$BG$206,Curves!$R$66:$BV$66)</f>
        <v/>
      </c>
      <c r="BH209" s="5">
        <f>SUMPRODUCT(React!$C$204:$BH$204,Curves!$Q$20:$BV$20)+SUMPRODUCT(React!$C$205:$BH$205,Curves!$Q$43:$BV$43)+SUMPRODUCT(React!$C$206:$BH$206,Curves!$Q$66:$BV$66)</f>
        <v/>
      </c>
      <c r="BI209" s="5">
        <f>SUMPRODUCT(React!$C$204:$BI$204,Curves!$P$20:$BV$20)+SUMPRODUCT(React!$C$205:$BI$205,Curves!$P$43:$BV$43)+SUMPRODUCT(React!$C$206:$BI$206,Curves!$P$66:$BV$66)</f>
        <v/>
      </c>
      <c r="BJ209" s="5">
        <f>SUMPRODUCT(React!$C$204:$BJ$204,Curves!$O$20:$BV$20)+SUMPRODUCT(React!$C$205:$BJ$205,Curves!$O$43:$BV$43)+SUMPRODUCT(React!$C$206:$BJ$206,Curves!$O$66:$BV$66)</f>
        <v/>
      </c>
      <c r="BK209" s="5">
        <f>SUMPRODUCT(React!$C$204:$BK$204,Curves!$N$20:$BV$20)+SUMPRODUCT(React!$C$205:$BK$205,Curves!$N$43:$BV$43)+SUMPRODUCT(React!$C$206:$BK$206,Curves!$N$66:$BV$66)</f>
        <v/>
      </c>
      <c r="BL209" s="5">
        <f>SUMPRODUCT(React!$C$204:$BL$204,Curves!$M$20:$BV$20)+SUMPRODUCT(React!$C$205:$BL$205,Curves!$M$43:$BV$43)+SUMPRODUCT(React!$C$206:$BL$206,Curves!$M$66:$BV$66)</f>
        <v/>
      </c>
      <c r="BM209" s="5">
        <f>SUMPRODUCT(React!$C$204:$BM$204,Curves!$L$20:$BV$20)+SUMPRODUCT(React!$C$205:$BM$205,Curves!$L$43:$BV$43)+SUMPRODUCT(React!$C$206:$BM$206,Curves!$L$66:$BV$66)</f>
        <v/>
      </c>
      <c r="BN209" s="5">
        <f>SUMPRODUCT(React!$C$204:$BN$204,Curves!$K$20:$BV$20)+SUMPRODUCT(React!$C$205:$BN$205,Curves!$K$43:$BV$43)+SUMPRODUCT(React!$C$206:$BN$206,Curves!$K$66:$BV$66)</f>
        <v/>
      </c>
      <c r="BO209" s="5">
        <f>SUMPRODUCT(React!$C$204:$BO$204,Curves!$J$20:$BV$20)+SUMPRODUCT(React!$C$205:$BO$205,Curves!$J$43:$BV$43)+SUMPRODUCT(React!$C$206:$BO$206,Curves!$J$66:$BV$66)</f>
        <v/>
      </c>
      <c r="BP209" s="5">
        <f>SUMPRODUCT(React!$C$204:$BP$204,Curves!$I$20:$BV$20)+SUMPRODUCT(React!$C$205:$BP$205,Curves!$I$43:$BV$43)+SUMPRODUCT(React!$C$206:$BP$206,Curves!$I$66:$BV$66)</f>
        <v/>
      </c>
      <c r="BQ209" s="5">
        <f>SUMPRODUCT(React!$C$204:$BQ$204,Curves!$H$20:$BV$20)+SUMPRODUCT(React!$C$205:$BQ$205,Curves!$H$43:$BV$43)+SUMPRODUCT(React!$C$206:$BQ$206,Curves!$H$66:$BV$66)</f>
        <v/>
      </c>
      <c r="BR209" s="5">
        <f>SUMPRODUCT(React!$C$204:$BR$204,Curves!$G$20:$BV$20)+SUMPRODUCT(React!$C$205:$BR$205,Curves!$G$43:$BV$43)+SUMPRODUCT(React!$C$206:$BR$206,Curves!$G$66:$BV$66)</f>
        <v/>
      </c>
      <c r="BS209" s="5">
        <f>SUMPRODUCT(React!$C$204:$BS$204,Curves!$F$20:$BV$20)+SUMPRODUCT(React!$C$205:$BS$205,Curves!$F$43:$BV$43)+SUMPRODUCT(React!$C$206:$BS$206,Curves!$F$66:$BV$66)</f>
        <v/>
      </c>
      <c r="BT209" s="5">
        <f>SUMPRODUCT(React!$C$204:$BT$204,Curves!$E$20:$BV$20)+SUMPRODUCT(React!$C$205:$BT$205,Curves!$E$43:$BV$43)+SUMPRODUCT(React!$C$206:$BT$206,Curves!$E$66:$BV$66)</f>
        <v/>
      </c>
      <c r="BU209" s="5">
        <f>SUMPRODUCT(React!$C$204:$BU$204,Curves!$D$20:$BV$20)+SUMPRODUCT(React!$C$205:$BU$205,Curves!$D$43:$BV$43)+SUMPRODUCT(React!$C$206:$BU$206,Curves!$D$66:$BV$66)</f>
        <v/>
      </c>
      <c r="BV209" s="5">
        <f>SUMPRODUCT(React!$C$204:$BV$204,Curves!$C$20:$BV$20)+SUMPRODUCT(React!$C$205:$BV$205,Curves!$C$43:$BV$43)+SUMPRODUCT(React!$C$206:$BV$206,Curves!$C$66:$BV$66)</f>
        <v/>
      </c>
    </row>
    <row r="211">
      <c r="A211" t="inlineStr">
        <is>
          <t>churn pool inflow</t>
        </is>
      </c>
      <c r="B211" t="inlineStr">
        <is>
          <t>ROW|NITRO_M</t>
        </is>
      </c>
      <c r="C211" s="5">
        <f>Paid!C69+Legacy!C71</f>
        <v/>
      </c>
      <c r="D211" s="5">
        <f>Paid!D69+Legacy!D71</f>
        <v/>
      </c>
      <c r="E211" s="5">
        <f>Paid!E69+Legacy!E71</f>
        <v/>
      </c>
      <c r="F211" s="5">
        <f>Paid!F69+Legacy!F71</f>
        <v/>
      </c>
      <c r="G211" s="5">
        <f>Paid!G69+Legacy!G71</f>
        <v/>
      </c>
      <c r="H211" s="5">
        <f>Paid!H69+Legacy!H71</f>
        <v/>
      </c>
      <c r="I211" s="5">
        <f>Paid!I69+Legacy!I71</f>
        <v/>
      </c>
      <c r="J211" s="5">
        <f>Paid!J69+Legacy!J71</f>
        <v/>
      </c>
      <c r="K211" s="5">
        <f>Paid!K69+Legacy!K71</f>
        <v/>
      </c>
      <c r="L211" s="5">
        <f>Paid!L69+Legacy!L71</f>
        <v/>
      </c>
      <c r="M211" s="5">
        <f>Paid!M69+Legacy!M71</f>
        <v/>
      </c>
      <c r="N211" s="5">
        <f>Paid!N69+Legacy!N71</f>
        <v/>
      </c>
      <c r="O211" s="5">
        <f>Paid!O69+Legacy!O71</f>
        <v/>
      </c>
      <c r="P211" s="5">
        <f>Paid!P69+Legacy!P71</f>
        <v/>
      </c>
      <c r="Q211" s="5">
        <f>Paid!Q69+Legacy!Q71</f>
        <v/>
      </c>
      <c r="R211" s="5">
        <f>Paid!R69+Legacy!R71</f>
        <v/>
      </c>
      <c r="S211" s="5">
        <f>Paid!S69+Legacy!S71</f>
        <v/>
      </c>
      <c r="T211" s="5">
        <f>Paid!T69+Legacy!T71</f>
        <v/>
      </c>
      <c r="U211" s="5">
        <f>Paid!U69+Legacy!U71</f>
        <v/>
      </c>
      <c r="V211" s="5">
        <f>Paid!V69+Legacy!V71</f>
        <v/>
      </c>
      <c r="W211" s="5">
        <f>Paid!W69+Legacy!W71</f>
        <v/>
      </c>
      <c r="X211" s="5">
        <f>Paid!X69+Legacy!X71</f>
        <v/>
      </c>
      <c r="Y211" s="5">
        <f>Paid!Y69+Legacy!Y71</f>
        <v/>
      </c>
      <c r="Z211" s="5">
        <f>Paid!Z69+Legacy!Z71</f>
        <v/>
      </c>
      <c r="AA211" s="5">
        <f>Paid!AA69+Legacy!AA71</f>
        <v/>
      </c>
      <c r="AB211" s="5">
        <f>Paid!AB69+Legacy!AB71</f>
        <v/>
      </c>
      <c r="AC211" s="5">
        <f>Paid!AC69+Legacy!AC71</f>
        <v/>
      </c>
      <c r="AD211" s="5">
        <f>Paid!AD69+Legacy!AD71</f>
        <v/>
      </c>
      <c r="AE211" s="5">
        <f>Paid!AE69+Legacy!AE71</f>
        <v/>
      </c>
      <c r="AF211" s="5">
        <f>Paid!AF69+Legacy!AF71</f>
        <v/>
      </c>
      <c r="AG211" s="5">
        <f>Paid!AG69+Legacy!AG71</f>
        <v/>
      </c>
      <c r="AH211" s="5">
        <f>Paid!AH69+Legacy!AH71</f>
        <v/>
      </c>
      <c r="AI211" s="5">
        <f>Paid!AI69+Legacy!AI71</f>
        <v/>
      </c>
      <c r="AJ211" s="5">
        <f>Paid!AJ69+Legacy!AJ71</f>
        <v/>
      </c>
      <c r="AK211" s="5">
        <f>Paid!AK69+Legacy!AK71</f>
        <v/>
      </c>
      <c r="AL211" s="5">
        <f>Paid!AL69+Legacy!AL71</f>
        <v/>
      </c>
      <c r="AM211" s="5">
        <f>Paid!AM69+Legacy!AM71</f>
        <v/>
      </c>
      <c r="AN211" s="5">
        <f>Paid!AN69+Legacy!AN71</f>
        <v/>
      </c>
      <c r="AO211" s="5">
        <f>Paid!AO69+Legacy!AO71</f>
        <v/>
      </c>
      <c r="AP211" s="5">
        <f>Paid!AP69+Legacy!AP71</f>
        <v/>
      </c>
      <c r="AQ211" s="5">
        <f>Paid!AQ69+Legacy!AQ71</f>
        <v/>
      </c>
      <c r="AR211" s="5">
        <f>Paid!AR69+Legacy!AR71</f>
        <v/>
      </c>
      <c r="AS211" s="5">
        <f>Paid!AS69+Legacy!AS71</f>
        <v/>
      </c>
      <c r="AT211" s="5">
        <f>Paid!AT69+Legacy!AT71</f>
        <v/>
      </c>
      <c r="AU211" s="5">
        <f>Paid!AU69+Legacy!AU71</f>
        <v/>
      </c>
      <c r="AV211" s="5">
        <f>Paid!AV69+Legacy!AV71</f>
        <v/>
      </c>
      <c r="AW211" s="5">
        <f>Paid!AW69+Legacy!AW71</f>
        <v/>
      </c>
      <c r="AX211" s="5">
        <f>Paid!AX69+Legacy!AX71</f>
        <v/>
      </c>
      <c r="AY211" s="5">
        <f>Paid!AY69+Legacy!AY71</f>
        <v/>
      </c>
      <c r="AZ211" s="5">
        <f>Paid!AZ69+Legacy!AZ71</f>
        <v/>
      </c>
      <c r="BA211" s="5">
        <f>Paid!BA69+Legacy!BA71</f>
        <v/>
      </c>
      <c r="BB211" s="5">
        <f>Paid!BB69+Legacy!BB71</f>
        <v/>
      </c>
      <c r="BC211" s="5">
        <f>Paid!BC69+Legacy!BC71</f>
        <v/>
      </c>
      <c r="BD211" s="5">
        <f>Paid!BD69+Legacy!BD71</f>
        <v/>
      </c>
      <c r="BE211" s="5">
        <f>Paid!BE69+Legacy!BE71</f>
        <v/>
      </c>
      <c r="BF211" s="5">
        <f>Paid!BF69+Legacy!BF71</f>
        <v/>
      </c>
      <c r="BG211" s="5">
        <f>Paid!BG69+Legacy!BG71</f>
        <v/>
      </c>
      <c r="BH211" s="5">
        <f>Paid!BH69+Legacy!BH71</f>
        <v/>
      </c>
      <c r="BI211" s="5">
        <f>Paid!BI69+Legacy!BI71</f>
        <v/>
      </c>
      <c r="BJ211" s="5">
        <f>Paid!BJ69+Legacy!BJ71</f>
        <v/>
      </c>
      <c r="BK211" s="5">
        <f>Paid!BK69+Legacy!BK71</f>
        <v/>
      </c>
      <c r="BL211" s="5">
        <f>Paid!BL69+Legacy!BL71</f>
        <v/>
      </c>
      <c r="BM211" s="5">
        <f>Paid!BM69+Legacy!BM71</f>
        <v/>
      </c>
      <c r="BN211" s="5">
        <f>Paid!BN69+Legacy!BN71</f>
        <v/>
      </c>
      <c r="BO211" s="5">
        <f>Paid!BO69+Legacy!BO71</f>
        <v/>
      </c>
      <c r="BP211" s="5">
        <f>Paid!BP69+Legacy!BP71</f>
        <v/>
      </c>
      <c r="BQ211" s="5">
        <f>Paid!BQ69+Legacy!BQ71</f>
        <v/>
      </c>
      <c r="BR211" s="5">
        <f>Paid!BR69+Legacy!BR71</f>
        <v/>
      </c>
      <c r="BS211" s="5">
        <f>Paid!BS69+Legacy!BS71</f>
        <v/>
      </c>
      <c r="BT211" s="5">
        <f>Paid!BT69+Legacy!BT71</f>
        <v/>
      </c>
      <c r="BU211" s="5">
        <f>Paid!BU69+Legacy!BU71</f>
        <v/>
      </c>
      <c r="BV211" s="5">
        <f>Paid!BV69+Legacy!BV71</f>
        <v/>
      </c>
    </row>
    <row r="212">
      <c r="A212" t="inlineStr">
        <is>
          <t>inflow @0</t>
        </is>
      </c>
      <c r="B212" t="inlineStr">
        <is>
          <t>ROW|NITRO_M</t>
        </is>
      </c>
      <c r="C212" s="5">
        <f>C211*Eras!C$3</f>
        <v/>
      </c>
      <c r="D212" s="5">
        <f>D211*Eras!D$3</f>
        <v/>
      </c>
      <c r="E212" s="5">
        <f>E211*Eras!E$3</f>
        <v/>
      </c>
      <c r="F212" s="5">
        <f>F211*Eras!F$3</f>
        <v/>
      </c>
      <c r="G212" s="5">
        <f>G211*Eras!G$3</f>
        <v/>
      </c>
      <c r="H212" s="5">
        <f>H211*Eras!H$3</f>
        <v/>
      </c>
      <c r="I212" s="5">
        <f>I211*Eras!I$3</f>
        <v/>
      </c>
      <c r="J212" s="5">
        <f>J211*Eras!J$3</f>
        <v/>
      </c>
      <c r="K212" s="5">
        <f>K211*Eras!K$3</f>
        <v/>
      </c>
      <c r="L212" s="5">
        <f>L211*Eras!L$3</f>
        <v/>
      </c>
      <c r="M212" s="5">
        <f>M211*Eras!M$3</f>
        <v/>
      </c>
      <c r="N212" s="5">
        <f>N211*Eras!N$3</f>
        <v/>
      </c>
      <c r="O212" s="5">
        <f>O211*Eras!O$3</f>
        <v/>
      </c>
      <c r="P212" s="5">
        <f>P211*Eras!P$3</f>
        <v/>
      </c>
      <c r="Q212" s="5">
        <f>Q211*Eras!Q$3</f>
        <v/>
      </c>
      <c r="R212" s="5">
        <f>R211*Eras!R$3</f>
        <v/>
      </c>
      <c r="S212" s="5">
        <f>S211*Eras!S$3</f>
        <v/>
      </c>
      <c r="T212" s="5">
        <f>T211*Eras!T$3</f>
        <v/>
      </c>
      <c r="U212" s="5">
        <f>U211*Eras!U$3</f>
        <v/>
      </c>
      <c r="V212" s="5">
        <f>V211*Eras!V$3</f>
        <v/>
      </c>
      <c r="W212" s="5">
        <f>W211*Eras!W$3</f>
        <v/>
      </c>
      <c r="X212" s="5">
        <f>X211*Eras!X$3</f>
        <v/>
      </c>
      <c r="Y212" s="5">
        <f>Y211*Eras!Y$3</f>
        <v/>
      </c>
      <c r="Z212" s="5">
        <f>Z211*Eras!Z$3</f>
        <v/>
      </c>
      <c r="AA212" s="5">
        <f>AA211*Eras!AA$3</f>
        <v/>
      </c>
      <c r="AB212" s="5">
        <f>AB211*Eras!AB$3</f>
        <v/>
      </c>
      <c r="AC212" s="5">
        <f>AC211*Eras!AC$3</f>
        <v/>
      </c>
      <c r="AD212" s="5">
        <f>AD211*Eras!AD$3</f>
        <v/>
      </c>
      <c r="AE212" s="5">
        <f>AE211*Eras!AE$3</f>
        <v/>
      </c>
      <c r="AF212" s="5">
        <f>AF211*Eras!AF$3</f>
        <v/>
      </c>
      <c r="AG212" s="5">
        <f>AG211*Eras!AG$3</f>
        <v/>
      </c>
      <c r="AH212" s="5">
        <f>AH211*Eras!AH$3</f>
        <v/>
      </c>
      <c r="AI212" s="5">
        <f>AI211*Eras!AI$3</f>
        <v/>
      </c>
      <c r="AJ212" s="5">
        <f>AJ211*Eras!AJ$3</f>
        <v/>
      </c>
      <c r="AK212" s="5">
        <f>AK211*Eras!AK$3</f>
        <v/>
      </c>
      <c r="AL212" s="5">
        <f>AL211*Eras!AL$3</f>
        <v/>
      </c>
      <c r="AM212" s="5">
        <f>AM211*Eras!AM$3</f>
        <v/>
      </c>
      <c r="AN212" s="5">
        <f>AN211*Eras!AN$3</f>
        <v/>
      </c>
      <c r="AO212" s="5">
        <f>AO211*Eras!AO$3</f>
        <v/>
      </c>
      <c r="AP212" s="5">
        <f>AP211*Eras!AP$3</f>
        <v/>
      </c>
      <c r="AQ212" s="5">
        <f>AQ211*Eras!AQ$3</f>
        <v/>
      </c>
      <c r="AR212" s="5">
        <f>AR211*Eras!AR$3</f>
        <v/>
      </c>
      <c r="AS212" s="5">
        <f>AS211*Eras!AS$3</f>
        <v/>
      </c>
      <c r="AT212" s="5">
        <f>AT211*Eras!AT$3</f>
        <v/>
      </c>
      <c r="AU212" s="5">
        <f>AU211*Eras!AU$3</f>
        <v/>
      </c>
      <c r="AV212" s="5">
        <f>AV211*Eras!AV$3</f>
        <v/>
      </c>
      <c r="AW212" s="5">
        <f>AW211*Eras!AW$3</f>
        <v/>
      </c>
      <c r="AX212" s="5">
        <f>AX211*Eras!AX$3</f>
        <v/>
      </c>
      <c r="AY212" s="5">
        <f>AY211*Eras!AY$3</f>
        <v/>
      </c>
      <c r="AZ212" s="5">
        <f>AZ211*Eras!AZ$3</f>
        <v/>
      </c>
      <c r="BA212" s="5">
        <f>BA211*Eras!BA$3</f>
        <v/>
      </c>
      <c r="BB212" s="5">
        <f>BB211*Eras!BB$3</f>
        <v/>
      </c>
      <c r="BC212" s="5">
        <f>BC211*Eras!BC$3</f>
        <v/>
      </c>
      <c r="BD212" s="5">
        <f>BD211*Eras!BD$3</f>
        <v/>
      </c>
      <c r="BE212" s="5">
        <f>BE211*Eras!BE$3</f>
        <v/>
      </c>
      <c r="BF212" s="5">
        <f>BF211*Eras!BF$3</f>
        <v/>
      </c>
      <c r="BG212" s="5">
        <f>BG211*Eras!BG$3</f>
        <v/>
      </c>
      <c r="BH212" s="5">
        <f>BH211*Eras!BH$3</f>
        <v/>
      </c>
      <c r="BI212" s="5">
        <f>BI211*Eras!BI$3</f>
        <v/>
      </c>
      <c r="BJ212" s="5">
        <f>BJ211*Eras!BJ$3</f>
        <v/>
      </c>
      <c r="BK212" s="5">
        <f>BK211*Eras!BK$3</f>
        <v/>
      </c>
      <c r="BL212" s="5">
        <f>BL211*Eras!BL$3</f>
        <v/>
      </c>
      <c r="BM212" s="5">
        <f>BM211*Eras!BM$3</f>
        <v/>
      </c>
      <c r="BN212" s="5">
        <f>BN211*Eras!BN$3</f>
        <v/>
      </c>
      <c r="BO212" s="5">
        <f>BO211*Eras!BO$3</f>
        <v/>
      </c>
      <c r="BP212" s="5">
        <f>BP211*Eras!BP$3</f>
        <v/>
      </c>
      <c r="BQ212" s="5">
        <f>BQ211*Eras!BQ$3</f>
        <v/>
      </c>
      <c r="BR212" s="5">
        <f>BR211*Eras!BR$3</f>
        <v/>
      </c>
      <c r="BS212" s="5">
        <f>BS211*Eras!BS$3</f>
        <v/>
      </c>
      <c r="BT212" s="5">
        <f>BT211*Eras!BT$3</f>
        <v/>
      </c>
      <c r="BU212" s="5">
        <f>BU211*Eras!BU$3</f>
        <v/>
      </c>
      <c r="BV212" s="5">
        <f>BV211*Eras!BV$3</f>
        <v/>
      </c>
    </row>
    <row r="213">
      <c r="A213" t="inlineStr">
        <is>
          <t>inflow @1</t>
        </is>
      </c>
      <c r="B213" t="inlineStr">
        <is>
          <t>ROW|NITRO_M</t>
        </is>
      </c>
      <c r="C213" s="5">
        <f>C211*Eras!C$4</f>
        <v/>
      </c>
      <c r="D213" s="5">
        <f>D211*Eras!D$4</f>
        <v/>
      </c>
      <c r="E213" s="5">
        <f>E211*Eras!E$4</f>
        <v/>
      </c>
      <c r="F213" s="5">
        <f>F211*Eras!F$4</f>
        <v/>
      </c>
      <c r="G213" s="5">
        <f>G211*Eras!G$4</f>
        <v/>
      </c>
      <c r="H213" s="5">
        <f>H211*Eras!H$4</f>
        <v/>
      </c>
      <c r="I213" s="5">
        <f>I211*Eras!I$4</f>
        <v/>
      </c>
      <c r="J213" s="5">
        <f>J211*Eras!J$4</f>
        <v/>
      </c>
      <c r="K213" s="5">
        <f>K211*Eras!K$4</f>
        <v/>
      </c>
      <c r="L213" s="5">
        <f>L211*Eras!L$4</f>
        <v/>
      </c>
      <c r="M213" s="5">
        <f>M211*Eras!M$4</f>
        <v/>
      </c>
      <c r="N213" s="5">
        <f>N211*Eras!N$4</f>
        <v/>
      </c>
      <c r="O213" s="5">
        <f>O211*Eras!O$4</f>
        <v/>
      </c>
      <c r="P213" s="5">
        <f>P211*Eras!P$4</f>
        <v/>
      </c>
      <c r="Q213" s="5">
        <f>Q211*Eras!Q$4</f>
        <v/>
      </c>
      <c r="R213" s="5">
        <f>R211*Eras!R$4</f>
        <v/>
      </c>
      <c r="S213" s="5">
        <f>S211*Eras!S$4</f>
        <v/>
      </c>
      <c r="T213" s="5">
        <f>T211*Eras!T$4</f>
        <v/>
      </c>
      <c r="U213" s="5">
        <f>U211*Eras!U$4</f>
        <v/>
      </c>
      <c r="V213" s="5">
        <f>V211*Eras!V$4</f>
        <v/>
      </c>
      <c r="W213" s="5">
        <f>W211*Eras!W$4</f>
        <v/>
      </c>
      <c r="X213" s="5">
        <f>X211*Eras!X$4</f>
        <v/>
      </c>
      <c r="Y213" s="5">
        <f>Y211*Eras!Y$4</f>
        <v/>
      </c>
      <c r="Z213" s="5">
        <f>Z211*Eras!Z$4</f>
        <v/>
      </c>
      <c r="AA213" s="5">
        <f>AA211*Eras!AA$4</f>
        <v/>
      </c>
      <c r="AB213" s="5">
        <f>AB211*Eras!AB$4</f>
        <v/>
      </c>
      <c r="AC213" s="5">
        <f>AC211*Eras!AC$4</f>
        <v/>
      </c>
      <c r="AD213" s="5">
        <f>AD211*Eras!AD$4</f>
        <v/>
      </c>
      <c r="AE213" s="5">
        <f>AE211*Eras!AE$4</f>
        <v/>
      </c>
      <c r="AF213" s="5">
        <f>AF211*Eras!AF$4</f>
        <v/>
      </c>
      <c r="AG213" s="5">
        <f>AG211*Eras!AG$4</f>
        <v/>
      </c>
      <c r="AH213" s="5">
        <f>AH211*Eras!AH$4</f>
        <v/>
      </c>
      <c r="AI213" s="5">
        <f>AI211*Eras!AI$4</f>
        <v/>
      </c>
      <c r="AJ213" s="5">
        <f>AJ211*Eras!AJ$4</f>
        <v/>
      </c>
      <c r="AK213" s="5">
        <f>AK211*Eras!AK$4</f>
        <v/>
      </c>
      <c r="AL213" s="5">
        <f>AL211*Eras!AL$4</f>
        <v/>
      </c>
      <c r="AM213" s="5">
        <f>AM211*Eras!AM$4</f>
        <v/>
      </c>
      <c r="AN213" s="5">
        <f>AN211*Eras!AN$4</f>
        <v/>
      </c>
      <c r="AO213" s="5">
        <f>AO211*Eras!AO$4</f>
        <v/>
      </c>
      <c r="AP213" s="5">
        <f>AP211*Eras!AP$4</f>
        <v/>
      </c>
      <c r="AQ213" s="5">
        <f>AQ211*Eras!AQ$4</f>
        <v/>
      </c>
      <c r="AR213" s="5">
        <f>AR211*Eras!AR$4</f>
        <v/>
      </c>
      <c r="AS213" s="5">
        <f>AS211*Eras!AS$4</f>
        <v/>
      </c>
      <c r="AT213" s="5">
        <f>AT211*Eras!AT$4</f>
        <v/>
      </c>
      <c r="AU213" s="5">
        <f>AU211*Eras!AU$4</f>
        <v/>
      </c>
      <c r="AV213" s="5">
        <f>AV211*Eras!AV$4</f>
        <v/>
      </c>
      <c r="AW213" s="5">
        <f>AW211*Eras!AW$4</f>
        <v/>
      </c>
      <c r="AX213" s="5">
        <f>AX211*Eras!AX$4</f>
        <v/>
      </c>
      <c r="AY213" s="5">
        <f>AY211*Eras!AY$4</f>
        <v/>
      </c>
      <c r="AZ213" s="5">
        <f>AZ211*Eras!AZ$4</f>
        <v/>
      </c>
      <c r="BA213" s="5">
        <f>BA211*Eras!BA$4</f>
        <v/>
      </c>
      <c r="BB213" s="5">
        <f>BB211*Eras!BB$4</f>
        <v/>
      </c>
      <c r="BC213" s="5">
        <f>BC211*Eras!BC$4</f>
        <v/>
      </c>
      <c r="BD213" s="5">
        <f>BD211*Eras!BD$4</f>
        <v/>
      </c>
      <c r="BE213" s="5">
        <f>BE211*Eras!BE$4</f>
        <v/>
      </c>
      <c r="BF213" s="5">
        <f>BF211*Eras!BF$4</f>
        <v/>
      </c>
      <c r="BG213" s="5">
        <f>BG211*Eras!BG$4</f>
        <v/>
      </c>
      <c r="BH213" s="5">
        <f>BH211*Eras!BH$4</f>
        <v/>
      </c>
      <c r="BI213" s="5">
        <f>BI211*Eras!BI$4</f>
        <v/>
      </c>
      <c r="BJ213" s="5">
        <f>BJ211*Eras!BJ$4</f>
        <v/>
      </c>
      <c r="BK213" s="5">
        <f>BK211*Eras!BK$4</f>
        <v/>
      </c>
      <c r="BL213" s="5">
        <f>BL211*Eras!BL$4</f>
        <v/>
      </c>
      <c r="BM213" s="5">
        <f>BM211*Eras!BM$4</f>
        <v/>
      </c>
      <c r="BN213" s="5">
        <f>BN211*Eras!BN$4</f>
        <v/>
      </c>
      <c r="BO213" s="5">
        <f>BO211*Eras!BO$4</f>
        <v/>
      </c>
      <c r="BP213" s="5">
        <f>BP211*Eras!BP$4</f>
        <v/>
      </c>
      <c r="BQ213" s="5">
        <f>BQ211*Eras!BQ$4</f>
        <v/>
      </c>
      <c r="BR213" s="5">
        <f>BR211*Eras!BR$4</f>
        <v/>
      </c>
      <c r="BS213" s="5">
        <f>BS211*Eras!BS$4</f>
        <v/>
      </c>
      <c r="BT213" s="5">
        <f>BT211*Eras!BT$4</f>
        <v/>
      </c>
      <c r="BU213" s="5">
        <f>BU211*Eras!BU$4</f>
        <v/>
      </c>
      <c r="BV213" s="5">
        <f>BV211*Eras!BV$4</f>
        <v/>
      </c>
    </row>
    <row r="214">
      <c r="A214" t="inlineStr">
        <is>
          <t>inflow @2</t>
        </is>
      </c>
      <c r="B214" t="inlineStr">
        <is>
          <t>ROW|NITRO_M</t>
        </is>
      </c>
      <c r="C214" s="5">
        <f>C211*Eras!C$5</f>
        <v/>
      </c>
      <c r="D214" s="5">
        <f>D211*Eras!D$5</f>
        <v/>
      </c>
      <c r="E214" s="5">
        <f>E211*Eras!E$5</f>
        <v/>
      </c>
      <c r="F214" s="5">
        <f>F211*Eras!F$5</f>
        <v/>
      </c>
      <c r="G214" s="5">
        <f>G211*Eras!G$5</f>
        <v/>
      </c>
      <c r="H214" s="5">
        <f>H211*Eras!H$5</f>
        <v/>
      </c>
      <c r="I214" s="5">
        <f>I211*Eras!I$5</f>
        <v/>
      </c>
      <c r="J214" s="5">
        <f>J211*Eras!J$5</f>
        <v/>
      </c>
      <c r="K214" s="5">
        <f>K211*Eras!K$5</f>
        <v/>
      </c>
      <c r="L214" s="5">
        <f>L211*Eras!L$5</f>
        <v/>
      </c>
      <c r="M214" s="5">
        <f>M211*Eras!M$5</f>
        <v/>
      </c>
      <c r="N214" s="5">
        <f>N211*Eras!N$5</f>
        <v/>
      </c>
      <c r="O214" s="5">
        <f>O211*Eras!O$5</f>
        <v/>
      </c>
      <c r="P214" s="5">
        <f>P211*Eras!P$5</f>
        <v/>
      </c>
      <c r="Q214" s="5">
        <f>Q211*Eras!Q$5</f>
        <v/>
      </c>
      <c r="R214" s="5">
        <f>R211*Eras!R$5</f>
        <v/>
      </c>
      <c r="S214" s="5">
        <f>S211*Eras!S$5</f>
        <v/>
      </c>
      <c r="T214" s="5">
        <f>T211*Eras!T$5</f>
        <v/>
      </c>
      <c r="U214" s="5">
        <f>U211*Eras!U$5</f>
        <v/>
      </c>
      <c r="V214" s="5">
        <f>V211*Eras!V$5</f>
        <v/>
      </c>
      <c r="W214" s="5">
        <f>W211*Eras!W$5</f>
        <v/>
      </c>
      <c r="X214" s="5">
        <f>X211*Eras!X$5</f>
        <v/>
      </c>
      <c r="Y214" s="5">
        <f>Y211*Eras!Y$5</f>
        <v/>
      </c>
      <c r="Z214" s="5">
        <f>Z211*Eras!Z$5</f>
        <v/>
      </c>
      <c r="AA214" s="5">
        <f>AA211*Eras!AA$5</f>
        <v/>
      </c>
      <c r="AB214" s="5">
        <f>AB211*Eras!AB$5</f>
        <v/>
      </c>
      <c r="AC214" s="5">
        <f>AC211*Eras!AC$5</f>
        <v/>
      </c>
      <c r="AD214" s="5">
        <f>AD211*Eras!AD$5</f>
        <v/>
      </c>
      <c r="AE214" s="5">
        <f>AE211*Eras!AE$5</f>
        <v/>
      </c>
      <c r="AF214" s="5">
        <f>AF211*Eras!AF$5</f>
        <v/>
      </c>
      <c r="AG214" s="5">
        <f>AG211*Eras!AG$5</f>
        <v/>
      </c>
      <c r="AH214" s="5">
        <f>AH211*Eras!AH$5</f>
        <v/>
      </c>
      <c r="AI214" s="5">
        <f>AI211*Eras!AI$5</f>
        <v/>
      </c>
      <c r="AJ214" s="5">
        <f>AJ211*Eras!AJ$5</f>
        <v/>
      </c>
      <c r="AK214" s="5">
        <f>AK211*Eras!AK$5</f>
        <v/>
      </c>
      <c r="AL214" s="5">
        <f>AL211*Eras!AL$5</f>
        <v/>
      </c>
      <c r="AM214" s="5">
        <f>AM211*Eras!AM$5</f>
        <v/>
      </c>
      <c r="AN214" s="5">
        <f>AN211*Eras!AN$5</f>
        <v/>
      </c>
      <c r="AO214" s="5">
        <f>AO211*Eras!AO$5</f>
        <v/>
      </c>
      <c r="AP214" s="5">
        <f>AP211*Eras!AP$5</f>
        <v/>
      </c>
      <c r="AQ214" s="5">
        <f>AQ211*Eras!AQ$5</f>
        <v/>
      </c>
      <c r="AR214" s="5">
        <f>AR211*Eras!AR$5</f>
        <v/>
      </c>
      <c r="AS214" s="5">
        <f>AS211*Eras!AS$5</f>
        <v/>
      </c>
      <c r="AT214" s="5">
        <f>AT211*Eras!AT$5</f>
        <v/>
      </c>
      <c r="AU214" s="5">
        <f>AU211*Eras!AU$5</f>
        <v/>
      </c>
      <c r="AV214" s="5">
        <f>AV211*Eras!AV$5</f>
        <v/>
      </c>
      <c r="AW214" s="5">
        <f>AW211*Eras!AW$5</f>
        <v/>
      </c>
      <c r="AX214" s="5">
        <f>AX211*Eras!AX$5</f>
        <v/>
      </c>
      <c r="AY214" s="5">
        <f>AY211*Eras!AY$5</f>
        <v/>
      </c>
      <c r="AZ214" s="5">
        <f>AZ211*Eras!AZ$5</f>
        <v/>
      </c>
      <c r="BA214" s="5">
        <f>BA211*Eras!BA$5</f>
        <v/>
      </c>
      <c r="BB214" s="5">
        <f>BB211*Eras!BB$5</f>
        <v/>
      </c>
      <c r="BC214" s="5">
        <f>BC211*Eras!BC$5</f>
        <v/>
      </c>
      <c r="BD214" s="5">
        <f>BD211*Eras!BD$5</f>
        <v/>
      </c>
      <c r="BE214" s="5">
        <f>BE211*Eras!BE$5</f>
        <v/>
      </c>
      <c r="BF214" s="5">
        <f>BF211*Eras!BF$5</f>
        <v/>
      </c>
      <c r="BG214" s="5">
        <f>BG211*Eras!BG$5</f>
        <v/>
      </c>
      <c r="BH214" s="5">
        <f>BH211*Eras!BH$5</f>
        <v/>
      </c>
      <c r="BI214" s="5">
        <f>BI211*Eras!BI$5</f>
        <v/>
      </c>
      <c r="BJ214" s="5">
        <f>BJ211*Eras!BJ$5</f>
        <v/>
      </c>
      <c r="BK214" s="5">
        <f>BK211*Eras!BK$5</f>
        <v/>
      </c>
      <c r="BL214" s="5">
        <f>BL211*Eras!BL$5</f>
        <v/>
      </c>
      <c r="BM214" s="5">
        <f>BM211*Eras!BM$5</f>
        <v/>
      </c>
      <c r="BN214" s="5">
        <f>BN211*Eras!BN$5</f>
        <v/>
      </c>
      <c r="BO214" s="5">
        <f>BO211*Eras!BO$5</f>
        <v/>
      </c>
      <c r="BP214" s="5">
        <f>BP211*Eras!BP$5</f>
        <v/>
      </c>
      <c r="BQ214" s="5">
        <f>BQ211*Eras!BQ$5</f>
        <v/>
      </c>
      <c r="BR214" s="5">
        <f>BR211*Eras!BR$5</f>
        <v/>
      </c>
      <c r="BS214" s="5">
        <f>BS211*Eras!BS$5</f>
        <v/>
      </c>
      <c r="BT214" s="5">
        <f>BT211*Eras!BT$5</f>
        <v/>
      </c>
      <c r="BU214" s="5">
        <f>BU211*Eras!BU$5</f>
        <v/>
      </c>
      <c r="BV214" s="5">
        <f>BV211*Eras!BV$5</f>
        <v/>
      </c>
    </row>
    <row r="215">
      <c r="A215" t="inlineStr">
        <is>
          <t>reactivations out</t>
        </is>
      </c>
      <c r="B215" t="inlineStr">
        <is>
          <t>ROW|NITRO_M</t>
        </is>
      </c>
      <c r="C215" s="5">
        <f>React!$C$212*Curves!$BV$21+React!$C$213*Curves!$BV$44+React!$C$214*Curves!$BV$67</f>
        <v/>
      </c>
      <c r="D215" s="5">
        <f>SUMPRODUCT(React!$C$212:$D$212,Curves!$BU$21:$BV$21)+SUMPRODUCT(React!$C$213:$D$213,Curves!$BU$44:$BV$44)+SUMPRODUCT(React!$C$214:$D$214,Curves!$BU$67:$BV$67)</f>
        <v/>
      </c>
      <c r="E215" s="5">
        <f>SUMPRODUCT(React!$C$212:$E$212,Curves!$BT$21:$BV$21)+SUMPRODUCT(React!$C$213:$E$213,Curves!$BT$44:$BV$44)+SUMPRODUCT(React!$C$214:$E$214,Curves!$BT$67:$BV$67)</f>
        <v/>
      </c>
      <c r="F215" s="5">
        <f>SUMPRODUCT(React!$C$212:$F$212,Curves!$BS$21:$BV$21)+SUMPRODUCT(React!$C$213:$F$213,Curves!$BS$44:$BV$44)+SUMPRODUCT(React!$C$214:$F$214,Curves!$BS$67:$BV$67)</f>
        <v/>
      </c>
      <c r="G215" s="5">
        <f>SUMPRODUCT(React!$C$212:$G$212,Curves!$BR$21:$BV$21)+SUMPRODUCT(React!$C$213:$G$213,Curves!$BR$44:$BV$44)+SUMPRODUCT(React!$C$214:$G$214,Curves!$BR$67:$BV$67)</f>
        <v/>
      </c>
      <c r="H215" s="5">
        <f>SUMPRODUCT(React!$C$212:$H$212,Curves!$BQ$21:$BV$21)+SUMPRODUCT(React!$C$213:$H$213,Curves!$BQ$44:$BV$44)+SUMPRODUCT(React!$C$214:$H$214,Curves!$BQ$67:$BV$67)</f>
        <v/>
      </c>
      <c r="I215" s="5">
        <f>SUMPRODUCT(React!$C$212:$I$212,Curves!$BP$21:$BV$21)+SUMPRODUCT(React!$C$213:$I$213,Curves!$BP$44:$BV$44)+SUMPRODUCT(React!$C$214:$I$214,Curves!$BP$67:$BV$67)</f>
        <v/>
      </c>
      <c r="J215" s="5">
        <f>SUMPRODUCT(React!$C$212:$J$212,Curves!$BO$21:$BV$21)+SUMPRODUCT(React!$C$213:$J$213,Curves!$BO$44:$BV$44)+SUMPRODUCT(React!$C$214:$J$214,Curves!$BO$67:$BV$67)</f>
        <v/>
      </c>
      <c r="K215" s="5">
        <f>SUMPRODUCT(React!$C$212:$K$212,Curves!$BN$21:$BV$21)+SUMPRODUCT(React!$C$213:$K$213,Curves!$BN$44:$BV$44)+SUMPRODUCT(React!$C$214:$K$214,Curves!$BN$67:$BV$67)</f>
        <v/>
      </c>
      <c r="L215" s="5">
        <f>SUMPRODUCT(React!$C$212:$L$212,Curves!$BM$21:$BV$21)+SUMPRODUCT(React!$C$213:$L$213,Curves!$BM$44:$BV$44)+SUMPRODUCT(React!$C$214:$L$214,Curves!$BM$67:$BV$67)</f>
        <v/>
      </c>
      <c r="M215" s="5">
        <f>SUMPRODUCT(React!$C$212:$M$212,Curves!$BL$21:$BV$21)+SUMPRODUCT(React!$C$213:$M$213,Curves!$BL$44:$BV$44)+SUMPRODUCT(React!$C$214:$M$214,Curves!$BL$67:$BV$67)</f>
        <v/>
      </c>
      <c r="N215" s="5">
        <f>SUMPRODUCT(React!$C$212:$N$212,Curves!$BK$21:$BV$21)+SUMPRODUCT(React!$C$213:$N$213,Curves!$BK$44:$BV$44)+SUMPRODUCT(React!$C$214:$N$214,Curves!$BK$67:$BV$67)</f>
        <v/>
      </c>
      <c r="O215" s="5">
        <f>SUMPRODUCT(React!$C$212:$O$212,Curves!$BJ$21:$BV$21)+SUMPRODUCT(React!$C$213:$O$213,Curves!$BJ$44:$BV$44)+SUMPRODUCT(React!$C$214:$O$214,Curves!$BJ$67:$BV$67)</f>
        <v/>
      </c>
      <c r="P215" s="5">
        <f>SUMPRODUCT(React!$C$212:$P$212,Curves!$BI$21:$BV$21)+SUMPRODUCT(React!$C$213:$P$213,Curves!$BI$44:$BV$44)+SUMPRODUCT(React!$C$214:$P$214,Curves!$BI$67:$BV$67)</f>
        <v/>
      </c>
      <c r="Q215" s="5">
        <f>SUMPRODUCT(React!$C$212:$Q$212,Curves!$BH$21:$BV$21)+SUMPRODUCT(React!$C$213:$Q$213,Curves!$BH$44:$BV$44)+SUMPRODUCT(React!$C$214:$Q$214,Curves!$BH$67:$BV$67)</f>
        <v/>
      </c>
      <c r="R215" s="5">
        <f>SUMPRODUCT(React!$C$212:$R$212,Curves!$BG$21:$BV$21)+SUMPRODUCT(React!$C$213:$R$213,Curves!$BG$44:$BV$44)+SUMPRODUCT(React!$C$214:$R$214,Curves!$BG$67:$BV$67)</f>
        <v/>
      </c>
      <c r="S215" s="5">
        <f>SUMPRODUCT(React!$C$212:$S$212,Curves!$BF$21:$BV$21)+SUMPRODUCT(React!$C$213:$S$213,Curves!$BF$44:$BV$44)+SUMPRODUCT(React!$C$214:$S$214,Curves!$BF$67:$BV$67)</f>
        <v/>
      </c>
      <c r="T215" s="5">
        <f>SUMPRODUCT(React!$C$212:$T$212,Curves!$BE$21:$BV$21)+SUMPRODUCT(React!$C$213:$T$213,Curves!$BE$44:$BV$44)+SUMPRODUCT(React!$C$214:$T$214,Curves!$BE$67:$BV$67)</f>
        <v/>
      </c>
      <c r="U215" s="5">
        <f>SUMPRODUCT(React!$C$212:$U$212,Curves!$BD$21:$BV$21)+SUMPRODUCT(React!$C$213:$U$213,Curves!$BD$44:$BV$44)+SUMPRODUCT(React!$C$214:$U$214,Curves!$BD$67:$BV$67)</f>
        <v/>
      </c>
      <c r="V215" s="5">
        <f>SUMPRODUCT(React!$C$212:$V$212,Curves!$BC$21:$BV$21)+SUMPRODUCT(React!$C$213:$V$213,Curves!$BC$44:$BV$44)+SUMPRODUCT(React!$C$214:$V$214,Curves!$BC$67:$BV$67)</f>
        <v/>
      </c>
      <c r="W215" s="5">
        <f>SUMPRODUCT(React!$C$212:$W$212,Curves!$BB$21:$BV$21)+SUMPRODUCT(React!$C$213:$W$213,Curves!$BB$44:$BV$44)+SUMPRODUCT(React!$C$214:$W$214,Curves!$BB$67:$BV$67)</f>
        <v/>
      </c>
      <c r="X215" s="5">
        <f>SUMPRODUCT(React!$C$212:$X$212,Curves!$BA$21:$BV$21)+SUMPRODUCT(React!$C$213:$X$213,Curves!$BA$44:$BV$44)+SUMPRODUCT(React!$C$214:$X$214,Curves!$BA$67:$BV$67)</f>
        <v/>
      </c>
      <c r="Y215" s="5">
        <f>SUMPRODUCT(React!$C$212:$Y$212,Curves!$AZ$21:$BV$21)+SUMPRODUCT(React!$C$213:$Y$213,Curves!$AZ$44:$BV$44)+SUMPRODUCT(React!$C$214:$Y$214,Curves!$AZ$67:$BV$67)</f>
        <v/>
      </c>
      <c r="Z215" s="5">
        <f>SUMPRODUCT(React!$C$212:$Z$212,Curves!$AY$21:$BV$21)+SUMPRODUCT(React!$C$213:$Z$213,Curves!$AY$44:$BV$44)+SUMPRODUCT(React!$C$214:$Z$214,Curves!$AY$67:$BV$67)</f>
        <v/>
      </c>
      <c r="AA215" s="5">
        <f>SUMPRODUCT(React!$C$212:$AA$212,Curves!$AX$21:$BV$21)+SUMPRODUCT(React!$C$213:$AA$213,Curves!$AX$44:$BV$44)+SUMPRODUCT(React!$C$214:$AA$214,Curves!$AX$67:$BV$67)</f>
        <v/>
      </c>
      <c r="AB215" s="5">
        <f>SUMPRODUCT(React!$C$212:$AB$212,Curves!$AW$21:$BV$21)+SUMPRODUCT(React!$C$213:$AB$213,Curves!$AW$44:$BV$44)+SUMPRODUCT(React!$C$214:$AB$214,Curves!$AW$67:$BV$67)</f>
        <v/>
      </c>
      <c r="AC215" s="5">
        <f>SUMPRODUCT(React!$C$212:$AC$212,Curves!$AV$21:$BV$21)+SUMPRODUCT(React!$C$213:$AC$213,Curves!$AV$44:$BV$44)+SUMPRODUCT(React!$C$214:$AC$214,Curves!$AV$67:$BV$67)</f>
        <v/>
      </c>
      <c r="AD215" s="5">
        <f>SUMPRODUCT(React!$C$212:$AD$212,Curves!$AU$21:$BV$21)+SUMPRODUCT(React!$C$213:$AD$213,Curves!$AU$44:$BV$44)+SUMPRODUCT(React!$C$214:$AD$214,Curves!$AU$67:$BV$67)</f>
        <v/>
      </c>
      <c r="AE215" s="5">
        <f>SUMPRODUCT(React!$C$212:$AE$212,Curves!$AT$21:$BV$21)+SUMPRODUCT(React!$C$213:$AE$213,Curves!$AT$44:$BV$44)+SUMPRODUCT(React!$C$214:$AE$214,Curves!$AT$67:$BV$67)</f>
        <v/>
      </c>
      <c r="AF215" s="5">
        <f>SUMPRODUCT(React!$C$212:$AF$212,Curves!$AS$21:$BV$21)+SUMPRODUCT(React!$C$213:$AF$213,Curves!$AS$44:$BV$44)+SUMPRODUCT(React!$C$214:$AF$214,Curves!$AS$67:$BV$67)</f>
        <v/>
      </c>
      <c r="AG215" s="5">
        <f>SUMPRODUCT(React!$C$212:$AG$212,Curves!$AR$21:$BV$21)+SUMPRODUCT(React!$C$213:$AG$213,Curves!$AR$44:$BV$44)+SUMPRODUCT(React!$C$214:$AG$214,Curves!$AR$67:$BV$67)</f>
        <v/>
      </c>
      <c r="AH215" s="5">
        <f>SUMPRODUCT(React!$C$212:$AH$212,Curves!$AQ$21:$BV$21)+SUMPRODUCT(React!$C$213:$AH$213,Curves!$AQ$44:$BV$44)+SUMPRODUCT(React!$C$214:$AH$214,Curves!$AQ$67:$BV$67)</f>
        <v/>
      </c>
      <c r="AI215" s="5">
        <f>SUMPRODUCT(React!$C$212:$AI$212,Curves!$AP$21:$BV$21)+SUMPRODUCT(React!$C$213:$AI$213,Curves!$AP$44:$BV$44)+SUMPRODUCT(React!$C$214:$AI$214,Curves!$AP$67:$BV$67)</f>
        <v/>
      </c>
      <c r="AJ215" s="5">
        <f>SUMPRODUCT(React!$C$212:$AJ$212,Curves!$AO$21:$BV$21)+SUMPRODUCT(React!$C$213:$AJ$213,Curves!$AO$44:$BV$44)+SUMPRODUCT(React!$C$214:$AJ$214,Curves!$AO$67:$BV$67)</f>
        <v/>
      </c>
      <c r="AK215" s="5">
        <f>SUMPRODUCT(React!$C$212:$AK$212,Curves!$AN$21:$BV$21)+SUMPRODUCT(React!$C$213:$AK$213,Curves!$AN$44:$BV$44)+SUMPRODUCT(React!$C$214:$AK$214,Curves!$AN$67:$BV$67)</f>
        <v/>
      </c>
      <c r="AL215" s="5">
        <f>SUMPRODUCT(React!$C$212:$AL$212,Curves!$AM$21:$BV$21)+SUMPRODUCT(React!$C$213:$AL$213,Curves!$AM$44:$BV$44)+SUMPRODUCT(React!$C$214:$AL$214,Curves!$AM$67:$BV$67)</f>
        <v/>
      </c>
      <c r="AM215" s="5">
        <f>SUMPRODUCT(React!$C$212:$AM$212,Curves!$AL$21:$BV$21)+SUMPRODUCT(React!$C$213:$AM$213,Curves!$AL$44:$BV$44)+SUMPRODUCT(React!$C$214:$AM$214,Curves!$AL$67:$BV$67)</f>
        <v/>
      </c>
      <c r="AN215" s="5">
        <f>SUMPRODUCT(React!$C$212:$AN$212,Curves!$AK$21:$BV$21)+SUMPRODUCT(React!$C$213:$AN$213,Curves!$AK$44:$BV$44)+SUMPRODUCT(React!$C$214:$AN$214,Curves!$AK$67:$BV$67)</f>
        <v/>
      </c>
      <c r="AO215" s="5">
        <f>SUMPRODUCT(React!$C$212:$AO$212,Curves!$AJ$21:$BV$21)+SUMPRODUCT(React!$C$213:$AO$213,Curves!$AJ$44:$BV$44)+SUMPRODUCT(React!$C$214:$AO$214,Curves!$AJ$67:$BV$67)</f>
        <v/>
      </c>
      <c r="AP215" s="5">
        <f>SUMPRODUCT(React!$C$212:$AP$212,Curves!$AI$21:$BV$21)+SUMPRODUCT(React!$C$213:$AP$213,Curves!$AI$44:$BV$44)+SUMPRODUCT(React!$C$214:$AP$214,Curves!$AI$67:$BV$67)</f>
        <v/>
      </c>
      <c r="AQ215" s="5">
        <f>SUMPRODUCT(React!$C$212:$AQ$212,Curves!$AH$21:$BV$21)+SUMPRODUCT(React!$C$213:$AQ$213,Curves!$AH$44:$BV$44)+SUMPRODUCT(React!$C$214:$AQ$214,Curves!$AH$67:$BV$67)</f>
        <v/>
      </c>
      <c r="AR215" s="5">
        <f>SUMPRODUCT(React!$C$212:$AR$212,Curves!$AG$21:$BV$21)+SUMPRODUCT(React!$C$213:$AR$213,Curves!$AG$44:$BV$44)+SUMPRODUCT(React!$C$214:$AR$214,Curves!$AG$67:$BV$67)</f>
        <v/>
      </c>
      <c r="AS215" s="5">
        <f>SUMPRODUCT(React!$C$212:$AS$212,Curves!$AF$21:$BV$21)+SUMPRODUCT(React!$C$213:$AS$213,Curves!$AF$44:$BV$44)+SUMPRODUCT(React!$C$214:$AS$214,Curves!$AF$67:$BV$67)</f>
        <v/>
      </c>
      <c r="AT215" s="5">
        <f>SUMPRODUCT(React!$C$212:$AT$212,Curves!$AE$21:$BV$21)+SUMPRODUCT(React!$C$213:$AT$213,Curves!$AE$44:$BV$44)+SUMPRODUCT(React!$C$214:$AT$214,Curves!$AE$67:$BV$67)</f>
        <v/>
      </c>
      <c r="AU215" s="5">
        <f>SUMPRODUCT(React!$C$212:$AU$212,Curves!$AD$21:$BV$21)+SUMPRODUCT(React!$C$213:$AU$213,Curves!$AD$44:$BV$44)+SUMPRODUCT(React!$C$214:$AU$214,Curves!$AD$67:$BV$67)</f>
        <v/>
      </c>
      <c r="AV215" s="5">
        <f>SUMPRODUCT(React!$C$212:$AV$212,Curves!$AC$21:$BV$21)+SUMPRODUCT(React!$C$213:$AV$213,Curves!$AC$44:$BV$44)+SUMPRODUCT(React!$C$214:$AV$214,Curves!$AC$67:$BV$67)</f>
        <v/>
      </c>
      <c r="AW215" s="5">
        <f>SUMPRODUCT(React!$C$212:$AW$212,Curves!$AB$21:$BV$21)+SUMPRODUCT(React!$C$213:$AW$213,Curves!$AB$44:$BV$44)+SUMPRODUCT(React!$C$214:$AW$214,Curves!$AB$67:$BV$67)</f>
        <v/>
      </c>
      <c r="AX215" s="5">
        <f>SUMPRODUCT(React!$C$212:$AX$212,Curves!$AA$21:$BV$21)+SUMPRODUCT(React!$C$213:$AX$213,Curves!$AA$44:$BV$44)+SUMPRODUCT(React!$C$214:$AX$214,Curves!$AA$67:$BV$67)</f>
        <v/>
      </c>
      <c r="AY215" s="5">
        <f>SUMPRODUCT(React!$C$212:$AY$212,Curves!$Z$21:$BV$21)+SUMPRODUCT(React!$C$213:$AY$213,Curves!$Z$44:$BV$44)+SUMPRODUCT(React!$C$214:$AY$214,Curves!$Z$67:$BV$67)</f>
        <v/>
      </c>
      <c r="AZ215" s="5">
        <f>SUMPRODUCT(React!$C$212:$AZ$212,Curves!$Y$21:$BV$21)+SUMPRODUCT(React!$C$213:$AZ$213,Curves!$Y$44:$BV$44)+SUMPRODUCT(React!$C$214:$AZ$214,Curves!$Y$67:$BV$67)</f>
        <v/>
      </c>
      <c r="BA215" s="5">
        <f>SUMPRODUCT(React!$C$212:$BA$212,Curves!$X$21:$BV$21)+SUMPRODUCT(React!$C$213:$BA$213,Curves!$X$44:$BV$44)+SUMPRODUCT(React!$C$214:$BA$214,Curves!$X$67:$BV$67)</f>
        <v/>
      </c>
      <c r="BB215" s="5">
        <f>SUMPRODUCT(React!$C$212:$BB$212,Curves!$W$21:$BV$21)+SUMPRODUCT(React!$C$213:$BB$213,Curves!$W$44:$BV$44)+SUMPRODUCT(React!$C$214:$BB$214,Curves!$W$67:$BV$67)</f>
        <v/>
      </c>
      <c r="BC215" s="5">
        <f>SUMPRODUCT(React!$C$212:$BC$212,Curves!$V$21:$BV$21)+SUMPRODUCT(React!$C$213:$BC$213,Curves!$V$44:$BV$44)+SUMPRODUCT(React!$C$214:$BC$214,Curves!$V$67:$BV$67)</f>
        <v/>
      </c>
      <c r="BD215" s="5">
        <f>SUMPRODUCT(React!$C$212:$BD$212,Curves!$U$21:$BV$21)+SUMPRODUCT(React!$C$213:$BD$213,Curves!$U$44:$BV$44)+SUMPRODUCT(React!$C$214:$BD$214,Curves!$U$67:$BV$67)</f>
        <v/>
      </c>
      <c r="BE215" s="5">
        <f>SUMPRODUCT(React!$C$212:$BE$212,Curves!$T$21:$BV$21)+SUMPRODUCT(React!$C$213:$BE$213,Curves!$T$44:$BV$44)+SUMPRODUCT(React!$C$214:$BE$214,Curves!$T$67:$BV$67)</f>
        <v/>
      </c>
      <c r="BF215" s="5">
        <f>SUMPRODUCT(React!$C$212:$BF$212,Curves!$S$21:$BV$21)+SUMPRODUCT(React!$C$213:$BF$213,Curves!$S$44:$BV$44)+SUMPRODUCT(React!$C$214:$BF$214,Curves!$S$67:$BV$67)</f>
        <v/>
      </c>
      <c r="BG215" s="5">
        <f>SUMPRODUCT(React!$C$212:$BG$212,Curves!$R$21:$BV$21)+SUMPRODUCT(React!$C$213:$BG$213,Curves!$R$44:$BV$44)+SUMPRODUCT(React!$C$214:$BG$214,Curves!$R$67:$BV$67)</f>
        <v/>
      </c>
      <c r="BH215" s="5">
        <f>SUMPRODUCT(React!$C$212:$BH$212,Curves!$Q$21:$BV$21)+SUMPRODUCT(React!$C$213:$BH$213,Curves!$Q$44:$BV$44)+SUMPRODUCT(React!$C$214:$BH$214,Curves!$Q$67:$BV$67)</f>
        <v/>
      </c>
      <c r="BI215" s="5">
        <f>SUMPRODUCT(React!$C$212:$BI$212,Curves!$P$21:$BV$21)+SUMPRODUCT(React!$C$213:$BI$213,Curves!$P$44:$BV$44)+SUMPRODUCT(React!$C$214:$BI$214,Curves!$P$67:$BV$67)</f>
        <v/>
      </c>
      <c r="BJ215" s="5">
        <f>SUMPRODUCT(React!$C$212:$BJ$212,Curves!$O$21:$BV$21)+SUMPRODUCT(React!$C$213:$BJ$213,Curves!$O$44:$BV$44)+SUMPRODUCT(React!$C$214:$BJ$214,Curves!$O$67:$BV$67)</f>
        <v/>
      </c>
      <c r="BK215" s="5">
        <f>SUMPRODUCT(React!$C$212:$BK$212,Curves!$N$21:$BV$21)+SUMPRODUCT(React!$C$213:$BK$213,Curves!$N$44:$BV$44)+SUMPRODUCT(React!$C$214:$BK$214,Curves!$N$67:$BV$67)</f>
        <v/>
      </c>
      <c r="BL215" s="5">
        <f>SUMPRODUCT(React!$C$212:$BL$212,Curves!$M$21:$BV$21)+SUMPRODUCT(React!$C$213:$BL$213,Curves!$M$44:$BV$44)+SUMPRODUCT(React!$C$214:$BL$214,Curves!$M$67:$BV$67)</f>
        <v/>
      </c>
      <c r="BM215" s="5">
        <f>SUMPRODUCT(React!$C$212:$BM$212,Curves!$L$21:$BV$21)+SUMPRODUCT(React!$C$213:$BM$213,Curves!$L$44:$BV$44)+SUMPRODUCT(React!$C$214:$BM$214,Curves!$L$67:$BV$67)</f>
        <v/>
      </c>
      <c r="BN215" s="5">
        <f>SUMPRODUCT(React!$C$212:$BN$212,Curves!$K$21:$BV$21)+SUMPRODUCT(React!$C$213:$BN$213,Curves!$K$44:$BV$44)+SUMPRODUCT(React!$C$214:$BN$214,Curves!$K$67:$BV$67)</f>
        <v/>
      </c>
      <c r="BO215" s="5">
        <f>SUMPRODUCT(React!$C$212:$BO$212,Curves!$J$21:$BV$21)+SUMPRODUCT(React!$C$213:$BO$213,Curves!$J$44:$BV$44)+SUMPRODUCT(React!$C$214:$BO$214,Curves!$J$67:$BV$67)</f>
        <v/>
      </c>
      <c r="BP215" s="5">
        <f>SUMPRODUCT(React!$C$212:$BP$212,Curves!$I$21:$BV$21)+SUMPRODUCT(React!$C$213:$BP$213,Curves!$I$44:$BV$44)+SUMPRODUCT(React!$C$214:$BP$214,Curves!$I$67:$BV$67)</f>
        <v/>
      </c>
      <c r="BQ215" s="5">
        <f>SUMPRODUCT(React!$C$212:$BQ$212,Curves!$H$21:$BV$21)+SUMPRODUCT(React!$C$213:$BQ$213,Curves!$H$44:$BV$44)+SUMPRODUCT(React!$C$214:$BQ$214,Curves!$H$67:$BV$67)</f>
        <v/>
      </c>
      <c r="BR215" s="5">
        <f>SUMPRODUCT(React!$C$212:$BR$212,Curves!$G$21:$BV$21)+SUMPRODUCT(React!$C$213:$BR$213,Curves!$G$44:$BV$44)+SUMPRODUCT(React!$C$214:$BR$214,Curves!$G$67:$BV$67)</f>
        <v/>
      </c>
      <c r="BS215" s="5">
        <f>SUMPRODUCT(React!$C$212:$BS$212,Curves!$F$21:$BV$21)+SUMPRODUCT(React!$C$213:$BS$213,Curves!$F$44:$BV$44)+SUMPRODUCT(React!$C$214:$BS$214,Curves!$F$67:$BV$67)</f>
        <v/>
      </c>
      <c r="BT215" s="5">
        <f>SUMPRODUCT(React!$C$212:$BT$212,Curves!$E$21:$BV$21)+SUMPRODUCT(React!$C$213:$BT$213,Curves!$E$44:$BV$44)+SUMPRODUCT(React!$C$214:$BT$214,Curves!$E$67:$BV$67)</f>
        <v/>
      </c>
      <c r="BU215" s="5">
        <f>SUMPRODUCT(React!$C$212:$BU$212,Curves!$D$21:$BV$21)+SUMPRODUCT(React!$C$213:$BU$213,Curves!$D$44:$BV$44)+SUMPRODUCT(React!$C$214:$BU$214,Curves!$D$67:$BV$67)</f>
        <v/>
      </c>
      <c r="BV215" s="5">
        <f>SUMPRODUCT(React!$C$212:$BV$212,Curves!$C$21:$BV$21)+SUMPRODUCT(React!$C$213:$BV$213,Curves!$C$44:$BV$44)+SUMPRODUCT(React!$C$214:$BV$214,Curves!$C$67:$BV$67)</f>
        <v/>
      </c>
    </row>
    <row r="216">
      <c r="A216" t="inlineStr">
        <is>
          <t>reactivated in</t>
        </is>
      </c>
      <c r="B216" t="inlineStr">
        <is>
          <t>ROW|NITRO_M</t>
        </is>
      </c>
      <c r="C216" s="5">
        <f>C215+C228</f>
        <v/>
      </c>
      <c r="D216" s="5">
        <f>D215+D228</f>
        <v/>
      </c>
      <c r="E216" s="5">
        <f>E215+E228</f>
        <v/>
      </c>
      <c r="F216" s="5">
        <f>F215+F228</f>
        <v/>
      </c>
      <c r="G216" s="5">
        <f>G215+G228</f>
        <v/>
      </c>
      <c r="H216" s="5">
        <f>H215+H228</f>
        <v/>
      </c>
      <c r="I216" s="5">
        <f>I215+I228</f>
        <v/>
      </c>
      <c r="J216" s="5">
        <f>J215+J228</f>
        <v/>
      </c>
      <c r="K216" s="5">
        <f>K215+K228</f>
        <v/>
      </c>
      <c r="L216" s="5">
        <f>L215+L228</f>
        <v/>
      </c>
      <c r="M216" s="5">
        <f>M215+M228</f>
        <v/>
      </c>
      <c r="N216" s="5">
        <f>N215+N228</f>
        <v/>
      </c>
      <c r="O216" s="5">
        <f>O215+O228</f>
        <v/>
      </c>
      <c r="P216" s="5">
        <f>P215+P228</f>
        <v/>
      </c>
      <c r="Q216" s="5">
        <f>Q215+Q228</f>
        <v/>
      </c>
      <c r="R216" s="5">
        <f>R215+R228</f>
        <v/>
      </c>
      <c r="S216" s="5">
        <f>S215+S228</f>
        <v/>
      </c>
      <c r="T216" s="5">
        <f>T215+T228</f>
        <v/>
      </c>
      <c r="U216" s="5">
        <f>U215+U228</f>
        <v/>
      </c>
      <c r="V216" s="5">
        <f>V215+V228</f>
        <v/>
      </c>
      <c r="W216" s="5">
        <f>W215+W228</f>
        <v/>
      </c>
      <c r="X216" s="5">
        <f>X215+X228</f>
        <v/>
      </c>
      <c r="Y216" s="5">
        <f>Y215+Y228</f>
        <v/>
      </c>
      <c r="Z216" s="5">
        <f>Z215+Z228</f>
        <v/>
      </c>
      <c r="AA216" s="5">
        <f>AA215+AA228</f>
        <v/>
      </c>
      <c r="AB216" s="5">
        <f>AB215+AB228</f>
        <v/>
      </c>
      <c r="AC216" s="5">
        <f>AC215+AC228</f>
        <v/>
      </c>
      <c r="AD216" s="5">
        <f>AD215+AD228</f>
        <v/>
      </c>
      <c r="AE216" s="5">
        <f>AE215+AE228</f>
        <v/>
      </c>
      <c r="AF216" s="5">
        <f>AF215+AF228</f>
        <v/>
      </c>
      <c r="AG216" s="5">
        <f>AG215+AG228</f>
        <v/>
      </c>
      <c r="AH216" s="5">
        <f>AH215+AH228</f>
        <v/>
      </c>
      <c r="AI216" s="5">
        <f>AI215+AI228</f>
        <v/>
      </c>
      <c r="AJ216" s="5">
        <f>AJ215+AJ228</f>
        <v/>
      </c>
      <c r="AK216" s="5">
        <f>AK215+AK228</f>
        <v/>
      </c>
      <c r="AL216" s="5">
        <f>AL215+AL228</f>
        <v/>
      </c>
      <c r="AM216" s="5">
        <f>AM215+AM228</f>
        <v/>
      </c>
      <c r="AN216" s="5">
        <f>AN215+AN228</f>
        <v/>
      </c>
      <c r="AO216" s="5">
        <f>AO215+AO228</f>
        <v/>
      </c>
      <c r="AP216" s="5">
        <f>AP215+AP228</f>
        <v/>
      </c>
      <c r="AQ216" s="5">
        <f>AQ215+AQ228</f>
        <v/>
      </c>
      <c r="AR216" s="5">
        <f>AR215+AR228</f>
        <v/>
      </c>
      <c r="AS216" s="5">
        <f>AS215+AS228</f>
        <v/>
      </c>
      <c r="AT216" s="5">
        <f>AT215+AT228</f>
        <v/>
      </c>
      <c r="AU216" s="5">
        <f>AU215+AU228</f>
        <v/>
      </c>
      <c r="AV216" s="5">
        <f>AV215+AV228</f>
        <v/>
      </c>
      <c r="AW216" s="5">
        <f>AW215+AW228</f>
        <v/>
      </c>
      <c r="AX216" s="5">
        <f>AX215+AX228</f>
        <v/>
      </c>
      <c r="AY216" s="5">
        <f>AY215+AY228</f>
        <v/>
      </c>
      <c r="AZ216" s="5">
        <f>AZ215+AZ228</f>
        <v/>
      </c>
      <c r="BA216" s="5">
        <f>BA215+BA228</f>
        <v/>
      </c>
      <c r="BB216" s="5">
        <f>BB215+BB228</f>
        <v/>
      </c>
      <c r="BC216" s="5">
        <f>BC215+BC228</f>
        <v/>
      </c>
      <c r="BD216" s="5">
        <f>BD215+BD228</f>
        <v/>
      </c>
      <c r="BE216" s="5">
        <f>BE215+BE228</f>
        <v/>
      </c>
      <c r="BF216" s="5">
        <f>BF215+BF228</f>
        <v/>
      </c>
      <c r="BG216" s="5">
        <f>BG215+BG228</f>
        <v/>
      </c>
      <c r="BH216" s="5">
        <f>BH215+BH228</f>
        <v/>
      </c>
      <c r="BI216" s="5">
        <f>BI215+BI228</f>
        <v/>
      </c>
      <c r="BJ216" s="5">
        <f>BJ215+BJ228</f>
        <v/>
      </c>
      <c r="BK216" s="5">
        <f>BK215+BK228</f>
        <v/>
      </c>
      <c r="BL216" s="5">
        <f>BL215+BL228</f>
        <v/>
      </c>
      <c r="BM216" s="5">
        <f>BM215+BM228</f>
        <v/>
      </c>
      <c r="BN216" s="5">
        <f>BN215+BN228</f>
        <v/>
      </c>
      <c r="BO216" s="5">
        <f>BO215+BO228</f>
        <v/>
      </c>
      <c r="BP216" s="5">
        <f>BP215+BP228</f>
        <v/>
      </c>
      <c r="BQ216" s="5">
        <f>BQ215+BQ228</f>
        <v/>
      </c>
      <c r="BR216" s="5">
        <f>BR215+BR228</f>
        <v/>
      </c>
      <c r="BS216" s="5">
        <f>BS215+BS228</f>
        <v/>
      </c>
      <c r="BT216" s="5">
        <f>BT215+BT228</f>
        <v/>
      </c>
      <c r="BU216" s="5">
        <f>BU215+BU228</f>
        <v/>
      </c>
      <c r="BV216" s="5">
        <f>BV215+BV228</f>
        <v/>
      </c>
    </row>
    <row r="217">
      <c r="A217" t="inlineStr">
        <is>
          <t>reactivated in @0</t>
        </is>
      </c>
      <c r="B217" t="inlineStr">
        <is>
          <t>ROW|NITRO_M</t>
        </is>
      </c>
      <c r="C217" s="5">
        <f>C216*Eras!C$3</f>
        <v/>
      </c>
      <c r="D217" s="5">
        <f>D216*Eras!D$3</f>
        <v/>
      </c>
      <c r="E217" s="5">
        <f>E216*Eras!E$3</f>
        <v/>
      </c>
      <c r="F217" s="5">
        <f>F216*Eras!F$3</f>
        <v/>
      </c>
      <c r="G217" s="5">
        <f>G216*Eras!G$3</f>
        <v/>
      </c>
      <c r="H217" s="5">
        <f>H216*Eras!H$3</f>
        <v/>
      </c>
      <c r="I217" s="5">
        <f>I216*Eras!I$3</f>
        <v/>
      </c>
      <c r="J217" s="5">
        <f>J216*Eras!J$3</f>
        <v/>
      </c>
      <c r="K217" s="5">
        <f>K216*Eras!K$3</f>
        <v/>
      </c>
      <c r="L217" s="5">
        <f>L216*Eras!L$3</f>
        <v/>
      </c>
      <c r="M217" s="5">
        <f>M216*Eras!M$3</f>
        <v/>
      </c>
      <c r="N217" s="5">
        <f>N216*Eras!N$3</f>
        <v/>
      </c>
      <c r="O217" s="5">
        <f>O216*Eras!O$3</f>
        <v/>
      </c>
      <c r="P217" s="5">
        <f>P216*Eras!P$3</f>
        <v/>
      </c>
      <c r="Q217" s="5">
        <f>Q216*Eras!Q$3</f>
        <v/>
      </c>
      <c r="R217" s="5">
        <f>R216*Eras!R$3</f>
        <v/>
      </c>
      <c r="S217" s="5">
        <f>S216*Eras!S$3</f>
        <v/>
      </c>
      <c r="T217" s="5">
        <f>T216*Eras!T$3</f>
        <v/>
      </c>
      <c r="U217" s="5">
        <f>U216*Eras!U$3</f>
        <v/>
      </c>
      <c r="V217" s="5">
        <f>V216*Eras!V$3</f>
        <v/>
      </c>
      <c r="W217" s="5">
        <f>W216*Eras!W$3</f>
        <v/>
      </c>
      <c r="X217" s="5">
        <f>X216*Eras!X$3</f>
        <v/>
      </c>
      <c r="Y217" s="5">
        <f>Y216*Eras!Y$3</f>
        <v/>
      </c>
      <c r="Z217" s="5">
        <f>Z216*Eras!Z$3</f>
        <v/>
      </c>
      <c r="AA217" s="5">
        <f>AA216*Eras!AA$3</f>
        <v/>
      </c>
      <c r="AB217" s="5">
        <f>AB216*Eras!AB$3</f>
        <v/>
      </c>
      <c r="AC217" s="5">
        <f>AC216*Eras!AC$3</f>
        <v/>
      </c>
      <c r="AD217" s="5">
        <f>AD216*Eras!AD$3</f>
        <v/>
      </c>
      <c r="AE217" s="5">
        <f>AE216*Eras!AE$3</f>
        <v/>
      </c>
      <c r="AF217" s="5">
        <f>AF216*Eras!AF$3</f>
        <v/>
      </c>
      <c r="AG217" s="5">
        <f>AG216*Eras!AG$3</f>
        <v/>
      </c>
      <c r="AH217" s="5">
        <f>AH216*Eras!AH$3</f>
        <v/>
      </c>
      <c r="AI217" s="5">
        <f>AI216*Eras!AI$3</f>
        <v/>
      </c>
      <c r="AJ217" s="5">
        <f>AJ216*Eras!AJ$3</f>
        <v/>
      </c>
      <c r="AK217" s="5">
        <f>AK216*Eras!AK$3</f>
        <v/>
      </c>
      <c r="AL217" s="5">
        <f>AL216*Eras!AL$3</f>
        <v/>
      </c>
      <c r="AM217" s="5">
        <f>AM216*Eras!AM$3</f>
        <v/>
      </c>
      <c r="AN217" s="5">
        <f>AN216*Eras!AN$3</f>
        <v/>
      </c>
      <c r="AO217" s="5">
        <f>AO216*Eras!AO$3</f>
        <v/>
      </c>
      <c r="AP217" s="5">
        <f>AP216*Eras!AP$3</f>
        <v/>
      </c>
      <c r="AQ217" s="5">
        <f>AQ216*Eras!AQ$3</f>
        <v/>
      </c>
      <c r="AR217" s="5">
        <f>AR216*Eras!AR$3</f>
        <v/>
      </c>
      <c r="AS217" s="5">
        <f>AS216*Eras!AS$3</f>
        <v/>
      </c>
      <c r="AT217" s="5">
        <f>AT216*Eras!AT$3</f>
        <v/>
      </c>
      <c r="AU217" s="5">
        <f>AU216*Eras!AU$3</f>
        <v/>
      </c>
      <c r="AV217" s="5">
        <f>AV216*Eras!AV$3</f>
        <v/>
      </c>
      <c r="AW217" s="5">
        <f>AW216*Eras!AW$3</f>
        <v/>
      </c>
      <c r="AX217" s="5">
        <f>AX216*Eras!AX$3</f>
        <v/>
      </c>
      <c r="AY217" s="5">
        <f>AY216*Eras!AY$3</f>
        <v/>
      </c>
      <c r="AZ217" s="5">
        <f>AZ216*Eras!AZ$3</f>
        <v/>
      </c>
      <c r="BA217" s="5">
        <f>BA216*Eras!BA$3</f>
        <v/>
      </c>
      <c r="BB217" s="5">
        <f>BB216*Eras!BB$3</f>
        <v/>
      </c>
      <c r="BC217" s="5">
        <f>BC216*Eras!BC$3</f>
        <v/>
      </c>
      <c r="BD217" s="5">
        <f>BD216*Eras!BD$3</f>
        <v/>
      </c>
      <c r="BE217" s="5">
        <f>BE216*Eras!BE$3</f>
        <v/>
      </c>
      <c r="BF217" s="5">
        <f>BF216*Eras!BF$3</f>
        <v/>
      </c>
      <c r="BG217" s="5">
        <f>BG216*Eras!BG$3</f>
        <v/>
      </c>
      <c r="BH217" s="5">
        <f>BH216*Eras!BH$3</f>
        <v/>
      </c>
      <c r="BI217" s="5">
        <f>BI216*Eras!BI$3</f>
        <v/>
      </c>
      <c r="BJ217" s="5">
        <f>BJ216*Eras!BJ$3</f>
        <v/>
      </c>
      <c r="BK217" s="5">
        <f>BK216*Eras!BK$3</f>
        <v/>
      </c>
      <c r="BL217" s="5">
        <f>BL216*Eras!BL$3</f>
        <v/>
      </c>
      <c r="BM217" s="5">
        <f>BM216*Eras!BM$3</f>
        <v/>
      </c>
      <c r="BN217" s="5">
        <f>BN216*Eras!BN$3</f>
        <v/>
      </c>
      <c r="BO217" s="5">
        <f>BO216*Eras!BO$3</f>
        <v/>
      </c>
      <c r="BP217" s="5">
        <f>BP216*Eras!BP$3</f>
        <v/>
      </c>
      <c r="BQ217" s="5">
        <f>BQ216*Eras!BQ$3</f>
        <v/>
      </c>
      <c r="BR217" s="5">
        <f>BR216*Eras!BR$3</f>
        <v/>
      </c>
      <c r="BS217" s="5">
        <f>BS216*Eras!BS$3</f>
        <v/>
      </c>
      <c r="BT217" s="5">
        <f>BT216*Eras!BT$3</f>
        <v/>
      </c>
      <c r="BU217" s="5">
        <f>BU216*Eras!BU$3</f>
        <v/>
      </c>
      <c r="BV217" s="5">
        <f>BV216*Eras!BV$3</f>
        <v/>
      </c>
    </row>
    <row r="218">
      <c r="A218" t="inlineStr">
        <is>
          <t>reactivated in @1</t>
        </is>
      </c>
      <c r="B218" t="inlineStr">
        <is>
          <t>ROW|NITRO_M</t>
        </is>
      </c>
      <c r="C218" s="5">
        <f>C216*Eras!C$4</f>
        <v/>
      </c>
      <c r="D218" s="5">
        <f>D216*Eras!D$4</f>
        <v/>
      </c>
      <c r="E218" s="5">
        <f>E216*Eras!E$4</f>
        <v/>
      </c>
      <c r="F218" s="5">
        <f>F216*Eras!F$4</f>
        <v/>
      </c>
      <c r="G218" s="5">
        <f>G216*Eras!G$4</f>
        <v/>
      </c>
      <c r="H218" s="5">
        <f>H216*Eras!H$4</f>
        <v/>
      </c>
      <c r="I218" s="5">
        <f>I216*Eras!I$4</f>
        <v/>
      </c>
      <c r="J218" s="5">
        <f>J216*Eras!J$4</f>
        <v/>
      </c>
      <c r="K218" s="5">
        <f>K216*Eras!K$4</f>
        <v/>
      </c>
      <c r="L218" s="5">
        <f>L216*Eras!L$4</f>
        <v/>
      </c>
      <c r="M218" s="5">
        <f>M216*Eras!M$4</f>
        <v/>
      </c>
      <c r="N218" s="5">
        <f>N216*Eras!N$4</f>
        <v/>
      </c>
      <c r="O218" s="5">
        <f>O216*Eras!O$4</f>
        <v/>
      </c>
      <c r="P218" s="5">
        <f>P216*Eras!P$4</f>
        <v/>
      </c>
      <c r="Q218" s="5">
        <f>Q216*Eras!Q$4</f>
        <v/>
      </c>
      <c r="R218" s="5">
        <f>R216*Eras!R$4</f>
        <v/>
      </c>
      <c r="S218" s="5">
        <f>S216*Eras!S$4</f>
        <v/>
      </c>
      <c r="T218" s="5">
        <f>T216*Eras!T$4</f>
        <v/>
      </c>
      <c r="U218" s="5">
        <f>U216*Eras!U$4</f>
        <v/>
      </c>
      <c r="V218" s="5">
        <f>V216*Eras!V$4</f>
        <v/>
      </c>
      <c r="W218" s="5">
        <f>W216*Eras!W$4</f>
        <v/>
      </c>
      <c r="X218" s="5">
        <f>X216*Eras!X$4</f>
        <v/>
      </c>
      <c r="Y218" s="5">
        <f>Y216*Eras!Y$4</f>
        <v/>
      </c>
      <c r="Z218" s="5">
        <f>Z216*Eras!Z$4</f>
        <v/>
      </c>
      <c r="AA218" s="5">
        <f>AA216*Eras!AA$4</f>
        <v/>
      </c>
      <c r="AB218" s="5">
        <f>AB216*Eras!AB$4</f>
        <v/>
      </c>
      <c r="AC218" s="5">
        <f>AC216*Eras!AC$4</f>
        <v/>
      </c>
      <c r="AD218" s="5">
        <f>AD216*Eras!AD$4</f>
        <v/>
      </c>
      <c r="AE218" s="5">
        <f>AE216*Eras!AE$4</f>
        <v/>
      </c>
      <c r="AF218" s="5">
        <f>AF216*Eras!AF$4</f>
        <v/>
      </c>
      <c r="AG218" s="5">
        <f>AG216*Eras!AG$4</f>
        <v/>
      </c>
      <c r="AH218" s="5">
        <f>AH216*Eras!AH$4</f>
        <v/>
      </c>
      <c r="AI218" s="5">
        <f>AI216*Eras!AI$4</f>
        <v/>
      </c>
      <c r="AJ218" s="5">
        <f>AJ216*Eras!AJ$4</f>
        <v/>
      </c>
      <c r="AK218" s="5">
        <f>AK216*Eras!AK$4</f>
        <v/>
      </c>
      <c r="AL218" s="5">
        <f>AL216*Eras!AL$4</f>
        <v/>
      </c>
      <c r="AM218" s="5">
        <f>AM216*Eras!AM$4</f>
        <v/>
      </c>
      <c r="AN218" s="5">
        <f>AN216*Eras!AN$4</f>
        <v/>
      </c>
      <c r="AO218" s="5">
        <f>AO216*Eras!AO$4</f>
        <v/>
      </c>
      <c r="AP218" s="5">
        <f>AP216*Eras!AP$4</f>
        <v/>
      </c>
      <c r="AQ218" s="5">
        <f>AQ216*Eras!AQ$4</f>
        <v/>
      </c>
      <c r="AR218" s="5">
        <f>AR216*Eras!AR$4</f>
        <v/>
      </c>
      <c r="AS218" s="5">
        <f>AS216*Eras!AS$4</f>
        <v/>
      </c>
      <c r="AT218" s="5">
        <f>AT216*Eras!AT$4</f>
        <v/>
      </c>
      <c r="AU218" s="5">
        <f>AU216*Eras!AU$4</f>
        <v/>
      </c>
      <c r="AV218" s="5">
        <f>AV216*Eras!AV$4</f>
        <v/>
      </c>
      <c r="AW218" s="5">
        <f>AW216*Eras!AW$4</f>
        <v/>
      </c>
      <c r="AX218" s="5">
        <f>AX216*Eras!AX$4</f>
        <v/>
      </c>
      <c r="AY218" s="5">
        <f>AY216*Eras!AY$4</f>
        <v/>
      </c>
      <c r="AZ218" s="5">
        <f>AZ216*Eras!AZ$4</f>
        <v/>
      </c>
      <c r="BA218" s="5">
        <f>BA216*Eras!BA$4</f>
        <v/>
      </c>
      <c r="BB218" s="5">
        <f>BB216*Eras!BB$4</f>
        <v/>
      </c>
      <c r="BC218" s="5">
        <f>BC216*Eras!BC$4</f>
        <v/>
      </c>
      <c r="BD218" s="5">
        <f>BD216*Eras!BD$4</f>
        <v/>
      </c>
      <c r="BE218" s="5">
        <f>BE216*Eras!BE$4</f>
        <v/>
      </c>
      <c r="BF218" s="5">
        <f>BF216*Eras!BF$4</f>
        <v/>
      </c>
      <c r="BG218" s="5">
        <f>BG216*Eras!BG$4</f>
        <v/>
      </c>
      <c r="BH218" s="5">
        <f>BH216*Eras!BH$4</f>
        <v/>
      </c>
      <c r="BI218" s="5">
        <f>BI216*Eras!BI$4</f>
        <v/>
      </c>
      <c r="BJ218" s="5">
        <f>BJ216*Eras!BJ$4</f>
        <v/>
      </c>
      <c r="BK218" s="5">
        <f>BK216*Eras!BK$4</f>
        <v/>
      </c>
      <c r="BL218" s="5">
        <f>BL216*Eras!BL$4</f>
        <v/>
      </c>
      <c r="BM218" s="5">
        <f>BM216*Eras!BM$4</f>
        <v/>
      </c>
      <c r="BN218" s="5">
        <f>BN216*Eras!BN$4</f>
        <v/>
      </c>
      <c r="BO218" s="5">
        <f>BO216*Eras!BO$4</f>
        <v/>
      </c>
      <c r="BP218" s="5">
        <f>BP216*Eras!BP$4</f>
        <v/>
      </c>
      <c r="BQ218" s="5">
        <f>BQ216*Eras!BQ$4</f>
        <v/>
      </c>
      <c r="BR218" s="5">
        <f>BR216*Eras!BR$4</f>
        <v/>
      </c>
      <c r="BS218" s="5">
        <f>BS216*Eras!BS$4</f>
        <v/>
      </c>
      <c r="BT218" s="5">
        <f>BT216*Eras!BT$4</f>
        <v/>
      </c>
      <c r="BU218" s="5">
        <f>BU216*Eras!BU$4</f>
        <v/>
      </c>
      <c r="BV218" s="5">
        <f>BV216*Eras!BV$4</f>
        <v/>
      </c>
    </row>
    <row r="219">
      <c r="A219" t="inlineStr">
        <is>
          <t>reactivated in @2</t>
        </is>
      </c>
      <c r="B219" t="inlineStr">
        <is>
          <t>ROW|NITRO_M</t>
        </is>
      </c>
      <c r="C219" s="5">
        <f>C216*Eras!C$5</f>
        <v/>
      </c>
      <c r="D219" s="5">
        <f>D216*Eras!D$5</f>
        <v/>
      </c>
      <c r="E219" s="5">
        <f>E216*Eras!E$5</f>
        <v/>
      </c>
      <c r="F219" s="5">
        <f>F216*Eras!F$5</f>
        <v/>
      </c>
      <c r="G219" s="5">
        <f>G216*Eras!G$5</f>
        <v/>
      </c>
      <c r="H219" s="5">
        <f>H216*Eras!H$5</f>
        <v/>
      </c>
      <c r="I219" s="5">
        <f>I216*Eras!I$5</f>
        <v/>
      </c>
      <c r="J219" s="5">
        <f>J216*Eras!J$5</f>
        <v/>
      </c>
      <c r="K219" s="5">
        <f>K216*Eras!K$5</f>
        <v/>
      </c>
      <c r="L219" s="5">
        <f>L216*Eras!L$5</f>
        <v/>
      </c>
      <c r="M219" s="5">
        <f>M216*Eras!M$5</f>
        <v/>
      </c>
      <c r="N219" s="5">
        <f>N216*Eras!N$5</f>
        <v/>
      </c>
      <c r="O219" s="5">
        <f>O216*Eras!O$5</f>
        <v/>
      </c>
      <c r="P219" s="5">
        <f>P216*Eras!P$5</f>
        <v/>
      </c>
      <c r="Q219" s="5">
        <f>Q216*Eras!Q$5</f>
        <v/>
      </c>
      <c r="R219" s="5">
        <f>R216*Eras!R$5</f>
        <v/>
      </c>
      <c r="S219" s="5">
        <f>S216*Eras!S$5</f>
        <v/>
      </c>
      <c r="T219" s="5">
        <f>T216*Eras!T$5</f>
        <v/>
      </c>
      <c r="U219" s="5">
        <f>U216*Eras!U$5</f>
        <v/>
      </c>
      <c r="V219" s="5">
        <f>V216*Eras!V$5</f>
        <v/>
      </c>
      <c r="W219" s="5">
        <f>W216*Eras!W$5</f>
        <v/>
      </c>
      <c r="X219" s="5">
        <f>X216*Eras!X$5</f>
        <v/>
      </c>
      <c r="Y219" s="5">
        <f>Y216*Eras!Y$5</f>
        <v/>
      </c>
      <c r="Z219" s="5">
        <f>Z216*Eras!Z$5</f>
        <v/>
      </c>
      <c r="AA219" s="5">
        <f>AA216*Eras!AA$5</f>
        <v/>
      </c>
      <c r="AB219" s="5">
        <f>AB216*Eras!AB$5</f>
        <v/>
      </c>
      <c r="AC219" s="5">
        <f>AC216*Eras!AC$5</f>
        <v/>
      </c>
      <c r="AD219" s="5">
        <f>AD216*Eras!AD$5</f>
        <v/>
      </c>
      <c r="AE219" s="5">
        <f>AE216*Eras!AE$5</f>
        <v/>
      </c>
      <c r="AF219" s="5">
        <f>AF216*Eras!AF$5</f>
        <v/>
      </c>
      <c r="AG219" s="5">
        <f>AG216*Eras!AG$5</f>
        <v/>
      </c>
      <c r="AH219" s="5">
        <f>AH216*Eras!AH$5</f>
        <v/>
      </c>
      <c r="AI219" s="5">
        <f>AI216*Eras!AI$5</f>
        <v/>
      </c>
      <c r="AJ219" s="5">
        <f>AJ216*Eras!AJ$5</f>
        <v/>
      </c>
      <c r="AK219" s="5">
        <f>AK216*Eras!AK$5</f>
        <v/>
      </c>
      <c r="AL219" s="5">
        <f>AL216*Eras!AL$5</f>
        <v/>
      </c>
      <c r="AM219" s="5">
        <f>AM216*Eras!AM$5</f>
        <v/>
      </c>
      <c r="AN219" s="5">
        <f>AN216*Eras!AN$5</f>
        <v/>
      </c>
      <c r="AO219" s="5">
        <f>AO216*Eras!AO$5</f>
        <v/>
      </c>
      <c r="AP219" s="5">
        <f>AP216*Eras!AP$5</f>
        <v/>
      </c>
      <c r="AQ219" s="5">
        <f>AQ216*Eras!AQ$5</f>
        <v/>
      </c>
      <c r="AR219" s="5">
        <f>AR216*Eras!AR$5</f>
        <v/>
      </c>
      <c r="AS219" s="5">
        <f>AS216*Eras!AS$5</f>
        <v/>
      </c>
      <c r="AT219" s="5">
        <f>AT216*Eras!AT$5</f>
        <v/>
      </c>
      <c r="AU219" s="5">
        <f>AU216*Eras!AU$5</f>
        <v/>
      </c>
      <c r="AV219" s="5">
        <f>AV216*Eras!AV$5</f>
        <v/>
      </c>
      <c r="AW219" s="5">
        <f>AW216*Eras!AW$5</f>
        <v/>
      </c>
      <c r="AX219" s="5">
        <f>AX216*Eras!AX$5</f>
        <v/>
      </c>
      <c r="AY219" s="5">
        <f>AY216*Eras!AY$5</f>
        <v/>
      </c>
      <c r="AZ219" s="5">
        <f>AZ216*Eras!AZ$5</f>
        <v/>
      </c>
      <c r="BA219" s="5">
        <f>BA216*Eras!BA$5</f>
        <v/>
      </c>
      <c r="BB219" s="5">
        <f>BB216*Eras!BB$5</f>
        <v/>
      </c>
      <c r="BC219" s="5">
        <f>BC216*Eras!BC$5</f>
        <v/>
      </c>
      <c r="BD219" s="5">
        <f>BD216*Eras!BD$5</f>
        <v/>
      </c>
      <c r="BE219" s="5">
        <f>BE216*Eras!BE$5</f>
        <v/>
      </c>
      <c r="BF219" s="5">
        <f>BF216*Eras!BF$5</f>
        <v/>
      </c>
      <c r="BG219" s="5">
        <f>BG216*Eras!BG$5</f>
        <v/>
      </c>
      <c r="BH219" s="5">
        <f>BH216*Eras!BH$5</f>
        <v/>
      </c>
      <c r="BI219" s="5">
        <f>BI216*Eras!BI$5</f>
        <v/>
      </c>
      <c r="BJ219" s="5">
        <f>BJ216*Eras!BJ$5</f>
        <v/>
      </c>
      <c r="BK219" s="5">
        <f>BK216*Eras!BK$5</f>
        <v/>
      </c>
      <c r="BL219" s="5">
        <f>BL216*Eras!BL$5</f>
        <v/>
      </c>
      <c r="BM219" s="5">
        <f>BM216*Eras!BM$5</f>
        <v/>
      </c>
      <c r="BN219" s="5">
        <f>BN216*Eras!BN$5</f>
        <v/>
      </c>
      <c r="BO219" s="5">
        <f>BO216*Eras!BO$5</f>
        <v/>
      </c>
      <c r="BP219" s="5">
        <f>BP216*Eras!BP$5</f>
        <v/>
      </c>
      <c r="BQ219" s="5">
        <f>BQ216*Eras!BQ$5</f>
        <v/>
      </c>
      <c r="BR219" s="5">
        <f>BR216*Eras!BR$5</f>
        <v/>
      </c>
      <c r="BS219" s="5">
        <f>BS216*Eras!BS$5</f>
        <v/>
      </c>
      <c r="BT219" s="5">
        <f>BT216*Eras!BT$5</f>
        <v/>
      </c>
      <c r="BU219" s="5">
        <f>BU216*Eras!BU$5</f>
        <v/>
      </c>
      <c r="BV219" s="5">
        <f>BV216*Eras!BV$5</f>
        <v/>
      </c>
    </row>
    <row r="220">
      <c r="A220" t="inlineStr">
        <is>
          <t>active</t>
        </is>
      </c>
      <c r="B220" t="inlineStr">
        <is>
          <t>ROW|NITRO_M</t>
        </is>
      </c>
      <c r="C220" s="5">
        <f>React!$C$217*Curves!$BV$19+React!$C$218*Curves!$BV$42+React!$C$219*Curves!$BV$65</f>
        <v/>
      </c>
      <c r="D220" s="5">
        <f>SUMPRODUCT(React!$C$217:$D$217,Curves!$BU$19:$BV$19)+SUMPRODUCT(React!$C$218:$D$218,Curves!$BU$42:$BV$42)+SUMPRODUCT(React!$C$219:$D$219,Curves!$BU$65:$BV$65)</f>
        <v/>
      </c>
      <c r="E220" s="5">
        <f>SUMPRODUCT(React!$C$217:$E$217,Curves!$BT$19:$BV$19)+SUMPRODUCT(React!$C$218:$E$218,Curves!$BT$42:$BV$42)+SUMPRODUCT(React!$C$219:$E$219,Curves!$BT$65:$BV$65)</f>
        <v/>
      </c>
      <c r="F220" s="5">
        <f>SUMPRODUCT(React!$C$217:$F$217,Curves!$BS$19:$BV$19)+SUMPRODUCT(React!$C$218:$F$218,Curves!$BS$42:$BV$42)+SUMPRODUCT(React!$C$219:$F$219,Curves!$BS$65:$BV$65)</f>
        <v/>
      </c>
      <c r="G220" s="5">
        <f>SUMPRODUCT(React!$C$217:$G$217,Curves!$BR$19:$BV$19)+SUMPRODUCT(React!$C$218:$G$218,Curves!$BR$42:$BV$42)+SUMPRODUCT(React!$C$219:$G$219,Curves!$BR$65:$BV$65)</f>
        <v/>
      </c>
      <c r="H220" s="5">
        <f>SUMPRODUCT(React!$C$217:$H$217,Curves!$BQ$19:$BV$19)+SUMPRODUCT(React!$C$218:$H$218,Curves!$BQ$42:$BV$42)+SUMPRODUCT(React!$C$219:$H$219,Curves!$BQ$65:$BV$65)</f>
        <v/>
      </c>
      <c r="I220" s="5">
        <f>SUMPRODUCT(React!$C$217:$I$217,Curves!$BP$19:$BV$19)+SUMPRODUCT(React!$C$218:$I$218,Curves!$BP$42:$BV$42)+SUMPRODUCT(React!$C$219:$I$219,Curves!$BP$65:$BV$65)</f>
        <v/>
      </c>
      <c r="J220" s="5">
        <f>SUMPRODUCT(React!$C$217:$J$217,Curves!$BO$19:$BV$19)+SUMPRODUCT(React!$C$218:$J$218,Curves!$BO$42:$BV$42)+SUMPRODUCT(React!$C$219:$J$219,Curves!$BO$65:$BV$65)</f>
        <v/>
      </c>
      <c r="K220" s="5">
        <f>SUMPRODUCT(React!$C$217:$K$217,Curves!$BN$19:$BV$19)+SUMPRODUCT(React!$C$218:$K$218,Curves!$BN$42:$BV$42)+SUMPRODUCT(React!$C$219:$K$219,Curves!$BN$65:$BV$65)</f>
        <v/>
      </c>
      <c r="L220" s="5">
        <f>SUMPRODUCT(React!$C$217:$L$217,Curves!$BM$19:$BV$19)+SUMPRODUCT(React!$C$218:$L$218,Curves!$BM$42:$BV$42)+SUMPRODUCT(React!$C$219:$L$219,Curves!$BM$65:$BV$65)</f>
        <v/>
      </c>
      <c r="M220" s="5">
        <f>SUMPRODUCT(React!$C$217:$M$217,Curves!$BL$19:$BV$19)+SUMPRODUCT(React!$C$218:$M$218,Curves!$BL$42:$BV$42)+SUMPRODUCT(React!$C$219:$M$219,Curves!$BL$65:$BV$65)</f>
        <v/>
      </c>
      <c r="N220" s="5">
        <f>SUMPRODUCT(React!$C$217:$N$217,Curves!$BK$19:$BV$19)+SUMPRODUCT(React!$C$218:$N$218,Curves!$BK$42:$BV$42)+SUMPRODUCT(React!$C$219:$N$219,Curves!$BK$65:$BV$65)</f>
        <v/>
      </c>
      <c r="O220" s="5">
        <f>SUMPRODUCT(React!$C$217:$O$217,Curves!$BJ$19:$BV$19)+SUMPRODUCT(React!$C$218:$O$218,Curves!$BJ$42:$BV$42)+SUMPRODUCT(React!$C$219:$O$219,Curves!$BJ$65:$BV$65)</f>
        <v/>
      </c>
      <c r="P220" s="5">
        <f>SUMPRODUCT(React!$C$217:$P$217,Curves!$BI$19:$BV$19)+SUMPRODUCT(React!$C$218:$P$218,Curves!$BI$42:$BV$42)+SUMPRODUCT(React!$C$219:$P$219,Curves!$BI$65:$BV$65)</f>
        <v/>
      </c>
      <c r="Q220" s="5">
        <f>SUMPRODUCT(React!$C$217:$Q$217,Curves!$BH$19:$BV$19)+SUMPRODUCT(React!$C$218:$Q$218,Curves!$BH$42:$BV$42)+SUMPRODUCT(React!$C$219:$Q$219,Curves!$BH$65:$BV$65)</f>
        <v/>
      </c>
      <c r="R220" s="5">
        <f>SUMPRODUCT(React!$C$217:$R$217,Curves!$BG$19:$BV$19)+SUMPRODUCT(React!$C$218:$R$218,Curves!$BG$42:$BV$42)+SUMPRODUCT(React!$C$219:$R$219,Curves!$BG$65:$BV$65)</f>
        <v/>
      </c>
      <c r="S220" s="5">
        <f>SUMPRODUCT(React!$C$217:$S$217,Curves!$BF$19:$BV$19)+SUMPRODUCT(React!$C$218:$S$218,Curves!$BF$42:$BV$42)+SUMPRODUCT(React!$C$219:$S$219,Curves!$BF$65:$BV$65)</f>
        <v/>
      </c>
      <c r="T220" s="5">
        <f>SUMPRODUCT(React!$C$217:$T$217,Curves!$BE$19:$BV$19)+SUMPRODUCT(React!$C$218:$T$218,Curves!$BE$42:$BV$42)+SUMPRODUCT(React!$C$219:$T$219,Curves!$BE$65:$BV$65)</f>
        <v/>
      </c>
      <c r="U220" s="5">
        <f>SUMPRODUCT(React!$C$217:$U$217,Curves!$BD$19:$BV$19)+SUMPRODUCT(React!$C$218:$U$218,Curves!$BD$42:$BV$42)+SUMPRODUCT(React!$C$219:$U$219,Curves!$BD$65:$BV$65)</f>
        <v/>
      </c>
      <c r="V220" s="5">
        <f>SUMPRODUCT(React!$C$217:$V$217,Curves!$BC$19:$BV$19)+SUMPRODUCT(React!$C$218:$V$218,Curves!$BC$42:$BV$42)+SUMPRODUCT(React!$C$219:$V$219,Curves!$BC$65:$BV$65)</f>
        <v/>
      </c>
      <c r="W220" s="5">
        <f>SUMPRODUCT(React!$C$217:$W$217,Curves!$BB$19:$BV$19)+SUMPRODUCT(React!$C$218:$W$218,Curves!$BB$42:$BV$42)+SUMPRODUCT(React!$C$219:$W$219,Curves!$BB$65:$BV$65)</f>
        <v/>
      </c>
      <c r="X220" s="5">
        <f>SUMPRODUCT(React!$C$217:$X$217,Curves!$BA$19:$BV$19)+SUMPRODUCT(React!$C$218:$X$218,Curves!$BA$42:$BV$42)+SUMPRODUCT(React!$C$219:$X$219,Curves!$BA$65:$BV$65)</f>
        <v/>
      </c>
      <c r="Y220" s="5">
        <f>SUMPRODUCT(React!$C$217:$Y$217,Curves!$AZ$19:$BV$19)+SUMPRODUCT(React!$C$218:$Y$218,Curves!$AZ$42:$BV$42)+SUMPRODUCT(React!$C$219:$Y$219,Curves!$AZ$65:$BV$65)</f>
        <v/>
      </c>
      <c r="Z220" s="5">
        <f>SUMPRODUCT(React!$C$217:$Z$217,Curves!$AY$19:$BV$19)+SUMPRODUCT(React!$C$218:$Z$218,Curves!$AY$42:$BV$42)+SUMPRODUCT(React!$C$219:$Z$219,Curves!$AY$65:$BV$65)</f>
        <v/>
      </c>
      <c r="AA220" s="5">
        <f>SUMPRODUCT(React!$C$217:$AA$217,Curves!$AX$19:$BV$19)+SUMPRODUCT(React!$C$218:$AA$218,Curves!$AX$42:$BV$42)+SUMPRODUCT(React!$C$219:$AA$219,Curves!$AX$65:$BV$65)</f>
        <v/>
      </c>
      <c r="AB220" s="5">
        <f>SUMPRODUCT(React!$C$217:$AB$217,Curves!$AW$19:$BV$19)+SUMPRODUCT(React!$C$218:$AB$218,Curves!$AW$42:$BV$42)+SUMPRODUCT(React!$C$219:$AB$219,Curves!$AW$65:$BV$65)</f>
        <v/>
      </c>
      <c r="AC220" s="5">
        <f>SUMPRODUCT(React!$C$217:$AC$217,Curves!$AV$19:$BV$19)+SUMPRODUCT(React!$C$218:$AC$218,Curves!$AV$42:$BV$42)+SUMPRODUCT(React!$C$219:$AC$219,Curves!$AV$65:$BV$65)</f>
        <v/>
      </c>
      <c r="AD220" s="5">
        <f>SUMPRODUCT(React!$C$217:$AD$217,Curves!$AU$19:$BV$19)+SUMPRODUCT(React!$C$218:$AD$218,Curves!$AU$42:$BV$42)+SUMPRODUCT(React!$C$219:$AD$219,Curves!$AU$65:$BV$65)</f>
        <v/>
      </c>
      <c r="AE220" s="5">
        <f>SUMPRODUCT(React!$C$217:$AE$217,Curves!$AT$19:$BV$19)+SUMPRODUCT(React!$C$218:$AE$218,Curves!$AT$42:$BV$42)+SUMPRODUCT(React!$C$219:$AE$219,Curves!$AT$65:$BV$65)</f>
        <v/>
      </c>
      <c r="AF220" s="5">
        <f>SUMPRODUCT(React!$C$217:$AF$217,Curves!$AS$19:$BV$19)+SUMPRODUCT(React!$C$218:$AF$218,Curves!$AS$42:$BV$42)+SUMPRODUCT(React!$C$219:$AF$219,Curves!$AS$65:$BV$65)</f>
        <v/>
      </c>
      <c r="AG220" s="5">
        <f>SUMPRODUCT(React!$C$217:$AG$217,Curves!$AR$19:$BV$19)+SUMPRODUCT(React!$C$218:$AG$218,Curves!$AR$42:$BV$42)+SUMPRODUCT(React!$C$219:$AG$219,Curves!$AR$65:$BV$65)</f>
        <v/>
      </c>
      <c r="AH220" s="5">
        <f>SUMPRODUCT(React!$C$217:$AH$217,Curves!$AQ$19:$BV$19)+SUMPRODUCT(React!$C$218:$AH$218,Curves!$AQ$42:$BV$42)+SUMPRODUCT(React!$C$219:$AH$219,Curves!$AQ$65:$BV$65)</f>
        <v/>
      </c>
      <c r="AI220" s="5">
        <f>SUMPRODUCT(React!$C$217:$AI$217,Curves!$AP$19:$BV$19)+SUMPRODUCT(React!$C$218:$AI$218,Curves!$AP$42:$BV$42)+SUMPRODUCT(React!$C$219:$AI$219,Curves!$AP$65:$BV$65)</f>
        <v/>
      </c>
      <c r="AJ220" s="5">
        <f>SUMPRODUCT(React!$C$217:$AJ$217,Curves!$AO$19:$BV$19)+SUMPRODUCT(React!$C$218:$AJ$218,Curves!$AO$42:$BV$42)+SUMPRODUCT(React!$C$219:$AJ$219,Curves!$AO$65:$BV$65)</f>
        <v/>
      </c>
      <c r="AK220" s="5">
        <f>SUMPRODUCT(React!$C$217:$AK$217,Curves!$AN$19:$BV$19)+SUMPRODUCT(React!$C$218:$AK$218,Curves!$AN$42:$BV$42)+SUMPRODUCT(React!$C$219:$AK$219,Curves!$AN$65:$BV$65)</f>
        <v/>
      </c>
      <c r="AL220" s="5">
        <f>SUMPRODUCT(React!$C$217:$AL$217,Curves!$AM$19:$BV$19)+SUMPRODUCT(React!$C$218:$AL$218,Curves!$AM$42:$BV$42)+SUMPRODUCT(React!$C$219:$AL$219,Curves!$AM$65:$BV$65)</f>
        <v/>
      </c>
      <c r="AM220" s="5">
        <f>SUMPRODUCT(React!$C$217:$AM$217,Curves!$AL$19:$BV$19)+SUMPRODUCT(React!$C$218:$AM$218,Curves!$AL$42:$BV$42)+SUMPRODUCT(React!$C$219:$AM$219,Curves!$AL$65:$BV$65)</f>
        <v/>
      </c>
      <c r="AN220" s="5">
        <f>SUMPRODUCT(React!$C$217:$AN$217,Curves!$AK$19:$BV$19)+SUMPRODUCT(React!$C$218:$AN$218,Curves!$AK$42:$BV$42)+SUMPRODUCT(React!$C$219:$AN$219,Curves!$AK$65:$BV$65)</f>
        <v/>
      </c>
      <c r="AO220" s="5">
        <f>SUMPRODUCT(React!$C$217:$AO$217,Curves!$AJ$19:$BV$19)+SUMPRODUCT(React!$C$218:$AO$218,Curves!$AJ$42:$BV$42)+SUMPRODUCT(React!$C$219:$AO$219,Curves!$AJ$65:$BV$65)</f>
        <v/>
      </c>
      <c r="AP220" s="5">
        <f>SUMPRODUCT(React!$C$217:$AP$217,Curves!$AI$19:$BV$19)+SUMPRODUCT(React!$C$218:$AP$218,Curves!$AI$42:$BV$42)+SUMPRODUCT(React!$C$219:$AP$219,Curves!$AI$65:$BV$65)</f>
        <v/>
      </c>
      <c r="AQ220" s="5">
        <f>SUMPRODUCT(React!$C$217:$AQ$217,Curves!$AH$19:$BV$19)+SUMPRODUCT(React!$C$218:$AQ$218,Curves!$AH$42:$BV$42)+SUMPRODUCT(React!$C$219:$AQ$219,Curves!$AH$65:$BV$65)</f>
        <v/>
      </c>
      <c r="AR220" s="5">
        <f>SUMPRODUCT(React!$C$217:$AR$217,Curves!$AG$19:$BV$19)+SUMPRODUCT(React!$C$218:$AR$218,Curves!$AG$42:$BV$42)+SUMPRODUCT(React!$C$219:$AR$219,Curves!$AG$65:$BV$65)</f>
        <v/>
      </c>
      <c r="AS220" s="5">
        <f>SUMPRODUCT(React!$C$217:$AS$217,Curves!$AF$19:$BV$19)+SUMPRODUCT(React!$C$218:$AS$218,Curves!$AF$42:$BV$42)+SUMPRODUCT(React!$C$219:$AS$219,Curves!$AF$65:$BV$65)</f>
        <v/>
      </c>
      <c r="AT220" s="5">
        <f>SUMPRODUCT(React!$C$217:$AT$217,Curves!$AE$19:$BV$19)+SUMPRODUCT(React!$C$218:$AT$218,Curves!$AE$42:$BV$42)+SUMPRODUCT(React!$C$219:$AT$219,Curves!$AE$65:$BV$65)</f>
        <v/>
      </c>
      <c r="AU220" s="5">
        <f>SUMPRODUCT(React!$C$217:$AU$217,Curves!$AD$19:$BV$19)+SUMPRODUCT(React!$C$218:$AU$218,Curves!$AD$42:$BV$42)+SUMPRODUCT(React!$C$219:$AU$219,Curves!$AD$65:$BV$65)</f>
        <v/>
      </c>
      <c r="AV220" s="5">
        <f>SUMPRODUCT(React!$C$217:$AV$217,Curves!$AC$19:$BV$19)+SUMPRODUCT(React!$C$218:$AV$218,Curves!$AC$42:$BV$42)+SUMPRODUCT(React!$C$219:$AV$219,Curves!$AC$65:$BV$65)</f>
        <v/>
      </c>
      <c r="AW220" s="5">
        <f>SUMPRODUCT(React!$C$217:$AW$217,Curves!$AB$19:$BV$19)+SUMPRODUCT(React!$C$218:$AW$218,Curves!$AB$42:$BV$42)+SUMPRODUCT(React!$C$219:$AW$219,Curves!$AB$65:$BV$65)</f>
        <v/>
      </c>
      <c r="AX220" s="5">
        <f>SUMPRODUCT(React!$C$217:$AX$217,Curves!$AA$19:$BV$19)+SUMPRODUCT(React!$C$218:$AX$218,Curves!$AA$42:$BV$42)+SUMPRODUCT(React!$C$219:$AX$219,Curves!$AA$65:$BV$65)</f>
        <v/>
      </c>
      <c r="AY220" s="5">
        <f>SUMPRODUCT(React!$C$217:$AY$217,Curves!$Z$19:$BV$19)+SUMPRODUCT(React!$C$218:$AY$218,Curves!$Z$42:$BV$42)+SUMPRODUCT(React!$C$219:$AY$219,Curves!$Z$65:$BV$65)</f>
        <v/>
      </c>
      <c r="AZ220" s="5">
        <f>SUMPRODUCT(React!$C$217:$AZ$217,Curves!$Y$19:$BV$19)+SUMPRODUCT(React!$C$218:$AZ$218,Curves!$Y$42:$BV$42)+SUMPRODUCT(React!$C$219:$AZ$219,Curves!$Y$65:$BV$65)</f>
        <v/>
      </c>
      <c r="BA220" s="5">
        <f>SUMPRODUCT(React!$C$217:$BA$217,Curves!$X$19:$BV$19)+SUMPRODUCT(React!$C$218:$BA$218,Curves!$X$42:$BV$42)+SUMPRODUCT(React!$C$219:$BA$219,Curves!$X$65:$BV$65)</f>
        <v/>
      </c>
      <c r="BB220" s="5">
        <f>SUMPRODUCT(React!$C$217:$BB$217,Curves!$W$19:$BV$19)+SUMPRODUCT(React!$C$218:$BB$218,Curves!$W$42:$BV$42)+SUMPRODUCT(React!$C$219:$BB$219,Curves!$W$65:$BV$65)</f>
        <v/>
      </c>
      <c r="BC220" s="5">
        <f>SUMPRODUCT(React!$C$217:$BC$217,Curves!$V$19:$BV$19)+SUMPRODUCT(React!$C$218:$BC$218,Curves!$V$42:$BV$42)+SUMPRODUCT(React!$C$219:$BC$219,Curves!$V$65:$BV$65)</f>
        <v/>
      </c>
      <c r="BD220" s="5">
        <f>SUMPRODUCT(React!$C$217:$BD$217,Curves!$U$19:$BV$19)+SUMPRODUCT(React!$C$218:$BD$218,Curves!$U$42:$BV$42)+SUMPRODUCT(React!$C$219:$BD$219,Curves!$U$65:$BV$65)</f>
        <v/>
      </c>
      <c r="BE220" s="5">
        <f>SUMPRODUCT(React!$C$217:$BE$217,Curves!$T$19:$BV$19)+SUMPRODUCT(React!$C$218:$BE$218,Curves!$T$42:$BV$42)+SUMPRODUCT(React!$C$219:$BE$219,Curves!$T$65:$BV$65)</f>
        <v/>
      </c>
      <c r="BF220" s="5">
        <f>SUMPRODUCT(React!$C$217:$BF$217,Curves!$S$19:$BV$19)+SUMPRODUCT(React!$C$218:$BF$218,Curves!$S$42:$BV$42)+SUMPRODUCT(React!$C$219:$BF$219,Curves!$S$65:$BV$65)</f>
        <v/>
      </c>
      <c r="BG220" s="5">
        <f>SUMPRODUCT(React!$C$217:$BG$217,Curves!$R$19:$BV$19)+SUMPRODUCT(React!$C$218:$BG$218,Curves!$R$42:$BV$42)+SUMPRODUCT(React!$C$219:$BG$219,Curves!$R$65:$BV$65)</f>
        <v/>
      </c>
      <c r="BH220" s="5">
        <f>SUMPRODUCT(React!$C$217:$BH$217,Curves!$Q$19:$BV$19)+SUMPRODUCT(React!$C$218:$BH$218,Curves!$Q$42:$BV$42)+SUMPRODUCT(React!$C$219:$BH$219,Curves!$Q$65:$BV$65)</f>
        <v/>
      </c>
      <c r="BI220" s="5">
        <f>SUMPRODUCT(React!$C$217:$BI$217,Curves!$P$19:$BV$19)+SUMPRODUCT(React!$C$218:$BI$218,Curves!$P$42:$BV$42)+SUMPRODUCT(React!$C$219:$BI$219,Curves!$P$65:$BV$65)</f>
        <v/>
      </c>
      <c r="BJ220" s="5">
        <f>SUMPRODUCT(React!$C$217:$BJ$217,Curves!$O$19:$BV$19)+SUMPRODUCT(React!$C$218:$BJ$218,Curves!$O$42:$BV$42)+SUMPRODUCT(React!$C$219:$BJ$219,Curves!$O$65:$BV$65)</f>
        <v/>
      </c>
      <c r="BK220" s="5">
        <f>SUMPRODUCT(React!$C$217:$BK$217,Curves!$N$19:$BV$19)+SUMPRODUCT(React!$C$218:$BK$218,Curves!$N$42:$BV$42)+SUMPRODUCT(React!$C$219:$BK$219,Curves!$N$65:$BV$65)</f>
        <v/>
      </c>
      <c r="BL220" s="5">
        <f>SUMPRODUCT(React!$C$217:$BL$217,Curves!$M$19:$BV$19)+SUMPRODUCT(React!$C$218:$BL$218,Curves!$M$42:$BV$42)+SUMPRODUCT(React!$C$219:$BL$219,Curves!$M$65:$BV$65)</f>
        <v/>
      </c>
      <c r="BM220" s="5">
        <f>SUMPRODUCT(React!$C$217:$BM$217,Curves!$L$19:$BV$19)+SUMPRODUCT(React!$C$218:$BM$218,Curves!$L$42:$BV$42)+SUMPRODUCT(React!$C$219:$BM$219,Curves!$L$65:$BV$65)</f>
        <v/>
      </c>
      <c r="BN220" s="5">
        <f>SUMPRODUCT(React!$C$217:$BN$217,Curves!$K$19:$BV$19)+SUMPRODUCT(React!$C$218:$BN$218,Curves!$K$42:$BV$42)+SUMPRODUCT(React!$C$219:$BN$219,Curves!$K$65:$BV$65)</f>
        <v/>
      </c>
      <c r="BO220" s="5">
        <f>SUMPRODUCT(React!$C$217:$BO$217,Curves!$J$19:$BV$19)+SUMPRODUCT(React!$C$218:$BO$218,Curves!$J$42:$BV$42)+SUMPRODUCT(React!$C$219:$BO$219,Curves!$J$65:$BV$65)</f>
        <v/>
      </c>
      <c r="BP220" s="5">
        <f>SUMPRODUCT(React!$C$217:$BP$217,Curves!$I$19:$BV$19)+SUMPRODUCT(React!$C$218:$BP$218,Curves!$I$42:$BV$42)+SUMPRODUCT(React!$C$219:$BP$219,Curves!$I$65:$BV$65)</f>
        <v/>
      </c>
      <c r="BQ220" s="5">
        <f>SUMPRODUCT(React!$C$217:$BQ$217,Curves!$H$19:$BV$19)+SUMPRODUCT(React!$C$218:$BQ$218,Curves!$H$42:$BV$42)+SUMPRODUCT(React!$C$219:$BQ$219,Curves!$H$65:$BV$65)</f>
        <v/>
      </c>
      <c r="BR220" s="5">
        <f>SUMPRODUCT(React!$C$217:$BR$217,Curves!$G$19:$BV$19)+SUMPRODUCT(React!$C$218:$BR$218,Curves!$G$42:$BV$42)+SUMPRODUCT(React!$C$219:$BR$219,Curves!$G$65:$BV$65)</f>
        <v/>
      </c>
      <c r="BS220" s="5">
        <f>SUMPRODUCT(React!$C$217:$BS$217,Curves!$F$19:$BV$19)+SUMPRODUCT(React!$C$218:$BS$218,Curves!$F$42:$BV$42)+SUMPRODUCT(React!$C$219:$BS$219,Curves!$F$65:$BV$65)</f>
        <v/>
      </c>
      <c r="BT220" s="5">
        <f>SUMPRODUCT(React!$C$217:$BT$217,Curves!$E$19:$BV$19)+SUMPRODUCT(React!$C$218:$BT$218,Curves!$E$42:$BV$42)+SUMPRODUCT(React!$C$219:$BT$219,Curves!$E$65:$BV$65)</f>
        <v/>
      </c>
      <c r="BU220" s="5">
        <f>SUMPRODUCT(React!$C$217:$BU$217,Curves!$D$19:$BV$19)+SUMPRODUCT(React!$C$218:$BU$218,Curves!$D$42:$BV$42)+SUMPRODUCT(React!$C$219:$BU$219,Curves!$D$65:$BV$65)</f>
        <v/>
      </c>
      <c r="BV220" s="5">
        <f>SUMPRODUCT(React!$C$217:$BV$217,Curves!$C$19:$BV$19)+SUMPRODUCT(React!$C$218:$BV$218,Curves!$C$42:$BV$42)+SUMPRODUCT(React!$C$219:$BV$219,Curves!$C$65:$BV$65)</f>
        <v/>
      </c>
    </row>
    <row r="221">
      <c r="A221" t="inlineStr">
        <is>
          <t>active yr 1</t>
        </is>
      </c>
      <c r="B221" t="inlineStr">
        <is>
          <t>ROW|NITRO_M</t>
        </is>
      </c>
      <c r="C221" s="5">
        <f>React!$C$217*Curves!$BV$24+React!$C$218*Curves!$BV$47+React!$C$219*Curves!$BV$70</f>
        <v/>
      </c>
      <c r="D221" s="5">
        <f>SUMPRODUCT(React!$C$217:$D$217,Curves!$BU$24:$BV$24)+SUMPRODUCT(React!$C$218:$D$218,Curves!$BU$47:$BV$47)+SUMPRODUCT(React!$C$219:$D$219,Curves!$BU$70:$BV$70)</f>
        <v/>
      </c>
      <c r="E221" s="5">
        <f>SUMPRODUCT(React!$C$217:$E$217,Curves!$BT$24:$BV$24)+SUMPRODUCT(React!$C$218:$E$218,Curves!$BT$47:$BV$47)+SUMPRODUCT(React!$C$219:$E$219,Curves!$BT$70:$BV$70)</f>
        <v/>
      </c>
      <c r="F221" s="5">
        <f>SUMPRODUCT(React!$C$217:$F$217,Curves!$BS$24:$BV$24)+SUMPRODUCT(React!$C$218:$F$218,Curves!$BS$47:$BV$47)+SUMPRODUCT(React!$C$219:$F$219,Curves!$BS$70:$BV$70)</f>
        <v/>
      </c>
      <c r="G221" s="5">
        <f>SUMPRODUCT(React!$C$217:$G$217,Curves!$BR$24:$BV$24)+SUMPRODUCT(React!$C$218:$G$218,Curves!$BR$47:$BV$47)+SUMPRODUCT(React!$C$219:$G$219,Curves!$BR$70:$BV$70)</f>
        <v/>
      </c>
      <c r="H221" s="5">
        <f>SUMPRODUCT(React!$C$217:$H$217,Curves!$BQ$24:$BV$24)+SUMPRODUCT(React!$C$218:$H$218,Curves!$BQ$47:$BV$47)+SUMPRODUCT(React!$C$219:$H$219,Curves!$BQ$70:$BV$70)</f>
        <v/>
      </c>
      <c r="I221" s="5">
        <f>SUMPRODUCT(React!$C$217:$I$217,Curves!$BP$24:$BV$24)+SUMPRODUCT(React!$C$218:$I$218,Curves!$BP$47:$BV$47)+SUMPRODUCT(React!$C$219:$I$219,Curves!$BP$70:$BV$70)</f>
        <v/>
      </c>
      <c r="J221" s="5">
        <f>SUMPRODUCT(React!$C$217:$J$217,Curves!$BO$24:$BV$24)+SUMPRODUCT(React!$C$218:$J$218,Curves!$BO$47:$BV$47)+SUMPRODUCT(React!$C$219:$J$219,Curves!$BO$70:$BV$70)</f>
        <v/>
      </c>
      <c r="K221" s="5">
        <f>SUMPRODUCT(React!$C$217:$K$217,Curves!$BN$24:$BV$24)+SUMPRODUCT(React!$C$218:$K$218,Curves!$BN$47:$BV$47)+SUMPRODUCT(React!$C$219:$K$219,Curves!$BN$70:$BV$70)</f>
        <v/>
      </c>
      <c r="L221" s="5">
        <f>SUMPRODUCT(React!$C$217:$L$217,Curves!$BM$24:$BV$24)+SUMPRODUCT(React!$C$218:$L$218,Curves!$BM$47:$BV$47)+SUMPRODUCT(React!$C$219:$L$219,Curves!$BM$70:$BV$70)</f>
        <v/>
      </c>
      <c r="M221" s="5">
        <f>SUMPRODUCT(React!$C$217:$M$217,Curves!$BL$24:$BV$24)+SUMPRODUCT(React!$C$218:$M$218,Curves!$BL$47:$BV$47)+SUMPRODUCT(React!$C$219:$M$219,Curves!$BL$70:$BV$70)</f>
        <v/>
      </c>
      <c r="N221" s="5">
        <f>SUMPRODUCT(React!$C$217:$N$217,Curves!$BK$24:$BV$24)+SUMPRODUCT(React!$C$218:$N$218,Curves!$BK$47:$BV$47)+SUMPRODUCT(React!$C$219:$N$219,Curves!$BK$70:$BV$70)</f>
        <v/>
      </c>
      <c r="O221" s="5">
        <f>SUMPRODUCT(React!$C$217:$O$217,Curves!$BJ$24:$BV$24)+SUMPRODUCT(React!$C$218:$O$218,Curves!$BJ$47:$BV$47)+SUMPRODUCT(React!$C$219:$O$219,Curves!$BJ$70:$BV$70)</f>
        <v/>
      </c>
      <c r="P221" s="5">
        <f>SUMPRODUCT(React!$C$217:$P$217,Curves!$BI$24:$BV$24)+SUMPRODUCT(React!$C$218:$P$218,Curves!$BI$47:$BV$47)+SUMPRODUCT(React!$C$219:$P$219,Curves!$BI$70:$BV$70)</f>
        <v/>
      </c>
      <c r="Q221" s="5">
        <f>SUMPRODUCT(React!$C$217:$Q$217,Curves!$BH$24:$BV$24)+SUMPRODUCT(React!$C$218:$Q$218,Curves!$BH$47:$BV$47)+SUMPRODUCT(React!$C$219:$Q$219,Curves!$BH$70:$BV$70)</f>
        <v/>
      </c>
      <c r="R221" s="5">
        <f>SUMPRODUCT(React!$C$217:$R$217,Curves!$BG$24:$BV$24)+SUMPRODUCT(React!$C$218:$R$218,Curves!$BG$47:$BV$47)+SUMPRODUCT(React!$C$219:$R$219,Curves!$BG$70:$BV$70)</f>
        <v/>
      </c>
      <c r="S221" s="5">
        <f>SUMPRODUCT(React!$C$217:$S$217,Curves!$BF$24:$BV$24)+SUMPRODUCT(React!$C$218:$S$218,Curves!$BF$47:$BV$47)+SUMPRODUCT(React!$C$219:$S$219,Curves!$BF$70:$BV$70)</f>
        <v/>
      </c>
      <c r="T221" s="5">
        <f>SUMPRODUCT(React!$C$217:$T$217,Curves!$BE$24:$BV$24)+SUMPRODUCT(React!$C$218:$T$218,Curves!$BE$47:$BV$47)+SUMPRODUCT(React!$C$219:$T$219,Curves!$BE$70:$BV$70)</f>
        <v/>
      </c>
      <c r="U221" s="5">
        <f>SUMPRODUCT(React!$C$217:$U$217,Curves!$BD$24:$BV$24)+SUMPRODUCT(React!$C$218:$U$218,Curves!$BD$47:$BV$47)+SUMPRODUCT(React!$C$219:$U$219,Curves!$BD$70:$BV$70)</f>
        <v/>
      </c>
      <c r="V221" s="5">
        <f>SUMPRODUCT(React!$C$217:$V$217,Curves!$BC$24:$BV$24)+SUMPRODUCT(React!$C$218:$V$218,Curves!$BC$47:$BV$47)+SUMPRODUCT(React!$C$219:$V$219,Curves!$BC$70:$BV$70)</f>
        <v/>
      </c>
      <c r="W221" s="5">
        <f>SUMPRODUCT(React!$C$217:$W$217,Curves!$BB$24:$BV$24)+SUMPRODUCT(React!$C$218:$W$218,Curves!$BB$47:$BV$47)+SUMPRODUCT(React!$C$219:$W$219,Curves!$BB$70:$BV$70)</f>
        <v/>
      </c>
      <c r="X221" s="5">
        <f>SUMPRODUCT(React!$C$217:$X$217,Curves!$BA$24:$BV$24)+SUMPRODUCT(React!$C$218:$X$218,Curves!$BA$47:$BV$47)+SUMPRODUCT(React!$C$219:$X$219,Curves!$BA$70:$BV$70)</f>
        <v/>
      </c>
      <c r="Y221" s="5">
        <f>SUMPRODUCT(React!$C$217:$Y$217,Curves!$AZ$24:$BV$24)+SUMPRODUCT(React!$C$218:$Y$218,Curves!$AZ$47:$BV$47)+SUMPRODUCT(React!$C$219:$Y$219,Curves!$AZ$70:$BV$70)</f>
        <v/>
      </c>
      <c r="Z221" s="5">
        <f>SUMPRODUCT(React!$C$217:$Z$217,Curves!$AY$24:$BV$24)+SUMPRODUCT(React!$C$218:$Z$218,Curves!$AY$47:$BV$47)+SUMPRODUCT(React!$C$219:$Z$219,Curves!$AY$70:$BV$70)</f>
        <v/>
      </c>
      <c r="AA221" s="5">
        <f>SUMPRODUCT(React!$C$217:$AA$217,Curves!$AX$24:$BV$24)+SUMPRODUCT(React!$C$218:$AA$218,Curves!$AX$47:$BV$47)+SUMPRODUCT(React!$C$219:$AA$219,Curves!$AX$70:$BV$70)</f>
        <v/>
      </c>
      <c r="AB221" s="5">
        <f>SUMPRODUCT(React!$C$217:$AB$217,Curves!$AW$24:$BV$24)+SUMPRODUCT(React!$C$218:$AB$218,Curves!$AW$47:$BV$47)+SUMPRODUCT(React!$C$219:$AB$219,Curves!$AW$70:$BV$70)</f>
        <v/>
      </c>
      <c r="AC221" s="5">
        <f>SUMPRODUCT(React!$C$217:$AC$217,Curves!$AV$24:$BV$24)+SUMPRODUCT(React!$C$218:$AC$218,Curves!$AV$47:$BV$47)+SUMPRODUCT(React!$C$219:$AC$219,Curves!$AV$70:$BV$70)</f>
        <v/>
      </c>
      <c r="AD221" s="5">
        <f>SUMPRODUCT(React!$C$217:$AD$217,Curves!$AU$24:$BV$24)+SUMPRODUCT(React!$C$218:$AD$218,Curves!$AU$47:$BV$47)+SUMPRODUCT(React!$C$219:$AD$219,Curves!$AU$70:$BV$70)</f>
        <v/>
      </c>
      <c r="AE221" s="5">
        <f>SUMPRODUCT(React!$C$217:$AE$217,Curves!$AT$24:$BV$24)+SUMPRODUCT(React!$C$218:$AE$218,Curves!$AT$47:$BV$47)+SUMPRODUCT(React!$C$219:$AE$219,Curves!$AT$70:$BV$70)</f>
        <v/>
      </c>
      <c r="AF221" s="5">
        <f>SUMPRODUCT(React!$C$217:$AF$217,Curves!$AS$24:$BV$24)+SUMPRODUCT(React!$C$218:$AF$218,Curves!$AS$47:$BV$47)+SUMPRODUCT(React!$C$219:$AF$219,Curves!$AS$70:$BV$70)</f>
        <v/>
      </c>
      <c r="AG221" s="5">
        <f>SUMPRODUCT(React!$C$217:$AG$217,Curves!$AR$24:$BV$24)+SUMPRODUCT(React!$C$218:$AG$218,Curves!$AR$47:$BV$47)+SUMPRODUCT(React!$C$219:$AG$219,Curves!$AR$70:$BV$70)</f>
        <v/>
      </c>
      <c r="AH221" s="5">
        <f>SUMPRODUCT(React!$C$217:$AH$217,Curves!$AQ$24:$BV$24)+SUMPRODUCT(React!$C$218:$AH$218,Curves!$AQ$47:$BV$47)+SUMPRODUCT(React!$C$219:$AH$219,Curves!$AQ$70:$BV$70)</f>
        <v/>
      </c>
      <c r="AI221" s="5">
        <f>SUMPRODUCT(React!$C$217:$AI$217,Curves!$AP$24:$BV$24)+SUMPRODUCT(React!$C$218:$AI$218,Curves!$AP$47:$BV$47)+SUMPRODUCT(React!$C$219:$AI$219,Curves!$AP$70:$BV$70)</f>
        <v/>
      </c>
      <c r="AJ221" s="5">
        <f>SUMPRODUCT(React!$C$217:$AJ$217,Curves!$AO$24:$BV$24)+SUMPRODUCT(React!$C$218:$AJ$218,Curves!$AO$47:$BV$47)+SUMPRODUCT(React!$C$219:$AJ$219,Curves!$AO$70:$BV$70)</f>
        <v/>
      </c>
      <c r="AK221" s="5">
        <f>SUMPRODUCT(React!$C$217:$AK$217,Curves!$AN$24:$BV$24)+SUMPRODUCT(React!$C$218:$AK$218,Curves!$AN$47:$BV$47)+SUMPRODUCT(React!$C$219:$AK$219,Curves!$AN$70:$BV$70)</f>
        <v/>
      </c>
      <c r="AL221" s="5">
        <f>SUMPRODUCT(React!$C$217:$AL$217,Curves!$AM$24:$BV$24)+SUMPRODUCT(React!$C$218:$AL$218,Curves!$AM$47:$BV$47)+SUMPRODUCT(React!$C$219:$AL$219,Curves!$AM$70:$BV$70)</f>
        <v/>
      </c>
      <c r="AM221" s="5">
        <f>SUMPRODUCT(React!$C$217:$AM$217,Curves!$AL$24:$BV$24)+SUMPRODUCT(React!$C$218:$AM$218,Curves!$AL$47:$BV$47)+SUMPRODUCT(React!$C$219:$AM$219,Curves!$AL$70:$BV$70)</f>
        <v/>
      </c>
      <c r="AN221" s="5">
        <f>SUMPRODUCT(React!$C$217:$AN$217,Curves!$AK$24:$BV$24)+SUMPRODUCT(React!$C$218:$AN$218,Curves!$AK$47:$BV$47)+SUMPRODUCT(React!$C$219:$AN$219,Curves!$AK$70:$BV$70)</f>
        <v/>
      </c>
      <c r="AO221" s="5">
        <f>SUMPRODUCT(React!$C$217:$AO$217,Curves!$AJ$24:$BV$24)+SUMPRODUCT(React!$C$218:$AO$218,Curves!$AJ$47:$BV$47)+SUMPRODUCT(React!$C$219:$AO$219,Curves!$AJ$70:$BV$70)</f>
        <v/>
      </c>
      <c r="AP221" s="5">
        <f>SUMPRODUCT(React!$C$217:$AP$217,Curves!$AI$24:$BV$24)+SUMPRODUCT(React!$C$218:$AP$218,Curves!$AI$47:$BV$47)+SUMPRODUCT(React!$C$219:$AP$219,Curves!$AI$70:$BV$70)</f>
        <v/>
      </c>
      <c r="AQ221" s="5">
        <f>SUMPRODUCT(React!$C$217:$AQ$217,Curves!$AH$24:$BV$24)+SUMPRODUCT(React!$C$218:$AQ$218,Curves!$AH$47:$BV$47)+SUMPRODUCT(React!$C$219:$AQ$219,Curves!$AH$70:$BV$70)</f>
        <v/>
      </c>
      <c r="AR221" s="5">
        <f>SUMPRODUCT(React!$C$217:$AR$217,Curves!$AG$24:$BV$24)+SUMPRODUCT(React!$C$218:$AR$218,Curves!$AG$47:$BV$47)+SUMPRODUCT(React!$C$219:$AR$219,Curves!$AG$70:$BV$70)</f>
        <v/>
      </c>
      <c r="AS221" s="5">
        <f>SUMPRODUCT(React!$C$217:$AS$217,Curves!$AF$24:$BV$24)+SUMPRODUCT(React!$C$218:$AS$218,Curves!$AF$47:$BV$47)+SUMPRODUCT(React!$C$219:$AS$219,Curves!$AF$70:$BV$70)</f>
        <v/>
      </c>
      <c r="AT221" s="5">
        <f>SUMPRODUCT(React!$C$217:$AT$217,Curves!$AE$24:$BV$24)+SUMPRODUCT(React!$C$218:$AT$218,Curves!$AE$47:$BV$47)+SUMPRODUCT(React!$C$219:$AT$219,Curves!$AE$70:$BV$70)</f>
        <v/>
      </c>
      <c r="AU221" s="5">
        <f>SUMPRODUCT(React!$C$217:$AU$217,Curves!$AD$24:$BV$24)+SUMPRODUCT(React!$C$218:$AU$218,Curves!$AD$47:$BV$47)+SUMPRODUCT(React!$C$219:$AU$219,Curves!$AD$70:$BV$70)</f>
        <v/>
      </c>
      <c r="AV221" s="5">
        <f>SUMPRODUCT(React!$C$217:$AV$217,Curves!$AC$24:$BV$24)+SUMPRODUCT(React!$C$218:$AV$218,Curves!$AC$47:$BV$47)+SUMPRODUCT(React!$C$219:$AV$219,Curves!$AC$70:$BV$70)</f>
        <v/>
      </c>
      <c r="AW221" s="5">
        <f>SUMPRODUCT(React!$C$217:$AW$217,Curves!$AB$24:$BV$24)+SUMPRODUCT(React!$C$218:$AW$218,Curves!$AB$47:$BV$47)+SUMPRODUCT(React!$C$219:$AW$219,Curves!$AB$70:$BV$70)</f>
        <v/>
      </c>
      <c r="AX221" s="5">
        <f>SUMPRODUCT(React!$C$217:$AX$217,Curves!$AA$24:$BV$24)+SUMPRODUCT(React!$C$218:$AX$218,Curves!$AA$47:$BV$47)+SUMPRODUCT(React!$C$219:$AX$219,Curves!$AA$70:$BV$70)</f>
        <v/>
      </c>
      <c r="AY221" s="5">
        <f>SUMPRODUCT(React!$C$217:$AY$217,Curves!$Z$24:$BV$24)+SUMPRODUCT(React!$C$218:$AY$218,Curves!$Z$47:$BV$47)+SUMPRODUCT(React!$C$219:$AY$219,Curves!$Z$70:$BV$70)</f>
        <v/>
      </c>
      <c r="AZ221" s="5">
        <f>SUMPRODUCT(React!$C$217:$AZ$217,Curves!$Y$24:$BV$24)+SUMPRODUCT(React!$C$218:$AZ$218,Curves!$Y$47:$BV$47)+SUMPRODUCT(React!$C$219:$AZ$219,Curves!$Y$70:$BV$70)</f>
        <v/>
      </c>
      <c r="BA221" s="5">
        <f>SUMPRODUCT(React!$C$217:$BA$217,Curves!$X$24:$BV$24)+SUMPRODUCT(React!$C$218:$BA$218,Curves!$X$47:$BV$47)+SUMPRODUCT(React!$C$219:$BA$219,Curves!$X$70:$BV$70)</f>
        <v/>
      </c>
      <c r="BB221" s="5">
        <f>SUMPRODUCT(React!$C$217:$BB$217,Curves!$W$24:$BV$24)+SUMPRODUCT(React!$C$218:$BB$218,Curves!$W$47:$BV$47)+SUMPRODUCT(React!$C$219:$BB$219,Curves!$W$70:$BV$70)</f>
        <v/>
      </c>
      <c r="BC221" s="5">
        <f>SUMPRODUCT(React!$C$217:$BC$217,Curves!$V$24:$BV$24)+SUMPRODUCT(React!$C$218:$BC$218,Curves!$V$47:$BV$47)+SUMPRODUCT(React!$C$219:$BC$219,Curves!$V$70:$BV$70)</f>
        <v/>
      </c>
      <c r="BD221" s="5">
        <f>SUMPRODUCT(React!$C$217:$BD$217,Curves!$U$24:$BV$24)+SUMPRODUCT(React!$C$218:$BD$218,Curves!$U$47:$BV$47)+SUMPRODUCT(React!$C$219:$BD$219,Curves!$U$70:$BV$70)</f>
        <v/>
      </c>
      <c r="BE221" s="5">
        <f>SUMPRODUCT(React!$C$217:$BE$217,Curves!$T$24:$BV$24)+SUMPRODUCT(React!$C$218:$BE$218,Curves!$T$47:$BV$47)+SUMPRODUCT(React!$C$219:$BE$219,Curves!$T$70:$BV$70)</f>
        <v/>
      </c>
      <c r="BF221" s="5">
        <f>SUMPRODUCT(React!$C$217:$BF$217,Curves!$S$24:$BV$24)+SUMPRODUCT(React!$C$218:$BF$218,Curves!$S$47:$BV$47)+SUMPRODUCT(React!$C$219:$BF$219,Curves!$S$70:$BV$70)</f>
        <v/>
      </c>
      <c r="BG221" s="5">
        <f>SUMPRODUCT(React!$C$217:$BG$217,Curves!$R$24:$BV$24)+SUMPRODUCT(React!$C$218:$BG$218,Curves!$R$47:$BV$47)+SUMPRODUCT(React!$C$219:$BG$219,Curves!$R$70:$BV$70)</f>
        <v/>
      </c>
      <c r="BH221" s="5">
        <f>SUMPRODUCT(React!$C$217:$BH$217,Curves!$Q$24:$BV$24)+SUMPRODUCT(React!$C$218:$BH$218,Curves!$Q$47:$BV$47)+SUMPRODUCT(React!$C$219:$BH$219,Curves!$Q$70:$BV$70)</f>
        <v/>
      </c>
      <c r="BI221" s="5">
        <f>SUMPRODUCT(React!$C$217:$BI$217,Curves!$P$24:$BV$24)+SUMPRODUCT(React!$C$218:$BI$218,Curves!$P$47:$BV$47)+SUMPRODUCT(React!$C$219:$BI$219,Curves!$P$70:$BV$70)</f>
        <v/>
      </c>
      <c r="BJ221" s="5">
        <f>SUMPRODUCT(React!$C$217:$BJ$217,Curves!$O$24:$BV$24)+SUMPRODUCT(React!$C$218:$BJ$218,Curves!$O$47:$BV$47)+SUMPRODUCT(React!$C$219:$BJ$219,Curves!$O$70:$BV$70)</f>
        <v/>
      </c>
      <c r="BK221" s="5">
        <f>SUMPRODUCT(React!$C$217:$BK$217,Curves!$N$24:$BV$24)+SUMPRODUCT(React!$C$218:$BK$218,Curves!$N$47:$BV$47)+SUMPRODUCT(React!$C$219:$BK$219,Curves!$N$70:$BV$70)</f>
        <v/>
      </c>
      <c r="BL221" s="5">
        <f>SUMPRODUCT(React!$C$217:$BL$217,Curves!$M$24:$BV$24)+SUMPRODUCT(React!$C$218:$BL$218,Curves!$M$47:$BV$47)+SUMPRODUCT(React!$C$219:$BL$219,Curves!$M$70:$BV$70)</f>
        <v/>
      </c>
      <c r="BM221" s="5">
        <f>SUMPRODUCT(React!$C$217:$BM$217,Curves!$L$24:$BV$24)+SUMPRODUCT(React!$C$218:$BM$218,Curves!$L$47:$BV$47)+SUMPRODUCT(React!$C$219:$BM$219,Curves!$L$70:$BV$70)</f>
        <v/>
      </c>
      <c r="BN221" s="5">
        <f>SUMPRODUCT(React!$C$217:$BN$217,Curves!$K$24:$BV$24)+SUMPRODUCT(React!$C$218:$BN$218,Curves!$K$47:$BV$47)+SUMPRODUCT(React!$C$219:$BN$219,Curves!$K$70:$BV$70)</f>
        <v/>
      </c>
      <c r="BO221" s="5">
        <f>SUMPRODUCT(React!$C$217:$BO$217,Curves!$J$24:$BV$24)+SUMPRODUCT(React!$C$218:$BO$218,Curves!$J$47:$BV$47)+SUMPRODUCT(React!$C$219:$BO$219,Curves!$J$70:$BV$70)</f>
        <v/>
      </c>
      <c r="BP221" s="5">
        <f>SUMPRODUCT(React!$C$217:$BP$217,Curves!$I$24:$BV$24)+SUMPRODUCT(React!$C$218:$BP$218,Curves!$I$47:$BV$47)+SUMPRODUCT(React!$C$219:$BP$219,Curves!$I$70:$BV$70)</f>
        <v/>
      </c>
      <c r="BQ221" s="5">
        <f>SUMPRODUCT(React!$C$217:$BQ$217,Curves!$H$24:$BV$24)+SUMPRODUCT(React!$C$218:$BQ$218,Curves!$H$47:$BV$47)+SUMPRODUCT(React!$C$219:$BQ$219,Curves!$H$70:$BV$70)</f>
        <v/>
      </c>
      <c r="BR221" s="5">
        <f>SUMPRODUCT(React!$C$217:$BR$217,Curves!$G$24:$BV$24)+SUMPRODUCT(React!$C$218:$BR$218,Curves!$G$47:$BV$47)+SUMPRODUCT(React!$C$219:$BR$219,Curves!$G$70:$BV$70)</f>
        <v/>
      </c>
      <c r="BS221" s="5">
        <f>SUMPRODUCT(React!$C$217:$BS$217,Curves!$F$24:$BV$24)+SUMPRODUCT(React!$C$218:$BS$218,Curves!$F$47:$BV$47)+SUMPRODUCT(React!$C$219:$BS$219,Curves!$F$70:$BV$70)</f>
        <v/>
      </c>
      <c r="BT221" s="5">
        <f>SUMPRODUCT(React!$C$217:$BT$217,Curves!$E$24:$BV$24)+SUMPRODUCT(React!$C$218:$BT$218,Curves!$E$47:$BV$47)+SUMPRODUCT(React!$C$219:$BT$219,Curves!$E$70:$BV$70)</f>
        <v/>
      </c>
      <c r="BU221" s="5">
        <f>SUMPRODUCT(React!$C$217:$BU$217,Curves!$D$24:$BV$24)+SUMPRODUCT(React!$C$218:$BU$218,Curves!$D$47:$BV$47)+SUMPRODUCT(React!$C$219:$BU$219,Curves!$D$70:$BV$70)</f>
        <v/>
      </c>
      <c r="BV221" s="5">
        <f>SUMPRODUCT(React!$C$217:$BV$217,Curves!$C$24:$BV$24)+SUMPRODUCT(React!$C$218:$BV$218,Curves!$C$47:$BV$47)+SUMPRODUCT(React!$C$219:$BV$219,Curves!$C$70:$BV$70)</f>
        <v/>
      </c>
    </row>
    <row r="222">
      <c r="A222" t="inlineStr">
        <is>
          <t>churned</t>
        </is>
      </c>
      <c r="B222" t="inlineStr">
        <is>
          <t>ROW|NITRO_M</t>
        </is>
      </c>
      <c r="C222" s="5">
        <f>React!$C$217*Curves!$BV$20+React!$C$218*Curves!$BV$43+React!$C$219*Curves!$BV$66</f>
        <v/>
      </c>
      <c r="D222" s="5">
        <f>SUMPRODUCT(React!$C$217:$D$217,Curves!$BU$20:$BV$20)+SUMPRODUCT(React!$C$218:$D$218,Curves!$BU$43:$BV$43)+SUMPRODUCT(React!$C$219:$D$219,Curves!$BU$66:$BV$66)</f>
        <v/>
      </c>
      <c r="E222" s="5">
        <f>SUMPRODUCT(React!$C$217:$E$217,Curves!$BT$20:$BV$20)+SUMPRODUCT(React!$C$218:$E$218,Curves!$BT$43:$BV$43)+SUMPRODUCT(React!$C$219:$E$219,Curves!$BT$66:$BV$66)</f>
        <v/>
      </c>
      <c r="F222" s="5">
        <f>SUMPRODUCT(React!$C$217:$F$217,Curves!$BS$20:$BV$20)+SUMPRODUCT(React!$C$218:$F$218,Curves!$BS$43:$BV$43)+SUMPRODUCT(React!$C$219:$F$219,Curves!$BS$66:$BV$66)</f>
        <v/>
      </c>
      <c r="G222" s="5">
        <f>SUMPRODUCT(React!$C$217:$G$217,Curves!$BR$20:$BV$20)+SUMPRODUCT(React!$C$218:$G$218,Curves!$BR$43:$BV$43)+SUMPRODUCT(React!$C$219:$G$219,Curves!$BR$66:$BV$66)</f>
        <v/>
      </c>
      <c r="H222" s="5">
        <f>SUMPRODUCT(React!$C$217:$H$217,Curves!$BQ$20:$BV$20)+SUMPRODUCT(React!$C$218:$H$218,Curves!$BQ$43:$BV$43)+SUMPRODUCT(React!$C$219:$H$219,Curves!$BQ$66:$BV$66)</f>
        <v/>
      </c>
      <c r="I222" s="5">
        <f>SUMPRODUCT(React!$C$217:$I$217,Curves!$BP$20:$BV$20)+SUMPRODUCT(React!$C$218:$I$218,Curves!$BP$43:$BV$43)+SUMPRODUCT(React!$C$219:$I$219,Curves!$BP$66:$BV$66)</f>
        <v/>
      </c>
      <c r="J222" s="5">
        <f>SUMPRODUCT(React!$C$217:$J$217,Curves!$BO$20:$BV$20)+SUMPRODUCT(React!$C$218:$J$218,Curves!$BO$43:$BV$43)+SUMPRODUCT(React!$C$219:$J$219,Curves!$BO$66:$BV$66)</f>
        <v/>
      </c>
      <c r="K222" s="5">
        <f>SUMPRODUCT(React!$C$217:$K$217,Curves!$BN$20:$BV$20)+SUMPRODUCT(React!$C$218:$K$218,Curves!$BN$43:$BV$43)+SUMPRODUCT(React!$C$219:$K$219,Curves!$BN$66:$BV$66)</f>
        <v/>
      </c>
      <c r="L222" s="5">
        <f>SUMPRODUCT(React!$C$217:$L$217,Curves!$BM$20:$BV$20)+SUMPRODUCT(React!$C$218:$L$218,Curves!$BM$43:$BV$43)+SUMPRODUCT(React!$C$219:$L$219,Curves!$BM$66:$BV$66)</f>
        <v/>
      </c>
      <c r="M222" s="5">
        <f>SUMPRODUCT(React!$C$217:$M$217,Curves!$BL$20:$BV$20)+SUMPRODUCT(React!$C$218:$M$218,Curves!$BL$43:$BV$43)+SUMPRODUCT(React!$C$219:$M$219,Curves!$BL$66:$BV$66)</f>
        <v/>
      </c>
      <c r="N222" s="5">
        <f>SUMPRODUCT(React!$C$217:$N$217,Curves!$BK$20:$BV$20)+SUMPRODUCT(React!$C$218:$N$218,Curves!$BK$43:$BV$43)+SUMPRODUCT(React!$C$219:$N$219,Curves!$BK$66:$BV$66)</f>
        <v/>
      </c>
      <c r="O222" s="5">
        <f>SUMPRODUCT(React!$C$217:$O$217,Curves!$BJ$20:$BV$20)+SUMPRODUCT(React!$C$218:$O$218,Curves!$BJ$43:$BV$43)+SUMPRODUCT(React!$C$219:$O$219,Curves!$BJ$66:$BV$66)</f>
        <v/>
      </c>
      <c r="P222" s="5">
        <f>SUMPRODUCT(React!$C$217:$P$217,Curves!$BI$20:$BV$20)+SUMPRODUCT(React!$C$218:$P$218,Curves!$BI$43:$BV$43)+SUMPRODUCT(React!$C$219:$P$219,Curves!$BI$66:$BV$66)</f>
        <v/>
      </c>
      <c r="Q222" s="5">
        <f>SUMPRODUCT(React!$C$217:$Q$217,Curves!$BH$20:$BV$20)+SUMPRODUCT(React!$C$218:$Q$218,Curves!$BH$43:$BV$43)+SUMPRODUCT(React!$C$219:$Q$219,Curves!$BH$66:$BV$66)</f>
        <v/>
      </c>
      <c r="R222" s="5">
        <f>SUMPRODUCT(React!$C$217:$R$217,Curves!$BG$20:$BV$20)+SUMPRODUCT(React!$C$218:$R$218,Curves!$BG$43:$BV$43)+SUMPRODUCT(React!$C$219:$R$219,Curves!$BG$66:$BV$66)</f>
        <v/>
      </c>
      <c r="S222" s="5">
        <f>SUMPRODUCT(React!$C$217:$S$217,Curves!$BF$20:$BV$20)+SUMPRODUCT(React!$C$218:$S$218,Curves!$BF$43:$BV$43)+SUMPRODUCT(React!$C$219:$S$219,Curves!$BF$66:$BV$66)</f>
        <v/>
      </c>
      <c r="T222" s="5">
        <f>SUMPRODUCT(React!$C$217:$T$217,Curves!$BE$20:$BV$20)+SUMPRODUCT(React!$C$218:$T$218,Curves!$BE$43:$BV$43)+SUMPRODUCT(React!$C$219:$T$219,Curves!$BE$66:$BV$66)</f>
        <v/>
      </c>
      <c r="U222" s="5">
        <f>SUMPRODUCT(React!$C$217:$U$217,Curves!$BD$20:$BV$20)+SUMPRODUCT(React!$C$218:$U$218,Curves!$BD$43:$BV$43)+SUMPRODUCT(React!$C$219:$U$219,Curves!$BD$66:$BV$66)</f>
        <v/>
      </c>
      <c r="V222" s="5">
        <f>SUMPRODUCT(React!$C$217:$V$217,Curves!$BC$20:$BV$20)+SUMPRODUCT(React!$C$218:$V$218,Curves!$BC$43:$BV$43)+SUMPRODUCT(React!$C$219:$V$219,Curves!$BC$66:$BV$66)</f>
        <v/>
      </c>
      <c r="W222" s="5">
        <f>SUMPRODUCT(React!$C$217:$W$217,Curves!$BB$20:$BV$20)+SUMPRODUCT(React!$C$218:$W$218,Curves!$BB$43:$BV$43)+SUMPRODUCT(React!$C$219:$W$219,Curves!$BB$66:$BV$66)</f>
        <v/>
      </c>
      <c r="X222" s="5">
        <f>SUMPRODUCT(React!$C$217:$X$217,Curves!$BA$20:$BV$20)+SUMPRODUCT(React!$C$218:$X$218,Curves!$BA$43:$BV$43)+SUMPRODUCT(React!$C$219:$X$219,Curves!$BA$66:$BV$66)</f>
        <v/>
      </c>
      <c r="Y222" s="5">
        <f>SUMPRODUCT(React!$C$217:$Y$217,Curves!$AZ$20:$BV$20)+SUMPRODUCT(React!$C$218:$Y$218,Curves!$AZ$43:$BV$43)+SUMPRODUCT(React!$C$219:$Y$219,Curves!$AZ$66:$BV$66)</f>
        <v/>
      </c>
      <c r="Z222" s="5">
        <f>SUMPRODUCT(React!$C$217:$Z$217,Curves!$AY$20:$BV$20)+SUMPRODUCT(React!$C$218:$Z$218,Curves!$AY$43:$BV$43)+SUMPRODUCT(React!$C$219:$Z$219,Curves!$AY$66:$BV$66)</f>
        <v/>
      </c>
      <c r="AA222" s="5">
        <f>SUMPRODUCT(React!$C$217:$AA$217,Curves!$AX$20:$BV$20)+SUMPRODUCT(React!$C$218:$AA$218,Curves!$AX$43:$BV$43)+SUMPRODUCT(React!$C$219:$AA$219,Curves!$AX$66:$BV$66)</f>
        <v/>
      </c>
      <c r="AB222" s="5">
        <f>SUMPRODUCT(React!$C$217:$AB$217,Curves!$AW$20:$BV$20)+SUMPRODUCT(React!$C$218:$AB$218,Curves!$AW$43:$BV$43)+SUMPRODUCT(React!$C$219:$AB$219,Curves!$AW$66:$BV$66)</f>
        <v/>
      </c>
      <c r="AC222" s="5">
        <f>SUMPRODUCT(React!$C$217:$AC$217,Curves!$AV$20:$BV$20)+SUMPRODUCT(React!$C$218:$AC$218,Curves!$AV$43:$BV$43)+SUMPRODUCT(React!$C$219:$AC$219,Curves!$AV$66:$BV$66)</f>
        <v/>
      </c>
      <c r="AD222" s="5">
        <f>SUMPRODUCT(React!$C$217:$AD$217,Curves!$AU$20:$BV$20)+SUMPRODUCT(React!$C$218:$AD$218,Curves!$AU$43:$BV$43)+SUMPRODUCT(React!$C$219:$AD$219,Curves!$AU$66:$BV$66)</f>
        <v/>
      </c>
      <c r="AE222" s="5">
        <f>SUMPRODUCT(React!$C$217:$AE$217,Curves!$AT$20:$BV$20)+SUMPRODUCT(React!$C$218:$AE$218,Curves!$AT$43:$BV$43)+SUMPRODUCT(React!$C$219:$AE$219,Curves!$AT$66:$BV$66)</f>
        <v/>
      </c>
      <c r="AF222" s="5">
        <f>SUMPRODUCT(React!$C$217:$AF$217,Curves!$AS$20:$BV$20)+SUMPRODUCT(React!$C$218:$AF$218,Curves!$AS$43:$BV$43)+SUMPRODUCT(React!$C$219:$AF$219,Curves!$AS$66:$BV$66)</f>
        <v/>
      </c>
      <c r="AG222" s="5">
        <f>SUMPRODUCT(React!$C$217:$AG$217,Curves!$AR$20:$BV$20)+SUMPRODUCT(React!$C$218:$AG$218,Curves!$AR$43:$BV$43)+SUMPRODUCT(React!$C$219:$AG$219,Curves!$AR$66:$BV$66)</f>
        <v/>
      </c>
      <c r="AH222" s="5">
        <f>SUMPRODUCT(React!$C$217:$AH$217,Curves!$AQ$20:$BV$20)+SUMPRODUCT(React!$C$218:$AH$218,Curves!$AQ$43:$BV$43)+SUMPRODUCT(React!$C$219:$AH$219,Curves!$AQ$66:$BV$66)</f>
        <v/>
      </c>
      <c r="AI222" s="5">
        <f>SUMPRODUCT(React!$C$217:$AI$217,Curves!$AP$20:$BV$20)+SUMPRODUCT(React!$C$218:$AI$218,Curves!$AP$43:$BV$43)+SUMPRODUCT(React!$C$219:$AI$219,Curves!$AP$66:$BV$66)</f>
        <v/>
      </c>
      <c r="AJ222" s="5">
        <f>SUMPRODUCT(React!$C$217:$AJ$217,Curves!$AO$20:$BV$20)+SUMPRODUCT(React!$C$218:$AJ$218,Curves!$AO$43:$BV$43)+SUMPRODUCT(React!$C$219:$AJ$219,Curves!$AO$66:$BV$66)</f>
        <v/>
      </c>
      <c r="AK222" s="5">
        <f>SUMPRODUCT(React!$C$217:$AK$217,Curves!$AN$20:$BV$20)+SUMPRODUCT(React!$C$218:$AK$218,Curves!$AN$43:$BV$43)+SUMPRODUCT(React!$C$219:$AK$219,Curves!$AN$66:$BV$66)</f>
        <v/>
      </c>
      <c r="AL222" s="5">
        <f>SUMPRODUCT(React!$C$217:$AL$217,Curves!$AM$20:$BV$20)+SUMPRODUCT(React!$C$218:$AL$218,Curves!$AM$43:$BV$43)+SUMPRODUCT(React!$C$219:$AL$219,Curves!$AM$66:$BV$66)</f>
        <v/>
      </c>
      <c r="AM222" s="5">
        <f>SUMPRODUCT(React!$C$217:$AM$217,Curves!$AL$20:$BV$20)+SUMPRODUCT(React!$C$218:$AM$218,Curves!$AL$43:$BV$43)+SUMPRODUCT(React!$C$219:$AM$219,Curves!$AL$66:$BV$66)</f>
        <v/>
      </c>
      <c r="AN222" s="5">
        <f>SUMPRODUCT(React!$C$217:$AN$217,Curves!$AK$20:$BV$20)+SUMPRODUCT(React!$C$218:$AN$218,Curves!$AK$43:$BV$43)+SUMPRODUCT(React!$C$219:$AN$219,Curves!$AK$66:$BV$66)</f>
        <v/>
      </c>
      <c r="AO222" s="5">
        <f>SUMPRODUCT(React!$C$217:$AO$217,Curves!$AJ$20:$BV$20)+SUMPRODUCT(React!$C$218:$AO$218,Curves!$AJ$43:$BV$43)+SUMPRODUCT(React!$C$219:$AO$219,Curves!$AJ$66:$BV$66)</f>
        <v/>
      </c>
      <c r="AP222" s="5">
        <f>SUMPRODUCT(React!$C$217:$AP$217,Curves!$AI$20:$BV$20)+SUMPRODUCT(React!$C$218:$AP$218,Curves!$AI$43:$BV$43)+SUMPRODUCT(React!$C$219:$AP$219,Curves!$AI$66:$BV$66)</f>
        <v/>
      </c>
      <c r="AQ222" s="5">
        <f>SUMPRODUCT(React!$C$217:$AQ$217,Curves!$AH$20:$BV$20)+SUMPRODUCT(React!$C$218:$AQ$218,Curves!$AH$43:$BV$43)+SUMPRODUCT(React!$C$219:$AQ$219,Curves!$AH$66:$BV$66)</f>
        <v/>
      </c>
      <c r="AR222" s="5">
        <f>SUMPRODUCT(React!$C$217:$AR$217,Curves!$AG$20:$BV$20)+SUMPRODUCT(React!$C$218:$AR$218,Curves!$AG$43:$BV$43)+SUMPRODUCT(React!$C$219:$AR$219,Curves!$AG$66:$BV$66)</f>
        <v/>
      </c>
      <c r="AS222" s="5">
        <f>SUMPRODUCT(React!$C$217:$AS$217,Curves!$AF$20:$BV$20)+SUMPRODUCT(React!$C$218:$AS$218,Curves!$AF$43:$BV$43)+SUMPRODUCT(React!$C$219:$AS$219,Curves!$AF$66:$BV$66)</f>
        <v/>
      </c>
      <c r="AT222" s="5">
        <f>SUMPRODUCT(React!$C$217:$AT$217,Curves!$AE$20:$BV$20)+SUMPRODUCT(React!$C$218:$AT$218,Curves!$AE$43:$BV$43)+SUMPRODUCT(React!$C$219:$AT$219,Curves!$AE$66:$BV$66)</f>
        <v/>
      </c>
      <c r="AU222" s="5">
        <f>SUMPRODUCT(React!$C$217:$AU$217,Curves!$AD$20:$BV$20)+SUMPRODUCT(React!$C$218:$AU$218,Curves!$AD$43:$BV$43)+SUMPRODUCT(React!$C$219:$AU$219,Curves!$AD$66:$BV$66)</f>
        <v/>
      </c>
      <c r="AV222" s="5">
        <f>SUMPRODUCT(React!$C$217:$AV$217,Curves!$AC$20:$BV$20)+SUMPRODUCT(React!$C$218:$AV$218,Curves!$AC$43:$BV$43)+SUMPRODUCT(React!$C$219:$AV$219,Curves!$AC$66:$BV$66)</f>
        <v/>
      </c>
      <c r="AW222" s="5">
        <f>SUMPRODUCT(React!$C$217:$AW$217,Curves!$AB$20:$BV$20)+SUMPRODUCT(React!$C$218:$AW$218,Curves!$AB$43:$BV$43)+SUMPRODUCT(React!$C$219:$AW$219,Curves!$AB$66:$BV$66)</f>
        <v/>
      </c>
      <c r="AX222" s="5">
        <f>SUMPRODUCT(React!$C$217:$AX$217,Curves!$AA$20:$BV$20)+SUMPRODUCT(React!$C$218:$AX$218,Curves!$AA$43:$BV$43)+SUMPRODUCT(React!$C$219:$AX$219,Curves!$AA$66:$BV$66)</f>
        <v/>
      </c>
      <c r="AY222" s="5">
        <f>SUMPRODUCT(React!$C$217:$AY$217,Curves!$Z$20:$BV$20)+SUMPRODUCT(React!$C$218:$AY$218,Curves!$Z$43:$BV$43)+SUMPRODUCT(React!$C$219:$AY$219,Curves!$Z$66:$BV$66)</f>
        <v/>
      </c>
      <c r="AZ222" s="5">
        <f>SUMPRODUCT(React!$C$217:$AZ$217,Curves!$Y$20:$BV$20)+SUMPRODUCT(React!$C$218:$AZ$218,Curves!$Y$43:$BV$43)+SUMPRODUCT(React!$C$219:$AZ$219,Curves!$Y$66:$BV$66)</f>
        <v/>
      </c>
      <c r="BA222" s="5">
        <f>SUMPRODUCT(React!$C$217:$BA$217,Curves!$X$20:$BV$20)+SUMPRODUCT(React!$C$218:$BA$218,Curves!$X$43:$BV$43)+SUMPRODUCT(React!$C$219:$BA$219,Curves!$X$66:$BV$66)</f>
        <v/>
      </c>
      <c r="BB222" s="5">
        <f>SUMPRODUCT(React!$C$217:$BB$217,Curves!$W$20:$BV$20)+SUMPRODUCT(React!$C$218:$BB$218,Curves!$W$43:$BV$43)+SUMPRODUCT(React!$C$219:$BB$219,Curves!$W$66:$BV$66)</f>
        <v/>
      </c>
      <c r="BC222" s="5">
        <f>SUMPRODUCT(React!$C$217:$BC$217,Curves!$V$20:$BV$20)+SUMPRODUCT(React!$C$218:$BC$218,Curves!$V$43:$BV$43)+SUMPRODUCT(React!$C$219:$BC$219,Curves!$V$66:$BV$66)</f>
        <v/>
      </c>
      <c r="BD222" s="5">
        <f>SUMPRODUCT(React!$C$217:$BD$217,Curves!$U$20:$BV$20)+SUMPRODUCT(React!$C$218:$BD$218,Curves!$U$43:$BV$43)+SUMPRODUCT(React!$C$219:$BD$219,Curves!$U$66:$BV$66)</f>
        <v/>
      </c>
      <c r="BE222" s="5">
        <f>SUMPRODUCT(React!$C$217:$BE$217,Curves!$T$20:$BV$20)+SUMPRODUCT(React!$C$218:$BE$218,Curves!$T$43:$BV$43)+SUMPRODUCT(React!$C$219:$BE$219,Curves!$T$66:$BV$66)</f>
        <v/>
      </c>
      <c r="BF222" s="5">
        <f>SUMPRODUCT(React!$C$217:$BF$217,Curves!$S$20:$BV$20)+SUMPRODUCT(React!$C$218:$BF$218,Curves!$S$43:$BV$43)+SUMPRODUCT(React!$C$219:$BF$219,Curves!$S$66:$BV$66)</f>
        <v/>
      </c>
      <c r="BG222" s="5">
        <f>SUMPRODUCT(React!$C$217:$BG$217,Curves!$R$20:$BV$20)+SUMPRODUCT(React!$C$218:$BG$218,Curves!$R$43:$BV$43)+SUMPRODUCT(React!$C$219:$BG$219,Curves!$R$66:$BV$66)</f>
        <v/>
      </c>
      <c r="BH222" s="5">
        <f>SUMPRODUCT(React!$C$217:$BH$217,Curves!$Q$20:$BV$20)+SUMPRODUCT(React!$C$218:$BH$218,Curves!$Q$43:$BV$43)+SUMPRODUCT(React!$C$219:$BH$219,Curves!$Q$66:$BV$66)</f>
        <v/>
      </c>
      <c r="BI222" s="5">
        <f>SUMPRODUCT(React!$C$217:$BI$217,Curves!$P$20:$BV$20)+SUMPRODUCT(React!$C$218:$BI$218,Curves!$P$43:$BV$43)+SUMPRODUCT(React!$C$219:$BI$219,Curves!$P$66:$BV$66)</f>
        <v/>
      </c>
      <c r="BJ222" s="5">
        <f>SUMPRODUCT(React!$C$217:$BJ$217,Curves!$O$20:$BV$20)+SUMPRODUCT(React!$C$218:$BJ$218,Curves!$O$43:$BV$43)+SUMPRODUCT(React!$C$219:$BJ$219,Curves!$O$66:$BV$66)</f>
        <v/>
      </c>
      <c r="BK222" s="5">
        <f>SUMPRODUCT(React!$C$217:$BK$217,Curves!$N$20:$BV$20)+SUMPRODUCT(React!$C$218:$BK$218,Curves!$N$43:$BV$43)+SUMPRODUCT(React!$C$219:$BK$219,Curves!$N$66:$BV$66)</f>
        <v/>
      </c>
      <c r="BL222" s="5">
        <f>SUMPRODUCT(React!$C$217:$BL$217,Curves!$M$20:$BV$20)+SUMPRODUCT(React!$C$218:$BL$218,Curves!$M$43:$BV$43)+SUMPRODUCT(React!$C$219:$BL$219,Curves!$M$66:$BV$66)</f>
        <v/>
      </c>
      <c r="BM222" s="5">
        <f>SUMPRODUCT(React!$C$217:$BM$217,Curves!$L$20:$BV$20)+SUMPRODUCT(React!$C$218:$BM$218,Curves!$L$43:$BV$43)+SUMPRODUCT(React!$C$219:$BM$219,Curves!$L$66:$BV$66)</f>
        <v/>
      </c>
      <c r="BN222" s="5">
        <f>SUMPRODUCT(React!$C$217:$BN$217,Curves!$K$20:$BV$20)+SUMPRODUCT(React!$C$218:$BN$218,Curves!$K$43:$BV$43)+SUMPRODUCT(React!$C$219:$BN$219,Curves!$K$66:$BV$66)</f>
        <v/>
      </c>
      <c r="BO222" s="5">
        <f>SUMPRODUCT(React!$C$217:$BO$217,Curves!$J$20:$BV$20)+SUMPRODUCT(React!$C$218:$BO$218,Curves!$J$43:$BV$43)+SUMPRODUCT(React!$C$219:$BO$219,Curves!$J$66:$BV$66)</f>
        <v/>
      </c>
      <c r="BP222" s="5">
        <f>SUMPRODUCT(React!$C$217:$BP$217,Curves!$I$20:$BV$20)+SUMPRODUCT(React!$C$218:$BP$218,Curves!$I$43:$BV$43)+SUMPRODUCT(React!$C$219:$BP$219,Curves!$I$66:$BV$66)</f>
        <v/>
      </c>
      <c r="BQ222" s="5">
        <f>SUMPRODUCT(React!$C$217:$BQ$217,Curves!$H$20:$BV$20)+SUMPRODUCT(React!$C$218:$BQ$218,Curves!$H$43:$BV$43)+SUMPRODUCT(React!$C$219:$BQ$219,Curves!$H$66:$BV$66)</f>
        <v/>
      </c>
      <c r="BR222" s="5">
        <f>SUMPRODUCT(React!$C$217:$BR$217,Curves!$G$20:$BV$20)+SUMPRODUCT(React!$C$218:$BR$218,Curves!$G$43:$BV$43)+SUMPRODUCT(React!$C$219:$BR$219,Curves!$G$66:$BV$66)</f>
        <v/>
      </c>
      <c r="BS222" s="5">
        <f>SUMPRODUCT(React!$C$217:$BS$217,Curves!$F$20:$BV$20)+SUMPRODUCT(React!$C$218:$BS$218,Curves!$F$43:$BV$43)+SUMPRODUCT(React!$C$219:$BS$219,Curves!$F$66:$BV$66)</f>
        <v/>
      </c>
      <c r="BT222" s="5">
        <f>SUMPRODUCT(React!$C$217:$BT$217,Curves!$E$20:$BV$20)+SUMPRODUCT(React!$C$218:$BT$218,Curves!$E$43:$BV$43)+SUMPRODUCT(React!$C$219:$BT$219,Curves!$E$66:$BV$66)</f>
        <v/>
      </c>
      <c r="BU222" s="5">
        <f>SUMPRODUCT(React!$C$217:$BU$217,Curves!$D$20:$BV$20)+SUMPRODUCT(React!$C$218:$BU$218,Curves!$D$43:$BV$43)+SUMPRODUCT(React!$C$219:$BU$219,Curves!$D$66:$BV$66)</f>
        <v/>
      </c>
      <c r="BV222" s="5">
        <f>SUMPRODUCT(React!$C$217:$BV$217,Curves!$C$20:$BV$20)+SUMPRODUCT(React!$C$218:$BV$218,Curves!$C$43:$BV$43)+SUMPRODUCT(React!$C$219:$BV$219,Curves!$C$66:$BV$66)</f>
        <v/>
      </c>
    </row>
    <row r="224">
      <c r="A224" t="inlineStr">
        <is>
          <t>churn pool inflow</t>
        </is>
      </c>
      <c r="B224" t="inlineStr">
        <is>
          <t>ROW|NITRO_A</t>
        </is>
      </c>
      <c r="C224" s="5">
        <f>Paid!C73+Legacy!C75</f>
        <v/>
      </c>
      <c r="D224" s="5">
        <f>Paid!D73+Legacy!D75</f>
        <v/>
      </c>
      <c r="E224" s="5">
        <f>Paid!E73+Legacy!E75</f>
        <v/>
      </c>
      <c r="F224" s="5">
        <f>Paid!F73+Legacy!F75</f>
        <v/>
      </c>
      <c r="G224" s="5">
        <f>Paid!G73+Legacy!G75</f>
        <v/>
      </c>
      <c r="H224" s="5">
        <f>Paid!H73+Legacy!H75</f>
        <v/>
      </c>
      <c r="I224" s="5">
        <f>Paid!I73+Legacy!I75</f>
        <v/>
      </c>
      <c r="J224" s="5">
        <f>Paid!J73+Legacy!J75</f>
        <v/>
      </c>
      <c r="K224" s="5">
        <f>Paid!K73+Legacy!K75</f>
        <v/>
      </c>
      <c r="L224" s="5">
        <f>Paid!L73+Legacy!L75</f>
        <v/>
      </c>
      <c r="M224" s="5">
        <f>Paid!M73+Legacy!M75</f>
        <v/>
      </c>
      <c r="N224" s="5">
        <f>Paid!N73+Legacy!N75</f>
        <v/>
      </c>
      <c r="O224" s="5">
        <f>Paid!O73+Legacy!O75</f>
        <v/>
      </c>
      <c r="P224" s="5">
        <f>Paid!P73+Legacy!P75</f>
        <v/>
      </c>
      <c r="Q224" s="5">
        <f>Paid!Q73+Legacy!Q75</f>
        <v/>
      </c>
      <c r="R224" s="5">
        <f>Paid!R73+Legacy!R75</f>
        <v/>
      </c>
      <c r="S224" s="5">
        <f>Paid!S73+Legacy!S75</f>
        <v/>
      </c>
      <c r="T224" s="5">
        <f>Paid!T73+Legacy!T75</f>
        <v/>
      </c>
      <c r="U224" s="5">
        <f>Paid!U73+Legacy!U75</f>
        <v/>
      </c>
      <c r="V224" s="5">
        <f>Paid!V73+Legacy!V75</f>
        <v/>
      </c>
      <c r="W224" s="5">
        <f>Paid!W73+Legacy!W75</f>
        <v/>
      </c>
      <c r="X224" s="5">
        <f>Paid!X73+Legacy!X75</f>
        <v/>
      </c>
      <c r="Y224" s="5">
        <f>Paid!Y73+Legacy!Y75</f>
        <v/>
      </c>
      <c r="Z224" s="5">
        <f>Paid!Z73+Legacy!Z75</f>
        <v/>
      </c>
      <c r="AA224" s="5">
        <f>Paid!AA73+Legacy!AA75</f>
        <v/>
      </c>
      <c r="AB224" s="5">
        <f>Paid!AB73+Legacy!AB75</f>
        <v/>
      </c>
      <c r="AC224" s="5">
        <f>Paid!AC73+Legacy!AC75</f>
        <v/>
      </c>
      <c r="AD224" s="5">
        <f>Paid!AD73+Legacy!AD75</f>
        <v/>
      </c>
      <c r="AE224" s="5">
        <f>Paid!AE73+Legacy!AE75</f>
        <v/>
      </c>
      <c r="AF224" s="5">
        <f>Paid!AF73+Legacy!AF75</f>
        <v/>
      </c>
      <c r="AG224" s="5">
        <f>Paid!AG73+Legacy!AG75</f>
        <v/>
      </c>
      <c r="AH224" s="5">
        <f>Paid!AH73+Legacy!AH75</f>
        <v/>
      </c>
      <c r="AI224" s="5">
        <f>Paid!AI73+Legacy!AI75</f>
        <v/>
      </c>
      <c r="AJ224" s="5">
        <f>Paid!AJ73+Legacy!AJ75</f>
        <v/>
      </c>
      <c r="AK224" s="5">
        <f>Paid!AK73+Legacy!AK75</f>
        <v/>
      </c>
      <c r="AL224" s="5">
        <f>Paid!AL73+Legacy!AL75</f>
        <v/>
      </c>
      <c r="AM224" s="5">
        <f>Paid!AM73+Legacy!AM75</f>
        <v/>
      </c>
      <c r="AN224" s="5">
        <f>Paid!AN73+Legacy!AN75</f>
        <v/>
      </c>
      <c r="AO224" s="5">
        <f>Paid!AO73+Legacy!AO75</f>
        <v/>
      </c>
      <c r="AP224" s="5">
        <f>Paid!AP73+Legacy!AP75</f>
        <v/>
      </c>
      <c r="AQ224" s="5">
        <f>Paid!AQ73+Legacy!AQ75</f>
        <v/>
      </c>
      <c r="AR224" s="5">
        <f>Paid!AR73+Legacy!AR75</f>
        <v/>
      </c>
      <c r="AS224" s="5">
        <f>Paid!AS73+Legacy!AS75</f>
        <v/>
      </c>
      <c r="AT224" s="5">
        <f>Paid!AT73+Legacy!AT75</f>
        <v/>
      </c>
      <c r="AU224" s="5">
        <f>Paid!AU73+Legacy!AU75</f>
        <v/>
      </c>
      <c r="AV224" s="5">
        <f>Paid!AV73+Legacy!AV75</f>
        <v/>
      </c>
      <c r="AW224" s="5">
        <f>Paid!AW73+Legacy!AW75</f>
        <v/>
      </c>
      <c r="AX224" s="5">
        <f>Paid!AX73+Legacy!AX75</f>
        <v/>
      </c>
      <c r="AY224" s="5">
        <f>Paid!AY73+Legacy!AY75</f>
        <v/>
      </c>
      <c r="AZ224" s="5">
        <f>Paid!AZ73+Legacy!AZ75</f>
        <v/>
      </c>
      <c r="BA224" s="5">
        <f>Paid!BA73+Legacy!BA75</f>
        <v/>
      </c>
      <c r="BB224" s="5">
        <f>Paid!BB73+Legacy!BB75</f>
        <v/>
      </c>
      <c r="BC224" s="5">
        <f>Paid!BC73+Legacy!BC75</f>
        <v/>
      </c>
      <c r="BD224" s="5">
        <f>Paid!BD73+Legacy!BD75</f>
        <v/>
      </c>
      <c r="BE224" s="5">
        <f>Paid!BE73+Legacy!BE75</f>
        <v/>
      </c>
      <c r="BF224" s="5">
        <f>Paid!BF73+Legacy!BF75</f>
        <v/>
      </c>
      <c r="BG224" s="5">
        <f>Paid!BG73+Legacy!BG75</f>
        <v/>
      </c>
      <c r="BH224" s="5">
        <f>Paid!BH73+Legacy!BH75</f>
        <v/>
      </c>
      <c r="BI224" s="5">
        <f>Paid!BI73+Legacy!BI75</f>
        <v/>
      </c>
      <c r="BJ224" s="5">
        <f>Paid!BJ73+Legacy!BJ75</f>
        <v/>
      </c>
      <c r="BK224" s="5">
        <f>Paid!BK73+Legacy!BK75</f>
        <v/>
      </c>
      <c r="BL224" s="5">
        <f>Paid!BL73+Legacy!BL75</f>
        <v/>
      </c>
      <c r="BM224" s="5">
        <f>Paid!BM73+Legacy!BM75</f>
        <v/>
      </c>
      <c r="BN224" s="5">
        <f>Paid!BN73+Legacy!BN75</f>
        <v/>
      </c>
      <c r="BO224" s="5">
        <f>Paid!BO73+Legacy!BO75</f>
        <v/>
      </c>
      <c r="BP224" s="5">
        <f>Paid!BP73+Legacy!BP75</f>
        <v/>
      </c>
      <c r="BQ224" s="5">
        <f>Paid!BQ73+Legacy!BQ75</f>
        <v/>
      </c>
      <c r="BR224" s="5">
        <f>Paid!BR73+Legacy!BR75</f>
        <v/>
      </c>
      <c r="BS224" s="5">
        <f>Paid!BS73+Legacy!BS75</f>
        <v/>
      </c>
      <c r="BT224" s="5">
        <f>Paid!BT73+Legacy!BT75</f>
        <v/>
      </c>
      <c r="BU224" s="5">
        <f>Paid!BU73+Legacy!BU75</f>
        <v/>
      </c>
      <c r="BV224" s="5">
        <f>Paid!BV73+Legacy!BV75</f>
        <v/>
      </c>
    </row>
    <row r="225">
      <c r="A225" t="inlineStr">
        <is>
          <t>inflow @0</t>
        </is>
      </c>
      <c r="B225" t="inlineStr">
        <is>
          <t>ROW|NITRO_A</t>
        </is>
      </c>
      <c r="C225" s="5">
        <f>C224*Eras!C$3</f>
        <v/>
      </c>
      <c r="D225" s="5">
        <f>D224*Eras!D$3</f>
        <v/>
      </c>
      <c r="E225" s="5">
        <f>E224*Eras!E$3</f>
        <v/>
      </c>
      <c r="F225" s="5">
        <f>F224*Eras!F$3</f>
        <v/>
      </c>
      <c r="G225" s="5">
        <f>G224*Eras!G$3</f>
        <v/>
      </c>
      <c r="H225" s="5">
        <f>H224*Eras!H$3</f>
        <v/>
      </c>
      <c r="I225" s="5">
        <f>I224*Eras!I$3</f>
        <v/>
      </c>
      <c r="J225" s="5">
        <f>J224*Eras!J$3</f>
        <v/>
      </c>
      <c r="K225" s="5">
        <f>K224*Eras!K$3</f>
        <v/>
      </c>
      <c r="L225" s="5">
        <f>L224*Eras!L$3</f>
        <v/>
      </c>
      <c r="M225" s="5">
        <f>M224*Eras!M$3</f>
        <v/>
      </c>
      <c r="N225" s="5">
        <f>N224*Eras!N$3</f>
        <v/>
      </c>
      <c r="O225" s="5">
        <f>O224*Eras!O$3</f>
        <v/>
      </c>
      <c r="P225" s="5">
        <f>P224*Eras!P$3</f>
        <v/>
      </c>
      <c r="Q225" s="5">
        <f>Q224*Eras!Q$3</f>
        <v/>
      </c>
      <c r="R225" s="5">
        <f>R224*Eras!R$3</f>
        <v/>
      </c>
      <c r="S225" s="5">
        <f>S224*Eras!S$3</f>
        <v/>
      </c>
      <c r="T225" s="5">
        <f>T224*Eras!T$3</f>
        <v/>
      </c>
      <c r="U225" s="5">
        <f>U224*Eras!U$3</f>
        <v/>
      </c>
      <c r="V225" s="5">
        <f>V224*Eras!V$3</f>
        <v/>
      </c>
      <c r="W225" s="5">
        <f>W224*Eras!W$3</f>
        <v/>
      </c>
      <c r="X225" s="5">
        <f>X224*Eras!X$3</f>
        <v/>
      </c>
      <c r="Y225" s="5">
        <f>Y224*Eras!Y$3</f>
        <v/>
      </c>
      <c r="Z225" s="5">
        <f>Z224*Eras!Z$3</f>
        <v/>
      </c>
      <c r="AA225" s="5">
        <f>AA224*Eras!AA$3</f>
        <v/>
      </c>
      <c r="AB225" s="5">
        <f>AB224*Eras!AB$3</f>
        <v/>
      </c>
      <c r="AC225" s="5">
        <f>AC224*Eras!AC$3</f>
        <v/>
      </c>
      <c r="AD225" s="5">
        <f>AD224*Eras!AD$3</f>
        <v/>
      </c>
      <c r="AE225" s="5">
        <f>AE224*Eras!AE$3</f>
        <v/>
      </c>
      <c r="AF225" s="5">
        <f>AF224*Eras!AF$3</f>
        <v/>
      </c>
      <c r="AG225" s="5">
        <f>AG224*Eras!AG$3</f>
        <v/>
      </c>
      <c r="AH225" s="5">
        <f>AH224*Eras!AH$3</f>
        <v/>
      </c>
      <c r="AI225" s="5">
        <f>AI224*Eras!AI$3</f>
        <v/>
      </c>
      <c r="AJ225" s="5">
        <f>AJ224*Eras!AJ$3</f>
        <v/>
      </c>
      <c r="AK225" s="5">
        <f>AK224*Eras!AK$3</f>
        <v/>
      </c>
      <c r="AL225" s="5">
        <f>AL224*Eras!AL$3</f>
        <v/>
      </c>
      <c r="AM225" s="5">
        <f>AM224*Eras!AM$3</f>
        <v/>
      </c>
      <c r="AN225" s="5">
        <f>AN224*Eras!AN$3</f>
        <v/>
      </c>
      <c r="AO225" s="5">
        <f>AO224*Eras!AO$3</f>
        <v/>
      </c>
      <c r="AP225" s="5">
        <f>AP224*Eras!AP$3</f>
        <v/>
      </c>
      <c r="AQ225" s="5">
        <f>AQ224*Eras!AQ$3</f>
        <v/>
      </c>
      <c r="AR225" s="5">
        <f>AR224*Eras!AR$3</f>
        <v/>
      </c>
      <c r="AS225" s="5">
        <f>AS224*Eras!AS$3</f>
        <v/>
      </c>
      <c r="AT225" s="5">
        <f>AT224*Eras!AT$3</f>
        <v/>
      </c>
      <c r="AU225" s="5">
        <f>AU224*Eras!AU$3</f>
        <v/>
      </c>
      <c r="AV225" s="5">
        <f>AV224*Eras!AV$3</f>
        <v/>
      </c>
      <c r="AW225" s="5">
        <f>AW224*Eras!AW$3</f>
        <v/>
      </c>
      <c r="AX225" s="5">
        <f>AX224*Eras!AX$3</f>
        <v/>
      </c>
      <c r="AY225" s="5">
        <f>AY224*Eras!AY$3</f>
        <v/>
      </c>
      <c r="AZ225" s="5">
        <f>AZ224*Eras!AZ$3</f>
        <v/>
      </c>
      <c r="BA225" s="5">
        <f>BA224*Eras!BA$3</f>
        <v/>
      </c>
      <c r="BB225" s="5">
        <f>BB224*Eras!BB$3</f>
        <v/>
      </c>
      <c r="BC225" s="5">
        <f>BC224*Eras!BC$3</f>
        <v/>
      </c>
      <c r="BD225" s="5">
        <f>BD224*Eras!BD$3</f>
        <v/>
      </c>
      <c r="BE225" s="5">
        <f>BE224*Eras!BE$3</f>
        <v/>
      </c>
      <c r="BF225" s="5">
        <f>BF224*Eras!BF$3</f>
        <v/>
      </c>
      <c r="BG225" s="5">
        <f>BG224*Eras!BG$3</f>
        <v/>
      </c>
      <c r="BH225" s="5">
        <f>BH224*Eras!BH$3</f>
        <v/>
      </c>
      <c r="BI225" s="5">
        <f>BI224*Eras!BI$3</f>
        <v/>
      </c>
      <c r="BJ225" s="5">
        <f>BJ224*Eras!BJ$3</f>
        <v/>
      </c>
      <c r="BK225" s="5">
        <f>BK224*Eras!BK$3</f>
        <v/>
      </c>
      <c r="BL225" s="5">
        <f>BL224*Eras!BL$3</f>
        <v/>
      </c>
      <c r="BM225" s="5">
        <f>BM224*Eras!BM$3</f>
        <v/>
      </c>
      <c r="BN225" s="5">
        <f>BN224*Eras!BN$3</f>
        <v/>
      </c>
      <c r="BO225" s="5">
        <f>BO224*Eras!BO$3</f>
        <v/>
      </c>
      <c r="BP225" s="5">
        <f>BP224*Eras!BP$3</f>
        <v/>
      </c>
      <c r="BQ225" s="5">
        <f>BQ224*Eras!BQ$3</f>
        <v/>
      </c>
      <c r="BR225" s="5">
        <f>BR224*Eras!BR$3</f>
        <v/>
      </c>
      <c r="BS225" s="5">
        <f>BS224*Eras!BS$3</f>
        <v/>
      </c>
      <c r="BT225" s="5">
        <f>BT224*Eras!BT$3</f>
        <v/>
      </c>
      <c r="BU225" s="5">
        <f>BU224*Eras!BU$3</f>
        <v/>
      </c>
      <c r="BV225" s="5">
        <f>BV224*Eras!BV$3</f>
        <v/>
      </c>
    </row>
    <row r="226">
      <c r="A226" t="inlineStr">
        <is>
          <t>inflow @1</t>
        </is>
      </c>
      <c r="B226" t="inlineStr">
        <is>
          <t>ROW|NITRO_A</t>
        </is>
      </c>
      <c r="C226" s="5">
        <f>C224*Eras!C$4</f>
        <v/>
      </c>
      <c r="D226" s="5">
        <f>D224*Eras!D$4</f>
        <v/>
      </c>
      <c r="E226" s="5">
        <f>E224*Eras!E$4</f>
        <v/>
      </c>
      <c r="F226" s="5">
        <f>F224*Eras!F$4</f>
        <v/>
      </c>
      <c r="G226" s="5">
        <f>G224*Eras!G$4</f>
        <v/>
      </c>
      <c r="H226" s="5">
        <f>H224*Eras!H$4</f>
        <v/>
      </c>
      <c r="I226" s="5">
        <f>I224*Eras!I$4</f>
        <v/>
      </c>
      <c r="J226" s="5">
        <f>J224*Eras!J$4</f>
        <v/>
      </c>
      <c r="K226" s="5">
        <f>K224*Eras!K$4</f>
        <v/>
      </c>
      <c r="L226" s="5">
        <f>L224*Eras!L$4</f>
        <v/>
      </c>
      <c r="M226" s="5">
        <f>M224*Eras!M$4</f>
        <v/>
      </c>
      <c r="N226" s="5">
        <f>N224*Eras!N$4</f>
        <v/>
      </c>
      <c r="O226" s="5">
        <f>O224*Eras!O$4</f>
        <v/>
      </c>
      <c r="P226" s="5">
        <f>P224*Eras!P$4</f>
        <v/>
      </c>
      <c r="Q226" s="5">
        <f>Q224*Eras!Q$4</f>
        <v/>
      </c>
      <c r="R226" s="5">
        <f>R224*Eras!R$4</f>
        <v/>
      </c>
      <c r="S226" s="5">
        <f>S224*Eras!S$4</f>
        <v/>
      </c>
      <c r="T226" s="5">
        <f>T224*Eras!T$4</f>
        <v/>
      </c>
      <c r="U226" s="5">
        <f>U224*Eras!U$4</f>
        <v/>
      </c>
      <c r="V226" s="5">
        <f>V224*Eras!V$4</f>
        <v/>
      </c>
      <c r="W226" s="5">
        <f>W224*Eras!W$4</f>
        <v/>
      </c>
      <c r="X226" s="5">
        <f>X224*Eras!X$4</f>
        <v/>
      </c>
      <c r="Y226" s="5">
        <f>Y224*Eras!Y$4</f>
        <v/>
      </c>
      <c r="Z226" s="5">
        <f>Z224*Eras!Z$4</f>
        <v/>
      </c>
      <c r="AA226" s="5">
        <f>AA224*Eras!AA$4</f>
        <v/>
      </c>
      <c r="AB226" s="5">
        <f>AB224*Eras!AB$4</f>
        <v/>
      </c>
      <c r="AC226" s="5">
        <f>AC224*Eras!AC$4</f>
        <v/>
      </c>
      <c r="AD226" s="5">
        <f>AD224*Eras!AD$4</f>
        <v/>
      </c>
      <c r="AE226" s="5">
        <f>AE224*Eras!AE$4</f>
        <v/>
      </c>
      <c r="AF226" s="5">
        <f>AF224*Eras!AF$4</f>
        <v/>
      </c>
      <c r="AG226" s="5">
        <f>AG224*Eras!AG$4</f>
        <v/>
      </c>
      <c r="AH226" s="5">
        <f>AH224*Eras!AH$4</f>
        <v/>
      </c>
      <c r="AI226" s="5">
        <f>AI224*Eras!AI$4</f>
        <v/>
      </c>
      <c r="AJ226" s="5">
        <f>AJ224*Eras!AJ$4</f>
        <v/>
      </c>
      <c r="AK226" s="5">
        <f>AK224*Eras!AK$4</f>
        <v/>
      </c>
      <c r="AL226" s="5">
        <f>AL224*Eras!AL$4</f>
        <v/>
      </c>
      <c r="AM226" s="5">
        <f>AM224*Eras!AM$4</f>
        <v/>
      </c>
      <c r="AN226" s="5">
        <f>AN224*Eras!AN$4</f>
        <v/>
      </c>
      <c r="AO226" s="5">
        <f>AO224*Eras!AO$4</f>
        <v/>
      </c>
      <c r="AP226" s="5">
        <f>AP224*Eras!AP$4</f>
        <v/>
      </c>
      <c r="AQ226" s="5">
        <f>AQ224*Eras!AQ$4</f>
        <v/>
      </c>
      <c r="AR226" s="5">
        <f>AR224*Eras!AR$4</f>
        <v/>
      </c>
      <c r="AS226" s="5">
        <f>AS224*Eras!AS$4</f>
        <v/>
      </c>
      <c r="AT226" s="5">
        <f>AT224*Eras!AT$4</f>
        <v/>
      </c>
      <c r="AU226" s="5">
        <f>AU224*Eras!AU$4</f>
        <v/>
      </c>
      <c r="AV226" s="5">
        <f>AV224*Eras!AV$4</f>
        <v/>
      </c>
      <c r="AW226" s="5">
        <f>AW224*Eras!AW$4</f>
        <v/>
      </c>
      <c r="AX226" s="5">
        <f>AX224*Eras!AX$4</f>
        <v/>
      </c>
      <c r="AY226" s="5">
        <f>AY224*Eras!AY$4</f>
        <v/>
      </c>
      <c r="AZ226" s="5">
        <f>AZ224*Eras!AZ$4</f>
        <v/>
      </c>
      <c r="BA226" s="5">
        <f>BA224*Eras!BA$4</f>
        <v/>
      </c>
      <c r="BB226" s="5">
        <f>BB224*Eras!BB$4</f>
        <v/>
      </c>
      <c r="BC226" s="5">
        <f>BC224*Eras!BC$4</f>
        <v/>
      </c>
      <c r="BD226" s="5">
        <f>BD224*Eras!BD$4</f>
        <v/>
      </c>
      <c r="BE226" s="5">
        <f>BE224*Eras!BE$4</f>
        <v/>
      </c>
      <c r="BF226" s="5">
        <f>BF224*Eras!BF$4</f>
        <v/>
      </c>
      <c r="BG226" s="5">
        <f>BG224*Eras!BG$4</f>
        <v/>
      </c>
      <c r="BH226" s="5">
        <f>BH224*Eras!BH$4</f>
        <v/>
      </c>
      <c r="BI226" s="5">
        <f>BI224*Eras!BI$4</f>
        <v/>
      </c>
      <c r="BJ226" s="5">
        <f>BJ224*Eras!BJ$4</f>
        <v/>
      </c>
      <c r="BK226" s="5">
        <f>BK224*Eras!BK$4</f>
        <v/>
      </c>
      <c r="BL226" s="5">
        <f>BL224*Eras!BL$4</f>
        <v/>
      </c>
      <c r="BM226" s="5">
        <f>BM224*Eras!BM$4</f>
        <v/>
      </c>
      <c r="BN226" s="5">
        <f>BN224*Eras!BN$4</f>
        <v/>
      </c>
      <c r="BO226" s="5">
        <f>BO224*Eras!BO$4</f>
        <v/>
      </c>
      <c r="BP226" s="5">
        <f>BP224*Eras!BP$4</f>
        <v/>
      </c>
      <c r="BQ226" s="5">
        <f>BQ224*Eras!BQ$4</f>
        <v/>
      </c>
      <c r="BR226" s="5">
        <f>BR224*Eras!BR$4</f>
        <v/>
      </c>
      <c r="BS226" s="5">
        <f>BS224*Eras!BS$4</f>
        <v/>
      </c>
      <c r="BT226" s="5">
        <f>BT224*Eras!BT$4</f>
        <v/>
      </c>
      <c r="BU226" s="5">
        <f>BU224*Eras!BU$4</f>
        <v/>
      </c>
      <c r="BV226" s="5">
        <f>BV224*Eras!BV$4</f>
        <v/>
      </c>
    </row>
    <row r="227">
      <c r="A227" t="inlineStr">
        <is>
          <t>inflow @2</t>
        </is>
      </c>
      <c r="B227" t="inlineStr">
        <is>
          <t>ROW|NITRO_A</t>
        </is>
      </c>
      <c r="C227" s="5">
        <f>C224*Eras!C$5</f>
        <v/>
      </c>
      <c r="D227" s="5">
        <f>D224*Eras!D$5</f>
        <v/>
      </c>
      <c r="E227" s="5">
        <f>E224*Eras!E$5</f>
        <v/>
      </c>
      <c r="F227" s="5">
        <f>F224*Eras!F$5</f>
        <v/>
      </c>
      <c r="G227" s="5">
        <f>G224*Eras!G$5</f>
        <v/>
      </c>
      <c r="H227" s="5">
        <f>H224*Eras!H$5</f>
        <v/>
      </c>
      <c r="I227" s="5">
        <f>I224*Eras!I$5</f>
        <v/>
      </c>
      <c r="J227" s="5">
        <f>J224*Eras!J$5</f>
        <v/>
      </c>
      <c r="K227" s="5">
        <f>K224*Eras!K$5</f>
        <v/>
      </c>
      <c r="L227" s="5">
        <f>L224*Eras!L$5</f>
        <v/>
      </c>
      <c r="M227" s="5">
        <f>M224*Eras!M$5</f>
        <v/>
      </c>
      <c r="N227" s="5">
        <f>N224*Eras!N$5</f>
        <v/>
      </c>
      <c r="O227" s="5">
        <f>O224*Eras!O$5</f>
        <v/>
      </c>
      <c r="P227" s="5">
        <f>P224*Eras!P$5</f>
        <v/>
      </c>
      <c r="Q227" s="5">
        <f>Q224*Eras!Q$5</f>
        <v/>
      </c>
      <c r="R227" s="5">
        <f>R224*Eras!R$5</f>
        <v/>
      </c>
      <c r="S227" s="5">
        <f>S224*Eras!S$5</f>
        <v/>
      </c>
      <c r="T227" s="5">
        <f>T224*Eras!T$5</f>
        <v/>
      </c>
      <c r="U227" s="5">
        <f>U224*Eras!U$5</f>
        <v/>
      </c>
      <c r="V227" s="5">
        <f>V224*Eras!V$5</f>
        <v/>
      </c>
      <c r="W227" s="5">
        <f>W224*Eras!W$5</f>
        <v/>
      </c>
      <c r="X227" s="5">
        <f>X224*Eras!X$5</f>
        <v/>
      </c>
      <c r="Y227" s="5">
        <f>Y224*Eras!Y$5</f>
        <v/>
      </c>
      <c r="Z227" s="5">
        <f>Z224*Eras!Z$5</f>
        <v/>
      </c>
      <c r="AA227" s="5">
        <f>AA224*Eras!AA$5</f>
        <v/>
      </c>
      <c r="AB227" s="5">
        <f>AB224*Eras!AB$5</f>
        <v/>
      </c>
      <c r="AC227" s="5">
        <f>AC224*Eras!AC$5</f>
        <v/>
      </c>
      <c r="AD227" s="5">
        <f>AD224*Eras!AD$5</f>
        <v/>
      </c>
      <c r="AE227" s="5">
        <f>AE224*Eras!AE$5</f>
        <v/>
      </c>
      <c r="AF227" s="5">
        <f>AF224*Eras!AF$5</f>
        <v/>
      </c>
      <c r="AG227" s="5">
        <f>AG224*Eras!AG$5</f>
        <v/>
      </c>
      <c r="AH227" s="5">
        <f>AH224*Eras!AH$5</f>
        <v/>
      </c>
      <c r="AI227" s="5">
        <f>AI224*Eras!AI$5</f>
        <v/>
      </c>
      <c r="AJ227" s="5">
        <f>AJ224*Eras!AJ$5</f>
        <v/>
      </c>
      <c r="AK227" s="5">
        <f>AK224*Eras!AK$5</f>
        <v/>
      </c>
      <c r="AL227" s="5">
        <f>AL224*Eras!AL$5</f>
        <v/>
      </c>
      <c r="AM227" s="5">
        <f>AM224*Eras!AM$5</f>
        <v/>
      </c>
      <c r="AN227" s="5">
        <f>AN224*Eras!AN$5</f>
        <v/>
      </c>
      <c r="AO227" s="5">
        <f>AO224*Eras!AO$5</f>
        <v/>
      </c>
      <c r="AP227" s="5">
        <f>AP224*Eras!AP$5</f>
        <v/>
      </c>
      <c r="AQ227" s="5">
        <f>AQ224*Eras!AQ$5</f>
        <v/>
      </c>
      <c r="AR227" s="5">
        <f>AR224*Eras!AR$5</f>
        <v/>
      </c>
      <c r="AS227" s="5">
        <f>AS224*Eras!AS$5</f>
        <v/>
      </c>
      <c r="AT227" s="5">
        <f>AT224*Eras!AT$5</f>
        <v/>
      </c>
      <c r="AU227" s="5">
        <f>AU224*Eras!AU$5</f>
        <v/>
      </c>
      <c r="AV227" s="5">
        <f>AV224*Eras!AV$5</f>
        <v/>
      </c>
      <c r="AW227" s="5">
        <f>AW224*Eras!AW$5</f>
        <v/>
      </c>
      <c r="AX227" s="5">
        <f>AX224*Eras!AX$5</f>
        <v/>
      </c>
      <c r="AY227" s="5">
        <f>AY224*Eras!AY$5</f>
        <v/>
      </c>
      <c r="AZ227" s="5">
        <f>AZ224*Eras!AZ$5</f>
        <v/>
      </c>
      <c r="BA227" s="5">
        <f>BA224*Eras!BA$5</f>
        <v/>
      </c>
      <c r="BB227" s="5">
        <f>BB224*Eras!BB$5</f>
        <v/>
      </c>
      <c r="BC227" s="5">
        <f>BC224*Eras!BC$5</f>
        <v/>
      </c>
      <c r="BD227" s="5">
        <f>BD224*Eras!BD$5</f>
        <v/>
      </c>
      <c r="BE227" s="5">
        <f>BE224*Eras!BE$5</f>
        <v/>
      </c>
      <c r="BF227" s="5">
        <f>BF224*Eras!BF$5</f>
        <v/>
      </c>
      <c r="BG227" s="5">
        <f>BG224*Eras!BG$5</f>
        <v/>
      </c>
      <c r="BH227" s="5">
        <f>BH224*Eras!BH$5</f>
        <v/>
      </c>
      <c r="BI227" s="5">
        <f>BI224*Eras!BI$5</f>
        <v/>
      </c>
      <c r="BJ227" s="5">
        <f>BJ224*Eras!BJ$5</f>
        <v/>
      </c>
      <c r="BK227" s="5">
        <f>BK224*Eras!BK$5</f>
        <v/>
      </c>
      <c r="BL227" s="5">
        <f>BL224*Eras!BL$5</f>
        <v/>
      </c>
      <c r="BM227" s="5">
        <f>BM224*Eras!BM$5</f>
        <v/>
      </c>
      <c r="BN227" s="5">
        <f>BN224*Eras!BN$5</f>
        <v/>
      </c>
      <c r="BO227" s="5">
        <f>BO224*Eras!BO$5</f>
        <v/>
      </c>
      <c r="BP227" s="5">
        <f>BP224*Eras!BP$5</f>
        <v/>
      </c>
      <c r="BQ227" s="5">
        <f>BQ224*Eras!BQ$5</f>
        <v/>
      </c>
      <c r="BR227" s="5">
        <f>BR224*Eras!BR$5</f>
        <v/>
      </c>
      <c r="BS227" s="5">
        <f>BS224*Eras!BS$5</f>
        <v/>
      </c>
      <c r="BT227" s="5">
        <f>BT224*Eras!BT$5</f>
        <v/>
      </c>
      <c r="BU227" s="5">
        <f>BU224*Eras!BU$5</f>
        <v/>
      </c>
      <c r="BV227" s="5">
        <f>BV224*Eras!BV$5</f>
        <v/>
      </c>
    </row>
    <row r="228">
      <c r="A228" t="inlineStr">
        <is>
          <t>reactivations out</t>
        </is>
      </c>
      <c r="B228" t="inlineStr">
        <is>
          <t>ROW|NITRO_A</t>
        </is>
      </c>
      <c r="C228" s="5">
        <f>React!$C$225*Curves!$BV$21+React!$C$226*Curves!$BV$44+React!$C$227*Curves!$BV$67</f>
        <v/>
      </c>
      <c r="D228" s="5">
        <f>SUMPRODUCT(React!$C$225:$D$225,Curves!$BU$21:$BV$21)+SUMPRODUCT(React!$C$226:$D$226,Curves!$BU$44:$BV$44)+SUMPRODUCT(React!$C$227:$D$227,Curves!$BU$67:$BV$67)</f>
        <v/>
      </c>
      <c r="E228" s="5">
        <f>SUMPRODUCT(React!$C$225:$E$225,Curves!$BT$21:$BV$21)+SUMPRODUCT(React!$C$226:$E$226,Curves!$BT$44:$BV$44)+SUMPRODUCT(React!$C$227:$E$227,Curves!$BT$67:$BV$67)</f>
        <v/>
      </c>
      <c r="F228" s="5">
        <f>SUMPRODUCT(React!$C$225:$F$225,Curves!$BS$21:$BV$21)+SUMPRODUCT(React!$C$226:$F$226,Curves!$BS$44:$BV$44)+SUMPRODUCT(React!$C$227:$F$227,Curves!$BS$67:$BV$67)</f>
        <v/>
      </c>
      <c r="G228" s="5">
        <f>SUMPRODUCT(React!$C$225:$G$225,Curves!$BR$21:$BV$21)+SUMPRODUCT(React!$C$226:$G$226,Curves!$BR$44:$BV$44)+SUMPRODUCT(React!$C$227:$G$227,Curves!$BR$67:$BV$67)</f>
        <v/>
      </c>
      <c r="H228" s="5">
        <f>SUMPRODUCT(React!$C$225:$H$225,Curves!$BQ$21:$BV$21)+SUMPRODUCT(React!$C$226:$H$226,Curves!$BQ$44:$BV$44)+SUMPRODUCT(React!$C$227:$H$227,Curves!$BQ$67:$BV$67)</f>
        <v/>
      </c>
      <c r="I228" s="5">
        <f>SUMPRODUCT(React!$C$225:$I$225,Curves!$BP$21:$BV$21)+SUMPRODUCT(React!$C$226:$I$226,Curves!$BP$44:$BV$44)+SUMPRODUCT(React!$C$227:$I$227,Curves!$BP$67:$BV$67)</f>
        <v/>
      </c>
      <c r="J228" s="5">
        <f>SUMPRODUCT(React!$C$225:$J$225,Curves!$BO$21:$BV$21)+SUMPRODUCT(React!$C$226:$J$226,Curves!$BO$44:$BV$44)+SUMPRODUCT(React!$C$227:$J$227,Curves!$BO$67:$BV$67)</f>
        <v/>
      </c>
      <c r="K228" s="5">
        <f>SUMPRODUCT(React!$C$225:$K$225,Curves!$BN$21:$BV$21)+SUMPRODUCT(React!$C$226:$K$226,Curves!$BN$44:$BV$44)+SUMPRODUCT(React!$C$227:$K$227,Curves!$BN$67:$BV$67)</f>
        <v/>
      </c>
      <c r="L228" s="5">
        <f>SUMPRODUCT(React!$C$225:$L$225,Curves!$BM$21:$BV$21)+SUMPRODUCT(React!$C$226:$L$226,Curves!$BM$44:$BV$44)+SUMPRODUCT(React!$C$227:$L$227,Curves!$BM$67:$BV$67)</f>
        <v/>
      </c>
      <c r="M228" s="5">
        <f>SUMPRODUCT(React!$C$225:$M$225,Curves!$BL$21:$BV$21)+SUMPRODUCT(React!$C$226:$M$226,Curves!$BL$44:$BV$44)+SUMPRODUCT(React!$C$227:$M$227,Curves!$BL$67:$BV$67)</f>
        <v/>
      </c>
      <c r="N228" s="5">
        <f>SUMPRODUCT(React!$C$225:$N$225,Curves!$BK$21:$BV$21)+SUMPRODUCT(React!$C$226:$N$226,Curves!$BK$44:$BV$44)+SUMPRODUCT(React!$C$227:$N$227,Curves!$BK$67:$BV$67)</f>
        <v/>
      </c>
      <c r="O228" s="5">
        <f>SUMPRODUCT(React!$C$225:$O$225,Curves!$BJ$21:$BV$21)+SUMPRODUCT(React!$C$226:$O$226,Curves!$BJ$44:$BV$44)+SUMPRODUCT(React!$C$227:$O$227,Curves!$BJ$67:$BV$67)</f>
        <v/>
      </c>
      <c r="P228" s="5">
        <f>SUMPRODUCT(React!$C$225:$P$225,Curves!$BI$21:$BV$21)+SUMPRODUCT(React!$C$226:$P$226,Curves!$BI$44:$BV$44)+SUMPRODUCT(React!$C$227:$P$227,Curves!$BI$67:$BV$67)</f>
        <v/>
      </c>
      <c r="Q228" s="5">
        <f>SUMPRODUCT(React!$C$225:$Q$225,Curves!$BH$21:$BV$21)+SUMPRODUCT(React!$C$226:$Q$226,Curves!$BH$44:$BV$44)+SUMPRODUCT(React!$C$227:$Q$227,Curves!$BH$67:$BV$67)</f>
        <v/>
      </c>
      <c r="R228" s="5">
        <f>SUMPRODUCT(React!$C$225:$R$225,Curves!$BG$21:$BV$21)+SUMPRODUCT(React!$C$226:$R$226,Curves!$BG$44:$BV$44)+SUMPRODUCT(React!$C$227:$R$227,Curves!$BG$67:$BV$67)</f>
        <v/>
      </c>
      <c r="S228" s="5">
        <f>SUMPRODUCT(React!$C$225:$S$225,Curves!$BF$21:$BV$21)+SUMPRODUCT(React!$C$226:$S$226,Curves!$BF$44:$BV$44)+SUMPRODUCT(React!$C$227:$S$227,Curves!$BF$67:$BV$67)</f>
        <v/>
      </c>
      <c r="T228" s="5">
        <f>SUMPRODUCT(React!$C$225:$T$225,Curves!$BE$21:$BV$21)+SUMPRODUCT(React!$C$226:$T$226,Curves!$BE$44:$BV$44)+SUMPRODUCT(React!$C$227:$T$227,Curves!$BE$67:$BV$67)</f>
        <v/>
      </c>
      <c r="U228" s="5">
        <f>SUMPRODUCT(React!$C$225:$U$225,Curves!$BD$21:$BV$21)+SUMPRODUCT(React!$C$226:$U$226,Curves!$BD$44:$BV$44)+SUMPRODUCT(React!$C$227:$U$227,Curves!$BD$67:$BV$67)</f>
        <v/>
      </c>
      <c r="V228" s="5">
        <f>SUMPRODUCT(React!$C$225:$V$225,Curves!$BC$21:$BV$21)+SUMPRODUCT(React!$C$226:$V$226,Curves!$BC$44:$BV$44)+SUMPRODUCT(React!$C$227:$V$227,Curves!$BC$67:$BV$67)</f>
        <v/>
      </c>
      <c r="W228" s="5">
        <f>SUMPRODUCT(React!$C$225:$W$225,Curves!$BB$21:$BV$21)+SUMPRODUCT(React!$C$226:$W$226,Curves!$BB$44:$BV$44)+SUMPRODUCT(React!$C$227:$W$227,Curves!$BB$67:$BV$67)</f>
        <v/>
      </c>
      <c r="X228" s="5">
        <f>SUMPRODUCT(React!$C$225:$X$225,Curves!$BA$21:$BV$21)+SUMPRODUCT(React!$C$226:$X$226,Curves!$BA$44:$BV$44)+SUMPRODUCT(React!$C$227:$X$227,Curves!$BA$67:$BV$67)</f>
        <v/>
      </c>
      <c r="Y228" s="5">
        <f>SUMPRODUCT(React!$C$225:$Y$225,Curves!$AZ$21:$BV$21)+SUMPRODUCT(React!$C$226:$Y$226,Curves!$AZ$44:$BV$44)+SUMPRODUCT(React!$C$227:$Y$227,Curves!$AZ$67:$BV$67)</f>
        <v/>
      </c>
      <c r="Z228" s="5">
        <f>SUMPRODUCT(React!$C$225:$Z$225,Curves!$AY$21:$BV$21)+SUMPRODUCT(React!$C$226:$Z$226,Curves!$AY$44:$BV$44)+SUMPRODUCT(React!$C$227:$Z$227,Curves!$AY$67:$BV$67)</f>
        <v/>
      </c>
      <c r="AA228" s="5">
        <f>SUMPRODUCT(React!$C$225:$AA$225,Curves!$AX$21:$BV$21)+SUMPRODUCT(React!$C$226:$AA$226,Curves!$AX$44:$BV$44)+SUMPRODUCT(React!$C$227:$AA$227,Curves!$AX$67:$BV$67)</f>
        <v/>
      </c>
      <c r="AB228" s="5">
        <f>SUMPRODUCT(React!$C$225:$AB$225,Curves!$AW$21:$BV$21)+SUMPRODUCT(React!$C$226:$AB$226,Curves!$AW$44:$BV$44)+SUMPRODUCT(React!$C$227:$AB$227,Curves!$AW$67:$BV$67)</f>
        <v/>
      </c>
      <c r="AC228" s="5">
        <f>SUMPRODUCT(React!$C$225:$AC$225,Curves!$AV$21:$BV$21)+SUMPRODUCT(React!$C$226:$AC$226,Curves!$AV$44:$BV$44)+SUMPRODUCT(React!$C$227:$AC$227,Curves!$AV$67:$BV$67)</f>
        <v/>
      </c>
      <c r="AD228" s="5">
        <f>SUMPRODUCT(React!$C$225:$AD$225,Curves!$AU$21:$BV$21)+SUMPRODUCT(React!$C$226:$AD$226,Curves!$AU$44:$BV$44)+SUMPRODUCT(React!$C$227:$AD$227,Curves!$AU$67:$BV$67)</f>
        <v/>
      </c>
      <c r="AE228" s="5">
        <f>SUMPRODUCT(React!$C$225:$AE$225,Curves!$AT$21:$BV$21)+SUMPRODUCT(React!$C$226:$AE$226,Curves!$AT$44:$BV$44)+SUMPRODUCT(React!$C$227:$AE$227,Curves!$AT$67:$BV$67)</f>
        <v/>
      </c>
      <c r="AF228" s="5">
        <f>SUMPRODUCT(React!$C$225:$AF$225,Curves!$AS$21:$BV$21)+SUMPRODUCT(React!$C$226:$AF$226,Curves!$AS$44:$BV$44)+SUMPRODUCT(React!$C$227:$AF$227,Curves!$AS$67:$BV$67)</f>
        <v/>
      </c>
      <c r="AG228" s="5">
        <f>SUMPRODUCT(React!$C$225:$AG$225,Curves!$AR$21:$BV$21)+SUMPRODUCT(React!$C$226:$AG$226,Curves!$AR$44:$BV$44)+SUMPRODUCT(React!$C$227:$AG$227,Curves!$AR$67:$BV$67)</f>
        <v/>
      </c>
      <c r="AH228" s="5">
        <f>SUMPRODUCT(React!$C$225:$AH$225,Curves!$AQ$21:$BV$21)+SUMPRODUCT(React!$C$226:$AH$226,Curves!$AQ$44:$BV$44)+SUMPRODUCT(React!$C$227:$AH$227,Curves!$AQ$67:$BV$67)</f>
        <v/>
      </c>
      <c r="AI228" s="5">
        <f>SUMPRODUCT(React!$C$225:$AI$225,Curves!$AP$21:$BV$21)+SUMPRODUCT(React!$C$226:$AI$226,Curves!$AP$44:$BV$44)+SUMPRODUCT(React!$C$227:$AI$227,Curves!$AP$67:$BV$67)</f>
        <v/>
      </c>
      <c r="AJ228" s="5">
        <f>SUMPRODUCT(React!$C$225:$AJ$225,Curves!$AO$21:$BV$21)+SUMPRODUCT(React!$C$226:$AJ$226,Curves!$AO$44:$BV$44)+SUMPRODUCT(React!$C$227:$AJ$227,Curves!$AO$67:$BV$67)</f>
        <v/>
      </c>
      <c r="AK228" s="5">
        <f>SUMPRODUCT(React!$C$225:$AK$225,Curves!$AN$21:$BV$21)+SUMPRODUCT(React!$C$226:$AK$226,Curves!$AN$44:$BV$44)+SUMPRODUCT(React!$C$227:$AK$227,Curves!$AN$67:$BV$67)</f>
        <v/>
      </c>
      <c r="AL228" s="5">
        <f>SUMPRODUCT(React!$C$225:$AL$225,Curves!$AM$21:$BV$21)+SUMPRODUCT(React!$C$226:$AL$226,Curves!$AM$44:$BV$44)+SUMPRODUCT(React!$C$227:$AL$227,Curves!$AM$67:$BV$67)</f>
        <v/>
      </c>
      <c r="AM228" s="5">
        <f>SUMPRODUCT(React!$C$225:$AM$225,Curves!$AL$21:$BV$21)+SUMPRODUCT(React!$C$226:$AM$226,Curves!$AL$44:$BV$44)+SUMPRODUCT(React!$C$227:$AM$227,Curves!$AL$67:$BV$67)</f>
        <v/>
      </c>
      <c r="AN228" s="5">
        <f>SUMPRODUCT(React!$C$225:$AN$225,Curves!$AK$21:$BV$21)+SUMPRODUCT(React!$C$226:$AN$226,Curves!$AK$44:$BV$44)+SUMPRODUCT(React!$C$227:$AN$227,Curves!$AK$67:$BV$67)</f>
        <v/>
      </c>
      <c r="AO228" s="5">
        <f>SUMPRODUCT(React!$C$225:$AO$225,Curves!$AJ$21:$BV$21)+SUMPRODUCT(React!$C$226:$AO$226,Curves!$AJ$44:$BV$44)+SUMPRODUCT(React!$C$227:$AO$227,Curves!$AJ$67:$BV$67)</f>
        <v/>
      </c>
      <c r="AP228" s="5">
        <f>SUMPRODUCT(React!$C$225:$AP$225,Curves!$AI$21:$BV$21)+SUMPRODUCT(React!$C$226:$AP$226,Curves!$AI$44:$BV$44)+SUMPRODUCT(React!$C$227:$AP$227,Curves!$AI$67:$BV$67)</f>
        <v/>
      </c>
      <c r="AQ228" s="5">
        <f>SUMPRODUCT(React!$C$225:$AQ$225,Curves!$AH$21:$BV$21)+SUMPRODUCT(React!$C$226:$AQ$226,Curves!$AH$44:$BV$44)+SUMPRODUCT(React!$C$227:$AQ$227,Curves!$AH$67:$BV$67)</f>
        <v/>
      </c>
      <c r="AR228" s="5">
        <f>SUMPRODUCT(React!$C$225:$AR$225,Curves!$AG$21:$BV$21)+SUMPRODUCT(React!$C$226:$AR$226,Curves!$AG$44:$BV$44)+SUMPRODUCT(React!$C$227:$AR$227,Curves!$AG$67:$BV$67)</f>
        <v/>
      </c>
      <c r="AS228" s="5">
        <f>SUMPRODUCT(React!$C$225:$AS$225,Curves!$AF$21:$BV$21)+SUMPRODUCT(React!$C$226:$AS$226,Curves!$AF$44:$BV$44)+SUMPRODUCT(React!$C$227:$AS$227,Curves!$AF$67:$BV$67)</f>
        <v/>
      </c>
      <c r="AT228" s="5">
        <f>SUMPRODUCT(React!$C$225:$AT$225,Curves!$AE$21:$BV$21)+SUMPRODUCT(React!$C$226:$AT$226,Curves!$AE$44:$BV$44)+SUMPRODUCT(React!$C$227:$AT$227,Curves!$AE$67:$BV$67)</f>
        <v/>
      </c>
      <c r="AU228" s="5">
        <f>SUMPRODUCT(React!$C$225:$AU$225,Curves!$AD$21:$BV$21)+SUMPRODUCT(React!$C$226:$AU$226,Curves!$AD$44:$BV$44)+SUMPRODUCT(React!$C$227:$AU$227,Curves!$AD$67:$BV$67)</f>
        <v/>
      </c>
      <c r="AV228" s="5">
        <f>SUMPRODUCT(React!$C$225:$AV$225,Curves!$AC$21:$BV$21)+SUMPRODUCT(React!$C$226:$AV$226,Curves!$AC$44:$BV$44)+SUMPRODUCT(React!$C$227:$AV$227,Curves!$AC$67:$BV$67)</f>
        <v/>
      </c>
      <c r="AW228" s="5">
        <f>SUMPRODUCT(React!$C$225:$AW$225,Curves!$AB$21:$BV$21)+SUMPRODUCT(React!$C$226:$AW$226,Curves!$AB$44:$BV$44)+SUMPRODUCT(React!$C$227:$AW$227,Curves!$AB$67:$BV$67)</f>
        <v/>
      </c>
      <c r="AX228" s="5">
        <f>SUMPRODUCT(React!$C$225:$AX$225,Curves!$AA$21:$BV$21)+SUMPRODUCT(React!$C$226:$AX$226,Curves!$AA$44:$BV$44)+SUMPRODUCT(React!$C$227:$AX$227,Curves!$AA$67:$BV$67)</f>
        <v/>
      </c>
      <c r="AY228" s="5">
        <f>SUMPRODUCT(React!$C$225:$AY$225,Curves!$Z$21:$BV$21)+SUMPRODUCT(React!$C$226:$AY$226,Curves!$Z$44:$BV$44)+SUMPRODUCT(React!$C$227:$AY$227,Curves!$Z$67:$BV$67)</f>
        <v/>
      </c>
      <c r="AZ228" s="5">
        <f>SUMPRODUCT(React!$C$225:$AZ$225,Curves!$Y$21:$BV$21)+SUMPRODUCT(React!$C$226:$AZ$226,Curves!$Y$44:$BV$44)+SUMPRODUCT(React!$C$227:$AZ$227,Curves!$Y$67:$BV$67)</f>
        <v/>
      </c>
      <c r="BA228" s="5">
        <f>SUMPRODUCT(React!$C$225:$BA$225,Curves!$X$21:$BV$21)+SUMPRODUCT(React!$C$226:$BA$226,Curves!$X$44:$BV$44)+SUMPRODUCT(React!$C$227:$BA$227,Curves!$X$67:$BV$67)</f>
        <v/>
      </c>
      <c r="BB228" s="5">
        <f>SUMPRODUCT(React!$C$225:$BB$225,Curves!$W$21:$BV$21)+SUMPRODUCT(React!$C$226:$BB$226,Curves!$W$44:$BV$44)+SUMPRODUCT(React!$C$227:$BB$227,Curves!$W$67:$BV$67)</f>
        <v/>
      </c>
      <c r="BC228" s="5">
        <f>SUMPRODUCT(React!$C$225:$BC$225,Curves!$V$21:$BV$21)+SUMPRODUCT(React!$C$226:$BC$226,Curves!$V$44:$BV$44)+SUMPRODUCT(React!$C$227:$BC$227,Curves!$V$67:$BV$67)</f>
        <v/>
      </c>
      <c r="BD228" s="5">
        <f>SUMPRODUCT(React!$C$225:$BD$225,Curves!$U$21:$BV$21)+SUMPRODUCT(React!$C$226:$BD$226,Curves!$U$44:$BV$44)+SUMPRODUCT(React!$C$227:$BD$227,Curves!$U$67:$BV$67)</f>
        <v/>
      </c>
      <c r="BE228" s="5">
        <f>SUMPRODUCT(React!$C$225:$BE$225,Curves!$T$21:$BV$21)+SUMPRODUCT(React!$C$226:$BE$226,Curves!$T$44:$BV$44)+SUMPRODUCT(React!$C$227:$BE$227,Curves!$T$67:$BV$67)</f>
        <v/>
      </c>
      <c r="BF228" s="5">
        <f>SUMPRODUCT(React!$C$225:$BF$225,Curves!$S$21:$BV$21)+SUMPRODUCT(React!$C$226:$BF$226,Curves!$S$44:$BV$44)+SUMPRODUCT(React!$C$227:$BF$227,Curves!$S$67:$BV$67)</f>
        <v/>
      </c>
      <c r="BG228" s="5">
        <f>SUMPRODUCT(React!$C$225:$BG$225,Curves!$R$21:$BV$21)+SUMPRODUCT(React!$C$226:$BG$226,Curves!$R$44:$BV$44)+SUMPRODUCT(React!$C$227:$BG$227,Curves!$R$67:$BV$67)</f>
        <v/>
      </c>
      <c r="BH228" s="5">
        <f>SUMPRODUCT(React!$C$225:$BH$225,Curves!$Q$21:$BV$21)+SUMPRODUCT(React!$C$226:$BH$226,Curves!$Q$44:$BV$44)+SUMPRODUCT(React!$C$227:$BH$227,Curves!$Q$67:$BV$67)</f>
        <v/>
      </c>
      <c r="BI228" s="5">
        <f>SUMPRODUCT(React!$C$225:$BI$225,Curves!$P$21:$BV$21)+SUMPRODUCT(React!$C$226:$BI$226,Curves!$P$44:$BV$44)+SUMPRODUCT(React!$C$227:$BI$227,Curves!$P$67:$BV$67)</f>
        <v/>
      </c>
      <c r="BJ228" s="5">
        <f>SUMPRODUCT(React!$C$225:$BJ$225,Curves!$O$21:$BV$21)+SUMPRODUCT(React!$C$226:$BJ$226,Curves!$O$44:$BV$44)+SUMPRODUCT(React!$C$227:$BJ$227,Curves!$O$67:$BV$67)</f>
        <v/>
      </c>
      <c r="BK228" s="5">
        <f>SUMPRODUCT(React!$C$225:$BK$225,Curves!$N$21:$BV$21)+SUMPRODUCT(React!$C$226:$BK$226,Curves!$N$44:$BV$44)+SUMPRODUCT(React!$C$227:$BK$227,Curves!$N$67:$BV$67)</f>
        <v/>
      </c>
      <c r="BL228" s="5">
        <f>SUMPRODUCT(React!$C$225:$BL$225,Curves!$M$21:$BV$21)+SUMPRODUCT(React!$C$226:$BL$226,Curves!$M$44:$BV$44)+SUMPRODUCT(React!$C$227:$BL$227,Curves!$M$67:$BV$67)</f>
        <v/>
      </c>
      <c r="BM228" s="5">
        <f>SUMPRODUCT(React!$C$225:$BM$225,Curves!$L$21:$BV$21)+SUMPRODUCT(React!$C$226:$BM$226,Curves!$L$44:$BV$44)+SUMPRODUCT(React!$C$227:$BM$227,Curves!$L$67:$BV$67)</f>
        <v/>
      </c>
      <c r="BN228" s="5">
        <f>SUMPRODUCT(React!$C$225:$BN$225,Curves!$K$21:$BV$21)+SUMPRODUCT(React!$C$226:$BN$226,Curves!$K$44:$BV$44)+SUMPRODUCT(React!$C$227:$BN$227,Curves!$K$67:$BV$67)</f>
        <v/>
      </c>
      <c r="BO228" s="5">
        <f>SUMPRODUCT(React!$C$225:$BO$225,Curves!$J$21:$BV$21)+SUMPRODUCT(React!$C$226:$BO$226,Curves!$J$44:$BV$44)+SUMPRODUCT(React!$C$227:$BO$227,Curves!$J$67:$BV$67)</f>
        <v/>
      </c>
      <c r="BP228" s="5">
        <f>SUMPRODUCT(React!$C$225:$BP$225,Curves!$I$21:$BV$21)+SUMPRODUCT(React!$C$226:$BP$226,Curves!$I$44:$BV$44)+SUMPRODUCT(React!$C$227:$BP$227,Curves!$I$67:$BV$67)</f>
        <v/>
      </c>
      <c r="BQ228" s="5">
        <f>SUMPRODUCT(React!$C$225:$BQ$225,Curves!$H$21:$BV$21)+SUMPRODUCT(React!$C$226:$BQ$226,Curves!$H$44:$BV$44)+SUMPRODUCT(React!$C$227:$BQ$227,Curves!$H$67:$BV$67)</f>
        <v/>
      </c>
      <c r="BR228" s="5">
        <f>SUMPRODUCT(React!$C$225:$BR$225,Curves!$G$21:$BV$21)+SUMPRODUCT(React!$C$226:$BR$226,Curves!$G$44:$BV$44)+SUMPRODUCT(React!$C$227:$BR$227,Curves!$G$67:$BV$67)</f>
        <v/>
      </c>
      <c r="BS228" s="5">
        <f>SUMPRODUCT(React!$C$225:$BS$225,Curves!$F$21:$BV$21)+SUMPRODUCT(React!$C$226:$BS$226,Curves!$F$44:$BV$44)+SUMPRODUCT(React!$C$227:$BS$227,Curves!$F$67:$BV$67)</f>
        <v/>
      </c>
      <c r="BT228" s="5">
        <f>SUMPRODUCT(React!$C$225:$BT$225,Curves!$E$21:$BV$21)+SUMPRODUCT(React!$C$226:$BT$226,Curves!$E$44:$BV$44)+SUMPRODUCT(React!$C$227:$BT$227,Curves!$E$67:$BV$67)</f>
        <v/>
      </c>
      <c r="BU228" s="5">
        <f>SUMPRODUCT(React!$C$225:$BU$225,Curves!$D$21:$BV$21)+SUMPRODUCT(React!$C$226:$BU$226,Curves!$D$44:$BV$44)+SUMPRODUCT(React!$C$227:$BU$227,Curves!$D$67:$BV$67)</f>
        <v/>
      </c>
      <c r="BV228" s="5">
        <f>SUMPRODUCT(React!$C$225:$BV$225,Curves!$C$21:$BV$21)+SUMPRODUCT(React!$C$226:$BV$226,Curves!$C$44:$BV$44)+SUMPRODUCT(React!$C$227:$BV$227,Curves!$C$67:$BV$67)</f>
        <v/>
      </c>
    </row>
    <row r="229">
      <c r="A229" t="inlineStr">
        <is>
          <t>reactivated in</t>
        </is>
      </c>
      <c r="B229" t="inlineStr">
        <is>
          <t>ROW|NITRO_A</t>
        </is>
      </c>
      <c r="C229" s="5">
        <f>0</f>
        <v/>
      </c>
      <c r="D229" s="5">
        <f>0</f>
        <v/>
      </c>
      <c r="E229" s="5">
        <f>0</f>
        <v/>
      </c>
      <c r="F229" s="5">
        <f>0</f>
        <v/>
      </c>
      <c r="G229" s="5">
        <f>0</f>
        <v/>
      </c>
      <c r="H229" s="5">
        <f>0</f>
        <v/>
      </c>
      <c r="I229" s="5">
        <f>0</f>
        <v/>
      </c>
      <c r="J229" s="5">
        <f>0</f>
        <v/>
      </c>
      <c r="K229" s="5">
        <f>0</f>
        <v/>
      </c>
      <c r="L229" s="5">
        <f>0</f>
        <v/>
      </c>
      <c r="M229" s="5">
        <f>0</f>
        <v/>
      </c>
      <c r="N229" s="5">
        <f>0</f>
        <v/>
      </c>
      <c r="O229" s="5">
        <f>0</f>
        <v/>
      </c>
      <c r="P229" s="5">
        <f>0</f>
        <v/>
      </c>
      <c r="Q229" s="5">
        <f>0</f>
        <v/>
      </c>
      <c r="R229" s="5">
        <f>0</f>
        <v/>
      </c>
      <c r="S229" s="5">
        <f>0</f>
        <v/>
      </c>
      <c r="T229" s="5">
        <f>0</f>
        <v/>
      </c>
      <c r="U229" s="5">
        <f>0</f>
        <v/>
      </c>
      <c r="V229" s="5">
        <f>0</f>
        <v/>
      </c>
      <c r="W229" s="5">
        <f>0</f>
        <v/>
      </c>
      <c r="X229" s="5">
        <f>0</f>
        <v/>
      </c>
      <c r="Y229" s="5">
        <f>0</f>
        <v/>
      </c>
      <c r="Z229" s="5">
        <f>0</f>
        <v/>
      </c>
      <c r="AA229" s="5">
        <f>0</f>
        <v/>
      </c>
      <c r="AB229" s="5">
        <f>0</f>
        <v/>
      </c>
      <c r="AC229" s="5">
        <f>0</f>
        <v/>
      </c>
      <c r="AD229" s="5">
        <f>0</f>
        <v/>
      </c>
      <c r="AE229" s="5">
        <f>0</f>
        <v/>
      </c>
      <c r="AF229" s="5">
        <f>0</f>
        <v/>
      </c>
      <c r="AG229" s="5">
        <f>0</f>
        <v/>
      </c>
      <c r="AH229" s="5">
        <f>0</f>
        <v/>
      </c>
      <c r="AI229" s="5">
        <f>0</f>
        <v/>
      </c>
      <c r="AJ229" s="5">
        <f>0</f>
        <v/>
      </c>
      <c r="AK229" s="5">
        <f>0</f>
        <v/>
      </c>
      <c r="AL229" s="5">
        <f>0</f>
        <v/>
      </c>
      <c r="AM229" s="5">
        <f>0</f>
        <v/>
      </c>
      <c r="AN229" s="5">
        <f>0</f>
        <v/>
      </c>
      <c r="AO229" s="5">
        <f>0</f>
        <v/>
      </c>
      <c r="AP229" s="5">
        <f>0</f>
        <v/>
      </c>
      <c r="AQ229" s="5">
        <f>0</f>
        <v/>
      </c>
      <c r="AR229" s="5">
        <f>0</f>
        <v/>
      </c>
      <c r="AS229" s="5">
        <f>0</f>
        <v/>
      </c>
      <c r="AT229" s="5">
        <f>0</f>
        <v/>
      </c>
      <c r="AU229" s="5">
        <f>0</f>
        <v/>
      </c>
      <c r="AV229" s="5">
        <f>0</f>
        <v/>
      </c>
      <c r="AW229" s="5">
        <f>0</f>
        <v/>
      </c>
      <c r="AX229" s="5">
        <f>0</f>
        <v/>
      </c>
      <c r="AY229" s="5">
        <f>0</f>
        <v/>
      </c>
      <c r="AZ229" s="5">
        <f>0</f>
        <v/>
      </c>
      <c r="BA229" s="5">
        <f>0</f>
        <v/>
      </c>
      <c r="BB229" s="5">
        <f>0</f>
        <v/>
      </c>
      <c r="BC229" s="5">
        <f>0</f>
        <v/>
      </c>
      <c r="BD229" s="5">
        <f>0</f>
        <v/>
      </c>
      <c r="BE229" s="5">
        <f>0</f>
        <v/>
      </c>
      <c r="BF229" s="5">
        <f>0</f>
        <v/>
      </c>
      <c r="BG229" s="5">
        <f>0</f>
        <v/>
      </c>
      <c r="BH229" s="5">
        <f>0</f>
        <v/>
      </c>
      <c r="BI229" s="5">
        <f>0</f>
        <v/>
      </c>
      <c r="BJ229" s="5">
        <f>0</f>
        <v/>
      </c>
      <c r="BK229" s="5">
        <f>0</f>
        <v/>
      </c>
      <c r="BL229" s="5">
        <f>0</f>
        <v/>
      </c>
      <c r="BM229" s="5">
        <f>0</f>
        <v/>
      </c>
      <c r="BN229" s="5">
        <f>0</f>
        <v/>
      </c>
      <c r="BO229" s="5">
        <f>0</f>
        <v/>
      </c>
      <c r="BP229" s="5">
        <f>0</f>
        <v/>
      </c>
      <c r="BQ229" s="5">
        <f>0</f>
        <v/>
      </c>
      <c r="BR229" s="5">
        <f>0</f>
        <v/>
      </c>
      <c r="BS229" s="5">
        <f>0</f>
        <v/>
      </c>
      <c r="BT229" s="5">
        <f>0</f>
        <v/>
      </c>
      <c r="BU229" s="5">
        <f>0</f>
        <v/>
      </c>
      <c r="BV229" s="5">
        <f>0</f>
        <v/>
      </c>
    </row>
    <row r="230">
      <c r="A230" t="inlineStr">
        <is>
          <t>reactivated in @0</t>
        </is>
      </c>
      <c r="B230" t="inlineStr">
        <is>
          <t>ROW|NITRO_A</t>
        </is>
      </c>
      <c r="C230" s="5">
        <f>C229*Eras!C$3</f>
        <v/>
      </c>
      <c r="D230" s="5">
        <f>D229*Eras!D$3</f>
        <v/>
      </c>
      <c r="E230" s="5">
        <f>E229*Eras!E$3</f>
        <v/>
      </c>
      <c r="F230" s="5">
        <f>F229*Eras!F$3</f>
        <v/>
      </c>
      <c r="G230" s="5">
        <f>G229*Eras!G$3</f>
        <v/>
      </c>
      <c r="H230" s="5">
        <f>H229*Eras!H$3</f>
        <v/>
      </c>
      <c r="I230" s="5">
        <f>I229*Eras!I$3</f>
        <v/>
      </c>
      <c r="J230" s="5">
        <f>J229*Eras!J$3</f>
        <v/>
      </c>
      <c r="K230" s="5">
        <f>K229*Eras!K$3</f>
        <v/>
      </c>
      <c r="L230" s="5">
        <f>L229*Eras!L$3</f>
        <v/>
      </c>
      <c r="M230" s="5">
        <f>M229*Eras!M$3</f>
        <v/>
      </c>
      <c r="N230" s="5">
        <f>N229*Eras!N$3</f>
        <v/>
      </c>
      <c r="O230" s="5">
        <f>O229*Eras!O$3</f>
        <v/>
      </c>
      <c r="P230" s="5">
        <f>P229*Eras!P$3</f>
        <v/>
      </c>
      <c r="Q230" s="5">
        <f>Q229*Eras!Q$3</f>
        <v/>
      </c>
      <c r="R230" s="5">
        <f>R229*Eras!R$3</f>
        <v/>
      </c>
      <c r="S230" s="5">
        <f>S229*Eras!S$3</f>
        <v/>
      </c>
      <c r="T230" s="5">
        <f>T229*Eras!T$3</f>
        <v/>
      </c>
      <c r="U230" s="5">
        <f>U229*Eras!U$3</f>
        <v/>
      </c>
      <c r="V230" s="5">
        <f>V229*Eras!V$3</f>
        <v/>
      </c>
      <c r="W230" s="5">
        <f>W229*Eras!W$3</f>
        <v/>
      </c>
      <c r="X230" s="5">
        <f>X229*Eras!X$3</f>
        <v/>
      </c>
      <c r="Y230" s="5">
        <f>Y229*Eras!Y$3</f>
        <v/>
      </c>
      <c r="Z230" s="5">
        <f>Z229*Eras!Z$3</f>
        <v/>
      </c>
      <c r="AA230" s="5">
        <f>AA229*Eras!AA$3</f>
        <v/>
      </c>
      <c r="AB230" s="5">
        <f>AB229*Eras!AB$3</f>
        <v/>
      </c>
      <c r="AC230" s="5">
        <f>AC229*Eras!AC$3</f>
        <v/>
      </c>
      <c r="AD230" s="5">
        <f>AD229*Eras!AD$3</f>
        <v/>
      </c>
      <c r="AE230" s="5">
        <f>AE229*Eras!AE$3</f>
        <v/>
      </c>
      <c r="AF230" s="5">
        <f>AF229*Eras!AF$3</f>
        <v/>
      </c>
      <c r="AG230" s="5">
        <f>AG229*Eras!AG$3</f>
        <v/>
      </c>
      <c r="AH230" s="5">
        <f>AH229*Eras!AH$3</f>
        <v/>
      </c>
      <c r="AI230" s="5">
        <f>AI229*Eras!AI$3</f>
        <v/>
      </c>
      <c r="AJ230" s="5">
        <f>AJ229*Eras!AJ$3</f>
        <v/>
      </c>
      <c r="AK230" s="5">
        <f>AK229*Eras!AK$3</f>
        <v/>
      </c>
      <c r="AL230" s="5">
        <f>AL229*Eras!AL$3</f>
        <v/>
      </c>
      <c r="AM230" s="5">
        <f>AM229*Eras!AM$3</f>
        <v/>
      </c>
      <c r="AN230" s="5">
        <f>AN229*Eras!AN$3</f>
        <v/>
      </c>
      <c r="AO230" s="5">
        <f>AO229*Eras!AO$3</f>
        <v/>
      </c>
      <c r="AP230" s="5">
        <f>AP229*Eras!AP$3</f>
        <v/>
      </c>
      <c r="AQ230" s="5">
        <f>AQ229*Eras!AQ$3</f>
        <v/>
      </c>
      <c r="AR230" s="5">
        <f>AR229*Eras!AR$3</f>
        <v/>
      </c>
      <c r="AS230" s="5">
        <f>AS229*Eras!AS$3</f>
        <v/>
      </c>
      <c r="AT230" s="5">
        <f>AT229*Eras!AT$3</f>
        <v/>
      </c>
      <c r="AU230" s="5">
        <f>AU229*Eras!AU$3</f>
        <v/>
      </c>
      <c r="AV230" s="5">
        <f>AV229*Eras!AV$3</f>
        <v/>
      </c>
      <c r="AW230" s="5">
        <f>AW229*Eras!AW$3</f>
        <v/>
      </c>
      <c r="AX230" s="5">
        <f>AX229*Eras!AX$3</f>
        <v/>
      </c>
      <c r="AY230" s="5">
        <f>AY229*Eras!AY$3</f>
        <v/>
      </c>
      <c r="AZ230" s="5">
        <f>AZ229*Eras!AZ$3</f>
        <v/>
      </c>
      <c r="BA230" s="5">
        <f>BA229*Eras!BA$3</f>
        <v/>
      </c>
      <c r="BB230" s="5">
        <f>BB229*Eras!BB$3</f>
        <v/>
      </c>
      <c r="BC230" s="5">
        <f>BC229*Eras!BC$3</f>
        <v/>
      </c>
      <c r="BD230" s="5">
        <f>BD229*Eras!BD$3</f>
        <v/>
      </c>
      <c r="BE230" s="5">
        <f>BE229*Eras!BE$3</f>
        <v/>
      </c>
      <c r="BF230" s="5">
        <f>BF229*Eras!BF$3</f>
        <v/>
      </c>
      <c r="BG230" s="5">
        <f>BG229*Eras!BG$3</f>
        <v/>
      </c>
      <c r="BH230" s="5">
        <f>BH229*Eras!BH$3</f>
        <v/>
      </c>
      <c r="BI230" s="5">
        <f>BI229*Eras!BI$3</f>
        <v/>
      </c>
      <c r="BJ230" s="5">
        <f>BJ229*Eras!BJ$3</f>
        <v/>
      </c>
      <c r="BK230" s="5">
        <f>BK229*Eras!BK$3</f>
        <v/>
      </c>
      <c r="BL230" s="5">
        <f>BL229*Eras!BL$3</f>
        <v/>
      </c>
      <c r="BM230" s="5">
        <f>BM229*Eras!BM$3</f>
        <v/>
      </c>
      <c r="BN230" s="5">
        <f>BN229*Eras!BN$3</f>
        <v/>
      </c>
      <c r="BO230" s="5">
        <f>BO229*Eras!BO$3</f>
        <v/>
      </c>
      <c r="BP230" s="5">
        <f>BP229*Eras!BP$3</f>
        <v/>
      </c>
      <c r="BQ230" s="5">
        <f>BQ229*Eras!BQ$3</f>
        <v/>
      </c>
      <c r="BR230" s="5">
        <f>BR229*Eras!BR$3</f>
        <v/>
      </c>
      <c r="BS230" s="5">
        <f>BS229*Eras!BS$3</f>
        <v/>
      </c>
      <c r="BT230" s="5">
        <f>BT229*Eras!BT$3</f>
        <v/>
      </c>
      <c r="BU230" s="5">
        <f>BU229*Eras!BU$3</f>
        <v/>
      </c>
      <c r="BV230" s="5">
        <f>BV229*Eras!BV$3</f>
        <v/>
      </c>
    </row>
    <row r="231">
      <c r="A231" t="inlineStr">
        <is>
          <t>reactivated in @1</t>
        </is>
      </c>
      <c r="B231" t="inlineStr">
        <is>
          <t>ROW|NITRO_A</t>
        </is>
      </c>
      <c r="C231" s="5">
        <f>C229*Eras!C$4</f>
        <v/>
      </c>
      <c r="D231" s="5">
        <f>D229*Eras!D$4</f>
        <v/>
      </c>
      <c r="E231" s="5">
        <f>E229*Eras!E$4</f>
        <v/>
      </c>
      <c r="F231" s="5">
        <f>F229*Eras!F$4</f>
        <v/>
      </c>
      <c r="G231" s="5">
        <f>G229*Eras!G$4</f>
        <v/>
      </c>
      <c r="H231" s="5">
        <f>H229*Eras!H$4</f>
        <v/>
      </c>
      <c r="I231" s="5">
        <f>I229*Eras!I$4</f>
        <v/>
      </c>
      <c r="J231" s="5">
        <f>J229*Eras!J$4</f>
        <v/>
      </c>
      <c r="K231" s="5">
        <f>K229*Eras!K$4</f>
        <v/>
      </c>
      <c r="L231" s="5">
        <f>L229*Eras!L$4</f>
        <v/>
      </c>
      <c r="M231" s="5">
        <f>M229*Eras!M$4</f>
        <v/>
      </c>
      <c r="N231" s="5">
        <f>N229*Eras!N$4</f>
        <v/>
      </c>
      <c r="O231" s="5">
        <f>O229*Eras!O$4</f>
        <v/>
      </c>
      <c r="P231" s="5">
        <f>P229*Eras!P$4</f>
        <v/>
      </c>
      <c r="Q231" s="5">
        <f>Q229*Eras!Q$4</f>
        <v/>
      </c>
      <c r="R231" s="5">
        <f>R229*Eras!R$4</f>
        <v/>
      </c>
      <c r="S231" s="5">
        <f>S229*Eras!S$4</f>
        <v/>
      </c>
      <c r="T231" s="5">
        <f>T229*Eras!T$4</f>
        <v/>
      </c>
      <c r="U231" s="5">
        <f>U229*Eras!U$4</f>
        <v/>
      </c>
      <c r="V231" s="5">
        <f>V229*Eras!V$4</f>
        <v/>
      </c>
      <c r="W231" s="5">
        <f>W229*Eras!W$4</f>
        <v/>
      </c>
      <c r="X231" s="5">
        <f>X229*Eras!X$4</f>
        <v/>
      </c>
      <c r="Y231" s="5">
        <f>Y229*Eras!Y$4</f>
        <v/>
      </c>
      <c r="Z231" s="5">
        <f>Z229*Eras!Z$4</f>
        <v/>
      </c>
      <c r="AA231" s="5">
        <f>AA229*Eras!AA$4</f>
        <v/>
      </c>
      <c r="AB231" s="5">
        <f>AB229*Eras!AB$4</f>
        <v/>
      </c>
      <c r="AC231" s="5">
        <f>AC229*Eras!AC$4</f>
        <v/>
      </c>
      <c r="AD231" s="5">
        <f>AD229*Eras!AD$4</f>
        <v/>
      </c>
      <c r="AE231" s="5">
        <f>AE229*Eras!AE$4</f>
        <v/>
      </c>
      <c r="AF231" s="5">
        <f>AF229*Eras!AF$4</f>
        <v/>
      </c>
      <c r="AG231" s="5">
        <f>AG229*Eras!AG$4</f>
        <v/>
      </c>
      <c r="AH231" s="5">
        <f>AH229*Eras!AH$4</f>
        <v/>
      </c>
      <c r="AI231" s="5">
        <f>AI229*Eras!AI$4</f>
        <v/>
      </c>
      <c r="AJ231" s="5">
        <f>AJ229*Eras!AJ$4</f>
        <v/>
      </c>
      <c r="AK231" s="5">
        <f>AK229*Eras!AK$4</f>
        <v/>
      </c>
      <c r="AL231" s="5">
        <f>AL229*Eras!AL$4</f>
        <v/>
      </c>
      <c r="AM231" s="5">
        <f>AM229*Eras!AM$4</f>
        <v/>
      </c>
      <c r="AN231" s="5">
        <f>AN229*Eras!AN$4</f>
        <v/>
      </c>
      <c r="AO231" s="5">
        <f>AO229*Eras!AO$4</f>
        <v/>
      </c>
      <c r="AP231" s="5">
        <f>AP229*Eras!AP$4</f>
        <v/>
      </c>
      <c r="AQ231" s="5">
        <f>AQ229*Eras!AQ$4</f>
        <v/>
      </c>
      <c r="AR231" s="5">
        <f>AR229*Eras!AR$4</f>
        <v/>
      </c>
      <c r="AS231" s="5">
        <f>AS229*Eras!AS$4</f>
        <v/>
      </c>
      <c r="AT231" s="5">
        <f>AT229*Eras!AT$4</f>
        <v/>
      </c>
      <c r="AU231" s="5">
        <f>AU229*Eras!AU$4</f>
        <v/>
      </c>
      <c r="AV231" s="5">
        <f>AV229*Eras!AV$4</f>
        <v/>
      </c>
      <c r="AW231" s="5">
        <f>AW229*Eras!AW$4</f>
        <v/>
      </c>
      <c r="AX231" s="5">
        <f>AX229*Eras!AX$4</f>
        <v/>
      </c>
      <c r="AY231" s="5">
        <f>AY229*Eras!AY$4</f>
        <v/>
      </c>
      <c r="AZ231" s="5">
        <f>AZ229*Eras!AZ$4</f>
        <v/>
      </c>
      <c r="BA231" s="5">
        <f>BA229*Eras!BA$4</f>
        <v/>
      </c>
      <c r="BB231" s="5">
        <f>BB229*Eras!BB$4</f>
        <v/>
      </c>
      <c r="BC231" s="5">
        <f>BC229*Eras!BC$4</f>
        <v/>
      </c>
      <c r="BD231" s="5">
        <f>BD229*Eras!BD$4</f>
        <v/>
      </c>
      <c r="BE231" s="5">
        <f>BE229*Eras!BE$4</f>
        <v/>
      </c>
      <c r="BF231" s="5">
        <f>BF229*Eras!BF$4</f>
        <v/>
      </c>
      <c r="BG231" s="5">
        <f>BG229*Eras!BG$4</f>
        <v/>
      </c>
      <c r="BH231" s="5">
        <f>BH229*Eras!BH$4</f>
        <v/>
      </c>
      <c r="BI231" s="5">
        <f>BI229*Eras!BI$4</f>
        <v/>
      </c>
      <c r="BJ231" s="5">
        <f>BJ229*Eras!BJ$4</f>
        <v/>
      </c>
      <c r="BK231" s="5">
        <f>BK229*Eras!BK$4</f>
        <v/>
      </c>
      <c r="BL231" s="5">
        <f>BL229*Eras!BL$4</f>
        <v/>
      </c>
      <c r="BM231" s="5">
        <f>BM229*Eras!BM$4</f>
        <v/>
      </c>
      <c r="BN231" s="5">
        <f>BN229*Eras!BN$4</f>
        <v/>
      </c>
      <c r="BO231" s="5">
        <f>BO229*Eras!BO$4</f>
        <v/>
      </c>
      <c r="BP231" s="5">
        <f>BP229*Eras!BP$4</f>
        <v/>
      </c>
      <c r="BQ231" s="5">
        <f>BQ229*Eras!BQ$4</f>
        <v/>
      </c>
      <c r="BR231" s="5">
        <f>BR229*Eras!BR$4</f>
        <v/>
      </c>
      <c r="BS231" s="5">
        <f>BS229*Eras!BS$4</f>
        <v/>
      </c>
      <c r="BT231" s="5">
        <f>BT229*Eras!BT$4</f>
        <v/>
      </c>
      <c r="BU231" s="5">
        <f>BU229*Eras!BU$4</f>
        <v/>
      </c>
      <c r="BV231" s="5">
        <f>BV229*Eras!BV$4</f>
        <v/>
      </c>
    </row>
    <row r="232">
      <c r="A232" t="inlineStr">
        <is>
          <t>reactivated in @2</t>
        </is>
      </c>
      <c r="B232" t="inlineStr">
        <is>
          <t>ROW|NITRO_A</t>
        </is>
      </c>
      <c r="C232" s="5">
        <f>C229*Eras!C$5</f>
        <v/>
      </c>
      <c r="D232" s="5">
        <f>D229*Eras!D$5</f>
        <v/>
      </c>
      <c r="E232" s="5">
        <f>E229*Eras!E$5</f>
        <v/>
      </c>
      <c r="F232" s="5">
        <f>F229*Eras!F$5</f>
        <v/>
      </c>
      <c r="G232" s="5">
        <f>G229*Eras!G$5</f>
        <v/>
      </c>
      <c r="H232" s="5">
        <f>H229*Eras!H$5</f>
        <v/>
      </c>
      <c r="I232" s="5">
        <f>I229*Eras!I$5</f>
        <v/>
      </c>
      <c r="J232" s="5">
        <f>J229*Eras!J$5</f>
        <v/>
      </c>
      <c r="K232" s="5">
        <f>K229*Eras!K$5</f>
        <v/>
      </c>
      <c r="L232" s="5">
        <f>L229*Eras!L$5</f>
        <v/>
      </c>
      <c r="M232" s="5">
        <f>M229*Eras!M$5</f>
        <v/>
      </c>
      <c r="N232" s="5">
        <f>N229*Eras!N$5</f>
        <v/>
      </c>
      <c r="O232" s="5">
        <f>O229*Eras!O$5</f>
        <v/>
      </c>
      <c r="P232" s="5">
        <f>P229*Eras!P$5</f>
        <v/>
      </c>
      <c r="Q232" s="5">
        <f>Q229*Eras!Q$5</f>
        <v/>
      </c>
      <c r="R232" s="5">
        <f>R229*Eras!R$5</f>
        <v/>
      </c>
      <c r="S232" s="5">
        <f>S229*Eras!S$5</f>
        <v/>
      </c>
      <c r="T232" s="5">
        <f>T229*Eras!T$5</f>
        <v/>
      </c>
      <c r="U232" s="5">
        <f>U229*Eras!U$5</f>
        <v/>
      </c>
      <c r="V232" s="5">
        <f>V229*Eras!V$5</f>
        <v/>
      </c>
      <c r="W232" s="5">
        <f>W229*Eras!W$5</f>
        <v/>
      </c>
      <c r="X232" s="5">
        <f>X229*Eras!X$5</f>
        <v/>
      </c>
      <c r="Y232" s="5">
        <f>Y229*Eras!Y$5</f>
        <v/>
      </c>
      <c r="Z232" s="5">
        <f>Z229*Eras!Z$5</f>
        <v/>
      </c>
      <c r="AA232" s="5">
        <f>AA229*Eras!AA$5</f>
        <v/>
      </c>
      <c r="AB232" s="5">
        <f>AB229*Eras!AB$5</f>
        <v/>
      </c>
      <c r="AC232" s="5">
        <f>AC229*Eras!AC$5</f>
        <v/>
      </c>
      <c r="AD232" s="5">
        <f>AD229*Eras!AD$5</f>
        <v/>
      </c>
      <c r="AE232" s="5">
        <f>AE229*Eras!AE$5</f>
        <v/>
      </c>
      <c r="AF232" s="5">
        <f>AF229*Eras!AF$5</f>
        <v/>
      </c>
      <c r="AG232" s="5">
        <f>AG229*Eras!AG$5</f>
        <v/>
      </c>
      <c r="AH232" s="5">
        <f>AH229*Eras!AH$5</f>
        <v/>
      </c>
      <c r="AI232" s="5">
        <f>AI229*Eras!AI$5</f>
        <v/>
      </c>
      <c r="AJ232" s="5">
        <f>AJ229*Eras!AJ$5</f>
        <v/>
      </c>
      <c r="AK232" s="5">
        <f>AK229*Eras!AK$5</f>
        <v/>
      </c>
      <c r="AL232" s="5">
        <f>AL229*Eras!AL$5</f>
        <v/>
      </c>
      <c r="AM232" s="5">
        <f>AM229*Eras!AM$5</f>
        <v/>
      </c>
      <c r="AN232" s="5">
        <f>AN229*Eras!AN$5</f>
        <v/>
      </c>
      <c r="AO232" s="5">
        <f>AO229*Eras!AO$5</f>
        <v/>
      </c>
      <c r="AP232" s="5">
        <f>AP229*Eras!AP$5</f>
        <v/>
      </c>
      <c r="AQ232" s="5">
        <f>AQ229*Eras!AQ$5</f>
        <v/>
      </c>
      <c r="AR232" s="5">
        <f>AR229*Eras!AR$5</f>
        <v/>
      </c>
      <c r="AS232" s="5">
        <f>AS229*Eras!AS$5</f>
        <v/>
      </c>
      <c r="AT232" s="5">
        <f>AT229*Eras!AT$5</f>
        <v/>
      </c>
      <c r="AU232" s="5">
        <f>AU229*Eras!AU$5</f>
        <v/>
      </c>
      <c r="AV232" s="5">
        <f>AV229*Eras!AV$5</f>
        <v/>
      </c>
      <c r="AW232" s="5">
        <f>AW229*Eras!AW$5</f>
        <v/>
      </c>
      <c r="AX232" s="5">
        <f>AX229*Eras!AX$5</f>
        <v/>
      </c>
      <c r="AY232" s="5">
        <f>AY229*Eras!AY$5</f>
        <v/>
      </c>
      <c r="AZ232" s="5">
        <f>AZ229*Eras!AZ$5</f>
        <v/>
      </c>
      <c r="BA232" s="5">
        <f>BA229*Eras!BA$5</f>
        <v/>
      </c>
      <c r="BB232" s="5">
        <f>BB229*Eras!BB$5</f>
        <v/>
      </c>
      <c r="BC232" s="5">
        <f>BC229*Eras!BC$5</f>
        <v/>
      </c>
      <c r="BD232" s="5">
        <f>BD229*Eras!BD$5</f>
        <v/>
      </c>
      <c r="BE232" s="5">
        <f>BE229*Eras!BE$5</f>
        <v/>
      </c>
      <c r="BF232" s="5">
        <f>BF229*Eras!BF$5</f>
        <v/>
      </c>
      <c r="BG232" s="5">
        <f>BG229*Eras!BG$5</f>
        <v/>
      </c>
      <c r="BH232" s="5">
        <f>BH229*Eras!BH$5</f>
        <v/>
      </c>
      <c r="BI232" s="5">
        <f>BI229*Eras!BI$5</f>
        <v/>
      </c>
      <c r="BJ232" s="5">
        <f>BJ229*Eras!BJ$5</f>
        <v/>
      </c>
      <c r="BK232" s="5">
        <f>BK229*Eras!BK$5</f>
        <v/>
      </c>
      <c r="BL232" s="5">
        <f>BL229*Eras!BL$5</f>
        <v/>
      </c>
      <c r="BM232" s="5">
        <f>BM229*Eras!BM$5</f>
        <v/>
      </c>
      <c r="BN232" s="5">
        <f>BN229*Eras!BN$5</f>
        <v/>
      </c>
      <c r="BO232" s="5">
        <f>BO229*Eras!BO$5</f>
        <v/>
      </c>
      <c r="BP232" s="5">
        <f>BP229*Eras!BP$5</f>
        <v/>
      </c>
      <c r="BQ232" s="5">
        <f>BQ229*Eras!BQ$5</f>
        <v/>
      </c>
      <c r="BR232" s="5">
        <f>BR229*Eras!BR$5</f>
        <v/>
      </c>
      <c r="BS232" s="5">
        <f>BS229*Eras!BS$5</f>
        <v/>
      </c>
      <c r="BT232" s="5">
        <f>BT229*Eras!BT$5</f>
        <v/>
      </c>
      <c r="BU232" s="5">
        <f>BU229*Eras!BU$5</f>
        <v/>
      </c>
      <c r="BV232" s="5">
        <f>BV229*Eras!BV$5</f>
        <v/>
      </c>
    </row>
    <row r="233">
      <c r="A233" t="inlineStr">
        <is>
          <t>active</t>
        </is>
      </c>
      <c r="B233" t="inlineStr">
        <is>
          <t>ROW|NITRO_A</t>
        </is>
      </c>
      <c r="C233" s="5">
        <f>React!$C$230*Curves!$BV$19+React!$C$231*Curves!$BV$42+React!$C$232*Curves!$BV$65</f>
        <v/>
      </c>
      <c r="D233" s="5">
        <f>SUMPRODUCT(React!$C$230:$D$230,Curves!$BU$19:$BV$19)+SUMPRODUCT(React!$C$231:$D$231,Curves!$BU$42:$BV$42)+SUMPRODUCT(React!$C$232:$D$232,Curves!$BU$65:$BV$65)</f>
        <v/>
      </c>
      <c r="E233" s="5">
        <f>SUMPRODUCT(React!$C$230:$E$230,Curves!$BT$19:$BV$19)+SUMPRODUCT(React!$C$231:$E$231,Curves!$BT$42:$BV$42)+SUMPRODUCT(React!$C$232:$E$232,Curves!$BT$65:$BV$65)</f>
        <v/>
      </c>
      <c r="F233" s="5">
        <f>SUMPRODUCT(React!$C$230:$F$230,Curves!$BS$19:$BV$19)+SUMPRODUCT(React!$C$231:$F$231,Curves!$BS$42:$BV$42)+SUMPRODUCT(React!$C$232:$F$232,Curves!$BS$65:$BV$65)</f>
        <v/>
      </c>
      <c r="G233" s="5">
        <f>SUMPRODUCT(React!$C$230:$G$230,Curves!$BR$19:$BV$19)+SUMPRODUCT(React!$C$231:$G$231,Curves!$BR$42:$BV$42)+SUMPRODUCT(React!$C$232:$G$232,Curves!$BR$65:$BV$65)</f>
        <v/>
      </c>
      <c r="H233" s="5">
        <f>SUMPRODUCT(React!$C$230:$H$230,Curves!$BQ$19:$BV$19)+SUMPRODUCT(React!$C$231:$H$231,Curves!$BQ$42:$BV$42)+SUMPRODUCT(React!$C$232:$H$232,Curves!$BQ$65:$BV$65)</f>
        <v/>
      </c>
      <c r="I233" s="5">
        <f>SUMPRODUCT(React!$C$230:$I$230,Curves!$BP$19:$BV$19)+SUMPRODUCT(React!$C$231:$I$231,Curves!$BP$42:$BV$42)+SUMPRODUCT(React!$C$232:$I$232,Curves!$BP$65:$BV$65)</f>
        <v/>
      </c>
      <c r="J233" s="5">
        <f>SUMPRODUCT(React!$C$230:$J$230,Curves!$BO$19:$BV$19)+SUMPRODUCT(React!$C$231:$J$231,Curves!$BO$42:$BV$42)+SUMPRODUCT(React!$C$232:$J$232,Curves!$BO$65:$BV$65)</f>
        <v/>
      </c>
      <c r="K233" s="5">
        <f>SUMPRODUCT(React!$C$230:$K$230,Curves!$BN$19:$BV$19)+SUMPRODUCT(React!$C$231:$K$231,Curves!$BN$42:$BV$42)+SUMPRODUCT(React!$C$232:$K$232,Curves!$BN$65:$BV$65)</f>
        <v/>
      </c>
      <c r="L233" s="5">
        <f>SUMPRODUCT(React!$C$230:$L$230,Curves!$BM$19:$BV$19)+SUMPRODUCT(React!$C$231:$L$231,Curves!$BM$42:$BV$42)+SUMPRODUCT(React!$C$232:$L$232,Curves!$BM$65:$BV$65)</f>
        <v/>
      </c>
      <c r="M233" s="5">
        <f>SUMPRODUCT(React!$C$230:$M$230,Curves!$BL$19:$BV$19)+SUMPRODUCT(React!$C$231:$M$231,Curves!$BL$42:$BV$42)+SUMPRODUCT(React!$C$232:$M$232,Curves!$BL$65:$BV$65)</f>
        <v/>
      </c>
      <c r="N233" s="5">
        <f>SUMPRODUCT(React!$C$230:$N$230,Curves!$BK$19:$BV$19)+SUMPRODUCT(React!$C$231:$N$231,Curves!$BK$42:$BV$42)+SUMPRODUCT(React!$C$232:$N$232,Curves!$BK$65:$BV$65)</f>
        <v/>
      </c>
      <c r="O233" s="5">
        <f>SUMPRODUCT(React!$C$230:$O$230,Curves!$BJ$19:$BV$19)+SUMPRODUCT(React!$C$231:$O$231,Curves!$BJ$42:$BV$42)+SUMPRODUCT(React!$C$232:$O$232,Curves!$BJ$65:$BV$65)</f>
        <v/>
      </c>
      <c r="P233" s="5">
        <f>SUMPRODUCT(React!$C$230:$P$230,Curves!$BI$19:$BV$19)+SUMPRODUCT(React!$C$231:$P$231,Curves!$BI$42:$BV$42)+SUMPRODUCT(React!$C$232:$P$232,Curves!$BI$65:$BV$65)</f>
        <v/>
      </c>
      <c r="Q233" s="5">
        <f>SUMPRODUCT(React!$C$230:$Q$230,Curves!$BH$19:$BV$19)+SUMPRODUCT(React!$C$231:$Q$231,Curves!$BH$42:$BV$42)+SUMPRODUCT(React!$C$232:$Q$232,Curves!$BH$65:$BV$65)</f>
        <v/>
      </c>
      <c r="R233" s="5">
        <f>SUMPRODUCT(React!$C$230:$R$230,Curves!$BG$19:$BV$19)+SUMPRODUCT(React!$C$231:$R$231,Curves!$BG$42:$BV$42)+SUMPRODUCT(React!$C$232:$R$232,Curves!$BG$65:$BV$65)</f>
        <v/>
      </c>
      <c r="S233" s="5">
        <f>SUMPRODUCT(React!$C$230:$S$230,Curves!$BF$19:$BV$19)+SUMPRODUCT(React!$C$231:$S$231,Curves!$BF$42:$BV$42)+SUMPRODUCT(React!$C$232:$S$232,Curves!$BF$65:$BV$65)</f>
        <v/>
      </c>
      <c r="T233" s="5">
        <f>SUMPRODUCT(React!$C$230:$T$230,Curves!$BE$19:$BV$19)+SUMPRODUCT(React!$C$231:$T$231,Curves!$BE$42:$BV$42)+SUMPRODUCT(React!$C$232:$T$232,Curves!$BE$65:$BV$65)</f>
        <v/>
      </c>
      <c r="U233" s="5">
        <f>SUMPRODUCT(React!$C$230:$U$230,Curves!$BD$19:$BV$19)+SUMPRODUCT(React!$C$231:$U$231,Curves!$BD$42:$BV$42)+SUMPRODUCT(React!$C$232:$U$232,Curves!$BD$65:$BV$65)</f>
        <v/>
      </c>
      <c r="V233" s="5">
        <f>SUMPRODUCT(React!$C$230:$V$230,Curves!$BC$19:$BV$19)+SUMPRODUCT(React!$C$231:$V$231,Curves!$BC$42:$BV$42)+SUMPRODUCT(React!$C$232:$V$232,Curves!$BC$65:$BV$65)</f>
        <v/>
      </c>
      <c r="W233" s="5">
        <f>SUMPRODUCT(React!$C$230:$W$230,Curves!$BB$19:$BV$19)+SUMPRODUCT(React!$C$231:$W$231,Curves!$BB$42:$BV$42)+SUMPRODUCT(React!$C$232:$W$232,Curves!$BB$65:$BV$65)</f>
        <v/>
      </c>
      <c r="X233" s="5">
        <f>SUMPRODUCT(React!$C$230:$X$230,Curves!$BA$19:$BV$19)+SUMPRODUCT(React!$C$231:$X$231,Curves!$BA$42:$BV$42)+SUMPRODUCT(React!$C$232:$X$232,Curves!$BA$65:$BV$65)</f>
        <v/>
      </c>
      <c r="Y233" s="5">
        <f>SUMPRODUCT(React!$C$230:$Y$230,Curves!$AZ$19:$BV$19)+SUMPRODUCT(React!$C$231:$Y$231,Curves!$AZ$42:$BV$42)+SUMPRODUCT(React!$C$232:$Y$232,Curves!$AZ$65:$BV$65)</f>
        <v/>
      </c>
      <c r="Z233" s="5">
        <f>SUMPRODUCT(React!$C$230:$Z$230,Curves!$AY$19:$BV$19)+SUMPRODUCT(React!$C$231:$Z$231,Curves!$AY$42:$BV$42)+SUMPRODUCT(React!$C$232:$Z$232,Curves!$AY$65:$BV$65)</f>
        <v/>
      </c>
      <c r="AA233" s="5">
        <f>SUMPRODUCT(React!$C$230:$AA$230,Curves!$AX$19:$BV$19)+SUMPRODUCT(React!$C$231:$AA$231,Curves!$AX$42:$BV$42)+SUMPRODUCT(React!$C$232:$AA$232,Curves!$AX$65:$BV$65)</f>
        <v/>
      </c>
      <c r="AB233" s="5">
        <f>SUMPRODUCT(React!$C$230:$AB$230,Curves!$AW$19:$BV$19)+SUMPRODUCT(React!$C$231:$AB$231,Curves!$AW$42:$BV$42)+SUMPRODUCT(React!$C$232:$AB$232,Curves!$AW$65:$BV$65)</f>
        <v/>
      </c>
      <c r="AC233" s="5">
        <f>SUMPRODUCT(React!$C$230:$AC$230,Curves!$AV$19:$BV$19)+SUMPRODUCT(React!$C$231:$AC$231,Curves!$AV$42:$BV$42)+SUMPRODUCT(React!$C$232:$AC$232,Curves!$AV$65:$BV$65)</f>
        <v/>
      </c>
      <c r="AD233" s="5">
        <f>SUMPRODUCT(React!$C$230:$AD$230,Curves!$AU$19:$BV$19)+SUMPRODUCT(React!$C$231:$AD$231,Curves!$AU$42:$BV$42)+SUMPRODUCT(React!$C$232:$AD$232,Curves!$AU$65:$BV$65)</f>
        <v/>
      </c>
      <c r="AE233" s="5">
        <f>SUMPRODUCT(React!$C$230:$AE$230,Curves!$AT$19:$BV$19)+SUMPRODUCT(React!$C$231:$AE$231,Curves!$AT$42:$BV$42)+SUMPRODUCT(React!$C$232:$AE$232,Curves!$AT$65:$BV$65)</f>
        <v/>
      </c>
      <c r="AF233" s="5">
        <f>SUMPRODUCT(React!$C$230:$AF$230,Curves!$AS$19:$BV$19)+SUMPRODUCT(React!$C$231:$AF$231,Curves!$AS$42:$BV$42)+SUMPRODUCT(React!$C$232:$AF$232,Curves!$AS$65:$BV$65)</f>
        <v/>
      </c>
      <c r="AG233" s="5">
        <f>SUMPRODUCT(React!$C$230:$AG$230,Curves!$AR$19:$BV$19)+SUMPRODUCT(React!$C$231:$AG$231,Curves!$AR$42:$BV$42)+SUMPRODUCT(React!$C$232:$AG$232,Curves!$AR$65:$BV$65)</f>
        <v/>
      </c>
      <c r="AH233" s="5">
        <f>SUMPRODUCT(React!$C$230:$AH$230,Curves!$AQ$19:$BV$19)+SUMPRODUCT(React!$C$231:$AH$231,Curves!$AQ$42:$BV$42)+SUMPRODUCT(React!$C$232:$AH$232,Curves!$AQ$65:$BV$65)</f>
        <v/>
      </c>
      <c r="AI233" s="5">
        <f>SUMPRODUCT(React!$C$230:$AI$230,Curves!$AP$19:$BV$19)+SUMPRODUCT(React!$C$231:$AI$231,Curves!$AP$42:$BV$42)+SUMPRODUCT(React!$C$232:$AI$232,Curves!$AP$65:$BV$65)</f>
        <v/>
      </c>
      <c r="AJ233" s="5">
        <f>SUMPRODUCT(React!$C$230:$AJ$230,Curves!$AO$19:$BV$19)+SUMPRODUCT(React!$C$231:$AJ$231,Curves!$AO$42:$BV$42)+SUMPRODUCT(React!$C$232:$AJ$232,Curves!$AO$65:$BV$65)</f>
        <v/>
      </c>
      <c r="AK233" s="5">
        <f>SUMPRODUCT(React!$C$230:$AK$230,Curves!$AN$19:$BV$19)+SUMPRODUCT(React!$C$231:$AK$231,Curves!$AN$42:$BV$42)+SUMPRODUCT(React!$C$232:$AK$232,Curves!$AN$65:$BV$65)</f>
        <v/>
      </c>
      <c r="AL233" s="5">
        <f>SUMPRODUCT(React!$C$230:$AL$230,Curves!$AM$19:$BV$19)+SUMPRODUCT(React!$C$231:$AL$231,Curves!$AM$42:$BV$42)+SUMPRODUCT(React!$C$232:$AL$232,Curves!$AM$65:$BV$65)</f>
        <v/>
      </c>
      <c r="AM233" s="5">
        <f>SUMPRODUCT(React!$C$230:$AM$230,Curves!$AL$19:$BV$19)+SUMPRODUCT(React!$C$231:$AM$231,Curves!$AL$42:$BV$42)+SUMPRODUCT(React!$C$232:$AM$232,Curves!$AL$65:$BV$65)</f>
        <v/>
      </c>
      <c r="AN233" s="5">
        <f>SUMPRODUCT(React!$C$230:$AN$230,Curves!$AK$19:$BV$19)+SUMPRODUCT(React!$C$231:$AN$231,Curves!$AK$42:$BV$42)+SUMPRODUCT(React!$C$232:$AN$232,Curves!$AK$65:$BV$65)</f>
        <v/>
      </c>
      <c r="AO233" s="5">
        <f>SUMPRODUCT(React!$C$230:$AO$230,Curves!$AJ$19:$BV$19)+SUMPRODUCT(React!$C$231:$AO$231,Curves!$AJ$42:$BV$42)+SUMPRODUCT(React!$C$232:$AO$232,Curves!$AJ$65:$BV$65)</f>
        <v/>
      </c>
      <c r="AP233" s="5">
        <f>SUMPRODUCT(React!$C$230:$AP$230,Curves!$AI$19:$BV$19)+SUMPRODUCT(React!$C$231:$AP$231,Curves!$AI$42:$BV$42)+SUMPRODUCT(React!$C$232:$AP$232,Curves!$AI$65:$BV$65)</f>
        <v/>
      </c>
      <c r="AQ233" s="5">
        <f>SUMPRODUCT(React!$C$230:$AQ$230,Curves!$AH$19:$BV$19)+SUMPRODUCT(React!$C$231:$AQ$231,Curves!$AH$42:$BV$42)+SUMPRODUCT(React!$C$232:$AQ$232,Curves!$AH$65:$BV$65)</f>
        <v/>
      </c>
      <c r="AR233" s="5">
        <f>SUMPRODUCT(React!$C$230:$AR$230,Curves!$AG$19:$BV$19)+SUMPRODUCT(React!$C$231:$AR$231,Curves!$AG$42:$BV$42)+SUMPRODUCT(React!$C$232:$AR$232,Curves!$AG$65:$BV$65)</f>
        <v/>
      </c>
      <c r="AS233" s="5">
        <f>SUMPRODUCT(React!$C$230:$AS$230,Curves!$AF$19:$BV$19)+SUMPRODUCT(React!$C$231:$AS$231,Curves!$AF$42:$BV$42)+SUMPRODUCT(React!$C$232:$AS$232,Curves!$AF$65:$BV$65)</f>
        <v/>
      </c>
      <c r="AT233" s="5">
        <f>SUMPRODUCT(React!$C$230:$AT$230,Curves!$AE$19:$BV$19)+SUMPRODUCT(React!$C$231:$AT$231,Curves!$AE$42:$BV$42)+SUMPRODUCT(React!$C$232:$AT$232,Curves!$AE$65:$BV$65)</f>
        <v/>
      </c>
      <c r="AU233" s="5">
        <f>SUMPRODUCT(React!$C$230:$AU$230,Curves!$AD$19:$BV$19)+SUMPRODUCT(React!$C$231:$AU$231,Curves!$AD$42:$BV$42)+SUMPRODUCT(React!$C$232:$AU$232,Curves!$AD$65:$BV$65)</f>
        <v/>
      </c>
      <c r="AV233" s="5">
        <f>SUMPRODUCT(React!$C$230:$AV$230,Curves!$AC$19:$BV$19)+SUMPRODUCT(React!$C$231:$AV$231,Curves!$AC$42:$BV$42)+SUMPRODUCT(React!$C$232:$AV$232,Curves!$AC$65:$BV$65)</f>
        <v/>
      </c>
      <c r="AW233" s="5">
        <f>SUMPRODUCT(React!$C$230:$AW$230,Curves!$AB$19:$BV$19)+SUMPRODUCT(React!$C$231:$AW$231,Curves!$AB$42:$BV$42)+SUMPRODUCT(React!$C$232:$AW$232,Curves!$AB$65:$BV$65)</f>
        <v/>
      </c>
      <c r="AX233" s="5">
        <f>SUMPRODUCT(React!$C$230:$AX$230,Curves!$AA$19:$BV$19)+SUMPRODUCT(React!$C$231:$AX$231,Curves!$AA$42:$BV$42)+SUMPRODUCT(React!$C$232:$AX$232,Curves!$AA$65:$BV$65)</f>
        <v/>
      </c>
      <c r="AY233" s="5">
        <f>SUMPRODUCT(React!$C$230:$AY$230,Curves!$Z$19:$BV$19)+SUMPRODUCT(React!$C$231:$AY$231,Curves!$Z$42:$BV$42)+SUMPRODUCT(React!$C$232:$AY$232,Curves!$Z$65:$BV$65)</f>
        <v/>
      </c>
      <c r="AZ233" s="5">
        <f>SUMPRODUCT(React!$C$230:$AZ$230,Curves!$Y$19:$BV$19)+SUMPRODUCT(React!$C$231:$AZ$231,Curves!$Y$42:$BV$42)+SUMPRODUCT(React!$C$232:$AZ$232,Curves!$Y$65:$BV$65)</f>
        <v/>
      </c>
      <c r="BA233" s="5">
        <f>SUMPRODUCT(React!$C$230:$BA$230,Curves!$X$19:$BV$19)+SUMPRODUCT(React!$C$231:$BA$231,Curves!$X$42:$BV$42)+SUMPRODUCT(React!$C$232:$BA$232,Curves!$X$65:$BV$65)</f>
        <v/>
      </c>
      <c r="BB233" s="5">
        <f>SUMPRODUCT(React!$C$230:$BB$230,Curves!$W$19:$BV$19)+SUMPRODUCT(React!$C$231:$BB$231,Curves!$W$42:$BV$42)+SUMPRODUCT(React!$C$232:$BB$232,Curves!$W$65:$BV$65)</f>
        <v/>
      </c>
      <c r="BC233" s="5">
        <f>SUMPRODUCT(React!$C$230:$BC$230,Curves!$V$19:$BV$19)+SUMPRODUCT(React!$C$231:$BC$231,Curves!$V$42:$BV$42)+SUMPRODUCT(React!$C$232:$BC$232,Curves!$V$65:$BV$65)</f>
        <v/>
      </c>
      <c r="BD233" s="5">
        <f>SUMPRODUCT(React!$C$230:$BD$230,Curves!$U$19:$BV$19)+SUMPRODUCT(React!$C$231:$BD$231,Curves!$U$42:$BV$42)+SUMPRODUCT(React!$C$232:$BD$232,Curves!$U$65:$BV$65)</f>
        <v/>
      </c>
      <c r="BE233" s="5">
        <f>SUMPRODUCT(React!$C$230:$BE$230,Curves!$T$19:$BV$19)+SUMPRODUCT(React!$C$231:$BE$231,Curves!$T$42:$BV$42)+SUMPRODUCT(React!$C$232:$BE$232,Curves!$T$65:$BV$65)</f>
        <v/>
      </c>
      <c r="BF233" s="5">
        <f>SUMPRODUCT(React!$C$230:$BF$230,Curves!$S$19:$BV$19)+SUMPRODUCT(React!$C$231:$BF$231,Curves!$S$42:$BV$42)+SUMPRODUCT(React!$C$232:$BF$232,Curves!$S$65:$BV$65)</f>
        <v/>
      </c>
      <c r="BG233" s="5">
        <f>SUMPRODUCT(React!$C$230:$BG$230,Curves!$R$19:$BV$19)+SUMPRODUCT(React!$C$231:$BG$231,Curves!$R$42:$BV$42)+SUMPRODUCT(React!$C$232:$BG$232,Curves!$R$65:$BV$65)</f>
        <v/>
      </c>
      <c r="BH233" s="5">
        <f>SUMPRODUCT(React!$C$230:$BH$230,Curves!$Q$19:$BV$19)+SUMPRODUCT(React!$C$231:$BH$231,Curves!$Q$42:$BV$42)+SUMPRODUCT(React!$C$232:$BH$232,Curves!$Q$65:$BV$65)</f>
        <v/>
      </c>
      <c r="BI233" s="5">
        <f>SUMPRODUCT(React!$C$230:$BI$230,Curves!$P$19:$BV$19)+SUMPRODUCT(React!$C$231:$BI$231,Curves!$P$42:$BV$42)+SUMPRODUCT(React!$C$232:$BI$232,Curves!$P$65:$BV$65)</f>
        <v/>
      </c>
      <c r="BJ233" s="5">
        <f>SUMPRODUCT(React!$C$230:$BJ$230,Curves!$O$19:$BV$19)+SUMPRODUCT(React!$C$231:$BJ$231,Curves!$O$42:$BV$42)+SUMPRODUCT(React!$C$232:$BJ$232,Curves!$O$65:$BV$65)</f>
        <v/>
      </c>
      <c r="BK233" s="5">
        <f>SUMPRODUCT(React!$C$230:$BK$230,Curves!$N$19:$BV$19)+SUMPRODUCT(React!$C$231:$BK$231,Curves!$N$42:$BV$42)+SUMPRODUCT(React!$C$232:$BK$232,Curves!$N$65:$BV$65)</f>
        <v/>
      </c>
      <c r="BL233" s="5">
        <f>SUMPRODUCT(React!$C$230:$BL$230,Curves!$M$19:$BV$19)+SUMPRODUCT(React!$C$231:$BL$231,Curves!$M$42:$BV$42)+SUMPRODUCT(React!$C$232:$BL$232,Curves!$M$65:$BV$65)</f>
        <v/>
      </c>
      <c r="BM233" s="5">
        <f>SUMPRODUCT(React!$C$230:$BM$230,Curves!$L$19:$BV$19)+SUMPRODUCT(React!$C$231:$BM$231,Curves!$L$42:$BV$42)+SUMPRODUCT(React!$C$232:$BM$232,Curves!$L$65:$BV$65)</f>
        <v/>
      </c>
      <c r="BN233" s="5">
        <f>SUMPRODUCT(React!$C$230:$BN$230,Curves!$K$19:$BV$19)+SUMPRODUCT(React!$C$231:$BN$231,Curves!$K$42:$BV$42)+SUMPRODUCT(React!$C$232:$BN$232,Curves!$K$65:$BV$65)</f>
        <v/>
      </c>
      <c r="BO233" s="5">
        <f>SUMPRODUCT(React!$C$230:$BO$230,Curves!$J$19:$BV$19)+SUMPRODUCT(React!$C$231:$BO$231,Curves!$J$42:$BV$42)+SUMPRODUCT(React!$C$232:$BO$232,Curves!$J$65:$BV$65)</f>
        <v/>
      </c>
      <c r="BP233" s="5">
        <f>SUMPRODUCT(React!$C$230:$BP$230,Curves!$I$19:$BV$19)+SUMPRODUCT(React!$C$231:$BP$231,Curves!$I$42:$BV$42)+SUMPRODUCT(React!$C$232:$BP$232,Curves!$I$65:$BV$65)</f>
        <v/>
      </c>
      <c r="BQ233" s="5">
        <f>SUMPRODUCT(React!$C$230:$BQ$230,Curves!$H$19:$BV$19)+SUMPRODUCT(React!$C$231:$BQ$231,Curves!$H$42:$BV$42)+SUMPRODUCT(React!$C$232:$BQ$232,Curves!$H$65:$BV$65)</f>
        <v/>
      </c>
      <c r="BR233" s="5">
        <f>SUMPRODUCT(React!$C$230:$BR$230,Curves!$G$19:$BV$19)+SUMPRODUCT(React!$C$231:$BR$231,Curves!$G$42:$BV$42)+SUMPRODUCT(React!$C$232:$BR$232,Curves!$G$65:$BV$65)</f>
        <v/>
      </c>
      <c r="BS233" s="5">
        <f>SUMPRODUCT(React!$C$230:$BS$230,Curves!$F$19:$BV$19)+SUMPRODUCT(React!$C$231:$BS$231,Curves!$F$42:$BV$42)+SUMPRODUCT(React!$C$232:$BS$232,Curves!$F$65:$BV$65)</f>
        <v/>
      </c>
      <c r="BT233" s="5">
        <f>SUMPRODUCT(React!$C$230:$BT$230,Curves!$E$19:$BV$19)+SUMPRODUCT(React!$C$231:$BT$231,Curves!$E$42:$BV$42)+SUMPRODUCT(React!$C$232:$BT$232,Curves!$E$65:$BV$65)</f>
        <v/>
      </c>
      <c r="BU233" s="5">
        <f>SUMPRODUCT(React!$C$230:$BU$230,Curves!$D$19:$BV$19)+SUMPRODUCT(React!$C$231:$BU$231,Curves!$D$42:$BV$42)+SUMPRODUCT(React!$C$232:$BU$232,Curves!$D$65:$BV$65)</f>
        <v/>
      </c>
      <c r="BV233" s="5">
        <f>SUMPRODUCT(React!$C$230:$BV$230,Curves!$C$19:$BV$19)+SUMPRODUCT(React!$C$231:$BV$231,Curves!$C$42:$BV$42)+SUMPRODUCT(React!$C$232:$BV$232,Curves!$C$65:$BV$65)</f>
        <v/>
      </c>
    </row>
    <row r="234">
      <c r="A234" t="inlineStr">
        <is>
          <t>active yr 1</t>
        </is>
      </c>
      <c r="B234" t="inlineStr">
        <is>
          <t>ROW|NITRO_A</t>
        </is>
      </c>
      <c r="C234" s="5">
        <f>React!$C$230*Curves!$BV$24+React!$C$231*Curves!$BV$47+React!$C$232*Curves!$BV$70</f>
        <v/>
      </c>
      <c r="D234" s="5">
        <f>SUMPRODUCT(React!$C$230:$D$230,Curves!$BU$24:$BV$24)+SUMPRODUCT(React!$C$231:$D$231,Curves!$BU$47:$BV$47)+SUMPRODUCT(React!$C$232:$D$232,Curves!$BU$70:$BV$70)</f>
        <v/>
      </c>
      <c r="E234" s="5">
        <f>SUMPRODUCT(React!$C$230:$E$230,Curves!$BT$24:$BV$24)+SUMPRODUCT(React!$C$231:$E$231,Curves!$BT$47:$BV$47)+SUMPRODUCT(React!$C$232:$E$232,Curves!$BT$70:$BV$70)</f>
        <v/>
      </c>
      <c r="F234" s="5">
        <f>SUMPRODUCT(React!$C$230:$F$230,Curves!$BS$24:$BV$24)+SUMPRODUCT(React!$C$231:$F$231,Curves!$BS$47:$BV$47)+SUMPRODUCT(React!$C$232:$F$232,Curves!$BS$70:$BV$70)</f>
        <v/>
      </c>
      <c r="G234" s="5">
        <f>SUMPRODUCT(React!$C$230:$G$230,Curves!$BR$24:$BV$24)+SUMPRODUCT(React!$C$231:$G$231,Curves!$BR$47:$BV$47)+SUMPRODUCT(React!$C$232:$G$232,Curves!$BR$70:$BV$70)</f>
        <v/>
      </c>
      <c r="H234" s="5">
        <f>SUMPRODUCT(React!$C$230:$H$230,Curves!$BQ$24:$BV$24)+SUMPRODUCT(React!$C$231:$H$231,Curves!$BQ$47:$BV$47)+SUMPRODUCT(React!$C$232:$H$232,Curves!$BQ$70:$BV$70)</f>
        <v/>
      </c>
      <c r="I234" s="5">
        <f>SUMPRODUCT(React!$C$230:$I$230,Curves!$BP$24:$BV$24)+SUMPRODUCT(React!$C$231:$I$231,Curves!$BP$47:$BV$47)+SUMPRODUCT(React!$C$232:$I$232,Curves!$BP$70:$BV$70)</f>
        <v/>
      </c>
      <c r="J234" s="5">
        <f>SUMPRODUCT(React!$C$230:$J$230,Curves!$BO$24:$BV$24)+SUMPRODUCT(React!$C$231:$J$231,Curves!$BO$47:$BV$47)+SUMPRODUCT(React!$C$232:$J$232,Curves!$BO$70:$BV$70)</f>
        <v/>
      </c>
      <c r="K234" s="5">
        <f>SUMPRODUCT(React!$C$230:$K$230,Curves!$BN$24:$BV$24)+SUMPRODUCT(React!$C$231:$K$231,Curves!$BN$47:$BV$47)+SUMPRODUCT(React!$C$232:$K$232,Curves!$BN$70:$BV$70)</f>
        <v/>
      </c>
      <c r="L234" s="5">
        <f>SUMPRODUCT(React!$C$230:$L$230,Curves!$BM$24:$BV$24)+SUMPRODUCT(React!$C$231:$L$231,Curves!$BM$47:$BV$47)+SUMPRODUCT(React!$C$232:$L$232,Curves!$BM$70:$BV$70)</f>
        <v/>
      </c>
      <c r="M234" s="5">
        <f>SUMPRODUCT(React!$C$230:$M$230,Curves!$BL$24:$BV$24)+SUMPRODUCT(React!$C$231:$M$231,Curves!$BL$47:$BV$47)+SUMPRODUCT(React!$C$232:$M$232,Curves!$BL$70:$BV$70)</f>
        <v/>
      </c>
      <c r="N234" s="5">
        <f>SUMPRODUCT(React!$C$230:$N$230,Curves!$BK$24:$BV$24)+SUMPRODUCT(React!$C$231:$N$231,Curves!$BK$47:$BV$47)+SUMPRODUCT(React!$C$232:$N$232,Curves!$BK$70:$BV$70)</f>
        <v/>
      </c>
      <c r="O234" s="5">
        <f>SUMPRODUCT(React!$C$230:$O$230,Curves!$BJ$24:$BV$24)+SUMPRODUCT(React!$C$231:$O$231,Curves!$BJ$47:$BV$47)+SUMPRODUCT(React!$C$232:$O$232,Curves!$BJ$70:$BV$70)</f>
        <v/>
      </c>
      <c r="P234" s="5">
        <f>SUMPRODUCT(React!$C$230:$P$230,Curves!$BI$24:$BV$24)+SUMPRODUCT(React!$C$231:$P$231,Curves!$BI$47:$BV$47)+SUMPRODUCT(React!$C$232:$P$232,Curves!$BI$70:$BV$70)</f>
        <v/>
      </c>
      <c r="Q234" s="5">
        <f>SUMPRODUCT(React!$C$230:$Q$230,Curves!$BH$24:$BV$24)+SUMPRODUCT(React!$C$231:$Q$231,Curves!$BH$47:$BV$47)+SUMPRODUCT(React!$C$232:$Q$232,Curves!$BH$70:$BV$70)</f>
        <v/>
      </c>
      <c r="R234" s="5">
        <f>SUMPRODUCT(React!$C$230:$R$230,Curves!$BG$24:$BV$24)+SUMPRODUCT(React!$C$231:$R$231,Curves!$BG$47:$BV$47)+SUMPRODUCT(React!$C$232:$R$232,Curves!$BG$70:$BV$70)</f>
        <v/>
      </c>
      <c r="S234" s="5">
        <f>SUMPRODUCT(React!$C$230:$S$230,Curves!$BF$24:$BV$24)+SUMPRODUCT(React!$C$231:$S$231,Curves!$BF$47:$BV$47)+SUMPRODUCT(React!$C$232:$S$232,Curves!$BF$70:$BV$70)</f>
        <v/>
      </c>
      <c r="T234" s="5">
        <f>SUMPRODUCT(React!$C$230:$T$230,Curves!$BE$24:$BV$24)+SUMPRODUCT(React!$C$231:$T$231,Curves!$BE$47:$BV$47)+SUMPRODUCT(React!$C$232:$T$232,Curves!$BE$70:$BV$70)</f>
        <v/>
      </c>
      <c r="U234" s="5">
        <f>SUMPRODUCT(React!$C$230:$U$230,Curves!$BD$24:$BV$24)+SUMPRODUCT(React!$C$231:$U$231,Curves!$BD$47:$BV$47)+SUMPRODUCT(React!$C$232:$U$232,Curves!$BD$70:$BV$70)</f>
        <v/>
      </c>
      <c r="V234" s="5">
        <f>SUMPRODUCT(React!$C$230:$V$230,Curves!$BC$24:$BV$24)+SUMPRODUCT(React!$C$231:$V$231,Curves!$BC$47:$BV$47)+SUMPRODUCT(React!$C$232:$V$232,Curves!$BC$70:$BV$70)</f>
        <v/>
      </c>
      <c r="W234" s="5">
        <f>SUMPRODUCT(React!$C$230:$W$230,Curves!$BB$24:$BV$24)+SUMPRODUCT(React!$C$231:$W$231,Curves!$BB$47:$BV$47)+SUMPRODUCT(React!$C$232:$W$232,Curves!$BB$70:$BV$70)</f>
        <v/>
      </c>
      <c r="X234" s="5">
        <f>SUMPRODUCT(React!$C$230:$X$230,Curves!$BA$24:$BV$24)+SUMPRODUCT(React!$C$231:$X$231,Curves!$BA$47:$BV$47)+SUMPRODUCT(React!$C$232:$X$232,Curves!$BA$70:$BV$70)</f>
        <v/>
      </c>
      <c r="Y234" s="5">
        <f>SUMPRODUCT(React!$C$230:$Y$230,Curves!$AZ$24:$BV$24)+SUMPRODUCT(React!$C$231:$Y$231,Curves!$AZ$47:$BV$47)+SUMPRODUCT(React!$C$232:$Y$232,Curves!$AZ$70:$BV$70)</f>
        <v/>
      </c>
      <c r="Z234" s="5">
        <f>SUMPRODUCT(React!$C$230:$Z$230,Curves!$AY$24:$BV$24)+SUMPRODUCT(React!$C$231:$Z$231,Curves!$AY$47:$BV$47)+SUMPRODUCT(React!$C$232:$Z$232,Curves!$AY$70:$BV$70)</f>
        <v/>
      </c>
      <c r="AA234" s="5">
        <f>SUMPRODUCT(React!$C$230:$AA$230,Curves!$AX$24:$BV$24)+SUMPRODUCT(React!$C$231:$AA$231,Curves!$AX$47:$BV$47)+SUMPRODUCT(React!$C$232:$AA$232,Curves!$AX$70:$BV$70)</f>
        <v/>
      </c>
      <c r="AB234" s="5">
        <f>SUMPRODUCT(React!$C$230:$AB$230,Curves!$AW$24:$BV$24)+SUMPRODUCT(React!$C$231:$AB$231,Curves!$AW$47:$BV$47)+SUMPRODUCT(React!$C$232:$AB$232,Curves!$AW$70:$BV$70)</f>
        <v/>
      </c>
      <c r="AC234" s="5">
        <f>SUMPRODUCT(React!$C$230:$AC$230,Curves!$AV$24:$BV$24)+SUMPRODUCT(React!$C$231:$AC$231,Curves!$AV$47:$BV$47)+SUMPRODUCT(React!$C$232:$AC$232,Curves!$AV$70:$BV$70)</f>
        <v/>
      </c>
      <c r="AD234" s="5">
        <f>SUMPRODUCT(React!$C$230:$AD$230,Curves!$AU$24:$BV$24)+SUMPRODUCT(React!$C$231:$AD$231,Curves!$AU$47:$BV$47)+SUMPRODUCT(React!$C$232:$AD$232,Curves!$AU$70:$BV$70)</f>
        <v/>
      </c>
      <c r="AE234" s="5">
        <f>SUMPRODUCT(React!$C$230:$AE$230,Curves!$AT$24:$BV$24)+SUMPRODUCT(React!$C$231:$AE$231,Curves!$AT$47:$BV$47)+SUMPRODUCT(React!$C$232:$AE$232,Curves!$AT$70:$BV$70)</f>
        <v/>
      </c>
      <c r="AF234" s="5">
        <f>SUMPRODUCT(React!$C$230:$AF$230,Curves!$AS$24:$BV$24)+SUMPRODUCT(React!$C$231:$AF$231,Curves!$AS$47:$BV$47)+SUMPRODUCT(React!$C$232:$AF$232,Curves!$AS$70:$BV$70)</f>
        <v/>
      </c>
      <c r="AG234" s="5">
        <f>SUMPRODUCT(React!$C$230:$AG$230,Curves!$AR$24:$BV$24)+SUMPRODUCT(React!$C$231:$AG$231,Curves!$AR$47:$BV$47)+SUMPRODUCT(React!$C$232:$AG$232,Curves!$AR$70:$BV$70)</f>
        <v/>
      </c>
      <c r="AH234" s="5">
        <f>SUMPRODUCT(React!$C$230:$AH$230,Curves!$AQ$24:$BV$24)+SUMPRODUCT(React!$C$231:$AH$231,Curves!$AQ$47:$BV$47)+SUMPRODUCT(React!$C$232:$AH$232,Curves!$AQ$70:$BV$70)</f>
        <v/>
      </c>
      <c r="AI234" s="5">
        <f>SUMPRODUCT(React!$C$230:$AI$230,Curves!$AP$24:$BV$24)+SUMPRODUCT(React!$C$231:$AI$231,Curves!$AP$47:$BV$47)+SUMPRODUCT(React!$C$232:$AI$232,Curves!$AP$70:$BV$70)</f>
        <v/>
      </c>
      <c r="AJ234" s="5">
        <f>SUMPRODUCT(React!$C$230:$AJ$230,Curves!$AO$24:$BV$24)+SUMPRODUCT(React!$C$231:$AJ$231,Curves!$AO$47:$BV$47)+SUMPRODUCT(React!$C$232:$AJ$232,Curves!$AO$70:$BV$70)</f>
        <v/>
      </c>
      <c r="AK234" s="5">
        <f>SUMPRODUCT(React!$C$230:$AK$230,Curves!$AN$24:$BV$24)+SUMPRODUCT(React!$C$231:$AK$231,Curves!$AN$47:$BV$47)+SUMPRODUCT(React!$C$232:$AK$232,Curves!$AN$70:$BV$70)</f>
        <v/>
      </c>
      <c r="AL234" s="5">
        <f>SUMPRODUCT(React!$C$230:$AL$230,Curves!$AM$24:$BV$24)+SUMPRODUCT(React!$C$231:$AL$231,Curves!$AM$47:$BV$47)+SUMPRODUCT(React!$C$232:$AL$232,Curves!$AM$70:$BV$70)</f>
        <v/>
      </c>
      <c r="AM234" s="5">
        <f>SUMPRODUCT(React!$C$230:$AM$230,Curves!$AL$24:$BV$24)+SUMPRODUCT(React!$C$231:$AM$231,Curves!$AL$47:$BV$47)+SUMPRODUCT(React!$C$232:$AM$232,Curves!$AL$70:$BV$70)</f>
        <v/>
      </c>
      <c r="AN234" s="5">
        <f>SUMPRODUCT(React!$C$230:$AN$230,Curves!$AK$24:$BV$24)+SUMPRODUCT(React!$C$231:$AN$231,Curves!$AK$47:$BV$47)+SUMPRODUCT(React!$C$232:$AN$232,Curves!$AK$70:$BV$70)</f>
        <v/>
      </c>
      <c r="AO234" s="5">
        <f>SUMPRODUCT(React!$C$230:$AO$230,Curves!$AJ$24:$BV$24)+SUMPRODUCT(React!$C$231:$AO$231,Curves!$AJ$47:$BV$47)+SUMPRODUCT(React!$C$232:$AO$232,Curves!$AJ$70:$BV$70)</f>
        <v/>
      </c>
      <c r="AP234" s="5">
        <f>SUMPRODUCT(React!$C$230:$AP$230,Curves!$AI$24:$BV$24)+SUMPRODUCT(React!$C$231:$AP$231,Curves!$AI$47:$BV$47)+SUMPRODUCT(React!$C$232:$AP$232,Curves!$AI$70:$BV$70)</f>
        <v/>
      </c>
      <c r="AQ234" s="5">
        <f>SUMPRODUCT(React!$C$230:$AQ$230,Curves!$AH$24:$BV$24)+SUMPRODUCT(React!$C$231:$AQ$231,Curves!$AH$47:$BV$47)+SUMPRODUCT(React!$C$232:$AQ$232,Curves!$AH$70:$BV$70)</f>
        <v/>
      </c>
      <c r="AR234" s="5">
        <f>SUMPRODUCT(React!$C$230:$AR$230,Curves!$AG$24:$BV$24)+SUMPRODUCT(React!$C$231:$AR$231,Curves!$AG$47:$BV$47)+SUMPRODUCT(React!$C$232:$AR$232,Curves!$AG$70:$BV$70)</f>
        <v/>
      </c>
      <c r="AS234" s="5">
        <f>SUMPRODUCT(React!$C$230:$AS$230,Curves!$AF$24:$BV$24)+SUMPRODUCT(React!$C$231:$AS$231,Curves!$AF$47:$BV$47)+SUMPRODUCT(React!$C$232:$AS$232,Curves!$AF$70:$BV$70)</f>
        <v/>
      </c>
      <c r="AT234" s="5">
        <f>SUMPRODUCT(React!$C$230:$AT$230,Curves!$AE$24:$BV$24)+SUMPRODUCT(React!$C$231:$AT$231,Curves!$AE$47:$BV$47)+SUMPRODUCT(React!$C$232:$AT$232,Curves!$AE$70:$BV$70)</f>
        <v/>
      </c>
      <c r="AU234" s="5">
        <f>SUMPRODUCT(React!$C$230:$AU$230,Curves!$AD$24:$BV$24)+SUMPRODUCT(React!$C$231:$AU$231,Curves!$AD$47:$BV$47)+SUMPRODUCT(React!$C$232:$AU$232,Curves!$AD$70:$BV$70)</f>
        <v/>
      </c>
      <c r="AV234" s="5">
        <f>SUMPRODUCT(React!$C$230:$AV$230,Curves!$AC$24:$BV$24)+SUMPRODUCT(React!$C$231:$AV$231,Curves!$AC$47:$BV$47)+SUMPRODUCT(React!$C$232:$AV$232,Curves!$AC$70:$BV$70)</f>
        <v/>
      </c>
      <c r="AW234" s="5">
        <f>SUMPRODUCT(React!$C$230:$AW$230,Curves!$AB$24:$BV$24)+SUMPRODUCT(React!$C$231:$AW$231,Curves!$AB$47:$BV$47)+SUMPRODUCT(React!$C$232:$AW$232,Curves!$AB$70:$BV$70)</f>
        <v/>
      </c>
      <c r="AX234" s="5">
        <f>SUMPRODUCT(React!$C$230:$AX$230,Curves!$AA$24:$BV$24)+SUMPRODUCT(React!$C$231:$AX$231,Curves!$AA$47:$BV$47)+SUMPRODUCT(React!$C$232:$AX$232,Curves!$AA$70:$BV$70)</f>
        <v/>
      </c>
      <c r="AY234" s="5">
        <f>SUMPRODUCT(React!$C$230:$AY$230,Curves!$Z$24:$BV$24)+SUMPRODUCT(React!$C$231:$AY$231,Curves!$Z$47:$BV$47)+SUMPRODUCT(React!$C$232:$AY$232,Curves!$Z$70:$BV$70)</f>
        <v/>
      </c>
      <c r="AZ234" s="5">
        <f>SUMPRODUCT(React!$C$230:$AZ$230,Curves!$Y$24:$BV$24)+SUMPRODUCT(React!$C$231:$AZ$231,Curves!$Y$47:$BV$47)+SUMPRODUCT(React!$C$232:$AZ$232,Curves!$Y$70:$BV$70)</f>
        <v/>
      </c>
      <c r="BA234" s="5">
        <f>SUMPRODUCT(React!$C$230:$BA$230,Curves!$X$24:$BV$24)+SUMPRODUCT(React!$C$231:$BA$231,Curves!$X$47:$BV$47)+SUMPRODUCT(React!$C$232:$BA$232,Curves!$X$70:$BV$70)</f>
        <v/>
      </c>
      <c r="BB234" s="5">
        <f>SUMPRODUCT(React!$C$230:$BB$230,Curves!$W$24:$BV$24)+SUMPRODUCT(React!$C$231:$BB$231,Curves!$W$47:$BV$47)+SUMPRODUCT(React!$C$232:$BB$232,Curves!$W$70:$BV$70)</f>
        <v/>
      </c>
      <c r="BC234" s="5">
        <f>SUMPRODUCT(React!$C$230:$BC$230,Curves!$V$24:$BV$24)+SUMPRODUCT(React!$C$231:$BC$231,Curves!$V$47:$BV$47)+SUMPRODUCT(React!$C$232:$BC$232,Curves!$V$70:$BV$70)</f>
        <v/>
      </c>
      <c r="BD234" s="5">
        <f>SUMPRODUCT(React!$C$230:$BD$230,Curves!$U$24:$BV$24)+SUMPRODUCT(React!$C$231:$BD$231,Curves!$U$47:$BV$47)+SUMPRODUCT(React!$C$232:$BD$232,Curves!$U$70:$BV$70)</f>
        <v/>
      </c>
      <c r="BE234" s="5">
        <f>SUMPRODUCT(React!$C$230:$BE$230,Curves!$T$24:$BV$24)+SUMPRODUCT(React!$C$231:$BE$231,Curves!$T$47:$BV$47)+SUMPRODUCT(React!$C$232:$BE$232,Curves!$T$70:$BV$70)</f>
        <v/>
      </c>
      <c r="BF234" s="5">
        <f>SUMPRODUCT(React!$C$230:$BF$230,Curves!$S$24:$BV$24)+SUMPRODUCT(React!$C$231:$BF$231,Curves!$S$47:$BV$47)+SUMPRODUCT(React!$C$232:$BF$232,Curves!$S$70:$BV$70)</f>
        <v/>
      </c>
      <c r="BG234" s="5">
        <f>SUMPRODUCT(React!$C$230:$BG$230,Curves!$R$24:$BV$24)+SUMPRODUCT(React!$C$231:$BG$231,Curves!$R$47:$BV$47)+SUMPRODUCT(React!$C$232:$BG$232,Curves!$R$70:$BV$70)</f>
        <v/>
      </c>
      <c r="BH234" s="5">
        <f>SUMPRODUCT(React!$C$230:$BH$230,Curves!$Q$24:$BV$24)+SUMPRODUCT(React!$C$231:$BH$231,Curves!$Q$47:$BV$47)+SUMPRODUCT(React!$C$232:$BH$232,Curves!$Q$70:$BV$70)</f>
        <v/>
      </c>
      <c r="BI234" s="5">
        <f>SUMPRODUCT(React!$C$230:$BI$230,Curves!$P$24:$BV$24)+SUMPRODUCT(React!$C$231:$BI$231,Curves!$P$47:$BV$47)+SUMPRODUCT(React!$C$232:$BI$232,Curves!$P$70:$BV$70)</f>
        <v/>
      </c>
      <c r="BJ234" s="5">
        <f>SUMPRODUCT(React!$C$230:$BJ$230,Curves!$O$24:$BV$24)+SUMPRODUCT(React!$C$231:$BJ$231,Curves!$O$47:$BV$47)+SUMPRODUCT(React!$C$232:$BJ$232,Curves!$O$70:$BV$70)</f>
        <v/>
      </c>
      <c r="BK234" s="5">
        <f>SUMPRODUCT(React!$C$230:$BK$230,Curves!$N$24:$BV$24)+SUMPRODUCT(React!$C$231:$BK$231,Curves!$N$47:$BV$47)+SUMPRODUCT(React!$C$232:$BK$232,Curves!$N$70:$BV$70)</f>
        <v/>
      </c>
      <c r="BL234" s="5">
        <f>SUMPRODUCT(React!$C$230:$BL$230,Curves!$M$24:$BV$24)+SUMPRODUCT(React!$C$231:$BL$231,Curves!$M$47:$BV$47)+SUMPRODUCT(React!$C$232:$BL$232,Curves!$M$70:$BV$70)</f>
        <v/>
      </c>
      <c r="BM234" s="5">
        <f>SUMPRODUCT(React!$C$230:$BM$230,Curves!$L$24:$BV$24)+SUMPRODUCT(React!$C$231:$BM$231,Curves!$L$47:$BV$47)+SUMPRODUCT(React!$C$232:$BM$232,Curves!$L$70:$BV$70)</f>
        <v/>
      </c>
      <c r="BN234" s="5">
        <f>SUMPRODUCT(React!$C$230:$BN$230,Curves!$K$24:$BV$24)+SUMPRODUCT(React!$C$231:$BN$231,Curves!$K$47:$BV$47)+SUMPRODUCT(React!$C$232:$BN$232,Curves!$K$70:$BV$70)</f>
        <v/>
      </c>
      <c r="BO234" s="5">
        <f>SUMPRODUCT(React!$C$230:$BO$230,Curves!$J$24:$BV$24)+SUMPRODUCT(React!$C$231:$BO$231,Curves!$J$47:$BV$47)+SUMPRODUCT(React!$C$232:$BO$232,Curves!$J$70:$BV$70)</f>
        <v/>
      </c>
      <c r="BP234" s="5">
        <f>SUMPRODUCT(React!$C$230:$BP$230,Curves!$I$24:$BV$24)+SUMPRODUCT(React!$C$231:$BP$231,Curves!$I$47:$BV$47)+SUMPRODUCT(React!$C$232:$BP$232,Curves!$I$70:$BV$70)</f>
        <v/>
      </c>
      <c r="BQ234" s="5">
        <f>SUMPRODUCT(React!$C$230:$BQ$230,Curves!$H$24:$BV$24)+SUMPRODUCT(React!$C$231:$BQ$231,Curves!$H$47:$BV$47)+SUMPRODUCT(React!$C$232:$BQ$232,Curves!$H$70:$BV$70)</f>
        <v/>
      </c>
      <c r="BR234" s="5">
        <f>SUMPRODUCT(React!$C$230:$BR$230,Curves!$G$24:$BV$24)+SUMPRODUCT(React!$C$231:$BR$231,Curves!$G$47:$BV$47)+SUMPRODUCT(React!$C$232:$BR$232,Curves!$G$70:$BV$70)</f>
        <v/>
      </c>
      <c r="BS234" s="5">
        <f>SUMPRODUCT(React!$C$230:$BS$230,Curves!$F$24:$BV$24)+SUMPRODUCT(React!$C$231:$BS$231,Curves!$F$47:$BV$47)+SUMPRODUCT(React!$C$232:$BS$232,Curves!$F$70:$BV$70)</f>
        <v/>
      </c>
      <c r="BT234" s="5">
        <f>SUMPRODUCT(React!$C$230:$BT$230,Curves!$E$24:$BV$24)+SUMPRODUCT(React!$C$231:$BT$231,Curves!$E$47:$BV$47)+SUMPRODUCT(React!$C$232:$BT$232,Curves!$E$70:$BV$70)</f>
        <v/>
      </c>
      <c r="BU234" s="5">
        <f>SUMPRODUCT(React!$C$230:$BU$230,Curves!$D$24:$BV$24)+SUMPRODUCT(React!$C$231:$BU$231,Curves!$D$47:$BV$47)+SUMPRODUCT(React!$C$232:$BU$232,Curves!$D$70:$BV$70)</f>
        <v/>
      </c>
      <c r="BV234" s="5">
        <f>SUMPRODUCT(React!$C$230:$BV$230,Curves!$C$24:$BV$24)+SUMPRODUCT(React!$C$231:$BV$231,Curves!$C$47:$BV$47)+SUMPRODUCT(React!$C$232:$BV$232,Curves!$C$70:$BV$70)</f>
        <v/>
      </c>
    </row>
    <row r="235">
      <c r="A235" t="inlineStr">
        <is>
          <t>churned</t>
        </is>
      </c>
      <c r="B235" t="inlineStr">
        <is>
          <t>ROW|NITRO_A</t>
        </is>
      </c>
      <c r="C235" s="5">
        <f>React!$C$230*Curves!$BV$20+React!$C$231*Curves!$BV$43+React!$C$232*Curves!$BV$66</f>
        <v/>
      </c>
      <c r="D235" s="5">
        <f>SUMPRODUCT(React!$C$230:$D$230,Curves!$BU$20:$BV$20)+SUMPRODUCT(React!$C$231:$D$231,Curves!$BU$43:$BV$43)+SUMPRODUCT(React!$C$232:$D$232,Curves!$BU$66:$BV$66)</f>
        <v/>
      </c>
      <c r="E235" s="5">
        <f>SUMPRODUCT(React!$C$230:$E$230,Curves!$BT$20:$BV$20)+SUMPRODUCT(React!$C$231:$E$231,Curves!$BT$43:$BV$43)+SUMPRODUCT(React!$C$232:$E$232,Curves!$BT$66:$BV$66)</f>
        <v/>
      </c>
      <c r="F235" s="5">
        <f>SUMPRODUCT(React!$C$230:$F$230,Curves!$BS$20:$BV$20)+SUMPRODUCT(React!$C$231:$F$231,Curves!$BS$43:$BV$43)+SUMPRODUCT(React!$C$232:$F$232,Curves!$BS$66:$BV$66)</f>
        <v/>
      </c>
      <c r="G235" s="5">
        <f>SUMPRODUCT(React!$C$230:$G$230,Curves!$BR$20:$BV$20)+SUMPRODUCT(React!$C$231:$G$231,Curves!$BR$43:$BV$43)+SUMPRODUCT(React!$C$232:$G$232,Curves!$BR$66:$BV$66)</f>
        <v/>
      </c>
      <c r="H235" s="5">
        <f>SUMPRODUCT(React!$C$230:$H$230,Curves!$BQ$20:$BV$20)+SUMPRODUCT(React!$C$231:$H$231,Curves!$BQ$43:$BV$43)+SUMPRODUCT(React!$C$232:$H$232,Curves!$BQ$66:$BV$66)</f>
        <v/>
      </c>
      <c r="I235" s="5">
        <f>SUMPRODUCT(React!$C$230:$I$230,Curves!$BP$20:$BV$20)+SUMPRODUCT(React!$C$231:$I$231,Curves!$BP$43:$BV$43)+SUMPRODUCT(React!$C$232:$I$232,Curves!$BP$66:$BV$66)</f>
        <v/>
      </c>
      <c r="J235" s="5">
        <f>SUMPRODUCT(React!$C$230:$J$230,Curves!$BO$20:$BV$20)+SUMPRODUCT(React!$C$231:$J$231,Curves!$BO$43:$BV$43)+SUMPRODUCT(React!$C$232:$J$232,Curves!$BO$66:$BV$66)</f>
        <v/>
      </c>
      <c r="K235" s="5">
        <f>SUMPRODUCT(React!$C$230:$K$230,Curves!$BN$20:$BV$20)+SUMPRODUCT(React!$C$231:$K$231,Curves!$BN$43:$BV$43)+SUMPRODUCT(React!$C$232:$K$232,Curves!$BN$66:$BV$66)</f>
        <v/>
      </c>
      <c r="L235" s="5">
        <f>SUMPRODUCT(React!$C$230:$L$230,Curves!$BM$20:$BV$20)+SUMPRODUCT(React!$C$231:$L$231,Curves!$BM$43:$BV$43)+SUMPRODUCT(React!$C$232:$L$232,Curves!$BM$66:$BV$66)</f>
        <v/>
      </c>
      <c r="M235" s="5">
        <f>SUMPRODUCT(React!$C$230:$M$230,Curves!$BL$20:$BV$20)+SUMPRODUCT(React!$C$231:$M$231,Curves!$BL$43:$BV$43)+SUMPRODUCT(React!$C$232:$M$232,Curves!$BL$66:$BV$66)</f>
        <v/>
      </c>
      <c r="N235" s="5">
        <f>SUMPRODUCT(React!$C$230:$N$230,Curves!$BK$20:$BV$20)+SUMPRODUCT(React!$C$231:$N$231,Curves!$BK$43:$BV$43)+SUMPRODUCT(React!$C$232:$N$232,Curves!$BK$66:$BV$66)</f>
        <v/>
      </c>
      <c r="O235" s="5">
        <f>SUMPRODUCT(React!$C$230:$O$230,Curves!$BJ$20:$BV$20)+SUMPRODUCT(React!$C$231:$O$231,Curves!$BJ$43:$BV$43)+SUMPRODUCT(React!$C$232:$O$232,Curves!$BJ$66:$BV$66)</f>
        <v/>
      </c>
      <c r="P235" s="5">
        <f>SUMPRODUCT(React!$C$230:$P$230,Curves!$BI$20:$BV$20)+SUMPRODUCT(React!$C$231:$P$231,Curves!$BI$43:$BV$43)+SUMPRODUCT(React!$C$232:$P$232,Curves!$BI$66:$BV$66)</f>
        <v/>
      </c>
      <c r="Q235" s="5">
        <f>SUMPRODUCT(React!$C$230:$Q$230,Curves!$BH$20:$BV$20)+SUMPRODUCT(React!$C$231:$Q$231,Curves!$BH$43:$BV$43)+SUMPRODUCT(React!$C$232:$Q$232,Curves!$BH$66:$BV$66)</f>
        <v/>
      </c>
      <c r="R235" s="5">
        <f>SUMPRODUCT(React!$C$230:$R$230,Curves!$BG$20:$BV$20)+SUMPRODUCT(React!$C$231:$R$231,Curves!$BG$43:$BV$43)+SUMPRODUCT(React!$C$232:$R$232,Curves!$BG$66:$BV$66)</f>
        <v/>
      </c>
      <c r="S235" s="5">
        <f>SUMPRODUCT(React!$C$230:$S$230,Curves!$BF$20:$BV$20)+SUMPRODUCT(React!$C$231:$S$231,Curves!$BF$43:$BV$43)+SUMPRODUCT(React!$C$232:$S$232,Curves!$BF$66:$BV$66)</f>
        <v/>
      </c>
      <c r="T235" s="5">
        <f>SUMPRODUCT(React!$C$230:$T$230,Curves!$BE$20:$BV$20)+SUMPRODUCT(React!$C$231:$T$231,Curves!$BE$43:$BV$43)+SUMPRODUCT(React!$C$232:$T$232,Curves!$BE$66:$BV$66)</f>
        <v/>
      </c>
      <c r="U235" s="5">
        <f>SUMPRODUCT(React!$C$230:$U$230,Curves!$BD$20:$BV$20)+SUMPRODUCT(React!$C$231:$U$231,Curves!$BD$43:$BV$43)+SUMPRODUCT(React!$C$232:$U$232,Curves!$BD$66:$BV$66)</f>
        <v/>
      </c>
      <c r="V235" s="5">
        <f>SUMPRODUCT(React!$C$230:$V$230,Curves!$BC$20:$BV$20)+SUMPRODUCT(React!$C$231:$V$231,Curves!$BC$43:$BV$43)+SUMPRODUCT(React!$C$232:$V$232,Curves!$BC$66:$BV$66)</f>
        <v/>
      </c>
      <c r="W235" s="5">
        <f>SUMPRODUCT(React!$C$230:$W$230,Curves!$BB$20:$BV$20)+SUMPRODUCT(React!$C$231:$W$231,Curves!$BB$43:$BV$43)+SUMPRODUCT(React!$C$232:$W$232,Curves!$BB$66:$BV$66)</f>
        <v/>
      </c>
      <c r="X235" s="5">
        <f>SUMPRODUCT(React!$C$230:$X$230,Curves!$BA$20:$BV$20)+SUMPRODUCT(React!$C$231:$X$231,Curves!$BA$43:$BV$43)+SUMPRODUCT(React!$C$232:$X$232,Curves!$BA$66:$BV$66)</f>
        <v/>
      </c>
      <c r="Y235" s="5">
        <f>SUMPRODUCT(React!$C$230:$Y$230,Curves!$AZ$20:$BV$20)+SUMPRODUCT(React!$C$231:$Y$231,Curves!$AZ$43:$BV$43)+SUMPRODUCT(React!$C$232:$Y$232,Curves!$AZ$66:$BV$66)</f>
        <v/>
      </c>
      <c r="Z235" s="5">
        <f>SUMPRODUCT(React!$C$230:$Z$230,Curves!$AY$20:$BV$20)+SUMPRODUCT(React!$C$231:$Z$231,Curves!$AY$43:$BV$43)+SUMPRODUCT(React!$C$232:$Z$232,Curves!$AY$66:$BV$66)</f>
        <v/>
      </c>
      <c r="AA235" s="5">
        <f>SUMPRODUCT(React!$C$230:$AA$230,Curves!$AX$20:$BV$20)+SUMPRODUCT(React!$C$231:$AA$231,Curves!$AX$43:$BV$43)+SUMPRODUCT(React!$C$232:$AA$232,Curves!$AX$66:$BV$66)</f>
        <v/>
      </c>
      <c r="AB235" s="5">
        <f>SUMPRODUCT(React!$C$230:$AB$230,Curves!$AW$20:$BV$20)+SUMPRODUCT(React!$C$231:$AB$231,Curves!$AW$43:$BV$43)+SUMPRODUCT(React!$C$232:$AB$232,Curves!$AW$66:$BV$66)</f>
        <v/>
      </c>
      <c r="AC235" s="5">
        <f>SUMPRODUCT(React!$C$230:$AC$230,Curves!$AV$20:$BV$20)+SUMPRODUCT(React!$C$231:$AC$231,Curves!$AV$43:$BV$43)+SUMPRODUCT(React!$C$232:$AC$232,Curves!$AV$66:$BV$66)</f>
        <v/>
      </c>
      <c r="AD235" s="5">
        <f>SUMPRODUCT(React!$C$230:$AD$230,Curves!$AU$20:$BV$20)+SUMPRODUCT(React!$C$231:$AD$231,Curves!$AU$43:$BV$43)+SUMPRODUCT(React!$C$232:$AD$232,Curves!$AU$66:$BV$66)</f>
        <v/>
      </c>
      <c r="AE235" s="5">
        <f>SUMPRODUCT(React!$C$230:$AE$230,Curves!$AT$20:$BV$20)+SUMPRODUCT(React!$C$231:$AE$231,Curves!$AT$43:$BV$43)+SUMPRODUCT(React!$C$232:$AE$232,Curves!$AT$66:$BV$66)</f>
        <v/>
      </c>
      <c r="AF235" s="5">
        <f>SUMPRODUCT(React!$C$230:$AF$230,Curves!$AS$20:$BV$20)+SUMPRODUCT(React!$C$231:$AF$231,Curves!$AS$43:$BV$43)+SUMPRODUCT(React!$C$232:$AF$232,Curves!$AS$66:$BV$66)</f>
        <v/>
      </c>
      <c r="AG235" s="5">
        <f>SUMPRODUCT(React!$C$230:$AG$230,Curves!$AR$20:$BV$20)+SUMPRODUCT(React!$C$231:$AG$231,Curves!$AR$43:$BV$43)+SUMPRODUCT(React!$C$232:$AG$232,Curves!$AR$66:$BV$66)</f>
        <v/>
      </c>
      <c r="AH235" s="5">
        <f>SUMPRODUCT(React!$C$230:$AH$230,Curves!$AQ$20:$BV$20)+SUMPRODUCT(React!$C$231:$AH$231,Curves!$AQ$43:$BV$43)+SUMPRODUCT(React!$C$232:$AH$232,Curves!$AQ$66:$BV$66)</f>
        <v/>
      </c>
      <c r="AI235" s="5">
        <f>SUMPRODUCT(React!$C$230:$AI$230,Curves!$AP$20:$BV$20)+SUMPRODUCT(React!$C$231:$AI$231,Curves!$AP$43:$BV$43)+SUMPRODUCT(React!$C$232:$AI$232,Curves!$AP$66:$BV$66)</f>
        <v/>
      </c>
      <c r="AJ235" s="5">
        <f>SUMPRODUCT(React!$C$230:$AJ$230,Curves!$AO$20:$BV$20)+SUMPRODUCT(React!$C$231:$AJ$231,Curves!$AO$43:$BV$43)+SUMPRODUCT(React!$C$232:$AJ$232,Curves!$AO$66:$BV$66)</f>
        <v/>
      </c>
      <c r="AK235" s="5">
        <f>SUMPRODUCT(React!$C$230:$AK$230,Curves!$AN$20:$BV$20)+SUMPRODUCT(React!$C$231:$AK$231,Curves!$AN$43:$BV$43)+SUMPRODUCT(React!$C$232:$AK$232,Curves!$AN$66:$BV$66)</f>
        <v/>
      </c>
      <c r="AL235" s="5">
        <f>SUMPRODUCT(React!$C$230:$AL$230,Curves!$AM$20:$BV$20)+SUMPRODUCT(React!$C$231:$AL$231,Curves!$AM$43:$BV$43)+SUMPRODUCT(React!$C$232:$AL$232,Curves!$AM$66:$BV$66)</f>
        <v/>
      </c>
      <c r="AM235" s="5">
        <f>SUMPRODUCT(React!$C$230:$AM$230,Curves!$AL$20:$BV$20)+SUMPRODUCT(React!$C$231:$AM$231,Curves!$AL$43:$BV$43)+SUMPRODUCT(React!$C$232:$AM$232,Curves!$AL$66:$BV$66)</f>
        <v/>
      </c>
      <c r="AN235" s="5">
        <f>SUMPRODUCT(React!$C$230:$AN$230,Curves!$AK$20:$BV$20)+SUMPRODUCT(React!$C$231:$AN$231,Curves!$AK$43:$BV$43)+SUMPRODUCT(React!$C$232:$AN$232,Curves!$AK$66:$BV$66)</f>
        <v/>
      </c>
      <c r="AO235" s="5">
        <f>SUMPRODUCT(React!$C$230:$AO$230,Curves!$AJ$20:$BV$20)+SUMPRODUCT(React!$C$231:$AO$231,Curves!$AJ$43:$BV$43)+SUMPRODUCT(React!$C$232:$AO$232,Curves!$AJ$66:$BV$66)</f>
        <v/>
      </c>
      <c r="AP235" s="5">
        <f>SUMPRODUCT(React!$C$230:$AP$230,Curves!$AI$20:$BV$20)+SUMPRODUCT(React!$C$231:$AP$231,Curves!$AI$43:$BV$43)+SUMPRODUCT(React!$C$232:$AP$232,Curves!$AI$66:$BV$66)</f>
        <v/>
      </c>
      <c r="AQ235" s="5">
        <f>SUMPRODUCT(React!$C$230:$AQ$230,Curves!$AH$20:$BV$20)+SUMPRODUCT(React!$C$231:$AQ$231,Curves!$AH$43:$BV$43)+SUMPRODUCT(React!$C$232:$AQ$232,Curves!$AH$66:$BV$66)</f>
        <v/>
      </c>
      <c r="AR235" s="5">
        <f>SUMPRODUCT(React!$C$230:$AR$230,Curves!$AG$20:$BV$20)+SUMPRODUCT(React!$C$231:$AR$231,Curves!$AG$43:$BV$43)+SUMPRODUCT(React!$C$232:$AR$232,Curves!$AG$66:$BV$66)</f>
        <v/>
      </c>
      <c r="AS235" s="5">
        <f>SUMPRODUCT(React!$C$230:$AS$230,Curves!$AF$20:$BV$20)+SUMPRODUCT(React!$C$231:$AS$231,Curves!$AF$43:$BV$43)+SUMPRODUCT(React!$C$232:$AS$232,Curves!$AF$66:$BV$66)</f>
        <v/>
      </c>
      <c r="AT235" s="5">
        <f>SUMPRODUCT(React!$C$230:$AT$230,Curves!$AE$20:$BV$20)+SUMPRODUCT(React!$C$231:$AT$231,Curves!$AE$43:$BV$43)+SUMPRODUCT(React!$C$232:$AT$232,Curves!$AE$66:$BV$66)</f>
        <v/>
      </c>
      <c r="AU235" s="5">
        <f>SUMPRODUCT(React!$C$230:$AU$230,Curves!$AD$20:$BV$20)+SUMPRODUCT(React!$C$231:$AU$231,Curves!$AD$43:$BV$43)+SUMPRODUCT(React!$C$232:$AU$232,Curves!$AD$66:$BV$66)</f>
        <v/>
      </c>
      <c r="AV235" s="5">
        <f>SUMPRODUCT(React!$C$230:$AV$230,Curves!$AC$20:$BV$20)+SUMPRODUCT(React!$C$231:$AV$231,Curves!$AC$43:$BV$43)+SUMPRODUCT(React!$C$232:$AV$232,Curves!$AC$66:$BV$66)</f>
        <v/>
      </c>
      <c r="AW235" s="5">
        <f>SUMPRODUCT(React!$C$230:$AW$230,Curves!$AB$20:$BV$20)+SUMPRODUCT(React!$C$231:$AW$231,Curves!$AB$43:$BV$43)+SUMPRODUCT(React!$C$232:$AW$232,Curves!$AB$66:$BV$66)</f>
        <v/>
      </c>
      <c r="AX235" s="5">
        <f>SUMPRODUCT(React!$C$230:$AX$230,Curves!$AA$20:$BV$20)+SUMPRODUCT(React!$C$231:$AX$231,Curves!$AA$43:$BV$43)+SUMPRODUCT(React!$C$232:$AX$232,Curves!$AA$66:$BV$66)</f>
        <v/>
      </c>
      <c r="AY235" s="5">
        <f>SUMPRODUCT(React!$C$230:$AY$230,Curves!$Z$20:$BV$20)+SUMPRODUCT(React!$C$231:$AY$231,Curves!$Z$43:$BV$43)+SUMPRODUCT(React!$C$232:$AY$232,Curves!$Z$66:$BV$66)</f>
        <v/>
      </c>
      <c r="AZ235" s="5">
        <f>SUMPRODUCT(React!$C$230:$AZ$230,Curves!$Y$20:$BV$20)+SUMPRODUCT(React!$C$231:$AZ$231,Curves!$Y$43:$BV$43)+SUMPRODUCT(React!$C$232:$AZ$232,Curves!$Y$66:$BV$66)</f>
        <v/>
      </c>
      <c r="BA235" s="5">
        <f>SUMPRODUCT(React!$C$230:$BA$230,Curves!$X$20:$BV$20)+SUMPRODUCT(React!$C$231:$BA$231,Curves!$X$43:$BV$43)+SUMPRODUCT(React!$C$232:$BA$232,Curves!$X$66:$BV$66)</f>
        <v/>
      </c>
      <c r="BB235" s="5">
        <f>SUMPRODUCT(React!$C$230:$BB$230,Curves!$W$20:$BV$20)+SUMPRODUCT(React!$C$231:$BB$231,Curves!$W$43:$BV$43)+SUMPRODUCT(React!$C$232:$BB$232,Curves!$W$66:$BV$66)</f>
        <v/>
      </c>
      <c r="BC235" s="5">
        <f>SUMPRODUCT(React!$C$230:$BC$230,Curves!$V$20:$BV$20)+SUMPRODUCT(React!$C$231:$BC$231,Curves!$V$43:$BV$43)+SUMPRODUCT(React!$C$232:$BC$232,Curves!$V$66:$BV$66)</f>
        <v/>
      </c>
      <c r="BD235" s="5">
        <f>SUMPRODUCT(React!$C$230:$BD$230,Curves!$U$20:$BV$20)+SUMPRODUCT(React!$C$231:$BD$231,Curves!$U$43:$BV$43)+SUMPRODUCT(React!$C$232:$BD$232,Curves!$U$66:$BV$66)</f>
        <v/>
      </c>
      <c r="BE235" s="5">
        <f>SUMPRODUCT(React!$C$230:$BE$230,Curves!$T$20:$BV$20)+SUMPRODUCT(React!$C$231:$BE$231,Curves!$T$43:$BV$43)+SUMPRODUCT(React!$C$232:$BE$232,Curves!$T$66:$BV$66)</f>
        <v/>
      </c>
      <c r="BF235" s="5">
        <f>SUMPRODUCT(React!$C$230:$BF$230,Curves!$S$20:$BV$20)+SUMPRODUCT(React!$C$231:$BF$231,Curves!$S$43:$BV$43)+SUMPRODUCT(React!$C$232:$BF$232,Curves!$S$66:$BV$66)</f>
        <v/>
      </c>
      <c r="BG235" s="5">
        <f>SUMPRODUCT(React!$C$230:$BG$230,Curves!$R$20:$BV$20)+SUMPRODUCT(React!$C$231:$BG$231,Curves!$R$43:$BV$43)+SUMPRODUCT(React!$C$232:$BG$232,Curves!$R$66:$BV$66)</f>
        <v/>
      </c>
      <c r="BH235" s="5">
        <f>SUMPRODUCT(React!$C$230:$BH$230,Curves!$Q$20:$BV$20)+SUMPRODUCT(React!$C$231:$BH$231,Curves!$Q$43:$BV$43)+SUMPRODUCT(React!$C$232:$BH$232,Curves!$Q$66:$BV$66)</f>
        <v/>
      </c>
      <c r="BI235" s="5">
        <f>SUMPRODUCT(React!$C$230:$BI$230,Curves!$P$20:$BV$20)+SUMPRODUCT(React!$C$231:$BI$231,Curves!$P$43:$BV$43)+SUMPRODUCT(React!$C$232:$BI$232,Curves!$P$66:$BV$66)</f>
        <v/>
      </c>
      <c r="BJ235" s="5">
        <f>SUMPRODUCT(React!$C$230:$BJ$230,Curves!$O$20:$BV$20)+SUMPRODUCT(React!$C$231:$BJ$231,Curves!$O$43:$BV$43)+SUMPRODUCT(React!$C$232:$BJ$232,Curves!$O$66:$BV$66)</f>
        <v/>
      </c>
      <c r="BK235" s="5">
        <f>SUMPRODUCT(React!$C$230:$BK$230,Curves!$N$20:$BV$20)+SUMPRODUCT(React!$C$231:$BK$231,Curves!$N$43:$BV$43)+SUMPRODUCT(React!$C$232:$BK$232,Curves!$N$66:$BV$66)</f>
        <v/>
      </c>
      <c r="BL235" s="5">
        <f>SUMPRODUCT(React!$C$230:$BL$230,Curves!$M$20:$BV$20)+SUMPRODUCT(React!$C$231:$BL$231,Curves!$M$43:$BV$43)+SUMPRODUCT(React!$C$232:$BL$232,Curves!$M$66:$BV$66)</f>
        <v/>
      </c>
      <c r="BM235" s="5">
        <f>SUMPRODUCT(React!$C$230:$BM$230,Curves!$L$20:$BV$20)+SUMPRODUCT(React!$C$231:$BM$231,Curves!$L$43:$BV$43)+SUMPRODUCT(React!$C$232:$BM$232,Curves!$L$66:$BV$66)</f>
        <v/>
      </c>
      <c r="BN235" s="5">
        <f>SUMPRODUCT(React!$C$230:$BN$230,Curves!$K$20:$BV$20)+SUMPRODUCT(React!$C$231:$BN$231,Curves!$K$43:$BV$43)+SUMPRODUCT(React!$C$232:$BN$232,Curves!$K$66:$BV$66)</f>
        <v/>
      </c>
      <c r="BO235" s="5">
        <f>SUMPRODUCT(React!$C$230:$BO$230,Curves!$J$20:$BV$20)+SUMPRODUCT(React!$C$231:$BO$231,Curves!$J$43:$BV$43)+SUMPRODUCT(React!$C$232:$BO$232,Curves!$J$66:$BV$66)</f>
        <v/>
      </c>
      <c r="BP235" s="5">
        <f>SUMPRODUCT(React!$C$230:$BP$230,Curves!$I$20:$BV$20)+SUMPRODUCT(React!$C$231:$BP$231,Curves!$I$43:$BV$43)+SUMPRODUCT(React!$C$232:$BP$232,Curves!$I$66:$BV$66)</f>
        <v/>
      </c>
      <c r="BQ235" s="5">
        <f>SUMPRODUCT(React!$C$230:$BQ$230,Curves!$H$20:$BV$20)+SUMPRODUCT(React!$C$231:$BQ$231,Curves!$H$43:$BV$43)+SUMPRODUCT(React!$C$232:$BQ$232,Curves!$H$66:$BV$66)</f>
        <v/>
      </c>
      <c r="BR235" s="5">
        <f>SUMPRODUCT(React!$C$230:$BR$230,Curves!$G$20:$BV$20)+SUMPRODUCT(React!$C$231:$BR$231,Curves!$G$43:$BV$43)+SUMPRODUCT(React!$C$232:$BR$232,Curves!$G$66:$BV$66)</f>
        <v/>
      </c>
      <c r="BS235" s="5">
        <f>SUMPRODUCT(React!$C$230:$BS$230,Curves!$F$20:$BV$20)+SUMPRODUCT(React!$C$231:$BS$231,Curves!$F$43:$BV$43)+SUMPRODUCT(React!$C$232:$BS$232,Curves!$F$66:$BV$66)</f>
        <v/>
      </c>
      <c r="BT235" s="5">
        <f>SUMPRODUCT(React!$C$230:$BT$230,Curves!$E$20:$BV$20)+SUMPRODUCT(React!$C$231:$BT$231,Curves!$E$43:$BV$43)+SUMPRODUCT(React!$C$232:$BT$232,Curves!$E$66:$BV$66)</f>
        <v/>
      </c>
      <c r="BU235" s="5">
        <f>SUMPRODUCT(React!$C$230:$BU$230,Curves!$D$20:$BV$20)+SUMPRODUCT(React!$C$231:$BU$231,Curves!$D$43:$BV$43)+SUMPRODUCT(React!$C$232:$BU$232,Curves!$D$66:$BV$66)</f>
        <v/>
      </c>
      <c r="BV235" s="5">
        <f>SUMPRODUCT(React!$C$230:$BV$230,Curves!$C$20:$BV$20)+SUMPRODUCT(React!$C$231:$BV$231,Curves!$C$43:$BV$43)+SUMPRODUCT(React!$C$232:$BV$232,Curves!$C$66:$BV$66)</f>
        <v/>
      </c>
    </row>
    <row r="237">
      <c r="A237" t="inlineStr">
        <is>
          <t>churn pool inflow</t>
        </is>
      </c>
      <c r="B237" t="inlineStr">
        <is>
          <t>ROW|BASIC_M</t>
        </is>
      </c>
      <c r="C237" s="5">
        <f>Paid!C77+Legacy!C79</f>
        <v/>
      </c>
      <c r="D237" s="5">
        <f>Paid!D77+Legacy!D79</f>
        <v/>
      </c>
      <c r="E237" s="5">
        <f>Paid!E77+Legacy!E79</f>
        <v/>
      </c>
      <c r="F237" s="5">
        <f>Paid!F77+Legacy!F79</f>
        <v/>
      </c>
      <c r="G237" s="5">
        <f>Paid!G77+Legacy!G79</f>
        <v/>
      </c>
      <c r="H237" s="5">
        <f>Paid!H77+Legacy!H79</f>
        <v/>
      </c>
      <c r="I237" s="5">
        <f>Paid!I77+Legacy!I79</f>
        <v/>
      </c>
      <c r="J237" s="5">
        <f>Paid!J77+Legacy!J79</f>
        <v/>
      </c>
      <c r="K237" s="5">
        <f>Paid!K77+Legacy!K79</f>
        <v/>
      </c>
      <c r="L237" s="5">
        <f>Paid!L77+Legacy!L79</f>
        <v/>
      </c>
      <c r="M237" s="5">
        <f>Paid!M77+Legacy!M79</f>
        <v/>
      </c>
      <c r="N237" s="5">
        <f>Paid!N77+Legacy!N79</f>
        <v/>
      </c>
      <c r="O237" s="5">
        <f>Paid!O77+Legacy!O79</f>
        <v/>
      </c>
      <c r="P237" s="5">
        <f>Paid!P77+Legacy!P79</f>
        <v/>
      </c>
      <c r="Q237" s="5">
        <f>Paid!Q77+Legacy!Q79</f>
        <v/>
      </c>
      <c r="R237" s="5">
        <f>Paid!R77+Legacy!R79</f>
        <v/>
      </c>
      <c r="S237" s="5">
        <f>Paid!S77+Legacy!S79</f>
        <v/>
      </c>
      <c r="T237" s="5">
        <f>Paid!T77+Legacy!T79</f>
        <v/>
      </c>
      <c r="U237" s="5">
        <f>Paid!U77+Legacy!U79</f>
        <v/>
      </c>
      <c r="V237" s="5">
        <f>Paid!V77+Legacy!V79</f>
        <v/>
      </c>
      <c r="W237" s="5">
        <f>Paid!W77+Legacy!W79</f>
        <v/>
      </c>
      <c r="X237" s="5">
        <f>Paid!X77+Legacy!X79</f>
        <v/>
      </c>
      <c r="Y237" s="5">
        <f>Paid!Y77+Legacy!Y79</f>
        <v/>
      </c>
      <c r="Z237" s="5">
        <f>Paid!Z77+Legacy!Z79</f>
        <v/>
      </c>
      <c r="AA237" s="5">
        <f>Paid!AA77+Legacy!AA79</f>
        <v/>
      </c>
      <c r="AB237" s="5">
        <f>Paid!AB77+Legacy!AB79</f>
        <v/>
      </c>
      <c r="AC237" s="5">
        <f>Paid!AC77+Legacy!AC79</f>
        <v/>
      </c>
      <c r="AD237" s="5">
        <f>Paid!AD77+Legacy!AD79</f>
        <v/>
      </c>
      <c r="AE237" s="5">
        <f>Paid!AE77+Legacy!AE79</f>
        <v/>
      </c>
      <c r="AF237" s="5">
        <f>Paid!AF77+Legacy!AF79</f>
        <v/>
      </c>
      <c r="AG237" s="5">
        <f>Paid!AG77+Legacy!AG79</f>
        <v/>
      </c>
      <c r="AH237" s="5">
        <f>Paid!AH77+Legacy!AH79</f>
        <v/>
      </c>
      <c r="AI237" s="5">
        <f>Paid!AI77+Legacy!AI79</f>
        <v/>
      </c>
      <c r="AJ237" s="5">
        <f>Paid!AJ77+Legacy!AJ79</f>
        <v/>
      </c>
      <c r="AK237" s="5">
        <f>Paid!AK77+Legacy!AK79</f>
        <v/>
      </c>
      <c r="AL237" s="5">
        <f>Paid!AL77+Legacy!AL79</f>
        <v/>
      </c>
      <c r="AM237" s="5">
        <f>Paid!AM77+Legacy!AM79</f>
        <v/>
      </c>
      <c r="AN237" s="5">
        <f>Paid!AN77+Legacy!AN79</f>
        <v/>
      </c>
      <c r="AO237" s="5">
        <f>Paid!AO77+Legacy!AO79</f>
        <v/>
      </c>
      <c r="AP237" s="5">
        <f>Paid!AP77+Legacy!AP79</f>
        <v/>
      </c>
      <c r="AQ237" s="5">
        <f>Paid!AQ77+Legacy!AQ79</f>
        <v/>
      </c>
      <c r="AR237" s="5">
        <f>Paid!AR77+Legacy!AR79</f>
        <v/>
      </c>
      <c r="AS237" s="5">
        <f>Paid!AS77+Legacy!AS79</f>
        <v/>
      </c>
      <c r="AT237" s="5">
        <f>Paid!AT77+Legacy!AT79</f>
        <v/>
      </c>
      <c r="AU237" s="5">
        <f>Paid!AU77+Legacy!AU79</f>
        <v/>
      </c>
      <c r="AV237" s="5">
        <f>Paid!AV77+Legacy!AV79</f>
        <v/>
      </c>
      <c r="AW237" s="5">
        <f>Paid!AW77+Legacy!AW79</f>
        <v/>
      </c>
      <c r="AX237" s="5">
        <f>Paid!AX77+Legacy!AX79</f>
        <v/>
      </c>
      <c r="AY237" s="5">
        <f>Paid!AY77+Legacy!AY79</f>
        <v/>
      </c>
      <c r="AZ237" s="5">
        <f>Paid!AZ77+Legacy!AZ79</f>
        <v/>
      </c>
      <c r="BA237" s="5">
        <f>Paid!BA77+Legacy!BA79</f>
        <v/>
      </c>
      <c r="BB237" s="5">
        <f>Paid!BB77+Legacy!BB79</f>
        <v/>
      </c>
      <c r="BC237" s="5">
        <f>Paid!BC77+Legacy!BC79</f>
        <v/>
      </c>
      <c r="BD237" s="5">
        <f>Paid!BD77+Legacy!BD79</f>
        <v/>
      </c>
      <c r="BE237" s="5">
        <f>Paid!BE77+Legacy!BE79</f>
        <v/>
      </c>
      <c r="BF237" s="5">
        <f>Paid!BF77+Legacy!BF79</f>
        <v/>
      </c>
      <c r="BG237" s="5">
        <f>Paid!BG77+Legacy!BG79</f>
        <v/>
      </c>
      <c r="BH237" s="5">
        <f>Paid!BH77+Legacy!BH79</f>
        <v/>
      </c>
      <c r="BI237" s="5">
        <f>Paid!BI77+Legacy!BI79</f>
        <v/>
      </c>
      <c r="BJ237" s="5">
        <f>Paid!BJ77+Legacy!BJ79</f>
        <v/>
      </c>
      <c r="BK237" s="5">
        <f>Paid!BK77+Legacy!BK79</f>
        <v/>
      </c>
      <c r="BL237" s="5">
        <f>Paid!BL77+Legacy!BL79</f>
        <v/>
      </c>
      <c r="BM237" s="5">
        <f>Paid!BM77+Legacy!BM79</f>
        <v/>
      </c>
      <c r="BN237" s="5">
        <f>Paid!BN77+Legacy!BN79</f>
        <v/>
      </c>
      <c r="BO237" s="5">
        <f>Paid!BO77+Legacy!BO79</f>
        <v/>
      </c>
      <c r="BP237" s="5">
        <f>Paid!BP77+Legacy!BP79</f>
        <v/>
      </c>
      <c r="BQ237" s="5">
        <f>Paid!BQ77+Legacy!BQ79</f>
        <v/>
      </c>
      <c r="BR237" s="5">
        <f>Paid!BR77+Legacy!BR79</f>
        <v/>
      </c>
      <c r="BS237" s="5">
        <f>Paid!BS77+Legacy!BS79</f>
        <v/>
      </c>
      <c r="BT237" s="5">
        <f>Paid!BT77+Legacy!BT79</f>
        <v/>
      </c>
      <c r="BU237" s="5">
        <f>Paid!BU77+Legacy!BU79</f>
        <v/>
      </c>
      <c r="BV237" s="5">
        <f>Paid!BV77+Legacy!BV79</f>
        <v/>
      </c>
    </row>
    <row r="238">
      <c r="A238" t="inlineStr">
        <is>
          <t>inflow @0</t>
        </is>
      </c>
      <c r="B238" t="inlineStr">
        <is>
          <t>ROW|BASIC_M</t>
        </is>
      </c>
      <c r="C238" s="5">
        <f>C237*Eras!C$3</f>
        <v/>
      </c>
      <c r="D238" s="5">
        <f>D237*Eras!D$3</f>
        <v/>
      </c>
      <c r="E238" s="5">
        <f>E237*Eras!E$3</f>
        <v/>
      </c>
      <c r="F238" s="5">
        <f>F237*Eras!F$3</f>
        <v/>
      </c>
      <c r="G238" s="5">
        <f>G237*Eras!G$3</f>
        <v/>
      </c>
      <c r="H238" s="5">
        <f>H237*Eras!H$3</f>
        <v/>
      </c>
      <c r="I238" s="5">
        <f>I237*Eras!I$3</f>
        <v/>
      </c>
      <c r="J238" s="5">
        <f>J237*Eras!J$3</f>
        <v/>
      </c>
      <c r="K238" s="5">
        <f>K237*Eras!K$3</f>
        <v/>
      </c>
      <c r="L238" s="5">
        <f>L237*Eras!L$3</f>
        <v/>
      </c>
      <c r="M238" s="5">
        <f>M237*Eras!M$3</f>
        <v/>
      </c>
      <c r="N238" s="5">
        <f>N237*Eras!N$3</f>
        <v/>
      </c>
      <c r="O238" s="5">
        <f>O237*Eras!O$3</f>
        <v/>
      </c>
      <c r="P238" s="5">
        <f>P237*Eras!P$3</f>
        <v/>
      </c>
      <c r="Q238" s="5">
        <f>Q237*Eras!Q$3</f>
        <v/>
      </c>
      <c r="R238" s="5">
        <f>R237*Eras!R$3</f>
        <v/>
      </c>
      <c r="S238" s="5">
        <f>S237*Eras!S$3</f>
        <v/>
      </c>
      <c r="T238" s="5">
        <f>T237*Eras!T$3</f>
        <v/>
      </c>
      <c r="U238" s="5">
        <f>U237*Eras!U$3</f>
        <v/>
      </c>
      <c r="V238" s="5">
        <f>V237*Eras!V$3</f>
        <v/>
      </c>
      <c r="W238" s="5">
        <f>W237*Eras!W$3</f>
        <v/>
      </c>
      <c r="X238" s="5">
        <f>X237*Eras!X$3</f>
        <v/>
      </c>
      <c r="Y238" s="5">
        <f>Y237*Eras!Y$3</f>
        <v/>
      </c>
      <c r="Z238" s="5">
        <f>Z237*Eras!Z$3</f>
        <v/>
      </c>
      <c r="AA238" s="5">
        <f>AA237*Eras!AA$3</f>
        <v/>
      </c>
      <c r="AB238" s="5">
        <f>AB237*Eras!AB$3</f>
        <v/>
      </c>
      <c r="AC238" s="5">
        <f>AC237*Eras!AC$3</f>
        <v/>
      </c>
      <c r="AD238" s="5">
        <f>AD237*Eras!AD$3</f>
        <v/>
      </c>
      <c r="AE238" s="5">
        <f>AE237*Eras!AE$3</f>
        <v/>
      </c>
      <c r="AF238" s="5">
        <f>AF237*Eras!AF$3</f>
        <v/>
      </c>
      <c r="AG238" s="5">
        <f>AG237*Eras!AG$3</f>
        <v/>
      </c>
      <c r="AH238" s="5">
        <f>AH237*Eras!AH$3</f>
        <v/>
      </c>
      <c r="AI238" s="5">
        <f>AI237*Eras!AI$3</f>
        <v/>
      </c>
      <c r="AJ238" s="5">
        <f>AJ237*Eras!AJ$3</f>
        <v/>
      </c>
      <c r="AK238" s="5">
        <f>AK237*Eras!AK$3</f>
        <v/>
      </c>
      <c r="AL238" s="5">
        <f>AL237*Eras!AL$3</f>
        <v/>
      </c>
      <c r="AM238" s="5">
        <f>AM237*Eras!AM$3</f>
        <v/>
      </c>
      <c r="AN238" s="5">
        <f>AN237*Eras!AN$3</f>
        <v/>
      </c>
      <c r="AO238" s="5">
        <f>AO237*Eras!AO$3</f>
        <v/>
      </c>
      <c r="AP238" s="5">
        <f>AP237*Eras!AP$3</f>
        <v/>
      </c>
      <c r="AQ238" s="5">
        <f>AQ237*Eras!AQ$3</f>
        <v/>
      </c>
      <c r="AR238" s="5">
        <f>AR237*Eras!AR$3</f>
        <v/>
      </c>
      <c r="AS238" s="5">
        <f>AS237*Eras!AS$3</f>
        <v/>
      </c>
      <c r="AT238" s="5">
        <f>AT237*Eras!AT$3</f>
        <v/>
      </c>
      <c r="AU238" s="5">
        <f>AU237*Eras!AU$3</f>
        <v/>
      </c>
      <c r="AV238" s="5">
        <f>AV237*Eras!AV$3</f>
        <v/>
      </c>
      <c r="AW238" s="5">
        <f>AW237*Eras!AW$3</f>
        <v/>
      </c>
      <c r="AX238" s="5">
        <f>AX237*Eras!AX$3</f>
        <v/>
      </c>
      <c r="AY238" s="5">
        <f>AY237*Eras!AY$3</f>
        <v/>
      </c>
      <c r="AZ238" s="5">
        <f>AZ237*Eras!AZ$3</f>
        <v/>
      </c>
      <c r="BA238" s="5">
        <f>BA237*Eras!BA$3</f>
        <v/>
      </c>
      <c r="BB238" s="5">
        <f>BB237*Eras!BB$3</f>
        <v/>
      </c>
      <c r="BC238" s="5">
        <f>BC237*Eras!BC$3</f>
        <v/>
      </c>
      <c r="BD238" s="5">
        <f>BD237*Eras!BD$3</f>
        <v/>
      </c>
      <c r="BE238" s="5">
        <f>BE237*Eras!BE$3</f>
        <v/>
      </c>
      <c r="BF238" s="5">
        <f>BF237*Eras!BF$3</f>
        <v/>
      </c>
      <c r="BG238" s="5">
        <f>BG237*Eras!BG$3</f>
        <v/>
      </c>
      <c r="BH238" s="5">
        <f>BH237*Eras!BH$3</f>
        <v/>
      </c>
      <c r="BI238" s="5">
        <f>BI237*Eras!BI$3</f>
        <v/>
      </c>
      <c r="BJ238" s="5">
        <f>BJ237*Eras!BJ$3</f>
        <v/>
      </c>
      <c r="BK238" s="5">
        <f>BK237*Eras!BK$3</f>
        <v/>
      </c>
      <c r="BL238" s="5">
        <f>BL237*Eras!BL$3</f>
        <v/>
      </c>
      <c r="BM238" s="5">
        <f>BM237*Eras!BM$3</f>
        <v/>
      </c>
      <c r="BN238" s="5">
        <f>BN237*Eras!BN$3</f>
        <v/>
      </c>
      <c r="BO238" s="5">
        <f>BO237*Eras!BO$3</f>
        <v/>
      </c>
      <c r="BP238" s="5">
        <f>BP237*Eras!BP$3</f>
        <v/>
      </c>
      <c r="BQ238" s="5">
        <f>BQ237*Eras!BQ$3</f>
        <v/>
      </c>
      <c r="BR238" s="5">
        <f>BR237*Eras!BR$3</f>
        <v/>
      </c>
      <c r="BS238" s="5">
        <f>BS237*Eras!BS$3</f>
        <v/>
      </c>
      <c r="BT238" s="5">
        <f>BT237*Eras!BT$3</f>
        <v/>
      </c>
      <c r="BU238" s="5">
        <f>BU237*Eras!BU$3</f>
        <v/>
      </c>
      <c r="BV238" s="5">
        <f>BV237*Eras!BV$3</f>
        <v/>
      </c>
    </row>
    <row r="239">
      <c r="A239" t="inlineStr">
        <is>
          <t>inflow @1</t>
        </is>
      </c>
      <c r="B239" t="inlineStr">
        <is>
          <t>ROW|BASIC_M</t>
        </is>
      </c>
      <c r="C239" s="5">
        <f>C237*Eras!C$4</f>
        <v/>
      </c>
      <c r="D239" s="5">
        <f>D237*Eras!D$4</f>
        <v/>
      </c>
      <c r="E239" s="5">
        <f>E237*Eras!E$4</f>
        <v/>
      </c>
      <c r="F239" s="5">
        <f>F237*Eras!F$4</f>
        <v/>
      </c>
      <c r="G239" s="5">
        <f>G237*Eras!G$4</f>
        <v/>
      </c>
      <c r="H239" s="5">
        <f>H237*Eras!H$4</f>
        <v/>
      </c>
      <c r="I239" s="5">
        <f>I237*Eras!I$4</f>
        <v/>
      </c>
      <c r="J239" s="5">
        <f>J237*Eras!J$4</f>
        <v/>
      </c>
      <c r="K239" s="5">
        <f>K237*Eras!K$4</f>
        <v/>
      </c>
      <c r="L239" s="5">
        <f>L237*Eras!L$4</f>
        <v/>
      </c>
      <c r="M239" s="5">
        <f>M237*Eras!M$4</f>
        <v/>
      </c>
      <c r="N239" s="5">
        <f>N237*Eras!N$4</f>
        <v/>
      </c>
      <c r="O239" s="5">
        <f>O237*Eras!O$4</f>
        <v/>
      </c>
      <c r="P239" s="5">
        <f>P237*Eras!P$4</f>
        <v/>
      </c>
      <c r="Q239" s="5">
        <f>Q237*Eras!Q$4</f>
        <v/>
      </c>
      <c r="R239" s="5">
        <f>R237*Eras!R$4</f>
        <v/>
      </c>
      <c r="S239" s="5">
        <f>S237*Eras!S$4</f>
        <v/>
      </c>
      <c r="T239" s="5">
        <f>T237*Eras!T$4</f>
        <v/>
      </c>
      <c r="U239" s="5">
        <f>U237*Eras!U$4</f>
        <v/>
      </c>
      <c r="V239" s="5">
        <f>V237*Eras!V$4</f>
        <v/>
      </c>
      <c r="W239" s="5">
        <f>W237*Eras!W$4</f>
        <v/>
      </c>
      <c r="X239" s="5">
        <f>X237*Eras!X$4</f>
        <v/>
      </c>
      <c r="Y239" s="5">
        <f>Y237*Eras!Y$4</f>
        <v/>
      </c>
      <c r="Z239" s="5">
        <f>Z237*Eras!Z$4</f>
        <v/>
      </c>
      <c r="AA239" s="5">
        <f>AA237*Eras!AA$4</f>
        <v/>
      </c>
      <c r="AB239" s="5">
        <f>AB237*Eras!AB$4</f>
        <v/>
      </c>
      <c r="AC239" s="5">
        <f>AC237*Eras!AC$4</f>
        <v/>
      </c>
      <c r="AD239" s="5">
        <f>AD237*Eras!AD$4</f>
        <v/>
      </c>
      <c r="AE239" s="5">
        <f>AE237*Eras!AE$4</f>
        <v/>
      </c>
      <c r="AF239" s="5">
        <f>AF237*Eras!AF$4</f>
        <v/>
      </c>
      <c r="AG239" s="5">
        <f>AG237*Eras!AG$4</f>
        <v/>
      </c>
      <c r="AH239" s="5">
        <f>AH237*Eras!AH$4</f>
        <v/>
      </c>
      <c r="AI239" s="5">
        <f>AI237*Eras!AI$4</f>
        <v/>
      </c>
      <c r="AJ239" s="5">
        <f>AJ237*Eras!AJ$4</f>
        <v/>
      </c>
      <c r="AK239" s="5">
        <f>AK237*Eras!AK$4</f>
        <v/>
      </c>
      <c r="AL239" s="5">
        <f>AL237*Eras!AL$4</f>
        <v/>
      </c>
      <c r="AM239" s="5">
        <f>AM237*Eras!AM$4</f>
        <v/>
      </c>
      <c r="AN239" s="5">
        <f>AN237*Eras!AN$4</f>
        <v/>
      </c>
      <c r="AO239" s="5">
        <f>AO237*Eras!AO$4</f>
        <v/>
      </c>
      <c r="AP239" s="5">
        <f>AP237*Eras!AP$4</f>
        <v/>
      </c>
      <c r="AQ239" s="5">
        <f>AQ237*Eras!AQ$4</f>
        <v/>
      </c>
      <c r="AR239" s="5">
        <f>AR237*Eras!AR$4</f>
        <v/>
      </c>
      <c r="AS239" s="5">
        <f>AS237*Eras!AS$4</f>
        <v/>
      </c>
      <c r="AT239" s="5">
        <f>AT237*Eras!AT$4</f>
        <v/>
      </c>
      <c r="AU239" s="5">
        <f>AU237*Eras!AU$4</f>
        <v/>
      </c>
      <c r="AV239" s="5">
        <f>AV237*Eras!AV$4</f>
        <v/>
      </c>
      <c r="AW239" s="5">
        <f>AW237*Eras!AW$4</f>
        <v/>
      </c>
      <c r="AX239" s="5">
        <f>AX237*Eras!AX$4</f>
        <v/>
      </c>
      <c r="AY239" s="5">
        <f>AY237*Eras!AY$4</f>
        <v/>
      </c>
      <c r="AZ239" s="5">
        <f>AZ237*Eras!AZ$4</f>
        <v/>
      </c>
      <c r="BA239" s="5">
        <f>BA237*Eras!BA$4</f>
        <v/>
      </c>
      <c r="BB239" s="5">
        <f>BB237*Eras!BB$4</f>
        <v/>
      </c>
      <c r="BC239" s="5">
        <f>BC237*Eras!BC$4</f>
        <v/>
      </c>
      <c r="BD239" s="5">
        <f>BD237*Eras!BD$4</f>
        <v/>
      </c>
      <c r="BE239" s="5">
        <f>BE237*Eras!BE$4</f>
        <v/>
      </c>
      <c r="BF239" s="5">
        <f>BF237*Eras!BF$4</f>
        <v/>
      </c>
      <c r="BG239" s="5">
        <f>BG237*Eras!BG$4</f>
        <v/>
      </c>
      <c r="BH239" s="5">
        <f>BH237*Eras!BH$4</f>
        <v/>
      </c>
      <c r="BI239" s="5">
        <f>BI237*Eras!BI$4</f>
        <v/>
      </c>
      <c r="BJ239" s="5">
        <f>BJ237*Eras!BJ$4</f>
        <v/>
      </c>
      <c r="BK239" s="5">
        <f>BK237*Eras!BK$4</f>
        <v/>
      </c>
      <c r="BL239" s="5">
        <f>BL237*Eras!BL$4</f>
        <v/>
      </c>
      <c r="BM239" s="5">
        <f>BM237*Eras!BM$4</f>
        <v/>
      </c>
      <c r="BN239" s="5">
        <f>BN237*Eras!BN$4</f>
        <v/>
      </c>
      <c r="BO239" s="5">
        <f>BO237*Eras!BO$4</f>
        <v/>
      </c>
      <c r="BP239" s="5">
        <f>BP237*Eras!BP$4</f>
        <v/>
      </c>
      <c r="BQ239" s="5">
        <f>BQ237*Eras!BQ$4</f>
        <v/>
      </c>
      <c r="BR239" s="5">
        <f>BR237*Eras!BR$4</f>
        <v/>
      </c>
      <c r="BS239" s="5">
        <f>BS237*Eras!BS$4</f>
        <v/>
      </c>
      <c r="BT239" s="5">
        <f>BT237*Eras!BT$4</f>
        <v/>
      </c>
      <c r="BU239" s="5">
        <f>BU237*Eras!BU$4</f>
        <v/>
      </c>
      <c r="BV239" s="5">
        <f>BV237*Eras!BV$4</f>
        <v/>
      </c>
    </row>
    <row r="240">
      <c r="A240" t="inlineStr">
        <is>
          <t>inflow @2</t>
        </is>
      </c>
      <c r="B240" t="inlineStr">
        <is>
          <t>ROW|BASIC_M</t>
        </is>
      </c>
      <c r="C240" s="5">
        <f>C237*Eras!C$5</f>
        <v/>
      </c>
      <c r="D240" s="5">
        <f>D237*Eras!D$5</f>
        <v/>
      </c>
      <c r="E240" s="5">
        <f>E237*Eras!E$5</f>
        <v/>
      </c>
      <c r="F240" s="5">
        <f>F237*Eras!F$5</f>
        <v/>
      </c>
      <c r="G240" s="5">
        <f>G237*Eras!G$5</f>
        <v/>
      </c>
      <c r="H240" s="5">
        <f>H237*Eras!H$5</f>
        <v/>
      </c>
      <c r="I240" s="5">
        <f>I237*Eras!I$5</f>
        <v/>
      </c>
      <c r="J240" s="5">
        <f>J237*Eras!J$5</f>
        <v/>
      </c>
      <c r="K240" s="5">
        <f>K237*Eras!K$5</f>
        <v/>
      </c>
      <c r="L240" s="5">
        <f>L237*Eras!L$5</f>
        <v/>
      </c>
      <c r="M240" s="5">
        <f>M237*Eras!M$5</f>
        <v/>
      </c>
      <c r="N240" s="5">
        <f>N237*Eras!N$5</f>
        <v/>
      </c>
      <c r="O240" s="5">
        <f>O237*Eras!O$5</f>
        <v/>
      </c>
      <c r="P240" s="5">
        <f>P237*Eras!P$5</f>
        <v/>
      </c>
      <c r="Q240" s="5">
        <f>Q237*Eras!Q$5</f>
        <v/>
      </c>
      <c r="R240" s="5">
        <f>R237*Eras!R$5</f>
        <v/>
      </c>
      <c r="S240" s="5">
        <f>S237*Eras!S$5</f>
        <v/>
      </c>
      <c r="T240" s="5">
        <f>T237*Eras!T$5</f>
        <v/>
      </c>
      <c r="U240" s="5">
        <f>U237*Eras!U$5</f>
        <v/>
      </c>
      <c r="V240" s="5">
        <f>V237*Eras!V$5</f>
        <v/>
      </c>
      <c r="W240" s="5">
        <f>W237*Eras!W$5</f>
        <v/>
      </c>
      <c r="X240" s="5">
        <f>X237*Eras!X$5</f>
        <v/>
      </c>
      <c r="Y240" s="5">
        <f>Y237*Eras!Y$5</f>
        <v/>
      </c>
      <c r="Z240" s="5">
        <f>Z237*Eras!Z$5</f>
        <v/>
      </c>
      <c r="AA240" s="5">
        <f>AA237*Eras!AA$5</f>
        <v/>
      </c>
      <c r="AB240" s="5">
        <f>AB237*Eras!AB$5</f>
        <v/>
      </c>
      <c r="AC240" s="5">
        <f>AC237*Eras!AC$5</f>
        <v/>
      </c>
      <c r="AD240" s="5">
        <f>AD237*Eras!AD$5</f>
        <v/>
      </c>
      <c r="AE240" s="5">
        <f>AE237*Eras!AE$5</f>
        <v/>
      </c>
      <c r="AF240" s="5">
        <f>AF237*Eras!AF$5</f>
        <v/>
      </c>
      <c r="AG240" s="5">
        <f>AG237*Eras!AG$5</f>
        <v/>
      </c>
      <c r="AH240" s="5">
        <f>AH237*Eras!AH$5</f>
        <v/>
      </c>
      <c r="AI240" s="5">
        <f>AI237*Eras!AI$5</f>
        <v/>
      </c>
      <c r="AJ240" s="5">
        <f>AJ237*Eras!AJ$5</f>
        <v/>
      </c>
      <c r="AK240" s="5">
        <f>AK237*Eras!AK$5</f>
        <v/>
      </c>
      <c r="AL240" s="5">
        <f>AL237*Eras!AL$5</f>
        <v/>
      </c>
      <c r="AM240" s="5">
        <f>AM237*Eras!AM$5</f>
        <v/>
      </c>
      <c r="AN240" s="5">
        <f>AN237*Eras!AN$5</f>
        <v/>
      </c>
      <c r="AO240" s="5">
        <f>AO237*Eras!AO$5</f>
        <v/>
      </c>
      <c r="AP240" s="5">
        <f>AP237*Eras!AP$5</f>
        <v/>
      </c>
      <c r="AQ240" s="5">
        <f>AQ237*Eras!AQ$5</f>
        <v/>
      </c>
      <c r="AR240" s="5">
        <f>AR237*Eras!AR$5</f>
        <v/>
      </c>
      <c r="AS240" s="5">
        <f>AS237*Eras!AS$5</f>
        <v/>
      </c>
      <c r="AT240" s="5">
        <f>AT237*Eras!AT$5</f>
        <v/>
      </c>
      <c r="AU240" s="5">
        <f>AU237*Eras!AU$5</f>
        <v/>
      </c>
      <c r="AV240" s="5">
        <f>AV237*Eras!AV$5</f>
        <v/>
      </c>
      <c r="AW240" s="5">
        <f>AW237*Eras!AW$5</f>
        <v/>
      </c>
      <c r="AX240" s="5">
        <f>AX237*Eras!AX$5</f>
        <v/>
      </c>
      <c r="AY240" s="5">
        <f>AY237*Eras!AY$5</f>
        <v/>
      </c>
      <c r="AZ240" s="5">
        <f>AZ237*Eras!AZ$5</f>
        <v/>
      </c>
      <c r="BA240" s="5">
        <f>BA237*Eras!BA$5</f>
        <v/>
      </c>
      <c r="BB240" s="5">
        <f>BB237*Eras!BB$5</f>
        <v/>
      </c>
      <c r="BC240" s="5">
        <f>BC237*Eras!BC$5</f>
        <v/>
      </c>
      <c r="BD240" s="5">
        <f>BD237*Eras!BD$5</f>
        <v/>
      </c>
      <c r="BE240" s="5">
        <f>BE237*Eras!BE$5</f>
        <v/>
      </c>
      <c r="BF240" s="5">
        <f>BF237*Eras!BF$5</f>
        <v/>
      </c>
      <c r="BG240" s="5">
        <f>BG237*Eras!BG$5</f>
        <v/>
      </c>
      <c r="BH240" s="5">
        <f>BH237*Eras!BH$5</f>
        <v/>
      </c>
      <c r="BI240" s="5">
        <f>BI237*Eras!BI$5</f>
        <v/>
      </c>
      <c r="BJ240" s="5">
        <f>BJ237*Eras!BJ$5</f>
        <v/>
      </c>
      <c r="BK240" s="5">
        <f>BK237*Eras!BK$5</f>
        <v/>
      </c>
      <c r="BL240" s="5">
        <f>BL237*Eras!BL$5</f>
        <v/>
      </c>
      <c r="BM240" s="5">
        <f>BM237*Eras!BM$5</f>
        <v/>
      </c>
      <c r="BN240" s="5">
        <f>BN237*Eras!BN$5</f>
        <v/>
      </c>
      <c r="BO240" s="5">
        <f>BO237*Eras!BO$5</f>
        <v/>
      </c>
      <c r="BP240" s="5">
        <f>BP237*Eras!BP$5</f>
        <v/>
      </c>
      <c r="BQ240" s="5">
        <f>BQ237*Eras!BQ$5</f>
        <v/>
      </c>
      <c r="BR240" s="5">
        <f>BR237*Eras!BR$5</f>
        <v/>
      </c>
      <c r="BS240" s="5">
        <f>BS237*Eras!BS$5</f>
        <v/>
      </c>
      <c r="BT240" s="5">
        <f>BT237*Eras!BT$5</f>
        <v/>
      </c>
      <c r="BU240" s="5">
        <f>BU237*Eras!BU$5</f>
        <v/>
      </c>
      <c r="BV240" s="5">
        <f>BV237*Eras!BV$5</f>
        <v/>
      </c>
    </row>
    <row r="241">
      <c r="A241" t="inlineStr">
        <is>
          <t>reactivations out</t>
        </is>
      </c>
      <c r="B241" t="inlineStr">
        <is>
          <t>ROW|BASIC_M</t>
        </is>
      </c>
      <c r="C241" s="5">
        <f>React!$C$238*Curves!$BV$21+React!$C$239*Curves!$BV$44+React!$C$240*Curves!$BV$67</f>
        <v/>
      </c>
      <c r="D241" s="5">
        <f>SUMPRODUCT(React!$C$238:$D$238,Curves!$BU$21:$BV$21)+SUMPRODUCT(React!$C$239:$D$239,Curves!$BU$44:$BV$44)+SUMPRODUCT(React!$C$240:$D$240,Curves!$BU$67:$BV$67)</f>
        <v/>
      </c>
      <c r="E241" s="5">
        <f>SUMPRODUCT(React!$C$238:$E$238,Curves!$BT$21:$BV$21)+SUMPRODUCT(React!$C$239:$E$239,Curves!$BT$44:$BV$44)+SUMPRODUCT(React!$C$240:$E$240,Curves!$BT$67:$BV$67)</f>
        <v/>
      </c>
      <c r="F241" s="5">
        <f>SUMPRODUCT(React!$C$238:$F$238,Curves!$BS$21:$BV$21)+SUMPRODUCT(React!$C$239:$F$239,Curves!$BS$44:$BV$44)+SUMPRODUCT(React!$C$240:$F$240,Curves!$BS$67:$BV$67)</f>
        <v/>
      </c>
      <c r="G241" s="5">
        <f>SUMPRODUCT(React!$C$238:$G$238,Curves!$BR$21:$BV$21)+SUMPRODUCT(React!$C$239:$G$239,Curves!$BR$44:$BV$44)+SUMPRODUCT(React!$C$240:$G$240,Curves!$BR$67:$BV$67)</f>
        <v/>
      </c>
      <c r="H241" s="5">
        <f>SUMPRODUCT(React!$C$238:$H$238,Curves!$BQ$21:$BV$21)+SUMPRODUCT(React!$C$239:$H$239,Curves!$BQ$44:$BV$44)+SUMPRODUCT(React!$C$240:$H$240,Curves!$BQ$67:$BV$67)</f>
        <v/>
      </c>
      <c r="I241" s="5">
        <f>SUMPRODUCT(React!$C$238:$I$238,Curves!$BP$21:$BV$21)+SUMPRODUCT(React!$C$239:$I$239,Curves!$BP$44:$BV$44)+SUMPRODUCT(React!$C$240:$I$240,Curves!$BP$67:$BV$67)</f>
        <v/>
      </c>
      <c r="J241" s="5">
        <f>SUMPRODUCT(React!$C$238:$J$238,Curves!$BO$21:$BV$21)+SUMPRODUCT(React!$C$239:$J$239,Curves!$BO$44:$BV$44)+SUMPRODUCT(React!$C$240:$J$240,Curves!$BO$67:$BV$67)</f>
        <v/>
      </c>
      <c r="K241" s="5">
        <f>SUMPRODUCT(React!$C$238:$K$238,Curves!$BN$21:$BV$21)+SUMPRODUCT(React!$C$239:$K$239,Curves!$BN$44:$BV$44)+SUMPRODUCT(React!$C$240:$K$240,Curves!$BN$67:$BV$67)</f>
        <v/>
      </c>
      <c r="L241" s="5">
        <f>SUMPRODUCT(React!$C$238:$L$238,Curves!$BM$21:$BV$21)+SUMPRODUCT(React!$C$239:$L$239,Curves!$BM$44:$BV$44)+SUMPRODUCT(React!$C$240:$L$240,Curves!$BM$67:$BV$67)</f>
        <v/>
      </c>
      <c r="M241" s="5">
        <f>SUMPRODUCT(React!$C$238:$M$238,Curves!$BL$21:$BV$21)+SUMPRODUCT(React!$C$239:$M$239,Curves!$BL$44:$BV$44)+SUMPRODUCT(React!$C$240:$M$240,Curves!$BL$67:$BV$67)</f>
        <v/>
      </c>
      <c r="N241" s="5">
        <f>SUMPRODUCT(React!$C$238:$N$238,Curves!$BK$21:$BV$21)+SUMPRODUCT(React!$C$239:$N$239,Curves!$BK$44:$BV$44)+SUMPRODUCT(React!$C$240:$N$240,Curves!$BK$67:$BV$67)</f>
        <v/>
      </c>
      <c r="O241" s="5">
        <f>SUMPRODUCT(React!$C$238:$O$238,Curves!$BJ$21:$BV$21)+SUMPRODUCT(React!$C$239:$O$239,Curves!$BJ$44:$BV$44)+SUMPRODUCT(React!$C$240:$O$240,Curves!$BJ$67:$BV$67)</f>
        <v/>
      </c>
      <c r="P241" s="5">
        <f>SUMPRODUCT(React!$C$238:$P$238,Curves!$BI$21:$BV$21)+SUMPRODUCT(React!$C$239:$P$239,Curves!$BI$44:$BV$44)+SUMPRODUCT(React!$C$240:$P$240,Curves!$BI$67:$BV$67)</f>
        <v/>
      </c>
      <c r="Q241" s="5">
        <f>SUMPRODUCT(React!$C$238:$Q$238,Curves!$BH$21:$BV$21)+SUMPRODUCT(React!$C$239:$Q$239,Curves!$BH$44:$BV$44)+SUMPRODUCT(React!$C$240:$Q$240,Curves!$BH$67:$BV$67)</f>
        <v/>
      </c>
      <c r="R241" s="5">
        <f>SUMPRODUCT(React!$C$238:$R$238,Curves!$BG$21:$BV$21)+SUMPRODUCT(React!$C$239:$R$239,Curves!$BG$44:$BV$44)+SUMPRODUCT(React!$C$240:$R$240,Curves!$BG$67:$BV$67)</f>
        <v/>
      </c>
      <c r="S241" s="5">
        <f>SUMPRODUCT(React!$C$238:$S$238,Curves!$BF$21:$BV$21)+SUMPRODUCT(React!$C$239:$S$239,Curves!$BF$44:$BV$44)+SUMPRODUCT(React!$C$240:$S$240,Curves!$BF$67:$BV$67)</f>
        <v/>
      </c>
      <c r="T241" s="5">
        <f>SUMPRODUCT(React!$C$238:$T$238,Curves!$BE$21:$BV$21)+SUMPRODUCT(React!$C$239:$T$239,Curves!$BE$44:$BV$44)+SUMPRODUCT(React!$C$240:$T$240,Curves!$BE$67:$BV$67)</f>
        <v/>
      </c>
      <c r="U241" s="5">
        <f>SUMPRODUCT(React!$C$238:$U$238,Curves!$BD$21:$BV$21)+SUMPRODUCT(React!$C$239:$U$239,Curves!$BD$44:$BV$44)+SUMPRODUCT(React!$C$240:$U$240,Curves!$BD$67:$BV$67)</f>
        <v/>
      </c>
      <c r="V241" s="5">
        <f>SUMPRODUCT(React!$C$238:$V$238,Curves!$BC$21:$BV$21)+SUMPRODUCT(React!$C$239:$V$239,Curves!$BC$44:$BV$44)+SUMPRODUCT(React!$C$240:$V$240,Curves!$BC$67:$BV$67)</f>
        <v/>
      </c>
      <c r="W241" s="5">
        <f>SUMPRODUCT(React!$C$238:$W$238,Curves!$BB$21:$BV$21)+SUMPRODUCT(React!$C$239:$W$239,Curves!$BB$44:$BV$44)+SUMPRODUCT(React!$C$240:$W$240,Curves!$BB$67:$BV$67)</f>
        <v/>
      </c>
      <c r="X241" s="5">
        <f>SUMPRODUCT(React!$C$238:$X$238,Curves!$BA$21:$BV$21)+SUMPRODUCT(React!$C$239:$X$239,Curves!$BA$44:$BV$44)+SUMPRODUCT(React!$C$240:$X$240,Curves!$BA$67:$BV$67)</f>
        <v/>
      </c>
      <c r="Y241" s="5">
        <f>SUMPRODUCT(React!$C$238:$Y$238,Curves!$AZ$21:$BV$21)+SUMPRODUCT(React!$C$239:$Y$239,Curves!$AZ$44:$BV$44)+SUMPRODUCT(React!$C$240:$Y$240,Curves!$AZ$67:$BV$67)</f>
        <v/>
      </c>
      <c r="Z241" s="5">
        <f>SUMPRODUCT(React!$C$238:$Z$238,Curves!$AY$21:$BV$21)+SUMPRODUCT(React!$C$239:$Z$239,Curves!$AY$44:$BV$44)+SUMPRODUCT(React!$C$240:$Z$240,Curves!$AY$67:$BV$67)</f>
        <v/>
      </c>
      <c r="AA241" s="5">
        <f>SUMPRODUCT(React!$C$238:$AA$238,Curves!$AX$21:$BV$21)+SUMPRODUCT(React!$C$239:$AA$239,Curves!$AX$44:$BV$44)+SUMPRODUCT(React!$C$240:$AA$240,Curves!$AX$67:$BV$67)</f>
        <v/>
      </c>
      <c r="AB241" s="5">
        <f>SUMPRODUCT(React!$C$238:$AB$238,Curves!$AW$21:$BV$21)+SUMPRODUCT(React!$C$239:$AB$239,Curves!$AW$44:$BV$44)+SUMPRODUCT(React!$C$240:$AB$240,Curves!$AW$67:$BV$67)</f>
        <v/>
      </c>
      <c r="AC241" s="5">
        <f>SUMPRODUCT(React!$C$238:$AC$238,Curves!$AV$21:$BV$21)+SUMPRODUCT(React!$C$239:$AC$239,Curves!$AV$44:$BV$44)+SUMPRODUCT(React!$C$240:$AC$240,Curves!$AV$67:$BV$67)</f>
        <v/>
      </c>
      <c r="AD241" s="5">
        <f>SUMPRODUCT(React!$C$238:$AD$238,Curves!$AU$21:$BV$21)+SUMPRODUCT(React!$C$239:$AD$239,Curves!$AU$44:$BV$44)+SUMPRODUCT(React!$C$240:$AD$240,Curves!$AU$67:$BV$67)</f>
        <v/>
      </c>
      <c r="AE241" s="5">
        <f>SUMPRODUCT(React!$C$238:$AE$238,Curves!$AT$21:$BV$21)+SUMPRODUCT(React!$C$239:$AE$239,Curves!$AT$44:$BV$44)+SUMPRODUCT(React!$C$240:$AE$240,Curves!$AT$67:$BV$67)</f>
        <v/>
      </c>
      <c r="AF241" s="5">
        <f>SUMPRODUCT(React!$C$238:$AF$238,Curves!$AS$21:$BV$21)+SUMPRODUCT(React!$C$239:$AF$239,Curves!$AS$44:$BV$44)+SUMPRODUCT(React!$C$240:$AF$240,Curves!$AS$67:$BV$67)</f>
        <v/>
      </c>
      <c r="AG241" s="5">
        <f>SUMPRODUCT(React!$C$238:$AG$238,Curves!$AR$21:$BV$21)+SUMPRODUCT(React!$C$239:$AG$239,Curves!$AR$44:$BV$44)+SUMPRODUCT(React!$C$240:$AG$240,Curves!$AR$67:$BV$67)</f>
        <v/>
      </c>
      <c r="AH241" s="5">
        <f>SUMPRODUCT(React!$C$238:$AH$238,Curves!$AQ$21:$BV$21)+SUMPRODUCT(React!$C$239:$AH$239,Curves!$AQ$44:$BV$44)+SUMPRODUCT(React!$C$240:$AH$240,Curves!$AQ$67:$BV$67)</f>
        <v/>
      </c>
      <c r="AI241" s="5">
        <f>SUMPRODUCT(React!$C$238:$AI$238,Curves!$AP$21:$BV$21)+SUMPRODUCT(React!$C$239:$AI$239,Curves!$AP$44:$BV$44)+SUMPRODUCT(React!$C$240:$AI$240,Curves!$AP$67:$BV$67)</f>
        <v/>
      </c>
      <c r="AJ241" s="5">
        <f>SUMPRODUCT(React!$C$238:$AJ$238,Curves!$AO$21:$BV$21)+SUMPRODUCT(React!$C$239:$AJ$239,Curves!$AO$44:$BV$44)+SUMPRODUCT(React!$C$240:$AJ$240,Curves!$AO$67:$BV$67)</f>
        <v/>
      </c>
      <c r="AK241" s="5">
        <f>SUMPRODUCT(React!$C$238:$AK$238,Curves!$AN$21:$BV$21)+SUMPRODUCT(React!$C$239:$AK$239,Curves!$AN$44:$BV$44)+SUMPRODUCT(React!$C$240:$AK$240,Curves!$AN$67:$BV$67)</f>
        <v/>
      </c>
      <c r="AL241" s="5">
        <f>SUMPRODUCT(React!$C$238:$AL$238,Curves!$AM$21:$BV$21)+SUMPRODUCT(React!$C$239:$AL$239,Curves!$AM$44:$BV$44)+SUMPRODUCT(React!$C$240:$AL$240,Curves!$AM$67:$BV$67)</f>
        <v/>
      </c>
      <c r="AM241" s="5">
        <f>SUMPRODUCT(React!$C$238:$AM$238,Curves!$AL$21:$BV$21)+SUMPRODUCT(React!$C$239:$AM$239,Curves!$AL$44:$BV$44)+SUMPRODUCT(React!$C$240:$AM$240,Curves!$AL$67:$BV$67)</f>
        <v/>
      </c>
      <c r="AN241" s="5">
        <f>SUMPRODUCT(React!$C$238:$AN$238,Curves!$AK$21:$BV$21)+SUMPRODUCT(React!$C$239:$AN$239,Curves!$AK$44:$BV$44)+SUMPRODUCT(React!$C$240:$AN$240,Curves!$AK$67:$BV$67)</f>
        <v/>
      </c>
      <c r="AO241" s="5">
        <f>SUMPRODUCT(React!$C$238:$AO$238,Curves!$AJ$21:$BV$21)+SUMPRODUCT(React!$C$239:$AO$239,Curves!$AJ$44:$BV$44)+SUMPRODUCT(React!$C$240:$AO$240,Curves!$AJ$67:$BV$67)</f>
        <v/>
      </c>
      <c r="AP241" s="5">
        <f>SUMPRODUCT(React!$C$238:$AP$238,Curves!$AI$21:$BV$21)+SUMPRODUCT(React!$C$239:$AP$239,Curves!$AI$44:$BV$44)+SUMPRODUCT(React!$C$240:$AP$240,Curves!$AI$67:$BV$67)</f>
        <v/>
      </c>
      <c r="AQ241" s="5">
        <f>SUMPRODUCT(React!$C$238:$AQ$238,Curves!$AH$21:$BV$21)+SUMPRODUCT(React!$C$239:$AQ$239,Curves!$AH$44:$BV$44)+SUMPRODUCT(React!$C$240:$AQ$240,Curves!$AH$67:$BV$67)</f>
        <v/>
      </c>
      <c r="AR241" s="5">
        <f>SUMPRODUCT(React!$C$238:$AR$238,Curves!$AG$21:$BV$21)+SUMPRODUCT(React!$C$239:$AR$239,Curves!$AG$44:$BV$44)+SUMPRODUCT(React!$C$240:$AR$240,Curves!$AG$67:$BV$67)</f>
        <v/>
      </c>
      <c r="AS241" s="5">
        <f>SUMPRODUCT(React!$C$238:$AS$238,Curves!$AF$21:$BV$21)+SUMPRODUCT(React!$C$239:$AS$239,Curves!$AF$44:$BV$44)+SUMPRODUCT(React!$C$240:$AS$240,Curves!$AF$67:$BV$67)</f>
        <v/>
      </c>
      <c r="AT241" s="5">
        <f>SUMPRODUCT(React!$C$238:$AT$238,Curves!$AE$21:$BV$21)+SUMPRODUCT(React!$C$239:$AT$239,Curves!$AE$44:$BV$44)+SUMPRODUCT(React!$C$240:$AT$240,Curves!$AE$67:$BV$67)</f>
        <v/>
      </c>
      <c r="AU241" s="5">
        <f>SUMPRODUCT(React!$C$238:$AU$238,Curves!$AD$21:$BV$21)+SUMPRODUCT(React!$C$239:$AU$239,Curves!$AD$44:$BV$44)+SUMPRODUCT(React!$C$240:$AU$240,Curves!$AD$67:$BV$67)</f>
        <v/>
      </c>
      <c r="AV241" s="5">
        <f>SUMPRODUCT(React!$C$238:$AV$238,Curves!$AC$21:$BV$21)+SUMPRODUCT(React!$C$239:$AV$239,Curves!$AC$44:$BV$44)+SUMPRODUCT(React!$C$240:$AV$240,Curves!$AC$67:$BV$67)</f>
        <v/>
      </c>
      <c r="AW241" s="5">
        <f>SUMPRODUCT(React!$C$238:$AW$238,Curves!$AB$21:$BV$21)+SUMPRODUCT(React!$C$239:$AW$239,Curves!$AB$44:$BV$44)+SUMPRODUCT(React!$C$240:$AW$240,Curves!$AB$67:$BV$67)</f>
        <v/>
      </c>
      <c r="AX241" s="5">
        <f>SUMPRODUCT(React!$C$238:$AX$238,Curves!$AA$21:$BV$21)+SUMPRODUCT(React!$C$239:$AX$239,Curves!$AA$44:$BV$44)+SUMPRODUCT(React!$C$240:$AX$240,Curves!$AA$67:$BV$67)</f>
        <v/>
      </c>
      <c r="AY241" s="5">
        <f>SUMPRODUCT(React!$C$238:$AY$238,Curves!$Z$21:$BV$21)+SUMPRODUCT(React!$C$239:$AY$239,Curves!$Z$44:$BV$44)+SUMPRODUCT(React!$C$240:$AY$240,Curves!$Z$67:$BV$67)</f>
        <v/>
      </c>
      <c r="AZ241" s="5">
        <f>SUMPRODUCT(React!$C$238:$AZ$238,Curves!$Y$21:$BV$21)+SUMPRODUCT(React!$C$239:$AZ$239,Curves!$Y$44:$BV$44)+SUMPRODUCT(React!$C$240:$AZ$240,Curves!$Y$67:$BV$67)</f>
        <v/>
      </c>
      <c r="BA241" s="5">
        <f>SUMPRODUCT(React!$C$238:$BA$238,Curves!$X$21:$BV$21)+SUMPRODUCT(React!$C$239:$BA$239,Curves!$X$44:$BV$44)+SUMPRODUCT(React!$C$240:$BA$240,Curves!$X$67:$BV$67)</f>
        <v/>
      </c>
      <c r="BB241" s="5">
        <f>SUMPRODUCT(React!$C$238:$BB$238,Curves!$W$21:$BV$21)+SUMPRODUCT(React!$C$239:$BB$239,Curves!$W$44:$BV$44)+SUMPRODUCT(React!$C$240:$BB$240,Curves!$W$67:$BV$67)</f>
        <v/>
      </c>
      <c r="BC241" s="5">
        <f>SUMPRODUCT(React!$C$238:$BC$238,Curves!$V$21:$BV$21)+SUMPRODUCT(React!$C$239:$BC$239,Curves!$V$44:$BV$44)+SUMPRODUCT(React!$C$240:$BC$240,Curves!$V$67:$BV$67)</f>
        <v/>
      </c>
      <c r="BD241" s="5">
        <f>SUMPRODUCT(React!$C$238:$BD$238,Curves!$U$21:$BV$21)+SUMPRODUCT(React!$C$239:$BD$239,Curves!$U$44:$BV$44)+SUMPRODUCT(React!$C$240:$BD$240,Curves!$U$67:$BV$67)</f>
        <v/>
      </c>
      <c r="BE241" s="5">
        <f>SUMPRODUCT(React!$C$238:$BE$238,Curves!$T$21:$BV$21)+SUMPRODUCT(React!$C$239:$BE$239,Curves!$T$44:$BV$44)+SUMPRODUCT(React!$C$240:$BE$240,Curves!$T$67:$BV$67)</f>
        <v/>
      </c>
      <c r="BF241" s="5">
        <f>SUMPRODUCT(React!$C$238:$BF$238,Curves!$S$21:$BV$21)+SUMPRODUCT(React!$C$239:$BF$239,Curves!$S$44:$BV$44)+SUMPRODUCT(React!$C$240:$BF$240,Curves!$S$67:$BV$67)</f>
        <v/>
      </c>
      <c r="BG241" s="5">
        <f>SUMPRODUCT(React!$C$238:$BG$238,Curves!$R$21:$BV$21)+SUMPRODUCT(React!$C$239:$BG$239,Curves!$R$44:$BV$44)+SUMPRODUCT(React!$C$240:$BG$240,Curves!$R$67:$BV$67)</f>
        <v/>
      </c>
      <c r="BH241" s="5">
        <f>SUMPRODUCT(React!$C$238:$BH$238,Curves!$Q$21:$BV$21)+SUMPRODUCT(React!$C$239:$BH$239,Curves!$Q$44:$BV$44)+SUMPRODUCT(React!$C$240:$BH$240,Curves!$Q$67:$BV$67)</f>
        <v/>
      </c>
      <c r="BI241" s="5">
        <f>SUMPRODUCT(React!$C$238:$BI$238,Curves!$P$21:$BV$21)+SUMPRODUCT(React!$C$239:$BI$239,Curves!$P$44:$BV$44)+SUMPRODUCT(React!$C$240:$BI$240,Curves!$P$67:$BV$67)</f>
        <v/>
      </c>
      <c r="BJ241" s="5">
        <f>SUMPRODUCT(React!$C$238:$BJ$238,Curves!$O$21:$BV$21)+SUMPRODUCT(React!$C$239:$BJ$239,Curves!$O$44:$BV$44)+SUMPRODUCT(React!$C$240:$BJ$240,Curves!$O$67:$BV$67)</f>
        <v/>
      </c>
      <c r="BK241" s="5">
        <f>SUMPRODUCT(React!$C$238:$BK$238,Curves!$N$21:$BV$21)+SUMPRODUCT(React!$C$239:$BK$239,Curves!$N$44:$BV$44)+SUMPRODUCT(React!$C$240:$BK$240,Curves!$N$67:$BV$67)</f>
        <v/>
      </c>
      <c r="BL241" s="5">
        <f>SUMPRODUCT(React!$C$238:$BL$238,Curves!$M$21:$BV$21)+SUMPRODUCT(React!$C$239:$BL$239,Curves!$M$44:$BV$44)+SUMPRODUCT(React!$C$240:$BL$240,Curves!$M$67:$BV$67)</f>
        <v/>
      </c>
      <c r="BM241" s="5">
        <f>SUMPRODUCT(React!$C$238:$BM$238,Curves!$L$21:$BV$21)+SUMPRODUCT(React!$C$239:$BM$239,Curves!$L$44:$BV$44)+SUMPRODUCT(React!$C$240:$BM$240,Curves!$L$67:$BV$67)</f>
        <v/>
      </c>
      <c r="BN241" s="5">
        <f>SUMPRODUCT(React!$C$238:$BN$238,Curves!$K$21:$BV$21)+SUMPRODUCT(React!$C$239:$BN$239,Curves!$K$44:$BV$44)+SUMPRODUCT(React!$C$240:$BN$240,Curves!$K$67:$BV$67)</f>
        <v/>
      </c>
      <c r="BO241" s="5">
        <f>SUMPRODUCT(React!$C$238:$BO$238,Curves!$J$21:$BV$21)+SUMPRODUCT(React!$C$239:$BO$239,Curves!$J$44:$BV$44)+SUMPRODUCT(React!$C$240:$BO$240,Curves!$J$67:$BV$67)</f>
        <v/>
      </c>
      <c r="BP241" s="5">
        <f>SUMPRODUCT(React!$C$238:$BP$238,Curves!$I$21:$BV$21)+SUMPRODUCT(React!$C$239:$BP$239,Curves!$I$44:$BV$44)+SUMPRODUCT(React!$C$240:$BP$240,Curves!$I$67:$BV$67)</f>
        <v/>
      </c>
      <c r="BQ241" s="5">
        <f>SUMPRODUCT(React!$C$238:$BQ$238,Curves!$H$21:$BV$21)+SUMPRODUCT(React!$C$239:$BQ$239,Curves!$H$44:$BV$44)+SUMPRODUCT(React!$C$240:$BQ$240,Curves!$H$67:$BV$67)</f>
        <v/>
      </c>
      <c r="BR241" s="5">
        <f>SUMPRODUCT(React!$C$238:$BR$238,Curves!$G$21:$BV$21)+SUMPRODUCT(React!$C$239:$BR$239,Curves!$G$44:$BV$44)+SUMPRODUCT(React!$C$240:$BR$240,Curves!$G$67:$BV$67)</f>
        <v/>
      </c>
      <c r="BS241" s="5">
        <f>SUMPRODUCT(React!$C$238:$BS$238,Curves!$F$21:$BV$21)+SUMPRODUCT(React!$C$239:$BS$239,Curves!$F$44:$BV$44)+SUMPRODUCT(React!$C$240:$BS$240,Curves!$F$67:$BV$67)</f>
        <v/>
      </c>
      <c r="BT241" s="5">
        <f>SUMPRODUCT(React!$C$238:$BT$238,Curves!$E$21:$BV$21)+SUMPRODUCT(React!$C$239:$BT$239,Curves!$E$44:$BV$44)+SUMPRODUCT(React!$C$240:$BT$240,Curves!$E$67:$BV$67)</f>
        <v/>
      </c>
      <c r="BU241" s="5">
        <f>SUMPRODUCT(React!$C$238:$BU$238,Curves!$D$21:$BV$21)+SUMPRODUCT(React!$C$239:$BU$239,Curves!$D$44:$BV$44)+SUMPRODUCT(React!$C$240:$BU$240,Curves!$D$67:$BV$67)</f>
        <v/>
      </c>
      <c r="BV241" s="5">
        <f>SUMPRODUCT(React!$C$238:$BV$238,Curves!$C$21:$BV$21)+SUMPRODUCT(React!$C$239:$BV$239,Curves!$C$44:$BV$44)+SUMPRODUCT(React!$C$240:$BV$240,Curves!$C$67:$BV$67)</f>
        <v/>
      </c>
    </row>
    <row r="242">
      <c r="A242" t="inlineStr">
        <is>
          <t>reactivated in</t>
        </is>
      </c>
      <c r="B242" t="inlineStr">
        <is>
          <t>ROW|BASIC_M</t>
        </is>
      </c>
      <c r="C242" s="5">
        <f>C241+C254</f>
        <v/>
      </c>
      <c r="D242" s="5">
        <f>D241+D254</f>
        <v/>
      </c>
      <c r="E242" s="5">
        <f>E241+E254</f>
        <v/>
      </c>
      <c r="F242" s="5">
        <f>F241+F254</f>
        <v/>
      </c>
      <c r="G242" s="5">
        <f>G241+G254</f>
        <v/>
      </c>
      <c r="H242" s="5">
        <f>H241+H254</f>
        <v/>
      </c>
      <c r="I242" s="5">
        <f>I241+I254</f>
        <v/>
      </c>
      <c r="J242" s="5">
        <f>J241+J254</f>
        <v/>
      </c>
      <c r="K242" s="5">
        <f>K241+K254</f>
        <v/>
      </c>
      <c r="L242" s="5">
        <f>L241+L254</f>
        <v/>
      </c>
      <c r="M242" s="5">
        <f>M241+M254</f>
        <v/>
      </c>
      <c r="N242" s="5">
        <f>N241+N254</f>
        <v/>
      </c>
      <c r="O242" s="5">
        <f>O241+O254</f>
        <v/>
      </c>
      <c r="P242" s="5">
        <f>P241+P254</f>
        <v/>
      </c>
      <c r="Q242" s="5">
        <f>Q241+Q254</f>
        <v/>
      </c>
      <c r="R242" s="5">
        <f>R241+R254</f>
        <v/>
      </c>
      <c r="S242" s="5">
        <f>S241+S254</f>
        <v/>
      </c>
      <c r="T242" s="5">
        <f>T241+T254</f>
        <v/>
      </c>
      <c r="U242" s="5">
        <f>U241+U254</f>
        <v/>
      </c>
      <c r="V242" s="5">
        <f>V241+V254</f>
        <v/>
      </c>
      <c r="W242" s="5">
        <f>W241+W254</f>
        <v/>
      </c>
      <c r="X242" s="5">
        <f>X241+X254</f>
        <v/>
      </c>
      <c r="Y242" s="5">
        <f>Y241+Y254</f>
        <v/>
      </c>
      <c r="Z242" s="5">
        <f>Z241+Z254</f>
        <v/>
      </c>
      <c r="AA242" s="5">
        <f>AA241+AA254</f>
        <v/>
      </c>
      <c r="AB242" s="5">
        <f>AB241+AB254</f>
        <v/>
      </c>
      <c r="AC242" s="5">
        <f>AC241+AC254</f>
        <v/>
      </c>
      <c r="AD242" s="5">
        <f>AD241+AD254</f>
        <v/>
      </c>
      <c r="AE242" s="5">
        <f>AE241+AE254</f>
        <v/>
      </c>
      <c r="AF242" s="5">
        <f>AF241+AF254</f>
        <v/>
      </c>
      <c r="AG242" s="5">
        <f>AG241+AG254</f>
        <v/>
      </c>
      <c r="AH242" s="5">
        <f>AH241+AH254</f>
        <v/>
      </c>
      <c r="AI242" s="5">
        <f>AI241+AI254</f>
        <v/>
      </c>
      <c r="AJ242" s="5">
        <f>AJ241+AJ254</f>
        <v/>
      </c>
      <c r="AK242" s="5">
        <f>AK241+AK254</f>
        <v/>
      </c>
      <c r="AL242" s="5">
        <f>AL241+AL254</f>
        <v/>
      </c>
      <c r="AM242" s="5">
        <f>AM241+AM254</f>
        <v/>
      </c>
      <c r="AN242" s="5">
        <f>AN241+AN254</f>
        <v/>
      </c>
      <c r="AO242" s="5">
        <f>AO241+AO254</f>
        <v/>
      </c>
      <c r="AP242" s="5">
        <f>AP241+AP254</f>
        <v/>
      </c>
      <c r="AQ242" s="5">
        <f>AQ241+AQ254</f>
        <v/>
      </c>
      <c r="AR242" s="5">
        <f>AR241+AR254</f>
        <v/>
      </c>
      <c r="AS242" s="5">
        <f>AS241+AS254</f>
        <v/>
      </c>
      <c r="AT242" s="5">
        <f>AT241+AT254</f>
        <v/>
      </c>
      <c r="AU242" s="5">
        <f>AU241+AU254</f>
        <v/>
      </c>
      <c r="AV242" s="5">
        <f>AV241+AV254</f>
        <v/>
      </c>
      <c r="AW242" s="5">
        <f>AW241+AW254</f>
        <v/>
      </c>
      <c r="AX242" s="5">
        <f>AX241+AX254</f>
        <v/>
      </c>
      <c r="AY242" s="5">
        <f>AY241+AY254</f>
        <v/>
      </c>
      <c r="AZ242" s="5">
        <f>AZ241+AZ254</f>
        <v/>
      </c>
      <c r="BA242" s="5">
        <f>BA241+BA254</f>
        <v/>
      </c>
      <c r="BB242" s="5">
        <f>BB241+BB254</f>
        <v/>
      </c>
      <c r="BC242" s="5">
        <f>BC241+BC254</f>
        <v/>
      </c>
      <c r="BD242" s="5">
        <f>BD241+BD254</f>
        <v/>
      </c>
      <c r="BE242" s="5">
        <f>BE241+BE254</f>
        <v/>
      </c>
      <c r="BF242" s="5">
        <f>BF241+BF254</f>
        <v/>
      </c>
      <c r="BG242" s="5">
        <f>BG241+BG254</f>
        <v/>
      </c>
      <c r="BH242" s="5">
        <f>BH241+BH254</f>
        <v/>
      </c>
      <c r="BI242" s="5">
        <f>BI241+BI254</f>
        <v/>
      </c>
      <c r="BJ242" s="5">
        <f>BJ241+BJ254</f>
        <v/>
      </c>
      <c r="BK242" s="5">
        <f>BK241+BK254</f>
        <v/>
      </c>
      <c r="BL242" s="5">
        <f>BL241+BL254</f>
        <v/>
      </c>
      <c r="BM242" s="5">
        <f>BM241+BM254</f>
        <v/>
      </c>
      <c r="BN242" s="5">
        <f>BN241+BN254</f>
        <v/>
      </c>
      <c r="BO242" s="5">
        <f>BO241+BO254</f>
        <v/>
      </c>
      <c r="BP242" s="5">
        <f>BP241+BP254</f>
        <v/>
      </c>
      <c r="BQ242" s="5">
        <f>BQ241+BQ254</f>
        <v/>
      </c>
      <c r="BR242" s="5">
        <f>BR241+BR254</f>
        <v/>
      </c>
      <c r="BS242" s="5">
        <f>BS241+BS254</f>
        <v/>
      </c>
      <c r="BT242" s="5">
        <f>BT241+BT254</f>
        <v/>
      </c>
      <c r="BU242" s="5">
        <f>BU241+BU254</f>
        <v/>
      </c>
      <c r="BV242" s="5">
        <f>BV241+BV254</f>
        <v/>
      </c>
    </row>
    <row r="243">
      <c r="A243" t="inlineStr">
        <is>
          <t>reactivated in @0</t>
        </is>
      </c>
      <c r="B243" t="inlineStr">
        <is>
          <t>ROW|BASIC_M</t>
        </is>
      </c>
      <c r="C243" s="5">
        <f>C242*Eras!C$3</f>
        <v/>
      </c>
      <c r="D243" s="5">
        <f>D242*Eras!D$3</f>
        <v/>
      </c>
      <c r="E243" s="5">
        <f>E242*Eras!E$3</f>
        <v/>
      </c>
      <c r="F243" s="5">
        <f>F242*Eras!F$3</f>
        <v/>
      </c>
      <c r="G243" s="5">
        <f>G242*Eras!G$3</f>
        <v/>
      </c>
      <c r="H243" s="5">
        <f>H242*Eras!H$3</f>
        <v/>
      </c>
      <c r="I243" s="5">
        <f>I242*Eras!I$3</f>
        <v/>
      </c>
      <c r="J243" s="5">
        <f>J242*Eras!J$3</f>
        <v/>
      </c>
      <c r="K243" s="5">
        <f>K242*Eras!K$3</f>
        <v/>
      </c>
      <c r="L243" s="5">
        <f>L242*Eras!L$3</f>
        <v/>
      </c>
      <c r="M243" s="5">
        <f>M242*Eras!M$3</f>
        <v/>
      </c>
      <c r="N243" s="5">
        <f>N242*Eras!N$3</f>
        <v/>
      </c>
      <c r="O243" s="5">
        <f>O242*Eras!O$3</f>
        <v/>
      </c>
      <c r="P243" s="5">
        <f>P242*Eras!P$3</f>
        <v/>
      </c>
      <c r="Q243" s="5">
        <f>Q242*Eras!Q$3</f>
        <v/>
      </c>
      <c r="R243" s="5">
        <f>R242*Eras!R$3</f>
        <v/>
      </c>
      <c r="S243" s="5">
        <f>S242*Eras!S$3</f>
        <v/>
      </c>
      <c r="T243" s="5">
        <f>T242*Eras!T$3</f>
        <v/>
      </c>
      <c r="U243" s="5">
        <f>U242*Eras!U$3</f>
        <v/>
      </c>
      <c r="V243" s="5">
        <f>V242*Eras!V$3</f>
        <v/>
      </c>
      <c r="W243" s="5">
        <f>W242*Eras!W$3</f>
        <v/>
      </c>
      <c r="X243" s="5">
        <f>X242*Eras!X$3</f>
        <v/>
      </c>
      <c r="Y243" s="5">
        <f>Y242*Eras!Y$3</f>
        <v/>
      </c>
      <c r="Z243" s="5">
        <f>Z242*Eras!Z$3</f>
        <v/>
      </c>
      <c r="AA243" s="5">
        <f>AA242*Eras!AA$3</f>
        <v/>
      </c>
      <c r="AB243" s="5">
        <f>AB242*Eras!AB$3</f>
        <v/>
      </c>
      <c r="AC243" s="5">
        <f>AC242*Eras!AC$3</f>
        <v/>
      </c>
      <c r="AD243" s="5">
        <f>AD242*Eras!AD$3</f>
        <v/>
      </c>
      <c r="AE243" s="5">
        <f>AE242*Eras!AE$3</f>
        <v/>
      </c>
      <c r="AF243" s="5">
        <f>AF242*Eras!AF$3</f>
        <v/>
      </c>
      <c r="AG243" s="5">
        <f>AG242*Eras!AG$3</f>
        <v/>
      </c>
      <c r="AH243" s="5">
        <f>AH242*Eras!AH$3</f>
        <v/>
      </c>
      <c r="AI243" s="5">
        <f>AI242*Eras!AI$3</f>
        <v/>
      </c>
      <c r="AJ243" s="5">
        <f>AJ242*Eras!AJ$3</f>
        <v/>
      </c>
      <c r="AK243" s="5">
        <f>AK242*Eras!AK$3</f>
        <v/>
      </c>
      <c r="AL243" s="5">
        <f>AL242*Eras!AL$3</f>
        <v/>
      </c>
      <c r="AM243" s="5">
        <f>AM242*Eras!AM$3</f>
        <v/>
      </c>
      <c r="AN243" s="5">
        <f>AN242*Eras!AN$3</f>
        <v/>
      </c>
      <c r="AO243" s="5">
        <f>AO242*Eras!AO$3</f>
        <v/>
      </c>
      <c r="AP243" s="5">
        <f>AP242*Eras!AP$3</f>
        <v/>
      </c>
      <c r="AQ243" s="5">
        <f>AQ242*Eras!AQ$3</f>
        <v/>
      </c>
      <c r="AR243" s="5">
        <f>AR242*Eras!AR$3</f>
        <v/>
      </c>
      <c r="AS243" s="5">
        <f>AS242*Eras!AS$3</f>
        <v/>
      </c>
      <c r="AT243" s="5">
        <f>AT242*Eras!AT$3</f>
        <v/>
      </c>
      <c r="AU243" s="5">
        <f>AU242*Eras!AU$3</f>
        <v/>
      </c>
      <c r="AV243" s="5">
        <f>AV242*Eras!AV$3</f>
        <v/>
      </c>
      <c r="AW243" s="5">
        <f>AW242*Eras!AW$3</f>
        <v/>
      </c>
      <c r="AX243" s="5">
        <f>AX242*Eras!AX$3</f>
        <v/>
      </c>
      <c r="AY243" s="5">
        <f>AY242*Eras!AY$3</f>
        <v/>
      </c>
      <c r="AZ243" s="5">
        <f>AZ242*Eras!AZ$3</f>
        <v/>
      </c>
      <c r="BA243" s="5">
        <f>BA242*Eras!BA$3</f>
        <v/>
      </c>
      <c r="BB243" s="5">
        <f>BB242*Eras!BB$3</f>
        <v/>
      </c>
      <c r="BC243" s="5">
        <f>BC242*Eras!BC$3</f>
        <v/>
      </c>
      <c r="BD243" s="5">
        <f>BD242*Eras!BD$3</f>
        <v/>
      </c>
      <c r="BE243" s="5">
        <f>BE242*Eras!BE$3</f>
        <v/>
      </c>
      <c r="BF243" s="5">
        <f>BF242*Eras!BF$3</f>
        <v/>
      </c>
      <c r="BG243" s="5">
        <f>BG242*Eras!BG$3</f>
        <v/>
      </c>
      <c r="BH243" s="5">
        <f>BH242*Eras!BH$3</f>
        <v/>
      </c>
      <c r="BI243" s="5">
        <f>BI242*Eras!BI$3</f>
        <v/>
      </c>
      <c r="BJ243" s="5">
        <f>BJ242*Eras!BJ$3</f>
        <v/>
      </c>
      <c r="BK243" s="5">
        <f>BK242*Eras!BK$3</f>
        <v/>
      </c>
      <c r="BL243" s="5">
        <f>BL242*Eras!BL$3</f>
        <v/>
      </c>
      <c r="BM243" s="5">
        <f>BM242*Eras!BM$3</f>
        <v/>
      </c>
      <c r="BN243" s="5">
        <f>BN242*Eras!BN$3</f>
        <v/>
      </c>
      <c r="BO243" s="5">
        <f>BO242*Eras!BO$3</f>
        <v/>
      </c>
      <c r="BP243" s="5">
        <f>BP242*Eras!BP$3</f>
        <v/>
      </c>
      <c r="BQ243" s="5">
        <f>BQ242*Eras!BQ$3</f>
        <v/>
      </c>
      <c r="BR243" s="5">
        <f>BR242*Eras!BR$3</f>
        <v/>
      </c>
      <c r="BS243" s="5">
        <f>BS242*Eras!BS$3</f>
        <v/>
      </c>
      <c r="BT243" s="5">
        <f>BT242*Eras!BT$3</f>
        <v/>
      </c>
      <c r="BU243" s="5">
        <f>BU242*Eras!BU$3</f>
        <v/>
      </c>
      <c r="BV243" s="5">
        <f>BV242*Eras!BV$3</f>
        <v/>
      </c>
    </row>
    <row r="244">
      <c r="A244" t="inlineStr">
        <is>
          <t>reactivated in @1</t>
        </is>
      </c>
      <c r="B244" t="inlineStr">
        <is>
          <t>ROW|BASIC_M</t>
        </is>
      </c>
      <c r="C244" s="5">
        <f>C242*Eras!C$4</f>
        <v/>
      </c>
      <c r="D244" s="5">
        <f>D242*Eras!D$4</f>
        <v/>
      </c>
      <c r="E244" s="5">
        <f>E242*Eras!E$4</f>
        <v/>
      </c>
      <c r="F244" s="5">
        <f>F242*Eras!F$4</f>
        <v/>
      </c>
      <c r="G244" s="5">
        <f>G242*Eras!G$4</f>
        <v/>
      </c>
      <c r="H244" s="5">
        <f>H242*Eras!H$4</f>
        <v/>
      </c>
      <c r="I244" s="5">
        <f>I242*Eras!I$4</f>
        <v/>
      </c>
      <c r="J244" s="5">
        <f>J242*Eras!J$4</f>
        <v/>
      </c>
      <c r="K244" s="5">
        <f>K242*Eras!K$4</f>
        <v/>
      </c>
      <c r="L244" s="5">
        <f>L242*Eras!L$4</f>
        <v/>
      </c>
      <c r="M244" s="5">
        <f>M242*Eras!M$4</f>
        <v/>
      </c>
      <c r="N244" s="5">
        <f>N242*Eras!N$4</f>
        <v/>
      </c>
      <c r="O244" s="5">
        <f>O242*Eras!O$4</f>
        <v/>
      </c>
      <c r="P244" s="5">
        <f>P242*Eras!P$4</f>
        <v/>
      </c>
      <c r="Q244" s="5">
        <f>Q242*Eras!Q$4</f>
        <v/>
      </c>
      <c r="R244" s="5">
        <f>R242*Eras!R$4</f>
        <v/>
      </c>
      <c r="S244" s="5">
        <f>S242*Eras!S$4</f>
        <v/>
      </c>
      <c r="T244" s="5">
        <f>T242*Eras!T$4</f>
        <v/>
      </c>
      <c r="U244" s="5">
        <f>U242*Eras!U$4</f>
        <v/>
      </c>
      <c r="V244" s="5">
        <f>V242*Eras!V$4</f>
        <v/>
      </c>
      <c r="W244" s="5">
        <f>W242*Eras!W$4</f>
        <v/>
      </c>
      <c r="X244" s="5">
        <f>X242*Eras!X$4</f>
        <v/>
      </c>
      <c r="Y244" s="5">
        <f>Y242*Eras!Y$4</f>
        <v/>
      </c>
      <c r="Z244" s="5">
        <f>Z242*Eras!Z$4</f>
        <v/>
      </c>
      <c r="AA244" s="5">
        <f>AA242*Eras!AA$4</f>
        <v/>
      </c>
      <c r="AB244" s="5">
        <f>AB242*Eras!AB$4</f>
        <v/>
      </c>
      <c r="AC244" s="5">
        <f>AC242*Eras!AC$4</f>
        <v/>
      </c>
      <c r="AD244" s="5">
        <f>AD242*Eras!AD$4</f>
        <v/>
      </c>
      <c r="AE244" s="5">
        <f>AE242*Eras!AE$4</f>
        <v/>
      </c>
      <c r="AF244" s="5">
        <f>AF242*Eras!AF$4</f>
        <v/>
      </c>
      <c r="AG244" s="5">
        <f>AG242*Eras!AG$4</f>
        <v/>
      </c>
      <c r="AH244" s="5">
        <f>AH242*Eras!AH$4</f>
        <v/>
      </c>
      <c r="AI244" s="5">
        <f>AI242*Eras!AI$4</f>
        <v/>
      </c>
      <c r="AJ244" s="5">
        <f>AJ242*Eras!AJ$4</f>
        <v/>
      </c>
      <c r="AK244" s="5">
        <f>AK242*Eras!AK$4</f>
        <v/>
      </c>
      <c r="AL244" s="5">
        <f>AL242*Eras!AL$4</f>
        <v/>
      </c>
      <c r="AM244" s="5">
        <f>AM242*Eras!AM$4</f>
        <v/>
      </c>
      <c r="AN244" s="5">
        <f>AN242*Eras!AN$4</f>
        <v/>
      </c>
      <c r="AO244" s="5">
        <f>AO242*Eras!AO$4</f>
        <v/>
      </c>
      <c r="AP244" s="5">
        <f>AP242*Eras!AP$4</f>
        <v/>
      </c>
      <c r="AQ244" s="5">
        <f>AQ242*Eras!AQ$4</f>
        <v/>
      </c>
      <c r="AR244" s="5">
        <f>AR242*Eras!AR$4</f>
        <v/>
      </c>
      <c r="AS244" s="5">
        <f>AS242*Eras!AS$4</f>
        <v/>
      </c>
      <c r="AT244" s="5">
        <f>AT242*Eras!AT$4</f>
        <v/>
      </c>
      <c r="AU244" s="5">
        <f>AU242*Eras!AU$4</f>
        <v/>
      </c>
      <c r="AV244" s="5">
        <f>AV242*Eras!AV$4</f>
        <v/>
      </c>
      <c r="AW244" s="5">
        <f>AW242*Eras!AW$4</f>
        <v/>
      </c>
      <c r="AX244" s="5">
        <f>AX242*Eras!AX$4</f>
        <v/>
      </c>
      <c r="AY244" s="5">
        <f>AY242*Eras!AY$4</f>
        <v/>
      </c>
      <c r="AZ244" s="5">
        <f>AZ242*Eras!AZ$4</f>
        <v/>
      </c>
      <c r="BA244" s="5">
        <f>BA242*Eras!BA$4</f>
        <v/>
      </c>
      <c r="BB244" s="5">
        <f>BB242*Eras!BB$4</f>
        <v/>
      </c>
      <c r="BC244" s="5">
        <f>BC242*Eras!BC$4</f>
        <v/>
      </c>
      <c r="BD244" s="5">
        <f>BD242*Eras!BD$4</f>
        <v/>
      </c>
      <c r="BE244" s="5">
        <f>BE242*Eras!BE$4</f>
        <v/>
      </c>
      <c r="BF244" s="5">
        <f>BF242*Eras!BF$4</f>
        <v/>
      </c>
      <c r="BG244" s="5">
        <f>BG242*Eras!BG$4</f>
        <v/>
      </c>
      <c r="BH244" s="5">
        <f>BH242*Eras!BH$4</f>
        <v/>
      </c>
      <c r="BI244" s="5">
        <f>BI242*Eras!BI$4</f>
        <v/>
      </c>
      <c r="BJ244" s="5">
        <f>BJ242*Eras!BJ$4</f>
        <v/>
      </c>
      <c r="BK244" s="5">
        <f>BK242*Eras!BK$4</f>
        <v/>
      </c>
      <c r="BL244" s="5">
        <f>BL242*Eras!BL$4</f>
        <v/>
      </c>
      <c r="BM244" s="5">
        <f>BM242*Eras!BM$4</f>
        <v/>
      </c>
      <c r="BN244" s="5">
        <f>BN242*Eras!BN$4</f>
        <v/>
      </c>
      <c r="BO244" s="5">
        <f>BO242*Eras!BO$4</f>
        <v/>
      </c>
      <c r="BP244" s="5">
        <f>BP242*Eras!BP$4</f>
        <v/>
      </c>
      <c r="BQ244" s="5">
        <f>BQ242*Eras!BQ$4</f>
        <v/>
      </c>
      <c r="BR244" s="5">
        <f>BR242*Eras!BR$4</f>
        <v/>
      </c>
      <c r="BS244" s="5">
        <f>BS242*Eras!BS$4</f>
        <v/>
      </c>
      <c r="BT244" s="5">
        <f>BT242*Eras!BT$4</f>
        <v/>
      </c>
      <c r="BU244" s="5">
        <f>BU242*Eras!BU$4</f>
        <v/>
      </c>
      <c r="BV244" s="5">
        <f>BV242*Eras!BV$4</f>
        <v/>
      </c>
    </row>
    <row r="245">
      <c r="A245" t="inlineStr">
        <is>
          <t>reactivated in @2</t>
        </is>
      </c>
      <c r="B245" t="inlineStr">
        <is>
          <t>ROW|BASIC_M</t>
        </is>
      </c>
      <c r="C245" s="5">
        <f>C242*Eras!C$5</f>
        <v/>
      </c>
      <c r="D245" s="5">
        <f>D242*Eras!D$5</f>
        <v/>
      </c>
      <c r="E245" s="5">
        <f>E242*Eras!E$5</f>
        <v/>
      </c>
      <c r="F245" s="5">
        <f>F242*Eras!F$5</f>
        <v/>
      </c>
      <c r="G245" s="5">
        <f>G242*Eras!G$5</f>
        <v/>
      </c>
      <c r="H245" s="5">
        <f>H242*Eras!H$5</f>
        <v/>
      </c>
      <c r="I245" s="5">
        <f>I242*Eras!I$5</f>
        <v/>
      </c>
      <c r="J245" s="5">
        <f>J242*Eras!J$5</f>
        <v/>
      </c>
      <c r="K245" s="5">
        <f>K242*Eras!K$5</f>
        <v/>
      </c>
      <c r="L245" s="5">
        <f>L242*Eras!L$5</f>
        <v/>
      </c>
      <c r="M245" s="5">
        <f>M242*Eras!M$5</f>
        <v/>
      </c>
      <c r="N245" s="5">
        <f>N242*Eras!N$5</f>
        <v/>
      </c>
      <c r="O245" s="5">
        <f>O242*Eras!O$5</f>
        <v/>
      </c>
      <c r="P245" s="5">
        <f>P242*Eras!P$5</f>
        <v/>
      </c>
      <c r="Q245" s="5">
        <f>Q242*Eras!Q$5</f>
        <v/>
      </c>
      <c r="R245" s="5">
        <f>R242*Eras!R$5</f>
        <v/>
      </c>
      <c r="S245" s="5">
        <f>S242*Eras!S$5</f>
        <v/>
      </c>
      <c r="T245" s="5">
        <f>T242*Eras!T$5</f>
        <v/>
      </c>
      <c r="U245" s="5">
        <f>U242*Eras!U$5</f>
        <v/>
      </c>
      <c r="V245" s="5">
        <f>V242*Eras!V$5</f>
        <v/>
      </c>
      <c r="W245" s="5">
        <f>W242*Eras!W$5</f>
        <v/>
      </c>
      <c r="X245" s="5">
        <f>X242*Eras!X$5</f>
        <v/>
      </c>
      <c r="Y245" s="5">
        <f>Y242*Eras!Y$5</f>
        <v/>
      </c>
      <c r="Z245" s="5">
        <f>Z242*Eras!Z$5</f>
        <v/>
      </c>
      <c r="AA245" s="5">
        <f>AA242*Eras!AA$5</f>
        <v/>
      </c>
      <c r="AB245" s="5">
        <f>AB242*Eras!AB$5</f>
        <v/>
      </c>
      <c r="AC245" s="5">
        <f>AC242*Eras!AC$5</f>
        <v/>
      </c>
      <c r="AD245" s="5">
        <f>AD242*Eras!AD$5</f>
        <v/>
      </c>
      <c r="AE245" s="5">
        <f>AE242*Eras!AE$5</f>
        <v/>
      </c>
      <c r="AF245" s="5">
        <f>AF242*Eras!AF$5</f>
        <v/>
      </c>
      <c r="AG245" s="5">
        <f>AG242*Eras!AG$5</f>
        <v/>
      </c>
      <c r="AH245" s="5">
        <f>AH242*Eras!AH$5</f>
        <v/>
      </c>
      <c r="AI245" s="5">
        <f>AI242*Eras!AI$5</f>
        <v/>
      </c>
      <c r="AJ245" s="5">
        <f>AJ242*Eras!AJ$5</f>
        <v/>
      </c>
      <c r="AK245" s="5">
        <f>AK242*Eras!AK$5</f>
        <v/>
      </c>
      <c r="AL245" s="5">
        <f>AL242*Eras!AL$5</f>
        <v/>
      </c>
      <c r="AM245" s="5">
        <f>AM242*Eras!AM$5</f>
        <v/>
      </c>
      <c r="AN245" s="5">
        <f>AN242*Eras!AN$5</f>
        <v/>
      </c>
      <c r="AO245" s="5">
        <f>AO242*Eras!AO$5</f>
        <v/>
      </c>
      <c r="AP245" s="5">
        <f>AP242*Eras!AP$5</f>
        <v/>
      </c>
      <c r="AQ245" s="5">
        <f>AQ242*Eras!AQ$5</f>
        <v/>
      </c>
      <c r="AR245" s="5">
        <f>AR242*Eras!AR$5</f>
        <v/>
      </c>
      <c r="AS245" s="5">
        <f>AS242*Eras!AS$5</f>
        <v/>
      </c>
      <c r="AT245" s="5">
        <f>AT242*Eras!AT$5</f>
        <v/>
      </c>
      <c r="AU245" s="5">
        <f>AU242*Eras!AU$5</f>
        <v/>
      </c>
      <c r="AV245" s="5">
        <f>AV242*Eras!AV$5</f>
        <v/>
      </c>
      <c r="AW245" s="5">
        <f>AW242*Eras!AW$5</f>
        <v/>
      </c>
      <c r="AX245" s="5">
        <f>AX242*Eras!AX$5</f>
        <v/>
      </c>
      <c r="AY245" s="5">
        <f>AY242*Eras!AY$5</f>
        <v/>
      </c>
      <c r="AZ245" s="5">
        <f>AZ242*Eras!AZ$5</f>
        <v/>
      </c>
      <c r="BA245" s="5">
        <f>BA242*Eras!BA$5</f>
        <v/>
      </c>
      <c r="BB245" s="5">
        <f>BB242*Eras!BB$5</f>
        <v/>
      </c>
      <c r="BC245" s="5">
        <f>BC242*Eras!BC$5</f>
        <v/>
      </c>
      <c r="BD245" s="5">
        <f>BD242*Eras!BD$5</f>
        <v/>
      </c>
      <c r="BE245" s="5">
        <f>BE242*Eras!BE$5</f>
        <v/>
      </c>
      <c r="BF245" s="5">
        <f>BF242*Eras!BF$5</f>
        <v/>
      </c>
      <c r="BG245" s="5">
        <f>BG242*Eras!BG$5</f>
        <v/>
      </c>
      <c r="BH245" s="5">
        <f>BH242*Eras!BH$5</f>
        <v/>
      </c>
      <c r="BI245" s="5">
        <f>BI242*Eras!BI$5</f>
        <v/>
      </c>
      <c r="BJ245" s="5">
        <f>BJ242*Eras!BJ$5</f>
        <v/>
      </c>
      <c r="BK245" s="5">
        <f>BK242*Eras!BK$5</f>
        <v/>
      </c>
      <c r="BL245" s="5">
        <f>BL242*Eras!BL$5</f>
        <v/>
      </c>
      <c r="BM245" s="5">
        <f>BM242*Eras!BM$5</f>
        <v/>
      </c>
      <c r="BN245" s="5">
        <f>BN242*Eras!BN$5</f>
        <v/>
      </c>
      <c r="BO245" s="5">
        <f>BO242*Eras!BO$5</f>
        <v/>
      </c>
      <c r="BP245" s="5">
        <f>BP242*Eras!BP$5</f>
        <v/>
      </c>
      <c r="BQ245" s="5">
        <f>BQ242*Eras!BQ$5</f>
        <v/>
      </c>
      <c r="BR245" s="5">
        <f>BR242*Eras!BR$5</f>
        <v/>
      </c>
      <c r="BS245" s="5">
        <f>BS242*Eras!BS$5</f>
        <v/>
      </c>
      <c r="BT245" s="5">
        <f>BT242*Eras!BT$5</f>
        <v/>
      </c>
      <c r="BU245" s="5">
        <f>BU242*Eras!BU$5</f>
        <v/>
      </c>
      <c r="BV245" s="5">
        <f>BV242*Eras!BV$5</f>
        <v/>
      </c>
    </row>
    <row r="246">
      <c r="A246" t="inlineStr">
        <is>
          <t>active</t>
        </is>
      </c>
      <c r="B246" t="inlineStr">
        <is>
          <t>ROW|BASIC_M</t>
        </is>
      </c>
      <c r="C246" s="5">
        <f>React!$C$243*Curves!$BV$19+React!$C$244*Curves!$BV$42+React!$C$245*Curves!$BV$65</f>
        <v/>
      </c>
      <c r="D246" s="5">
        <f>SUMPRODUCT(React!$C$243:$D$243,Curves!$BU$19:$BV$19)+SUMPRODUCT(React!$C$244:$D$244,Curves!$BU$42:$BV$42)+SUMPRODUCT(React!$C$245:$D$245,Curves!$BU$65:$BV$65)</f>
        <v/>
      </c>
      <c r="E246" s="5">
        <f>SUMPRODUCT(React!$C$243:$E$243,Curves!$BT$19:$BV$19)+SUMPRODUCT(React!$C$244:$E$244,Curves!$BT$42:$BV$42)+SUMPRODUCT(React!$C$245:$E$245,Curves!$BT$65:$BV$65)</f>
        <v/>
      </c>
      <c r="F246" s="5">
        <f>SUMPRODUCT(React!$C$243:$F$243,Curves!$BS$19:$BV$19)+SUMPRODUCT(React!$C$244:$F$244,Curves!$BS$42:$BV$42)+SUMPRODUCT(React!$C$245:$F$245,Curves!$BS$65:$BV$65)</f>
        <v/>
      </c>
      <c r="G246" s="5">
        <f>SUMPRODUCT(React!$C$243:$G$243,Curves!$BR$19:$BV$19)+SUMPRODUCT(React!$C$244:$G$244,Curves!$BR$42:$BV$42)+SUMPRODUCT(React!$C$245:$G$245,Curves!$BR$65:$BV$65)</f>
        <v/>
      </c>
      <c r="H246" s="5">
        <f>SUMPRODUCT(React!$C$243:$H$243,Curves!$BQ$19:$BV$19)+SUMPRODUCT(React!$C$244:$H$244,Curves!$BQ$42:$BV$42)+SUMPRODUCT(React!$C$245:$H$245,Curves!$BQ$65:$BV$65)</f>
        <v/>
      </c>
      <c r="I246" s="5">
        <f>SUMPRODUCT(React!$C$243:$I$243,Curves!$BP$19:$BV$19)+SUMPRODUCT(React!$C$244:$I$244,Curves!$BP$42:$BV$42)+SUMPRODUCT(React!$C$245:$I$245,Curves!$BP$65:$BV$65)</f>
        <v/>
      </c>
      <c r="J246" s="5">
        <f>SUMPRODUCT(React!$C$243:$J$243,Curves!$BO$19:$BV$19)+SUMPRODUCT(React!$C$244:$J$244,Curves!$BO$42:$BV$42)+SUMPRODUCT(React!$C$245:$J$245,Curves!$BO$65:$BV$65)</f>
        <v/>
      </c>
      <c r="K246" s="5">
        <f>SUMPRODUCT(React!$C$243:$K$243,Curves!$BN$19:$BV$19)+SUMPRODUCT(React!$C$244:$K$244,Curves!$BN$42:$BV$42)+SUMPRODUCT(React!$C$245:$K$245,Curves!$BN$65:$BV$65)</f>
        <v/>
      </c>
      <c r="L246" s="5">
        <f>SUMPRODUCT(React!$C$243:$L$243,Curves!$BM$19:$BV$19)+SUMPRODUCT(React!$C$244:$L$244,Curves!$BM$42:$BV$42)+SUMPRODUCT(React!$C$245:$L$245,Curves!$BM$65:$BV$65)</f>
        <v/>
      </c>
      <c r="M246" s="5">
        <f>SUMPRODUCT(React!$C$243:$M$243,Curves!$BL$19:$BV$19)+SUMPRODUCT(React!$C$244:$M$244,Curves!$BL$42:$BV$42)+SUMPRODUCT(React!$C$245:$M$245,Curves!$BL$65:$BV$65)</f>
        <v/>
      </c>
      <c r="N246" s="5">
        <f>SUMPRODUCT(React!$C$243:$N$243,Curves!$BK$19:$BV$19)+SUMPRODUCT(React!$C$244:$N$244,Curves!$BK$42:$BV$42)+SUMPRODUCT(React!$C$245:$N$245,Curves!$BK$65:$BV$65)</f>
        <v/>
      </c>
      <c r="O246" s="5">
        <f>SUMPRODUCT(React!$C$243:$O$243,Curves!$BJ$19:$BV$19)+SUMPRODUCT(React!$C$244:$O$244,Curves!$BJ$42:$BV$42)+SUMPRODUCT(React!$C$245:$O$245,Curves!$BJ$65:$BV$65)</f>
        <v/>
      </c>
      <c r="P246" s="5">
        <f>SUMPRODUCT(React!$C$243:$P$243,Curves!$BI$19:$BV$19)+SUMPRODUCT(React!$C$244:$P$244,Curves!$BI$42:$BV$42)+SUMPRODUCT(React!$C$245:$P$245,Curves!$BI$65:$BV$65)</f>
        <v/>
      </c>
      <c r="Q246" s="5">
        <f>SUMPRODUCT(React!$C$243:$Q$243,Curves!$BH$19:$BV$19)+SUMPRODUCT(React!$C$244:$Q$244,Curves!$BH$42:$BV$42)+SUMPRODUCT(React!$C$245:$Q$245,Curves!$BH$65:$BV$65)</f>
        <v/>
      </c>
      <c r="R246" s="5">
        <f>SUMPRODUCT(React!$C$243:$R$243,Curves!$BG$19:$BV$19)+SUMPRODUCT(React!$C$244:$R$244,Curves!$BG$42:$BV$42)+SUMPRODUCT(React!$C$245:$R$245,Curves!$BG$65:$BV$65)</f>
        <v/>
      </c>
      <c r="S246" s="5">
        <f>SUMPRODUCT(React!$C$243:$S$243,Curves!$BF$19:$BV$19)+SUMPRODUCT(React!$C$244:$S$244,Curves!$BF$42:$BV$42)+SUMPRODUCT(React!$C$245:$S$245,Curves!$BF$65:$BV$65)</f>
        <v/>
      </c>
      <c r="T246" s="5">
        <f>SUMPRODUCT(React!$C$243:$T$243,Curves!$BE$19:$BV$19)+SUMPRODUCT(React!$C$244:$T$244,Curves!$BE$42:$BV$42)+SUMPRODUCT(React!$C$245:$T$245,Curves!$BE$65:$BV$65)</f>
        <v/>
      </c>
      <c r="U246" s="5">
        <f>SUMPRODUCT(React!$C$243:$U$243,Curves!$BD$19:$BV$19)+SUMPRODUCT(React!$C$244:$U$244,Curves!$BD$42:$BV$42)+SUMPRODUCT(React!$C$245:$U$245,Curves!$BD$65:$BV$65)</f>
        <v/>
      </c>
      <c r="V246" s="5">
        <f>SUMPRODUCT(React!$C$243:$V$243,Curves!$BC$19:$BV$19)+SUMPRODUCT(React!$C$244:$V$244,Curves!$BC$42:$BV$42)+SUMPRODUCT(React!$C$245:$V$245,Curves!$BC$65:$BV$65)</f>
        <v/>
      </c>
      <c r="W246" s="5">
        <f>SUMPRODUCT(React!$C$243:$W$243,Curves!$BB$19:$BV$19)+SUMPRODUCT(React!$C$244:$W$244,Curves!$BB$42:$BV$42)+SUMPRODUCT(React!$C$245:$W$245,Curves!$BB$65:$BV$65)</f>
        <v/>
      </c>
      <c r="X246" s="5">
        <f>SUMPRODUCT(React!$C$243:$X$243,Curves!$BA$19:$BV$19)+SUMPRODUCT(React!$C$244:$X$244,Curves!$BA$42:$BV$42)+SUMPRODUCT(React!$C$245:$X$245,Curves!$BA$65:$BV$65)</f>
        <v/>
      </c>
      <c r="Y246" s="5">
        <f>SUMPRODUCT(React!$C$243:$Y$243,Curves!$AZ$19:$BV$19)+SUMPRODUCT(React!$C$244:$Y$244,Curves!$AZ$42:$BV$42)+SUMPRODUCT(React!$C$245:$Y$245,Curves!$AZ$65:$BV$65)</f>
        <v/>
      </c>
      <c r="Z246" s="5">
        <f>SUMPRODUCT(React!$C$243:$Z$243,Curves!$AY$19:$BV$19)+SUMPRODUCT(React!$C$244:$Z$244,Curves!$AY$42:$BV$42)+SUMPRODUCT(React!$C$245:$Z$245,Curves!$AY$65:$BV$65)</f>
        <v/>
      </c>
      <c r="AA246" s="5">
        <f>SUMPRODUCT(React!$C$243:$AA$243,Curves!$AX$19:$BV$19)+SUMPRODUCT(React!$C$244:$AA$244,Curves!$AX$42:$BV$42)+SUMPRODUCT(React!$C$245:$AA$245,Curves!$AX$65:$BV$65)</f>
        <v/>
      </c>
      <c r="AB246" s="5">
        <f>SUMPRODUCT(React!$C$243:$AB$243,Curves!$AW$19:$BV$19)+SUMPRODUCT(React!$C$244:$AB$244,Curves!$AW$42:$BV$42)+SUMPRODUCT(React!$C$245:$AB$245,Curves!$AW$65:$BV$65)</f>
        <v/>
      </c>
      <c r="AC246" s="5">
        <f>SUMPRODUCT(React!$C$243:$AC$243,Curves!$AV$19:$BV$19)+SUMPRODUCT(React!$C$244:$AC$244,Curves!$AV$42:$BV$42)+SUMPRODUCT(React!$C$245:$AC$245,Curves!$AV$65:$BV$65)</f>
        <v/>
      </c>
      <c r="AD246" s="5">
        <f>SUMPRODUCT(React!$C$243:$AD$243,Curves!$AU$19:$BV$19)+SUMPRODUCT(React!$C$244:$AD$244,Curves!$AU$42:$BV$42)+SUMPRODUCT(React!$C$245:$AD$245,Curves!$AU$65:$BV$65)</f>
        <v/>
      </c>
      <c r="AE246" s="5">
        <f>SUMPRODUCT(React!$C$243:$AE$243,Curves!$AT$19:$BV$19)+SUMPRODUCT(React!$C$244:$AE$244,Curves!$AT$42:$BV$42)+SUMPRODUCT(React!$C$245:$AE$245,Curves!$AT$65:$BV$65)</f>
        <v/>
      </c>
      <c r="AF246" s="5">
        <f>SUMPRODUCT(React!$C$243:$AF$243,Curves!$AS$19:$BV$19)+SUMPRODUCT(React!$C$244:$AF$244,Curves!$AS$42:$BV$42)+SUMPRODUCT(React!$C$245:$AF$245,Curves!$AS$65:$BV$65)</f>
        <v/>
      </c>
      <c r="AG246" s="5">
        <f>SUMPRODUCT(React!$C$243:$AG$243,Curves!$AR$19:$BV$19)+SUMPRODUCT(React!$C$244:$AG$244,Curves!$AR$42:$BV$42)+SUMPRODUCT(React!$C$245:$AG$245,Curves!$AR$65:$BV$65)</f>
        <v/>
      </c>
      <c r="AH246" s="5">
        <f>SUMPRODUCT(React!$C$243:$AH$243,Curves!$AQ$19:$BV$19)+SUMPRODUCT(React!$C$244:$AH$244,Curves!$AQ$42:$BV$42)+SUMPRODUCT(React!$C$245:$AH$245,Curves!$AQ$65:$BV$65)</f>
        <v/>
      </c>
      <c r="AI246" s="5">
        <f>SUMPRODUCT(React!$C$243:$AI$243,Curves!$AP$19:$BV$19)+SUMPRODUCT(React!$C$244:$AI$244,Curves!$AP$42:$BV$42)+SUMPRODUCT(React!$C$245:$AI$245,Curves!$AP$65:$BV$65)</f>
        <v/>
      </c>
      <c r="AJ246" s="5">
        <f>SUMPRODUCT(React!$C$243:$AJ$243,Curves!$AO$19:$BV$19)+SUMPRODUCT(React!$C$244:$AJ$244,Curves!$AO$42:$BV$42)+SUMPRODUCT(React!$C$245:$AJ$245,Curves!$AO$65:$BV$65)</f>
        <v/>
      </c>
      <c r="AK246" s="5">
        <f>SUMPRODUCT(React!$C$243:$AK$243,Curves!$AN$19:$BV$19)+SUMPRODUCT(React!$C$244:$AK$244,Curves!$AN$42:$BV$42)+SUMPRODUCT(React!$C$245:$AK$245,Curves!$AN$65:$BV$65)</f>
        <v/>
      </c>
      <c r="AL246" s="5">
        <f>SUMPRODUCT(React!$C$243:$AL$243,Curves!$AM$19:$BV$19)+SUMPRODUCT(React!$C$244:$AL$244,Curves!$AM$42:$BV$42)+SUMPRODUCT(React!$C$245:$AL$245,Curves!$AM$65:$BV$65)</f>
        <v/>
      </c>
      <c r="AM246" s="5">
        <f>SUMPRODUCT(React!$C$243:$AM$243,Curves!$AL$19:$BV$19)+SUMPRODUCT(React!$C$244:$AM$244,Curves!$AL$42:$BV$42)+SUMPRODUCT(React!$C$245:$AM$245,Curves!$AL$65:$BV$65)</f>
        <v/>
      </c>
      <c r="AN246" s="5">
        <f>SUMPRODUCT(React!$C$243:$AN$243,Curves!$AK$19:$BV$19)+SUMPRODUCT(React!$C$244:$AN$244,Curves!$AK$42:$BV$42)+SUMPRODUCT(React!$C$245:$AN$245,Curves!$AK$65:$BV$65)</f>
        <v/>
      </c>
      <c r="AO246" s="5">
        <f>SUMPRODUCT(React!$C$243:$AO$243,Curves!$AJ$19:$BV$19)+SUMPRODUCT(React!$C$244:$AO$244,Curves!$AJ$42:$BV$42)+SUMPRODUCT(React!$C$245:$AO$245,Curves!$AJ$65:$BV$65)</f>
        <v/>
      </c>
      <c r="AP246" s="5">
        <f>SUMPRODUCT(React!$C$243:$AP$243,Curves!$AI$19:$BV$19)+SUMPRODUCT(React!$C$244:$AP$244,Curves!$AI$42:$BV$42)+SUMPRODUCT(React!$C$245:$AP$245,Curves!$AI$65:$BV$65)</f>
        <v/>
      </c>
      <c r="AQ246" s="5">
        <f>SUMPRODUCT(React!$C$243:$AQ$243,Curves!$AH$19:$BV$19)+SUMPRODUCT(React!$C$244:$AQ$244,Curves!$AH$42:$BV$42)+SUMPRODUCT(React!$C$245:$AQ$245,Curves!$AH$65:$BV$65)</f>
        <v/>
      </c>
      <c r="AR246" s="5">
        <f>SUMPRODUCT(React!$C$243:$AR$243,Curves!$AG$19:$BV$19)+SUMPRODUCT(React!$C$244:$AR$244,Curves!$AG$42:$BV$42)+SUMPRODUCT(React!$C$245:$AR$245,Curves!$AG$65:$BV$65)</f>
        <v/>
      </c>
      <c r="AS246" s="5">
        <f>SUMPRODUCT(React!$C$243:$AS$243,Curves!$AF$19:$BV$19)+SUMPRODUCT(React!$C$244:$AS$244,Curves!$AF$42:$BV$42)+SUMPRODUCT(React!$C$245:$AS$245,Curves!$AF$65:$BV$65)</f>
        <v/>
      </c>
      <c r="AT246" s="5">
        <f>SUMPRODUCT(React!$C$243:$AT$243,Curves!$AE$19:$BV$19)+SUMPRODUCT(React!$C$244:$AT$244,Curves!$AE$42:$BV$42)+SUMPRODUCT(React!$C$245:$AT$245,Curves!$AE$65:$BV$65)</f>
        <v/>
      </c>
      <c r="AU246" s="5">
        <f>SUMPRODUCT(React!$C$243:$AU$243,Curves!$AD$19:$BV$19)+SUMPRODUCT(React!$C$244:$AU$244,Curves!$AD$42:$BV$42)+SUMPRODUCT(React!$C$245:$AU$245,Curves!$AD$65:$BV$65)</f>
        <v/>
      </c>
      <c r="AV246" s="5">
        <f>SUMPRODUCT(React!$C$243:$AV$243,Curves!$AC$19:$BV$19)+SUMPRODUCT(React!$C$244:$AV$244,Curves!$AC$42:$BV$42)+SUMPRODUCT(React!$C$245:$AV$245,Curves!$AC$65:$BV$65)</f>
        <v/>
      </c>
      <c r="AW246" s="5">
        <f>SUMPRODUCT(React!$C$243:$AW$243,Curves!$AB$19:$BV$19)+SUMPRODUCT(React!$C$244:$AW$244,Curves!$AB$42:$BV$42)+SUMPRODUCT(React!$C$245:$AW$245,Curves!$AB$65:$BV$65)</f>
        <v/>
      </c>
      <c r="AX246" s="5">
        <f>SUMPRODUCT(React!$C$243:$AX$243,Curves!$AA$19:$BV$19)+SUMPRODUCT(React!$C$244:$AX$244,Curves!$AA$42:$BV$42)+SUMPRODUCT(React!$C$245:$AX$245,Curves!$AA$65:$BV$65)</f>
        <v/>
      </c>
      <c r="AY246" s="5">
        <f>SUMPRODUCT(React!$C$243:$AY$243,Curves!$Z$19:$BV$19)+SUMPRODUCT(React!$C$244:$AY$244,Curves!$Z$42:$BV$42)+SUMPRODUCT(React!$C$245:$AY$245,Curves!$Z$65:$BV$65)</f>
        <v/>
      </c>
      <c r="AZ246" s="5">
        <f>SUMPRODUCT(React!$C$243:$AZ$243,Curves!$Y$19:$BV$19)+SUMPRODUCT(React!$C$244:$AZ$244,Curves!$Y$42:$BV$42)+SUMPRODUCT(React!$C$245:$AZ$245,Curves!$Y$65:$BV$65)</f>
        <v/>
      </c>
      <c r="BA246" s="5">
        <f>SUMPRODUCT(React!$C$243:$BA$243,Curves!$X$19:$BV$19)+SUMPRODUCT(React!$C$244:$BA$244,Curves!$X$42:$BV$42)+SUMPRODUCT(React!$C$245:$BA$245,Curves!$X$65:$BV$65)</f>
        <v/>
      </c>
      <c r="BB246" s="5">
        <f>SUMPRODUCT(React!$C$243:$BB$243,Curves!$W$19:$BV$19)+SUMPRODUCT(React!$C$244:$BB$244,Curves!$W$42:$BV$42)+SUMPRODUCT(React!$C$245:$BB$245,Curves!$W$65:$BV$65)</f>
        <v/>
      </c>
      <c r="BC246" s="5">
        <f>SUMPRODUCT(React!$C$243:$BC$243,Curves!$V$19:$BV$19)+SUMPRODUCT(React!$C$244:$BC$244,Curves!$V$42:$BV$42)+SUMPRODUCT(React!$C$245:$BC$245,Curves!$V$65:$BV$65)</f>
        <v/>
      </c>
      <c r="BD246" s="5">
        <f>SUMPRODUCT(React!$C$243:$BD$243,Curves!$U$19:$BV$19)+SUMPRODUCT(React!$C$244:$BD$244,Curves!$U$42:$BV$42)+SUMPRODUCT(React!$C$245:$BD$245,Curves!$U$65:$BV$65)</f>
        <v/>
      </c>
      <c r="BE246" s="5">
        <f>SUMPRODUCT(React!$C$243:$BE$243,Curves!$T$19:$BV$19)+SUMPRODUCT(React!$C$244:$BE$244,Curves!$T$42:$BV$42)+SUMPRODUCT(React!$C$245:$BE$245,Curves!$T$65:$BV$65)</f>
        <v/>
      </c>
      <c r="BF246" s="5">
        <f>SUMPRODUCT(React!$C$243:$BF$243,Curves!$S$19:$BV$19)+SUMPRODUCT(React!$C$244:$BF$244,Curves!$S$42:$BV$42)+SUMPRODUCT(React!$C$245:$BF$245,Curves!$S$65:$BV$65)</f>
        <v/>
      </c>
      <c r="BG246" s="5">
        <f>SUMPRODUCT(React!$C$243:$BG$243,Curves!$R$19:$BV$19)+SUMPRODUCT(React!$C$244:$BG$244,Curves!$R$42:$BV$42)+SUMPRODUCT(React!$C$245:$BG$245,Curves!$R$65:$BV$65)</f>
        <v/>
      </c>
      <c r="BH246" s="5">
        <f>SUMPRODUCT(React!$C$243:$BH$243,Curves!$Q$19:$BV$19)+SUMPRODUCT(React!$C$244:$BH$244,Curves!$Q$42:$BV$42)+SUMPRODUCT(React!$C$245:$BH$245,Curves!$Q$65:$BV$65)</f>
        <v/>
      </c>
      <c r="BI246" s="5">
        <f>SUMPRODUCT(React!$C$243:$BI$243,Curves!$P$19:$BV$19)+SUMPRODUCT(React!$C$244:$BI$244,Curves!$P$42:$BV$42)+SUMPRODUCT(React!$C$245:$BI$245,Curves!$P$65:$BV$65)</f>
        <v/>
      </c>
      <c r="BJ246" s="5">
        <f>SUMPRODUCT(React!$C$243:$BJ$243,Curves!$O$19:$BV$19)+SUMPRODUCT(React!$C$244:$BJ$244,Curves!$O$42:$BV$42)+SUMPRODUCT(React!$C$245:$BJ$245,Curves!$O$65:$BV$65)</f>
        <v/>
      </c>
      <c r="BK246" s="5">
        <f>SUMPRODUCT(React!$C$243:$BK$243,Curves!$N$19:$BV$19)+SUMPRODUCT(React!$C$244:$BK$244,Curves!$N$42:$BV$42)+SUMPRODUCT(React!$C$245:$BK$245,Curves!$N$65:$BV$65)</f>
        <v/>
      </c>
      <c r="BL246" s="5">
        <f>SUMPRODUCT(React!$C$243:$BL$243,Curves!$M$19:$BV$19)+SUMPRODUCT(React!$C$244:$BL$244,Curves!$M$42:$BV$42)+SUMPRODUCT(React!$C$245:$BL$245,Curves!$M$65:$BV$65)</f>
        <v/>
      </c>
      <c r="BM246" s="5">
        <f>SUMPRODUCT(React!$C$243:$BM$243,Curves!$L$19:$BV$19)+SUMPRODUCT(React!$C$244:$BM$244,Curves!$L$42:$BV$42)+SUMPRODUCT(React!$C$245:$BM$245,Curves!$L$65:$BV$65)</f>
        <v/>
      </c>
      <c r="BN246" s="5">
        <f>SUMPRODUCT(React!$C$243:$BN$243,Curves!$K$19:$BV$19)+SUMPRODUCT(React!$C$244:$BN$244,Curves!$K$42:$BV$42)+SUMPRODUCT(React!$C$245:$BN$245,Curves!$K$65:$BV$65)</f>
        <v/>
      </c>
      <c r="BO246" s="5">
        <f>SUMPRODUCT(React!$C$243:$BO$243,Curves!$J$19:$BV$19)+SUMPRODUCT(React!$C$244:$BO$244,Curves!$J$42:$BV$42)+SUMPRODUCT(React!$C$245:$BO$245,Curves!$J$65:$BV$65)</f>
        <v/>
      </c>
      <c r="BP246" s="5">
        <f>SUMPRODUCT(React!$C$243:$BP$243,Curves!$I$19:$BV$19)+SUMPRODUCT(React!$C$244:$BP$244,Curves!$I$42:$BV$42)+SUMPRODUCT(React!$C$245:$BP$245,Curves!$I$65:$BV$65)</f>
        <v/>
      </c>
      <c r="BQ246" s="5">
        <f>SUMPRODUCT(React!$C$243:$BQ$243,Curves!$H$19:$BV$19)+SUMPRODUCT(React!$C$244:$BQ$244,Curves!$H$42:$BV$42)+SUMPRODUCT(React!$C$245:$BQ$245,Curves!$H$65:$BV$65)</f>
        <v/>
      </c>
      <c r="BR246" s="5">
        <f>SUMPRODUCT(React!$C$243:$BR$243,Curves!$G$19:$BV$19)+SUMPRODUCT(React!$C$244:$BR$244,Curves!$G$42:$BV$42)+SUMPRODUCT(React!$C$245:$BR$245,Curves!$G$65:$BV$65)</f>
        <v/>
      </c>
      <c r="BS246" s="5">
        <f>SUMPRODUCT(React!$C$243:$BS$243,Curves!$F$19:$BV$19)+SUMPRODUCT(React!$C$244:$BS$244,Curves!$F$42:$BV$42)+SUMPRODUCT(React!$C$245:$BS$245,Curves!$F$65:$BV$65)</f>
        <v/>
      </c>
      <c r="BT246" s="5">
        <f>SUMPRODUCT(React!$C$243:$BT$243,Curves!$E$19:$BV$19)+SUMPRODUCT(React!$C$244:$BT$244,Curves!$E$42:$BV$42)+SUMPRODUCT(React!$C$245:$BT$245,Curves!$E$65:$BV$65)</f>
        <v/>
      </c>
      <c r="BU246" s="5">
        <f>SUMPRODUCT(React!$C$243:$BU$243,Curves!$D$19:$BV$19)+SUMPRODUCT(React!$C$244:$BU$244,Curves!$D$42:$BV$42)+SUMPRODUCT(React!$C$245:$BU$245,Curves!$D$65:$BV$65)</f>
        <v/>
      </c>
      <c r="BV246" s="5">
        <f>SUMPRODUCT(React!$C$243:$BV$243,Curves!$C$19:$BV$19)+SUMPRODUCT(React!$C$244:$BV$244,Curves!$C$42:$BV$42)+SUMPRODUCT(React!$C$245:$BV$245,Curves!$C$65:$BV$65)</f>
        <v/>
      </c>
    </row>
    <row r="247">
      <c r="A247" t="inlineStr">
        <is>
          <t>active yr 1</t>
        </is>
      </c>
      <c r="B247" t="inlineStr">
        <is>
          <t>ROW|BASIC_M</t>
        </is>
      </c>
      <c r="C247" s="5">
        <f>React!$C$243*Curves!$BV$24+React!$C$244*Curves!$BV$47+React!$C$245*Curves!$BV$70</f>
        <v/>
      </c>
      <c r="D247" s="5">
        <f>SUMPRODUCT(React!$C$243:$D$243,Curves!$BU$24:$BV$24)+SUMPRODUCT(React!$C$244:$D$244,Curves!$BU$47:$BV$47)+SUMPRODUCT(React!$C$245:$D$245,Curves!$BU$70:$BV$70)</f>
        <v/>
      </c>
      <c r="E247" s="5">
        <f>SUMPRODUCT(React!$C$243:$E$243,Curves!$BT$24:$BV$24)+SUMPRODUCT(React!$C$244:$E$244,Curves!$BT$47:$BV$47)+SUMPRODUCT(React!$C$245:$E$245,Curves!$BT$70:$BV$70)</f>
        <v/>
      </c>
      <c r="F247" s="5">
        <f>SUMPRODUCT(React!$C$243:$F$243,Curves!$BS$24:$BV$24)+SUMPRODUCT(React!$C$244:$F$244,Curves!$BS$47:$BV$47)+SUMPRODUCT(React!$C$245:$F$245,Curves!$BS$70:$BV$70)</f>
        <v/>
      </c>
      <c r="G247" s="5">
        <f>SUMPRODUCT(React!$C$243:$G$243,Curves!$BR$24:$BV$24)+SUMPRODUCT(React!$C$244:$G$244,Curves!$BR$47:$BV$47)+SUMPRODUCT(React!$C$245:$G$245,Curves!$BR$70:$BV$70)</f>
        <v/>
      </c>
      <c r="H247" s="5">
        <f>SUMPRODUCT(React!$C$243:$H$243,Curves!$BQ$24:$BV$24)+SUMPRODUCT(React!$C$244:$H$244,Curves!$BQ$47:$BV$47)+SUMPRODUCT(React!$C$245:$H$245,Curves!$BQ$70:$BV$70)</f>
        <v/>
      </c>
      <c r="I247" s="5">
        <f>SUMPRODUCT(React!$C$243:$I$243,Curves!$BP$24:$BV$24)+SUMPRODUCT(React!$C$244:$I$244,Curves!$BP$47:$BV$47)+SUMPRODUCT(React!$C$245:$I$245,Curves!$BP$70:$BV$70)</f>
        <v/>
      </c>
      <c r="J247" s="5">
        <f>SUMPRODUCT(React!$C$243:$J$243,Curves!$BO$24:$BV$24)+SUMPRODUCT(React!$C$244:$J$244,Curves!$BO$47:$BV$47)+SUMPRODUCT(React!$C$245:$J$245,Curves!$BO$70:$BV$70)</f>
        <v/>
      </c>
      <c r="K247" s="5">
        <f>SUMPRODUCT(React!$C$243:$K$243,Curves!$BN$24:$BV$24)+SUMPRODUCT(React!$C$244:$K$244,Curves!$BN$47:$BV$47)+SUMPRODUCT(React!$C$245:$K$245,Curves!$BN$70:$BV$70)</f>
        <v/>
      </c>
      <c r="L247" s="5">
        <f>SUMPRODUCT(React!$C$243:$L$243,Curves!$BM$24:$BV$24)+SUMPRODUCT(React!$C$244:$L$244,Curves!$BM$47:$BV$47)+SUMPRODUCT(React!$C$245:$L$245,Curves!$BM$70:$BV$70)</f>
        <v/>
      </c>
      <c r="M247" s="5">
        <f>SUMPRODUCT(React!$C$243:$M$243,Curves!$BL$24:$BV$24)+SUMPRODUCT(React!$C$244:$M$244,Curves!$BL$47:$BV$47)+SUMPRODUCT(React!$C$245:$M$245,Curves!$BL$70:$BV$70)</f>
        <v/>
      </c>
      <c r="N247" s="5">
        <f>SUMPRODUCT(React!$C$243:$N$243,Curves!$BK$24:$BV$24)+SUMPRODUCT(React!$C$244:$N$244,Curves!$BK$47:$BV$47)+SUMPRODUCT(React!$C$245:$N$245,Curves!$BK$70:$BV$70)</f>
        <v/>
      </c>
      <c r="O247" s="5">
        <f>SUMPRODUCT(React!$C$243:$O$243,Curves!$BJ$24:$BV$24)+SUMPRODUCT(React!$C$244:$O$244,Curves!$BJ$47:$BV$47)+SUMPRODUCT(React!$C$245:$O$245,Curves!$BJ$70:$BV$70)</f>
        <v/>
      </c>
      <c r="P247" s="5">
        <f>SUMPRODUCT(React!$C$243:$P$243,Curves!$BI$24:$BV$24)+SUMPRODUCT(React!$C$244:$P$244,Curves!$BI$47:$BV$47)+SUMPRODUCT(React!$C$245:$P$245,Curves!$BI$70:$BV$70)</f>
        <v/>
      </c>
      <c r="Q247" s="5">
        <f>SUMPRODUCT(React!$C$243:$Q$243,Curves!$BH$24:$BV$24)+SUMPRODUCT(React!$C$244:$Q$244,Curves!$BH$47:$BV$47)+SUMPRODUCT(React!$C$245:$Q$245,Curves!$BH$70:$BV$70)</f>
        <v/>
      </c>
      <c r="R247" s="5">
        <f>SUMPRODUCT(React!$C$243:$R$243,Curves!$BG$24:$BV$24)+SUMPRODUCT(React!$C$244:$R$244,Curves!$BG$47:$BV$47)+SUMPRODUCT(React!$C$245:$R$245,Curves!$BG$70:$BV$70)</f>
        <v/>
      </c>
      <c r="S247" s="5">
        <f>SUMPRODUCT(React!$C$243:$S$243,Curves!$BF$24:$BV$24)+SUMPRODUCT(React!$C$244:$S$244,Curves!$BF$47:$BV$47)+SUMPRODUCT(React!$C$245:$S$245,Curves!$BF$70:$BV$70)</f>
        <v/>
      </c>
      <c r="T247" s="5">
        <f>SUMPRODUCT(React!$C$243:$T$243,Curves!$BE$24:$BV$24)+SUMPRODUCT(React!$C$244:$T$244,Curves!$BE$47:$BV$47)+SUMPRODUCT(React!$C$245:$T$245,Curves!$BE$70:$BV$70)</f>
        <v/>
      </c>
      <c r="U247" s="5">
        <f>SUMPRODUCT(React!$C$243:$U$243,Curves!$BD$24:$BV$24)+SUMPRODUCT(React!$C$244:$U$244,Curves!$BD$47:$BV$47)+SUMPRODUCT(React!$C$245:$U$245,Curves!$BD$70:$BV$70)</f>
        <v/>
      </c>
      <c r="V247" s="5">
        <f>SUMPRODUCT(React!$C$243:$V$243,Curves!$BC$24:$BV$24)+SUMPRODUCT(React!$C$244:$V$244,Curves!$BC$47:$BV$47)+SUMPRODUCT(React!$C$245:$V$245,Curves!$BC$70:$BV$70)</f>
        <v/>
      </c>
      <c r="W247" s="5">
        <f>SUMPRODUCT(React!$C$243:$W$243,Curves!$BB$24:$BV$24)+SUMPRODUCT(React!$C$244:$W$244,Curves!$BB$47:$BV$47)+SUMPRODUCT(React!$C$245:$W$245,Curves!$BB$70:$BV$70)</f>
        <v/>
      </c>
      <c r="X247" s="5">
        <f>SUMPRODUCT(React!$C$243:$X$243,Curves!$BA$24:$BV$24)+SUMPRODUCT(React!$C$244:$X$244,Curves!$BA$47:$BV$47)+SUMPRODUCT(React!$C$245:$X$245,Curves!$BA$70:$BV$70)</f>
        <v/>
      </c>
      <c r="Y247" s="5">
        <f>SUMPRODUCT(React!$C$243:$Y$243,Curves!$AZ$24:$BV$24)+SUMPRODUCT(React!$C$244:$Y$244,Curves!$AZ$47:$BV$47)+SUMPRODUCT(React!$C$245:$Y$245,Curves!$AZ$70:$BV$70)</f>
        <v/>
      </c>
      <c r="Z247" s="5">
        <f>SUMPRODUCT(React!$C$243:$Z$243,Curves!$AY$24:$BV$24)+SUMPRODUCT(React!$C$244:$Z$244,Curves!$AY$47:$BV$47)+SUMPRODUCT(React!$C$245:$Z$245,Curves!$AY$70:$BV$70)</f>
        <v/>
      </c>
      <c r="AA247" s="5">
        <f>SUMPRODUCT(React!$C$243:$AA$243,Curves!$AX$24:$BV$24)+SUMPRODUCT(React!$C$244:$AA$244,Curves!$AX$47:$BV$47)+SUMPRODUCT(React!$C$245:$AA$245,Curves!$AX$70:$BV$70)</f>
        <v/>
      </c>
      <c r="AB247" s="5">
        <f>SUMPRODUCT(React!$C$243:$AB$243,Curves!$AW$24:$BV$24)+SUMPRODUCT(React!$C$244:$AB$244,Curves!$AW$47:$BV$47)+SUMPRODUCT(React!$C$245:$AB$245,Curves!$AW$70:$BV$70)</f>
        <v/>
      </c>
      <c r="AC247" s="5">
        <f>SUMPRODUCT(React!$C$243:$AC$243,Curves!$AV$24:$BV$24)+SUMPRODUCT(React!$C$244:$AC$244,Curves!$AV$47:$BV$47)+SUMPRODUCT(React!$C$245:$AC$245,Curves!$AV$70:$BV$70)</f>
        <v/>
      </c>
      <c r="AD247" s="5">
        <f>SUMPRODUCT(React!$C$243:$AD$243,Curves!$AU$24:$BV$24)+SUMPRODUCT(React!$C$244:$AD$244,Curves!$AU$47:$BV$47)+SUMPRODUCT(React!$C$245:$AD$245,Curves!$AU$70:$BV$70)</f>
        <v/>
      </c>
      <c r="AE247" s="5">
        <f>SUMPRODUCT(React!$C$243:$AE$243,Curves!$AT$24:$BV$24)+SUMPRODUCT(React!$C$244:$AE$244,Curves!$AT$47:$BV$47)+SUMPRODUCT(React!$C$245:$AE$245,Curves!$AT$70:$BV$70)</f>
        <v/>
      </c>
      <c r="AF247" s="5">
        <f>SUMPRODUCT(React!$C$243:$AF$243,Curves!$AS$24:$BV$24)+SUMPRODUCT(React!$C$244:$AF$244,Curves!$AS$47:$BV$47)+SUMPRODUCT(React!$C$245:$AF$245,Curves!$AS$70:$BV$70)</f>
        <v/>
      </c>
      <c r="AG247" s="5">
        <f>SUMPRODUCT(React!$C$243:$AG$243,Curves!$AR$24:$BV$24)+SUMPRODUCT(React!$C$244:$AG$244,Curves!$AR$47:$BV$47)+SUMPRODUCT(React!$C$245:$AG$245,Curves!$AR$70:$BV$70)</f>
        <v/>
      </c>
      <c r="AH247" s="5">
        <f>SUMPRODUCT(React!$C$243:$AH$243,Curves!$AQ$24:$BV$24)+SUMPRODUCT(React!$C$244:$AH$244,Curves!$AQ$47:$BV$47)+SUMPRODUCT(React!$C$245:$AH$245,Curves!$AQ$70:$BV$70)</f>
        <v/>
      </c>
      <c r="AI247" s="5">
        <f>SUMPRODUCT(React!$C$243:$AI$243,Curves!$AP$24:$BV$24)+SUMPRODUCT(React!$C$244:$AI$244,Curves!$AP$47:$BV$47)+SUMPRODUCT(React!$C$245:$AI$245,Curves!$AP$70:$BV$70)</f>
        <v/>
      </c>
      <c r="AJ247" s="5">
        <f>SUMPRODUCT(React!$C$243:$AJ$243,Curves!$AO$24:$BV$24)+SUMPRODUCT(React!$C$244:$AJ$244,Curves!$AO$47:$BV$47)+SUMPRODUCT(React!$C$245:$AJ$245,Curves!$AO$70:$BV$70)</f>
        <v/>
      </c>
      <c r="AK247" s="5">
        <f>SUMPRODUCT(React!$C$243:$AK$243,Curves!$AN$24:$BV$24)+SUMPRODUCT(React!$C$244:$AK$244,Curves!$AN$47:$BV$47)+SUMPRODUCT(React!$C$245:$AK$245,Curves!$AN$70:$BV$70)</f>
        <v/>
      </c>
      <c r="AL247" s="5">
        <f>SUMPRODUCT(React!$C$243:$AL$243,Curves!$AM$24:$BV$24)+SUMPRODUCT(React!$C$244:$AL$244,Curves!$AM$47:$BV$47)+SUMPRODUCT(React!$C$245:$AL$245,Curves!$AM$70:$BV$70)</f>
        <v/>
      </c>
      <c r="AM247" s="5">
        <f>SUMPRODUCT(React!$C$243:$AM$243,Curves!$AL$24:$BV$24)+SUMPRODUCT(React!$C$244:$AM$244,Curves!$AL$47:$BV$47)+SUMPRODUCT(React!$C$245:$AM$245,Curves!$AL$70:$BV$70)</f>
        <v/>
      </c>
      <c r="AN247" s="5">
        <f>SUMPRODUCT(React!$C$243:$AN$243,Curves!$AK$24:$BV$24)+SUMPRODUCT(React!$C$244:$AN$244,Curves!$AK$47:$BV$47)+SUMPRODUCT(React!$C$245:$AN$245,Curves!$AK$70:$BV$70)</f>
        <v/>
      </c>
      <c r="AO247" s="5">
        <f>SUMPRODUCT(React!$C$243:$AO$243,Curves!$AJ$24:$BV$24)+SUMPRODUCT(React!$C$244:$AO$244,Curves!$AJ$47:$BV$47)+SUMPRODUCT(React!$C$245:$AO$245,Curves!$AJ$70:$BV$70)</f>
        <v/>
      </c>
      <c r="AP247" s="5">
        <f>SUMPRODUCT(React!$C$243:$AP$243,Curves!$AI$24:$BV$24)+SUMPRODUCT(React!$C$244:$AP$244,Curves!$AI$47:$BV$47)+SUMPRODUCT(React!$C$245:$AP$245,Curves!$AI$70:$BV$70)</f>
        <v/>
      </c>
      <c r="AQ247" s="5">
        <f>SUMPRODUCT(React!$C$243:$AQ$243,Curves!$AH$24:$BV$24)+SUMPRODUCT(React!$C$244:$AQ$244,Curves!$AH$47:$BV$47)+SUMPRODUCT(React!$C$245:$AQ$245,Curves!$AH$70:$BV$70)</f>
        <v/>
      </c>
      <c r="AR247" s="5">
        <f>SUMPRODUCT(React!$C$243:$AR$243,Curves!$AG$24:$BV$24)+SUMPRODUCT(React!$C$244:$AR$244,Curves!$AG$47:$BV$47)+SUMPRODUCT(React!$C$245:$AR$245,Curves!$AG$70:$BV$70)</f>
        <v/>
      </c>
      <c r="AS247" s="5">
        <f>SUMPRODUCT(React!$C$243:$AS$243,Curves!$AF$24:$BV$24)+SUMPRODUCT(React!$C$244:$AS$244,Curves!$AF$47:$BV$47)+SUMPRODUCT(React!$C$245:$AS$245,Curves!$AF$70:$BV$70)</f>
        <v/>
      </c>
      <c r="AT247" s="5">
        <f>SUMPRODUCT(React!$C$243:$AT$243,Curves!$AE$24:$BV$24)+SUMPRODUCT(React!$C$244:$AT$244,Curves!$AE$47:$BV$47)+SUMPRODUCT(React!$C$245:$AT$245,Curves!$AE$70:$BV$70)</f>
        <v/>
      </c>
      <c r="AU247" s="5">
        <f>SUMPRODUCT(React!$C$243:$AU$243,Curves!$AD$24:$BV$24)+SUMPRODUCT(React!$C$244:$AU$244,Curves!$AD$47:$BV$47)+SUMPRODUCT(React!$C$245:$AU$245,Curves!$AD$70:$BV$70)</f>
        <v/>
      </c>
      <c r="AV247" s="5">
        <f>SUMPRODUCT(React!$C$243:$AV$243,Curves!$AC$24:$BV$24)+SUMPRODUCT(React!$C$244:$AV$244,Curves!$AC$47:$BV$47)+SUMPRODUCT(React!$C$245:$AV$245,Curves!$AC$70:$BV$70)</f>
        <v/>
      </c>
      <c r="AW247" s="5">
        <f>SUMPRODUCT(React!$C$243:$AW$243,Curves!$AB$24:$BV$24)+SUMPRODUCT(React!$C$244:$AW$244,Curves!$AB$47:$BV$47)+SUMPRODUCT(React!$C$245:$AW$245,Curves!$AB$70:$BV$70)</f>
        <v/>
      </c>
      <c r="AX247" s="5">
        <f>SUMPRODUCT(React!$C$243:$AX$243,Curves!$AA$24:$BV$24)+SUMPRODUCT(React!$C$244:$AX$244,Curves!$AA$47:$BV$47)+SUMPRODUCT(React!$C$245:$AX$245,Curves!$AA$70:$BV$70)</f>
        <v/>
      </c>
      <c r="AY247" s="5">
        <f>SUMPRODUCT(React!$C$243:$AY$243,Curves!$Z$24:$BV$24)+SUMPRODUCT(React!$C$244:$AY$244,Curves!$Z$47:$BV$47)+SUMPRODUCT(React!$C$245:$AY$245,Curves!$Z$70:$BV$70)</f>
        <v/>
      </c>
      <c r="AZ247" s="5">
        <f>SUMPRODUCT(React!$C$243:$AZ$243,Curves!$Y$24:$BV$24)+SUMPRODUCT(React!$C$244:$AZ$244,Curves!$Y$47:$BV$47)+SUMPRODUCT(React!$C$245:$AZ$245,Curves!$Y$70:$BV$70)</f>
        <v/>
      </c>
      <c r="BA247" s="5">
        <f>SUMPRODUCT(React!$C$243:$BA$243,Curves!$X$24:$BV$24)+SUMPRODUCT(React!$C$244:$BA$244,Curves!$X$47:$BV$47)+SUMPRODUCT(React!$C$245:$BA$245,Curves!$X$70:$BV$70)</f>
        <v/>
      </c>
      <c r="BB247" s="5">
        <f>SUMPRODUCT(React!$C$243:$BB$243,Curves!$W$24:$BV$24)+SUMPRODUCT(React!$C$244:$BB$244,Curves!$W$47:$BV$47)+SUMPRODUCT(React!$C$245:$BB$245,Curves!$W$70:$BV$70)</f>
        <v/>
      </c>
      <c r="BC247" s="5">
        <f>SUMPRODUCT(React!$C$243:$BC$243,Curves!$V$24:$BV$24)+SUMPRODUCT(React!$C$244:$BC$244,Curves!$V$47:$BV$47)+SUMPRODUCT(React!$C$245:$BC$245,Curves!$V$70:$BV$70)</f>
        <v/>
      </c>
      <c r="BD247" s="5">
        <f>SUMPRODUCT(React!$C$243:$BD$243,Curves!$U$24:$BV$24)+SUMPRODUCT(React!$C$244:$BD$244,Curves!$U$47:$BV$47)+SUMPRODUCT(React!$C$245:$BD$245,Curves!$U$70:$BV$70)</f>
        <v/>
      </c>
      <c r="BE247" s="5">
        <f>SUMPRODUCT(React!$C$243:$BE$243,Curves!$T$24:$BV$24)+SUMPRODUCT(React!$C$244:$BE$244,Curves!$T$47:$BV$47)+SUMPRODUCT(React!$C$245:$BE$245,Curves!$T$70:$BV$70)</f>
        <v/>
      </c>
      <c r="BF247" s="5">
        <f>SUMPRODUCT(React!$C$243:$BF$243,Curves!$S$24:$BV$24)+SUMPRODUCT(React!$C$244:$BF$244,Curves!$S$47:$BV$47)+SUMPRODUCT(React!$C$245:$BF$245,Curves!$S$70:$BV$70)</f>
        <v/>
      </c>
      <c r="BG247" s="5">
        <f>SUMPRODUCT(React!$C$243:$BG$243,Curves!$R$24:$BV$24)+SUMPRODUCT(React!$C$244:$BG$244,Curves!$R$47:$BV$47)+SUMPRODUCT(React!$C$245:$BG$245,Curves!$R$70:$BV$70)</f>
        <v/>
      </c>
      <c r="BH247" s="5">
        <f>SUMPRODUCT(React!$C$243:$BH$243,Curves!$Q$24:$BV$24)+SUMPRODUCT(React!$C$244:$BH$244,Curves!$Q$47:$BV$47)+SUMPRODUCT(React!$C$245:$BH$245,Curves!$Q$70:$BV$70)</f>
        <v/>
      </c>
      <c r="BI247" s="5">
        <f>SUMPRODUCT(React!$C$243:$BI$243,Curves!$P$24:$BV$24)+SUMPRODUCT(React!$C$244:$BI$244,Curves!$P$47:$BV$47)+SUMPRODUCT(React!$C$245:$BI$245,Curves!$P$70:$BV$70)</f>
        <v/>
      </c>
      <c r="BJ247" s="5">
        <f>SUMPRODUCT(React!$C$243:$BJ$243,Curves!$O$24:$BV$24)+SUMPRODUCT(React!$C$244:$BJ$244,Curves!$O$47:$BV$47)+SUMPRODUCT(React!$C$245:$BJ$245,Curves!$O$70:$BV$70)</f>
        <v/>
      </c>
      <c r="BK247" s="5">
        <f>SUMPRODUCT(React!$C$243:$BK$243,Curves!$N$24:$BV$24)+SUMPRODUCT(React!$C$244:$BK$244,Curves!$N$47:$BV$47)+SUMPRODUCT(React!$C$245:$BK$245,Curves!$N$70:$BV$70)</f>
        <v/>
      </c>
      <c r="BL247" s="5">
        <f>SUMPRODUCT(React!$C$243:$BL$243,Curves!$M$24:$BV$24)+SUMPRODUCT(React!$C$244:$BL$244,Curves!$M$47:$BV$47)+SUMPRODUCT(React!$C$245:$BL$245,Curves!$M$70:$BV$70)</f>
        <v/>
      </c>
      <c r="BM247" s="5">
        <f>SUMPRODUCT(React!$C$243:$BM$243,Curves!$L$24:$BV$24)+SUMPRODUCT(React!$C$244:$BM$244,Curves!$L$47:$BV$47)+SUMPRODUCT(React!$C$245:$BM$245,Curves!$L$70:$BV$70)</f>
        <v/>
      </c>
      <c r="BN247" s="5">
        <f>SUMPRODUCT(React!$C$243:$BN$243,Curves!$K$24:$BV$24)+SUMPRODUCT(React!$C$244:$BN$244,Curves!$K$47:$BV$47)+SUMPRODUCT(React!$C$245:$BN$245,Curves!$K$70:$BV$70)</f>
        <v/>
      </c>
      <c r="BO247" s="5">
        <f>SUMPRODUCT(React!$C$243:$BO$243,Curves!$J$24:$BV$24)+SUMPRODUCT(React!$C$244:$BO$244,Curves!$J$47:$BV$47)+SUMPRODUCT(React!$C$245:$BO$245,Curves!$J$70:$BV$70)</f>
        <v/>
      </c>
      <c r="BP247" s="5">
        <f>SUMPRODUCT(React!$C$243:$BP$243,Curves!$I$24:$BV$24)+SUMPRODUCT(React!$C$244:$BP$244,Curves!$I$47:$BV$47)+SUMPRODUCT(React!$C$245:$BP$245,Curves!$I$70:$BV$70)</f>
        <v/>
      </c>
      <c r="BQ247" s="5">
        <f>SUMPRODUCT(React!$C$243:$BQ$243,Curves!$H$24:$BV$24)+SUMPRODUCT(React!$C$244:$BQ$244,Curves!$H$47:$BV$47)+SUMPRODUCT(React!$C$245:$BQ$245,Curves!$H$70:$BV$70)</f>
        <v/>
      </c>
      <c r="BR247" s="5">
        <f>SUMPRODUCT(React!$C$243:$BR$243,Curves!$G$24:$BV$24)+SUMPRODUCT(React!$C$244:$BR$244,Curves!$G$47:$BV$47)+SUMPRODUCT(React!$C$245:$BR$245,Curves!$G$70:$BV$70)</f>
        <v/>
      </c>
      <c r="BS247" s="5">
        <f>SUMPRODUCT(React!$C$243:$BS$243,Curves!$F$24:$BV$24)+SUMPRODUCT(React!$C$244:$BS$244,Curves!$F$47:$BV$47)+SUMPRODUCT(React!$C$245:$BS$245,Curves!$F$70:$BV$70)</f>
        <v/>
      </c>
      <c r="BT247" s="5">
        <f>SUMPRODUCT(React!$C$243:$BT$243,Curves!$E$24:$BV$24)+SUMPRODUCT(React!$C$244:$BT$244,Curves!$E$47:$BV$47)+SUMPRODUCT(React!$C$245:$BT$245,Curves!$E$70:$BV$70)</f>
        <v/>
      </c>
      <c r="BU247" s="5">
        <f>SUMPRODUCT(React!$C$243:$BU$243,Curves!$D$24:$BV$24)+SUMPRODUCT(React!$C$244:$BU$244,Curves!$D$47:$BV$47)+SUMPRODUCT(React!$C$245:$BU$245,Curves!$D$70:$BV$70)</f>
        <v/>
      </c>
      <c r="BV247" s="5">
        <f>SUMPRODUCT(React!$C$243:$BV$243,Curves!$C$24:$BV$24)+SUMPRODUCT(React!$C$244:$BV$244,Curves!$C$47:$BV$47)+SUMPRODUCT(React!$C$245:$BV$245,Curves!$C$70:$BV$70)</f>
        <v/>
      </c>
    </row>
    <row r="248">
      <c r="A248" t="inlineStr">
        <is>
          <t>churned</t>
        </is>
      </c>
      <c r="B248" t="inlineStr">
        <is>
          <t>ROW|BASIC_M</t>
        </is>
      </c>
      <c r="C248" s="5">
        <f>React!$C$243*Curves!$BV$20+React!$C$244*Curves!$BV$43+React!$C$245*Curves!$BV$66</f>
        <v/>
      </c>
      <c r="D248" s="5">
        <f>SUMPRODUCT(React!$C$243:$D$243,Curves!$BU$20:$BV$20)+SUMPRODUCT(React!$C$244:$D$244,Curves!$BU$43:$BV$43)+SUMPRODUCT(React!$C$245:$D$245,Curves!$BU$66:$BV$66)</f>
        <v/>
      </c>
      <c r="E248" s="5">
        <f>SUMPRODUCT(React!$C$243:$E$243,Curves!$BT$20:$BV$20)+SUMPRODUCT(React!$C$244:$E$244,Curves!$BT$43:$BV$43)+SUMPRODUCT(React!$C$245:$E$245,Curves!$BT$66:$BV$66)</f>
        <v/>
      </c>
      <c r="F248" s="5">
        <f>SUMPRODUCT(React!$C$243:$F$243,Curves!$BS$20:$BV$20)+SUMPRODUCT(React!$C$244:$F$244,Curves!$BS$43:$BV$43)+SUMPRODUCT(React!$C$245:$F$245,Curves!$BS$66:$BV$66)</f>
        <v/>
      </c>
      <c r="G248" s="5">
        <f>SUMPRODUCT(React!$C$243:$G$243,Curves!$BR$20:$BV$20)+SUMPRODUCT(React!$C$244:$G$244,Curves!$BR$43:$BV$43)+SUMPRODUCT(React!$C$245:$G$245,Curves!$BR$66:$BV$66)</f>
        <v/>
      </c>
      <c r="H248" s="5">
        <f>SUMPRODUCT(React!$C$243:$H$243,Curves!$BQ$20:$BV$20)+SUMPRODUCT(React!$C$244:$H$244,Curves!$BQ$43:$BV$43)+SUMPRODUCT(React!$C$245:$H$245,Curves!$BQ$66:$BV$66)</f>
        <v/>
      </c>
      <c r="I248" s="5">
        <f>SUMPRODUCT(React!$C$243:$I$243,Curves!$BP$20:$BV$20)+SUMPRODUCT(React!$C$244:$I$244,Curves!$BP$43:$BV$43)+SUMPRODUCT(React!$C$245:$I$245,Curves!$BP$66:$BV$66)</f>
        <v/>
      </c>
      <c r="J248" s="5">
        <f>SUMPRODUCT(React!$C$243:$J$243,Curves!$BO$20:$BV$20)+SUMPRODUCT(React!$C$244:$J$244,Curves!$BO$43:$BV$43)+SUMPRODUCT(React!$C$245:$J$245,Curves!$BO$66:$BV$66)</f>
        <v/>
      </c>
      <c r="K248" s="5">
        <f>SUMPRODUCT(React!$C$243:$K$243,Curves!$BN$20:$BV$20)+SUMPRODUCT(React!$C$244:$K$244,Curves!$BN$43:$BV$43)+SUMPRODUCT(React!$C$245:$K$245,Curves!$BN$66:$BV$66)</f>
        <v/>
      </c>
      <c r="L248" s="5">
        <f>SUMPRODUCT(React!$C$243:$L$243,Curves!$BM$20:$BV$20)+SUMPRODUCT(React!$C$244:$L$244,Curves!$BM$43:$BV$43)+SUMPRODUCT(React!$C$245:$L$245,Curves!$BM$66:$BV$66)</f>
        <v/>
      </c>
      <c r="M248" s="5">
        <f>SUMPRODUCT(React!$C$243:$M$243,Curves!$BL$20:$BV$20)+SUMPRODUCT(React!$C$244:$M$244,Curves!$BL$43:$BV$43)+SUMPRODUCT(React!$C$245:$M$245,Curves!$BL$66:$BV$66)</f>
        <v/>
      </c>
      <c r="N248" s="5">
        <f>SUMPRODUCT(React!$C$243:$N$243,Curves!$BK$20:$BV$20)+SUMPRODUCT(React!$C$244:$N$244,Curves!$BK$43:$BV$43)+SUMPRODUCT(React!$C$245:$N$245,Curves!$BK$66:$BV$66)</f>
        <v/>
      </c>
      <c r="O248" s="5">
        <f>SUMPRODUCT(React!$C$243:$O$243,Curves!$BJ$20:$BV$20)+SUMPRODUCT(React!$C$244:$O$244,Curves!$BJ$43:$BV$43)+SUMPRODUCT(React!$C$245:$O$245,Curves!$BJ$66:$BV$66)</f>
        <v/>
      </c>
      <c r="P248" s="5">
        <f>SUMPRODUCT(React!$C$243:$P$243,Curves!$BI$20:$BV$20)+SUMPRODUCT(React!$C$244:$P$244,Curves!$BI$43:$BV$43)+SUMPRODUCT(React!$C$245:$P$245,Curves!$BI$66:$BV$66)</f>
        <v/>
      </c>
      <c r="Q248" s="5">
        <f>SUMPRODUCT(React!$C$243:$Q$243,Curves!$BH$20:$BV$20)+SUMPRODUCT(React!$C$244:$Q$244,Curves!$BH$43:$BV$43)+SUMPRODUCT(React!$C$245:$Q$245,Curves!$BH$66:$BV$66)</f>
        <v/>
      </c>
      <c r="R248" s="5">
        <f>SUMPRODUCT(React!$C$243:$R$243,Curves!$BG$20:$BV$20)+SUMPRODUCT(React!$C$244:$R$244,Curves!$BG$43:$BV$43)+SUMPRODUCT(React!$C$245:$R$245,Curves!$BG$66:$BV$66)</f>
        <v/>
      </c>
      <c r="S248" s="5">
        <f>SUMPRODUCT(React!$C$243:$S$243,Curves!$BF$20:$BV$20)+SUMPRODUCT(React!$C$244:$S$244,Curves!$BF$43:$BV$43)+SUMPRODUCT(React!$C$245:$S$245,Curves!$BF$66:$BV$66)</f>
        <v/>
      </c>
      <c r="T248" s="5">
        <f>SUMPRODUCT(React!$C$243:$T$243,Curves!$BE$20:$BV$20)+SUMPRODUCT(React!$C$244:$T$244,Curves!$BE$43:$BV$43)+SUMPRODUCT(React!$C$245:$T$245,Curves!$BE$66:$BV$66)</f>
        <v/>
      </c>
      <c r="U248" s="5">
        <f>SUMPRODUCT(React!$C$243:$U$243,Curves!$BD$20:$BV$20)+SUMPRODUCT(React!$C$244:$U$244,Curves!$BD$43:$BV$43)+SUMPRODUCT(React!$C$245:$U$245,Curves!$BD$66:$BV$66)</f>
        <v/>
      </c>
      <c r="V248" s="5">
        <f>SUMPRODUCT(React!$C$243:$V$243,Curves!$BC$20:$BV$20)+SUMPRODUCT(React!$C$244:$V$244,Curves!$BC$43:$BV$43)+SUMPRODUCT(React!$C$245:$V$245,Curves!$BC$66:$BV$66)</f>
        <v/>
      </c>
      <c r="W248" s="5">
        <f>SUMPRODUCT(React!$C$243:$W$243,Curves!$BB$20:$BV$20)+SUMPRODUCT(React!$C$244:$W$244,Curves!$BB$43:$BV$43)+SUMPRODUCT(React!$C$245:$W$245,Curves!$BB$66:$BV$66)</f>
        <v/>
      </c>
      <c r="X248" s="5">
        <f>SUMPRODUCT(React!$C$243:$X$243,Curves!$BA$20:$BV$20)+SUMPRODUCT(React!$C$244:$X$244,Curves!$BA$43:$BV$43)+SUMPRODUCT(React!$C$245:$X$245,Curves!$BA$66:$BV$66)</f>
        <v/>
      </c>
      <c r="Y248" s="5">
        <f>SUMPRODUCT(React!$C$243:$Y$243,Curves!$AZ$20:$BV$20)+SUMPRODUCT(React!$C$244:$Y$244,Curves!$AZ$43:$BV$43)+SUMPRODUCT(React!$C$245:$Y$245,Curves!$AZ$66:$BV$66)</f>
        <v/>
      </c>
      <c r="Z248" s="5">
        <f>SUMPRODUCT(React!$C$243:$Z$243,Curves!$AY$20:$BV$20)+SUMPRODUCT(React!$C$244:$Z$244,Curves!$AY$43:$BV$43)+SUMPRODUCT(React!$C$245:$Z$245,Curves!$AY$66:$BV$66)</f>
        <v/>
      </c>
      <c r="AA248" s="5">
        <f>SUMPRODUCT(React!$C$243:$AA$243,Curves!$AX$20:$BV$20)+SUMPRODUCT(React!$C$244:$AA$244,Curves!$AX$43:$BV$43)+SUMPRODUCT(React!$C$245:$AA$245,Curves!$AX$66:$BV$66)</f>
        <v/>
      </c>
      <c r="AB248" s="5">
        <f>SUMPRODUCT(React!$C$243:$AB$243,Curves!$AW$20:$BV$20)+SUMPRODUCT(React!$C$244:$AB$244,Curves!$AW$43:$BV$43)+SUMPRODUCT(React!$C$245:$AB$245,Curves!$AW$66:$BV$66)</f>
        <v/>
      </c>
      <c r="AC248" s="5">
        <f>SUMPRODUCT(React!$C$243:$AC$243,Curves!$AV$20:$BV$20)+SUMPRODUCT(React!$C$244:$AC$244,Curves!$AV$43:$BV$43)+SUMPRODUCT(React!$C$245:$AC$245,Curves!$AV$66:$BV$66)</f>
        <v/>
      </c>
      <c r="AD248" s="5">
        <f>SUMPRODUCT(React!$C$243:$AD$243,Curves!$AU$20:$BV$20)+SUMPRODUCT(React!$C$244:$AD$244,Curves!$AU$43:$BV$43)+SUMPRODUCT(React!$C$245:$AD$245,Curves!$AU$66:$BV$66)</f>
        <v/>
      </c>
      <c r="AE248" s="5">
        <f>SUMPRODUCT(React!$C$243:$AE$243,Curves!$AT$20:$BV$20)+SUMPRODUCT(React!$C$244:$AE$244,Curves!$AT$43:$BV$43)+SUMPRODUCT(React!$C$245:$AE$245,Curves!$AT$66:$BV$66)</f>
        <v/>
      </c>
      <c r="AF248" s="5">
        <f>SUMPRODUCT(React!$C$243:$AF$243,Curves!$AS$20:$BV$20)+SUMPRODUCT(React!$C$244:$AF$244,Curves!$AS$43:$BV$43)+SUMPRODUCT(React!$C$245:$AF$245,Curves!$AS$66:$BV$66)</f>
        <v/>
      </c>
      <c r="AG248" s="5">
        <f>SUMPRODUCT(React!$C$243:$AG$243,Curves!$AR$20:$BV$20)+SUMPRODUCT(React!$C$244:$AG$244,Curves!$AR$43:$BV$43)+SUMPRODUCT(React!$C$245:$AG$245,Curves!$AR$66:$BV$66)</f>
        <v/>
      </c>
      <c r="AH248" s="5">
        <f>SUMPRODUCT(React!$C$243:$AH$243,Curves!$AQ$20:$BV$20)+SUMPRODUCT(React!$C$244:$AH$244,Curves!$AQ$43:$BV$43)+SUMPRODUCT(React!$C$245:$AH$245,Curves!$AQ$66:$BV$66)</f>
        <v/>
      </c>
      <c r="AI248" s="5">
        <f>SUMPRODUCT(React!$C$243:$AI$243,Curves!$AP$20:$BV$20)+SUMPRODUCT(React!$C$244:$AI$244,Curves!$AP$43:$BV$43)+SUMPRODUCT(React!$C$245:$AI$245,Curves!$AP$66:$BV$66)</f>
        <v/>
      </c>
      <c r="AJ248" s="5">
        <f>SUMPRODUCT(React!$C$243:$AJ$243,Curves!$AO$20:$BV$20)+SUMPRODUCT(React!$C$244:$AJ$244,Curves!$AO$43:$BV$43)+SUMPRODUCT(React!$C$245:$AJ$245,Curves!$AO$66:$BV$66)</f>
        <v/>
      </c>
      <c r="AK248" s="5">
        <f>SUMPRODUCT(React!$C$243:$AK$243,Curves!$AN$20:$BV$20)+SUMPRODUCT(React!$C$244:$AK$244,Curves!$AN$43:$BV$43)+SUMPRODUCT(React!$C$245:$AK$245,Curves!$AN$66:$BV$66)</f>
        <v/>
      </c>
      <c r="AL248" s="5">
        <f>SUMPRODUCT(React!$C$243:$AL$243,Curves!$AM$20:$BV$20)+SUMPRODUCT(React!$C$244:$AL$244,Curves!$AM$43:$BV$43)+SUMPRODUCT(React!$C$245:$AL$245,Curves!$AM$66:$BV$66)</f>
        <v/>
      </c>
      <c r="AM248" s="5">
        <f>SUMPRODUCT(React!$C$243:$AM$243,Curves!$AL$20:$BV$20)+SUMPRODUCT(React!$C$244:$AM$244,Curves!$AL$43:$BV$43)+SUMPRODUCT(React!$C$245:$AM$245,Curves!$AL$66:$BV$66)</f>
        <v/>
      </c>
      <c r="AN248" s="5">
        <f>SUMPRODUCT(React!$C$243:$AN$243,Curves!$AK$20:$BV$20)+SUMPRODUCT(React!$C$244:$AN$244,Curves!$AK$43:$BV$43)+SUMPRODUCT(React!$C$245:$AN$245,Curves!$AK$66:$BV$66)</f>
        <v/>
      </c>
      <c r="AO248" s="5">
        <f>SUMPRODUCT(React!$C$243:$AO$243,Curves!$AJ$20:$BV$20)+SUMPRODUCT(React!$C$244:$AO$244,Curves!$AJ$43:$BV$43)+SUMPRODUCT(React!$C$245:$AO$245,Curves!$AJ$66:$BV$66)</f>
        <v/>
      </c>
      <c r="AP248" s="5">
        <f>SUMPRODUCT(React!$C$243:$AP$243,Curves!$AI$20:$BV$20)+SUMPRODUCT(React!$C$244:$AP$244,Curves!$AI$43:$BV$43)+SUMPRODUCT(React!$C$245:$AP$245,Curves!$AI$66:$BV$66)</f>
        <v/>
      </c>
      <c r="AQ248" s="5">
        <f>SUMPRODUCT(React!$C$243:$AQ$243,Curves!$AH$20:$BV$20)+SUMPRODUCT(React!$C$244:$AQ$244,Curves!$AH$43:$BV$43)+SUMPRODUCT(React!$C$245:$AQ$245,Curves!$AH$66:$BV$66)</f>
        <v/>
      </c>
      <c r="AR248" s="5">
        <f>SUMPRODUCT(React!$C$243:$AR$243,Curves!$AG$20:$BV$20)+SUMPRODUCT(React!$C$244:$AR$244,Curves!$AG$43:$BV$43)+SUMPRODUCT(React!$C$245:$AR$245,Curves!$AG$66:$BV$66)</f>
        <v/>
      </c>
      <c r="AS248" s="5">
        <f>SUMPRODUCT(React!$C$243:$AS$243,Curves!$AF$20:$BV$20)+SUMPRODUCT(React!$C$244:$AS$244,Curves!$AF$43:$BV$43)+SUMPRODUCT(React!$C$245:$AS$245,Curves!$AF$66:$BV$66)</f>
        <v/>
      </c>
      <c r="AT248" s="5">
        <f>SUMPRODUCT(React!$C$243:$AT$243,Curves!$AE$20:$BV$20)+SUMPRODUCT(React!$C$244:$AT$244,Curves!$AE$43:$BV$43)+SUMPRODUCT(React!$C$245:$AT$245,Curves!$AE$66:$BV$66)</f>
        <v/>
      </c>
      <c r="AU248" s="5">
        <f>SUMPRODUCT(React!$C$243:$AU$243,Curves!$AD$20:$BV$20)+SUMPRODUCT(React!$C$244:$AU$244,Curves!$AD$43:$BV$43)+SUMPRODUCT(React!$C$245:$AU$245,Curves!$AD$66:$BV$66)</f>
        <v/>
      </c>
      <c r="AV248" s="5">
        <f>SUMPRODUCT(React!$C$243:$AV$243,Curves!$AC$20:$BV$20)+SUMPRODUCT(React!$C$244:$AV$244,Curves!$AC$43:$BV$43)+SUMPRODUCT(React!$C$245:$AV$245,Curves!$AC$66:$BV$66)</f>
        <v/>
      </c>
      <c r="AW248" s="5">
        <f>SUMPRODUCT(React!$C$243:$AW$243,Curves!$AB$20:$BV$20)+SUMPRODUCT(React!$C$244:$AW$244,Curves!$AB$43:$BV$43)+SUMPRODUCT(React!$C$245:$AW$245,Curves!$AB$66:$BV$66)</f>
        <v/>
      </c>
      <c r="AX248" s="5">
        <f>SUMPRODUCT(React!$C$243:$AX$243,Curves!$AA$20:$BV$20)+SUMPRODUCT(React!$C$244:$AX$244,Curves!$AA$43:$BV$43)+SUMPRODUCT(React!$C$245:$AX$245,Curves!$AA$66:$BV$66)</f>
        <v/>
      </c>
      <c r="AY248" s="5">
        <f>SUMPRODUCT(React!$C$243:$AY$243,Curves!$Z$20:$BV$20)+SUMPRODUCT(React!$C$244:$AY$244,Curves!$Z$43:$BV$43)+SUMPRODUCT(React!$C$245:$AY$245,Curves!$Z$66:$BV$66)</f>
        <v/>
      </c>
      <c r="AZ248" s="5">
        <f>SUMPRODUCT(React!$C$243:$AZ$243,Curves!$Y$20:$BV$20)+SUMPRODUCT(React!$C$244:$AZ$244,Curves!$Y$43:$BV$43)+SUMPRODUCT(React!$C$245:$AZ$245,Curves!$Y$66:$BV$66)</f>
        <v/>
      </c>
      <c r="BA248" s="5">
        <f>SUMPRODUCT(React!$C$243:$BA$243,Curves!$X$20:$BV$20)+SUMPRODUCT(React!$C$244:$BA$244,Curves!$X$43:$BV$43)+SUMPRODUCT(React!$C$245:$BA$245,Curves!$X$66:$BV$66)</f>
        <v/>
      </c>
      <c r="BB248" s="5">
        <f>SUMPRODUCT(React!$C$243:$BB$243,Curves!$W$20:$BV$20)+SUMPRODUCT(React!$C$244:$BB$244,Curves!$W$43:$BV$43)+SUMPRODUCT(React!$C$245:$BB$245,Curves!$W$66:$BV$66)</f>
        <v/>
      </c>
      <c r="BC248" s="5">
        <f>SUMPRODUCT(React!$C$243:$BC$243,Curves!$V$20:$BV$20)+SUMPRODUCT(React!$C$244:$BC$244,Curves!$V$43:$BV$43)+SUMPRODUCT(React!$C$245:$BC$245,Curves!$V$66:$BV$66)</f>
        <v/>
      </c>
      <c r="BD248" s="5">
        <f>SUMPRODUCT(React!$C$243:$BD$243,Curves!$U$20:$BV$20)+SUMPRODUCT(React!$C$244:$BD$244,Curves!$U$43:$BV$43)+SUMPRODUCT(React!$C$245:$BD$245,Curves!$U$66:$BV$66)</f>
        <v/>
      </c>
      <c r="BE248" s="5">
        <f>SUMPRODUCT(React!$C$243:$BE$243,Curves!$T$20:$BV$20)+SUMPRODUCT(React!$C$244:$BE$244,Curves!$T$43:$BV$43)+SUMPRODUCT(React!$C$245:$BE$245,Curves!$T$66:$BV$66)</f>
        <v/>
      </c>
      <c r="BF248" s="5">
        <f>SUMPRODUCT(React!$C$243:$BF$243,Curves!$S$20:$BV$20)+SUMPRODUCT(React!$C$244:$BF$244,Curves!$S$43:$BV$43)+SUMPRODUCT(React!$C$245:$BF$245,Curves!$S$66:$BV$66)</f>
        <v/>
      </c>
      <c r="BG248" s="5">
        <f>SUMPRODUCT(React!$C$243:$BG$243,Curves!$R$20:$BV$20)+SUMPRODUCT(React!$C$244:$BG$244,Curves!$R$43:$BV$43)+SUMPRODUCT(React!$C$245:$BG$245,Curves!$R$66:$BV$66)</f>
        <v/>
      </c>
      <c r="BH248" s="5">
        <f>SUMPRODUCT(React!$C$243:$BH$243,Curves!$Q$20:$BV$20)+SUMPRODUCT(React!$C$244:$BH$244,Curves!$Q$43:$BV$43)+SUMPRODUCT(React!$C$245:$BH$245,Curves!$Q$66:$BV$66)</f>
        <v/>
      </c>
      <c r="BI248" s="5">
        <f>SUMPRODUCT(React!$C$243:$BI$243,Curves!$P$20:$BV$20)+SUMPRODUCT(React!$C$244:$BI$244,Curves!$P$43:$BV$43)+SUMPRODUCT(React!$C$245:$BI$245,Curves!$P$66:$BV$66)</f>
        <v/>
      </c>
      <c r="BJ248" s="5">
        <f>SUMPRODUCT(React!$C$243:$BJ$243,Curves!$O$20:$BV$20)+SUMPRODUCT(React!$C$244:$BJ$244,Curves!$O$43:$BV$43)+SUMPRODUCT(React!$C$245:$BJ$245,Curves!$O$66:$BV$66)</f>
        <v/>
      </c>
      <c r="BK248" s="5">
        <f>SUMPRODUCT(React!$C$243:$BK$243,Curves!$N$20:$BV$20)+SUMPRODUCT(React!$C$244:$BK$244,Curves!$N$43:$BV$43)+SUMPRODUCT(React!$C$245:$BK$245,Curves!$N$66:$BV$66)</f>
        <v/>
      </c>
      <c r="BL248" s="5">
        <f>SUMPRODUCT(React!$C$243:$BL$243,Curves!$M$20:$BV$20)+SUMPRODUCT(React!$C$244:$BL$244,Curves!$M$43:$BV$43)+SUMPRODUCT(React!$C$245:$BL$245,Curves!$M$66:$BV$66)</f>
        <v/>
      </c>
      <c r="BM248" s="5">
        <f>SUMPRODUCT(React!$C$243:$BM$243,Curves!$L$20:$BV$20)+SUMPRODUCT(React!$C$244:$BM$244,Curves!$L$43:$BV$43)+SUMPRODUCT(React!$C$245:$BM$245,Curves!$L$66:$BV$66)</f>
        <v/>
      </c>
      <c r="BN248" s="5">
        <f>SUMPRODUCT(React!$C$243:$BN$243,Curves!$K$20:$BV$20)+SUMPRODUCT(React!$C$244:$BN$244,Curves!$K$43:$BV$43)+SUMPRODUCT(React!$C$245:$BN$245,Curves!$K$66:$BV$66)</f>
        <v/>
      </c>
      <c r="BO248" s="5">
        <f>SUMPRODUCT(React!$C$243:$BO$243,Curves!$J$20:$BV$20)+SUMPRODUCT(React!$C$244:$BO$244,Curves!$J$43:$BV$43)+SUMPRODUCT(React!$C$245:$BO$245,Curves!$J$66:$BV$66)</f>
        <v/>
      </c>
      <c r="BP248" s="5">
        <f>SUMPRODUCT(React!$C$243:$BP$243,Curves!$I$20:$BV$20)+SUMPRODUCT(React!$C$244:$BP$244,Curves!$I$43:$BV$43)+SUMPRODUCT(React!$C$245:$BP$245,Curves!$I$66:$BV$66)</f>
        <v/>
      </c>
      <c r="BQ248" s="5">
        <f>SUMPRODUCT(React!$C$243:$BQ$243,Curves!$H$20:$BV$20)+SUMPRODUCT(React!$C$244:$BQ$244,Curves!$H$43:$BV$43)+SUMPRODUCT(React!$C$245:$BQ$245,Curves!$H$66:$BV$66)</f>
        <v/>
      </c>
      <c r="BR248" s="5">
        <f>SUMPRODUCT(React!$C$243:$BR$243,Curves!$G$20:$BV$20)+SUMPRODUCT(React!$C$244:$BR$244,Curves!$G$43:$BV$43)+SUMPRODUCT(React!$C$245:$BR$245,Curves!$G$66:$BV$66)</f>
        <v/>
      </c>
      <c r="BS248" s="5">
        <f>SUMPRODUCT(React!$C$243:$BS$243,Curves!$F$20:$BV$20)+SUMPRODUCT(React!$C$244:$BS$244,Curves!$F$43:$BV$43)+SUMPRODUCT(React!$C$245:$BS$245,Curves!$F$66:$BV$66)</f>
        <v/>
      </c>
      <c r="BT248" s="5">
        <f>SUMPRODUCT(React!$C$243:$BT$243,Curves!$E$20:$BV$20)+SUMPRODUCT(React!$C$244:$BT$244,Curves!$E$43:$BV$43)+SUMPRODUCT(React!$C$245:$BT$245,Curves!$E$66:$BV$66)</f>
        <v/>
      </c>
      <c r="BU248" s="5">
        <f>SUMPRODUCT(React!$C$243:$BU$243,Curves!$D$20:$BV$20)+SUMPRODUCT(React!$C$244:$BU$244,Curves!$D$43:$BV$43)+SUMPRODUCT(React!$C$245:$BU$245,Curves!$D$66:$BV$66)</f>
        <v/>
      </c>
      <c r="BV248" s="5">
        <f>SUMPRODUCT(React!$C$243:$BV$243,Curves!$C$20:$BV$20)+SUMPRODUCT(React!$C$244:$BV$244,Curves!$C$43:$BV$43)+SUMPRODUCT(React!$C$245:$BV$245,Curves!$C$66:$BV$66)</f>
        <v/>
      </c>
    </row>
    <row r="250">
      <c r="A250" t="inlineStr">
        <is>
          <t>churn pool inflow</t>
        </is>
      </c>
      <c r="B250" t="inlineStr">
        <is>
          <t>ROW|BASIC_A</t>
        </is>
      </c>
      <c r="C250" s="5">
        <f>Paid!C81+Legacy!C83</f>
        <v/>
      </c>
      <c r="D250" s="5">
        <f>Paid!D81+Legacy!D83</f>
        <v/>
      </c>
      <c r="E250" s="5">
        <f>Paid!E81+Legacy!E83</f>
        <v/>
      </c>
      <c r="F250" s="5">
        <f>Paid!F81+Legacy!F83</f>
        <v/>
      </c>
      <c r="G250" s="5">
        <f>Paid!G81+Legacy!G83</f>
        <v/>
      </c>
      <c r="H250" s="5">
        <f>Paid!H81+Legacy!H83</f>
        <v/>
      </c>
      <c r="I250" s="5">
        <f>Paid!I81+Legacy!I83</f>
        <v/>
      </c>
      <c r="J250" s="5">
        <f>Paid!J81+Legacy!J83</f>
        <v/>
      </c>
      <c r="K250" s="5">
        <f>Paid!K81+Legacy!K83</f>
        <v/>
      </c>
      <c r="L250" s="5">
        <f>Paid!L81+Legacy!L83</f>
        <v/>
      </c>
      <c r="M250" s="5">
        <f>Paid!M81+Legacy!M83</f>
        <v/>
      </c>
      <c r="N250" s="5">
        <f>Paid!N81+Legacy!N83</f>
        <v/>
      </c>
      <c r="O250" s="5">
        <f>Paid!O81+Legacy!O83</f>
        <v/>
      </c>
      <c r="P250" s="5">
        <f>Paid!P81+Legacy!P83</f>
        <v/>
      </c>
      <c r="Q250" s="5">
        <f>Paid!Q81+Legacy!Q83</f>
        <v/>
      </c>
      <c r="R250" s="5">
        <f>Paid!R81+Legacy!R83</f>
        <v/>
      </c>
      <c r="S250" s="5">
        <f>Paid!S81+Legacy!S83</f>
        <v/>
      </c>
      <c r="T250" s="5">
        <f>Paid!T81+Legacy!T83</f>
        <v/>
      </c>
      <c r="U250" s="5">
        <f>Paid!U81+Legacy!U83</f>
        <v/>
      </c>
      <c r="V250" s="5">
        <f>Paid!V81+Legacy!V83</f>
        <v/>
      </c>
      <c r="W250" s="5">
        <f>Paid!W81+Legacy!W83</f>
        <v/>
      </c>
      <c r="X250" s="5">
        <f>Paid!X81+Legacy!X83</f>
        <v/>
      </c>
      <c r="Y250" s="5">
        <f>Paid!Y81+Legacy!Y83</f>
        <v/>
      </c>
      <c r="Z250" s="5">
        <f>Paid!Z81+Legacy!Z83</f>
        <v/>
      </c>
      <c r="AA250" s="5">
        <f>Paid!AA81+Legacy!AA83</f>
        <v/>
      </c>
      <c r="AB250" s="5">
        <f>Paid!AB81+Legacy!AB83</f>
        <v/>
      </c>
      <c r="AC250" s="5">
        <f>Paid!AC81+Legacy!AC83</f>
        <v/>
      </c>
      <c r="AD250" s="5">
        <f>Paid!AD81+Legacy!AD83</f>
        <v/>
      </c>
      <c r="AE250" s="5">
        <f>Paid!AE81+Legacy!AE83</f>
        <v/>
      </c>
      <c r="AF250" s="5">
        <f>Paid!AF81+Legacy!AF83</f>
        <v/>
      </c>
      <c r="AG250" s="5">
        <f>Paid!AG81+Legacy!AG83</f>
        <v/>
      </c>
      <c r="AH250" s="5">
        <f>Paid!AH81+Legacy!AH83</f>
        <v/>
      </c>
      <c r="AI250" s="5">
        <f>Paid!AI81+Legacy!AI83</f>
        <v/>
      </c>
      <c r="AJ250" s="5">
        <f>Paid!AJ81+Legacy!AJ83</f>
        <v/>
      </c>
      <c r="AK250" s="5">
        <f>Paid!AK81+Legacy!AK83</f>
        <v/>
      </c>
      <c r="AL250" s="5">
        <f>Paid!AL81+Legacy!AL83</f>
        <v/>
      </c>
      <c r="AM250" s="5">
        <f>Paid!AM81+Legacy!AM83</f>
        <v/>
      </c>
      <c r="AN250" s="5">
        <f>Paid!AN81+Legacy!AN83</f>
        <v/>
      </c>
      <c r="AO250" s="5">
        <f>Paid!AO81+Legacy!AO83</f>
        <v/>
      </c>
      <c r="AP250" s="5">
        <f>Paid!AP81+Legacy!AP83</f>
        <v/>
      </c>
      <c r="AQ250" s="5">
        <f>Paid!AQ81+Legacy!AQ83</f>
        <v/>
      </c>
      <c r="AR250" s="5">
        <f>Paid!AR81+Legacy!AR83</f>
        <v/>
      </c>
      <c r="AS250" s="5">
        <f>Paid!AS81+Legacy!AS83</f>
        <v/>
      </c>
      <c r="AT250" s="5">
        <f>Paid!AT81+Legacy!AT83</f>
        <v/>
      </c>
      <c r="AU250" s="5">
        <f>Paid!AU81+Legacy!AU83</f>
        <v/>
      </c>
      <c r="AV250" s="5">
        <f>Paid!AV81+Legacy!AV83</f>
        <v/>
      </c>
      <c r="AW250" s="5">
        <f>Paid!AW81+Legacy!AW83</f>
        <v/>
      </c>
      <c r="AX250" s="5">
        <f>Paid!AX81+Legacy!AX83</f>
        <v/>
      </c>
      <c r="AY250" s="5">
        <f>Paid!AY81+Legacy!AY83</f>
        <v/>
      </c>
      <c r="AZ250" s="5">
        <f>Paid!AZ81+Legacy!AZ83</f>
        <v/>
      </c>
      <c r="BA250" s="5">
        <f>Paid!BA81+Legacy!BA83</f>
        <v/>
      </c>
      <c r="BB250" s="5">
        <f>Paid!BB81+Legacy!BB83</f>
        <v/>
      </c>
      <c r="BC250" s="5">
        <f>Paid!BC81+Legacy!BC83</f>
        <v/>
      </c>
      <c r="BD250" s="5">
        <f>Paid!BD81+Legacy!BD83</f>
        <v/>
      </c>
      <c r="BE250" s="5">
        <f>Paid!BE81+Legacy!BE83</f>
        <v/>
      </c>
      <c r="BF250" s="5">
        <f>Paid!BF81+Legacy!BF83</f>
        <v/>
      </c>
      <c r="BG250" s="5">
        <f>Paid!BG81+Legacy!BG83</f>
        <v/>
      </c>
      <c r="BH250" s="5">
        <f>Paid!BH81+Legacy!BH83</f>
        <v/>
      </c>
      <c r="BI250" s="5">
        <f>Paid!BI81+Legacy!BI83</f>
        <v/>
      </c>
      <c r="BJ250" s="5">
        <f>Paid!BJ81+Legacy!BJ83</f>
        <v/>
      </c>
      <c r="BK250" s="5">
        <f>Paid!BK81+Legacy!BK83</f>
        <v/>
      </c>
      <c r="BL250" s="5">
        <f>Paid!BL81+Legacy!BL83</f>
        <v/>
      </c>
      <c r="BM250" s="5">
        <f>Paid!BM81+Legacy!BM83</f>
        <v/>
      </c>
      <c r="BN250" s="5">
        <f>Paid!BN81+Legacy!BN83</f>
        <v/>
      </c>
      <c r="BO250" s="5">
        <f>Paid!BO81+Legacy!BO83</f>
        <v/>
      </c>
      <c r="BP250" s="5">
        <f>Paid!BP81+Legacy!BP83</f>
        <v/>
      </c>
      <c r="BQ250" s="5">
        <f>Paid!BQ81+Legacy!BQ83</f>
        <v/>
      </c>
      <c r="BR250" s="5">
        <f>Paid!BR81+Legacy!BR83</f>
        <v/>
      </c>
      <c r="BS250" s="5">
        <f>Paid!BS81+Legacy!BS83</f>
        <v/>
      </c>
      <c r="BT250" s="5">
        <f>Paid!BT81+Legacy!BT83</f>
        <v/>
      </c>
      <c r="BU250" s="5">
        <f>Paid!BU81+Legacy!BU83</f>
        <v/>
      </c>
      <c r="BV250" s="5">
        <f>Paid!BV81+Legacy!BV83</f>
        <v/>
      </c>
    </row>
    <row r="251">
      <c r="A251" t="inlineStr">
        <is>
          <t>inflow @0</t>
        </is>
      </c>
      <c r="B251" t="inlineStr">
        <is>
          <t>ROW|BASIC_A</t>
        </is>
      </c>
      <c r="C251" s="5">
        <f>C250*Eras!C$3</f>
        <v/>
      </c>
      <c r="D251" s="5">
        <f>D250*Eras!D$3</f>
        <v/>
      </c>
      <c r="E251" s="5">
        <f>E250*Eras!E$3</f>
        <v/>
      </c>
      <c r="F251" s="5">
        <f>F250*Eras!F$3</f>
        <v/>
      </c>
      <c r="G251" s="5">
        <f>G250*Eras!G$3</f>
        <v/>
      </c>
      <c r="H251" s="5">
        <f>H250*Eras!H$3</f>
        <v/>
      </c>
      <c r="I251" s="5">
        <f>I250*Eras!I$3</f>
        <v/>
      </c>
      <c r="J251" s="5">
        <f>J250*Eras!J$3</f>
        <v/>
      </c>
      <c r="K251" s="5">
        <f>K250*Eras!K$3</f>
        <v/>
      </c>
      <c r="L251" s="5">
        <f>L250*Eras!L$3</f>
        <v/>
      </c>
      <c r="M251" s="5">
        <f>M250*Eras!M$3</f>
        <v/>
      </c>
      <c r="N251" s="5">
        <f>N250*Eras!N$3</f>
        <v/>
      </c>
      <c r="O251" s="5">
        <f>O250*Eras!O$3</f>
        <v/>
      </c>
      <c r="P251" s="5">
        <f>P250*Eras!P$3</f>
        <v/>
      </c>
      <c r="Q251" s="5">
        <f>Q250*Eras!Q$3</f>
        <v/>
      </c>
      <c r="R251" s="5">
        <f>R250*Eras!R$3</f>
        <v/>
      </c>
      <c r="S251" s="5">
        <f>S250*Eras!S$3</f>
        <v/>
      </c>
      <c r="T251" s="5">
        <f>T250*Eras!T$3</f>
        <v/>
      </c>
      <c r="U251" s="5">
        <f>U250*Eras!U$3</f>
        <v/>
      </c>
      <c r="V251" s="5">
        <f>V250*Eras!V$3</f>
        <v/>
      </c>
      <c r="W251" s="5">
        <f>W250*Eras!W$3</f>
        <v/>
      </c>
      <c r="X251" s="5">
        <f>X250*Eras!X$3</f>
        <v/>
      </c>
      <c r="Y251" s="5">
        <f>Y250*Eras!Y$3</f>
        <v/>
      </c>
      <c r="Z251" s="5">
        <f>Z250*Eras!Z$3</f>
        <v/>
      </c>
      <c r="AA251" s="5">
        <f>AA250*Eras!AA$3</f>
        <v/>
      </c>
      <c r="AB251" s="5">
        <f>AB250*Eras!AB$3</f>
        <v/>
      </c>
      <c r="AC251" s="5">
        <f>AC250*Eras!AC$3</f>
        <v/>
      </c>
      <c r="AD251" s="5">
        <f>AD250*Eras!AD$3</f>
        <v/>
      </c>
      <c r="AE251" s="5">
        <f>AE250*Eras!AE$3</f>
        <v/>
      </c>
      <c r="AF251" s="5">
        <f>AF250*Eras!AF$3</f>
        <v/>
      </c>
      <c r="AG251" s="5">
        <f>AG250*Eras!AG$3</f>
        <v/>
      </c>
      <c r="AH251" s="5">
        <f>AH250*Eras!AH$3</f>
        <v/>
      </c>
      <c r="AI251" s="5">
        <f>AI250*Eras!AI$3</f>
        <v/>
      </c>
      <c r="AJ251" s="5">
        <f>AJ250*Eras!AJ$3</f>
        <v/>
      </c>
      <c r="AK251" s="5">
        <f>AK250*Eras!AK$3</f>
        <v/>
      </c>
      <c r="AL251" s="5">
        <f>AL250*Eras!AL$3</f>
        <v/>
      </c>
      <c r="AM251" s="5">
        <f>AM250*Eras!AM$3</f>
        <v/>
      </c>
      <c r="AN251" s="5">
        <f>AN250*Eras!AN$3</f>
        <v/>
      </c>
      <c r="AO251" s="5">
        <f>AO250*Eras!AO$3</f>
        <v/>
      </c>
      <c r="AP251" s="5">
        <f>AP250*Eras!AP$3</f>
        <v/>
      </c>
      <c r="AQ251" s="5">
        <f>AQ250*Eras!AQ$3</f>
        <v/>
      </c>
      <c r="AR251" s="5">
        <f>AR250*Eras!AR$3</f>
        <v/>
      </c>
      <c r="AS251" s="5">
        <f>AS250*Eras!AS$3</f>
        <v/>
      </c>
      <c r="AT251" s="5">
        <f>AT250*Eras!AT$3</f>
        <v/>
      </c>
      <c r="AU251" s="5">
        <f>AU250*Eras!AU$3</f>
        <v/>
      </c>
      <c r="AV251" s="5">
        <f>AV250*Eras!AV$3</f>
        <v/>
      </c>
      <c r="AW251" s="5">
        <f>AW250*Eras!AW$3</f>
        <v/>
      </c>
      <c r="AX251" s="5">
        <f>AX250*Eras!AX$3</f>
        <v/>
      </c>
      <c r="AY251" s="5">
        <f>AY250*Eras!AY$3</f>
        <v/>
      </c>
      <c r="AZ251" s="5">
        <f>AZ250*Eras!AZ$3</f>
        <v/>
      </c>
      <c r="BA251" s="5">
        <f>BA250*Eras!BA$3</f>
        <v/>
      </c>
      <c r="BB251" s="5">
        <f>BB250*Eras!BB$3</f>
        <v/>
      </c>
      <c r="BC251" s="5">
        <f>BC250*Eras!BC$3</f>
        <v/>
      </c>
      <c r="BD251" s="5">
        <f>BD250*Eras!BD$3</f>
        <v/>
      </c>
      <c r="BE251" s="5">
        <f>BE250*Eras!BE$3</f>
        <v/>
      </c>
      <c r="BF251" s="5">
        <f>BF250*Eras!BF$3</f>
        <v/>
      </c>
      <c r="BG251" s="5">
        <f>BG250*Eras!BG$3</f>
        <v/>
      </c>
      <c r="BH251" s="5">
        <f>BH250*Eras!BH$3</f>
        <v/>
      </c>
      <c r="BI251" s="5">
        <f>BI250*Eras!BI$3</f>
        <v/>
      </c>
      <c r="BJ251" s="5">
        <f>BJ250*Eras!BJ$3</f>
        <v/>
      </c>
      <c r="BK251" s="5">
        <f>BK250*Eras!BK$3</f>
        <v/>
      </c>
      <c r="BL251" s="5">
        <f>BL250*Eras!BL$3</f>
        <v/>
      </c>
      <c r="BM251" s="5">
        <f>BM250*Eras!BM$3</f>
        <v/>
      </c>
      <c r="BN251" s="5">
        <f>BN250*Eras!BN$3</f>
        <v/>
      </c>
      <c r="BO251" s="5">
        <f>BO250*Eras!BO$3</f>
        <v/>
      </c>
      <c r="BP251" s="5">
        <f>BP250*Eras!BP$3</f>
        <v/>
      </c>
      <c r="BQ251" s="5">
        <f>BQ250*Eras!BQ$3</f>
        <v/>
      </c>
      <c r="BR251" s="5">
        <f>BR250*Eras!BR$3</f>
        <v/>
      </c>
      <c r="BS251" s="5">
        <f>BS250*Eras!BS$3</f>
        <v/>
      </c>
      <c r="BT251" s="5">
        <f>BT250*Eras!BT$3</f>
        <v/>
      </c>
      <c r="BU251" s="5">
        <f>BU250*Eras!BU$3</f>
        <v/>
      </c>
      <c r="BV251" s="5">
        <f>BV250*Eras!BV$3</f>
        <v/>
      </c>
    </row>
    <row r="252">
      <c r="A252" t="inlineStr">
        <is>
          <t>inflow @1</t>
        </is>
      </c>
      <c r="B252" t="inlineStr">
        <is>
          <t>ROW|BASIC_A</t>
        </is>
      </c>
      <c r="C252" s="5">
        <f>C250*Eras!C$4</f>
        <v/>
      </c>
      <c r="D252" s="5">
        <f>D250*Eras!D$4</f>
        <v/>
      </c>
      <c r="E252" s="5">
        <f>E250*Eras!E$4</f>
        <v/>
      </c>
      <c r="F252" s="5">
        <f>F250*Eras!F$4</f>
        <v/>
      </c>
      <c r="G252" s="5">
        <f>G250*Eras!G$4</f>
        <v/>
      </c>
      <c r="H252" s="5">
        <f>H250*Eras!H$4</f>
        <v/>
      </c>
      <c r="I252" s="5">
        <f>I250*Eras!I$4</f>
        <v/>
      </c>
      <c r="J252" s="5">
        <f>J250*Eras!J$4</f>
        <v/>
      </c>
      <c r="K252" s="5">
        <f>K250*Eras!K$4</f>
        <v/>
      </c>
      <c r="L252" s="5">
        <f>L250*Eras!L$4</f>
        <v/>
      </c>
      <c r="M252" s="5">
        <f>M250*Eras!M$4</f>
        <v/>
      </c>
      <c r="N252" s="5">
        <f>N250*Eras!N$4</f>
        <v/>
      </c>
      <c r="O252" s="5">
        <f>O250*Eras!O$4</f>
        <v/>
      </c>
      <c r="P252" s="5">
        <f>P250*Eras!P$4</f>
        <v/>
      </c>
      <c r="Q252" s="5">
        <f>Q250*Eras!Q$4</f>
        <v/>
      </c>
      <c r="R252" s="5">
        <f>R250*Eras!R$4</f>
        <v/>
      </c>
      <c r="S252" s="5">
        <f>S250*Eras!S$4</f>
        <v/>
      </c>
      <c r="T252" s="5">
        <f>T250*Eras!T$4</f>
        <v/>
      </c>
      <c r="U252" s="5">
        <f>U250*Eras!U$4</f>
        <v/>
      </c>
      <c r="V252" s="5">
        <f>V250*Eras!V$4</f>
        <v/>
      </c>
      <c r="W252" s="5">
        <f>W250*Eras!W$4</f>
        <v/>
      </c>
      <c r="X252" s="5">
        <f>X250*Eras!X$4</f>
        <v/>
      </c>
      <c r="Y252" s="5">
        <f>Y250*Eras!Y$4</f>
        <v/>
      </c>
      <c r="Z252" s="5">
        <f>Z250*Eras!Z$4</f>
        <v/>
      </c>
      <c r="AA252" s="5">
        <f>AA250*Eras!AA$4</f>
        <v/>
      </c>
      <c r="AB252" s="5">
        <f>AB250*Eras!AB$4</f>
        <v/>
      </c>
      <c r="AC252" s="5">
        <f>AC250*Eras!AC$4</f>
        <v/>
      </c>
      <c r="AD252" s="5">
        <f>AD250*Eras!AD$4</f>
        <v/>
      </c>
      <c r="AE252" s="5">
        <f>AE250*Eras!AE$4</f>
        <v/>
      </c>
      <c r="AF252" s="5">
        <f>AF250*Eras!AF$4</f>
        <v/>
      </c>
      <c r="AG252" s="5">
        <f>AG250*Eras!AG$4</f>
        <v/>
      </c>
      <c r="AH252" s="5">
        <f>AH250*Eras!AH$4</f>
        <v/>
      </c>
      <c r="AI252" s="5">
        <f>AI250*Eras!AI$4</f>
        <v/>
      </c>
      <c r="AJ252" s="5">
        <f>AJ250*Eras!AJ$4</f>
        <v/>
      </c>
      <c r="AK252" s="5">
        <f>AK250*Eras!AK$4</f>
        <v/>
      </c>
      <c r="AL252" s="5">
        <f>AL250*Eras!AL$4</f>
        <v/>
      </c>
      <c r="AM252" s="5">
        <f>AM250*Eras!AM$4</f>
        <v/>
      </c>
      <c r="AN252" s="5">
        <f>AN250*Eras!AN$4</f>
        <v/>
      </c>
      <c r="AO252" s="5">
        <f>AO250*Eras!AO$4</f>
        <v/>
      </c>
      <c r="AP252" s="5">
        <f>AP250*Eras!AP$4</f>
        <v/>
      </c>
      <c r="AQ252" s="5">
        <f>AQ250*Eras!AQ$4</f>
        <v/>
      </c>
      <c r="AR252" s="5">
        <f>AR250*Eras!AR$4</f>
        <v/>
      </c>
      <c r="AS252" s="5">
        <f>AS250*Eras!AS$4</f>
        <v/>
      </c>
      <c r="AT252" s="5">
        <f>AT250*Eras!AT$4</f>
        <v/>
      </c>
      <c r="AU252" s="5">
        <f>AU250*Eras!AU$4</f>
        <v/>
      </c>
      <c r="AV252" s="5">
        <f>AV250*Eras!AV$4</f>
        <v/>
      </c>
      <c r="AW252" s="5">
        <f>AW250*Eras!AW$4</f>
        <v/>
      </c>
      <c r="AX252" s="5">
        <f>AX250*Eras!AX$4</f>
        <v/>
      </c>
      <c r="AY252" s="5">
        <f>AY250*Eras!AY$4</f>
        <v/>
      </c>
      <c r="AZ252" s="5">
        <f>AZ250*Eras!AZ$4</f>
        <v/>
      </c>
      <c r="BA252" s="5">
        <f>BA250*Eras!BA$4</f>
        <v/>
      </c>
      <c r="BB252" s="5">
        <f>BB250*Eras!BB$4</f>
        <v/>
      </c>
      <c r="BC252" s="5">
        <f>BC250*Eras!BC$4</f>
        <v/>
      </c>
      <c r="BD252" s="5">
        <f>BD250*Eras!BD$4</f>
        <v/>
      </c>
      <c r="BE252" s="5">
        <f>BE250*Eras!BE$4</f>
        <v/>
      </c>
      <c r="BF252" s="5">
        <f>BF250*Eras!BF$4</f>
        <v/>
      </c>
      <c r="BG252" s="5">
        <f>BG250*Eras!BG$4</f>
        <v/>
      </c>
      <c r="BH252" s="5">
        <f>BH250*Eras!BH$4</f>
        <v/>
      </c>
      <c r="BI252" s="5">
        <f>BI250*Eras!BI$4</f>
        <v/>
      </c>
      <c r="BJ252" s="5">
        <f>BJ250*Eras!BJ$4</f>
        <v/>
      </c>
      <c r="BK252" s="5">
        <f>BK250*Eras!BK$4</f>
        <v/>
      </c>
      <c r="BL252" s="5">
        <f>BL250*Eras!BL$4</f>
        <v/>
      </c>
      <c r="BM252" s="5">
        <f>BM250*Eras!BM$4</f>
        <v/>
      </c>
      <c r="BN252" s="5">
        <f>BN250*Eras!BN$4</f>
        <v/>
      </c>
      <c r="BO252" s="5">
        <f>BO250*Eras!BO$4</f>
        <v/>
      </c>
      <c r="BP252" s="5">
        <f>BP250*Eras!BP$4</f>
        <v/>
      </c>
      <c r="BQ252" s="5">
        <f>BQ250*Eras!BQ$4</f>
        <v/>
      </c>
      <c r="BR252" s="5">
        <f>BR250*Eras!BR$4</f>
        <v/>
      </c>
      <c r="BS252" s="5">
        <f>BS250*Eras!BS$4</f>
        <v/>
      </c>
      <c r="BT252" s="5">
        <f>BT250*Eras!BT$4</f>
        <v/>
      </c>
      <c r="BU252" s="5">
        <f>BU250*Eras!BU$4</f>
        <v/>
      </c>
      <c r="BV252" s="5">
        <f>BV250*Eras!BV$4</f>
        <v/>
      </c>
    </row>
    <row r="253">
      <c r="A253" t="inlineStr">
        <is>
          <t>inflow @2</t>
        </is>
      </c>
      <c r="B253" t="inlineStr">
        <is>
          <t>ROW|BASIC_A</t>
        </is>
      </c>
      <c r="C253" s="5">
        <f>C250*Eras!C$5</f>
        <v/>
      </c>
      <c r="D253" s="5">
        <f>D250*Eras!D$5</f>
        <v/>
      </c>
      <c r="E253" s="5">
        <f>E250*Eras!E$5</f>
        <v/>
      </c>
      <c r="F253" s="5">
        <f>F250*Eras!F$5</f>
        <v/>
      </c>
      <c r="G253" s="5">
        <f>G250*Eras!G$5</f>
        <v/>
      </c>
      <c r="H253" s="5">
        <f>H250*Eras!H$5</f>
        <v/>
      </c>
      <c r="I253" s="5">
        <f>I250*Eras!I$5</f>
        <v/>
      </c>
      <c r="J253" s="5">
        <f>J250*Eras!J$5</f>
        <v/>
      </c>
      <c r="K253" s="5">
        <f>K250*Eras!K$5</f>
        <v/>
      </c>
      <c r="L253" s="5">
        <f>L250*Eras!L$5</f>
        <v/>
      </c>
      <c r="M253" s="5">
        <f>M250*Eras!M$5</f>
        <v/>
      </c>
      <c r="N253" s="5">
        <f>N250*Eras!N$5</f>
        <v/>
      </c>
      <c r="O253" s="5">
        <f>O250*Eras!O$5</f>
        <v/>
      </c>
      <c r="P253" s="5">
        <f>P250*Eras!P$5</f>
        <v/>
      </c>
      <c r="Q253" s="5">
        <f>Q250*Eras!Q$5</f>
        <v/>
      </c>
      <c r="R253" s="5">
        <f>R250*Eras!R$5</f>
        <v/>
      </c>
      <c r="S253" s="5">
        <f>S250*Eras!S$5</f>
        <v/>
      </c>
      <c r="T253" s="5">
        <f>T250*Eras!T$5</f>
        <v/>
      </c>
      <c r="U253" s="5">
        <f>U250*Eras!U$5</f>
        <v/>
      </c>
      <c r="V253" s="5">
        <f>V250*Eras!V$5</f>
        <v/>
      </c>
      <c r="W253" s="5">
        <f>W250*Eras!W$5</f>
        <v/>
      </c>
      <c r="X253" s="5">
        <f>X250*Eras!X$5</f>
        <v/>
      </c>
      <c r="Y253" s="5">
        <f>Y250*Eras!Y$5</f>
        <v/>
      </c>
      <c r="Z253" s="5">
        <f>Z250*Eras!Z$5</f>
        <v/>
      </c>
      <c r="AA253" s="5">
        <f>AA250*Eras!AA$5</f>
        <v/>
      </c>
      <c r="AB253" s="5">
        <f>AB250*Eras!AB$5</f>
        <v/>
      </c>
      <c r="AC253" s="5">
        <f>AC250*Eras!AC$5</f>
        <v/>
      </c>
      <c r="AD253" s="5">
        <f>AD250*Eras!AD$5</f>
        <v/>
      </c>
      <c r="AE253" s="5">
        <f>AE250*Eras!AE$5</f>
        <v/>
      </c>
      <c r="AF253" s="5">
        <f>AF250*Eras!AF$5</f>
        <v/>
      </c>
      <c r="AG253" s="5">
        <f>AG250*Eras!AG$5</f>
        <v/>
      </c>
      <c r="AH253" s="5">
        <f>AH250*Eras!AH$5</f>
        <v/>
      </c>
      <c r="AI253" s="5">
        <f>AI250*Eras!AI$5</f>
        <v/>
      </c>
      <c r="AJ253" s="5">
        <f>AJ250*Eras!AJ$5</f>
        <v/>
      </c>
      <c r="AK253" s="5">
        <f>AK250*Eras!AK$5</f>
        <v/>
      </c>
      <c r="AL253" s="5">
        <f>AL250*Eras!AL$5</f>
        <v/>
      </c>
      <c r="AM253" s="5">
        <f>AM250*Eras!AM$5</f>
        <v/>
      </c>
      <c r="AN253" s="5">
        <f>AN250*Eras!AN$5</f>
        <v/>
      </c>
      <c r="AO253" s="5">
        <f>AO250*Eras!AO$5</f>
        <v/>
      </c>
      <c r="AP253" s="5">
        <f>AP250*Eras!AP$5</f>
        <v/>
      </c>
      <c r="AQ253" s="5">
        <f>AQ250*Eras!AQ$5</f>
        <v/>
      </c>
      <c r="AR253" s="5">
        <f>AR250*Eras!AR$5</f>
        <v/>
      </c>
      <c r="AS253" s="5">
        <f>AS250*Eras!AS$5</f>
        <v/>
      </c>
      <c r="AT253" s="5">
        <f>AT250*Eras!AT$5</f>
        <v/>
      </c>
      <c r="AU253" s="5">
        <f>AU250*Eras!AU$5</f>
        <v/>
      </c>
      <c r="AV253" s="5">
        <f>AV250*Eras!AV$5</f>
        <v/>
      </c>
      <c r="AW253" s="5">
        <f>AW250*Eras!AW$5</f>
        <v/>
      </c>
      <c r="AX253" s="5">
        <f>AX250*Eras!AX$5</f>
        <v/>
      </c>
      <c r="AY253" s="5">
        <f>AY250*Eras!AY$5</f>
        <v/>
      </c>
      <c r="AZ253" s="5">
        <f>AZ250*Eras!AZ$5</f>
        <v/>
      </c>
      <c r="BA253" s="5">
        <f>BA250*Eras!BA$5</f>
        <v/>
      </c>
      <c r="BB253" s="5">
        <f>BB250*Eras!BB$5</f>
        <v/>
      </c>
      <c r="BC253" s="5">
        <f>BC250*Eras!BC$5</f>
        <v/>
      </c>
      <c r="BD253" s="5">
        <f>BD250*Eras!BD$5</f>
        <v/>
      </c>
      <c r="BE253" s="5">
        <f>BE250*Eras!BE$5</f>
        <v/>
      </c>
      <c r="BF253" s="5">
        <f>BF250*Eras!BF$5</f>
        <v/>
      </c>
      <c r="BG253" s="5">
        <f>BG250*Eras!BG$5</f>
        <v/>
      </c>
      <c r="BH253" s="5">
        <f>BH250*Eras!BH$5</f>
        <v/>
      </c>
      <c r="BI253" s="5">
        <f>BI250*Eras!BI$5</f>
        <v/>
      </c>
      <c r="BJ253" s="5">
        <f>BJ250*Eras!BJ$5</f>
        <v/>
      </c>
      <c r="BK253" s="5">
        <f>BK250*Eras!BK$5</f>
        <v/>
      </c>
      <c r="BL253" s="5">
        <f>BL250*Eras!BL$5</f>
        <v/>
      </c>
      <c r="BM253" s="5">
        <f>BM250*Eras!BM$5</f>
        <v/>
      </c>
      <c r="BN253" s="5">
        <f>BN250*Eras!BN$5</f>
        <v/>
      </c>
      <c r="BO253" s="5">
        <f>BO250*Eras!BO$5</f>
        <v/>
      </c>
      <c r="BP253" s="5">
        <f>BP250*Eras!BP$5</f>
        <v/>
      </c>
      <c r="BQ253" s="5">
        <f>BQ250*Eras!BQ$5</f>
        <v/>
      </c>
      <c r="BR253" s="5">
        <f>BR250*Eras!BR$5</f>
        <v/>
      </c>
      <c r="BS253" s="5">
        <f>BS250*Eras!BS$5</f>
        <v/>
      </c>
      <c r="BT253" s="5">
        <f>BT250*Eras!BT$5</f>
        <v/>
      </c>
      <c r="BU253" s="5">
        <f>BU250*Eras!BU$5</f>
        <v/>
      </c>
      <c r="BV253" s="5">
        <f>BV250*Eras!BV$5</f>
        <v/>
      </c>
    </row>
    <row r="254">
      <c r="A254" t="inlineStr">
        <is>
          <t>reactivations out</t>
        </is>
      </c>
      <c r="B254" t="inlineStr">
        <is>
          <t>ROW|BASIC_A</t>
        </is>
      </c>
      <c r="C254" s="5">
        <f>React!$C$251*Curves!$BV$21+React!$C$252*Curves!$BV$44+React!$C$253*Curves!$BV$67</f>
        <v/>
      </c>
      <c r="D254" s="5">
        <f>SUMPRODUCT(React!$C$251:$D$251,Curves!$BU$21:$BV$21)+SUMPRODUCT(React!$C$252:$D$252,Curves!$BU$44:$BV$44)+SUMPRODUCT(React!$C$253:$D$253,Curves!$BU$67:$BV$67)</f>
        <v/>
      </c>
      <c r="E254" s="5">
        <f>SUMPRODUCT(React!$C$251:$E$251,Curves!$BT$21:$BV$21)+SUMPRODUCT(React!$C$252:$E$252,Curves!$BT$44:$BV$44)+SUMPRODUCT(React!$C$253:$E$253,Curves!$BT$67:$BV$67)</f>
        <v/>
      </c>
      <c r="F254" s="5">
        <f>SUMPRODUCT(React!$C$251:$F$251,Curves!$BS$21:$BV$21)+SUMPRODUCT(React!$C$252:$F$252,Curves!$BS$44:$BV$44)+SUMPRODUCT(React!$C$253:$F$253,Curves!$BS$67:$BV$67)</f>
        <v/>
      </c>
      <c r="G254" s="5">
        <f>SUMPRODUCT(React!$C$251:$G$251,Curves!$BR$21:$BV$21)+SUMPRODUCT(React!$C$252:$G$252,Curves!$BR$44:$BV$44)+SUMPRODUCT(React!$C$253:$G$253,Curves!$BR$67:$BV$67)</f>
        <v/>
      </c>
      <c r="H254" s="5">
        <f>SUMPRODUCT(React!$C$251:$H$251,Curves!$BQ$21:$BV$21)+SUMPRODUCT(React!$C$252:$H$252,Curves!$BQ$44:$BV$44)+SUMPRODUCT(React!$C$253:$H$253,Curves!$BQ$67:$BV$67)</f>
        <v/>
      </c>
      <c r="I254" s="5">
        <f>SUMPRODUCT(React!$C$251:$I$251,Curves!$BP$21:$BV$21)+SUMPRODUCT(React!$C$252:$I$252,Curves!$BP$44:$BV$44)+SUMPRODUCT(React!$C$253:$I$253,Curves!$BP$67:$BV$67)</f>
        <v/>
      </c>
      <c r="J254" s="5">
        <f>SUMPRODUCT(React!$C$251:$J$251,Curves!$BO$21:$BV$21)+SUMPRODUCT(React!$C$252:$J$252,Curves!$BO$44:$BV$44)+SUMPRODUCT(React!$C$253:$J$253,Curves!$BO$67:$BV$67)</f>
        <v/>
      </c>
      <c r="K254" s="5">
        <f>SUMPRODUCT(React!$C$251:$K$251,Curves!$BN$21:$BV$21)+SUMPRODUCT(React!$C$252:$K$252,Curves!$BN$44:$BV$44)+SUMPRODUCT(React!$C$253:$K$253,Curves!$BN$67:$BV$67)</f>
        <v/>
      </c>
      <c r="L254" s="5">
        <f>SUMPRODUCT(React!$C$251:$L$251,Curves!$BM$21:$BV$21)+SUMPRODUCT(React!$C$252:$L$252,Curves!$BM$44:$BV$44)+SUMPRODUCT(React!$C$253:$L$253,Curves!$BM$67:$BV$67)</f>
        <v/>
      </c>
      <c r="M254" s="5">
        <f>SUMPRODUCT(React!$C$251:$M$251,Curves!$BL$21:$BV$21)+SUMPRODUCT(React!$C$252:$M$252,Curves!$BL$44:$BV$44)+SUMPRODUCT(React!$C$253:$M$253,Curves!$BL$67:$BV$67)</f>
        <v/>
      </c>
      <c r="N254" s="5">
        <f>SUMPRODUCT(React!$C$251:$N$251,Curves!$BK$21:$BV$21)+SUMPRODUCT(React!$C$252:$N$252,Curves!$BK$44:$BV$44)+SUMPRODUCT(React!$C$253:$N$253,Curves!$BK$67:$BV$67)</f>
        <v/>
      </c>
      <c r="O254" s="5">
        <f>SUMPRODUCT(React!$C$251:$O$251,Curves!$BJ$21:$BV$21)+SUMPRODUCT(React!$C$252:$O$252,Curves!$BJ$44:$BV$44)+SUMPRODUCT(React!$C$253:$O$253,Curves!$BJ$67:$BV$67)</f>
        <v/>
      </c>
      <c r="P254" s="5">
        <f>SUMPRODUCT(React!$C$251:$P$251,Curves!$BI$21:$BV$21)+SUMPRODUCT(React!$C$252:$P$252,Curves!$BI$44:$BV$44)+SUMPRODUCT(React!$C$253:$P$253,Curves!$BI$67:$BV$67)</f>
        <v/>
      </c>
      <c r="Q254" s="5">
        <f>SUMPRODUCT(React!$C$251:$Q$251,Curves!$BH$21:$BV$21)+SUMPRODUCT(React!$C$252:$Q$252,Curves!$BH$44:$BV$44)+SUMPRODUCT(React!$C$253:$Q$253,Curves!$BH$67:$BV$67)</f>
        <v/>
      </c>
      <c r="R254" s="5">
        <f>SUMPRODUCT(React!$C$251:$R$251,Curves!$BG$21:$BV$21)+SUMPRODUCT(React!$C$252:$R$252,Curves!$BG$44:$BV$44)+SUMPRODUCT(React!$C$253:$R$253,Curves!$BG$67:$BV$67)</f>
        <v/>
      </c>
      <c r="S254" s="5">
        <f>SUMPRODUCT(React!$C$251:$S$251,Curves!$BF$21:$BV$21)+SUMPRODUCT(React!$C$252:$S$252,Curves!$BF$44:$BV$44)+SUMPRODUCT(React!$C$253:$S$253,Curves!$BF$67:$BV$67)</f>
        <v/>
      </c>
      <c r="T254" s="5">
        <f>SUMPRODUCT(React!$C$251:$T$251,Curves!$BE$21:$BV$21)+SUMPRODUCT(React!$C$252:$T$252,Curves!$BE$44:$BV$44)+SUMPRODUCT(React!$C$253:$T$253,Curves!$BE$67:$BV$67)</f>
        <v/>
      </c>
      <c r="U254" s="5">
        <f>SUMPRODUCT(React!$C$251:$U$251,Curves!$BD$21:$BV$21)+SUMPRODUCT(React!$C$252:$U$252,Curves!$BD$44:$BV$44)+SUMPRODUCT(React!$C$253:$U$253,Curves!$BD$67:$BV$67)</f>
        <v/>
      </c>
      <c r="V254" s="5">
        <f>SUMPRODUCT(React!$C$251:$V$251,Curves!$BC$21:$BV$21)+SUMPRODUCT(React!$C$252:$V$252,Curves!$BC$44:$BV$44)+SUMPRODUCT(React!$C$253:$V$253,Curves!$BC$67:$BV$67)</f>
        <v/>
      </c>
      <c r="W254" s="5">
        <f>SUMPRODUCT(React!$C$251:$W$251,Curves!$BB$21:$BV$21)+SUMPRODUCT(React!$C$252:$W$252,Curves!$BB$44:$BV$44)+SUMPRODUCT(React!$C$253:$W$253,Curves!$BB$67:$BV$67)</f>
        <v/>
      </c>
      <c r="X254" s="5">
        <f>SUMPRODUCT(React!$C$251:$X$251,Curves!$BA$21:$BV$21)+SUMPRODUCT(React!$C$252:$X$252,Curves!$BA$44:$BV$44)+SUMPRODUCT(React!$C$253:$X$253,Curves!$BA$67:$BV$67)</f>
        <v/>
      </c>
      <c r="Y254" s="5">
        <f>SUMPRODUCT(React!$C$251:$Y$251,Curves!$AZ$21:$BV$21)+SUMPRODUCT(React!$C$252:$Y$252,Curves!$AZ$44:$BV$44)+SUMPRODUCT(React!$C$253:$Y$253,Curves!$AZ$67:$BV$67)</f>
        <v/>
      </c>
      <c r="Z254" s="5">
        <f>SUMPRODUCT(React!$C$251:$Z$251,Curves!$AY$21:$BV$21)+SUMPRODUCT(React!$C$252:$Z$252,Curves!$AY$44:$BV$44)+SUMPRODUCT(React!$C$253:$Z$253,Curves!$AY$67:$BV$67)</f>
        <v/>
      </c>
      <c r="AA254" s="5">
        <f>SUMPRODUCT(React!$C$251:$AA$251,Curves!$AX$21:$BV$21)+SUMPRODUCT(React!$C$252:$AA$252,Curves!$AX$44:$BV$44)+SUMPRODUCT(React!$C$253:$AA$253,Curves!$AX$67:$BV$67)</f>
        <v/>
      </c>
      <c r="AB254" s="5">
        <f>SUMPRODUCT(React!$C$251:$AB$251,Curves!$AW$21:$BV$21)+SUMPRODUCT(React!$C$252:$AB$252,Curves!$AW$44:$BV$44)+SUMPRODUCT(React!$C$253:$AB$253,Curves!$AW$67:$BV$67)</f>
        <v/>
      </c>
      <c r="AC254" s="5">
        <f>SUMPRODUCT(React!$C$251:$AC$251,Curves!$AV$21:$BV$21)+SUMPRODUCT(React!$C$252:$AC$252,Curves!$AV$44:$BV$44)+SUMPRODUCT(React!$C$253:$AC$253,Curves!$AV$67:$BV$67)</f>
        <v/>
      </c>
      <c r="AD254" s="5">
        <f>SUMPRODUCT(React!$C$251:$AD$251,Curves!$AU$21:$BV$21)+SUMPRODUCT(React!$C$252:$AD$252,Curves!$AU$44:$BV$44)+SUMPRODUCT(React!$C$253:$AD$253,Curves!$AU$67:$BV$67)</f>
        <v/>
      </c>
      <c r="AE254" s="5">
        <f>SUMPRODUCT(React!$C$251:$AE$251,Curves!$AT$21:$BV$21)+SUMPRODUCT(React!$C$252:$AE$252,Curves!$AT$44:$BV$44)+SUMPRODUCT(React!$C$253:$AE$253,Curves!$AT$67:$BV$67)</f>
        <v/>
      </c>
      <c r="AF254" s="5">
        <f>SUMPRODUCT(React!$C$251:$AF$251,Curves!$AS$21:$BV$21)+SUMPRODUCT(React!$C$252:$AF$252,Curves!$AS$44:$BV$44)+SUMPRODUCT(React!$C$253:$AF$253,Curves!$AS$67:$BV$67)</f>
        <v/>
      </c>
      <c r="AG254" s="5">
        <f>SUMPRODUCT(React!$C$251:$AG$251,Curves!$AR$21:$BV$21)+SUMPRODUCT(React!$C$252:$AG$252,Curves!$AR$44:$BV$44)+SUMPRODUCT(React!$C$253:$AG$253,Curves!$AR$67:$BV$67)</f>
        <v/>
      </c>
      <c r="AH254" s="5">
        <f>SUMPRODUCT(React!$C$251:$AH$251,Curves!$AQ$21:$BV$21)+SUMPRODUCT(React!$C$252:$AH$252,Curves!$AQ$44:$BV$44)+SUMPRODUCT(React!$C$253:$AH$253,Curves!$AQ$67:$BV$67)</f>
        <v/>
      </c>
      <c r="AI254" s="5">
        <f>SUMPRODUCT(React!$C$251:$AI$251,Curves!$AP$21:$BV$21)+SUMPRODUCT(React!$C$252:$AI$252,Curves!$AP$44:$BV$44)+SUMPRODUCT(React!$C$253:$AI$253,Curves!$AP$67:$BV$67)</f>
        <v/>
      </c>
      <c r="AJ254" s="5">
        <f>SUMPRODUCT(React!$C$251:$AJ$251,Curves!$AO$21:$BV$21)+SUMPRODUCT(React!$C$252:$AJ$252,Curves!$AO$44:$BV$44)+SUMPRODUCT(React!$C$253:$AJ$253,Curves!$AO$67:$BV$67)</f>
        <v/>
      </c>
      <c r="AK254" s="5">
        <f>SUMPRODUCT(React!$C$251:$AK$251,Curves!$AN$21:$BV$21)+SUMPRODUCT(React!$C$252:$AK$252,Curves!$AN$44:$BV$44)+SUMPRODUCT(React!$C$253:$AK$253,Curves!$AN$67:$BV$67)</f>
        <v/>
      </c>
      <c r="AL254" s="5">
        <f>SUMPRODUCT(React!$C$251:$AL$251,Curves!$AM$21:$BV$21)+SUMPRODUCT(React!$C$252:$AL$252,Curves!$AM$44:$BV$44)+SUMPRODUCT(React!$C$253:$AL$253,Curves!$AM$67:$BV$67)</f>
        <v/>
      </c>
      <c r="AM254" s="5">
        <f>SUMPRODUCT(React!$C$251:$AM$251,Curves!$AL$21:$BV$21)+SUMPRODUCT(React!$C$252:$AM$252,Curves!$AL$44:$BV$44)+SUMPRODUCT(React!$C$253:$AM$253,Curves!$AL$67:$BV$67)</f>
        <v/>
      </c>
      <c r="AN254" s="5">
        <f>SUMPRODUCT(React!$C$251:$AN$251,Curves!$AK$21:$BV$21)+SUMPRODUCT(React!$C$252:$AN$252,Curves!$AK$44:$BV$44)+SUMPRODUCT(React!$C$253:$AN$253,Curves!$AK$67:$BV$67)</f>
        <v/>
      </c>
      <c r="AO254" s="5">
        <f>SUMPRODUCT(React!$C$251:$AO$251,Curves!$AJ$21:$BV$21)+SUMPRODUCT(React!$C$252:$AO$252,Curves!$AJ$44:$BV$44)+SUMPRODUCT(React!$C$253:$AO$253,Curves!$AJ$67:$BV$67)</f>
        <v/>
      </c>
      <c r="AP254" s="5">
        <f>SUMPRODUCT(React!$C$251:$AP$251,Curves!$AI$21:$BV$21)+SUMPRODUCT(React!$C$252:$AP$252,Curves!$AI$44:$BV$44)+SUMPRODUCT(React!$C$253:$AP$253,Curves!$AI$67:$BV$67)</f>
        <v/>
      </c>
      <c r="AQ254" s="5">
        <f>SUMPRODUCT(React!$C$251:$AQ$251,Curves!$AH$21:$BV$21)+SUMPRODUCT(React!$C$252:$AQ$252,Curves!$AH$44:$BV$44)+SUMPRODUCT(React!$C$253:$AQ$253,Curves!$AH$67:$BV$67)</f>
        <v/>
      </c>
      <c r="AR254" s="5">
        <f>SUMPRODUCT(React!$C$251:$AR$251,Curves!$AG$21:$BV$21)+SUMPRODUCT(React!$C$252:$AR$252,Curves!$AG$44:$BV$44)+SUMPRODUCT(React!$C$253:$AR$253,Curves!$AG$67:$BV$67)</f>
        <v/>
      </c>
      <c r="AS254" s="5">
        <f>SUMPRODUCT(React!$C$251:$AS$251,Curves!$AF$21:$BV$21)+SUMPRODUCT(React!$C$252:$AS$252,Curves!$AF$44:$BV$44)+SUMPRODUCT(React!$C$253:$AS$253,Curves!$AF$67:$BV$67)</f>
        <v/>
      </c>
      <c r="AT254" s="5">
        <f>SUMPRODUCT(React!$C$251:$AT$251,Curves!$AE$21:$BV$21)+SUMPRODUCT(React!$C$252:$AT$252,Curves!$AE$44:$BV$44)+SUMPRODUCT(React!$C$253:$AT$253,Curves!$AE$67:$BV$67)</f>
        <v/>
      </c>
      <c r="AU254" s="5">
        <f>SUMPRODUCT(React!$C$251:$AU$251,Curves!$AD$21:$BV$21)+SUMPRODUCT(React!$C$252:$AU$252,Curves!$AD$44:$BV$44)+SUMPRODUCT(React!$C$253:$AU$253,Curves!$AD$67:$BV$67)</f>
        <v/>
      </c>
      <c r="AV254" s="5">
        <f>SUMPRODUCT(React!$C$251:$AV$251,Curves!$AC$21:$BV$21)+SUMPRODUCT(React!$C$252:$AV$252,Curves!$AC$44:$BV$44)+SUMPRODUCT(React!$C$253:$AV$253,Curves!$AC$67:$BV$67)</f>
        <v/>
      </c>
      <c r="AW254" s="5">
        <f>SUMPRODUCT(React!$C$251:$AW$251,Curves!$AB$21:$BV$21)+SUMPRODUCT(React!$C$252:$AW$252,Curves!$AB$44:$BV$44)+SUMPRODUCT(React!$C$253:$AW$253,Curves!$AB$67:$BV$67)</f>
        <v/>
      </c>
      <c r="AX254" s="5">
        <f>SUMPRODUCT(React!$C$251:$AX$251,Curves!$AA$21:$BV$21)+SUMPRODUCT(React!$C$252:$AX$252,Curves!$AA$44:$BV$44)+SUMPRODUCT(React!$C$253:$AX$253,Curves!$AA$67:$BV$67)</f>
        <v/>
      </c>
      <c r="AY254" s="5">
        <f>SUMPRODUCT(React!$C$251:$AY$251,Curves!$Z$21:$BV$21)+SUMPRODUCT(React!$C$252:$AY$252,Curves!$Z$44:$BV$44)+SUMPRODUCT(React!$C$253:$AY$253,Curves!$Z$67:$BV$67)</f>
        <v/>
      </c>
      <c r="AZ254" s="5">
        <f>SUMPRODUCT(React!$C$251:$AZ$251,Curves!$Y$21:$BV$21)+SUMPRODUCT(React!$C$252:$AZ$252,Curves!$Y$44:$BV$44)+SUMPRODUCT(React!$C$253:$AZ$253,Curves!$Y$67:$BV$67)</f>
        <v/>
      </c>
      <c r="BA254" s="5">
        <f>SUMPRODUCT(React!$C$251:$BA$251,Curves!$X$21:$BV$21)+SUMPRODUCT(React!$C$252:$BA$252,Curves!$X$44:$BV$44)+SUMPRODUCT(React!$C$253:$BA$253,Curves!$X$67:$BV$67)</f>
        <v/>
      </c>
      <c r="BB254" s="5">
        <f>SUMPRODUCT(React!$C$251:$BB$251,Curves!$W$21:$BV$21)+SUMPRODUCT(React!$C$252:$BB$252,Curves!$W$44:$BV$44)+SUMPRODUCT(React!$C$253:$BB$253,Curves!$W$67:$BV$67)</f>
        <v/>
      </c>
      <c r="BC254" s="5">
        <f>SUMPRODUCT(React!$C$251:$BC$251,Curves!$V$21:$BV$21)+SUMPRODUCT(React!$C$252:$BC$252,Curves!$V$44:$BV$44)+SUMPRODUCT(React!$C$253:$BC$253,Curves!$V$67:$BV$67)</f>
        <v/>
      </c>
      <c r="BD254" s="5">
        <f>SUMPRODUCT(React!$C$251:$BD$251,Curves!$U$21:$BV$21)+SUMPRODUCT(React!$C$252:$BD$252,Curves!$U$44:$BV$44)+SUMPRODUCT(React!$C$253:$BD$253,Curves!$U$67:$BV$67)</f>
        <v/>
      </c>
      <c r="BE254" s="5">
        <f>SUMPRODUCT(React!$C$251:$BE$251,Curves!$T$21:$BV$21)+SUMPRODUCT(React!$C$252:$BE$252,Curves!$T$44:$BV$44)+SUMPRODUCT(React!$C$253:$BE$253,Curves!$T$67:$BV$67)</f>
        <v/>
      </c>
      <c r="BF254" s="5">
        <f>SUMPRODUCT(React!$C$251:$BF$251,Curves!$S$21:$BV$21)+SUMPRODUCT(React!$C$252:$BF$252,Curves!$S$44:$BV$44)+SUMPRODUCT(React!$C$253:$BF$253,Curves!$S$67:$BV$67)</f>
        <v/>
      </c>
      <c r="BG254" s="5">
        <f>SUMPRODUCT(React!$C$251:$BG$251,Curves!$R$21:$BV$21)+SUMPRODUCT(React!$C$252:$BG$252,Curves!$R$44:$BV$44)+SUMPRODUCT(React!$C$253:$BG$253,Curves!$R$67:$BV$67)</f>
        <v/>
      </c>
      <c r="BH254" s="5">
        <f>SUMPRODUCT(React!$C$251:$BH$251,Curves!$Q$21:$BV$21)+SUMPRODUCT(React!$C$252:$BH$252,Curves!$Q$44:$BV$44)+SUMPRODUCT(React!$C$253:$BH$253,Curves!$Q$67:$BV$67)</f>
        <v/>
      </c>
      <c r="BI254" s="5">
        <f>SUMPRODUCT(React!$C$251:$BI$251,Curves!$P$21:$BV$21)+SUMPRODUCT(React!$C$252:$BI$252,Curves!$P$44:$BV$44)+SUMPRODUCT(React!$C$253:$BI$253,Curves!$P$67:$BV$67)</f>
        <v/>
      </c>
      <c r="BJ254" s="5">
        <f>SUMPRODUCT(React!$C$251:$BJ$251,Curves!$O$21:$BV$21)+SUMPRODUCT(React!$C$252:$BJ$252,Curves!$O$44:$BV$44)+SUMPRODUCT(React!$C$253:$BJ$253,Curves!$O$67:$BV$67)</f>
        <v/>
      </c>
      <c r="BK254" s="5">
        <f>SUMPRODUCT(React!$C$251:$BK$251,Curves!$N$21:$BV$21)+SUMPRODUCT(React!$C$252:$BK$252,Curves!$N$44:$BV$44)+SUMPRODUCT(React!$C$253:$BK$253,Curves!$N$67:$BV$67)</f>
        <v/>
      </c>
      <c r="BL254" s="5">
        <f>SUMPRODUCT(React!$C$251:$BL$251,Curves!$M$21:$BV$21)+SUMPRODUCT(React!$C$252:$BL$252,Curves!$M$44:$BV$44)+SUMPRODUCT(React!$C$253:$BL$253,Curves!$M$67:$BV$67)</f>
        <v/>
      </c>
      <c r="BM254" s="5">
        <f>SUMPRODUCT(React!$C$251:$BM$251,Curves!$L$21:$BV$21)+SUMPRODUCT(React!$C$252:$BM$252,Curves!$L$44:$BV$44)+SUMPRODUCT(React!$C$253:$BM$253,Curves!$L$67:$BV$67)</f>
        <v/>
      </c>
      <c r="BN254" s="5">
        <f>SUMPRODUCT(React!$C$251:$BN$251,Curves!$K$21:$BV$21)+SUMPRODUCT(React!$C$252:$BN$252,Curves!$K$44:$BV$44)+SUMPRODUCT(React!$C$253:$BN$253,Curves!$K$67:$BV$67)</f>
        <v/>
      </c>
      <c r="BO254" s="5">
        <f>SUMPRODUCT(React!$C$251:$BO$251,Curves!$J$21:$BV$21)+SUMPRODUCT(React!$C$252:$BO$252,Curves!$J$44:$BV$44)+SUMPRODUCT(React!$C$253:$BO$253,Curves!$J$67:$BV$67)</f>
        <v/>
      </c>
      <c r="BP254" s="5">
        <f>SUMPRODUCT(React!$C$251:$BP$251,Curves!$I$21:$BV$21)+SUMPRODUCT(React!$C$252:$BP$252,Curves!$I$44:$BV$44)+SUMPRODUCT(React!$C$253:$BP$253,Curves!$I$67:$BV$67)</f>
        <v/>
      </c>
      <c r="BQ254" s="5">
        <f>SUMPRODUCT(React!$C$251:$BQ$251,Curves!$H$21:$BV$21)+SUMPRODUCT(React!$C$252:$BQ$252,Curves!$H$44:$BV$44)+SUMPRODUCT(React!$C$253:$BQ$253,Curves!$H$67:$BV$67)</f>
        <v/>
      </c>
      <c r="BR254" s="5">
        <f>SUMPRODUCT(React!$C$251:$BR$251,Curves!$G$21:$BV$21)+SUMPRODUCT(React!$C$252:$BR$252,Curves!$G$44:$BV$44)+SUMPRODUCT(React!$C$253:$BR$253,Curves!$G$67:$BV$67)</f>
        <v/>
      </c>
      <c r="BS254" s="5">
        <f>SUMPRODUCT(React!$C$251:$BS$251,Curves!$F$21:$BV$21)+SUMPRODUCT(React!$C$252:$BS$252,Curves!$F$44:$BV$44)+SUMPRODUCT(React!$C$253:$BS$253,Curves!$F$67:$BV$67)</f>
        <v/>
      </c>
      <c r="BT254" s="5">
        <f>SUMPRODUCT(React!$C$251:$BT$251,Curves!$E$21:$BV$21)+SUMPRODUCT(React!$C$252:$BT$252,Curves!$E$44:$BV$44)+SUMPRODUCT(React!$C$253:$BT$253,Curves!$E$67:$BV$67)</f>
        <v/>
      </c>
      <c r="BU254" s="5">
        <f>SUMPRODUCT(React!$C$251:$BU$251,Curves!$D$21:$BV$21)+SUMPRODUCT(React!$C$252:$BU$252,Curves!$D$44:$BV$44)+SUMPRODUCT(React!$C$253:$BU$253,Curves!$D$67:$BV$67)</f>
        <v/>
      </c>
      <c r="BV254" s="5">
        <f>SUMPRODUCT(React!$C$251:$BV$251,Curves!$C$21:$BV$21)+SUMPRODUCT(React!$C$252:$BV$252,Curves!$C$44:$BV$44)+SUMPRODUCT(React!$C$253:$BV$253,Curves!$C$67:$BV$67)</f>
        <v/>
      </c>
    </row>
    <row r="255">
      <c r="A255" t="inlineStr">
        <is>
          <t>reactivated in</t>
        </is>
      </c>
      <c r="B255" t="inlineStr">
        <is>
          <t>ROW|BASIC_A</t>
        </is>
      </c>
      <c r="C255" s="5">
        <f>0</f>
        <v/>
      </c>
      <c r="D255" s="5">
        <f>0</f>
        <v/>
      </c>
      <c r="E255" s="5">
        <f>0</f>
        <v/>
      </c>
      <c r="F255" s="5">
        <f>0</f>
        <v/>
      </c>
      <c r="G255" s="5">
        <f>0</f>
        <v/>
      </c>
      <c r="H255" s="5">
        <f>0</f>
        <v/>
      </c>
      <c r="I255" s="5">
        <f>0</f>
        <v/>
      </c>
      <c r="J255" s="5">
        <f>0</f>
        <v/>
      </c>
      <c r="K255" s="5">
        <f>0</f>
        <v/>
      </c>
      <c r="L255" s="5">
        <f>0</f>
        <v/>
      </c>
      <c r="M255" s="5">
        <f>0</f>
        <v/>
      </c>
      <c r="N255" s="5">
        <f>0</f>
        <v/>
      </c>
      <c r="O255" s="5">
        <f>0</f>
        <v/>
      </c>
      <c r="P255" s="5">
        <f>0</f>
        <v/>
      </c>
      <c r="Q255" s="5">
        <f>0</f>
        <v/>
      </c>
      <c r="R255" s="5">
        <f>0</f>
        <v/>
      </c>
      <c r="S255" s="5">
        <f>0</f>
        <v/>
      </c>
      <c r="T255" s="5">
        <f>0</f>
        <v/>
      </c>
      <c r="U255" s="5">
        <f>0</f>
        <v/>
      </c>
      <c r="V255" s="5">
        <f>0</f>
        <v/>
      </c>
      <c r="W255" s="5">
        <f>0</f>
        <v/>
      </c>
      <c r="X255" s="5">
        <f>0</f>
        <v/>
      </c>
      <c r="Y255" s="5">
        <f>0</f>
        <v/>
      </c>
      <c r="Z255" s="5">
        <f>0</f>
        <v/>
      </c>
      <c r="AA255" s="5">
        <f>0</f>
        <v/>
      </c>
      <c r="AB255" s="5">
        <f>0</f>
        <v/>
      </c>
      <c r="AC255" s="5">
        <f>0</f>
        <v/>
      </c>
      <c r="AD255" s="5">
        <f>0</f>
        <v/>
      </c>
      <c r="AE255" s="5">
        <f>0</f>
        <v/>
      </c>
      <c r="AF255" s="5">
        <f>0</f>
        <v/>
      </c>
      <c r="AG255" s="5">
        <f>0</f>
        <v/>
      </c>
      <c r="AH255" s="5">
        <f>0</f>
        <v/>
      </c>
      <c r="AI255" s="5">
        <f>0</f>
        <v/>
      </c>
      <c r="AJ255" s="5">
        <f>0</f>
        <v/>
      </c>
      <c r="AK255" s="5">
        <f>0</f>
        <v/>
      </c>
      <c r="AL255" s="5">
        <f>0</f>
        <v/>
      </c>
      <c r="AM255" s="5">
        <f>0</f>
        <v/>
      </c>
      <c r="AN255" s="5">
        <f>0</f>
        <v/>
      </c>
      <c r="AO255" s="5">
        <f>0</f>
        <v/>
      </c>
      <c r="AP255" s="5">
        <f>0</f>
        <v/>
      </c>
      <c r="AQ255" s="5">
        <f>0</f>
        <v/>
      </c>
      <c r="AR255" s="5">
        <f>0</f>
        <v/>
      </c>
      <c r="AS255" s="5">
        <f>0</f>
        <v/>
      </c>
      <c r="AT255" s="5">
        <f>0</f>
        <v/>
      </c>
      <c r="AU255" s="5">
        <f>0</f>
        <v/>
      </c>
      <c r="AV255" s="5">
        <f>0</f>
        <v/>
      </c>
      <c r="AW255" s="5">
        <f>0</f>
        <v/>
      </c>
      <c r="AX255" s="5">
        <f>0</f>
        <v/>
      </c>
      <c r="AY255" s="5">
        <f>0</f>
        <v/>
      </c>
      <c r="AZ255" s="5">
        <f>0</f>
        <v/>
      </c>
      <c r="BA255" s="5">
        <f>0</f>
        <v/>
      </c>
      <c r="BB255" s="5">
        <f>0</f>
        <v/>
      </c>
      <c r="BC255" s="5">
        <f>0</f>
        <v/>
      </c>
      <c r="BD255" s="5">
        <f>0</f>
        <v/>
      </c>
      <c r="BE255" s="5">
        <f>0</f>
        <v/>
      </c>
      <c r="BF255" s="5">
        <f>0</f>
        <v/>
      </c>
      <c r="BG255" s="5">
        <f>0</f>
        <v/>
      </c>
      <c r="BH255" s="5">
        <f>0</f>
        <v/>
      </c>
      <c r="BI255" s="5">
        <f>0</f>
        <v/>
      </c>
      <c r="BJ255" s="5">
        <f>0</f>
        <v/>
      </c>
      <c r="BK255" s="5">
        <f>0</f>
        <v/>
      </c>
      <c r="BL255" s="5">
        <f>0</f>
        <v/>
      </c>
      <c r="BM255" s="5">
        <f>0</f>
        <v/>
      </c>
      <c r="BN255" s="5">
        <f>0</f>
        <v/>
      </c>
      <c r="BO255" s="5">
        <f>0</f>
        <v/>
      </c>
      <c r="BP255" s="5">
        <f>0</f>
        <v/>
      </c>
      <c r="BQ255" s="5">
        <f>0</f>
        <v/>
      </c>
      <c r="BR255" s="5">
        <f>0</f>
        <v/>
      </c>
      <c r="BS255" s="5">
        <f>0</f>
        <v/>
      </c>
      <c r="BT255" s="5">
        <f>0</f>
        <v/>
      </c>
      <c r="BU255" s="5">
        <f>0</f>
        <v/>
      </c>
      <c r="BV255" s="5">
        <f>0</f>
        <v/>
      </c>
    </row>
    <row r="256">
      <c r="A256" t="inlineStr">
        <is>
          <t>reactivated in @0</t>
        </is>
      </c>
      <c r="B256" t="inlineStr">
        <is>
          <t>ROW|BASIC_A</t>
        </is>
      </c>
      <c r="C256" s="5">
        <f>C255*Eras!C$3</f>
        <v/>
      </c>
      <c r="D256" s="5">
        <f>D255*Eras!D$3</f>
        <v/>
      </c>
      <c r="E256" s="5">
        <f>E255*Eras!E$3</f>
        <v/>
      </c>
      <c r="F256" s="5">
        <f>F255*Eras!F$3</f>
        <v/>
      </c>
      <c r="G256" s="5">
        <f>G255*Eras!G$3</f>
        <v/>
      </c>
      <c r="H256" s="5">
        <f>H255*Eras!H$3</f>
        <v/>
      </c>
      <c r="I256" s="5">
        <f>I255*Eras!I$3</f>
        <v/>
      </c>
      <c r="J256" s="5">
        <f>J255*Eras!J$3</f>
        <v/>
      </c>
      <c r="K256" s="5">
        <f>K255*Eras!K$3</f>
        <v/>
      </c>
      <c r="L256" s="5">
        <f>L255*Eras!L$3</f>
        <v/>
      </c>
      <c r="M256" s="5">
        <f>M255*Eras!M$3</f>
        <v/>
      </c>
      <c r="N256" s="5">
        <f>N255*Eras!N$3</f>
        <v/>
      </c>
      <c r="O256" s="5">
        <f>O255*Eras!O$3</f>
        <v/>
      </c>
      <c r="P256" s="5">
        <f>P255*Eras!P$3</f>
        <v/>
      </c>
      <c r="Q256" s="5">
        <f>Q255*Eras!Q$3</f>
        <v/>
      </c>
      <c r="R256" s="5">
        <f>R255*Eras!R$3</f>
        <v/>
      </c>
      <c r="S256" s="5">
        <f>S255*Eras!S$3</f>
        <v/>
      </c>
      <c r="T256" s="5">
        <f>T255*Eras!T$3</f>
        <v/>
      </c>
      <c r="U256" s="5">
        <f>U255*Eras!U$3</f>
        <v/>
      </c>
      <c r="V256" s="5">
        <f>V255*Eras!V$3</f>
        <v/>
      </c>
      <c r="W256" s="5">
        <f>W255*Eras!W$3</f>
        <v/>
      </c>
      <c r="X256" s="5">
        <f>X255*Eras!X$3</f>
        <v/>
      </c>
      <c r="Y256" s="5">
        <f>Y255*Eras!Y$3</f>
        <v/>
      </c>
      <c r="Z256" s="5">
        <f>Z255*Eras!Z$3</f>
        <v/>
      </c>
      <c r="AA256" s="5">
        <f>AA255*Eras!AA$3</f>
        <v/>
      </c>
      <c r="AB256" s="5">
        <f>AB255*Eras!AB$3</f>
        <v/>
      </c>
      <c r="AC256" s="5">
        <f>AC255*Eras!AC$3</f>
        <v/>
      </c>
      <c r="AD256" s="5">
        <f>AD255*Eras!AD$3</f>
        <v/>
      </c>
      <c r="AE256" s="5">
        <f>AE255*Eras!AE$3</f>
        <v/>
      </c>
      <c r="AF256" s="5">
        <f>AF255*Eras!AF$3</f>
        <v/>
      </c>
      <c r="AG256" s="5">
        <f>AG255*Eras!AG$3</f>
        <v/>
      </c>
      <c r="AH256" s="5">
        <f>AH255*Eras!AH$3</f>
        <v/>
      </c>
      <c r="AI256" s="5">
        <f>AI255*Eras!AI$3</f>
        <v/>
      </c>
      <c r="AJ256" s="5">
        <f>AJ255*Eras!AJ$3</f>
        <v/>
      </c>
      <c r="AK256" s="5">
        <f>AK255*Eras!AK$3</f>
        <v/>
      </c>
      <c r="AL256" s="5">
        <f>AL255*Eras!AL$3</f>
        <v/>
      </c>
      <c r="AM256" s="5">
        <f>AM255*Eras!AM$3</f>
        <v/>
      </c>
      <c r="AN256" s="5">
        <f>AN255*Eras!AN$3</f>
        <v/>
      </c>
      <c r="AO256" s="5">
        <f>AO255*Eras!AO$3</f>
        <v/>
      </c>
      <c r="AP256" s="5">
        <f>AP255*Eras!AP$3</f>
        <v/>
      </c>
      <c r="AQ256" s="5">
        <f>AQ255*Eras!AQ$3</f>
        <v/>
      </c>
      <c r="AR256" s="5">
        <f>AR255*Eras!AR$3</f>
        <v/>
      </c>
      <c r="AS256" s="5">
        <f>AS255*Eras!AS$3</f>
        <v/>
      </c>
      <c r="AT256" s="5">
        <f>AT255*Eras!AT$3</f>
        <v/>
      </c>
      <c r="AU256" s="5">
        <f>AU255*Eras!AU$3</f>
        <v/>
      </c>
      <c r="AV256" s="5">
        <f>AV255*Eras!AV$3</f>
        <v/>
      </c>
      <c r="AW256" s="5">
        <f>AW255*Eras!AW$3</f>
        <v/>
      </c>
      <c r="AX256" s="5">
        <f>AX255*Eras!AX$3</f>
        <v/>
      </c>
      <c r="AY256" s="5">
        <f>AY255*Eras!AY$3</f>
        <v/>
      </c>
      <c r="AZ256" s="5">
        <f>AZ255*Eras!AZ$3</f>
        <v/>
      </c>
      <c r="BA256" s="5">
        <f>BA255*Eras!BA$3</f>
        <v/>
      </c>
      <c r="BB256" s="5">
        <f>BB255*Eras!BB$3</f>
        <v/>
      </c>
      <c r="BC256" s="5">
        <f>BC255*Eras!BC$3</f>
        <v/>
      </c>
      <c r="BD256" s="5">
        <f>BD255*Eras!BD$3</f>
        <v/>
      </c>
      <c r="BE256" s="5">
        <f>BE255*Eras!BE$3</f>
        <v/>
      </c>
      <c r="BF256" s="5">
        <f>BF255*Eras!BF$3</f>
        <v/>
      </c>
      <c r="BG256" s="5">
        <f>BG255*Eras!BG$3</f>
        <v/>
      </c>
      <c r="BH256" s="5">
        <f>BH255*Eras!BH$3</f>
        <v/>
      </c>
      <c r="BI256" s="5">
        <f>BI255*Eras!BI$3</f>
        <v/>
      </c>
      <c r="BJ256" s="5">
        <f>BJ255*Eras!BJ$3</f>
        <v/>
      </c>
      <c r="BK256" s="5">
        <f>BK255*Eras!BK$3</f>
        <v/>
      </c>
      <c r="BL256" s="5">
        <f>BL255*Eras!BL$3</f>
        <v/>
      </c>
      <c r="BM256" s="5">
        <f>BM255*Eras!BM$3</f>
        <v/>
      </c>
      <c r="BN256" s="5">
        <f>BN255*Eras!BN$3</f>
        <v/>
      </c>
      <c r="BO256" s="5">
        <f>BO255*Eras!BO$3</f>
        <v/>
      </c>
      <c r="BP256" s="5">
        <f>BP255*Eras!BP$3</f>
        <v/>
      </c>
      <c r="BQ256" s="5">
        <f>BQ255*Eras!BQ$3</f>
        <v/>
      </c>
      <c r="BR256" s="5">
        <f>BR255*Eras!BR$3</f>
        <v/>
      </c>
      <c r="BS256" s="5">
        <f>BS255*Eras!BS$3</f>
        <v/>
      </c>
      <c r="BT256" s="5">
        <f>BT255*Eras!BT$3</f>
        <v/>
      </c>
      <c r="BU256" s="5">
        <f>BU255*Eras!BU$3</f>
        <v/>
      </c>
      <c r="BV256" s="5">
        <f>BV255*Eras!BV$3</f>
        <v/>
      </c>
    </row>
    <row r="257">
      <c r="A257" t="inlineStr">
        <is>
          <t>reactivated in @1</t>
        </is>
      </c>
      <c r="B257" t="inlineStr">
        <is>
          <t>ROW|BASIC_A</t>
        </is>
      </c>
      <c r="C257" s="5">
        <f>C255*Eras!C$4</f>
        <v/>
      </c>
      <c r="D257" s="5">
        <f>D255*Eras!D$4</f>
        <v/>
      </c>
      <c r="E257" s="5">
        <f>E255*Eras!E$4</f>
        <v/>
      </c>
      <c r="F257" s="5">
        <f>F255*Eras!F$4</f>
        <v/>
      </c>
      <c r="G257" s="5">
        <f>G255*Eras!G$4</f>
        <v/>
      </c>
      <c r="H257" s="5">
        <f>H255*Eras!H$4</f>
        <v/>
      </c>
      <c r="I257" s="5">
        <f>I255*Eras!I$4</f>
        <v/>
      </c>
      <c r="J257" s="5">
        <f>J255*Eras!J$4</f>
        <v/>
      </c>
      <c r="K257" s="5">
        <f>K255*Eras!K$4</f>
        <v/>
      </c>
      <c r="L257" s="5">
        <f>L255*Eras!L$4</f>
        <v/>
      </c>
      <c r="M257" s="5">
        <f>M255*Eras!M$4</f>
        <v/>
      </c>
      <c r="N257" s="5">
        <f>N255*Eras!N$4</f>
        <v/>
      </c>
      <c r="O257" s="5">
        <f>O255*Eras!O$4</f>
        <v/>
      </c>
      <c r="P257" s="5">
        <f>P255*Eras!P$4</f>
        <v/>
      </c>
      <c r="Q257" s="5">
        <f>Q255*Eras!Q$4</f>
        <v/>
      </c>
      <c r="R257" s="5">
        <f>R255*Eras!R$4</f>
        <v/>
      </c>
      <c r="S257" s="5">
        <f>S255*Eras!S$4</f>
        <v/>
      </c>
      <c r="T257" s="5">
        <f>T255*Eras!T$4</f>
        <v/>
      </c>
      <c r="U257" s="5">
        <f>U255*Eras!U$4</f>
        <v/>
      </c>
      <c r="V257" s="5">
        <f>V255*Eras!V$4</f>
        <v/>
      </c>
      <c r="W257" s="5">
        <f>W255*Eras!W$4</f>
        <v/>
      </c>
      <c r="X257" s="5">
        <f>X255*Eras!X$4</f>
        <v/>
      </c>
      <c r="Y257" s="5">
        <f>Y255*Eras!Y$4</f>
        <v/>
      </c>
      <c r="Z257" s="5">
        <f>Z255*Eras!Z$4</f>
        <v/>
      </c>
      <c r="AA257" s="5">
        <f>AA255*Eras!AA$4</f>
        <v/>
      </c>
      <c r="AB257" s="5">
        <f>AB255*Eras!AB$4</f>
        <v/>
      </c>
      <c r="AC257" s="5">
        <f>AC255*Eras!AC$4</f>
        <v/>
      </c>
      <c r="AD257" s="5">
        <f>AD255*Eras!AD$4</f>
        <v/>
      </c>
      <c r="AE257" s="5">
        <f>AE255*Eras!AE$4</f>
        <v/>
      </c>
      <c r="AF257" s="5">
        <f>AF255*Eras!AF$4</f>
        <v/>
      </c>
      <c r="AG257" s="5">
        <f>AG255*Eras!AG$4</f>
        <v/>
      </c>
      <c r="AH257" s="5">
        <f>AH255*Eras!AH$4</f>
        <v/>
      </c>
      <c r="AI257" s="5">
        <f>AI255*Eras!AI$4</f>
        <v/>
      </c>
      <c r="AJ257" s="5">
        <f>AJ255*Eras!AJ$4</f>
        <v/>
      </c>
      <c r="AK257" s="5">
        <f>AK255*Eras!AK$4</f>
        <v/>
      </c>
      <c r="AL257" s="5">
        <f>AL255*Eras!AL$4</f>
        <v/>
      </c>
      <c r="AM257" s="5">
        <f>AM255*Eras!AM$4</f>
        <v/>
      </c>
      <c r="AN257" s="5">
        <f>AN255*Eras!AN$4</f>
        <v/>
      </c>
      <c r="AO257" s="5">
        <f>AO255*Eras!AO$4</f>
        <v/>
      </c>
      <c r="AP257" s="5">
        <f>AP255*Eras!AP$4</f>
        <v/>
      </c>
      <c r="AQ257" s="5">
        <f>AQ255*Eras!AQ$4</f>
        <v/>
      </c>
      <c r="AR257" s="5">
        <f>AR255*Eras!AR$4</f>
        <v/>
      </c>
      <c r="AS257" s="5">
        <f>AS255*Eras!AS$4</f>
        <v/>
      </c>
      <c r="AT257" s="5">
        <f>AT255*Eras!AT$4</f>
        <v/>
      </c>
      <c r="AU257" s="5">
        <f>AU255*Eras!AU$4</f>
        <v/>
      </c>
      <c r="AV257" s="5">
        <f>AV255*Eras!AV$4</f>
        <v/>
      </c>
      <c r="AW257" s="5">
        <f>AW255*Eras!AW$4</f>
        <v/>
      </c>
      <c r="AX257" s="5">
        <f>AX255*Eras!AX$4</f>
        <v/>
      </c>
      <c r="AY257" s="5">
        <f>AY255*Eras!AY$4</f>
        <v/>
      </c>
      <c r="AZ257" s="5">
        <f>AZ255*Eras!AZ$4</f>
        <v/>
      </c>
      <c r="BA257" s="5">
        <f>BA255*Eras!BA$4</f>
        <v/>
      </c>
      <c r="BB257" s="5">
        <f>BB255*Eras!BB$4</f>
        <v/>
      </c>
      <c r="BC257" s="5">
        <f>BC255*Eras!BC$4</f>
        <v/>
      </c>
      <c r="BD257" s="5">
        <f>BD255*Eras!BD$4</f>
        <v/>
      </c>
      <c r="BE257" s="5">
        <f>BE255*Eras!BE$4</f>
        <v/>
      </c>
      <c r="BF257" s="5">
        <f>BF255*Eras!BF$4</f>
        <v/>
      </c>
      <c r="BG257" s="5">
        <f>BG255*Eras!BG$4</f>
        <v/>
      </c>
      <c r="BH257" s="5">
        <f>BH255*Eras!BH$4</f>
        <v/>
      </c>
      <c r="BI257" s="5">
        <f>BI255*Eras!BI$4</f>
        <v/>
      </c>
      <c r="BJ257" s="5">
        <f>BJ255*Eras!BJ$4</f>
        <v/>
      </c>
      <c r="BK257" s="5">
        <f>BK255*Eras!BK$4</f>
        <v/>
      </c>
      <c r="BL257" s="5">
        <f>BL255*Eras!BL$4</f>
        <v/>
      </c>
      <c r="BM257" s="5">
        <f>BM255*Eras!BM$4</f>
        <v/>
      </c>
      <c r="BN257" s="5">
        <f>BN255*Eras!BN$4</f>
        <v/>
      </c>
      <c r="BO257" s="5">
        <f>BO255*Eras!BO$4</f>
        <v/>
      </c>
      <c r="BP257" s="5">
        <f>BP255*Eras!BP$4</f>
        <v/>
      </c>
      <c r="BQ257" s="5">
        <f>BQ255*Eras!BQ$4</f>
        <v/>
      </c>
      <c r="BR257" s="5">
        <f>BR255*Eras!BR$4</f>
        <v/>
      </c>
      <c r="BS257" s="5">
        <f>BS255*Eras!BS$4</f>
        <v/>
      </c>
      <c r="BT257" s="5">
        <f>BT255*Eras!BT$4</f>
        <v/>
      </c>
      <c r="BU257" s="5">
        <f>BU255*Eras!BU$4</f>
        <v/>
      </c>
      <c r="BV257" s="5">
        <f>BV255*Eras!BV$4</f>
        <v/>
      </c>
    </row>
    <row r="258">
      <c r="A258" t="inlineStr">
        <is>
          <t>reactivated in @2</t>
        </is>
      </c>
      <c r="B258" t="inlineStr">
        <is>
          <t>ROW|BASIC_A</t>
        </is>
      </c>
      <c r="C258" s="5">
        <f>C255*Eras!C$5</f>
        <v/>
      </c>
      <c r="D258" s="5">
        <f>D255*Eras!D$5</f>
        <v/>
      </c>
      <c r="E258" s="5">
        <f>E255*Eras!E$5</f>
        <v/>
      </c>
      <c r="F258" s="5">
        <f>F255*Eras!F$5</f>
        <v/>
      </c>
      <c r="G258" s="5">
        <f>G255*Eras!G$5</f>
        <v/>
      </c>
      <c r="H258" s="5">
        <f>H255*Eras!H$5</f>
        <v/>
      </c>
      <c r="I258" s="5">
        <f>I255*Eras!I$5</f>
        <v/>
      </c>
      <c r="J258" s="5">
        <f>J255*Eras!J$5</f>
        <v/>
      </c>
      <c r="K258" s="5">
        <f>K255*Eras!K$5</f>
        <v/>
      </c>
      <c r="L258" s="5">
        <f>L255*Eras!L$5</f>
        <v/>
      </c>
      <c r="M258" s="5">
        <f>M255*Eras!M$5</f>
        <v/>
      </c>
      <c r="N258" s="5">
        <f>N255*Eras!N$5</f>
        <v/>
      </c>
      <c r="O258" s="5">
        <f>O255*Eras!O$5</f>
        <v/>
      </c>
      <c r="P258" s="5">
        <f>P255*Eras!P$5</f>
        <v/>
      </c>
      <c r="Q258" s="5">
        <f>Q255*Eras!Q$5</f>
        <v/>
      </c>
      <c r="R258" s="5">
        <f>R255*Eras!R$5</f>
        <v/>
      </c>
      <c r="S258" s="5">
        <f>S255*Eras!S$5</f>
        <v/>
      </c>
      <c r="T258" s="5">
        <f>T255*Eras!T$5</f>
        <v/>
      </c>
      <c r="U258" s="5">
        <f>U255*Eras!U$5</f>
        <v/>
      </c>
      <c r="V258" s="5">
        <f>V255*Eras!V$5</f>
        <v/>
      </c>
      <c r="W258" s="5">
        <f>W255*Eras!W$5</f>
        <v/>
      </c>
      <c r="X258" s="5">
        <f>X255*Eras!X$5</f>
        <v/>
      </c>
      <c r="Y258" s="5">
        <f>Y255*Eras!Y$5</f>
        <v/>
      </c>
      <c r="Z258" s="5">
        <f>Z255*Eras!Z$5</f>
        <v/>
      </c>
      <c r="AA258" s="5">
        <f>AA255*Eras!AA$5</f>
        <v/>
      </c>
      <c r="AB258" s="5">
        <f>AB255*Eras!AB$5</f>
        <v/>
      </c>
      <c r="AC258" s="5">
        <f>AC255*Eras!AC$5</f>
        <v/>
      </c>
      <c r="AD258" s="5">
        <f>AD255*Eras!AD$5</f>
        <v/>
      </c>
      <c r="AE258" s="5">
        <f>AE255*Eras!AE$5</f>
        <v/>
      </c>
      <c r="AF258" s="5">
        <f>AF255*Eras!AF$5</f>
        <v/>
      </c>
      <c r="AG258" s="5">
        <f>AG255*Eras!AG$5</f>
        <v/>
      </c>
      <c r="AH258" s="5">
        <f>AH255*Eras!AH$5</f>
        <v/>
      </c>
      <c r="AI258" s="5">
        <f>AI255*Eras!AI$5</f>
        <v/>
      </c>
      <c r="AJ258" s="5">
        <f>AJ255*Eras!AJ$5</f>
        <v/>
      </c>
      <c r="AK258" s="5">
        <f>AK255*Eras!AK$5</f>
        <v/>
      </c>
      <c r="AL258" s="5">
        <f>AL255*Eras!AL$5</f>
        <v/>
      </c>
      <c r="AM258" s="5">
        <f>AM255*Eras!AM$5</f>
        <v/>
      </c>
      <c r="AN258" s="5">
        <f>AN255*Eras!AN$5</f>
        <v/>
      </c>
      <c r="AO258" s="5">
        <f>AO255*Eras!AO$5</f>
        <v/>
      </c>
      <c r="AP258" s="5">
        <f>AP255*Eras!AP$5</f>
        <v/>
      </c>
      <c r="AQ258" s="5">
        <f>AQ255*Eras!AQ$5</f>
        <v/>
      </c>
      <c r="AR258" s="5">
        <f>AR255*Eras!AR$5</f>
        <v/>
      </c>
      <c r="AS258" s="5">
        <f>AS255*Eras!AS$5</f>
        <v/>
      </c>
      <c r="AT258" s="5">
        <f>AT255*Eras!AT$5</f>
        <v/>
      </c>
      <c r="AU258" s="5">
        <f>AU255*Eras!AU$5</f>
        <v/>
      </c>
      <c r="AV258" s="5">
        <f>AV255*Eras!AV$5</f>
        <v/>
      </c>
      <c r="AW258" s="5">
        <f>AW255*Eras!AW$5</f>
        <v/>
      </c>
      <c r="AX258" s="5">
        <f>AX255*Eras!AX$5</f>
        <v/>
      </c>
      <c r="AY258" s="5">
        <f>AY255*Eras!AY$5</f>
        <v/>
      </c>
      <c r="AZ258" s="5">
        <f>AZ255*Eras!AZ$5</f>
        <v/>
      </c>
      <c r="BA258" s="5">
        <f>BA255*Eras!BA$5</f>
        <v/>
      </c>
      <c r="BB258" s="5">
        <f>BB255*Eras!BB$5</f>
        <v/>
      </c>
      <c r="BC258" s="5">
        <f>BC255*Eras!BC$5</f>
        <v/>
      </c>
      <c r="BD258" s="5">
        <f>BD255*Eras!BD$5</f>
        <v/>
      </c>
      <c r="BE258" s="5">
        <f>BE255*Eras!BE$5</f>
        <v/>
      </c>
      <c r="BF258" s="5">
        <f>BF255*Eras!BF$5</f>
        <v/>
      </c>
      <c r="BG258" s="5">
        <f>BG255*Eras!BG$5</f>
        <v/>
      </c>
      <c r="BH258" s="5">
        <f>BH255*Eras!BH$5</f>
        <v/>
      </c>
      <c r="BI258" s="5">
        <f>BI255*Eras!BI$5</f>
        <v/>
      </c>
      <c r="BJ258" s="5">
        <f>BJ255*Eras!BJ$5</f>
        <v/>
      </c>
      <c r="BK258" s="5">
        <f>BK255*Eras!BK$5</f>
        <v/>
      </c>
      <c r="BL258" s="5">
        <f>BL255*Eras!BL$5</f>
        <v/>
      </c>
      <c r="BM258" s="5">
        <f>BM255*Eras!BM$5</f>
        <v/>
      </c>
      <c r="BN258" s="5">
        <f>BN255*Eras!BN$5</f>
        <v/>
      </c>
      <c r="BO258" s="5">
        <f>BO255*Eras!BO$5</f>
        <v/>
      </c>
      <c r="BP258" s="5">
        <f>BP255*Eras!BP$5</f>
        <v/>
      </c>
      <c r="BQ258" s="5">
        <f>BQ255*Eras!BQ$5</f>
        <v/>
      </c>
      <c r="BR258" s="5">
        <f>BR255*Eras!BR$5</f>
        <v/>
      </c>
      <c r="BS258" s="5">
        <f>BS255*Eras!BS$5</f>
        <v/>
      </c>
      <c r="BT258" s="5">
        <f>BT255*Eras!BT$5</f>
        <v/>
      </c>
      <c r="BU258" s="5">
        <f>BU255*Eras!BU$5</f>
        <v/>
      </c>
      <c r="BV258" s="5">
        <f>BV255*Eras!BV$5</f>
        <v/>
      </c>
    </row>
    <row r="259">
      <c r="A259" t="inlineStr">
        <is>
          <t>active</t>
        </is>
      </c>
      <c r="B259" t="inlineStr">
        <is>
          <t>ROW|BASIC_A</t>
        </is>
      </c>
      <c r="C259" s="5">
        <f>React!$C$256*Curves!$BV$19+React!$C$257*Curves!$BV$42+React!$C$258*Curves!$BV$65</f>
        <v/>
      </c>
      <c r="D259" s="5">
        <f>SUMPRODUCT(React!$C$256:$D$256,Curves!$BU$19:$BV$19)+SUMPRODUCT(React!$C$257:$D$257,Curves!$BU$42:$BV$42)+SUMPRODUCT(React!$C$258:$D$258,Curves!$BU$65:$BV$65)</f>
        <v/>
      </c>
      <c r="E259" s="5">
        <f>SUMPRODUCT(React!$C$256:$E$256,Curves!$BT$19:$BV$19)+SUMPRODUCT(React!$C$257:$E$257,Curves!$BT$42:$BV$42)+SUMPRODUCT(React!$C$258:$E$258,Curves!$BT$65:$BV$65)</f>
        <v/>
      </c>
      <c r="F259" s="5">
        <f>SUMPRODUCT(React!$C$256:$F$256,Curves!$BS$19:$BV$19)+SUMPRODUCT(React!$C$257:$F$257,Curves!$BS$42:$BV$42)+SUMPRODUCT(React!$C$258:$F$258,Curves!$BS$65:$BV$65)</f>
        <v/>
      </c>
      <c r="G259" s="5">
        <f>SUMPRODUCT(React!$C$256:$G$256,Curves!$BR$19:$BV$19)+SUMPRODUCT(React!$C$257:$G$257,Curves!$BR$42:$BV$42)+SUMPRODUCT(React!$C$258:$G$258,Curves!$BR$65:$BV$65)</f>
        <v/>
      </c>
      <c r="H259" s="5">
        <f>SUMPRODUCT(React!$C$256:$H$256,Curves!$BQ$19:$BV$19)+SUMPRODUCT(React!$C$257:$H$257,Curves!$BQ$42:$BV$42)+SUMPRODUCT(React!$C$258:$H$258,Curves!$BQ$65:$BV$65)</f>
        <v/>
      </c>
      <c r="I259" s="5">
        <f>SUMPRODUCT(React!$C$256:$I$256,Curves!$BP$19:$BV$19)+SUMPRODUCT(React!$C$257:$I$257,Curves!$BP$42:$BV$42)+SUMPRODUCT(React!$C$258:$I$258,Curves!$BP$65:$BV$65)</f>
        <v/>
      </c>
      <c r="J259" s="5">
        <f>SUMPRODUCT(React!$C$256:$J$256,Curves!$BO$19:$BV$19)+SUMPRODUCT(React!$C$257:$J$257,Curves!$BO$42:$BV$42)+SUMPRODUCT(React!$C$258:$J$258,Curves!$BO$65:$BV$65)</f>
        <v/>
      </c>
      <c r="K259" s="5">
        <f>SUMPRODUCT(React!$C$256:$K$256,Curves!$BN$19:$BV$19)+SUMPRODUCT(React!$C$257:$K$257,Curves!$BN$42:$BV$42)+SUMPRODUCT(React!$C$258:$K$258,Curves!$BN$65:$BV$65)</f>
        <v/>
      </c>
      <c r="L259" s="5">
        <f>SUMPRODUCT(React!$C$256:$L$256,Curves!$BM$19:$BV$19)+SUMPRODUCT(React!$C$257:$L$257,Curves!$BM$42:$BV$42)+SUMPRODUCT(React!$C$258:$L$258,Curves!$BM$65:$BV$65)</f>
        <v/>
      </c>
      <c r="M259" s="5">
        <f>SUMPRODUCT(React!$C$256:$M$256,Curves!$BL$19:$BV$19)+SUMPRODUCT(React!$C$257:$M$257,Curves!$BL$42:$BV$42)+SUMPRODUCT(React!$C$258:$M$258,Curves!$BL$65:$BV$65)</f>
        <v/>
      </c>
      <c r="N259" s="5">
        <f>SUMPRODUCT(React!$C$256:$N$256,Curves!$BK$19:$BV$19)+SUMPRODUCT(React!$C$257:$N$257,Curves!$BK$42:$BV$42)+SUMPRODUCT(React!$C$258:$N$258,Curves!$BK$65:$BV$65)</f>
        <v/>
      </c>
      <c r="O259" s="5">
        <f>SUMPRODUCT(React!$C$256:$O$256,Curves!$BJ$19:$BV$19)+SUMPRODUCT(React!$C$257:$O$257,Curves!$BJ$42:$BV$42)+SUMPRODUCT(React!$C$258:$O$258,Curves!$BJ$65:$BV$65)</f>
        <v/>
      </c>
      <c r="P259" s="5">
        <f>SUMPRODUCT(React!$C$256:$P$256,Curves!$BI$19:$BV$19)+SUMPRODUCT(React!$C$257:$P$257,Curves!$BI$42:$BV$42)+SUMPRODUCT(React!$C$258:$P$258,Curves!$BI$65:$BV$65)</f>
        <v/>
      </c>
      <c r="Q259" s="5">
        <f>SUMPRODUCT(React!$C$256:$Q$256,Curves!$BH$19:$BV$19)+SUMPRODUCT(React!$C$257:$Q$257,Curves!$BH$42:$BV$42)+SUMPRODUCT(React!$C$258:$Q$258,Curves!$BH$65:$BV$65)</f>
        <v/>
      </c>
      <c r="R259" s="5">
        <f>SUMPRODUCT(React!$C$256:$R$256,Curves!$BG$19:$BV$19)+SUMPRODUCT(React!$C$257:$R$257,Curves!$BG$42:$BV$42)+SUMPRODUCT(React!$C$258:$R$258,Curves!$BG$65:$BV$65)</f>
        <v/>
      </c>
      <c r="S259" s="5">
        <f>SUMPRODUCT(React!$C$256:$S$256,Curves!$BF$19:$BV$19)+SUMPRODUCT(React!$C$257:$S$257,Curves!$BF$42:$BV$42)+SUMPRODUCT(React!$C$258:$S$258,Curves!$BF$65:$BV$65)</f>
        <v/>
      </c>
      <c r="T259" s="5">
        <f>SUMPRODUCT(React!$C$256:$T$256,Curves!$BE$19:$BV$19)+SUMPRODUCT(React!$C$257:$T$257,Curves!$BE$42:$BV$42)+SUMPRODUCT(React!$C$258:$T$258,Curves!$BE$65:$BV$65)</f>
        <v/>
      </c>
      <c r="U259" s="5">
        <f>SUMPRODUCT(React!$C$256:$U$256,Curves!$BD$19:$BV$19)+SUMPRODUCT(React!$C$257:$U$257,Curves!$BD$42:$BV$42)+SUMPRODUCT(React!$C$258:$U$258,Curves!$BD$65:$BV$65)</f>
        <v/>
      </c>
      <c r="V259" s="5">
        <f>SUMPRODUCT(React!$C$256:$V$256,Curves!$BC$19:$BV$19)+SUMPRODUCT(React!$C$257:$V$257,Curves!$BC$42:$BV$42)+SUMPRODUCT(React!$C$258:$V$258,Curves!$BC$65:$BV$65)</f>
        <v/>
      </c>
      <c r="W259" s="5">
        <f>SUMPRODUCT(React!$C$256:$W$256,Curves!$BB$19:$BV$19)+SUMPRODUCT(React!$C$257:$W$257,Curves!$BB$42:$BV$42)+SUMPRODUCT(React!$C$258:$W$258,Curves!$BB$65:$BV$65)</f>
        <v/>
      </c>
      <c r="X259" s="5">
        <f>SUMPRODUCT(React!$C$256:$X$256,Curves!$BA$19:$BV$19)+SUMPRODUCT(React!$C$257:$X$257,Curves!$BA$42:$BV$42)+SUMPRODUCT(React!$C$258:$X$258,Curves!$BA$65:$BV$65)</f>
        <v/>
      </c>
      <c r="Y259" s="5">
        <f>SUMPRODUCT(React!$C$256:$Y$256,Curves!$AZ$19:$BV$19)+SUMPRODUCT(React!$C$257:$Y$257,Curves!$AZ$42:$BV$42)+SUMPRODUCT(React!$C$258:$Y$258,Curves!$AZ$65:$BV$65)</f>
        <v/>
      </c>
      <c r="Z259" s="5">
        <f>SUMPRODUCT(React!$C$256:$Z$256,Curves!$AY$19:$BV$19)+SUMPRODUCT(React!$C$257:$Z$257,Curves!$AY$42:$BV$42)+SUMPRODUCT(React!$C$258:$Z$258,Curves!$AY$65:$BV$65)</f>
        <v/>
      </c>
      <c r="AA259" s="5">
        <f>SUMPRODUCT(React!$C$256:$AA$256,Curves!$AX$19:$BV$19)+SUMPRODUCT(React!$C$257:$AA$257,Curves!$AX$42:$BV$42)+SUMPRODUCT(React!$C$258:$AA$258,Curves!$AX$65:$BV$65)</f>
        <v/>
      </c>
      <c r="AB259" s="5">
        <f>SUMPRODUCT(React!$C$256:$AB$256,Curves!$AW$19:$BV$19)+SUMPRODUCT(React!$C$257:$AB$257,Curves!$AW$42:$BV$42)+SUMPRODUCT(React!$C$258:$AB$258,Curves!$AW$65:$BV$65)</f>
        <v/>
      </c>
      <c r="AC259" s="5">
        <f>SUMPRODUCT(React!$C$256:$AC$256,Curves!$AV$19:$BV$19)+SUMPRODUCT(React!$C$257:$AC$257,Curves!$AV$42:$BV$42)+SUMPRODUCT(React!$C$258:$AC$258,Curves!$AV$65:$BV$65)</f>
        <v/>
      </c>
      <c r="AD259" s="5">
        <f>SUMPRODUCT(React!$C$256:$AD$256,Curves!$AU$19:$BV$19)+SUMPRODUCT(React!$C$257:$AD$257,Curves!$AU$42:$BV$42)+SUMPRODUCT(React!$C$258:$AD$258,Curves!$AU$65:$BV$65)</f>
        <v/>
      </c>
      <c r="AE259" s="5">
        <f>SUMPRODUCT(React!$C$256:$AE$256,Curves!$AT$19:$BV$19)+SUMPRODUCT(React!$C$257:$AE$257,Curves!$AT$42:$BV$42)+SUMPRODUCT(React!$C$258:$AE$258,Curves!$AT$65:$BV$65)</f>
        <v/>
      </c>
      <c r="AF259" s="5">
        <f>SUMPRODUCT(React!$C$256:$AF$256,Curves!$AS$19:$BV$19)+SUMPRODUCT(React!$C$257:$AF$257,Curves!$AS$42:$BV$42)+SUMPRODUCT(React!$C$258:$AF$258,Curves!$AS$65:$BV$65)</f>
        <v/>
      </c>
      <c r="AG259" s="5">
        <f>SUMPRODUCT(React!$C$256:$AG$256,Curves!$AR$19:$BV$19)+SUMPRODUCT(React!$C$257:$AG$257,Curves!$AR$42:$BV$42)+SUMPRODUCT(React!$C$258:$AG$258,Curves!$AR$65:$BV$65)</f>
        <v/>
      </c>
      <c r="AH259" s="5">
        <f>SUMPRODUCT(React!$C$256:$AH$256,Curves!$AQ$19:$BV$19)+SUMPRODUCT(React!$C$257:$AH$257,Curves!$AQ$42:$BV$42)+SUMPRODUCT(React!$C$258:$AH$258,Curves!$AQ$65:$BV$65)</f>
        <v/>
      </c>
      <c r="AI259" s="5">
        <f>SUMPRODUCT(React!$C$256:$AI$256,Curves!$AP$19:$BV$19)+SUMPRODUCT(React!$C$257:$AI$257,Curves!$AP$42:$BV$42)+SUMPRODUCT(React!$C$258:$AI$258,Curves!$AP$65:$BV$65)</f>
        <v/>
      </c>
      <c r="AJ259" s="5">
        <f>SUMPRODUCT(React!$C$256:$AJ$256,Curves!$AO$19:$BV$19)+SUMPRODUCT(React!$C$257:$AJ$257,Curves!$AO$42:$BV$42)+SUMPRODUCT(React!$C$258:$AJ$258,Curves!$AO$65:$BV$65)</f>
        <v/>
      </c>
      <c r="AK259" s="5">
        <f>SUMPRODUCT(React!$C$256:$AK$256,Curves!$AN$19:$BV$19)+SUMPRODUCT(React!$C$257:$AK$257,Curves!$AN$42:$BV$42)+SUMPRODUCT(React!$C$258:$AK$258,Curves!$AN$65:$BV$65)</f>
        <v/>
      </c>
      <c r="AL259" s="5">
        <f>SUMPRODUCT(React!$C$256:$AL$256,Curves!$AM$19:$BV$19)+SUMPRODUCT(React!$C$257:$AL$257,Curves!$AM$42:$BV$42)+SUMPRODUCT(React!$C$258:$AL$258,Curves!$AM$65:$BV$65)</f>
        <v/>
      </c>
      <c r="AM259" s="5">
        <f>SUMPRODUCT(React!$C$256:$AM$256,Curves!$AL$19:$BV$19)+SUMPRODUCT(React!$C$257:$AM$257,Curves!$AL$42:$BV$42)+SUMPRODUCT(React!$C$258:$AM$258,Curves!$AL$65:$BV$65)</f>
        <v/>
      </c>
      <c r="AN259" s="5">
        <f>SUMPRODUCT(React!$C$256:$AN$256,Curves!$AK$19:$BV$19)+SUMPRODUCT(React!$C$257:$AN$257,Curves!$AK$42:$BV$42)+SUMPRODUCT(React!$C$258:$AN$258,Curves!$AK$65:$BV$65)</f>
        <v/>
      </c>
      <c r="AO259" s="5">
        <f>SUMPRODUCT(React!$C$256:$AO$256,Curves!$AJ$19:$BV$19)+SUMPRODUCT(React!$C$257:$AO$257,Curves!$AJ$42:$BV$42)+SUMPRODUCT(React!$C$258:$AO$258,Curves!$AJ$65:$BV$65)</f>
        <v/>
      </c>
      <c r="AP259" s="5">
        <f>SUMPRODUCT(React!$C$256:$AP$256,Curves!$AI$19:$BV$19)+SUMPRODUCT(React!$C$257:$AP$257,Curves!$AI$42:$BV$42)+SUMPRODUCT(React!$C$258:$AP$258,Curves!$AI$65:$BV$65)</f>
        <v/>
      </c>
      <c r="AQ259" s="5">
        <f>SUMPRODUCT(React!$C$256:$AQ$256,Curves!$AH$19:$BV$19)+SUMPRODUCT(React!$C$257:$AQ$257,Curves!$AH$42:$BV$42)+SUMPRODUCT(React!$C$258:$AQ$258,Curves!$AH$65:$BV$65)</f>
        <v/>
      </c>
      <c r="AR259" s="5">
        <f>SUMPRODUCT(React!$C$256:$AR$256,Curves!$AG$19:$BV$19)+SUMPRODUCT(React!$C$257:$AR$257,Curves!$AG$42:$BV$42)+SUMPRODUCT(React!$C$258:$AR$258,Curves!$AG$65:$BV$65)</f>
        <v/>
      </c>
      <c r="AS259" s="5">
        <f>SUMPRODUCT(React!$C$256:$AS$256,Curves!$AF$19:$BV$19)+SUMPRODUCT(React!$C$257:$AS$257,Curves!$AF$42:$BV$42)+SUMPRODUCT(React!$C$258:$AS$258,Curves!$AF$65:$BV$65)</f>
        <v/>
      </c>
      <c r="AT259" s="5">
        <f>SUMPRODUCT(React!$C$256:$AT$256,Curves!$AE$19:$BV$19)+SUMPRODUCT(React!$C$257:$AT$257,Curves!$AE$42:$BV$42)+SUMPRODUCT(React!$C$258:$AT$258,Curves!$AE$65:$BV$65)</f>
        <v/>
      </c>
      <c r="AU259" s="5">
        <f>SUMPRODUCT(React!$C$256:$AU$256,Curves!$AD$19:$BV$19)+SUMPRODUCT(React!$C$257:$AU$257,Curves!$AD$42:$BV$42)+SUMPRODUCT(React!$C$258:$AU$258,Curves!$AD$65:$BV$65)</f>
        <v/>
      </c>
      <c r="AV259" s="5">
        <f>SUMPRODUCT(React!$C$256:$AV$256,Curves!$AC$19:$BV$19)+SUMPRODUCT(React!$C$257:$AV$257,Curves!$AC$42:$BV$42)+SUMPRODUCT(React!$C$258:$AV$258,Curves!$AC$65:$BV$65)</f>
        <v/>
      </c>
      <c r="AW259" s="5">
        <f>SUMPRODUCT(React!$C$256:$AW$256,Curves!$AB$19:$BV$19)+SUMPRODUCT(React!$C$257:$AW$257,Curves!$AB$42:$BV$42)+SUMPRODUCT(React!$C$258:$AW$258,Curves!$AB$65:$BV$65)</f>
        <v/>
      </c>
      <c r="AX259" s="5">
        <f>SUMPRODUCT(React!$C$256:$AX$256,Curves!$AA$19:$BV$19)+SUMPRODUCT(React!$C$257:$AX$257,Curves!$AA$42:$BV$42)+SUMPRODUCT(React!$C$258:$AX$258,Curves!$AA$65:$BV$65)</f>
        <v/>
      </c>
      <c r="AY259" s="5">
        <f>SUMPRODUCT(React!$C$256:$AY$256,Curves!$Z$19:$BV$19)+SUMPRODUCT(React!$C$257:$AY$257,Curves!$Z$42:$BV$42)+SUMPRODUCT(React!$C$258:$AY$258,Curves!$Z$65:$BV$65)</f>
        <v/>
      </c>
      <c r="AZ259" s="5">
        <f>SUMPRODUCT(React!$C$256:$AZ$256,Curves!$Y$19:$BV$19)+SUMPRODUCT(React!$C$257:$AZ$257,Curves!$Y$42:$BV$42)+SUMPRODUCT(React!$C$258:$AZ$258,Curves!$Y$65:$BV$65)</f>
        <v/>
      </c>
      <c r="BA259" s="5">
        <f>SUMPRODUCT(React!$C$256:$BA$256,Curves!$X$19:$BV$19)+SUMPRODUCT(React!$C$257:$BA$257,Curves!$X$42:$BV$42)+SUMPRODUCT(React!$C$258:$BA$258,Curves!$X$65:$BV$65)</f>
        <v/>
      </c>
      <c r="BB259" s="5">
        <f>SUMPRODUCT(React!$C$256:$BB$256,Curves!$W$19:$BV$19)+SUMPRODUCT(React!$C$257:$BB$257,Curves!$W$42:$BV$42)+SUMPRODUCT(React!$C$258:$BB$258,Curves!$W$65:$BV$65)</f>
        <v/>
      </c>
      <c r="BC259" s="5">
        <f>SUMPRODUCT(React!$C$256:$BC$256,Curves!$V$19:$BV$19)+SUMPRODUCT(React!$C$257:$BC$257,Curves!$V$42:$BV$42)+SUMPRODUCT(React!$C$258:$BC$258,Curves!$V$65:$BV$65)</f>
        <v/>
      </c>
      <c r="BD259" s="5">
        <f>SUMPRODUCT(React!$C$256:$BD$256,Curves!$U$19:$BV$19)+SUMPRODUCT(React!$C$257:$BD$257,Curves!$U$42:$BV$42)+SUMPRODUCT(React!$C$258:$BD$258,Curves!$U$65:$BV$65)</f>
        <v/>
      </c>
      <c r="BE259" s="5">
        <f>SUMPRODUCT(React!$C$256:$BE$256,Curves!$T$19:$BV$19)+SUMPRODUCT(React!$C$257:$BE$257,Curves!$T$42:$BV$42)+SUMPRODUCT(React!$C$258:$BE$258,Curves!$T$65:$BV$65)</f>
        <v/>
      </c>
      <c r="BF259" s="5">
        <f>SUMPRODUCT(React!$C$256:$BF$256,Curves!$S$19:$BV$19)+SUMPRODUCT(React!$C$257:$BF$257,Curves!$S$42:$BV$42)+SUMPRODUCT(React!$C$258:$BF$258,Curves!$S$65:$BV$65)</f>
        <v/>
      </c>
      <c r="BG259" s="5">
        <f>SUMPRODUCT(React!$C$256:$BG$256,Curves!$R$19:$BV$19)+SUMPRODUCT(React!$C$257:$BG$257,Curves!$R$42:$BV$42)+SUMPRODUCT(React!$C$258:$BG$258,Curves!$R$65:$BV$65)</f>
        <v/>
      </c>
      <c r="BH259" s="5">
        <f>SUMPRODUCT(React!$C$256:$BH$256,Curves!$Q$19:$BV$19)+SUMPRODUCT(React!$C$257:$BH$257,Curves!$Q$42:$BV$42)+SUMPRODUCT(React!$C$258:$BH$258,Curves!$Q$65:$BV$65)</f>
        <v/>
      </c>
      <c r="BI259" s="5">
        <f>SUMPRODUCT(React!$C$256:$BI$256,Curves!$P$19:$BV$19)+SUMPRODUCT(React!$C$257:$BI$257,Curves!$P$42:$BV$42)+SUMPRODUCT(React!$C$258:$BI$258,Curves!$P$65:$BV$65)</f>
        <v/>
      </c>
      <c r="BJ259" s="5">
        <f>SUMPRODUCT(React!$C$256:$BJ$256,Curves!$O$19:$BV$19)+SUMPRODUCT(React!$C$257:$BJ$257,Curves!$O$42:$BV$42)+SUMPRODUCT(React!$C$258:$BJ$258,Curves!$O$65:$BV$65)</f>
        <v/>
      </c>
      <c r="BK259" s="5">
        <f>SUMPRODUCT(React!$C$256:$BK$256,Curves!$N$19:$BV$19)+SUMPRODUCT(React!$C$257:$BK$257,Curves!$N$42:$BV$42)+SUMPRODUCT(React!$C$258:$BK$258,Curves!$N$65:$BV$65)</f>
        <v/>
      </c>
      <c r="BL259" s="5">
        <f>SUMPRODUCT(React!$C$256:$BL$256,Curves!$M$19:$BV$19)+SUMPRODUCT(React!$C$257:$BL$257,Curves!$M$42:$BV$42)+SUMPRODUCT(React!$C$258:$BL$258,Curves!$M$65:$BV$65)</f>
        <v/>
      </c>
      <c r="BM259" s="5">
        <f>SUMPRODUCT(React!$C$256:$BM$256,Curves!$L$19:$BV$19)+SUMPRODUCT(React!$C$257:$BM$257,Curves!$L$42:$BV$42)+SUMPRODUCT(React!$C$258:$BM$258,Curves!$L$65:$BV$65)</f>
        <v/>
      </c>
      <c r="BN259" s="5">
        <f>SUMPRODUCT(React!$C$256:$BN$256,Curves!$K$19:$BV$19)+SUMPRODUCT(React!$C$257:$BN$257,Curves!$K$42:$BV$42)+SUMPRODUCT(React!$C$258:$BN$258,Curves!$K$65:$BV$65)</f>
        <v/>
      </c>
      <c r="BO259" s="5">
        <f>SUMPRODUCT(React!$C$256:$BO$256,Curves!$J$19:$BV$19)+SUMPRODUCT(React!$C$257:$BO$257,Curves!$J$42:$BV$42)+SUMPRODUCT(React!$C$258:$BO$258,Curves!$J$65:$BV$65)</f>
        <v/>
      </c>
      <c r="BP259" s="5">
        <f>SUMPRODUCT(React!$C$256:$BP$256,Curves!$I$19:$BV$19)+SUMPRODUCT(React!$C$257:$BP$257,Curves!$I$42:$BV$42)+SUMPRODUCT(React!$C$258:$BP$258,Curves!$I$65:$BV$65)</f>
        <v/>
      </c>
      <c r="BQ259" s="5">
        <f>SUMPRODUCT(React!$C$256:$BQ$256,Curves!$H$19:$BV$19)+SUMPRODUCT(React!$C$257:$BQ$257,Curves!$H$42:$BV$42)+SUMPRODUCT(React!$C$258:$BQ$258,Curves!$H$65:$BV$65)</f>
        <v/>
      </c>
      <c r="BR259" s="5">
        <f>SUMPRODUCT(React!$C$256:$BR$256,Curves!$G$19:$BV$19)+SUMPRODUCT(React!$C$257:$BR$257,Curves!$G$42:$BV$42)+SUMPRODUCT(React!$C$258:$BR$258,Curves!$G$65:$BV$65)</f>
        <v/>
      </c>
      <c r="BS259" s="5">
        <f>SUMPRODUCT(React!$C$256:$BS$256,Curves!$F$19:$BV$19)+SUMPRODUCT(React!$C$257:$BS$257,Curves!$F$42:$BV$42)+SUMPRODUCT(React!$C$258:$BS$258,Curves!$F$65:$BV$65)</f>
        <v/>
      </c>
      <c r="BT259" s="5">
        <f>SUMPRODUCT(React!$C$256:$BT$256,Curves!$E$19:$BV$19)+SUMPRODUCT(React!$C$257:$BT$257,Curves!$E$42:$BV$42)+SUMPRODUCT(React!$C$258:$BT$258,Curves!$E$65:$BV$65)</f>
        <v/>
      </c>
      <c r="BU259" s="5">
        <f>SUMPRODUCT(React!$C$256:$BU$256,Curves!$D$19:$BV$19)+SUMPRODUCT(React!$C$257:$BU$257,Curves!$D$42:$BV$42)+SUMPRODUCT(React!$C$258:$BU$258,Curves!$D$65:$BV$65)</f>
        <v/>
      </c>
      <c r="BV259" s="5">
        <f>SUMPRODUCT(React!$C$256:$BV$256,Curves!$C$19:$BV$19)+SUMPRODUCT(React!$C$257:$BV$257,Curves!$C$42:$BV$42)+SUMPRODUCT(React!$C$258:$BV$258,Curves!$C$65:$BV$65)</f>
        <v/>
      </c>
    </row>
    <row r="260">
      <c r="A260" t="inlineStr">
        <is>
          <t>active yr 1</t>
        </is>
      </c>
      <c r="B260" t="inlineStr">
        <is>
          <t>ROW|BASIC_A</t>
        </is>
      </c>
      <c r="C260" s="5">
        <f>React!$C$256*Curves!$BV$24+React!$C$257*Curves!$BV$47+React!$C$258*Curves!$BV$70</f>
        <v/>
      </c>
      <c r="D260" s="5">
        <f>SUMPRODUCT(React!$C$256:$D$256,Curves!$BU$24:$BV$24)+SUMPRODUCT(React!$C$257:$D$257,Curves!$BU$47:$BV$47)+SUMPRODUCT(React!$C$258:$D$258,Curves!$BU$70:$BV$70)</f>
        <v/>
      </c>
      <c r="E260" s="5">
        <f>SUMPRODUCT(React!$C$256:$E$256,Curves!$BT$24:$BV$24)+SUMPRODUCT(React!$C$257:$E$257,Curves!$BT$47:$BV$47)+SUMPRODUCT(React!$C$258:$E$258,Curves!$BT$70:$BV$70)</f>
        <v/>
      </c>
      <c r="F260" s="5">
        <f>SUMPRODUCT(React!$C$256:$F$256,Curves!$BS$24:$BV$24)+SUMPRODUCT(React!$C$257:$F$257,Curves!$BS$47:$BV$47)+SUMPRODUCT(React!$C$258:$F$258,Curves!$BS$70:$BV$70)</f>
        <v/>
      </c>
      <c r="G260" s="5">
        <f>SUMPRODUCT(React!$C$256:$G$256,Curves!$BR$24:$BV$24)+SUMPRODUCT(React!$C$257:$G$257,Curves!$BR$47:$BV$47)+SUMPRODUCT(React!$C$258:$G$258,Curves!$BR$70:$BV$70)</f>
        <v/>
      </c>
      <c r="H260" s="5">
        <f>SUMPRODUCT(React!$C$256:$H$256,Curves!$BQ$24:$BV$24)+SUMPRODUCT(React!$C$257:$H$257,Curves!$BQ$47:$BV$47)+SUMPRODUCT(React!$C$258:$H$258,Curves!$BQ$70:$BV$70)</f>
        <v/>
      </c>
      <c r="I260" s="5">
        <f>SUMPRODUCT(React!$C$256:$I$256,Curves!$BP$24:$BV$24)+SUMPRODUCT(React!$C$257:$I$257,Curves!$BP$47:$BV$47)+SUMPRODUCT(React!$C$258:$I$258,Curves!$BP$70:$BV$70)</f>
        <v/>
      </c>
      <c r="J260" s="5">
        <f>SUMPRODUCT(React!$C$256:$J$256,Curves!$BO$24:$BV$24)+SUMPRODUCT(React!$C$257:$J$257,Curves!$BO$47:$BV$47)+SUMPRODUCT(React!$C$258:$J$258,Curves!$BO$70:$BV$70)</f>
        <v/>
      </c>
      <c r="K260" s="5">
        <f>SUMPRODUCT(React!$C$256:$K$256,Curves!$BN$24:$BV$24)+SUMPRODUCT(React!$C$257:$K$257,Curves!$BN$47:$BV$47)+SUMPRODUCT(React!$C$258:$K$258,Curves!$BN$70:$BV$70)</f>
        <v/>
      </c>
      <c r="L260" s="5">
        <f>SUMPRODUCT(React!$C$256:$L$256,Curves!$BM$24:$BV$24)+SUMPRODUCT(React!$C$257:$L$257,Curves!$BM$47:$BV$47)+SUMPRODUCT(React!$C$258:$L$258,Curves!$BM$70:$BV$70)</f>
        <v/>
      </c>
      <c r="M260" s="5">
        <f>SUMPRODUCT(React!$C$256:$M$256,Curves!$BL$24:$BV$24)+SUMPRODUCT(React!$C$257:$M$257,Curves!$BL$47:$BV$47)+SUMPRODUCT(React!$C$258:$M$258,Curves!$BL$70:$BV$70)</f>
        <v/>
      </c>
      <c r="N260" s="5">
        <f>SUMPRODUCT(React!$C$256:$N$256,Curves!$BK$24:$BV$24)+SUMPRODUCT(React!$C$257:$N$257,Curves!$BK$47:$BV$47)+SUMPRODUCT(React!$C$258:$N$258,Curves!$BK$70:$BV$70)</f>
        <v/>
      </c>
      <c r="O260" s="5">
        <f>SUMPRODUCT(React!$C$256:$O$256,Curves!$BJ$24:$BV$24)+SUMPRODUCT(React!$C$257:$O$257,Curves!$BJ$47:$BV$47)+SUMPRODUCT(React!$C$258:$O$258,Curves!$BJ$70:$BV$70)</f>
        <v/>
      </c>
      <c r="P260" s="5">
        <f>SUMPRODUCT(React!$C$256:$P$256,Curves!$BI$24:$BV$24)+SUMPRODUCT(React!$C$257:$P$257,Curves!$BI$47:$BV$47)+SUMPRODUCT(React!$C$258:$P$258,Curves!$BI$70:$BV$70)</f>
        <v/>
      </c>
      <c r="Q260" s="5">
        <f>SUMPRODUCT(React!$C$256:$Q$256,Curves!$BH$24:$BV$24)+SUMPRODUCT(React!$C$257:$Q$257,Curves!$BH$47:$BV$47)+SUMPRODUCT(React!$C$258:$Q$258,Curves!$BH$70:$BV$70)</f>
        <v/>
      </c>
      <c r="R260" s="5">
        <f>SUMPRODUCT(React!$C$256:$R$256,Curves!$BG$24:$BV$24)+SUMPRODUCT(React!$C$257:$R$257,Curves!$BG$47:$BV$47)+SUMPRODUCT(React!$C$258:$R$258,Curves!$BG$70:$BV$70)</f>
        <v/>
      </c>
      <c r="S260" s="5">
        <f>SUMPRODUCT(React!$C$256:$S$256,Curves!$BF$24:$BV$24)+SUMPRODUCT(React!$C$257:$S$257,Curves!$BF$47:$BV$47)+SUMPRODUCT(React!$C$258:$S$258,Curves!$BF$70:$BV$70)</f>
        <v/>
      </c>
      <c r="T260" s="5">
        <f>SUMPRODUCT(React!$C$256:$T$256,Curves!$BE$24:$BV$24)+SUMPRODUCT(React!$C$257:$T$257,Curves!$BE$47:$BV$47)+SUMPRODUCT(React!$C$258:$T$258,Curves!$BE$70:$BV$70)</f>
        <v/>
      </c>
      <c r="U260" s="5">
        <f>SUMPRODUCT(React!$C$256:$U$256,Curves!$BD$24:$BV$24)+SUMPRODUCT(React!$C$257:$U$257,Curves!$BD$47:$BV$47)+SUMPRODUCT(React!$C$258:$U$258,Curves!$BD$70:$BV$70)</f>
        <v/>
      </c>
      <c r="V260" s="5">
        <f>SUMPRODUCT(React!$C$256:$V$256,Curves!$BC$24:$BV$24)+SUMPRODUCT(React!$C$257:$V$257,Curves!$BC$47:$BV$47)+SUMPRODUCT(React!$C$258:$V$258,Curves!$BC$70:$BV$70)</f>
        <v/>
      </c>
      <c r="W260" s="5">
        <f>SUMPRODUCT(React!$C$256:$W$256,Curves!$BB$24:$BV$24)+SUMPRODUCT(React!$C$257:$W$257,Curves!$BB$47:$BV$47)+SUMPRODUCT(React!$C$258:$W$258,Curves!$BB$70:$BV$70)</f>
        <v/>
      </c>
      <c r="X260" s="5">
        <f>SUMPRODUCT(React!$C$256:$X$256,Curves!$BA$24:$BV$24)+SUMPRODUCT(React!$C$257:$X$257,Curves!$BA$47:$BV$47)+SUMPRODUCT(React!$C$258:$X$258,Curves!$BA$70:$BV$70)</f>
        <v/>
      </c>
      <c r="Y260" s="5">
        <f>SUMPRODUCT(React!$C$256:$Y$256,Curves!$AZ$24:$BV$24)+SUMPRODUCT(React!$C$257:$Y$257,Curves!$AZ$47:$BV$47)+SUMPRODUCT(React!$C$258:$Y$258,Curves!$AZ$70:$BV$70)</f>
        <v/>
      </c>
      <c r="Z260" s="5">
        <f>SUMPRODUCT(React!$C$256:$Z$256,Curves!$AY$24:$BV$24)+SUMPRODUCT(React!$C$257:$Z$257,Curves!$AY$47:$BV$47)+SUMPRODUCT(React!$C$258:$Z$258,Curves!$AY$70:$BV$70)</f>
        <v/>
      </c>
      <c r="AA260" s="5">
        <f>SUMPRODUCT(React!$C$256:$AA$256,Curves!$AX$24:$BV$24)+SUMPRODUCT(React!$C$257:$AA$257,Curves!$AX$47:$BV$47)+SUMPRODUCT(React!$C$258:$AA$258,Curves!$AX$70:$BV$70)</f>
        <v/>
      </c>
      <c r="AB260" s="5">
        <f>SUMPRODUCT(React!$C$256:$AB$256,Curves!$AW$24:$BV$24)+SUMPRODUCT(React!$C$257:$AB$257,Curves!$AW$47:$BV$47)+SUMPRODUCT(React!$C$258:$AB$258,Curves!$AW$70:$BV$70)</f>
        <v/>
      </c>
      <c r="AC260" s="5">
        <f>SUMPRODUCT(React!$C$256:$AC$256,Curves!$AV$24:$BV$24)+SUMPRODUCT(React!$C$257:$AC$257,Curves!$AV$47:$BV$47)+SUMPRODUCT(React!$C$258:$AC$258,Curves!$AV$70:$BV$70)</f>
        <v/>
      </c>
      <c r="AD260" s="5">
        <f>SUMPRODUCT(React!$C$256:$AD$256,Curves!$AU$24:$BV$24)+SUMPRODUCT(React!$C$257:$AD$257,Curves!$AU$47:$BV$47)+SUMPRODUCT(React!$C$258:$AD$258,Curves!$AU$70:$BV$70)</f>
        <v/>
      </c>
      <c r="AE260" s="5">
        <f>SUMPRODUCT(React!$C$256:$AE$256,Curves!$AT$24:$BV$24)+SUMPRODUCT(React!$C$257:$AE$257,Curves!$AT$47:$BV$47)+SUMPRODUCT(React!$C$258:$AE$258,Curves!$AT$70:$BV$70)</f>
        <v/>
      </c>
      <c r="AF260" s="5">
        <f>SUMPRODUCT(React!$C$256:$AF$256,Curves!$AS$24:$BV$24)+SUMPRODUCT(React!$C$257:$AF$257,Curves!$AS$47:$BV$47)+SUMPRODUCT(React!$C$258:$AF$258,Curves!$AS$70:$BV$70)</f>
        <v/>
      </c>
      <c r="AG260" s="5">
        <f>SUMPRODUCT(React!$C$256:$AG$256,Curves!$AR$24:$BV$24)+SUMPRODUCT(React!$C$257:$AG$257,Curves!$AR$47:$BV$47)+SUMPRODUCT(React!$C$258:$AG$258,Curves!$AR$70:$BV$70)</f>
        <v/>
      </c>
      <c r="AH260" s="5">
        <f>SUMPRODUCT(React!$C$256:$AH$256,Curves!$AQ$24:$BV$24)+SUMPRODUCT(React!$C$257:$AH$257,Curves!$AQ$47:$BV$47)+SUMPRODUCT(React!$C$258:$AH$258,Curves!$AQ$70:$BV$70)</f>
        <v/>
      </c>
      <c r="AI260" s="5">
        <f>SUMPRODUCT(React!$C$256:$AI$256,Curves!$AP$24:$BV$24)+SUMPRODUCT(React!$C$257:$AI$257,Curves!$AP$47:$BV$47)+SUMPRODUCT(React!$C$258:$AI$258,Curves!$AP$70:$BV$70)</f>
        <v/>
      </c>
      <c r="AJ260" s="5">
        <f>SUMPRODUCT(React!$C$256:$AJ$256,Curves!$AO$24:$BV$24)+SUMPRODUCT(React!$C$257:$AJ$257,Curves!$AO$47:$BV$47)+SUMPRODUCT(React!$C$258:$AJ$258,Curves!$AO$70:$BV$70)</f>
        <v/>
      </c>
      <c r="AK260" s="5">
        <f>SUMPRODUCT(React!$C$256:$AK$256,Curves!$AN$24:$BV$24)+SUMPRODUCT(React!$C$257:$AK$257,Curves!$AN$47:$BV$47)+SUMPRODUCT(React!$C$258:$AK$258,Curves!$AN$70:$BV$70)</f>
        <v/>
      </c>
      <c r="AL260" s="5">
        <f>SUMPRODUCT(React!$C$256:$AL$256,Curves!$AM$24:$BV$24)+SUMPRODUCT(React!$C$257:$AL$257,Curves!$AM$47:$BV$47)+SUMPRODUCT(React!$C$258:$AL$258,Curves!$AM$70:$BV$70)</f>
        <v/>
      </c>
      <c r="AM260" s="5">
        <f>SUMPRODUCT(React!$C$256:$AM$256,Curves!$AL$24:$BV$24)+SUMPRODUCT(React!$C$257:$AM$257,Curves!$AL$47:$BV$47)+SUMPRODUCT(React!$C$258:$AM$258,Curves!$AL$70:$BV$70)</f>
        <v/>
      </c>
      <c r="AN260" s="5">
        <f>SUMPRODUCT(React!$C$256:$AN$256,Curves!$AK$24:$BV$24)+SUMPRODUCT(React!$C$257:$AN$257,Curves!$AK$47:$BV$47)+SUMPRODUCT(React!$C$258:$AN$258,Curves!$AK$70:$BV$70)</f>
        <v/>
      </c>
      <c r="AO260" s="5">
        <f>SUMPRODUCT(React!$C$256:$AO$256,Curves!$AJ$24:$BV$24)+SUMPRODUCT(React!$C$257:$AO$257,Curves!$AJ$47:$BV$47)+SUMPRODUCT(React!$C$258:$AO$258,Curves!$AJ$70:$BV$70)</f>
        <v/>
      </c>
      <c r="AP260" s="5">
        <f>SUMPRODUCT(React!$C$256:$AP$256,Curves!$AI$24:$BV$24)+SUMPRODUCT(React!$C$257:$AP$257,Curves!$AI$47:$BV$47)+SUMPRODUCT(React!$C$258:$AP$258,Curves!$AI$70:$BV$70)</f>
        <v/>
      </c>
      <c r="AQ260" s="5">
        <f>SUMPRODUCT(React!$C$256:$AQ$256,Curves!$AH$24:$BV$24)+SUMPRODUCT(React!$C$257:$AQ$257,Curves!$AH$47:$BV$47)+SUMPRODUCT(React!$C$258:$AQ$258,Curves!$AH$70:$BV$70)</f>
        <v/>
      </c>
      <c r="AR260" s="5">
        <f>SUMPRODUCT(React!$C$256:$AR$256,Curves!$AG$24:$BV$24)+SUMPRODUCT(React!$C$257:$AR$257,Curves!$AG$47:$BV$47)+SUMPRODUCT(React!$C$258:$AR$258,Curves!$AG$70:$BV$70)</f>
        <v/>
      </c>
      <c r="AS260" s="5">
        <f>SUMPRODUCT(React!$C$256:$AS$256,Curves!$AF$24:$BV$24)+SUMPRODUCT(React!$C$257:$AS$257,Curves!$AF$47:$BV$47)+SUMPRODUCT(React!$C$258:$AS$258,Curves!$AF$70:$BV$70)</f>
        <v/>
      </c>
      <c r="AT260" s="5">
        <f>SUMPRODUCT(React!$C$256:$AT$256,Curves!$AE$24:$BV$24)+SUMPRODUCT(React!$C$257:$AT$257,Curves!$AE$47:$BV$47)+SUMPRODUCT(React!$C$258:$AT$258,Curves!$AE$70:$BV$70)</f>
        <v/>
      </c>
      <c r="AU260" s="5">
        <f>SUMPRODUCT(React!$C$256:$AU$256,Curves!$AD$24:$BV$24)+SUMPRODUCT(React!$C$257:$AU$257,Curves!$AD$47:$BV$47)+SUMPRODUCT(React!$C$258:$AU$258,Curves!$AD$70:$BV$70)</f>
        <v/>
      </c>
      <c r="AV260" s="5">
        <f>SUMPRODUCT(React!$C$256:$AV$256,Curves!$AC$24:$BV$24)+SUMPRODUCT(React!$C$257:$AV$257,Curves!$AC$47:$BV$47)+SUMPRODUCT(React!$C$258:$AV$258,Curves!$AC$70:$BV$70)</f>
        <v/>
      </c>
      <c r="AW260" s="5">
        <f>SUMPRODUCT(React!$C$256:$AW$256,Curves!$AB$24:$BV$24)+SUMPRODUCT(React!$C$257:$AW$257,Curves!$AB$47:$BV$47)+SUMPRODUCT(React!$C$258:$AW$258,Curves!$AB$70:$BV$70)</f>
        <v/>
      </c>
      <c r="AX260" s="5">
        <f>SUMPRODUCT(React!$C$256:$AX$256,Curves!$AA$24:$BV$24)+SUMPRODUCT(React!$C$257:$AX$257,Curves!$AA$47:$BV$47)+SUMPRODUCT(React!$C$258:$AX$258,Curves!$AA$70:$BV$70)</f>
        <v/>
      </c>
      <c r="AY260" s="5">
        <f>SUMPRODUCT(React!$C$256:$AY$256,Curves!$Z$24:$BV$24)+SUMPRODUCT(React!$C$257:$AY$257,Curves!$Z$47:$BV$47)+SUMPRODUCT(React!$C$258:$AY$258,Curves!$Z$70:$BV$70)</f>
        <v/>
      </c>
      <c r="AZ260" s="5">
        <f>SUMPRODUCT(React!$C$256:$AZ$256,Curves!$Y$24:$BV$24)+SUMPRODUCT(React!$C$257:$AZ$257,Curves!$Y$47:$BV$47)+SUMPRODUCT(React!$C$258:$AZ$258,Curves!$Y$70:$BV$70)</f>
        <v/>
      </c>
      <c r="BA260" s="5">
        <f>SUMPRODUCT(React!$C$256:$BA$256,Curves!$X$24:$BV$24)+SUMPRODUCT(React!$C$257:$BA$257,Curves!$X$47:$BV$47)+SUMPRODUCT(React!$C$258:$BA$258,Curves!$X$70:$BV$70)</f>
        <v/>
      </c>
      <c r="BB260" s="5">
        <f>SUMPRODUCT(React!$C$256:$BB$256,Curves!$W$24:$BV$24)+SUMPRODUCT(React!$C$257:$BB$257,Curves!$W$47:$BV$47)+SUMPRODUCT(React!$C$258:$BB$258,Curves!$W$70:$BV$70)</f>
        <v/>
      </c>
      <c r="BC260" s="5">
        <f>SUMPRODUCT(React!$C$256:$BC$256,Curves!$V$24:$BV$24)+SUMPRODUCT(React!$C$257:$BC$257,Curves!$V$47:$BV$47)+SUMPRODUCT(React!$C$258:$BC$258,Curves!$V$70:$BV$70)</f>
        <v/>
      </c>
      <c r="BD260" s="5">
        <f>SUMPRODUCT(React!$C$256:$BD$256,Curves!$U$24:$BV$24)+SUMPRODUCT(React!$C$257:$BD$257,Curves!$U$47:$BV$47)+SUMPRODUCT(React!$C$258:$BD$258,Curves!$U$70:$BV$70)</f>
        <v/>
      </c>
      <c r="BE260" s="5">
        <f>SUMPRODUCT(React!$C$256:$BE$256,Curves!$T$24:$BV$24)+SUMPRODUCT(React!$C$257:$BE$257,Curves!$T$47:$BV$47)+SUMPRODUCT(React!$C$258:$BE$258,Curves!$T$70:$BV$70)</f>
        <v/>
      </c>
      <c r="BF260" s="5">
        <f>SUMPRODUCT(React!$C$256:$BF$256,Curves!$S$24:$BV$24)+SUMPRODUCT(React!$C$257:$BF$257,Curves!$S$47:$BV$47)+SUMPRODUCT(React!$C$258:$BF$258,Curves!$S$70:$BV$70)</f>
        <v/>
      </c>
      <c r="BG260" s="5">
        <f>SUMPRODUCT(React!$C$256:$BG$256,Curves!$R$24:$BV$24)+SUMPRODUCT(React!$C$257:$BG$257,Curves!$R$47:$BV$47)+SUMPRODUCT(React!$C$258:$BG$258,Curves!$R$70:$BV$70)</f>
        <v/>
      </c>
      <c r="BH260" s="5">
        <f>SUMPRODUCT(React!$C$256:$BH$256,Curves!$Q$24:$BV$24)+SUMPRODUCT(React!$C$257:$BH$257,Curves!$Q$47:$BV$47)+SUMPRODUCT(React!$C$258:$BH$258,Curves!$Q$70:$BV$70)</f>
        <v/>
      </c>
      <c r="BI260" s="5">
        <f>SUMPRODUCT(React!$C$256:$BI$256,Curves!$P$24:$BV$24)+SUMPRODUCT(React!$C$257:$BI$257,Curves!$P$47:$BV$47)+SUMPRODUCT(React!$C$258:$BI$258,Curves!$P$70:$BV$70)</f>
        <v/>
      </c>
      <c r="BJ260" s="5">
        <f>SUMPRODUCT(React!$C$256:$BJ$256,Curves!$O$24:$BV$24)+SUMPRODUCT(React!$C$257:$BJ$257,Curves!$O$47:$BV$47)+SUMPRODUCT(React!$C$258:$BJ$258,Curves!$O$70:$BV$70)</f>
        <v/>
      </c>
      <c r="BK260" s="5">
        <f>SUMPRODUCT(React!$C$256:$BK$256,Curves!$N$24:$BV$24)+SUMPRODUCT(React!$C$257:$BK$257,Curves!$N$47:$BV$47)+SUMPRODUCT(React!$C$258:$BK$258,Curves!$N$70:$BV$70)</f>
        <v/>
      </c>
      <c r="BL260" s="5">
        <f>SUMPRODUCT(React!$C$256:$BL$256,Curves!$M$24:$BV$24)+SUMPRODUCT(React!$C$257:$BL$257,Curves!$M$47:$BV$47)+SUMPRODUCT(React!$C$258:$BL$258,Curves!$M$70:$BV$70)</f>
        <v/>
      </c>
      <c r="BM260" s="5">
        <f>SUMPRODUCT(React!$C$256:$BM$256,Curves!$L$24:$BV$24)+SUMPRODUCT(React!$C$257:$BM$257,Curves!$L$47:$BV$47)+SUMPRODUCT(React!$C$258:$BM$258,Curves!$L$70:$BV$70)</f>
        <v/>
      </c>
      <c r="BN260" s="5">
        <f>SUMPRODUCT(React!$C$256:$BN$256,Curves!$K$24:$BV$24)+SUMPRODUCT(React!$C$257:$BN$257,Curves!$K$47:$BV$47)+SUMPRODUCT(React!$C$258:$BN$258,Curves!$K$70:$BV$70)</f>
        <v/>
      </c>
      <c r="BO260" s="5">
        <f>SUMPRODUCT(React!$C$256:$BO$256,Curves!$J$24:$BV$24)+SUMPRODUCT(React!$C$257:$BO$257,Curves!$J$47:$BV$47)+SUMPRODUCT(React!$C$258:$BO$258,Curves!$J$70:$BV$70)</f>
        <v/>
      </c>
      <c r="BP260" s="5">
        <f>SUMPRODUCT(React!$C$256:$BP$256,Curves!$I$24:$BV$24)+SUMPRODUCT(React!$C$257:$BP$257,Curves!$I$47:$BV$47)+SUMPRODUCT(React!$C$258:$BP$258,Curves!$I$70:$BV$70)</f>
        <v/>
      </c>
      <c r="BQ260" s="5">
        <f>SUMPRODUCT(React!$C$256:$BQ$256,Curves!$H$24:$BV$24)+SUMPRODUCT(React!$C$257:$BQ$257,Curves!$H$47:$BV$47)+SUMPRODUCT(React!$C$258:$BQ$258,Curves!$H$70:$BV$70)</f>
        <v/>
      </c>
      <c r="BR260" s="5">
        <f>SUMPRODUCT(React!$C$256:$BR$256,Curves!$G$24:$BV$24)+SUMPRODUCT(React!$C$257:$BR$257,Curves!$G$47:$BV$47)+SUMPRODUCT(React!$C$258:$BR$258,Curves!$G$70:$BV$70)</f>
        <v/>
      </c>
      <c r="BS260" s="5">
        <f>SUMPRODUCT(React!$C$256:$BS$256,Curves!$F$24:$BV$24)+SUMPRODUCT(React!$C$257:$BS$257,Curves!$F$47:$BV$47)+SUMPRODUCT(React!$C$258:$BS$258,Curves!$F$70:$BV$70)</f>
        <v/>
      </c>
      <c r="BT260" s="5">
        <f>SUMPRODUCT(React!$C$256:$BT$256,Curves!$E$24:$BV$24)+SUMPRODUCT(React!$C$257:$BT$257,Curves!$E$47:$BV$47)+SUMPRODUCT(React!$C$258:$BT$258,Curves!$E$70:$BV$70)</f>
        <v/>
      </c>
      <c r="BU260" s="5">
        <f>SUMPRODUCT(React!$C$256:$BU$256,Curves!$D$24:$BV$24)+SUMPRODUCT(React!$C$257:$BU$257,Curves!$D$47:$BV$47)+SUMPRODUCT(React!$C$258:$BU$258,Curves!$D$70:$BV$70)</f>
        <v/>
      </c>
      <c r="BV260" s="5">
        <f>SUMPRODUCT(React!$C$256:$BV$256,Curves!$C$24:$BV$24)+SUMPRODUCT(React!$C$257:$BV$257,Curves!$C$47:$BV$47)+SUMPRODUCT(React!$C$258:$BV$258,Curves!$C$70:$BV$70)</f>
        <v/>
      </c>
    </row>
    <row r="261">
      <c r="A261" t="inlineStr">
        <is>
          <t>churned</t>
        </is>
      </c>
      <c r="B261" t="inlineStr">
        <is>
          <t>ROW|BASIC_A</t>
        </is>
      </c>
      <c r="C261" s="5">
        <f>React!$C$256*Curves!$BV$20+React!$C$257*Curves!$BV$43+React!$C$258*Curves!$BV$66</f>
        <v/>
      </c>
      <c r="D261" s="5">
        <f>SUMPRODUCT(React!$C$256:$D$256,Curves!$BU$20:$BV$20)+SUMPRODUCT(React!$C$257:$D$257,Curves!$BU$43:$BV$43)+SUMPRODUCT(React!$C$258:$D$258,Curves!$BU$66:$BV$66)</f>
        <v/>
      </c>
      <c r="E261" s="5">
        <f>SUMPRODUCT(React!$C$256:$E$256,Curves!$BT$20:$BV$20)+SUMPRODUCT(React!$C$257:$E$257,Curves!$BT$43:$BV$43)+SUMPRODUCT(React!$C$258:$E$258,Curves!$BT$66:$BV$66)</f>
        <v/>
      </c>
      <c r="F261" s="5">
        <f>SUMPRODUCT(React!$C$256:$F$256,Curves!$BS$20:$BV$20)+SUMPRODUCT(React!$C$257:$F$257,Curves!$BS$43:$BV$43)+SUMPRODUCT(React!$C$258:$F$258,Curves!$BS$66:$BV$66)</f>
        <v/>
      </c>
      <c r="G261" s="5">
        <f>SUMPRODUCT(React!$C$256:$G$256,Curves!$BR$20:$BV$20)+SUMPRODUCT(React!$C$257:$G$257,Curves!$BR$43:$BV$43)+SUMPRODUCT(React!$C$258:$G$258,Curves!$BR$66:$BV$66)</f>
        <v/>
      </c>
      <c r="H261" s="5">
        <f>SUMPRODUCT(React!$C$256:$H$256,Curves!$BQ$20:$BV$20)+SUMPRODUCT(React!$C$257:$H$257,Curves!$BQ$43:$BV$43)+SUMPRODUCT(React!$C$258:$H$258,Curves!$BQ$66:$BV$66)</f>
        <v/>
      </c>
      <c r="I261" s="5">
        <f>SUMPRODUCT(React!$C$256:$I$256,Curves!$BP$20:$BV$20)+SUMPRODUCT(React!$C$257:$I$257,Curves!$BP$43:$BV$43)+SUMPRODUCT(React!$C$258:$I$258,Curves!$BP$66:$BV$66)</f>
        <v/>
      </c>
      <c r="J261" s="5">
        <f>SUMPRODUCT(React!$C$256:$J$256,Curves!$BO$20:$BV$20)+SUMPRODUCT(React!$C$257:$J$257,Curves!$BO$43:$BV$43)+SUMPRODUCT(React!$C$258:$J$258,Curves!$BO$66:$BV$66)</f>
        <v/>
      </c>
      <c r="K261" s="5">
        <f>SUMPRODUCT(React!$C$256:$K$256,Curves!$BN$20:$BV$20)+SUMPRODUCT(React!$C$257:$K$257,Curves!$BN$43:$BV$43)+SUMPRODUCT(React!$C$258:$K$258,Curves!$BN$66:$BV$66)</f>
        <v/>
      </c>
      <c r="L261" s="5">
        <f>SUMPRODUCT(React!$C$256:$L$256,Curves!$BM$20:$BV$20)+SUMPRODUCT(React!$C$257:$L$257,Curves!$BM$43:$BV$43)+SUMPRODUCT(React!$C$258:$L$258,Curves!$BM$66:$BV$66)</f>
        <v/>
      </c>
      <c r="M261" s="5">
        <f>SUMPRODUCT(React!$C$256:$M$256,Curves!$BL$20:$BV$20)+SUMPRODUCT(React!$C$257:$M$257,Curves!$BL$43:$BV$43)+SUMPRODUCT(React!$C$258:$M$258,Curves!$BL$66:$BV$66)</f>
        <v/>
      </c>
      <c r="N261" s="5">
        <f>SUMPRODUCT(React!$C$256:$N$256,Curves!$BK$20:$BV$20)+SUMPRODUCT(React!$C$257:$N$257,Curves!$BK$43:$BV$43)+SUMPRODUCT(React!$C$258:$N$258,Curves!$BK$66:$BV$66)</f>
        <v/>
      </c>
      <c r="O261" s="5">
        <f>SUMPRODUCT(React!$C$256:$O$256,Curves!$BJ$20:$BV$20)+SUMPRODUCT(React!$C$257:$O$257,Curves!$BJ$43:$BV$43)+SUMPRODUCT(React!$C$258:$O$258,Curves!$BJ$66:$BV$66)</f>
        <v/>
      </c>
      <c r="P261" s="5">
        <f>SUMPRODUCT(React!$C$256:$P$256,Curves!$BI$20:$BV$20)+SUMPRODUCT(React!$C$257:$P$257,Curves!$BI$43:$BV$43)+SUMPRODUCT(React!$C$258:$P$258,Curves!$BI$66:$BV$66)</f>
        <v/>
      </c>
      <c r="Q261" s="5">
        <f>SUMPRODUCT(React!$C$256:$Q$256,Curves!$BH$20:$BV$20)+SUMPRODUCT(React!$C$257:$Q$257,Curves!$BH$43:$BV$43)+SUMPRODUCT(React!$C$258:$Q$258,Curves!$BH$66:$BV$66)</f>
        <v/>
      </c>
      <c r="R261" s="5">
        <f>SUMPRODUCT(React!$C$256:$R$256,Curves!$BG$20:$BV$20)+SUMPRODUCT(React!$C$257:$R$257,Curves!$BG$43:$BV$43)+SUMPRODUCT(React!$C$258:$R$258,Curves!$BG$66:$BV$66)</f>
        <v/>
      </c>
      <c r="S261" s="5">
        <f>SUMPRODUCT(React!$C$256:$S$256,Curves!$BF$20:$BV$20)+SUMPRODUCT(React!$C$257:$S$257,Curves!$BF$43:$BV$43)+SUMPRODUCT(React!$C$258:$S$258,Curves!$BF$66:$BV$66)</f>
        <v/>
      </c>
      <c r="T261" s="5">
        <f>SUMPRODUCT(React!$C$256:$T$256,Curves!$BE$20:$BV$20)+SUMPRODUCT(React!$C$257:$T$257,Curves!$BE$43:$BV$43)+SUMPRODUCT(React!$C$258:$T$258,Curves!$BE$66:$BV$66)</f>
        <v/>
      </c>
      <c r="U261" s="5">
        <f>SUMPRODUCT(React!$C$256:$U$256,Curves!$BD$20:$BV$20)+SUMPRODUCT(React!$C$257:$U$257,Curves!$BD$43:$BV$43)+SUMPRODUCT(React!$C$258:$U$258,Curves!$BD$66:$BV$66)</f>
        <v/>
      </c>
      <c r="V261" s="5">
        <f>SUMPRODUCT(React!$C$256:$V$256,Curves!$BC$20:$BV$20)+SUMPRODUCT(React!$C$257:$V$257,Curves!$BC$43:$BV$43)+SUMPRODUCT(React!$C$258:$V$258,Curves!$BC$66:$BV$66)</f>
        <v/>
      </c>
      <c r="W261" s="5">
        <f>SUMPRODUCT(React!$C$256:$W$256,Curves!$BB$20:$BV$20)+SUMPRODUCT(React!$C$257:$W$257,Curves!$BB$43:$BV$43)+SUMPRODUCT(React!$C$258:$W$258,Curves!$BB$66:$BV$66)</f>
        <v/>
      </c>
      <c r="X261" s="5">
        <f>SUMPRODUCT(React!$C$256:$X$256,Curves!$BA$20:$BV$20)+SUMPRODUCT(React!$C$257:$X$257,Curves!$BA$43:$BV$43)+SUMPRODUCT(React!$C$258:$X$258,Curves!$BA$66:$BV$66)</f>
        <v/>
      </c>
      <c r="Y261" s="5">
        <f>SUMPRODUCT(React!$C$256:$Y$256,Curves!$AZ$20:$BV$20)+SUMPRODUCT(React!$C$257:$Y$257,Curves!$AZ$43:$BV$43)+SUMPRODUCT(React!$C$258:$Y$258,Curves!$AZ$66:$BV$66)</f>
        <v/>
      </c>
      <c r="Z261" s="5">
        <f>SUMPRODUCT(React!$C$256:$Z$256,Curves!$AY$20:$BV$20)+SUMPRODUCT(React!$C$257:$Z$257,Curves!$AY$43:$BV$43)+SUMPRODUCT(React!$C$258:$Z$258,Curves!$AY$66:$BV$66)</f>
        <v/>
      </c>
      <c r="AA261" s="5">
        <f>SUMPRODUCT(React!$C$256:$AA$256,Curves!$AX$20:$BV$20)+SUMPRODUCT(React!$C$257:$AA$257,Curves!$AX$43:$BV$43)+SUMPRODUCT(React!$C$258:$AA$258,Curves!$AX$66:$BV$66)</f>
        <v/>
      </c>
      <c r="AB261" s="5">
        <f>SUMPRODUCT(React!$C$256:$AB$256,Curves!$AW$20:$BV$20)+SUMPRODUCT(React!$C$257:$AB$257,Curves!$AW$43:$BV$43)+SUMPRODUCT(React!$C$258:$AB$258,Curves!$AW$66:$BV$66)</f>
        <v/>
      </c>
      <c r="AC261" s="5">
        <f>SUMPRODUCT(React!$C$256:$AC$256,Curves!$AV$20:$BV$20)+SUMPRODUCT(React!$C$257:$AC$257,Curves!$AV$43:$BV$43)+SUMPRODUCT(React!$C$258:$AC$258,Curves!$AV$66:$BV$66)</f>
        <v/>
      </c>
      <c r="AD261" s="5">
        <f>SUMPRODUCT(React!$C$256:$AD$256,Curves!$AU$20:$BV$20)+SUMPRODUCT(React!$C$257:$AD$257,Curves!$AU$43:$BV$43)+SUMPRODUCT(React!$C$258:$AD$258,Curves!$AU$66:$BV$66)</f>
        <v/>
      </c>
      <c r="AE261" s="5">
        <f>SUMPRODUCT(React!$C$256:$AE$256,Curves!$AT$20:$BV$20)+SUMPRODUCT(React!$C$257:$AE$257,Curves!$AT$43:$BV$43)+SUMPRODUCT(React!$C$258:$AE$258,Curves!$AT$66:$BV$66)</f>
        <v/>
      </c>
      <c r="AF261" s="5">
        <f>SUMPRODUCT(React!$C$256:$AF$256,Curves!$AS$20:$BV$20)+SUMPRODUCT(React!$C$257:$AF$257,Curves!$AS$43:$BV$43)+SUMPRODUCT(React!$C$258:$AF$258,Curves!$AS$66:$BV$66)</f>
        <v/>
      </c>
      <c r="AG261" s="5">
        <f>SUMPRODUCT(React!$C$256:$AG$256,Curves!$AR$20:$BV$20)+SUMPRODUCT(React!$C$257:$AG$257,Curves!$AR$43:$BV$43)+SUMPRODUCT(React!$C$258:$AG$258,Curves!$AR$66:$BV$66)</f>
        <v/>
      </c>
      <c r="AH261" s="5">
        <f>SUMPRODUCT(React!$C$256:$AH$256,Curves!$AQ$20:$BV$20)+SUMPRODUCT(React!$C$257:$AH$257,Curves!$AQ$43:$BV$43)+SUMPRODUCT(React!$C$258:$AH$258,Curves!$AQ$66:$BV$66)</f>
        <v/>
      </c>
      <c r="AI261" s="5">
        <f>SUMPRODUCT(React!$C$256:$AI$256,Curves!$AP$20:$BV$20)+SUMPRODUCT(React!$C$257:$AI$257,Curves!$AP$43:$BV$43)+SUMPRODUCT(React!$C$258:$AI$258,Curves!$AP$66:$BV$66)</f>
        <v/>
      </c>
      <c r="AJ261" s="5">
        <f>SUMPRODUCT(React!$C$256:$AJ$256,Curves!$AO$20:$BV$20)+SUMPRODUCT(React!$C$257:$AJ$257,Curves!$AO$43:$BV$43)+SUMPRODUCT(React!$C$258:$AJ$258,Curves!$AO$66:$BV$66)</f>
        <v/>
      </c>
      <c r="AK261" s="5">
        <f>SUMPRODUCT(React!$C$256:$AK$256,Curves!$AN$20:$BV$20)+SUMPRODUCT(React!$C$257:$AK$257,Curves!$AN$43:$BV$43)+SUMPRODUCT(React!$C$258:$AK$258,Curves!$AN$66:$BV$66)</f>
        <v/>
      </c>
      <c r="AL261" s="5">
        <f>SUMPRODUCT(React!$C$256:$AL$256,Curves!$AM$20:$BV$20)+SUMPRODUCT(React!$C$257:$AL$257,Curves!$AM$43:$BV$43)+SUMPRODUCT(React!$C$258:$AL$258,Curves!$AM$66:$BV$66)</f>
        <v/>
      </c>
      <c r="AM261" s="5">
        <f>SUMPRODUCT(React!$C$256:$AM$256,Curves!$AL$20:$BV$20)+SUMPRODUCT(React!$C$257:$AM$257,Curves!$AL$43:$BV$43)+SUMPRODUCT(React!$C$258:$AM$258,Curves!$AL$66:$BV$66)</f>
        <v/>
      </c>
      <c r="AN261" s="5">
        <f>SUMPRODUCT(React!$C$256:$AN$256,Curves!$AK$20:$BV$20)+SUMPRODUCT(React!$C$257:$AN$257,Curves!$AK$43:$BV$43)+SUMPRODUCT(React!$C$258:$AN$258,Curves!$AK$66:$BV$66)</f>
        <v/>
      </c>
      <c r="AO261" s="5">
        <f>SUMPRODUCT(React!$C$256:$AO$256,Curves!$AJ$20:$BV$20)+SUMPRODUCT(React!$C$257:$AO$257,Curves!$AJ$43:$BV$43)+SUMPRODUCT(React!$C$258:$AO$258,Curves!$AJ$66:$BV$66)</f>
        <v/>
      </c>
      <c r="AP261" s="5">
        <f>SUMPRODUCT(React!$C$256:$AP$256,Curves!$AI$20:$BV$20)+SUMPRODUCT(React!$C$257:$AP$257,Curves!$AI$43:$BV$43)+SUMPRODUCT(React!$C$258:$AP$258,Curves!$AI$66:$BV$66)</f>
        <v/>
      </c>
      <c r="AQ261" s="5">
        <f>SUMPRODUCT(React!$C$256:$AQ$256,Curves!$AH$20:$BV$20)+SUMPRODUCT(React!$C$257:$AQ$257,Curves!$AH$43:$BV$43)+SUMPRODUCT(React!$C$258:$AQ$258,Curves!$AH$66:$BV$66)</f>
        <v/>
      </c>
      <c r="AR261" s="5">
        <f>SUMPRODUCT(React!$C$256:$AR$256,Curves!$AG$20:$BV$20)+SUMPRODUCT(React!$C$257:$AR$257,Curves!$AG$43:$BV$43)+SUMPRODUCT(React!$C$258:$AR$258,Curves!$AG$66:$BV$66)</f>
        <v/>
      </c>
      <c r="AS261" s="5">
        <f>SUMPRODUCT(React!$C$256:$AS$256,Curves!$AF$20:$BV$20)+SUMPRODUCT(React!$C$257:$AS$257,Curves!$AF$43:$BV$43)+SUMPRODUCT(React!$C$258:$AS$258,Curves!$AF$66:$BV$66)</f>
        <v/>
      </c>
      <c r="AT261" s="5">
        <f>SUMPRODUCT(React!$C$256:$AT$256,Curves!$AE$20:$BV$20)+SUMPRODUCT(React!$C$257:$AT$257,Curves!$AE$43:$BV$43)+SUMPRODUCT(React!$C$258:$AT$258,Curves!$AE$66:$BV$66)</f>
        <v/>
      </c>
      <c r="AU261" s="5">
        <f>SUMPRODUCT(React!$C$256:$AU$256,Curves!$AD$20:$BV$20)+SUMPRODUCT(React!$C$257:$AU$257,Curves!$AD$43:$BV$43)+SUMPRODUCT(React!$C$258:$AU$258,Curves!$AD$66:$BV$66)</f>
        <v/>
      </c>
      <c r="AV261" s="5">
        <f>SUMPRODUCT(React!$C$256:$AV$256,Curves!$AC$20:$BV$20)+SUMPRODUCT(React!$C$257:$AV$257,Curves!$AC$43:$BV$43)+SUMPRODUCT(React!$C$258:$AV$258,Curves!$AC$66:$BV$66)</f>
        <v/>
      </c>
      <c r="AW261" s="5">
        <f>SUMPRODUCT(React!$C$256:$AW$256,Curves!$AB$20:$BV$20)+SUMPRODUCT(React!$C$257:$AW$257,Curves!$AB$43:$BV$43)+SUMPRODUCT(React!$C$258:$AW$258,Curves!$AB$66:$BV$66)</f>
        <v/>
      </c>
      <c r="AX261" s="5">
        <f>SUMPRODUCT(React!$C$256:$AX$256,Curves!$AA$20:$BV$20)+SUMPRODUCT(React!$C$257:$AX$257,Curves!$AA$43:$BV$43)+SUMPRODUCT(React!$C$258:$AX$258,Curves!$AA$66:$BV$66)</f>
        <v/>
      </c>
      <c r="AY261" s="5">
        <f>SUMPRODUCT(React!$C$256:$AY$256,Curves!$Z$20:$BV$20)+SUMPRODUCT(React!$C$257:$AY$257,Curves!$Z$43:$BV$43)+SUMPRODUCT(React!$C$258:$AY$258,Curves!$Z$66:$BV$66)</f>
        <v/>
      </c>
      <c r="AZ261" s="5">
        <f>SUMPRODUCT(React!$C$256:$AZ$256,Curves!$Y$20:$BV$20)+SUMPRODUCT(React!$C$257:$AZ$257,Curves!$Y$43:$BV$43)+SUMPRODUCT(React!$C$258:$AZ$258,Curves!$Y$66:$BV$66)</f>
        <v/>
      </c>
      <c r="BA261" s="5">
        <f>SUMPRODUCT(React!$C$256:$BA$256,Curves!$X$20:$BV$20)+SUMPRODUCT(React!$C$257:$BA$257,Curves!$X$43:$BV$43)+SUMPRODUCT(React!$C$258:$BA$258,Curves!$X$66:$BV$66)</f>
        <v/>
      </c>
      <c r="BB261" s="5">
        <f>SUMPRODUCT(React!$C$256:$BB$256,Curves!$W$20:$BV$20)+SUMPRODUCT(React!$C$257:$BB$257,Curves!$W$43:$BV$43)+SUMPRODUCT(React!$C$258:$BB$258,Curves!$W$66:$BV$66)</f>
        <v/>
      </c>
      <c r="BC261" s="5">
        <f>SUMPRODUCT(React!$C$256:$BC$256,Curves!$V$20:$BV$20)+SUMPRODUCT(React!$C$257:$BC$257,Curves!$V$43:$BV$43)+SUMPRODUCT(React!$C$258:$BC$258,Curves!$V$66:$BV$66)</f>
        <v/>
      </c>
      <c r="BD261" s="5">
        <f>SUMPRODUCT(React!$C$256:$BD$256,Curves!$U$20:$BV$20)+SUMPRODUCT(React!$C$257:$BD$257,Curves!$U$43:$BV$43)+SUMPRODUCT(React!$C$258:$BD$258,Curves!$U$66:$BV$66)</f>
        <v/>
      </c>
      <c r="BE261" s="5">
        <f>SUMPRODUCT(React!$C$256:$BE$256,Curves!$T$20:$BV$20)+SUMPRODUCT(React!$C$257:$BE$257,Curves!$T$43:$BV$43)+SUMPRODUCT(React!$C$258:$BE$258,Curves!$T$66:$BV$66)</f>
        <v/>
      </c>
      <c r="BF261" s="5">
        <f>SUMPRODUCT(React!$C$256:$BF$256,Curves!$S$20:$BV$20)+SUMPRODUCT(React!$C$257:$BF$257,Curves!$S$43:$BV$43)+SUMPRODUCT(React!$C$258:$BF$258,Curves!$S$66:$BV$66)</f>
        <v/>
      </c>
      <c r="BG261" s="5">
        <f>SUMPRODUCT(React!$C$256:$BG$256,Curves!$R$20:$BV$20)+SUMPRODUCT(React!$C$257:$BG$257,Curves!$R$43:$BV$43)+SUMPRODUCT(React!$C$258:$BG$258,Curves!$R$66:$BV$66)</f>
        <v/>
      </c>
      <c r="BH261" s="5">
        <f>SUMPRODUCT(React!$C$256:$BH$256,Curves!$Q$20:$BV$20)+SUMPRODUCT(React!$C$257:$BH$257,Curves!$Q$43:$BV$43)+SUMPRODUCT(React!$C$258:$BH$258,Curves!$Q$66:$BV$66)</f>
        <v/>
      </c>
      <c r="BI261" s="5">
        <f>SUMPRODUCT(React!$C$256:$BI$256,Curves!$P$20:$BV$20)+SUMPRODUCT(React!$C$257:$BI$257,Curves!$P$43:$BV$43)+SUMPRODUCT(React!$C$258:$BI$258,Curves!$P$66:$BV$66)</f>
        <v/>
      </c>
      <c r="BJ261" s="5">
        <f>SUMPRODUCT(React!$C$256:$BJ$256,Curves!$O$20:$BV$20)+SUMPRODUCT(React!$C$257:$BJ$257,Curves!$O$43:$BV$43)+SUMPRODUCT(React!$C$258:$BJ$258,Curves!$O$66:$BV$66)</f>
        <v/>
      </c>
      <c r="BK261" s="5">
        <f>SUMPRODUCT(React!$C$256:$BK$256,Curves!$N$20:$BV$20)+SUMPRODUCT(React!$C$257:$BK$257,Curves!$N$43:$BV$43)+SUMPRODUCT(React!$C$258:$BK$258,Curves!$N$66:$BV$66)</f>
        <v/>
      </c>
      <c r="BL261" s="5">
        <f>SUMPRODUCT(React!$C$256:$BL$256,Curves!$M$20:$BV$20)+SUMPRODUCT(React!$C$257:$BL$257,Curves!$M$43:$BV$43)+SUMPRODUCT(React!$C$258:$BL$258,Curves!$M$66:$BV$66)</f>
        <v/>
      </c>
      <c r="BM261" s="5">
        <f>SUMPRODUCT(React!$C$256:$BM$256,Curves!$L$20:$BV$20)+SUMPRODUCT(React!$C$257:$BM$257,Curves!$L$43:$BV$43)+SUMPRODUCT(React!$C$258:$BM$258,Curves!$L$66:$BV$66)</f>
        <v/>
      </c>
      <c r="BN261" s="5">
        <f>SUMPRODUCT(React!$C$256:$BN$256,Curves!$K$20:$BV$20)+SUMPRODUCT(React!$C$257:$BN$257,Curves!$K$43:$BV$43)+SUMPRODUCT(React!$C$258:$BN$258,Curves!$K$66:$BV$66)</f>
        <v/>
      </c>
      <c r="BO261" s="5">
        <f>SUMPRODUCT(React!$C$256:$BO$256,Curves!$J$20:$BV$20)+SUMPRODUCT(React!$C$257:$BO$257,Curves!$J$43:$BV$43)+SUMPRODUCT(React!$C$258:$BO$258,Curves!$J$66:$BV$66)</f>
        <v/>
      </c>
      <c r="BP261" s="5">
        <f>SUMPRODUCT(React!$C$256:$BP$256,Curves!$I$20:$BV$20)+SUMPRODUCT(React!$C$257:$BP$257,Curves!$I$43:$BV$43)+SUMPRODUCT(React!$C$258:$BP$258,Curves!$I$66:$BV$66)</f>
        <v/>
      </c>
      <c r="BQ261" s="5">
        <f>SUMPRODUCT(React!$C$256:$BQ$256,Curves!$H$20:$BV$20)+SUMPRODUCT(React!$C$257:$BQ$257,Curves!$H$43:$BV$43)+SUMPRODUCT(React!$C$258:$BQ$258,Curves!$H$66:$BV$66)</f>
        <v/>
      </c>
      <c r="BR261" s="5">
        <f>SUMPRODUCT(React!$C$256:$BR$256,Curves!$G$20:$BV$20)+SUMPRODUCT(React!$C$257:$BR$257,Curves!$G$43:$BV$43)+SUMPRODUCT(React!$C$258:$BR$258,Curves!$G$66:$BV$66)</f>
        <v/>
      </c>
      <c r="BS261" s="5">
        <f>SUMPRODUCT(React!$C$256:$BS$256,Curves!$F$20:$BV$20)+SUMPRODUCT(React!$C$257:$BS$257,Curves!$F$43:$BV$43)+SUMPRODUCT(React!$C$258:$BS$258,Curves!$F$66:$BV$66)</f>
        <v/>
      </c>
      <c r="BT261" s="5">
        <f>SUMPRODUCT(React!$C$256:$BT$256,Curves!$E$20:$BV$20)+SUMPRODUCT(React!$C$257:$BT$257,Curves!$E$43:$BV$43)+SUMPRODUCT(React!$C$258:$BT$258,Curves!$E$66:$BV$66)</f>
        <v/>
      </c>
      <c r="BU261" s="5">
        <f>SUMPRODUCT(React!$C$256:$BU$256,Curves!$D$20:$BV$20)+SUMPRODUCT(React!$C$257:$BU$257,Curves!$D$43:$BV$43)+SUMPRODUCT(React!$C$258:$BU$258,Curves!$D$66:$BV$66)</f>
        <v/>
      </c>
      <c r="BV261" s="5">
        <f>SUMPRODUCT(React!$C$256:$BV$256,Curves!$C$20:$BV$20)+SUMPRODUCT(React!$C$257:$BV$257,Curves!$C$43:$BV$43)+SUMPRODUCT(React!$C$258:$BV$258,Curves!$C$66:$BV$66)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V1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s="1" t="inlineStr">
        <is>
          <t>opening</t>
        </is>
      </c>
      <c r="B3" s="1" t="inlineStr">
        <is>
          <t>TOTAL</t>
        </is>
      </c>
      <c r="C3" s="9">
        <f>SUM(C10,C17,C24,C31,C38,C45,C52,C59,C66,C73,C80,C87,C94,C101,C108,C115,C122,C129,C136,C143)</f>
        <v/>
      </c>
      <c r="D3" s="9">
        <f>SUM(D10,D17,D24,D31,D38,D45,D52,D59,D66,D73,D80,D87,D94,D101,D108,D115,D122,D129,D136,D143)</f>
        <v/>
      </c>
      <c r="E3" s="9">
        <f>SUM(E10,E17,E24,E31,E38,E45,E52,E59,E66,E73,E80,E87,E94,E101,E108,E115,E122,E129,E136,E143)</f>
        <v/>
      </c>
      <c r="F3" s="9">
        <f>SUM(F10,F17,F24,F31,F38,F45,F52,F59,F66,F73,F80,F87,F94,F101,F108,F115,F122,F129,F136,F143)</f>
        <v/>
      </c>
      <c r="G3" s="9">
        <f>SUM(G10,G17,G24,G31,G38,G45,G52,G59,G66,G73,G80,G87,G94,G101,G108,G115,G122,G129,G136,G143)</f>
        <v/>
      </c>
      <c r="H3" s="9">
        <f>SUM(H10,H17,H24,H31,H38,H45,H52,H59,H66,H73,H80,H87,H94,H101,H108,H115,H122,H129,H136,H143)</f>
        <v/>
      </c>
      <c r="I3" s="9">
        <f>SUM(I10,I17,I24,I31,I38,I45,I52,I59,I66,I73,I80,I87,I94,I101,I108,I115,I122,I129,I136,I143)</f>
        <v/>
      </c>
      <c r="J3" s="9">
        <f>SUM(J10,J17,J24,J31,J38,J45,J52,J59,J66,J73,J80,J87,J94,J101,J108,J115,J122,J129,J136,J143)</f>
        <v/>
      </c>
      <c r="K3" s="9">
        <f>SUM(K10,K17,K24,K31,K38,K45,K52,K59,K66,K73,K80,K87,K94,K101,K108,K115,K122,K129,K136,K143)</f>
        <v/>
      </c>
      <c r="L3" s="9">
        <f>SUM(L10,L17,L24,L31,L38,L45,L52,L59,L66,L73,L80,L87,L94,L101,L108,L115,L122,L129,L136,L143)</f>
        <v/>
      </c>
      <c r="M3" s="9">
        <f>SUM(M10,M17,M24,M31,M38,M45,M52,M59,M66,M73,M80,M87,M94,M101,M108,M115,M122,M129,M136,M143)</f>
        <v/>
      </c>
      <c r="N3" s="9">
        <f>SUM(N10,N17,N24,N31,N38,N45,N52,N59,N66,N73,N80,N87,N94,N101,N108,N115,N122,N129,N136,N143)</f>
        <v/>
      </c>
      <c r="O3" s="9">
        <f>SUM(O10,O17,O24,O31,O38,O45,O52,O59,O66,O73,O80,O87,O94,O101,O108,O115,O122,O129,O136,O143)</f>
        <v/>
      </c>
      <c r="P3" s="9">
        <f>SUM(P10,P17,P24,P31,P38,P45,P52,P59,P66,P73,P80,P87,P94,P101,P108,P115,P122,P129,P136,P143)</f>
        <v/>
      </c>
      <c r="Q3" s="9">
        <f>SUM(Q10,Q17,Q24,Q31,Q38,Q45,Q52,Q59,Q66,Q73,Q80,Q87,Q94,Q101,Q108,Q115,Q122,Q129,Q136,Q143)</f>
        <v/>
      </c>
      <c r="R3" s="9">
        <f>SUM(R10,R17,R24,R31,R38,R45,R52,R59,R66,R73,R80,R87,R94,R101,R108,R115,R122,R129,R136,R143)</f>
        <v/>
      </c>
      <c r="S3" s="9">
        <f>SUM(S10,S17,S24,S31,S38,S45,S52,S59,S66,S73,S80,S87,S94,S101,S108,S115,S122,S129,S136,S143)</f>
        <v/>
      </c>
      <c r="T3" s="9">
        <f>SUM(T10,T17,T24,T31,T38,T45,T52,T59,T66,T73,T80,T87,T94,T101,T108,T115,T122,T129,T136,T143)</f>
        <v/>
      </c>
      <c r="U3" s="9">
        <f>SUM(U10,U17,U24,U31,U38,U45,U52,U59,U66,U73,U80,U87,U94,U101,U108,U115,U122,U129,U136,U143)</f>
        <v/>
      </c>
      <c r="V3" s="9">
        <f>SUM(V10,V17,V24,V31,V38,V45,V52,V59,V66,V73,V80,V87,V94,V101,V108,V115,V122,V129,V136,V143)</f>
        <v/>
      </c>
      <c r="W3" s="9">
        <f>SUM(W10,W17,W24,W31,W38,W45,W52,W59,W66,W73,W80,W87,W94,W101,W108,W115,W122,W129,W136,W143)</f>
        <v/>
      </c>
      <c r="X3" s="9">
        <f>SUM(X10,X17,X24,X31,X38,X45,X52,X59,X66,X73,X80,X87,X94,X101,X108,X115,X122,X129,X136,X143)</f>
        <v/>
      </c>
      <c r="Y3" s="9">
        <f>SUM(Y10,Y17,Y24,Y31,Y38,Y45,Y52,Y59,Y66,Y73,Y80,Y87,Y94,Y101,Y108,Y115,Y122,Y129,Y136,Y143)</f>
        <v/>
      </c>
      <c r="Z3" s="9">
        <f>SUM(Z10,Z17,Z24,Z31,Z38,Z45,Z52,Z59,Z66,Z73,Z80,Z87,Z94,Z101,Z108,Z115,Z122,Z129,Z136,Z143)</f>
        <v/>
      </c>
      <c r="AA3" s="9">
        <f>SUM(AA10,AA17,AA24,AA31,AA38,AA45,AA52,AA59,AA66,AA73,AA80,AA87,AA94,AA101,AA108,AA115,AA122,AA129,AA136,AA143)</f>
        <v/>
      </c>
      <c r="AB3" s="9">
        <f>SUM(AB10,AB17,AB24,AB31,AB38,AB45,AB52,AB59,AB66,AB73,AB80,AB87,AB94,AB101,AB108,AB115,AB122,AB129,AB136,AB143)</f>
        <v/>
      </c>
      <c r="AC3" s="9">
        <f>SUM(AC10,AC17,AC24,AC31,AC38,AC45,AC52,AC59,AC66,AC73,AC80,AC87,AC94,AC101,AC108,AC115,AC122,AC129,AC136,AC143)</f>
        <v/>
      </c>
      <c r="AD3" s="9">
        <f>SUM(AD10,AD17,AD24,AD31,AD38,AD45,AD52,AD59,AD66,AD73,AD80,AD87,AD94,AD101,AD108,AD115,AD122,AD129,AD136,AD143)</f>
        <v/>
      </c>
      <c r="AE3" s="9">
        <f>SUM(AE10,AE17,AE24,AE31,AE38,AE45,AE52,AE59,AE66,AE73,AE80,AE87,AE94,AE101,AE108,AE115,AE122,AE129,AE136,AE143)</f>
        <v/>
      </c>
      <c r="AF3" s="9">
        <f>SUM(AF10,AF17,AF24,AF31,AF38,AF45,AF52,AF59,AF66,AF73,AF80,AF87,AF94,AF101,AF108,AF115,AF122,AF129,AF136,AF143)</f>
        <v/>
      </c>
      <c r="AG3" s="9">
        <f>SUM(AG10,AG17,AG24,AG31,AG38,AG45,AG52,AG59,AG66,AG73,AG80,AG87,AG94,AG101,AG108,AG115,AG122,AG129,AG136,AG143)</f>
        <v/>
      </c>
      <c r="AH3" s="9">
        <f>SUM(AH10,AH17,AH24,AH31,AH38,AH45,AH52,AH59,AH66,AH73,AH80,AH87,AH94,AH101,AH108,AH115,AH122,AH129,AH136,AH143)</f>
        <v/>
      </c>
      <c r="AI3" s="9">
        <f>SUM(AI10,AI17,AI24,AI31,AI38,AI45,AI52,AI59,AI66,AI73,AI80,AI87,AI94,AI101,AI108,AI115,AI122,AI129,AI136,AI143)</f>
        <v/>
      </c>
      <c r="AJ3" s="9">
        <f>SUM(AJ10,AJ17,AJ24,AJ31,AJ38,AJ45,AJ52,AJ59,AJ66,AJ73,AJ80,AJ87,AJ94,AJ101,AJ108,AJ115,AJ122,AJ129,AJ136,AJ143)</f>
        <v/>
      </c>
      <c r="AK3" s="9">
        <f>SUM(AK10,AK17,AK24,AK31,AK38,AK45,AK52,AK59,AK66,AK73,AK80,AK87,AK94,AK101,AK108,AK115,AK122,AK129,AK136,AK143)</f>
        <v/>
      </c>
      <c r="AL3" s="9">
        <f>SUM(AL10,AL17,AL24,AL31,AL38,AL45,AL52,AL59,AL66,AL73,AL80,AL87,AL94,AL101,AL108,AL115,AL122,AL129,AL136,AL143)</f>
        <v/>
      </c>
      <c r="AM3" s="9">
        <f>SUM(AM10,AM17,AM24,AM31,AM38,AM45,AM52,AM59,AM66,AM73,AM80,AM87,AM94,AM101,AM108,AM115,AM122,AM129,AM136,AM143)</f>
        <v/>
      </c>
      <c r="AN3" s="9">
        <f>SUM(AN10,AN17,AN24,AN31,AN38,AN45,AN52,AN59,AN66,AN73,AN80,AN87,AN94,AN101,AN108,AN115,AN122,AN129,AN136,AN143)</f>
        <v/>
      </c>
      <c r="AO3" s="9">
        <f>SUM(AO10,AO17,AO24,AO31,AO38,AO45,AO52,AO59,AO66,AO73,AO80,AO87,AO94,AO101,AO108,AO115,AO122,AO129,AO136,AO143)</f>
        <v/>
      </c>
      <c r="AP3" s="9">
        <f>SUM(AP10,AP17,AP24,AP31,AP38,AP45,AP52,AP59,AP66,AP73,AP80,AP87,AP94,AP101,AP108,AP115,AP122,AP129,AP136,AP143)</f>
        <v/>
      </c>
      <c r="AQ3" s="9">
        <f>SUM(AQ10,AQ17,AQ24,AQ31,AQ38,AQ45,AQ52,AQ59,AQ66,AQ73,AQ80,AQ87,AQ94,AQ101,AQ108,AQ115,AQ122,AQ129,AQ136,AQ143)</f>
        <v/>
      </c>
      <c r="AR3" s="9">
        <f>SUM(AR10,AR17,AR24,AR31,AR38,AR45,AR52,AR59,AR66,AR73,AR80,AR87,AR94,AR101,AR108,AR115,AR122,AR129,AR136,AR143)</f>
        <v/>
      </c>
      <c r="AS3" s="9">
        <f>SUM(AS10,AS17,AS24,AS31,AS38,AS45,AS52,AS59,AS66,AS73,AS80,AS87,AS94,AS101,AS108,AS115,AS122,AS129,AS136,AS143)</f>
        <v/>
      </c>
      <c r="AT3" s="9">
        <f>SUM(AT10,AT17,AT24,AT31,AT38,AT45,AT52,AT59,AT66,AT73,AT80,AT87,AT94,AT101,AT108,AT115,AT122,AT129,AT136,AT143)</f>
        <v/>
      </c>
      <c r="AU3" s="9">
        <f>SUM(AU10,AU17,AU24,AU31,AU38,AU45,AU52,AU59,AU66,AU73,AU80,AU87,AU94,AU101,AU108,AU115,AU122,AU129,AU136,AU143)</f>
        <v/>
      </c>
      <c r="AV3" s="9">
        <f>SUM(AV10,AV17,AV24,AV31,AV38,AV45,AV52,AV59,AV66,AV73,AV80,AV87,AV94,AV101,AV108,AV115,AV122,AV129,AV136,AV143)</f>
        <v/>
      </c>
      <c r="AW3" s="9">
        <f>SUM(AW10,AW17,AW24,AW31,AW38,AW45,AW52,AW59,AW66,AW73,AW80,AW87,AW94,AW101,AW108,AW115,AW122,AW129,AW136,AW143)</f>
        <v/>
      </c>
      <c r="AX3" s="9">
        <f>SUM(AX10,AX17,AX24,AX31,AX38,AX45,AX52,AX59,AX66,AX73,AX80,AX87,AX94,AX101,AX108,AX115,AX122,AX129,AX136,AX143)</f>
        <v/>
      </c>
      <c r="AY3" s="9">
        <f>SUM(AY10,AY17,AY24,AY31,AY38,AY45,AY52,AY59,AY66,AY73,AY80,AY87,AY94,AY101,AY108,AY115,AY122,AY129,AY136,AY143)</f>
        <v/>
      </c>
      <c r="AZ3" s="9">
        <f>SUM(AZ10,AZ17,AZ24,AZ31,AZ38,AZ45,AZ52,AZ59,AZ66,AZ73,AZ80,AZ87,AZ94,AZ101,AZ108,AZ115,AZ122,AZ129,AZ136,AZ143)</f>
        <v/>
      </c>
      <c r="BA3" s="9">
        <f>SUM(BA10,BA17,BA24,BA31,BA38,BA45,BA52,BA59,BA66,BA73,BA80,BA87,BA94,BA101,BA108,BA115,BA122,BA129,BA136,BA143)</f>
        <v/>
      </c>
      <c r="BB3" s="9">
        <f>SUM(BB10,BB17,BB24,BB31,BB38,BB45,BB52,BB59,BB66,BB73,BB80,BB87,BB94,BB101,BB108,BB115,BB122,BB129,BB136,BB143)</f>
        <v/>
      </c>
      <c r="BC3" s="9">
        <f>SUM(BC10,BC17,BC24,BC31,BC38,BC45,BC52,BC59,BC66,BC73,BC80,BC87,BC94,BC101,BC108,BC115,BC122,BC129,BC136,BC143)</f>
        <v/>
      </c>
      <c r="BD3" s="9">
        <f>SUM(BD10,BD17,BD24,BD31,BD38,BD45,BD52,BD59,BD66,BD73,BD80,BD87,BD94,BD101,BD108,BD115,BD122,BD129,BD136,BD143)</f>
        <v/>
      </c>
      <c r="BE3" s="9">
        <f>SUM(BE10,BE17,BE24,BE31,BE38,BE45,BE52,BE59,BE66,BE73,BE80,BE87,BE94,BE101,BE108,BE115,BE122,BE129,BE136,BE143)</f>
        <v/>
      </c>
      <c r="BF3" s="9">
        <f>SUM(BF10,BF17,BF24,BF31,BF38,BF45,BF52,BF59,BF66,BF73,BF80,BF87,BF94,BF101,BF108,BF115,BF122,BF129,BF136,BF143)</f>
        <v/>
      </c>
      <c r="BG3" s="9">
        <f>SUM(BG10,BG17,BG24,BG31,BG38,BG45,BG52,BG59,BG66,BG73,BG80,BG87,BG94,BG101,BG108,BG115,BG122,BG129,BG136,BG143)</f>
        <v/>
      </c>
      <c r="BH3" s="9">
        <f>SUM(BH10,BH17,BH24,BH31,BH38,BH45,BH52,BH59,BH66,BH73,BH80,BH87,BH94,BH101,BH108,BH115,BH122,BH129,BH136,BH143)</f>
        <v/>
      </c>
      <c r="BI3" s="9">
        <f>SUM(BI10,BI17,BI24,BI31,BI38,BI45,BI52,BI59,BI66,BI73,BI80,BI87,BI94,BI101,BI108,BI115,BI122,BI129,BI136,BI143)</f>
        <v/>
      </c>
      <c r="BJ3" s="9">
        <f>SUM(BJ10,BJ17,BJ24,BJ31,BJ38,BJ45,BJ52,BJ59,BJ66,BJ73,BJ80,BJ87,BJ94,BJ101,BJ108,BJ115,BJ122,BJ129,BJ136,BJ143)</f>
        <v/>
      </c>
      <c r="BK3" s="9">
        <f>SUM(BK10,BK17,BK24,BK31,BK38,BK45,BK52,BK59,BK66,BK73,BK80,BK87,BK94,BK101,BK108,BK115,BK122,BK129,BK136,BK143)</f>
        <v/>
      </c>
      <c r="BL3" s="9">
        <f>SUM(BL10,BL17,BL24,BL31,BL38,BL45,BL52,BL59,BL66,BL73,BL80,BL87,BL94,BL101,BL108,BL115,BL122,BL129,BL136,BL143)</f>
        <v/>
      </c>
      <c r="BM3" s="9">
        <f>SUM(BM10,BM17,BM24,BM31,BM38,BM45,BM52,BM59,BM66,BM73,BM80,BM87,BM94,BM101,BM108,BM115,BM122,BM129,BM136,BM143)</f>
        <v/>
      </c>
      <c r="BN3" s="9">
        <f>SUM(BN10,BN17,BN24,BN31,BN38,BN45,BN52,BN59,BN66,BN73,BN80,BN87,BN94,BN101,BN108,BN115,BN122,BN129,BN136,BN143)</f>
        <v/>
      </c>
      <c r="BO3" s="9">
        <f>SUM(BO10,BO17,BO24,BO31,BO38,BO45,BO52,BO59,BO66,BO73,BO80,BO87,BO94,BO101,BO108,BO115,BO122,BO129,BO136,BO143)</f>
        <v/>
      </c>
      <c r="BP3" s="9">
        <f>SUM(BP10,BP17,BP24,BP31,BP38,BP45,BP52,BP59,BP66,BP73,BP80,BP87,BP94,BP101,BP108,BP115,BP122,BP129,BP136,BP143)</f>
        <v/>
      </c>
      <c r="BQ3" s="9">
        <f>SUM(BQ10,BQ17,BQ24,BQ31,BQ38,BQ45,BQ52,BQ59,BQ66,BQ73,BQ80,BQ87,BQ94,BQ101,BQ108,BQ115,BQ122,BQ129,BQ136,BQ143)</f>
        <v/>
      </c>
      <c r="BR3" s="9">
        <f>SUM(BR10,BR17,BR24,BR31,BR38,BR45,BR52,BR59,BR66,BR73,BR80,BR87,BR94,BR101,BR108,BR115,BR122,BR129,BR136,BR143)</f>
        <v/>
      </c>
      <c r="BS3" s="9">
        <f>SUM(BS10,BS17,BS24,BS31,BS38,BS45,BS52,BS59,BS66,BS73,BS80,BS87,BS94,BS101,BS108,BS115,BS122,BS129,BS136,BS143)</f>
        <v/>
      </c>
      <c r="BT3" s="9">
        <f>SUM(BT10,BT17,BT24,BT31,BT38,BT45,BT52,BT59,BT66,BT73,BT80,BT87,BT94,BT101,BT108,BT115,BT122,BT129,BT136,BT143)</f>
        <v/>
      </c>
      <c r="BU3" s="9">
        <f>SUM(BU10,BU17,BU24,BU31,BU38,BU45,BU52,BU59,BU66,BU73,BU80,BU87,BU94,BU101,BU108,BU115,BU122,BU129,BU136,BU143)</f>
        <v/>
      </c>
      <c r="BV3" s="9">
        <f>SUM(BV10,BV17,BV24,BV31,BV38,BV45,BV52,BV59,BV66,BV73,BV80,BV87,BV94,BV101,BV108,BV115,BV122,BV129,BV136,BV143)</f>
        <v/>
      </c>
    </row>
    <row r="4">
      <c r="A4" s="1" t="inlineStr">
        <is>
          <t>new</t>
        </is>
      </c>
      <c r="B4" s="1" t="inlineStr">
        <is>
          <t>TOTAL</t>
        </is>
      </c>
      <c r="C4" s="9">
        <f>SUM(C11,C18,C25,C32,C39,C46,C53,C60,C67,C74,C81,C88,C95,C102,C109,C116,C123,C130,C137,C144)</f>
        <v/>
      </c>
      <c r="D4" s="9">
        <f>SUM(D11,D18,D25,D32,D39,D46,D53,D60,D67,D74,D81,D88,D95,D102,D109,D116,D123,D130,D137,D144)</f>
        <v/>
      </c>
      <c r="E4" s="9">
        <f>SUM(E11,E18,E25,E32,E39,E46,E53,E60,E67,E74,E81,E88,E95,E102,E109,E116,E123,E130,E137,E144)</f>
        <v/>
      </c>
      <c r="F4" s="9">
        <f>SUM(F11,F18,F25,F32,F39,F46,F53,F60,F67,F74,F81,F88,F95,F102,F109,F116,F123,F130,F137,F144)</f>
        <v/>
      </c>
      <c r="G4" s="9">
        <f>SUM(G11,G18,G25,G32,G39,G46,G53,G60,G67,G74,G81,G88,G95,G102,G109,G116,G123,G130,G137,G144)</f>
        <v/>
      </c>
      <c r="H4" s="9">
        <f>SUM(H11,H18,H25,H32,H39,H46,H53,H60,H67,H74,H81,H88,H95,H102,H109,H116,H123,H130,H137,H144)</f>
        <v/>
      </c>
      <c r="I4" s="9">
        <f>SUM(I11,I18,I25,I32,I39,I46,I53,I60,I67,I74,I81,I88,I95,I102,I109,I116,I123,I130,I137,I144)</f>
        <v/>
      </c>
      <c r="J4" s="9">
        <f>SUM(J11,J18,J25,J32,J39,J46,J53,J60,J67,J74,J81,J88,J95,J102,J109,J116,J123,J130,J137,J144)</f>
        <v/>
      </c>
      <c r="K4" s="9">
        <f>SUM(K11,K18,K25,K32,K39,K46,K53,K60,K67,K74,K81,K88,K95,K102,K109,K116,K123,K130,K137,K144)</f>
        <v/>
      </c>
      <c r="L4" s="9">
        <f>SUM(L11,L18,L25,L32,L39,L46,L53,L60,L67,L74,L81,L88,L95,L102,L109,L116,L123,L130,L137,L144)</f>
        <v/>
      </c>
      <c r="M4" s="9">
        <f>SUM(M11,M18,M25,M32,M39,M46,M53,M60,M67,M74,M81,M88,M95,M102,M109,M116,M123,M130,M137,M144)</f>
        <v/>
      </c>
      <c r="N4" s="9">
        <f>SUM(N11,N18,N25,N32,N39,N46,N53,N60,N67,N74,N81,N88,N95,N102,N109,N116,N123,N130,N137,N144)</f>
        <v/>
      </c>
      <c r="O4" s="9">
        <f>SUM(O11,O18,O25,O32,O39,O46,O53,O60,O67,O74,O81,O88,O95,O102,O109,O116,O123,O130,O137,O144)</f>
        <v/>
      </c>
      <c r="P4" s="9">
        <f>SUM(P11,P18,P25,P32,P39,P46,P53,P60,P67,P74,P81,P88,P95,P102,P109,P116,P123,P130,P137,P144)</f>
        <v/>
      </c>
      <c r="Q4" s="9">
        <f>SUM(Q11,Q18,Q25,Q32,Q39,Q46,Q53,Q60,Q67,Q74,Q81,Q88,Q95,Q102,Q109,Q116,Q123,Q130,Q137,Q144)</f>
        <v/>
      </c>
      <c r="R4" s="9">
        <f>SUM(R11,R18,R25,R32,R39,R46,R53,R60,R67,R74,R81,R88,R95,R102,R109,R116,R123,R130,R137,R144)</f>
        <v/>
      </c>
      <c r="S4" s="9">
        <f>SUM(S11,S18,S25,S32,S39,S46,S53,S60,S67,S74,S81,S88,S95,S102,S109,S116,S123,S130,S137,S144)</f>
        <v/>
      </c>
      <c r="T4" s="9">
        <f>SUM(T11,T18,T25,T32,T39,T46,T53,T60,T67,T74,T81,T88,T95,T102,T109,T116,T123,T130,T137,T144)</f>
        <v/>
      </c>
      <c r="U4" s="9">
        <f>SUM(U11,U18,U25,U32,U39,U46,U53,U60,U67,U74,U81,U88,U95,U102,U109,U116,U123,U130,U137,U144)</f>
        <v/>
      </c>
      <c r="V4" s="9">
        <f>SUM(V11,V18,V25,V32,V39,V46,V53,V60,V67,V74,V81,V88,V95,V102,V109,V116,V123,V130,V137,V144)</f>
        <v/>
      </c>
      <c r="W4" s="9">
        <f>SUM(W11,W18,W25,W32,W39,W46,W53,W60,W67,W74,W81,W88,W95,W102,W109,W116,W123,W130,W137,W144)</f>
        <v/>
      </c>
      <c r="X4" s="9">
        <f>SUM(X11,X18,X25,X32,X39,X46,X53,X60,X67,X74,X81,X88,X95,X102,X109,X116,X123,X130,X137,X144)</f>
        <v/>
      </c>
      <c r="Y4" s="9">
        <f>SUM(Y11,Y18,Y25,Y32,Y39,Y46,Y53,Y60,Y67,Y74,Y81,Y88,Y95,Y102,Y109,Y116,Y123,Y130,Y137,Y144)</f>
        <v/>
      </c>
      <c r="Z4" s="9">
        <f>SUM(Z11,Z18,Z25,Z32,Z39,Z46,Z53,Z60,Z67,Z74,Z81,Z88,Z95,Z102,Z109,Z116,Z123,Z130,Z137,Z144)</f>
        <v/>
      </c>
      <c r="AA4" s="9">
        <f>SUM(AA11,AA18,AA25,AA32,AA39,AA46,AA53,AA60,AA67,AA74,AA81,AA88,AA95,AA102,AA109,AA116,AA123,AA130,AA137,AA144)</f>
        <v/>
      </c>
      <c r="AB4" s="9">
        <f>SUM(AB11,AB18,AB25,AB32,AB39,AB46,AB53,AB60,AB67,AB74,AB81,AB88,AB95,AB102,AB109,AB116,AB123,AB130,AB137,AB144)</f>
        <v/>
      </c>
      <c r="AC4" s="9">
        <f>SUM(AC11,AC18,AC25,AC32,AC39,AC46,AC53,AC60,AC67,AC74,AC81,AC88,AC95,AC102,AC109,AC116,AC123,AC130,AC137,AC144)</f>
        <v/>
      </c>
      <c r="AD4" s="9">
        <f>SUM(AD11,AD18,AD25,AD32,AD39,AD46,AD53,AD60,AD67,AD74,AD81,AD88,AD95,AD102,AD109,AD116,AD123,AD130,AD137,AD144)</f>
        <v/>
      </c>
      <c r="AE4" s="9">
        <f>SUM(AE11,AE18,AE25,AE32,AE39,AE46,AE53,AE60,AE67,AE74,AE81,AE88,AE95,AE102,AE109,AE116,AE123,AE130,AE137,AE144)</f>
        <v/>
      </c>
      <c r="AF4" s="9">
        <f>SUM(AF11,AF18,AF25,AF32,AF39,AF46,AF53,AF60,AF67,AF74,AF81,AF88,AF95,AF102,AF109,AF116,AF123,AF130,AF137,AF144)</f>
        <v/>
      </c>
      <c r="AG4" s="9">
        <f>SUM(AG11,AG18,AG25,AG32,AG39,AG46,AG53,AG60,AG67,AG74,AG81,AG88,AG95,AG102,AG109,AG116,AG123,AG130,AG137,AG144)</f>
        <v/>
      </c>
      <c r="AH4" s="9">
        <f>SUM(AH11,AH18,AH25,AH32,AH39,AH46,AH53,AH60,AH67,AH74,AH81,AH88,AH95,AH102,AH109,AH116,AH123,AH130,AH137,AH144)</f>
        <v/>
      </c>
      <c r="AI4" s="9">
        <f>SUM(AI11,AI18,AI25,AI32,AI39,AI46,AI53,AI60,AI67,AI74,AI81,AI88,AI95,AI102,AI109,AI116,AI123,AI130,AI137,AI144)</f>
        <v/>
      </c>
      <c r="AJ4" s="9">
        <f>SUM(AJ11,AJ18,AJ25,AJ32,AJ39,AJ46,AJ53,AJ60,AJ67,AJ74,AJ81,AJ88,AJ95,AJ102,AJ109,AJ116,AJ123,AJ130,AJ137,AJ144)</f>
        <v/>
      </c>
      <c r="AK4" s="9">
        <f>SUM(AK11,AK18,AK25,AK32,AK39,AK46,AK53,AK60,AK67,AK74,AK81,AK88,AK95,AK102,AK109,AK116,AK123,AK130,AK137,AK144)</f>
        <v/>
      </c>
      <c r="AL4" s="9">
        <f>SUM(AL11,AL18,AL25,AL32,AL39,AL46,AL53,AL60,AL67,AL74,AL81,AL88,AL95,AL102,AL109,AL116,AL123,AL130,AL137,AL144)</f>
        <v/>
      </c>
      <c r="AM4" s="9">
        <f>SUM(AM11,AM18,AM25,AM32,AM39,AM46,AM53,AM60,AM67,AM74,AM81,AM88,AM95,AM102,AM109,AM116,AM123,AM130,AM137,AM144)</f>
        <v/>
      </c>
      <c r="AN4" s="9">
        <f>SUM(AN11,AN18,AN25,AN32,AN39,AN46,AN53,AN60,AN67,AN74,AN81,AN88,AN95,AN102,AN109,AN116,AN123,AN130,AN137,AN144)</f>
        <v/>
      </c>
      <c r="AO4" s="9">
        <f>SUM(AO11,AO18,AO25,AO32,AO39,AO46,AO53,AO60,AO67,AO74,AO81,AO88,AO95,AO102,AO109,AO116,AO123,AO130,AO137,AO144)</f>
        <v/>
      </c>
      <c r="AP4" s="9">
        <f>SUM(AP11,AP18,AP25,AP32,AP39,AP46,AP53,AP60,AP67,AP74,AP81,AP88,AP95,AP102,AP109,AP116,AP123,AP130,AP137,AP144)</f>
        <v/>
      </c>
      <c r="AQ4" s="9">
        <f>SUM(AQ11,AQ18,AQ25,AQ32,AQ39,AQ46,AQ53,AQ60,AQ67,AQ74,AQ81,AQ88,AQ95,AQ102,AQ109,AQ116,AQ123,AQ130,AQ137,AQ144)</f>
        <v/>
      </c>
      <c r="AR4" s="9">
        <f>SUM(AR11,AR18,AR25,AR32,AR39,AR46,AR53,AR60,AR67,AR74,AR81,AR88,AR95,AR102,AR109,AR116,AR123,AR130,AR137,AR144)</f>
        <v/>
      </c>
      <c r="AS4" s="9">
        <f>SUM(AS11,AS18,AS25,AS32,AS39,AS46,AS53,AS60,AS67,AS74,AS81,AS88,AS95,AS102,AS109,AS116,AS123,AS130,AS137,AS144)</f>
        <v/>
      </c>
      <c r="AT4" s="9">
        <f>SUM(AT11,AT18,AT25,AT32,AT39,AT46,AT53,AT60,AT67,AT74,AT81,AT88,AT95,AT102,AT109,AT116,AT123,AT130,AT137,AT144)</f>
        <v/>
      </c>
      <c r="AU4" s="9">
        <f>SUM(AU11,AU18,AU25,AU32,AU39,AU46,AU53,AU60,AU67,AU74,AU81,AU88,AU95,AU102,AU109,AU116,AU123,AU130,AU137,AU144)</f>
        <v/>
      </c>
      <c r="AV4" s="9">
        <f>SUM(AV11,AV18,AV25,AV32,AV39,AV46,AV53,AV60,AV67,AV74,AV81,AV88,AV95,AV102,AV109,AV116,AV123,AV130,AV137,AV144)</f>
        <v/>
      </c>
      <c r="AW4" s="9">
        <f>SUM(AW11,AW18,AW25,AW32,AW39,AW46,AW53,AW60,AW67,AW74,AW81,AW88,AW95,AW102,AW109,AW116,AW123,AW130,AW137,AW144)</f>
        <v/>
      </c>
      <c r="AX4" s="9">
        <f>SUM(AX11,AX18,AX25,AX32,AX39,AX46,AX53,AX60,AX67,AX74,AX81,AX88,AX95,AX102,AX109,AX116,AX123,AX130,AX137,AX144)</f>
        <v/>
      </c>
      <c r="AY4" s="9">
        <f>SUM(AY11,AY18,AY25,AY32,AY39,AY46,AY53,AY60,AY67,AY74,AY81,AY88,AY95,AY102,AY109,AY116,AY123,AY130,AY137,AY144)</f>
        <v/>
      </c>
      <c r="AZ4" s="9">
        <f>SUM(AZ11,AZ18,AZ25,AZ32,AZ39,AZ46,AZ53,AZ60,AZ67,AZ74,AZ81,AZ88,AZ95,AZ102,AZ109,AZ116,AZ123,AZ130,AZ137,AZ144)</f>
        <v/>
      </c>
      <c r="BA4" s="9">
        <f>SUM(BA11,BA18,BA25,BA32,BA39,BA46,BA53,BA60,BA67,BA74,BA81,BA88,BA95,BA102,BA109,BA116,BA123,BA130,BA137,BA144)</f>
        <v/>
      </c>
      <c r="BB4" s="9">
        <f>SUM(BB11,BB18,BB25,BB32,BB39,BB46,BB53,BB60,BB67,BB74,BB81,BB88,BB95,BB102,BB109,BB116,BB123,BB130,BB137,BB144)</f>
        <v/>
      </c>
      <c r="BC4" s="9">
        <f>SUM(BC11,BC18,BC25,BC32,BC39,BC46,BC53,BC60,BC67,BC74,BC81,BC88,BC95,BC102,BC109,BC116,BC123,BC130,BC137,BC144)</f>
        <v/>
      </c>
      <c r="BD4" s="9">
        <f>SUM(BD11,BD18,BD25,BD32,BD39,BD46,BD53,BD60,BD67,BD74,BD81,BD88,BD95,BD102,BD109,BD116,BD123,BD130,BD137,BD144)</f>
        <v/>
      </c>
      <c r="BE4" s="9">
        <f>SUM(BE11,BE18,BE25,BE32,BE39,BE46,BE53,BE60,BE67,BE74,BE81,BE88,BE95,BE102,BE109,BE116,BE123,BE130,BE137,BE144)</f>
        <v/>
      </c>
      <c r="BF4" s="9">
        <f>SUM(BF11,BF18,BF25,BF32,BF39,BF46,BF53,BF60,BF67,BF74,BF81,BF88,BF95,BF102,BF109,BF116,BF123,BF130,BF137,BF144)</f>
        <v/>
      </c>
      <c r="BG4" s="9">
        <f>SUM(BG11,BG18,BG25,BG32,BG39,BG46,BG53,BG60,BG67,BG74,BG81,BG88,BG95,BG102,BG109,BG116,BG123,BG130,BG137,BG144)</f>
        <v/>
      </c>
      <c r="BH4" s="9">
        <f>SUM(BH11,BH18,BH25,BH32,BH39,BH46,BH53,BH60,BH67,BH74,BH81,BH88,BH95,BH102,BH109,BH116,BH123,BH130,BH137,BH144)</f>
        <v/>
      </c>
      <c r="BI4" s="9">
        <f>SUM(BI11,BI18,BI25,BI32,BI39,BI46,BI53,BI60,BI67,BI74,BI81,BI88,BI95,BI102,BI109,BI116,BI123,BI130,BI137,BI144)</f>
        <v/>
      </c>
      <c r="BJ4" s="9">
        <f>SUM(BJ11,BJ18,BJ25,BJ32,BJ39,BJ46,BJ53,BJ60,BJ67,BJ74,BJ81,BJ88,BJ95,BJ102,BJ109,BJ116,BJ123,BJ130,BJ137,BJ144)</f>
        <v/>
      </c>
      <c r="BK4" s="9">
        <f>SUM(BK11,BK18,BK25,BK32,BK39,BK46,BK53,BK60,BK67,BK74,BK81,BK88,BK95,BK102,BK109,BK116,BK123,BK130,BK137,BK144)</f>
        <v/>
      </c>
      <c r="BL4" s="9">
        <f>SUM(BL11,BL18,BL25,BL32,BL39,BL46,BL53,BL60,BL67,BL74,BL81,BL88,BL95,BL102,BL109,BL116,BL123,BL130,BL137,BL144)</f>
        <v/>
      </c>
      <c r="BM4" s="9">
        <f>SUM(BM11,BM18,BM25,BM32,BM39,BM46,BM53,BM60,BM67,BM74,BM81,BM88,BM95,BM102,BM109,BM116,BM123,BM130,BM137,BM144)</f>
        <v/>
      </c>
      <c r="BN4" s="9">
        <f>SUM(BN11,BN18,BN25,BN32,BN39,BN46,BN53,BN60,BN67,BN74,BN81,BN88,BN95,BN102,BN109,BN116,BN123,BN130,BN137,BN144)</f>
        <v/>
      </c>
      <c r="BO4" s="9">
        <f>SUM(BO11,BO18,BO25,BO32,BO39,BO46,BO53,BO60,BO67,BO74,BO81,BO88,BO95,BO102,BO109,BO116,BO123,BO130,BO137,BO144)</f>
        <v/>
      </c>
      <c r="BP4" s="9">
        <f>SUM(BP11,BP18,BP25,BP32,BP39,BP46,BP53,BP60,BP67,BP74,BP81,BP88,BP95,BP102,BP109,BP116,BP123,BP130,BP137,BP144)</f>
        <v/>
      </c>
      <c r="BQ4" s="9">
        <f>SUM(BQ11,BQ18,BQ25,BQ32,BQ39,BQ46,BQ53,BQ60,BQ67,BQ74,BQ81,BQ88,BQ95,BQ102,BQ109,BQ116,BQ123,BQ130,BQ137,BQ144)</f>
        <v/>
      </c>
      <c r="BR4" s="9">
        <f>SUM(BR11,BR18,BR25,BR32,BR39,BR46,BR53,BR60,BR67,BR74,BR81,BR88,BR95,BR102,BR109,BR116,BR123,BR130,BR137,BR144)</f>
        <v/>
      </c>
      <c r="BS4" s="9">
        <f>SUM(BS11,BS18,BS25,BS32,BS39,BS46,BS53,BS60,BS67,BS74,BS81,BS88,BS95,BS102,BS109,BS116,BS123,BS130,BS137,BS144)</f>
        <v/>
      </c>
      <c r="BT4" s="9">
        <f>SUM(BT11,BT18,BT25,BT32,BT39,BT46,BT53,BT60,BT67,BT74,BT81,BT88,BT95,BT102,BT109,BT116,BT123,BT130,BT137,BT144)</f>
        <v/>
      </c>
      <c r="BU4" s="9">
        <f>SUM(BU11,BU18,BU25,BU32,BU39,BU46,BU53,BU60,BU67,BU74,BU81,BU88,BU95,BU102,BU109,BU116,BU123,BU130,BU137,BU144)</f>
        <v/>
      </c>
      <c r="BV4" s="9">
        <f>SUM(BV11,BV18,BV25,BV32,BV39,BV46,BV53,BV60,BV67,BV74,BV81,BV88,BV95,BV102,BV109,BV116,BV123,BV130,BV137,BV144)</f>
        <v/>
      </c>
    </row>
    <row r="5">
      <c r="A5" s="1" t="inlineStr">
        <is>
          <t>reactivated</t>
        </is>
      </c>
      <c r="B5" s="1" t="inlineStr">
        <is>
          <t>TOTAL</t>
        </is>
      </c>
      <c r="C5" s="9">
        <f>SUM(C12,C19,C26,C33,C40,C47,C54,C61,C68,C75,C82,C89,C96,C103,C110,C117,C124,C131,C138,C145)</f>
        <v/>
      </c>
      <c r="D5" s="9">
        <f>SUM(D12,D19,D26,D33,D40,D47,D54,D61,D68,D75,D82,D89,D96,D103,D110,D117,D124,D131,D138,D145)</f>
        <v/>
      </c>
      <c r="E5" s="9">
        <f>SUM(E12,E19,E26,E33,E40,E47,E54,E61,E68,E75,E82,E89,E96,E103,E110,E117,E124,E131,E138,E145)</f>
        <v/>
      </c>
      <c r="F5" s="9">
        <f>SUM(F12,F19,F26,F33,F40,F47,F54,F61,F68,F75,F82,F89,F96,F103,F110,F117,F124,F131,F138,F145)</f>
        <v/>
      </c>
      <c r="G5" s="9">
        <f>SUM(G12,G19,G26,G33,G40,G47,G54,G61,G68,G75,G82,G89,G96,G103,G110,G117,G124,G131,G138,G145)</f>
        <v/>
      </c>
      <c r="H5" s="9">
        <f>SUM(H12,H19,H26,H33,H40,H47,H54,H61,H68,H75,H82,H89,H96,H103,H110,H117,H124,H131,H138,H145)</f>
        <v/>
      </c>
      <c r="I5" s="9">
        <f>SUM(I12,I19,I26,I33,I40,I47,I54,I61,I68,I75,I82,I89,I96,I103,I110,I117,I124,I131,I138,I145)</f>
        <v/>
      </c>
      <c r="J5" s="9">
        <f>SUM(J12,J19,J26,J33,J40,J47,J54,J61,J68,J75,J82,J89,J96,J103,J110,J117,J124,J131,J138,J145)</f>
        <v/>
      </c>
      <c r="K5" s="9">
        <f>SUM(K12,K19,K26,K33,K40,K47,K54,K61,K68,K75,K82,K89,K96,K103,K110,K117,K124,K131,K138,K145)</f>
        <v/>
      </c>
      <c r="L5" s="9">
        <f>SUM(L12,L19,L26,L33,L40,L47,L54,L61,L68,L75,L82,L89,L96,L103,L110,L117,L124,L131,L138,L145)</f>
        <v/>
      </c>
      <c r="M5" s="9">
        <f>SUM(M12,M19,M26,M33,M40,M47,M54,M61,M68,M75,M82,M89,M96,M103,M110,M117,M124,M131,M138,M145)</f>
        <v/>
      </c>
      <c r="N5" s="9">
        <f>SUM(N12,N19,N26,N33,N40,N47,N54,N61,N68,N75,N82,N89,N96,N103,N110,N117,N124,N131,N138,N145)</f>
        <v/>
      </c>
      <c r="O5" s="9">
        <f>SUM(O12,O19,O26,O33,O40,O47,O54,O61,O68,O75,O82,O89,O96,O103,O110,O117,O124,O131,O138,O145)</f>
        <v/>
      </c>
      <c r="P5" s="9">
        <f>SUM(P12,P19,P26,P33,P40,P47,P54,P61,P68,P75,P82,P89,P96,P103,P110,P117,P124,P131,P138,P145)</f>
        <v/>
      </c>
      <c r="Q5" s="9">
        <f>SUM(Q12,Q19,Q26,Q33,Q40,Q47,Q54,Q61,Q68,Q75,Q82,Q89,Q96,Q103,Q110,Q117,Q124,Q131,Q138,Q145)</f>
        <v/>
      </c>
      <c r="R5" s="9">
        <f>SUM(R12,R19,R26,R33,R40,R47,R54,R61,R68,R75,R82,R89,R96,R103,R110,R117,R124,R131,R138,R145)</f>
        <v/>
      </c>
      <c r="S5" s="9">
        <f>SUM(S12,S19,S26,S33,S40,S47,S54,S61,S68,S75,S82,S89,S96,S103,S110,S117,S124,S131,S138,S145)</f>
        <v/>
      </c>
      <c r="T5" s="9">
        <f>SUM(T12,T19,T26,T33,T40,T47,T54,T61,T68,T75,T82,T89,T96,T103,T110,T117,T124,T131,T138,T145)</f>
        <v/>
      </c>
      <c r="U5" s="9">
        <f>SUM(U12,U19,U26,U33,U40,U47,U54,U61,U68,U75,U82,U89,U96,U103,U110,U117,U124,U131,U138,U145)</f>
        <v/>
      </c>
      <c r="V5" s="9">
        <f>SUM(V12,V19,V26,V33,V40,V47,V54,V61,V68,V75,V82,V89,V96,V103,V110,V117,V124,V131,V138,V145)</f>
        <v/>
      </c>
      <c r="W5" s="9">
        <f>SUM(W12,W19,W26,W33,W40,W47,W54,W61,W68,W75,W82,W89,W96,W103,W110,W117,W124,W131,W138,W145)</f>
        <v/>
      </c>
      <c r="X5" s="9">
        <f>SUM(X12,X19,X26,X33,X40,X47,X54,X61,X68,X75,X82,X89,X96,X103,X110,X117,X124,X131,X138,X145)</f>
        <v/>
      </c>
      <c r="Y5" s="9">
        <f>SUM(Y12,Y19,Y26,Y33,Y40,Y47,Y54,Y61,Y68,Y75,Y82,Y89,Y96,Y103,Y110,Y117,Y124,Y131,Y138,Y145)</f>
        <v/>
      </c>
      <c r="Z5" s="9">
        <f>SUM(Z12,Z19,Z26,Z33,Z40,Z47,Z54,Z61,Z68,Z75,Z82,Z89,Z96,Z103,Z110,Z117,Z124,Z131,Z138,Z145)</f>
        <v/>
      </c>
      <c r="AA5" s="9">
        <f>SUM(AA12,AA19,AA26,AA33,AA40,AA47,AA54,AA61,AA68,AA75,AA82,AA89,AA96,AA103,AA110,AA117,AA124,AA131,AA138,AA145)</f>
        <v/>
      </c>
      <c r="AB5" s="9">
        <f>SUM(AB12,AB19,AB26,AB33,AB40,AB47,AB54,AB61,AB68,AB75,AB82,AB89,AB96,AB103,AB110,AB117,AB124,AB131,AB138,AB145)</f>
        <v/>
      </c>
      <c r="AC5" s="9">
        <f>SUM(AC12,AC19,AC26,AC33,AC40,AC47,AC54,AC61,AC68,AC75,AC82,AC89,AC96,AC103,AC110,AC117,AC124,AC131,AC138,AC145)</f>
        <v/>
      </c>
      <c r="AD5" s="9">
        <f>SUM(AD12,AD19,AD26,AD33,AD40,AD47,AD54,AD61,AD68,AD75,AD82,AD89,AD96,AD103,AD110,AD117,AD124,AD131,AD138,AD145)</f>
        <v/>
      </c>
      <c r="AE5" s="9">
        <f>SUM(AE12,AE19,AE26,AE33,AE40,AE47,AE54,AE61,AE68,AE75,AE82,AE89,AE96,AE103,AE110,AE117,AE124,AE131,AE138,AE145)</f>
        <v/>
      </c>
      <c r="AF5" s="9">
        <f>SUM(AF12,AF19,AF26,AF33,AF40,AF47,AF54,AF61,AF68,AF75,AF82,AF89,AF96,AF103,AF110,AF117,AF124,AF131,AF138,AF145)</f>
        <v/>
      </c>
      <c r="AG5" s="9">
        <f>SUM(AG12,AG19,AG26,AG33,AG40,AG47,AG54,AG61,AG68,AG75,AG82,AG89,AG96,AG103,AG110,AG117,AG124,AG131,AG138,AG145)</f>
        <v/>
      </c>
      <c r="AH5" s="9">
        <f>SUM(AH12,AH19,AH26,AH33,AH40,AH47,AH54,AH61,AH68,AH75,AH82,AH89,AH96,AH103,AH110,AH117,AH124,AH131,AH138,AH145)</f>
        <v/>
      </c>
      <c r="AI5" s="9">
        <f>SUM(AI12,AI19,AI26,AI33,AI40,AI47,AI54,AI61,AI68,AI75,AI82,AI89,AI96,AI103,AI110,AI117,AI124,AI131,AI138,AI145)</f>
        <v/>
      </c>
      <c r="AJ5" s="9">
        <f>SUM(AJ12,AJ19,AJ26,AJ33,AJ40,AJ47,AJ54,AJ61,AJ68,AJ75,AJ82,AJ89,AJ96,AJ103,AJ110,AJ117,AJ124,AJ131,AJ138,AJ145)</f>
        <v/>
      </c>
      <c r="AK5" s="9">
        <f>SUM(AK12,AK19,AK26,AK33,AK40,AK47,AK54,AK61,AK68,AK75,AK82,AK89,AK96,AK103,AK110,AK117,AK124,AK131,AK138,AK145)</f>
        <v/>
      </c>
      <c r="AL5" s="9">
        <f>SUM(AL12,AL19,AL26,AL33,AL40,AL47,AL54,AL61,AL68,AL75,AL82,AL89,AL96,AL103,AL110,AL117,AL124,AL131,AL138,AL145)</f>
        <v/>
      </c>
      <c r="AM5" s="9">
        <f>SUM(AM12,AM19,AM26,AM33,AM40,AM47,AM54,AM61,AM68,AM75,AM82,AM89,AM96,AM103,AM110,AM117,AM124,AM131,AM138,AM145)</f>
        <v/>
      </c>
      <c r="AN5" s="9">
        <f>SUM(AN12,AN19,AN26,AN33,AN40,AN47,AN54,AN61,AN68,AN75,AN82,AN89,AN96,AN103,AN110,AN117,AN124,AN131,AN138,AN145)</f>
        <v/>
      </c>
      <c r="AO5" s="9">
        <f>SUM(AO12,AO19,AO26,AO33,AO40,AO47,AO54,AO61,AO68,AO75,AO82,AO89,AO96,AO103,AO110,AO117,AO124,AO131,AO138,AO145)</f>
        <v/>
      </c>
      <c r="AP5" s="9">
        <f>SUM(AP12,AP19,AP26,AP33,AP40,AP47,AP54,AP61,AP68,AP75,AP82,AP89,AP96,AP103,AP110,AP117,AP124,AP131,AP138,AP145)</f>
        <v/>
      </c>
      <c r="AQ5" s="9">
        <f>SUM(AQ12,AQ19,AQ26,AQ33,AQ40,AQ47,AQ54,AQ61,AQ68,AQ75,AQ82,AQ89,AQ96,AQ103,AQ110,AQ117,AQ124,AQ131,AQ138,AQ145)</f>
        <v/>
      </c>
      <c r="AR5" s="9">
        <f>SUM(AR12,AR19,AR26,AR33,AR40,AR47,AR54,AR61,AR68,AR75,AR82,AR89,AR96,AR103,AR110,AR117,AR124,AR131,AR138,AR145)</f>
        <v/>
      </c>
      <c r="AS5" s="9">
        <f>SUM(AS12,AS19,AS26,AS33,AS40,AS47,AS54,AS61,AS68,AS75,AS82,AS89,AS96,AS103,AS110,AS117,AS124,AS131,AS138,AS145)</f>
        <v/>
      </c>
      <c r="AT5" s="9">
        <f>SUM(AT12,AT19,AT26,AT33,AT40,AT47,AT54,AT61,AT68,AT75,AT82,AT89,AT96,AT103,AT110,AT117,AT124,AT131,AT138,AT145)</f>
        <v/>
      </c>
      <c r="AU5" s="9">
        <f>SUM(AU12,AU19,AU26,AU33,AU40,AU47,AU54,AU61,AU68,AU75,AU82,AU89,AU96,AU103,AU110,AU117,AU124,AU131,AU138,AU145)</f>
        <v/>
      </c>
      <c r="AV5" s="9">
        <f>SUM(AV12,AV19,AV26,AV33,AV40,AV47,AV54,AV61,AV68,AV75,AV82,AV89,AV96,AV103,AV110,AV117,AV124,AV131,AV138,AV145)</f>
        <v/>
      </c>
      <c r="AW5" s="9">
        <f>SUM(AW12,AW19,AW26,AW33,AW40,AW47,AW54,AW61,AW68,AW75,AW82,AW89,AW96,AW103,AW110,AW117,AW124,AW131,AW138,AW145)</f>
        <v/>
      </c>
      <c r="AX5" s="9">
        <f>SUM(AX12,AX19,AX26,AX33,AX40,AX47,AX54,AX61,AX68,AX75,AX82,AX89,AX96,AX103,AX110,AX117,AX124,AX131,AX138,AX145)</f>
        <v/>
      </c>
      <c r="AY5" s="9">
        <f>SUM(AY12,AY19,AY26,AY33,AY40,AY47,AY54,AY61,AY68,AY75,AY82,AY89,AY96,AY103,AY110,AY117,AY124,AY131,AY138,AY145)</f>
        <v/>
      </c>
      <c r="AZ5" s="9">
        <f>SUM(AZ12,AZ19,AZ26,AZ33,AZ40,AZ47,AZ54,AZ61,AZ68,AZ75,AZ82,AZ89,AZ96,AZ103,AZ110,AZ117,AZ124,AZ131,AZ138,AZ145)</f>
        <v/>
      </c>
      <c r="BA5" s="9">
        <f>SUM(BA12,BA19,BA26,BA33,BA40,BA47,BA54,BA61,BA68,BA75,BA82,BA89,BA96,BA103,BA110,BA117,BA124,BA131,BA138,BA145)</f>
        <v/>
      </c>
      <c r="BB5" s="9">
        <f>SUM(BB12,BB19,BB26,BB33,BB40,BB47,BB54,BB61,BB68,BB75,BB82,BB89,BB96,BB103,BB110,BB117,BB124,BB131,BB138,BB145)</f>
        <v/>
      </c>
      <c r="BC5" s="9">
        <f>SUM(BC12,BC19,BC26,BC33,BC40,BC47,BC54,BC61,BC68,BC75,BC82,BC89,BC96,BC103,BC110,BC117,BC124,BC131,BC138,BC145)</f>
        <v/>
      </c>
      <c r="BD5" s="9">
        <f>SUM(BD12,BD19,BD26,BD33,BD40,BD47,BD54,BD61,BD68,BD75,BD82,BD89,BD96,BD103,BD110,BD117,BD124,BD131,BD138,BD145)</f>
        <v/>
      </c>
      <c r="BE5" s="9">
        <f>SUM(BE12,BE19,BE26,BE33,BE40,BE47,BE54,BE61,BE68,BE75,BE82,BE89,BE96,BE103,BE110,BE117,BE124,BE131,BE138,BE145)</f>
        <v/>
      </c>
      <c r="BF5" s="9">
        <f>SUM(BF12,BF19,BF26,BF33,BF40,BF47,BF54,BF61,BF68,BF75,BF82,BF89,BF96,BF103,BF110,BF117,BF124,BF131,BF138,BF145)</f>
        <v/>
      </c>
      <c r="BG5" s="9">
        <f>SUM(BG12,BG19,BG26,BG33,BG40,BG47,BG54,BG61,BG68,BG75,BG82,BG89,BG96,BG103,BG110,BG117,BG124,BG131,BG138,BG145)</f>
        <v/>
      </c>
      <c r="BH5" s="9">
        <f>SUM(BH12,BH19,BH26,BH33,BH40,BH47,BH54,BH61,BH68,BH75,BH82,BH89,BH96,BH103,BH110,BH117,BH124,BH131,BH138,BH145)</f>
        <v/>
      </c>
      <c r="BI5" s="9">
        <f>SUM(BI12,BI19,BI26,BI33,BI40,BI47,BI54,BI61,BI68,BI75,BI82,BI89,BI96,BI103,BI110,BI117,BI124,BI131,BI138,BI145)</f>
        <v/>
      </c>
      <c r="BJ5" s="9">
        <f>SUM(BJ12,BJ19,BJ26,BJ33,BJ40,BJ47,BJ54,BJ61,BJ68,BJ75,BJ82,BJ89,BJ96,BJ103,BJ110,BJ117,BJ124,BJ131,BJ138,BJ145)</f>
        <v/>
      </c>
      <c r="BK5" s="9">
        <f>SUM(BK12,BK19,BK26,BK33,BK40,BK47,BK54,BK61,BK68,BK75,BK82,BK89,BK96,BK103,BK110,BK117,BK124,BK131,BK138,BK145)</f>
        <v/>
      </c>
      <c r="BL5" s="9">
        <f>SUM(BL12,BL19,BL26,BL33,BL40,BL47,BL54,BL61,BL68,BL75,BL82,BL89,BL96,BL103,BL110,BL117,BL124,BL131,BL138,BL145)</f>
        <v/>
      </c>
      <c r="BM5" s="9">
        <f>SUM(BM12,BM19,BM26,BM33,BM40,BM47,BM54,BM61,BM68,BM75,BM82,BM89,BM96,BM103,BM110,BM117,BM124,BM131,BM138,BM145)</f>
        <v/>
      </c>
      <c r="BN5" s="9">
        <f>SUM(BN12,BN19,BN26,BN33,BN40,BN47,BN54,BN61,BN68,BN75,BN82,BN89,BN96,BN103,BN110,BN117,BN124,BN131,BN138,BN145)</f>
        <v/>
      </c>
      <c r="BO5" s="9">
        <f>SUM(BO12,BO19,BO26,BO33,BO40,BO47,BO54,BO61,BO68,BO75,BO82,BO89,BO96,BO103,BO110,BO117,BO124,BO131,BO138,BO145)</f>
        <v/>
      </c>
      <c r="BP5" s="9">
        <f>SUM(BP12,BP19,BP26,BP33,BP40,BP47,BP54,BP61,BP68,BP75,BP82,BP89,BP96,BP103,BP110,BP117,BP124,BP131,BP138,BP145)</f>
        <v/>
      </c>
      <c r="BQ5" s="9">
        <f>SUM(BQ12,BQ19,BQ26,BQ33,BQ40,BQ47,BQ54,BQ61,BQ68,BQ75,BQ82,BQ89,BQ96,BQ103,BQ110,BQ117,BQ124,BQ131,BQ138,BQ145)</f>
        <v/>
      </c>
      <c r="BR5" s="9">
        <f>SUM(BR12,BR19,BR26,BR33,BR40,BR47,BR54,BR61,BR68,BR75,BR82,BR89,BR96,BR103,BR110,BR117,BR124,BR131,BR138,BR145)</f>
        <v/>
      </c>
      <c r="BS5" s="9">
        <f>SUM(BS12,BS19,BS26,BS33,BS40,BS47,BS54,BS61,BS68,BS75,BS82,BS89,BS96,BS103,BS110,BS117,BS124,BS131,BS138,BS145)</f>
        <v/>
      </c>
      <c r="BT5" s="9">
        <f>SUM(BT12,BT19,BT26,BT33,BT40,BT47,BT54,BT61,BT68,BT75,BT82,BT89,BT96,BT103,BT110,BT117,BT124,BT131,BT138,BT145)</f>
        <v/>
      </c>
      <c r="BU5" s="9">
        <f>SUM(BU12,BU19,BU26,BU33,BU40,BU47,BU54,BU61,BU68,BU75,BU82,BU89,BU96,BU103,BU110,BU117,BU124,BU131,BU138,BU145)</f>
        <v/>
      </c>
      <c r="BV5" s="9">
        <f>SUM(BV12,BV19,BV26,BV33,BV40,BV47,BV54,BV61,BV68,BV75,BV82,BV89,BV96,BV103,BV110,BV117,BV124,BV131,BV138,BV145)</f>
        <v/>
      </c>
    </row>
    <row r="6">
      <c r="A6" s="1" t="inlineStr">
        <is>
          <t>churned</t>
        </is>
      </c>
      <c r="B6" s="1" t="inlineStr">
        <is>
          <t>TOTAL</t>
        </is>
      </c>
      <c r="C6" s="9">
        <f>SUM(C13,C20,C27,C34,C41,C48,C55,C62,C69,C76,C83,C90,C97,C104,C111,C118,C125,C132,C139,C146)</f>
        <v/>
      </c>
      <c r="D6" s="9">
        <f>SUM(D13,D20,D27,D34,D41,D48,D55,D62,D69,D76,D83,D90,D97,D104,D111,D118,D125,D132,D139,D146)</f>
        <v/>
      </c>
      <c r="E6" s="9">
        <f>SUM(E13,E20,E27,E34,E41,E48,E55,E62,E69,E76,E83,E90,E97,E104,E111,E118,E125,E132,E139,E146)</f>
        <v/>
      </c>
      <c r="F6" s="9">
        <f>SUM(F13,F20,F27,F34,F41,F48,F55,F62,F69,F76,F83,F90,F97,F104,F111,F118,F125,F132,F139,F146)</f>
        <v/>
      </c>
      <c r="G6" s="9">
        <f>SUM(G13,G20,G27,G34,G41,G48,G55,G62,G69,G76,G83,G90,G97,G104,G111,G118,G125,G132,G139,G146)</f>
        <v/>
      </c>
      <c r="H6" s="9">
        <f>SUM(H13,H20,H27,H34,H41,H48,H55,H62,H69,H76,H83,H90,H97,H104,H111,H118,H125,H132,H139,H146)</f>
        <v/>
      </c>
      <c r="I6" s="9">
        <f>SUM(I13,I20,I27,I34,I41,I48,I55,I62,I69,I76,I83,I90,I97,I104,I111,I118,I125,I132,I139,I146)</f>
        <v/>
      </c>
      <c r="J6" s="9">
        <f>SUM(J13,J20,J27,J34,J41,J48,J55,J62,J69,J76,J83,J90,J97,J104,J111,J118,J125,J132,J139,J146)</f>
        <v/>
      </c>
      <c r="K6" s="9">
        <f>SUM(K13,K20,K27,K34,K41,K48,K55,K62,K69,K76,K83,K90,K97,K104,K111,K118,K125,K132,K139,K146)</f>
        <v/>
      </c>
      <c r="L6" s="9">
        <f>SUM(L13,L20,L27,L34,L41,L48,L55,L62,L69,L76,L83,L90,L97,L104,L111,L118,L125,L132,L139,L146)</f>
        <v/>
      </c>
      <c r="M6" s="9">
        <f>SUM(M13,M20,M27,M34,M41,M48,M55,M62,M69,M76,M83,M90,M97,M104,M111,M118,M125,M132,M139,M146)</f>
        <v/>
      </c>
      <c r="N6" s="9">
        <f>SUM(N13,N20,N27,N34,N41,N48,N55,N62,N69,N76,N83,N90,N97,N104,N111,N118,N125,N132,N139,N146)</f>
        <v/>
      </c>
      <c r="O6" s="9">
        <f>SUM(O13,O20,O27,O34,O41,O48,O55,O62,O69,O76,O83,O90,O97,O104,O111,O118,O125,O132,O139,O146)</f>
        <v/>
      </c>
      <c r="P6" s="9">
        <f>SUM(P13,P20,P27,P34,P41,P48,P55,P62,P69,P76,P83,P90,P97,P104,P111,P118,P125,P132,P139,P146)</f>
        <v/>
      </c>
      <c r="Q6" s="9">
        <f>SUM(Q13,Q20,Q27,Q34,Q41,Q48,Q55,Q62,Q69,Q76,Q83,Q90,Q97,Q104,Q111,Q118,Q125,Q132,Q139,Q146)</f>
        <v/>
      </c>
      <c r="R6" s="9">
        <f>SUM(R13,R20,R27,R34,R41,R48,R55,R62,R69,R76,R83,R90,R97,R104,R111,R118,R125,R132,R139,R146)</f>
        <v/>
      </c>
      <c r="S6" s="9">
        <f>SUM(S13,S20,S27,S34,S41,S48,S55,S62,S69,S76,S83,S90,S97,S104,S111,S118,S125,S132,S139,S146)</f>
        <v/>
      </c>
      <c r="T6" s="9">
        <f>SUM(T13,T20,T27,T34,T41,T48,T55,T62,T69,T76,T83,T90,T97,T104,T111,T118,T125,T132,T139,T146)</f>
        <v/>
      </c>
      <c r="U6" s="9">
        <f>SUM(U13,U20,U27,U34,U41,U48,U55,U62,U69,U76,U83,U90,U97,U104,U111,U118,U125,U132,U139,U146)</f>
        <v/>
      </c>
      <c r="V6" s="9">
        <f>SUM(V13,V20,V27,V34,V41,V48,V55,V62,V69,V76,V83,V90,V97,V104,V111,V118,V125,V132,V139,V146)</f>
        <v/>
      </c>
      <c r="W6" s="9">
        <f>SUM(W13,W20,W27,W34,W41,W48,W55,W62,W69,W76,W83,W90,W97,W104,W111,W118,W125,W132,W139,W146)</f>
        <v/>
      </c>
      <c r="X6" s="9">
        <f>SUM(X13,X20,X27,X34,X41,X48,X55,X62,X69,X76,X83,X90,X97,X104,X111,X118,X125,X132,X139,X146)</f>
        <v/>
      </c>
      <c r="Y6" s="9">
        <f>SUM(Y13,Y20,Y27,Y34,Y41,Y48,Y55,Y62,Y69,Y76,Y83,Y90,Y97,Y104,Y111,Y118,Y125,Y132,Y139,Y146)</f>
        <v/>
      </c>
      <c r="Z6" s="9">
        <f>SUM(Z13,Z20,Z27,Z34,Z41,Z48,Z55,Z62,Z69,Z76,Z83,Z90,Z97,Z104,Z111,Z118,Z125,Z132,Z139,Z146)</f>
        <v/>
      </c>
      <c r="AA6" s="9">
        <f>SUM(AA13,AA20,AA27,AA34,AA41,AA48,AA55,AA62,AA69,AA76,AA83,AA90,AA97,AA104,AA111,AA118,AA125,AA132,AA139,AA146)</f>
        <v/>
      </c>
      <c r="AB6" s="9">
        <f>SUM(AB13,AB20,AB27,AB34,AB41,AB48,AB55,AB62,AB69,AB76,AB83,AB90,AB97,AB104,AB111,AB118,AB125,AB132,AB139,AB146)</f>
        <v/>
      </c>
      <c r="AC6" s="9">
        <f>SUM(AC13,AC20,AC27,AC34,AC41,AC48,AC55,AC62,AC69,AC76,AC83,AC90,AC97,AC104,AC111,AC118,AC125,AC132,AC139,AC146)</f>
        <v/>
      </c>
      <c r="AD6" s="9">
        <f>SUM(AD13,AD20,AD27,AD34,AD41,AD48,AD55,AD62,AD69,AD76,AD83,AD90,AD97,AD104,AD111,AD118,AD125,AD132,AD139,AD146)</f>
        <v/>
      </c>
      <c r="AE6" s="9">
        <f>SUM(AE13,AE20,AE27,AE34,AE41,AE48,AE55,AE62,AE69,AE76,AE83,AE90,AE97,AE104,AE111,AE118,AE125,AE132,AE139,AE146)</f>
        <v/>
      </c>
      <c r="AF6" s="9">
        <f>SUM(AF13,AF20,AF27,AF34,AF41,AF48,AF55,AF62,AF69,AF76,AF83,AF90,AF97,AF104,AF111,AF118,AF125,AF132,AF139,AF146)</f>
        <v/>
      </c>
      <c r="AG6" s="9">
        <f>SUM(AG13,AG20,AG27,AG34,AG41,AG48,AG55,AG62,AG69,AG76,AG83,AG90,AG97,AG104,AG111,AG118,AG125,AG132,AG139,AG146)</f>
        <v/>
      </c>
      <c r="AH6" s="9">
        <f>SUM(AH13,AH20,AH27,AH34,AH41,AH48,AH55,AH62,AH69,AH76,AH83,AH90,AH97,AH104,AH111,AH118,AH125,AH132,AH139,AH146)</f>
        <v/>
      </c>
      <c r="AI6" s="9">
        <f>SUM(AI13,AI20,AI27,AI34,AI41,AI48,AI55,AI62,AI69,AI76,AI83,AI90,AI97,AI104,AI111,AI118,AI125,AI132,AI139,AI146)</f>
        <v/>
      </c>
      <c r="AJ6" s="9">
        <f>SUM(AJ13,AJ20,AJ27,AJ34,AJ41,AJ48,AJ55,AJ62,AJ69,AJ76,AJ83,AJ90,AJ97,AJ104,AJ111,AJ118,AJ125,AJ132,AJ139,AJ146)</f>
        <v/>
      </c>
      <c r="AK6" s="9">
        <f>SUM(AK13,AK20,AK27,AK34,AK41,AK48,AK55,AK62,AK69,AK76,AK83,AK90,AK97,AK104,AK111,AK118,AK125,AK132,AK139,AK146)</f>
        <v/>
      </c>
      <c r="AL6" s="9">
        <f>SUM(AL13,AL20,AL27,AL34,AL41,AL48,AL55,AL62,AL69,AL76,AL83,AL90,AL97,AL104,AL111,AL118,AL125,AL132,AL139,AL146)</f>
        <v/>
      </c>
      <c r="AM6" s="9">
        <f>SUM(AM13,AM20,AM27,AM34,AM41,AM48,AM55,AM62,AM69,AM76,AM83,AM90,AM97,AM104,AM111,AM118,AM125,AM132,AM139,AM146)</f>
        <v/>
      </c>
      <c r="AN6" s="9">
        <f>SUM(AN13,AN20,AN27,AN34,AN41,AN48,AN55,AN62,AN69,AN76,AN83,AN90,AN97,AN104,AN111,AN118,AN125,AN132,AN139,AN146)</f>
        <v/>
      </c>
      <c r="AO6" s="9">
        <f>SUM(AO13,AO20,AO27,AO34,AO41,AO48,AO55,AO62,AO69,AO76,AO83,AO90,AO97,AO104,AO111,AO118,AO125,AO132,AO139,AO146)</f>
        <v/>
      </c>
      <c r="AP6" s="9">
        <f>SUM(AP13,AP20,AP27,AP34,AP41,AP48,AP55,AP62,AP69,AP76,AP83,AP90,AP97,AP104,AP111,AP118,AP125,AP132,AP139,AP146)</f>
        <v/>
      </c>
      <c r="AQ6" s="9">
        <f>SUM(AQ13,AQ20,AQ27,AQ34,AQ41,AQ48,AQ55,AQ62,AQ69,AQ76,AQ83,AQ90,AQ97,AQ104,AQ111,AQ118,AQ125,AQ132,AQ139,AQ146)</f>
        <v/>
      </c>
      <c r="AR6" s="9">
        <f>SUM(AR13,AR20,AR27,AR34,AR41,AR48,AR55,AR62,AR69,AR76,AR83,AR90,AR97,AR104,AR111,AR118,AR125,AR132,AR139,AR146)</f>
        <v/>
      </c>
      <c r="AS6" s="9">
        <f>SUM(AS13,AS20,AS27,AS34,AS41,AS48,AS55,AS62,AS69,AS76,AS83,AS90,AS97,AS104,AS111,AS118,AS125,AS132,AS139,AS146)</f>
        <v/>
      </c>
      <c r="AT6" s="9">
        <f>SUM(AT13,AT20,AT27,AT34,AT41,AT48,AT55,AT62,AT69,AT76,AT83,AT90,AT97,AT104,AT111,AT118,AT125,AT132,AT139,AT146)</f>
        <v/>
      </c>
      <c r="AU6" s="9">
        <f>SUM(AU13,AU20,AU27,AU34,AU41,AU48,AU55,AU62,AU69,AU76,AU83,AU90,AU97,AU104,AU111,AU118,AU125,AU132,AU139,AU146)</f>
        <v/>
      </c>
      <c r="AV6" s="9">
        <f>SUM(AV13,AV20,AV27,AV34,AV41,AV48,AV55,AV62,AV69,AV76,AV83,AV90,AV97,AV104,AV111,AV118,AV125,AV132,AV139,AV146)</f>
        <v/>
      </c>
      <c r="AW6" s="9">
        <f>SUM(AW13,AW20,AW27,AW34,AW41,AW48,AW55,AW62,AW69,AW76,AW83,AW90,AW97,AW104,AW111,AW118,AW125,AW132,AW139,AW146)</f>
        <v/>
      </c>
      <c r="AX6" s="9">
        <f>SUM(AX13,AX20,AX27,AX34,AX41,AX48,AX55,AX62,AX69,AX76,AX83,AX90,AX97,AX104,AX111,AX118,AX125,AX132,AX139,AX146)</f>
        <v/>
      </c>
      <c r="AY6" s="9">
        <f>SUM(AY13,AY20,AY27,AY34,AY41,AY48,AY55,AY62,AY69,AY76,AY83,AY90,AY97,AY104,AY111,AY118,AY125,AY132,AY139,AY146)</f>
        <v/>
      </c>
      <c r="AZ6" s="9">
        <f>SUM(AZ13,AZ20,AZ27,AZ34,AZ41,AZ48,AZ55,AZ62,AZ69,AZ76,AZ83,AZ90,AZ97,AZ104,AZ111,AZ118,AZ125,AZ132,AZ139,AZ146)</f>
        <v/>
      </c>
      <c r="BA6" s="9">
        <f>SUM(BA13,BA20,BA27,BA34,BA41,BA48,BA55,BA62,BA69,BA76,BA83,BA90,BA97,BA104,BA111,BA118,BA125,BA132,BA139,BA146)</f>
        <v/>
      </c>
      <c r="BB6" s="9">
        <f>SUM(BB13,BB20,BB27,BB34,BB41,BB48,BB55,BB62,BB69,BB76,BB83,BB90,BB97,BB104,BB111,BB118,BB125,BB132,BB139,BB146)</f>
        <v/>
      </c>
      <c r="BC6" s="9">
        <f>SUM(BC13,BC20,BC27,BC34,BC41,BC48,BC55,BC62,BC69,BC76,BC83,BC90,BC97,BC104,BC111,BC118,BC125,BC132,BC139,BC146)</f>
        <v/>
      </c>
      <c r="BD6" s="9">
        <f>SUM(BD13,BD20,BD27,BD34,BD41,BD48,BD55,BD62,BD69,BD76,BD83,BD90,BD97,BD104,BD111,BD118,BD125,BD132,BD139,BD146)</f>
        <v/>
      </c>
      <c r="BE6" s="9">
        <f>SUM(BE13,BE20,BE27,BE34,BE41,BE48,BE55,BE62,BE69,BE76,BE83,BE90,BE97,BE104,BE111,BE118,BE125,BE132,BE139,BE146)</f>
        <v/>
      </c>
      <c r="BF6" s="9">
        <f>SUM(BF13,BF20,BF27,BF34,BF41,BF48,BF55,BF62,BF69,BF76,BF83,BF90,BF97,BF104,BF111,BF118,BF125,BF132,BF139,BF146)</f>
        <v/>
      </c>
      <c r="BG6" s="9">
        <f>SUM(BG13,BG20,BG27,BG34,BG41,BG48,BG55,BG62,BG69,BG76,BG83,BG90,BG97,BG104,BG111,BG118,BG125,BG132,BG139,BG146)</f>
        <v/>
      </c>
      <c r="BH6" s="9">
        <f>SUM(BH13,BH20,BH27,BH34,BH41,BH48,BH55,BH62,BH69,BH76,BH83,BH90,BH97,BH104,BH111,BH118,BH125,BH132,BH139,BH146)</f>
        <v/>
      </c>
      <c r="BI6" s="9">
        <f>SUM(BI13,BI20,BI27,BI34,BI41,BI48,BI55,BI62,BI69,BI76,BI83,BI90,BI97,BI104,BI111,BI118,BI125,BI132,BI139,BI146)</f>
        <v/>
      </c>
      <c r="BJ6" s="9">
        <f>SUM(BJ13,BJ20,BJ27,BJ34,BJ41,BJ48,BJ55,BJ62,BJ69,BJ76,BJ83,BJ90,BJ97,BJ104,BJ111,BJ118,BJ125,BJ132,BJ139,BJ146)</f>
        <v/>
      </c>
      <c r="BK6" s="9">
        <f>SUM(BK13,BK20,BK27,BK34,BK41,BK48,BK55,BK62,BK69,BK76,BK83,BK90,BK97,BK104,BK111,BK118,BK125,BK132,BK139,BK146)</f>
        <v/>
      </c>
      <c r="BL6" s="9">
        <f>SUM(BL13,BL20,BL27,BL34,BL41,BL48,BL55,BL62,BL69,BL76,BL83,BL90,BL97,BL104,BL111,BL118,BL125,BL132,BL139,BL146)</f>
        <v/>
      </c>
      <c r="BM6" s="9">
        <f>SUM(BM13,BM20,BM27,BM34,BM41,BM48,BM55,BM62,BM69,BM76,BM83,BM90,BM97,BM104,BM111,BM118,BM125,BM132,BM139,BM146)</f>
        <v/>
      </c>
      <c r="BN6" s="9">
        <f>SUM(BN13,BN20,BN27,BN34,BN41,BN48,BN55,BN62,BN69,BN76,BN83,BN90,BN97,BN104,BN111,BN118,BN125,BN132,BN139,BN146)</f>
        <v/>
      </c>
      <c r="BO6" s="9">
        <f>SUM(BO13,BO20,BO27,BO34,BO41,BO48,BO55,BO62,BO69,BO76,BO83,BO90,BO97,BO104,BO111,BO118,BO125,BO132,BO139,BO146)</f>
        <v/>
      </c>
      <c r="BP6" s="9">
        <f>SUM(BP13,BP20,BP27,BP34,BP41,BP48,BP55,BP62,BP69,BP76,BP83,BP90,BP97,BP104,BP111,BP118,BP125,BP132,BP139,BP146)</f>
        <v/>
      </c>
      <c r="BQ6" s="9">
        <f>SUM(BQ13,BQ20,BQ27,BQ34,BQ41,BQ48,BQ55,BQ62,BQ69,BQ76,BQ83,BQ90,BQ97,BQ104,BQ111,BQ118,BQ125,BQ132,BQ139,BQ146)</f>
        <v/>
      </c>
      <c r="BR6" s="9">
        <f>SUM(BR13,BR20,BR27,BR34,BR41,BR48,BR55,BR62,BR69,BR76,BR83,BR90,BR97,BR104,BR111,BR118,BR125,BR132,BR139,BR146)</f>
        <v/>
      </c>
      <c r="BS6" s="9">
        <f>SUM(BS13,BS20,BS27,BS34,BS41,BS48,BS55,BS62,BS69,BS76,BS83,BS90,BS97,BS104,BS111,BS118,BS125,BS132,BS139,BS146)</f>
        <v/>
      </c>
      <c r="BT6" s="9">
        <f>SUM(BT13,BT20,BT27,BT34,BT41,BT48,BT55,BT62,BT69,BT76,BT83,BT90,BT97,BT104,BT111,BT118,BT125,BT132,BT139,BT146)</f>
        <v/>
      </c>
      <c r="BU6" s="9">
        <f>SUM(BU13,BU20,BU27,BU34,BU41,BU48,BU55,BU62,BU69,BU76,BU83,BU90,BU97,BU104,BU111,BU118,BU125,BU132,BU139,BU146)</f>
        <v/>
      </c>
      <c r="BV6" s="9">
        <f>SUM(BV13,BV20,BV27,BV34,BV41,BV48,BV55,BV62,BV69,BV76,BV83,BV90,BV97,BV104,BV111,BV118,BV125,BV132,BV139,BV146)</f>
        <v/>
      </c>
    </row>
    <row r="7">
      <c r="A7" s="1" t="inlineStr">
        <is>
          <t>closing</t>
        </is>
      </c>
      <c r="B7" s="1" t="inlineStr">
        <is>
          <t>TOTAL</t>
        </is>
      </c>
      <c r="C7" s="9">
        <f>SUM(C14,C21,C28,C35,C42,C49,C56,C63,C70,C77,C84,C91,C98,C105,C112,C119,C126,C133,C140,C147)</f>
        <v/>
      </c>
      <c r="D7" s="9">
        <f>SUM(D14,D21,D28,D35,D42,D49,D56,D63,D70,D77,D84,D91,D98,D105,D112,D119,D126,D133,D140,D147)</f>
        <v/>
      </c>
      <c r="E7" s="9">
        <f>SUM(E14,E21,E28,E35,E42,E49,E56,E63,E70,E77,E84,E91,E98,E105,E112,E119,E126,E133,E140,E147)</f>
        <v/>
      </c>
      <c r="F7" s="9">
        <f>SUM(F14,F21,F28,F35,F42,F49,F56,F63,F70,F77,F84,F91,F98,F105,F112,F119,F126,F133,F140,F147)</f>
        <v/>
      </c>
      <c r="G7" s="9">
        <f>SUM(G14,G21,G28,G35,G42,G49,G56,G63,G70,G77,G84,G91,G98,G105,G112,G119,G126,G133,G140,G147)</f>
        <v/>
      </c>
      <c r="H7" s="9">
        <f>SUM(H14,H21,H28,H35,H42,H49,H56,H63,H70,H77,H84,H91,H98,H105,H112,H119,H126,H133,H140,H147)</f>
        <v/>
      </c>
      <c r="I7" s="9">
        <f>SUM(I14,I21,I28,I35,I42,I49,I56,I63,I70,I77,I84,I91,I98,I105,I112,I119,I126,I133,I140,I147)</f>
        <v/>
      </c>
      <c r="J7" s="9">
        <f>SUM(J14,J21,J28,J35,J42,J49,J56,J63,J70,J77,J84,J91,J98,J105,J112,J119,J126,J133,J140,J147)</f>
        <v/>
      </c>
      <c r="K7" s="9">
        <f>SUM(K14,K21,K28,K35,K42,K49,K56,K63,K70,K77,K84,K91,K98,K105,K112,K119,K126,K133,K140,K147)</f>
        <v/>
      </c>
      <c r="L7" s="9">
        <f>SUM(L14,L21,L28,L35,L42,L49,L56,L63,L70,L77,L84,L91,L98,L105,L112,L119,L126,L133,L140,L147)</f>
        <v/>
      </c>
      <c r="M7" s="9">
        <f>SUM(M14,M21,M28,M35,M42,M49,M56,M63,M70,M77,M84,M91,M98,M105,M112,M119,M126,M133,M140,M147)</f>
        <v/>
      </c>
      <c r="N7" s="9">
        <f>SUM(N14,N21,N28,N35,N42,N49,N56,N63,N70,N77,N84,N91,N98,N105,N112,N119,N126,N133,N140,N147)</f>
        <v/>
      </c>
      <c r="O7" s="9">
        <f>SUM(O14,O21,O28,O35,O42,O49,O56,O63,O70,O77,O84,O91,O98,O105,O112,O119,O126,O133,O140,O147)</f>
        <v/>
      </c>
      <c r="P7" s="9">
        <f>SUM(P14,P21,P28,P35,P42,P49,P56,P63,P70,P77,P84,P91,P98,P105,P112,P119,P126,P133,P140,P147)</f>
        <v/>
      </c>
      <c r="Q7" s="9">
        <f>SUM(Q14,Q21,Q28,Q35,Q42,Q49,Q56,Q63,Q70,Q77,Q84,Q91,Q98,Q105,Q112,Q119,Q126,Q133,Q140,Q147)</f>
        <v/>
      </c>
      <c r="R7" s="9">
        <f>SUM(R14,R21,R28,R35,R42,R49,R56,R63,R70,R77,R84,R91,R98,R105,R112,R119,R126,R133,R140,R147)</f>
        <v/>
      </c>
      <c r="S7" s="9">
        <f>SUM(S14,S21,S28,S35,S42,S49,S56,S63,S70,S77,S84,S91,S98,S105,S112,S119,S126,S133,S140,S147)</f>
        <v/>
      </c>
      <c r="T7" s="9">
        <f>SUM(T14,T21,T28,T35,T42,T49,T56,T63,T70,T77,T84,T91,T98,T105,T112,T119,T126,T133,T140,T147)</f>
        <v/>
      </c>
      <c r="U7" s="9">
        <f>SUM(U14,U21,U28,U35,U42,U49,U56,U63,U70,U77,U84,U91,U98,U105,U112,U119,U126,U133,U140,U147)</f>
        <v/>
      </c>
      <c r="V7" s="9">
        <f>SUM(V14,V21,V28,V35,V42,V49,V56,V63,V70,V77,V84,V91,V98,V105,V112,V119,V126,V133,V140,V147)</f>
        <v/>
      </c>
      <c r="W7" s="9">
        <f>SUM(W14,W21,W28,W35,W42,W49,W56,W63,W70,W77,W84,W91,W98,W105,W112,W119,W126,W133,W140,W147)</f>
        <v/>
      </c>
      <c r="X7" s="9">
        <f>SUM(X14,X21,X28,X35,X42,X49,X56,X63,X70,X77,X84,X91,X98,X105,X112,X119,X126,X133,X140,X147)</f>
        <v/>
      </c>
      <c r="Y7" s="9">
        <f>SUM(Y14,Y21,Y28,Y35,Y42,Y49,Y56,Y63,Y70,Y77,Y84,Y91,Y98,Y105,Y112,Y119,Y126,Y133,Y140,Y147)</f>
        <v/>
      </c>
      <c r="Z7" s="9">
        <f>SUM(Z14,Z21,Z28,Z35,Z42,Z49,Z56,Z63,Z70,Z77,Z84,Z91,Z98,Z105,Z112,Z119,Z126,Z133,Z140,Z147)</f>
        <v/>
      </c>
      <c r="AA7" s="9">
        <f>SUM(AA14,AA21,AA28,AA35,AA42,AA49,AA56,AA63,AA70,AA77,AA84,AA91,AA98,AA105,AA112,AA119,AA126,AA133,AA140,AA147)</f>
        <v/>
      </c>
      <c r="AB7" s="9">
        <f>SUM(AB14,AB21,AB28,AB35,AB42,AB49,AB56,AB63,AB70,AB77,AB84,AB91,AB98,AB105,AB112,AB119,AB126,AB133,AB140,AB147)</f>
        <v/>
      </c>
      <c r="AC7" s="9">
        <f>SUM(AC14,AC21,AC28,AC35,AC42,AC49,AC56,AC63,AC70,AC77,AC84,AC91,AC98,AC105,AC112,AC119,AC126,AC133,AC140,AC147)</f>
        <v/>
      </c>
      <c r="AD7" s="9">
        <f>SUM(AD14,AD21,AD28,AD35,AD42,AD49,AD56,AD63,AD70,AD77,AD84,AD91,AD98,AD105,AD112,AD119,AD126,AD133,AD140,AD147)</f>
        <v/>
      </c>
      <c r="AE7" s="9">
        <f>SUM(AE14,AE21,AE28,AE35,AE42,AE49,AE56,AE63,AE70,AE77,AE84,AE91,AE98,AE105,AE112,AE119,AE126,AE133,AE140,AE147)</f>
        <v/>
      </c>
      <c r="AF7" s="9">
        <f>SUM(AF14,AF21,AF28,AF35,AF42,AF49,AF56,AF63,AF70,AF77,AF84,AF91,AF98,AF105,AF112,AF119,AF126,AF133,AF140,AF147)</f>
        <v/>
      </c>
      <c r="AG7" s="9">
        <f>SUM(AG14,AG21,AG28,AG35,AG42,AG49,AG56,AG63,AG70,AG77,AG84,AG91,AG98,AG105,AG112,AG119,AG126,AG133,AG140,AG147)</f>
        <v/>
      </c>
      <c r="AH7" s="9">
        <f>SUM(AH14,AH21,AH28,AH35,AH42,AH49,AH56,AH63,AH70,AH77,AH84,AH91,AH98,AH105,AH112,AH119,AH126,AH133,AH140,AH147)</f>
        <v/>
      </c>
      <c r="AI7" s="9">
        <f>SUM(AI14,AI21,AI28,AI35,AI42,AI49,AI56,AI63,AI70,AI77,AI84,AI91,AI98,AI105,AI112,AI119,AI126,AI133,AI140,AI147)</f>
        <v/>
      </c>
      <c r="AJ7" s="9">
        <f>SUM(AJ14,AJ21,AJ28,AJ35,AJ42,AJ49,AJ56,AJ63,AJ70,AJ77,AJ84,AJ91,AJ98,AJ105,AJ112,AJ119,AJ126,AJ133,AJ140,AJ147)</f>
        <v/>
      </c>
      <c r="AK7" s="9">
        <f>SUM(AK14,AK21,AK28,AK35,AK42,AK49,AK56,AK63,AK70,AK77,AK84,AK91,AK98,AK105,AK112,AK119,AK126,AK133,AK140,AK147)</f>
        <v/>
      </c>
      <c r="AL7" s="9">
        <f>SUM(AL14,AL21,AL28,AL35,AL42,AL49,AL56,AL63,AL70,AL77,AL84,AL91,AL98,AL105,AL112,AL119,AL126,AL133,AL140,AL147)</f>
        <v/>
      </c>
      <c r="AM7" s="9">
        <f>SUM(AM14,AM21,AM28,AM35,AM42,AM49,AM56,AM63,AM70,AM77,AM84,AM91,AM98,AM105,AM112,AM119,AM126,AM133,AM140,AM147)</f>
        <v/>
      </c>
      <c r="AN7" s="9">
        <f>SUM(AN14,AN21,AN28,AN35,AN42,AN49,AN56,AN63,AN70,AN77,AN84,AN91,AN98,AN105,AN112,AN119,AN126,AN133,AN140,AN147)</f>
        <v/>
      </c>
      <c r="AO7" s="9">
        <f>SUM(AO14,AO21,AO28,AO35,AO42,AO49,AO56,AO63,AO70,AO77,AO84,AO91,AO98,AO105,AO112,AO119,AO126,AO133,AO140,AO147)</f>
        <v/>
      </c>
      <c r="AP7" s="9">
        <f>SUM(AP14,AP21,AP28,AP35,AP42,AP49,AP56,AP63,AP70,AP77,AP84,AP91,AP98,AP105,AP112,AP119,AP126,AP133,AP140,AP147)</f>
        <v/>
      </c>
      <c r="AQ7" s="9">
        <f>SUM(AQ14,AQ21,AQ28,AQ35,AQ42,AQ49,AQ56,AQ63,AQ70,AQ77,AQ84,AQ91,AQ98,AQ105,AQ112,AQ119,AQ126,AQ133,AQ140,AQ147)</f>
        <v/>
      </c>
      <c r="AR7" s="9">
        <f>SUM(AR14,AR21,AR28,AR35,AR42,AR49,AR56,AR63,AR70,AR77,AR84,AR91,AR98,AR105,AR112,AR119,AR126,AR133,AR140,AR147)</f>
        <v/>
      </c>
      <c r="AS7" s="9">
        <f>SUM(AS14,AS21,AS28,AS35,AS42,AS49,AS56,AS63,AS70,AS77,AS84,AS91,AS98,AS105,AS112,AS119,AS126,AS133,AS140,AS147)</f>
        <v/>
      </c>
      <c r="AT7" s="9">
        <f>SUM(AT14,AT21,AT28,AT35,AT42,AT49,AT56,AT63,AT70,AT77,AT84,AT91,AT98,AT105,AT112,AT119,AT126,AT133,AT140,AT147)</f>
        <v/>
      </c>
      <c r="AU7" s="9">
        <f>SUM(AU14,AU21,AU28,AU35,AU42,AU49,AU56,AU63,AU70,AU77,AU84,AU91,AU98,AU105,AU112,AU119,AU126,AU133,AU140,AU147)</f>
        <v/>
      </c>
      <c r="AV7" s="9">
        <f>SUM(AV14,AV21,AV28,AV35,AV42,AV49,AV56,AV63,AV70,AV77,AV84,AV91,AV98,AV105,AV112,AV119,AV126,AV133,AV140,AV147)</f>
        <v/>
      </c>
      <c r="AW7" s="9">
        <f>SUM(AW14,AW21,AW28,AW35,AW42,AW49,AW56,AW63,AW70,AW77,AW84,AW91,AW98,AW105,AW112,AW119,AW126,AW133,AW140,AW147)</f>
        <v/>
      </c>
      <c r="AX7" s="9">
        <f>SUM(AX14,AX21,AX28,AX35,AX42,AX49,AX56,AX63,AX70,AX77,AX84,AX91,AX98,AX105,AX112,AX119,AX126,AX133,AX140,AX147)</f>
        <v/>
      </c>
      <c r="AY7" s="9">
        <f>SUM(AY14,AY21,AY28,AY35,AY42,AY49,AY56,AY63,AY70,AY77,AY84,AY91,AY98,AY105,AY112,AY119,AY126,AY133,AY140,AY147)</f>
        <v/>
      </c>
      <c r="AZ7" s="9">
        <f>SUM(AZ14,AZ21,AZ28,AZ35,AZ42,AZ49,AZ56,AZ63,AZ70,AZ77,AZ84,AZ91,AZ98,AZ105,AZ112,AZ119,AZ126,AZ133,AZ140,AZ147)</f>
        <v/>
      </c>
      <c r="BA7" s="9">
        <f>SUM(BA14,BA21,BA28,BA35,BA42,BA49,BA56,BA63,BA70,BA77,BA84,BA91,BA98,BA105,BA112,BA119,BA126,BA133,BA140,BA147)</f>
        <v/>
      </c>
      <c r="BB7" s="9">
        <f>SUM(BB14,BB21,BB28,BB35,BB42,BB49,BB56,BB63,BB70,BB77,BB84,BB91,BB98,BB105,BB112,BB119,BB126,BB133,BB140,BB147)</f>
        <v/>
      </c>
      <c r="BC7" s="9">
        <f>SUM(BC14,BC21,BC28,BC35,BC42,BC49,BC56,BC63,BC70,BC77,BC84,BC91,BC98,BC105,BC112,BC119,BC126,BC133,BC140,BC147)</f>
        <v/>
      </c>
      <c r="BD7" s="9">
        <f>SUM(BD14,BD21,BD28,BD35,BD42,BD49,BD56,BD63,BD70,BD77,BD84,BD91,BD98,BD105,BD112,BD119,BD126,BD133,BD140,BD147)</f>
        <v/>
      </c>
      <c r="BE7" s="9">
        <f>SUM(BE14,BE21,BE28,BE35,BE42,BE49,BE56,BE63,BE70,BE77,BE84,BE91,BE98,BE105,BE112,BE119,BE126,BE133,BE140,BE147)</f>
        <v/>
      </c>
      <c r="BF7" s="9">
        <f>SUM(BF14,BF21,BF28,BF35,BF42,BF49,BF56,BF63,BF70,BF77,BF84,BF91,BF98,BF105,BF112,BF119,BF126,BF133,BF140,BF147)</f>
        <v/>
      </c>
      <c r="BG7" s="9">
        <f>SUM(BG14,BG21,BG28,BG35,BG42,BG49,BG56,BG63,BG70,BG77,BG84,BG91,BG98,BG105,BG112,BG119,BG126,BG133,BG140,BG147)</f>
        <v/>
      </c>
      <c r="BH7" s="9">
        <f>SUM(BH14,BH21,BH28,BH35,BH42,BH49,BH56,BH63,BH70,BH77,BH84,BH91,BH98,BH105,BH112,BH119,BH126,BH133,BH140,BH147)</f>
        <v/>
      </c>
      <c r="BI7" s="9">
        <f>SUM(BI14,BI21,BI28,BI35,BI42,BI49,BI56,BI63,BI70,BI77,BI84,BI91,BI98,BI105,BI112,BI119,BI126,BI133,BI140,BI147)</f>
        <v/>
      </c>
      <c r="BJ7" s="9">
        <f>SUM(BJ14,BJ21,BJ28,BJ35,BJ42,BJ49,BJ56,BJ63,BJ70,BJ77,BJ84,BJ91,BJ98,BJ105,BJ112,BJ119,BJ126,BJ133,BJ140,BJ147)</f>
        <v/>
      </c>
      <c r="BK7" s="9">
        <f>SUM(BK14,BK21,BK28,BK35,BK42,BK49,BK56,BK63,BK70,BK77,BK84,BK91,BK98,BK105,BK112,BK119,BK126,BK133,BK140,BK147)</f>
        <v/>
      </c>
      <c r="BL7" s="9">
        <f>SUM(BL14,BL21,BL28,BL35,BL42,BL49,BL56,BL63,BL70,BL77,BL84,BL91,BL98,BL105,BL112,BL119,BL126,BL133,BL140,BL147)</f>
        <v/>
      </c>
      <c r="BM7" s="9">
        <f>SUM(BM14,BM21,BM28,BM35,BM42,BM49,BM56,BM63,BM70,BM77,BM84,BM91,BM98,BM105,BM112,BM119,BM126,BM133,BM140,BM147)</f>
        <v/>
      </c>
      <c r="BN7" s="9">
        <f>SUM(BN14,BN21,BN28,BN35,BN42,BN49,BN56,BN63,BN70,BN77,BN84,BN91,BN98,BN105,BN112,BN119,BN126,BN133,BN140,BN147)</f>
        <v/>
      </c>
      <c r="BO7" s="9">
        <f>SUM(BO14,BO21,BO28,BO35,BO42,BO49,BO56,BO63,BO70,BO77,BO84,BO91,BO98,BO105,BO112,BO119,BO126,BO133,BO140,BO147)</f>
        <v/>
      </c>
      <c r="BP7" s="9">
        <f>SUM(BP14,BP21,BP28,BP35,BP42,BP49,BP56,BP63,BP70,BP77,BP84,BP91,BP98,BP105,BP112,BP119,BP126,BP133,BP140,BP147)</f>
        <v/>
      </c>
      <c r="BQ7" s="9">
        <f>SUM(BQ14,BQ21,BQ28,BQ35,BQ42,BQ49,BQ56,BQ63,BQ70,BQ77,BQ84,BQ91,BQ98,BQ105,BQ112,BQ119,BQ126,BQ133,BQ140,BQ147)</f>
        <v/>
      </c>
      <c r="BR7" s="9">
        <f>SUM(BR14,BR21,BR28,BR35,BR42,BR49,BR56,BR63,BR70,BR77,BR84,BR91,BR98,BR105,BR112,BR119,BR126,BR133,BR140,BR147)</f>
        <v/>
      </c>
      <c r="BS7" s="9">
        <f>SUM(BS14,BS21,BS28,BS35,BS42,BS49,BS56,BS63,BS70,BS77,BS84,BS91,BS98,BS105,BS112,BS119,BS126,BS133,BS140,BS147)</f>
        <v/>
      </c>
      <c r="BT7" s="9">
        <f>SUM(BT14,BT21,BT28,BT35,BT42,BT49,BT56,BT63,BT70,BT77,BT84,BT91,BT98,BT105,BT112,BT119,BT126,BT133,BT140,BT147)</f>
        <v/>
      </c>
      <c r="BU7" s="9">
        <f>SUM(BU14,BU21,BU28,BU35,BU42,BU49,BU56,BU63,BU70,BU77,BU84,BU91,BU98,BU105,BU112,BU119,BU126,BU133,BU140,BU147)</f>
        <v/>
      </c>
      <c r="BV7" s="9">
        <f>SUM(BV14,BV21,BV28,BV35,BV42,BV49,BV56,BV63,BV70,BV77,BV84,BV91,BV98,BV105,BV112,BV119,BV126,BV133,BV140,BV147)</f>
        <v/>
      </c>
    </row>
    <row r="8">
      <c r="A8" s="1" t="inlineStr">
        <is>
          <t>paying</t>
        </is>
      </c>
      <c r="B8" s="1" t="inlineStr">
        <is>
          <t>TOTAL</t>
        </is>
      </c>
      <c r="C8" s="9">
        <f>SUM(C15,C22,C29,C36,C43,C50,C57,C64,C71,C78,C85,C92,C99,C106,C113,C120,C127,C134,C141,C148)</f>
        <v/>
      </c>
      <c r="D8" s="9">
        <f>SUM(D15,D22,D29,D36,D43,D50,D57,D64,D71,D78,D85,D92,D99,D106,D113,D120,D127,D134,D141,D148)</f>
        <v/>
      </c>
      <c r="E8" s="9">
        <f>SUM(E15,E22,E29,E36,E43,E50,E57,E64,E71,E78,E85,E92,E99,E106,E113,E120,E127,E134,E141,E148)</f>
        <v/>
      </c>
      <c r="F8" s="9">
        <f>SUM(F15,F22,F29,F36,F43,F50,F57,F64,F71,F78,F85,F92,F99,F106,F113,F120,F127,F134,F141,F148)</f>
        <v/>
      </c>
      <c r="G8" s="9">
        <f>SUM(G15,G22,G29,G36,G43,G50,G57,G64,G71,G78,G85,G92,G99,G106,G113,G120,G127,G134,G141,G148)</f>
        <v/>
      </c>
      <c r="H8" s="9">
        <f>SUM(H15,H22,H29,H36,H43,H50,H57,H64,H71,H78,H85,H92,H99,H106,H113,H120,H127,H134,H141,H148)</f>
        <v/>
      </c>
      <c r="I8" s="9">
        <f>SUM(I15,I22,I29,I36,I43,I50,I57,I64,I71,I78,I85,I92,I99,I106,I113,I120,I127,I134,I141,I148)</f>
        <v/>
      </c>
      <c r="J8" s="9">
        <f>SUM(J15,J22,J29,J36,J43,J50,J57,J64,J71,J78,J85,J92,J99,J106,J113,J120,J127,J134,J141,J148)</f>
        <v/>
      </c>
      <c r="K8" s="9">
        <f>SUM(K15,K22,K29,K36,K43,K50,K57,K64,K71,K78,K85,K92,K99,K106,K113,K120,K127,K134,K141,K148)</f>
        <v/>
      </c>
      <c r="L8" s="9">
        <f>SUM(L15,L22,L29,L36,L43,L50,L57,L64,L71,L78,L85,L92,L99,L106,L113,L120,L127,L134,L141,L148)</f>
        <v/>
      </c>
      <c r="M8" s="9">
        <f>SUM(M15,M22,M29,M36,M43,M50,M57,M64,M71,M78,M85,M92,M99,M106,M113,M120,M127,M134,M141,M148)</f>
        <v/>
      </c>
      <c r="N8" s="9">
        <f>SUM(N15,N22,N29,N36,N43,N50,N57,N64,N71,N78,N85,N92,N99,N106,N113,N120,N127,N134,N141,N148)</f>
        <v/>
      </c>
      <c r="O8" s="9">
        <f>SUM(O15,O22,O29,O36,O43,O50,O57,O64,O71,O78,O85,O92,O99,O106,O113,O120,O127,O134,O141,O148)</f>
        <v/>
      </c>
      <c r="P8" s="9">
        <f>SUM(P15,P22,P29,P36,P43,P50,P57,P64,P71,P78,P85,P92,P99,P106,P113,P120,P127,P134,P141,P148)</f>
        <v/>
      </c>
      <c r="Q8" s="9">
        <f>SUM(Q15,Q22,Q29,Q36,Q43,Q50,Q57,Q64,Q71,Q78,Q85,Q92,Q99,Q106,Q113,Q120,Q127,Q134,Q141,Q148)</f>
        <v/>
      </c>
      <c r="R8" s="9">
        <f>SUM(R15,R22,R29,R36,R43,R50,R57,R64,R71,R78,R85,R92,R99,R106,R113,R120,R127,R134,R141,R148)</f>
        <v/>
      </c>
      <c r="S8" s="9">
        <f>SUM(S15,S22,S29,S36,S43,S50,S57,S64,S71,S78,S85,S92,S99,S106,S113,S120,S127,S134,S141,S148)</f>
        <v/>
      </c>
      <c r="T8" s="9">
        <f>SUM(T15,T22,T29,T36,T43,T50,T57,T64,T71,T78,T85,T92,T99,T106,T113,T120,T127,T134,T141,T148)</f>
        <v/>
      </c>
      <c r="U8" s="9">
        <f>SUM(U15,U22,U29,U36,U43,U50,U57,U64,U71,U78,U85,U92,U99,U106,U113,U120,U127,U134,U141,U148)</f>
        <v/>
      </c>
      <c r="V8" s="9">
        <f>SUM(V15,V22,V29,V36,V43,V50,V57,V64,V71,V78,V85,V92,V99,V106,V113,V120,V127,V134,V141,V148)</f>
        <v/>
      </c>
      <c r="W8" s="9">
        <f>SUM(W15,W22,W29,W36,W43,W50,W57,W64,W71,W78,W85,W92,W99,W106,W113,W120,W127,W134,W141,W148)</f>
        <v/>
      </c>
      <c r="X8" s="9">
        <f>SUM(X15,X22,X29,X36,X43,X50,X57,X64,X71,X78,X85,X92,X99,X106,X113,X120,X127,X134,X141,X148)</f>
        <v/>
      </c>
      <c r="Y8" s="9">
        <f>SUM(Y15,Y22,Y29,Y36,Y43,Y50,Y57,Y64,Y71,Y78,Y85,Y92,Y99,Y106,Y113,Y120,Y127,Y134,Y141,Y148)</f>
        <v/>
      </c>
      <c r="Z8" s="9">
        <f>SUM(Z15,Z22,Z29,Z36,Z43,Z50,Z57,Z64,Z71,Z78,Z85,Z92,Z99,Z106,Z113,Z120,Z127,Z134,Z141,Z148)</f>
        <v/>
      </c>
      <c r="AA8" s="9">
        <f>SUM(AA15,AA22,AA29,AA36,AA43,AA50,AA57,AA64,AA71,AA78,AA85,AA92,AA99,AA106,AA113,AA120,AA127,AA134,AA141,AA148)</f>
        <v/>
      </c>
      <c r="AB8" s="9">
        <f>SUM(AB15,AB22,AB29,AB36,AB43,AB50,AB57,AB64,AB71,AB78,AB85,AB92,AB99,AB106,AB113,AB120,AB127,AB134,AB141,AB148)</f>
        <v/>
      </c>
      <c r="AC8" s="9">
        <f>SUM(AC15,AC22,AC29,AC36,AC43,AC50,AC57,AC64,AC71,AC78,AC85,AC92,AC99,AC106,AC113,AC120,AC127,AC134,AC141,AC148)</f>
        <v/>
      </c>
      <c r="AD8" s="9">
        <f>SUM(AD15,AD22,AD29,AD36,AD43,AD50,AD57,AD64,AD71,AD78,AD85,AD92,AD99,AD106,AD113,AD120,AD127,AD134,AD141,AD148)</f>
        <v/>
      </c>
      <c r="AE8" s="9">
        <f>SUM(AE15,AE22,AE29,AE36,AE43,AE50,AE57,AE64,AE71,AE78,AE85,AE92,AE99,AE106,AE113,AE120,AE127,AE134,AE141,AE148)</f>
        <v/>
      </c>
      <c r="AF8" s="9">
        <f>SUM(AF15,AF22,AF29,AF36,AF43,AF50,AF57,AF64,AF71,AF78,AF85,AF92,AF99,AF106,AF113,AF120,AF127,AF134,AF141,AF148)</f>
        <v/>
      </c>
      <c r="AG8" s="9">
        <f>SUM(AG15,AG22,AG29,AG36,AG43,AG50,AG57,AG64,AG71,AG78,AG85,AG92,AG99,AG106,AG113,AG120,AG127,AG134,AG141,AG148)</f>
        <v/>
      </c>
      <c r="AH8" s="9">
        <f>SUM(AH15,AH22,AH29,AH36,AH43,AH50,AH57,AH64,AH71,AH78,AH85,AH92,AH99,AH106,AH113,AH120,AH127,AH134,AH141,AH148)</f>
        <v/>
      </c>
      <c r="AI8" s="9">
        <f>SUM(AI15,AI22,AI29,AI36,AI43,AI50,AI57,AI64,AI71,AI78,AI85,AI92,AI99,AI106,AI113,AI120,AI127,AI134,AI141,AI148)</f>
        <v/>
      </c>
      <c r="AJ8" s="9">
        <f>SUM(AJ15,AJ22,AJ29,AJ36,AJ43,AJ50,AJ57,AJ64,AJ71,AJ78,AJ85,AJ92,AJ99,AJ106,AJ113,AJ120,AJ127,AJ134,AJ141,AJ148)</f>
        <v/>
      </c>
      <c r="AK8" s="9">
        <f>SUM(AK15,AK22,AK29,AK36,AK43,AK50,AK57,AK64,AK71,AK78,AK85,AK92,AK99,AK106,AK113,AK120,AK127,AK134,AK141,AK148)</f>
        <v/>
      </c>
      <c r="AL8" s="9">
        <f>SUM(AL15,AL22,AL29,AL36,AL43,AL50,AL57,AL64,AL71,AL78,AL85,AL92,AL99,AL106,AL113,AL120,AL127,AL134,AL141,AL148)</f>
        <v/>
      </c>
      <c r="AM8" s="9">
        <f>SUM(AM15,AM22,AM29,AM36,AM43,AM50,AM57,AM64,AM71,AM78,AM85,AM92,AM99,AM106,AM113,AM120,AM127,AM134,AM141,AM148)</f>
        <v/>
      </c>
      <c r="AN8" s="9">
        <f>SUM(AN15,AN22,AN29,AN36,AN43,AN50,AN57,AN64,AN71,AN78,AN85,AN92,AN99,AN106,AN113,AN120,AN127,AN134,AN141,AN148)</f>
        <v/>
      </c>
      <c r="AO8" s="9">
        <f>SUM(AO15,AO22,AO29,AO36,AO43,AO50,AO57,AO64,AO71,AO78,AO85,AO92,AO99,AO106,AO113,AO120,AO127,AO134,AO141,AO148)</f>
        <v/>
      </c>
      <c r="AP8" s="9">
        <f>SUM(AP15,AP22,AP29,AP36,AP43,AP50,AP57,AP64,AP71,AP78,AP85,AP92,AP99,AP106,AP113,AP120,AP127,AP134,AP141,AP148)</f>
        <v/>
      </c>
      <c r="AQ8" s="9">
        <f>SUM(AQ15,AQ22,AQ29,AQ36,AQ43,AQ50,AQ57,AQ64,AQ71,AQ78,AQ85,AQ92,AQ99,AQ106,AQ113,AQ120,AQ127,AQ134,AQ141,AQ148)</f>
        <v/>
      </c>
      <c r="AR8" s="9">
        <f>SUM(AR15,AR22,AR29,AR36,AR43,AR50,AR57,AR64,AR71,AR78,AR85,AR92,AR99,AR106,AR113,AR120,AR127,AR134,AR141,AR148)</f>
        <v/>
      </c>
      <c r="AS8" s="9">
        <f>SUM(AS15,AS22,AS29,AS36,AS43,AS50,AS57,AS64,AS71,AS78,AS85,AS92,AS99,AS106,AS113,AS120,AS127,AS134,AS141,AS148)</f>
        <v/>
      </c>
      <c r="AT8" s="9">
        <f>SUM(AT15,AT22,AT29,AT36,AT43,AT50,AT57,AT64,AT71,AT78,AT85,AT92,AT99,AT106,AT113,AT120,AT127,AT134,AT141,AT148)</f>
        <v/>
      </c>
      <c r="AU8" s="9">
        <f>SUM(AU15,AU22,AU29,AU36,AU43,AU50,AU57,AU64,AU71,AU78,AU85,AU92,AU99,AU106,AU113,AU120,AU127,AU134,AU141,AU148)</f>
        <v/>
      </c>
      <c r="AV8" s="9">
        <f>SUM(AV15,AV22,AV29,AV36,AV43,AV50,AV57,AV64,AV71,AV78,AV85,AV92,AV99,AV106,AV113,AV120,AV127,AV134,AV141,AV148)</f>
        <v/>
      </c>
      <c r="AW8" s="9">
        <f>SUM(AW15,AW22,AW29,AW36,AW43,AW50,AW57,AW64,AW71,AW78,AW85,AW92,AW99,AW106,AW113,AW120,AW127,AW134,AW141,AW148)</f>
        <v/>
      </c>
      <c r="AX8" s="9">
        <f>SUM(AX15,AX22,AX29,AX36,AX43,AX50,AX57,AX64,AX71,AX78,AX85,AX92,AX99,AX106,AX113,AX120,AX127,AX134,AX141,AX148)</f>
        <v/>
      </c>
      <c r="AY8" s="9">
        <f>SUM(AY15,AY22,AY29,AY36,AY43,AY50,AY57,AY64,AY71,AY78,AY85,AY92,AY99,AY106,AY113,AY120,AY127,AY134,AY141,AY148)</f>
        <v/>
      </c>
      <c r="AZ8" s="9">
        <f>SUM(AZ15,AZ22,AZ29,AZ36,AZ43,AZ50,AZ57,AZ64,AZ71,AZ78,AZ85,AZ92,AZ99,AZ106,AZ113,AZ120,AZ127,AZ134,AZ141,AZ148)</f>
        <v/>
      </c>
      <c r="BA8" s="9">
        <f>SUM(BA15,BA22,BA29,BA36,BA43,BA50,BA57,BA64,BA71,BA78,BA85,BA92,BA99,BA106,BA113,BA120,BA127,BA134,BA141,BA148)</f>
        <v/>
      </c>
      <c r="BB8" s="9">
        <f>SUM(BB15,BB22,BB29,BB36,BB43,BB50,BB57,BB64,BB71,BB78,BB85,BB92,BB99,BB106,BB113,BB120,BB127,BB134,BB141,BB148)</f>
        <v/>
      </c>
      <c r="BC8" s="9">
        <f>SUM(BC15,BC22,BC29,BC36,BC43,BC50,BC57,BC64,BC71,BC78,BC85,BC92,BC99,BC106,BC113,BC120,BC127,BC134,BC141,BC148)</f>
        <v/>
      </c>
      <c r="BD8" s="9">
        <f>SUM(BD15,BD22,BD29,BD36,BD43,BD50,BD57,BD64,BD71,BD78,BD85,BD92,BD99,BD106,BD113,BD120,BD127,BD134,BD141,BD148)</f>
        <v/>
      </c>
      <c r="BE8" s="9">
        <f>SUM(BE15,BE22,BE29,BE36,BE43,BE50,BE57,BE64,BE71,BE78,BE85,BE92,BE99,BE106,BE113,BE120,BE127,BE134,BE141,BE148)</f>
        <v/>
      </c>
      <c r="BF8" s="9">
        <f>SUM(BF15,BF22,BF29,BF36,BF43,BF50,BF57,BF64,BF71,BF78,BF85,BF92,BF99,BF106,BF113,BF120,BF127,BF134,BF141,BF148)</f>
        <v/>
      </c>
      <c r="BG8" s="9">
        <f>SUM(BG15,BG22,BG29,BG36,BG43,BG50,BG57,BG64,BG71,BG78,BG85,BG92,BG99,BG106,BG113,BG120,BG127,BG134,BG141,BG148)</f>
        <v/>
      </c>
      <c r="BH8" s="9">
        <f>SUM(BH15,BH22,BH29,BH36,BH43,BH50,BH57,BH64,BH71,BH78,BH85,BH92,BH99,BH106,BH113,BH120,BH127,BH134,BH141,BH148)</f>
        <v/>
      </c>
      <c r="BI8" s="9">
        <f>SUM(BI15,BI22,BI29,BI36,BI43,BI50,BI57,BI64,BI71,BI78,BI85,BI92,BI99,BI106,BI113,BI120,BI127,BI134,BI141,BI148)</f>
        <v/>
      </c>
      <c r="BJ8" s="9">
        <f>SUM(BJ15,BJ22,BJ29,BJ36,BJ43,BJ50,BJ57,BJ64,BJ71,BJ78,BJ85,BJ92,BJ99,BJ106,BJ113,BJ120,BJ127,BJ134,BJ141,BJ148)</f>
        <v/>
      </c>
      <c r="BK8" s="9">
        <f>SUM(BK15,BK22,BK29,BK36,BK43,BK50,BK57,BK64,BK71,BK78,BK85,BK92,BK99,BK106,BK113,BK120,BK127,BK134,BK141,BK148)</f>
        <v/>
      </c>
      <c r="BL8" s="9">
        <f>SUM(BL15,BL22,BL29,BL36,BL43,BL50,BL57,BL64,BL71,BL78,BL85,BL92,BL99,BL106,BL113,BL120,BL127,BL134,BL141,BL148)</f>
        <v/>
      </c>
      <c r="BM8" s="9">
        <f>SUM(BM15,BM22,BM29,BM36,BM43,BM50,BM57,BM64,BM71,BM78,BM85,BM92,BM99,BM106,BM113,BM120,BM127,BM134,BM141,BM148)</f>
        <v/>
      </c>
      <c r="BN8" s="9">
        <f>SUM(BN15,BN22,BN29,BN36,BN43,BN50,BN57,BN64,BN71,BN78,BN85,BN92,BN99,BN106,BN113,BN120,BN127,BN134,BN141,BN148)</f>
        <v/>
      </c>
      <c r="BO8" s="9">
        <f>SUM(BO15,BO22,BO29,BO36,BO43,BO50,BO57,BO64,BO71,BO78,BO85,BO92,BO99,BO106,BO113,BO120,BO127,BO134,BO141,BO148)</f>
        <v/>
      </c>
      <c r="BP8" s="9">
        <f>SUM(BP15,BP22,BP29,BP36,BP43,BP50,BP57,BP64,BP71,BP78,BP85,BP92,BP99,BP106,BP113,BP120,BP127,BP134,BP141,BP148)</f>
        <v/>
      </c>
      <c r="BQ8" s="9">
        <f>SUM(BQ15,BQ22,BQ29,BQ36,BQ43,BQ50,BQ57,BQ64,BQ71,BQ78,BQ85,BQ92,BQ99,BQ106,BQ113,BQ120,BQ127,BQ134,BQ141,BQ148)</f>
        <v/>
      </c>
      <c r="BR8" s="9">
        <f>SUM(BR15,BR22,BR29,BR36,BR43,BR50,BR57,BR64,BR71,BR78,BR85,BR92,BR99,BR106,BR113,BR120,BR127,BR134,BR141,BR148)</f>
        <v/>
      </c>
      <c r="BS8" s="9">
        <f>SUM(BS15,BS22,BS29,BS36,BS43,BS50,BS57,BS64,BS71,BS78,BS85,BS92,BS99,BS106,BS113,BS120,BS127,BS134,BS141,BS148)</f>
        <v/>
      </c>
      <c r="BT8" s="9">
        <f>SUM(BT15,BT22,BT29,BT36,BT43,BT50,BT57,BT64,BT71,BT78,BT85,BT92,BT99,BT106,BT113,BT120,BT127,BT134,BT141,BT148)</f>
        <v/>
      </c>
      <c r="BU8" s="9">
        <f>SUM(BU15,BU22,BU29,BU36,BU43,BU50,BU57,BU64,BU71,BU78,BU85,BU92,BU99,BU106,BU113,BU120,BU127,BU134,BU141,BU148)</f>
        <v/>
      </c>
      <c r="BV8" s="9">
        <f>SUM(BV15,BV22,BV29,BV36,BV43,BV50,BV57,BV64,BV71,BV78,BV85,BV92,BV99,BV106,BV113,BV120,BV127,BV134,BV141,BV148)</f>
        <v/>
      </c>
    </row>
    <row r="10">
      <c r="A10" t="inlineStr">
        <is>
          <t>opening</t>
        </is>
      </c>
      <c r="B10" t="inlineStr">
        <is>
          <t>US_CA|NITRO_M</t>
        </is>
      </c>
      <c r="C10" s="5">
        <f>Legacy!$C$5</f>
        <v/>
      </c>
      <c r="D10" s="5">
        <f>C14</f>
        <v/>
      </c>
      <c r="E10" s="5">
        <f>D14</f>
        <v/>
      </c>
      <c r="F10" s="5">
        <f>E14</f>
        <v/>
      </c>
      <c r="G10" s="5">
        <f>F14</f>
        <v/>
      </c>
      <c r="H10" s="5">
        <f>G14</f>
        <v/>
      </c>
      <c r="I10" s="5">
        <f>H14</f>
        <v/>
      </c>
      <c r="J10" s="5">
        <f>I14</f>
        <v/>
      </c>
      <c r="K10" s="5">
        <f>J14</f>
        <v/>
      </c>
      <c r="L10" s="5">
        <f>K14</f>
        <v/>
      </c>
      <c r="M10" s="5">
        <f>L14</f>
        <v/>
      </c>
      <c r="N10" s="5">
        <f>M14</f>
        <v/>
      </c>
      <c r="O10" s="5">
        <f>N14</f>
        <v/>
      </c>
      <c r="P10" s="5">
        <f>O14</f>
        <v/>
      </c>
      <c r="Q10" s="5">
        <f>P14</f>
        <v/>
      </c>
      <c r="R10" s="5">
        <f>Q14</f>
        <v/>
      </c>
      <c r="S10" s="5">
        <f>R14</f>
        <v/>
      </c>
      <c r="T10" s="5">
        <f>S14</f>
        <v/>
      </c>
      <c r="U10" s="5">
        <f>T14</f>
        <v/>
      </c>
      <c r="V10" s="5">
        <f>U14</f>
        <v/>
      </c>
      <c r="W10" s="5">
        <f>V14</f>
        <v/>
      </c>
      <c r="X10" s="5">
        <f>W14</f>
        <v/>
      </c>
      <c r="Y10" s="5">
        <f>X14</f>
        <v/>
      </c>
      <c r="Z10" s="5">
        <f>Y14</f>
        <v/>
      </c>
      <c r="AA10" s="5">
        <f>Z14</f>
        <v/>
      </c>
      <c r="AB10" s="5">
        <f>AA14</f>
        <v/>
      </c>
      <c r="AC10" s="5">
        <f>AB14</f>
        <v/>
      </c>
      <c r="AD10" s="5">
        <f>AC14</f>
        <v/>
      </c>
      <c r="AE10" s="5">
        <f>AD14</f>
        <v/>
      </c>
      <c r="AF10" s="5">
        <f>AE14</f>
        <v/>
      </c>
      <c r="AG10" s="5">
        <f>AF14</f>
        <v/>
      </c>
      <c r="AH10" s="5">
        <f>AG14</f>
        <v/>
      </c>
      <c r="AI10" s="5">
        <f>AH14</f>
        <v/>
      </c>
      <c r="AJ10" s="5">
        <f>AI14</f>
        <v/>
      </c>
      <c r="AK10" s="5">
        <f>AJ14</f>
        <v/>
      </c>
      <c r="AL10" s="5">
        <f>AK14</f>
        <v/>
      </c>
      <c r="AM10" s="5">
        <f>AL14</f>
        <v/>
      </c>
      <c r="AN10" s="5">
        <f>AM14</f>
        <v/>
      </c>
      <c r="AO10" s="5">
        <f>AN14</f>
        <v/>
      </c>
      <c r="AP10" s="5">
        <f>AO14</f>
        <v/>
      </c>
      <c r="AQ10" s="5">
        <f>AP14</f>
        <v/>
      </c>
      <c r="AR10" s="5">
        <f>AQ14</f>
        <v/>
      </c>
      <c r="AS10" s="5">
        <f>AR14</f>
        <v/>
      </c>
      <c r="AT10" s="5">
        <f>AS14</f>
        <v/>
      </c>
      <c r="AU10" s="5">
        <f>AT14</f>
        <v/>
      </c>
      <c r="AV10" s="5">
        <f>AU14</f>
        <v/>
      </c>
      <c r="AW10" s="5">
        <f>AV14</f>
        <v/>
      </c>
      <c r="AX10" s="5">
        <f>AW14</f>
        <v/>
      </c>
      <c r="AY10" s="5">
        <f>AX14</f>
        <v/>
      </c>
      <c r="AZ10" s="5">
        <f>AY14</f>
        <v/>
      </c>
      <c r="BA10" s="5">
        <f>AZ14</f>
        <v/>
      </c>
      <c r="BB10" s="5">
        <f>BA14</f>
        <v/>
      </c>
      <c r="BC10" s="5">
        <f>BB14</f>
        <v/>
      </c>
      <c r="BD10" s="5">
        <f>BC14</f>
        <v/>
      </c>
      <c r="BE10" s="5">
        <f>BD14</f>
        <v/>
      </c>
      <c r="BF10" s="5">
        <f>BE14</f>
        <v/>
      </c>
      <c r="BG10" s="5">
        <f>BF14</f>
        <v/>
      </c>
      <c r="BH10" s="5">
        <f>BG14</f>
        <v/>
      </c>
      <c r="BI10" s="5">
        <f>BH14</f>
        <v/>
      </c>
      <c r="BJ10" s="5">
        <f>BI14</f>
        <v/>
      </c>
      <c r="BK10" s="5">
        <f>BJ14</f>
        <v/>
      </c>
      <c r="BL10" s="5">
        <f>BK14</f>
        <v/>
      </c>
      <c r="BM10" s="5">
        <f>BL14</f>
        <v/>
      </c>
      <c r="BN10" s="5">
        <f>BM14</f>
        <v/>
      </c>
      <c r="BO10" s="5">
        <f>BN14</f>
        <v/>
      </c>
      <c r="BP10" s="5">
        <f>BO14</f>
        <v/>
      </c>
      <c r="BQ10" s="5">
        <f>BP14</f>
        <v/>
      </c>
      <c r="BR10" s="5">
        <f>BQ14</f>
        <v/>
      </c>
      <c r="BS10" s="5">
        <f>BR14</f>
        <v/>
      </c>
      <c r="BT10" s="5">
        <f>BS14</f>
        <v/>
      </c>
      <c r="BU10" s="5">
        <f>BT14</f>
        <v/>
      </c>
      <c r="BV10" s="5">
        <f>BU14</f>
        <v/>
      </c>
    </row>
    <row r="11">
      <c r="A11" t="inlineStr">
        <is>
          <t>new</t>
        </is>
      </c>
      <c r="B11" t="inlineStr">
        <is>
          <t>US_CA|NITRO_M</t>
        </is>
      </c>
      <c r="C11" s="5">
        <f>Adds!C5+IF(Params!$B$7=1,Adds!C4,Adds!C8)</f>
        <v/>
      </c>
      <c r="D11" s="5">
        <f>Adds!D5+IF(Params!$B$7=1,Adds!D4,Adds!D8)</f>
        <v/>
      </c>
      <c r="E11" s="5">
        <f>Adds!E5+IF(Params!$B$7=1,Adds!E4,Adds!E8)</f>
        <v/>
      </c>
      <c r="F11" s="5">
        <f>Adds!F5+IF(Params!$B$7=1,Adds!F4,Adds!F8)</f>
        <v/>
      </c>
      <c r="G11" s="5">
        <f>Adds!G5+IF(Params!$B$7=1,Adds!G4,Adds!G8)</f>
        <v/>
      </c>
      <c r="H11" s="5">
        <f>Adds!H5+IF(Params!$B$7=1,Adds!H4,Adds!H8)</f>
        <v/>
      </c>
      <c r="I11" s="5">
        <f>Adds!I5+IF(Params!$B$7=1,Adds!I4,Adds!I8)</f>
        <v/>
      </c>
      <c r="J11" s="5">
        <f>Adds!J5+IF(Params!$B$7=1,Adds!J4,Adds!J8)</f>
        <v/>
      </c>
      <c r="K11" s="5">
        <f>Adds!K5+IF(Params!$B$7=1,Adds!K4,Adds!K8)</f>
        <v/>
      </c>
      <c r="L11" s="5">
        <f>Adds!L5+IF(Params!$B$7=1,Adds!L4,Adds!L8)</f>
        <v/>
      </c>
      <c r="M11" s="5">
        <f>Adds!M5+IF(Params!$B$7=1,Adds!M4,Adds!M8)</f>
        <v/>
      </c>
      <c r="N11" s="5">
        <f>Adds!N5+IF(Params!$B$7=1,Adds!N4,Adds!N8)</f>
        <v/>
      </c>
      <c r="O11" s="5">
        <f>Adds!O5+IF(Params!$B$7=1,Adds!O4,Adds!O8)</f>
        <v/>
      </c>
      <c r="P11" s="5">
        <f>Adds!P5+IF(Params!$B$7=1,Adds!P4,Adds!P8)</f>
        <v/>
      </c>
      <c r="Q11" s="5">
        <f>Adds!Q5+IF(Params!$B$7=1,Adds!Q4,Adds!Q8)</f>
        <v/>
      </c>
      <c r="R11" s="5">
        <f>Adds!R5+IF(Params!$B$7=1,Adds!R4,Adds!R8)</f>
        <v/>
      </c>
      <c r="S11" s="5">
        <f>Adds!S5+IF(Params!$B$7=1,Adds!S4,Adds!S8)</f>
        <v/>
      </c>
      <c r="T11" s="5">
        <f>Adds!T5+IF(Params!$B$7=1,Adds!T4,Adds!T8)</f>
        <v/>
      </c>
      <c r="U11" s="5">
        <f>Adds!U5+IF(Params!$B$7=1,Adds!U4,Adds!U8)</f>
        <v/>
      </c>
      <c r="V11" s="5">
        <f>Adds!V5+IF(Params!$B$7=1,Adds!V4,Adds!V8)</f>
        <v/>
      </c>
      <c r="W11" s="5">
        <f>Adds!W5+IF(Params!$B$7=1,Adds!W4,Adds!W8)</f>
        <v/>
      </c>
      <c r="X11" s="5">
        <f>Adds!X5+IF(Params!$B$7=1,Adds!X4,Adds!X8)</f>
        <v/>
      </c>
      <c r="Y11" s="5">
        <f>Adds!Y5+IF(Params!$B$7=1,Adds!Y4,Adds!Y8)</f>
        <v/>
      </c>
      <c r="Z11" s="5">
        <f>Adds!Z5+IF(Params!$B$7=1,Adds!Z4,Adds!Z8)</f>
        <v/>
      </c>
      <c r="AA11" s="5">
        <f>Adds!AA5+IF(Params!$B$7=1,Adds!AA4,Adds!AA8)</f>
        <v/>
      </c>
      <c r="AB11" s="5">
        <f>Adds!AB5+IF(Params!$B$7=1,Adds!AB4,Adds!AB8)</f>
        <v/>
      </c>
      <c r="AC11" s="5">
        <f>Adds!AC5+IF(Params!$B$7=1,Adds!AC4,Adds!AC8)</f>
        <v/>
      </c>
      <c r="AD11" s="5">
        <f>Adds!AD5+IF(Params!$B$7=1,Adds!AD4,Adds!AD8)</f>
        <v/>
      </c>
      <c r="AE11" s="5">
        <f>Adds!AE5+IF(Params!$B$7=1,Adds!AE4,Adds!AE8)</f>
        <v/>
      </c>
      <c r="AF11" s="5">
        <f>Adds!AF5+IF(Params!$B$7=1,Adds!AF4,Adds!AF8)</f>
        <v/>
      </c>
      <c r="AG11" s="5">
        <f>Adds!AG5+IF(Params!$B$7=1,Adds!AG4,Adds!AG8)</f>
        <v/>
      </c>
      <c r="AH11" s="5">
        <f>Adds!AH5+IF(Params!$B$7=1,Adds!AH4,Adds!AH8)</f>
        <v/>
      </c>
      <c r="AI11" s="5">
        <f>Adds!AI5+IF(Params!$B$7=1,Adds!AI4,Adds!AI8)</f>
        <v/>
      </c>
      <c r="AJ11" s="5">
        <f>Adds!AJ5+IF(Params!$B$7=1,Adds!AJ4,Adds!AJ8)</f>
        <v/>
      </c>
      <c r="AK11" s="5">
        <f>Adds!AK5+IF(Params!$B$7=1,Adds!AK4,Adds!AK8)</f>
        <v/>
      </c>
      <c r="AL11" s="5">
        <f>Adds!AL5+IF(Params!$B$7=1,Adds!AL4,Adds!AL8)</f>
        <v/>
      </c>
      <c r="AM11" s="5">
        <f>Adds!AM5+IF(Params!$B$7=1,Adds!AM4,Adds!AM8)</f>
        <v/>
      </c>
      <c r="AN11" s="5">
        <f>Adds!AN5+IF(Params!$B$7=1,Adds!AN4,Adds!AN8)</f>
        <v/>
      </c>
      <c r="AO11" s="5">
        <f>Adds!AO5+IF(Params!$B$7=1,Adds!AO4,Adds!AO8)</f>
        <v/>
      </c>
      <c r="AP11" s="5">
        <f>Adds!AP5+IF(Params!$B$7=1,Adds!AP4,Adds!AP8)</f>
        <v/>
      </c>
      <c r="AQ11" s="5">
        <f>Adds!AQ5+IF(Params!$B$7=1,Adds!AQ4,Adds!AQ8)</f>
        <v/>
      </c>
      <c r="AR11" s="5">
        <f>Adds!AR5+IF(Params!$B$7=1,Adds!AR4,Adds!AR8)</f>
        <v/>
      </c>
      <c r="AS11" s="5">
        <f>Adds!AS5+IF(Params!$B$7=1,Adds!AS4,Adds!AS8)</f>
        <v/>
      </c>
      <c r="AT11" s="5">
        <f>Adds!AT5+IF(Params!$B$7=1,Adds!AT4,Adds!AT8)</f>
        <v/>
      </c>
      <c r="AU11" s="5">
        <f>Adds!AU5+IF(Params!$B$7=1,Adds!AU4,Adds!AU8)</f>
        <v/>
      </c>
      <c r="AV11" s="5">
        <f>Adds!AV5+IF(Params!$B$7=1,Adds!AV4,Adds!AV8)</f>
        <v/>
      </c>
      <c r="AW11" s="5">
        <f>Adds!AW5+IF(Params!$B$7=1,Adds!AW4,Adds!AW8)</f>
        <v/>
      </c>
      <c r="AX11" s="5">
        <f>Adds!AX5+IF(Params!$B$7=1,Adds!AX4,Adds!AX8)</f>
        <v/>
      </c>
      <c r="AY11" s="5">
        <f>Adds!AY5+IF(Params!$B$7=1,Adds!AY4,Adds!AY8)</f>
        <v/>
      </c>
      <c r="AZ11" s="5">
        <f>Adds!AZ5+IF(Params!$B$7=1,Adds!AZ4,Adds!AZ8)</f>
        <v/>
      </c>
      <c r="BA11" s="5">
        <f>Adds!BA5+IF(Params!$B$7=1,Adds!BA4,Adds!BA8)</f>
        <v/>
      </c>
      <c r="BB11" s="5">
        <f>Adds!BB5+IF(Params!$B$7=1,Adds!BB4,Adds!BB8)</f>
        <v/>
      </c>
      <c r="BC11" s="5">
        <f>Adds!BC5+IF(Params!$B$7=1,Adds!BC4,Adds!BC8)</f>
        <v/>
      </c>
      <c r="BD11" s="5">
        <f>Adds!BD5+IF(Params!$B$7=1,Adds!BD4,Adds!BD8)</f>
        <v/>
      </c>
      <c r="BE11" s="5">
        <f>Adds!BE5+IF(Params!$B$7=1,Adds!BE4,Adds!BE8)</f>
        <v/>
      </c>
      <c r="BF11" s="5">
        <f>Adds!BF5+IF(Params!$B$7=1,Adds!BF4,Adds!BF8)</f>
        <v/>
      </c>
      <c r="BG11" s="5">
        <f>Adds!BG5+IF(Params!$B$7=1,Adds!BG4,Adds!BG8)</f>
        <v/>
      </c>
      <c r="BH11" s="5">
        <f>Adds!BH5+IF(Params!$B$7=1,Adds!BH4,Adds!BH8)</f>
        <v/>
      </c>
      <c r="BI11" s="5">
        <f>Adds!BI5+IF(Params!$B$7=1,Adds!BI4,Adds!BI8)</f>
        <v/>
      </c>
      <c r="BJ11" s="5">
        <f>Adds!BJ5+IF(Params!$B$7=1,Adds!BJ4,Adds!BJ8)</f>
        <v/>
      </c>
      <c r="BK11" s="5">
        <f>Adds!BK5+IF(Params!$B$7=1,Adds!BK4,Adds!BK8)</f>
        <v/>
      </c>
      <c r="BL11" s="5">
        <f>Adds!BL5+IF(Params!$B$7=1,Adds!BL4,Adds!BL8)</f>
        <v/>
      </c>
      <c r="BM11" s="5">
        <f>Adds!BM5+IF(Params!$B$7=1,Adds!BM4,Adds!BM8)</f>
        <v/>
      </c>
      <c r="BN11" s="5">
        <f>Adds!BN5+IF(Params!$B$7=1,Adds!BN4,Adds!BN8)</f>
        <v/>
      </c>
      <c r="BO11" s="5">
        <f>Adds!BO5+IF(Params!$B$7=1,Adds!BO4,Adds!BO8)</f>
        <v/>
      </c>
      <c r="BP11" s="5">
        <f>Adds!BP5+IF(Params!$B$7=1,Adds!BP4,Adds!BP8)</f>
        <v/>
      </c>
      <c r="BQ11" s="5">
        <f>Adds!BQ5+IF(Params!$B$7=1,Adds!BQ4,Adds!BQ8)</f>
        <v/>
      </c>
      <c r="BR11" s="5">
        <f>Adds!BR5+IF(Params!$B$7=1,Adds!BR4,Adds!BR8)</f>
        <v/>
      </c>
      <c r="BS11" s="5">
        <f>Adds!BS5+IF(Params!$B$7=1,Adds!BS4,Adds!BS8)</f>
        <v/>
      </c>
      <c r="BT11" s="5">
        <f>Adds!BT5+IF(Params!$B$7=1,Adds!BT4,Adds!BT8)</f>
        <v/>
      </c>
      <c r="BU11" s="5">
        <f>Adds!BU5+IF(Params!$B$7=1,Adds!BU4,Adds!BU8)</f>
        <v/>
      </c>
      <c r="BV11" s="5">
        <f>Adds!BV5+IF(Params!$B$7=1,Adds!BV4,Adds!BV8)</f>
        <v/>
      </c>
    </row>
    <row r="12">
      <c r="A12" t="inlineStr">
        <is>
          <t>reactivated</t>
        </is>
      </c>
      <c r="B12" t="inlineStr">
        <is>
          <t>US_CA|NITRO_M</t>
        </is>
      </c>
      <c r="C12" s="5">
        <f>React!C8</f>
        <v/>
      </c>
      <c r="D12" s="5">
        <f>React!D8</f>
        <v/>
      </c>
      <c r="E12" s="5">
        <f>React!E8</f>
        <v/>
      </c>
      <c r="F12" s="5">
        <f>React!F8</f>
        <v/>
      </c>
      <c r="G12" s="5">
        <f>React!G8</f>
        <v/>
      </c>
      <c r="H12" s="5">
        <f>React!H8</f>
        <v/>
      </c>
      <c r="I12" s="5">
        <f>React!I8</f>
        <v/>
      </c>
      <c r="J12" s="5">
        <f>React!J8</f>
        <v/>
      </c>
      <c r="K12" s="5">
        <f>React!K8</f>
        <v/>
      </c>
      <c r="L12" s="5">
        <f>React!L8</f>
        <v/>
      </c>
      <c r="M12" s="5">
        <f>React!M8</f>
        <v/>
      </c>
      <c r="N12" s="5">
        <f>React!N8</f>
        <v/>
      </c>
      <c r="O12" s="5">
        <f>React!O8</f>
        <v/>
      </c>
      <c r="P12" s="5">
        <f>React!P8</f>
        <v/>
      </c>
      <c r="Q12" s="5">
        <f>React!Q8</f>
        <v/>
      </c>
      <c r="R12" s="5">
        <f>React!R8</f>
        <v/>
      </c>
      <c r="S12" s="5">
        <f>React!S8</f>
        <v/>
      </c>
      <c r="T12" s="5">
        <f>React!T8</f>
        <v/>
      </c>
      <c r="U12" s="5">
        <f>React!U8</f>
        <v/>
      </c>
      <c r="V12" s="5">
        <f>React!V8</f>
        <v/>
      </c>
      <c r="W12" s="5">
        <f>React!W8</f>
        <v/>
      </c>
      <c r="X12" s="5">
        <f>React!X8</f>
        <v/>
      </c>
      <c r="Y12" s="5">
        <f>React!Y8</f>
        <v/>
      </c>
      <c r="Z12" s="5">
        <f>React!Z8</f>
        <v/>
      </c>
      <c r="AA12" s="5">
        <f>React!AA8</f>
        <v/>
      </c>
      <c r="AB12" s="5">
        <f>React!AB8</f>
        <v/>
      </c>
      <c r="AC12" s="5">
        <f>React!AC8</f>
        <v/>
      </c>
      <c r="AD12" s="5">
        <f>React!AD8</f>
        <v/>
      </c>
      <c r="AE12" s="5">
        <f>React!AE8</f>
        <v/>
      </c>
      <c r="AF12" s="5">
        <f>React!AF8</f>
        <v/>
      </c>
      <c r="AG12" s="5">
        <f>React!AG8</f>
        <v/>
      </c>
      <c r="AH12" s="5">
        <f>React!AH8</f>
        <v/>
      </c>
      <c r="AI12" s="5">
        <f>React!AI8</f>
        <v/>
      </c>
      <c r="AJ12" s="5">
        <f>React!AJ8</f>
        <v/>
      </c>
      <c r="AK12" s="5">
        <f>React!AK8</f>
        <v/>
      </c>
      <c r="AL12" s="5">
        <f>React!AL8</f>
        <v/>
      </c>
      <c r="AM12" s="5">
        <f>React!AM8</f>
        <v/>
      </c>
      <c r="AN12" s="5">
        <f>React!AN8</f>
        <v/>
      </c>
      <c r="AO12" s="5">
        <f>React!AO8</f>
        <v/>
      </c>
      <c r="AP12" s="5">
        <f>React!AP8</f>
        <v/>
      </c>
      <c r="AQ12" s="5">
        <f>React!AQ8</f>
        <v/>
      </c>
      <c r="AR12" s="5">
        <f>React!AR8</f>
        <v/>
      </c>
      <c r="AS12" s="5">
        <f>React!AS8</f>
        <v/>
      </c>
      <c r="AT12" s="5">
        <f>React!AT8</f>
        <v/>
      </c>
      <c r="AU12" s="5">
        <f>React!AU8</f>
        <v/>
      </c>
      <c r="AV12" s="5">
        <f>React!AV8</f>
        <v/>
      </c>
      <c r="AW12" s="5">
        <f>React!AW8</f>
        <v/>
      </c>
      <c r="AX12" s="5">
        <f>React!AX8</f>
        <v/>
      </c>
      <c r="AY12" s="5">
        <f>React!AY8</f>
        <v/>
      </c>
      <c r="AZ12" s="5">
        <f>React!AZ8</f>
        <v/>
      </c>
      <c r="BA12" s="5">
        <f>React!BA8</f>
        <v/>
      </c>
      <c r="BB12" s="5">
        <f>React!BB8</f>
        <v/>
      </c>
      <c r="BC12" s="5">
        <f>React!BC8</f>
        <v/>
      </c>
      <c r="BD12" s="5">
        <f>React!BD8</f>
        <v/>
      </c>
      <c r="BE12" s="5">
        <f>React!BE8</f>
        <v/>
      </c>
      <c r="BF12" s="5">
        <f>React!BF8</f>
        <v/>
      </c>
      <c r="BG12" s="5">
        <f>React!BG8</f>
        <v/>
      </c>
      <c r="BH12" s="5">
        <f>React!BH8</f>
        <v/>
      </c>
      <c r="BI12" s="5">
        <f>React!BI8</f>
        <v/>
      </c>
      <c r="BJ12" s="5">
        <f>React!BJ8</f>
        <v/>
      </c>
      <c r="BK12" s="5">
        <f>React!BK8</f>
        <v/>
      </c>
      <c r="BL12" s="5">
        <f>React!BL8</f>
        <v/>
      </c>
      <c r="BM12" s="5">
        <f>React!BM8</f>
        <v/>
      </c>
      <c r="BN12" s="5">
        <f>React!BN8</f>
        <v/>
      </c>
      <c r="BO12" s="5">
        <f>React!BO8</f>
        <v/>
      </c>
      <c r="BP12" s="5">
        <f>React!BP8</f>
        <v/>
      </c>
      <c r="BQ12" s="5">
        <f>React!BQ8</f>
        <v/>
      </c>
      <c r="BR12" s="5">
        <f>React!BR8</f>
        <v/>
      </c>
      <c r="BS12" s="5">
        <f>React!BS8</f>
        <v/>
      </c>
      <c r="BT12" s="5">
        <f>React!BT8</f>
        <v/>
      </c>
      <c r="BU12" s="5">
        <f>React!BU8</f>
        <v/>
      </c>
      <c r="BV12" s="5">
        <f>React!BV8</f>
        <v/>
      </c>
    </row>
    <row r="13">
      <c r="A13" t="inlineStr">
        <is>
          <t>churned</t>
        </is>
      </c>
      <c r="B13" t="inlineStr">
        <is>
          <t>US_CA|NITRO_M</t>
        </is>
      </c>
      <c r="C13" s="5">
        <f>Legacy!C7+Paid!C5+React!C14+Params!$B$7*Adds!C9</f>
        <v/>
      </c>
      <c r="D13" s="5">
        <f>Legacy!D7+Paid!D5+React!D14+Params!$B$7*Adds!D9</f>
        <v/>
      </c>
      <c r="E13" s="5">
        <f>Legacy!E7+Paid!E5+React!E14+Params!$B$7*Adds!E9</f>
        <v/>
      </c>
      <c r="F13" s="5">
        <f>Legacy!F7+Paid!F5+React!F14+Params!$B$7*Adds!F9</f>
        <v/>
      </c>
      <c r="G13" s="5">
        <f>Legacy!G7+Paid!G5+React!G14+Params!$B$7*Adds!G9</f>
        <v/>
      </c>
      <c r="H13" s="5">
        <f>Legacy!H7+Paid!H5+React!H14+Params!$B$7*Adds!H9</f>
        <v/>
      </c>
      <c r="I13" s="5">
        <f>Legacy!I7+Paid!I5+React!I14+Params!$B$7*Adds!I9</f>
        <v/>
      </c>
      <c r="J13" s="5">
        <f>Legacy!J7+Paid!J5+React!J14+Params!$B$7*Adds!J9</f>
        <v/>
      </c>
      <c r="K13" s="5">
        <f>Legacy!K7+Paid!K5+React!K14+Params!$B$7*Adds!K9</f>
        <v/>
      </c>
      <c r="L13" s="5">
        <f>Legacy!L7+Paid!L5+React!L14+Params!$B$7*Adds!L9</f>
        <v/>
      </c>
      <c r="M13" s="5">
        <f>Legacy!M7+Paid!M5+React!M14+Params!$B$7*Adds!M9</f>
        <v/>
      </c>
      <c r="N13" s="5">
        <f>Legacy!N7+Paid!N5+React!N14+Params!$B$7*Adds!N9</f>
        <v/>
      </c>
      <c r="O13" s="5">
        <f>Legacy!O7+Paid!O5+React!O14+Params!$B$7*Adds!O9</f>
        <v/>
      </c>
      <c r="P13" s="5">
        <f>Legacy!P7+Paid!P5+React!P14+Params!$B$7*Adds!P9</f>
        <v/>
      </c>
      <c r="Q13" s="5">
        <f>Legacy!Q7+Paid!Q5+React!Q14+Params!$B$7*Adds!Q9</f>
        <v/>
      </c>
      <c r="R13" s="5">
        <f>Legacy!R7+Paid!R5+React!R14+Params!$B$7*Adds!R9</f>
        <v/>
      </c>
      <c r="S13" s="5">
        <f>Legacy!S7+Paid!S5+React!S14+Params!$B$7*Adds!S9</f>
        <v/>
      </c>
      <c r="T13" s="5">
        <f>Legacy!T7+Paid!T5+React!T14+Params!$B$7*Adds!T9</f>
        <v/>
      </c>
      <c r="U13" s="5">
        <f>Legacy!U7+Paid!U5+React!U14+Params!$B$7*Adds!U9</f>
        <v/>
      </c>
      <c r="V13" s="5">
        <f>Legacy!V7+Paid!V5+React!V14+Params!$B$7*Adds!V9</f>
        <v/>
      </c>
      <c r="W13" s="5">
        <f>Legacy!W7+Paid!W5+React!W14+Params!$B$7*Adds!W9</f>
        <v/>
      </c>
      <c r="X13" s="5">
        <f>Legacy!X7+Paid!X5+React!X14+Params!$B$7*Adds!X9</f>
        <v/>
      </c>
      <c r="Y13" s="5">
        <f>Legacy!Y7+Paid!Y5+React!Y14+Params!$B$7*Adds!Y9</f>
        <v/>
      </c>
      <c r="Z13" s="5">
        <f>Legacy!Z7+Paid!Z5+React!Z14+Params!$B$7*Adds!Z9</f>
        <v/>
      </c>
      <c r="AA13" s="5">
        <f>Legacy!AA7+Paid!AA5+React!AA14+Params!$B$7*Adds!AA9</f>
        <v/>
      </c>
      <c r="AB13" s="5">
        <f>Legacy!AB7+Paid!AB5+React!AB14+Params!$B$7*Adds!AB9</f>
        <v/>
      </c>
      <c r="AC13" s="5">
        <f>Legacy!AC7+Paid!AC5+React!AC14+Params!$B$7*Adds!AC9</f>
        <v/>
      </c>
      <c r="AD13" s="5">
        <f>Legacy!AD7+Paid!AD5+React!AD14+Params!$B$7*Adds!AD9</f>
        <v/>
      </c>
      <c r="AE13" s="5">
        <f>Legacy!AE7+Paid!AE5+React!AE14+Params!$B$7*Adds!AE9</f>
        <v/>
      </c>
      <c r="AF13" s="5">
        <f>Legacy!AF7+Paid!AF5+React!AF14+Params!$B$7*Adds!AF9</f>
        <v/>
      </c>
      <c r="AG13" s="5">
        <f>Legacy!AG7+Paid!AG5+React!AG14+Params!$B$7*Adds!AG9</f>
        <v/>
      </c>
      <c r="AH13" s="5">
        <f>Legacy!AH7+Paid!AH5+React!AH14+Params!$B$7*Adds!AH9</f>
        <v/>
      </c>
      <c r="AI13" s="5">
        <f>Legacy!AI7+Paid!AI5+React!AI14+Params!$B$7*Adds!AI9</f>
        <v/>
      </c>
      <c r="AJ13" s="5">
        <f>Legacy!AJ7+Paid!AJ5+React!AJ14+Params!$B$7*Adds!AJ9</f>
        <v/>
      </c>
      <c r="AK13" s="5">
        <f>Legacy!AK7+Paid!AK5+React!AK14+Params!$B$7*Adds!AK9</f>
        <v/>
      </c>
      <c r="AL13" s="5">
        <f>Legacy!AL7+Paid!AL5+React!AL14+Params!$B$7*Adds!AL9</f>
        <v/>
      </c>
      <c r="AM13" s="5">
        <f>Legacy!AM7+Paid!AM5+React!AM14+Params!$B$7*Adds!AM9</f>
        <v/>
      </c>
      <c r="AN13" s="5">
        <f>Legacy!AN7+Paid!AN5+React!AN14+Params!$B$7*Adds!AN9</f>
        <v/>
      </c>
      <c r="AO13" s="5">
        <f>Legacy!AO7+Paid!AO5+React!AO14+Params!$B$7*Adds!AO9</f>
        <v/>
      </c>
      <c r="AP13" s="5">
        <f>Legacy!AP7+Paid!AP5+React!AP14+Params!$B$7*Adds!AP9</f>
        <v/>
      </c>
      <c r="AQ13" s="5">
        <f>Legacy!AQ7+Paid!AQ5+React!AQ14+Params!$B$7*Adds!AQ9</f>
        <v/>
      </c>
      <c r="AR13" s="5">
        <f>Legacy!AR7+Paid!AR5+React!AR14+Params!$B$7*Adds!AR9</f>
        <v/>
      </c>
      <c r="AS13" s="5">
        <f>Legacy!AS7+Paid!AS5+React!AS14+Params!$B$7*Adds!AS9</f>
        <v/>
      </c>
      <c r="AT13" s="5">
        <f>Legacy!AT7+Paid!AT5+React!AT14+Params!$B$7*Adds!AT9</f>
        <v/>
      </c>
      <c r="AU13" s="5">
        <f>Legacy!AU7+Paid!AU5+React!AU14+Params!$B$7*Adds!AU9</f>
        <v/>
      </c>
      <c r="AV13" s="5">
        <f>Legacy!AV7+Paid!AV5+React!AV14+Params!$B$7*Adds!AV9</f>
        <v/>
      </c>
      <c r="AW13" s="5">
        <f>Legacy!AW7+Paid!AW5+React!AW14+Params!$B$7*Adds!AW9</f>
        <v/>
      </c>
      <c r="AX13" s="5">
        <f>Legacy!AX7+Paid!AX5+React!AX14+Params!$B$7*Adds!AX9</f>
        <v/>
      </c>
      <c r="AY13" s="5">
        <f>Legacy!AY7+Paid!AY5+React!AY14+Params!$B$7*Adds!AY9</f>
        <v/>
      </c>
      <c r="AZ13" s="5">
        <f>Legacy!AZ7+Paid!AZ5+React!AZ14+Params!$B$7*Adds!AZ9</f>
        <v/>
      </c>
      <c r="BA13" s="5">
        <f>Legacy!BA7+Paid!BA5+React!BA14+Params!$B$7*Adds!BA9</f>
        <v/>
      </c>
      <c r="BB13" s="5">
        <f>Legacy!BB7+Paid!BB5+React!BB14+Params!$B$7*Adds!BB9</f>
        <v/>
      </c>
      <c r="BC13" s="5">
        <f>Legacy!BC7+Paid!BC5+React!BC14+Params!$B$7*Adds!BC9</f>
        <v/>
      </c>
      <c r="BD13" s="5">
        <f>Legacy!BD7+Paid!BD5+React!BD14+Params!$B$7*Adds!BD9</f>
        <v/>
      </c>
      <c r="BE13" s="5">
        <f>Legacy!BE7+Paid!BE5+React!BE14+Params!$B$7*Adds!BE9</f>
        <v/>
      </c>
      <c r="BF13" s="5">
        <f>Legacy!BF7+Paid!BF5+React!BF14+Params!$B$7*Adds!BF9</f>
        <v/>
      </c>
      <c r="BG13" s="5">
        <f>Legacy!BG7+Paid!BG5+React!BG14+Params!$B$7*Adds!BG9</f>
        <v/>
      </c>
      <c r="BH13" s="5">
        <f>Legacy!BH7+Paid!BH5+React!BH14+Params!$B$7*Adds!BH9</f>
        <v/>
      </c>
      <c r="BI13" s="5">
        <f>Legacy!BI7+Paid!BI5+React!BI14+Params!$B$7*Adds!BI9</f>
        <v/>
      </c>
      <c r="BJ13" s="5">
        <f>Legacy!BJ7+Paid!BJ5+React!BJ14+Params!$B$7*Adds!BJ9</f>
        <v/>
      </c>
      <c r="BK13" s="5">
        <f>Legacy!BK7+Paid!BK5+React!BK14+Params!$B$7*Adds!BK9</f>
        <v/>
      </c>
      <c r="BL13" s="5">
        <f>Legacy!BL7+Paid!BL5+React!BL14+Params!$B$7*Adds!BL9</f>
        <v/>
      </c>
      <c r="BM13" s="5">
        <f>Legacy!BM7+Paid!BM5+React!BM14+Params!$B$7*Adds!BM9</f>
        <v/>
      </c>
      <c r="BN13" s="5">
        <f>Legacy!BN7+Paid!BN5+React!BN14+Params!$B$7*Adds!BN9</f>
        <v/>
      </c>
      <c r="BO13" s="5">
        <f>Legacy!BO7+Paid!BO5+React!BO14+Params!$B$7*Adds!BO9</f>
        <v/>
      </c>
      <c r="BP13" s="5">
        <f>Legacy!BP7+Paid!BP5+React!BP14+Params!$B$7*Adds!BP9</f>
        <v/>
      </c>
      <c r="BQ13" s="5">
        <f>Legacy!BQ7+Paid!BQ5+React!BQ14+Params!$B$7*Adds!BQ9</f>
        <v/>
      </c>
      <c r="BR13" s="5">
        <f>Legacy!BR7+Paid!BR5+React!BR14+Params!$B$7*Adds!BR9</f>
        <v/>
      </c>
      <c r="BS13" s="5">
        <f>Legacy!BS7+Paid!BS5+React!BS14+Params!$B$7*Adds!BS9</f>
        <v/>
      </c>
      <c r="BT13" s="5">
        <f>Legacy!BT7+Paid!BT5+React!BT14+Params!$B$7*Adds!BT9</f>
        <v/>
      </c>
      <c r="BU13" s="5">
        <f>Legacy!BU7+Paid!BU5+React!BU14+Params!$B$7*Adds!BU9</f>
        <v/>
      </c>
      <c r="BV13" s="5">
        <f>Legacy!BV7+Paid!BV5+React!BV14+Params!$B$7*Adds!BV9</f>
        <v/>
      </c>
    </row>
    <row r="14">
      <c r="A14" t="inlineStr">
        <is>
          <t>closing</t>
        </is>
      </c>
      <c r="B14" t="inlineStr">
        <is>
          <t>US_CA|NITRO_M</t>
        </is>
      </c>
      <c r="C14" s="5">
        <f>C15+Params!$B$7*Adds!C12</f>
        <v/>
      </c>
      <c r="D14" s="5">
        <f>D15+Params!$B$7*Adds!D12</f>
        <v/>
      </c>
      <c r="E14" s="5">
        <f>E15+Params!$B$7*Adds!E12</f>
        <v/>
      </c>
      <c r="F14" s="5">
        <f>F15+Params!$B$7*Adds!F12</f>
        <v/>
      </c>
      <c r="G14" s="5">
        <f>G15+Params!$B$7*Adds!G12</f>
        <v/>
      </c>
      <c r="H14" s="5">
        <f>H15+Params!$B$7*Adds!H12</f>
        <v/>
      </c>
      <c r="I14" s="5">
        <f>I15+Params!$B$7*Adds!I12</f>
        <v/>
      </c>
      <c r="J14" s="5">
        <f>J15+Params!$B$7*Adds!J12</f>
        <v/>
      </c>
      <c r="K14" s="5">
        <f>K15+Params!$B$7*Adds!K12</f>
        <v/>
      </c>
      <c r="L14" s="5">
        <f>L15+Params!$B$7*Adds!L12</f>
        <v/>
      </c>
      <c r="M14" s="5">
        <f>M15+Params!$B$7*Adds!M12</f>
        <v/>
      </c>
      <c r="N14" s="5">
        <f>N15+Params!$B$7*Adds!N12</f>
        <v/>
      </c>
      <c r="O14" s="5">
        <f>O15+Params!$B$7*Adds!O12</f>
        <v/>
      </c>
      <c r="P14" s="5">
        <f>P15+Params!$B$7*Adds!P12</f>
        <v/>
      </c>
      <c r="Q14" s="5">
        <f>Q15+Params!$B$7*Adds!Q12</f>
        <v/>
      </c>
      <c r="R14" s="5">
        <f>R15+Params!$B$7*Adds!R12</f>
        <v/>
      </c>
      <c r="S14" s="5">
        <f>S15+Params!$B$7*Adds!S12</f>
        <v/>
      </c>
      <c r="T14" s="5">
        <f>T15+Params!$B$7*Adds!T12</f>
        <v/>
      </c>
      <c r="U14" s="5">
        <f>U15+Params!$B$7*Adds!U12</f>
        <v/>
      </c>
      <c r="V14" s="5">
        <f>V15+Params!$B$7*Adds!V12</f>
        <v/>
      </c>
      <c r="W14" s="5">
        <f>W15+Params!$B$7*Adds!W12</f>
        <v/>
      </c>
      <c r="X14" s="5">
        <f>X15+Params!$B$7*Adds!X12</f>
        <v/>
      </c>
      <c r="Y14" s="5">
        <f>Y15+Params!$B$7*Adds!Y12</f>
        <v/>
      </c>
      <c r="Z14" s="5">
        <f>Z15+Params!$B$7*Adds!Z12</f>
        <v/>
      </c>
      <c r="AA14" s="5">
        <f>AA15+Params!$B$7*Adds!AA12</f>
        <v/>
      </c>
      <c r="AB14" s="5">
        <f>AB15+Params!$B$7*Adds!AB12</f>
        <v/>
      </c>
      <c r="AC14" s="5">
        <f>AC15+Params!$B$7*Adds!AC12</f>
        <v/>
      </c>
      <c r="AD14" s="5">
        <f>AD15+Params!$B$7*Adds!AD12</f>
        <v/>
      </c>
      <c r="AE14" s="5">
        <f>AE15+Params!$B$7*Adds!AE12</f>
        <v/>
      </c>
      <c r="AF14" s="5">
        <f>AF15+Params!$B$7*Adds!AF12</f>
        <v/>
      </c>
      <c r="AG14" s="5">
        <f>AG15+Params!$B$7*Adds!AG12</f>
        <v/>
      </c>
      <c r="AH14" s="5">
        <f>AH15+Params!$B$7*Adds!AH12</f>
        <v/>
      </c>
      <c r="AI14" s="5">
        <f>AI15+Params!$B$7*Adds!AI12</f>
        <v/>
      </c>
      <c r="AJ14" s="5">
        <f>AJ15+Params!$B$7*Adds!AJ12</f>
        <v/>
      </c>
      <c r="AK14" s="5">
        <f>AK15+Params!$B$7*Adds!AK12</f>
        <v/>
      </c>
      <c r="AL14" s="5">
        <f>AL15+Params!$B$7*Adds!AL12</f>
        <v/>
      </c>
      <c r="AM14" s="5">
        <f>AM15+Params!$B$7*Adds!AM12</f>
        <v/>
      </c>
      <c r="AN14" s="5">
        <f>AN15+Params!$B$7*Adds!AN12</f>
        <v/>
      </c>
      <c r="AO14" s="5">
        <f>AO15+Params!$B$7*Adds!AO12</f>
        <v/>
      </c>
      <c r="AP14" s="5">
        <f>AP15+Params!$B$7*Adds!AP12</f>
        <v/>
      </c>
      <c r="AQ14" s="5">
        <f>AQ15+Params!$B$7*Adds!AQ12</f>
        <v/>
      </c>
      <c r="AR14" s="5">
        <f>AR15+Params!$B$7*Adds!AR12</f>
        <v/>
      </c>
      <c r="AS14" s="5">
        <f>AS15+Params!$B$7*Adds!AS12</f>
        <v/>
      </c>
      <c r="AT14" s="5">
        <f>AT15+Params!$B$7*Adds!AT12</f>
        <v/>
      </c>
      <c r="AU14" s="5">
        <f>AU15+Params!$B$7*Adds!AU12</f>
        <v/>
      </c>
      <c r="AV14" s="5">
        <f>AV15+Params!$B$7*Adds!AV12</f>
        <v/>
      </c>
      <c r="AW14" s="5">
        <f>AW15+Params!$B$7*Adds!AW12</f>
        <v/>
      </c>
      <c r="AX14" s="5">
        <f>AX15+Params!$B$7*Adds!AX12</f>
        <v/>
      </c>
      <c r="AY14" s="5">
        <f>AY15+Params!$B$7*Adds!AY12</f>
        <v/>
      </c>
      <c r="AZ14" s="5">
        <f>AZ15+Params!$B$7*Adds!AZ12</f>
        <v/>
      </c>
      <c r="BA14" s="5">
        <f>BA15+Params!$B$7*Adds!BA12</f>
        <v/>
      </c>
      <c r="BB14" s="5">
        <f>BB15+Params!$B$7*Adds!BB12</f>
        <v/>
      </c>
      <c r="BC14" s="5">
        <f>BC15+Params!$B$7*Adds!BC12</f>
        <v/>
      </c>
      <c r="BD14" s="5">
        <f>BD15+Params!$B$7*Adds!BD12</f>
        <v/>
      </c>
      <c r="BE14" s="5">
        <f>BE15+Params!$B$7*Adds!BE12</f>
        <v/>
      </c>
      <c r="BF14" s="5">
        <f>BF15+Params!$B$7*Adds!BF12</f>
        <v/>
      </c>
      <c r="BG14" s="5">
        <f>BG15+Params!$B$7*Adds!BG12</f>
        <v/>
      </c>
      <c r="BH14" s="5">
        <f>BH15+Params!$B$7*Adds!BH12</f>
        <v/>
      </c>
      <c r="BI14" s="5">
        <f>BI15+Params!$B$7*Adds!BI12</f>
        <v/>
      </c>
      <c r="BJ14" s="5">
        <f>BJ15+Params!$B$7*Adds!BJ12</f>
        <v/>
      </c>
      <c r="BK14" s="5">
        <f>BK15+Params!$B$7*Adds!BK12</f>
        <v/>
      </c>
      <c r="BL14" s="5">
        <f>BL15+Params!$B$7*Adds!BL12</f>
        <v/>
      </c>
      <c r="BM14" s="5">
        <f>BM15+Params!$B$7*Adds!BM12</f>
        <v/>
      </c>
      <c r="BN14" s="5">
        <f>BN15+Params!$B$7*Adds!BN12</f>
        <v/>
      </c>
      <c r="BO14" s="5">
        <f>BO15+Params!$B$7*Adds!BO12</f>
        <v/>
      </c>
      <c r="BP14" s="5">
        <f>BP15+Params!$B$7*Adds!BP12</f>
        <v/>
      </c>
      <c r="BQ14" s="5">
        <f>BQ15+Params!$B$7*Adds!BQ12</f>
        <v/>
      </c>
      <c r="BR14" s="5">
        <f>BR15+Params!$B$7*Adds!BR12</f>
        <v/>
      </c>
      <c r="BS14" s="5">
        <f>BS15+Params!$B$7*Adds!BS12</f>
        <v/>
      </c>
      <c r="BT14" s="5">
        <f>BT15+Params!$B$7*Adds!BT12</f>
        <v/>
      </c>
      <c r="BU14" s="5">
        <f>BU15+Params!$B$7*Adds!BU12</f>
        <v/>
      </c>
      <c r="BV14" s="5">
        <f>BV15+Params!$B$7*Adds!BV12</f>
        <v/>
      </c>
    </row>
    <row r="15">
      <c r="A15" t="inlineStr">
        <is>
          <t>paying</t>
        </is>
      </c>
      <c r="B15" t="inlineStr">
        <is>
          <t>US_CA|NITRO_M</t>
        </is>
      </c>
      <c r="C15" s="5">
        <f>Legacy!C6+Paid!C3+React!C12</f>
        <v/>
      </c>
      <c r="D15" s="5">
        <f>Legacy!D6+Paid!D3+React!D12</f>
        <v/>
      </c>
      <c r="E15" s="5">
        <f>Legacy!E6+Paid!E3+React!E12</f>
        <v/>
      </c>
      <c r="F15" s="5">
        <f>Legacy!F6+Paid!F3+React!F12</f>
        <v/>
      </c>
      <c r="G15" s="5">
        <f>Legacy!G6+Paid!G3+React!G12</f>
        <v/>
      </c>
      <c r="H15" s="5">
        <f>Legacy!H6+Paid!H3+React!H12</f>
        <v/>
      </c>
      <c r="I15" s="5">
        <f>Legacy!I6+Paid!I3+React!I12</f>
        <v/>
      </c>
      <c r="J15" s="5">
        <f>Legacy!J6+Paid!J3+React!J12</f>
        <v/>
      </c>
      <c r="K15" s="5">
        <f>Legacy!K6+Paid!K3+React!K12</f>
        <v/>
      </c>
      <c r="L15" s="5">
        <f>Legacy!L6+Paid!L3+React!L12</f>
        <v/>
      </c>
      <c r="M15" s="5">
        <f>Legacy!M6+Paid!M3+React!M12</f>
        <v/>
      </c>
      <c r="N15" s="5">
        <f>Legacy!N6+Paid!N3+React!N12</f>
        <v/>
      </c>
      <c r="O15" s="5">
        <f>Legacy!O6+Paid!O3+React!O12</f>
        <v/>
      </c>
      <c r="P15" s="5">
        <f>Legacy!P6+Paid!P3+React!P12</f>
        <v/>
      </c>
      <c r="Q15" s="5">
        <f>Legacy!Q6+Paid!Q3+React!Q12</f>
        <v/>
      </c>
      <c r="R15" s="5">
        <f>Legacy!R6+Paid!R3+React!R12</f>
        <v/>
      </c>
      <c r="S15" s="5">
        <f>Legacy!S6+Paid!S3+React!S12</f>
        <v/>
      </c>
      <c r="T15" s="5">
        <f>Legacy!T6+Paid!T3+React!T12</f>
        <v/>
      </c>
      <c r="U15" s="5">
        <f>Legacy!U6+Paid!U3+React!U12</f>
        <v/>
      </c>
      <c r="V15" s="5">
        <f>Legacy!V6+Paid!V3+React!V12</f>
        <v/>
      </c>
      <c r="W15" s="5">
        <f>Legacy!W6+Paid!W3+React!W12</f>
        <v/>
      </c>
      <c r="X15" s="5">
        <f>Legacy!X6+Paid!X3+React!X12</f>
        <v/>
      </c>
      <c r="Y15" s="5">
        <f>Legacy!Y6+Paid!Y3+React!Y12</f>
        <v/>
      </c>
      <c r="Z15" s="5">
        <f>Legacy!Z6+Paid!Z3+React!Z12</f>
        <v/>
      </c>
      <c r="AA15" s="5">
        <f>Legacy!AA6+Paid!AA3+React!AA12</f>
        <v/>
      </c>
      <c r="AB15" s="5">
        <f>Legacy!AB6+Paid!AB3+React!AB12</f>
        <v/>
      </c>
      <c r="AC15" s="5">
        <f>Legacy!AC6+Paid!AC3+React!AC12</f>
        <v/>
      </c>
      <c r="AD15" s="5">
        <f>Legacy!AD6+Paid!AD3+React!AD12</f>
        <v/>
      </c>
      <c r="AE15" s="5">
        <f>Legacy!AE6+Paid!AE3+React!AE12</f>
        <v/>
      </c>
      <c r="AF15" s="5">
        <f>Legacy!AF6+Paid!AF3+React!AF12</f>
        <v/>
      </c>
      <c r="AG15" s="5">
        <f>Legacy!AG6+Paid!AG3+React!AG12</f>
        <v/>
      </c>
      <c r="AH15" s="5">
        <f>Legacy!AH6+Paid!AH3+React!AH12</f>
        <v/>
      </c>
      <c r="AI15" s="5">
        <f>Legacy!AI6+Paid!AI3+React!AI12</f>
        <v/>
      </c>
      <c r="AJ15" s="5">
        <f>Legacy!AJ6+Paid!AJ3+React!AJ12</f>
        <v/>
      </c>
      <c r="AK15" s="5">
        <f>Legacy!AK6+Paid!AK3+React!AK12</f>
        <v/>
      </c>
      <c r="AL15" s="5">
        <f>Legacy!AL6+Paid!AL3+React!AL12</f>
        <v/>
      </c>
      <c r="AM15" s="5">
        <f>Legacy!AM6+Paid!AM3+React!AM12</f>
        <v/>
      </c>
      <c r="AN15" s="5">
        <f>Legacy!AN6+Paid!AN3+React!AN12</f>
        <v/>
      </c>
      <c r="AO15" s="5">
        <f>Legacy!AO6+Paid!AO3+React!AO12</f>
        <v/>
      </c>
      <c r="AP15" s="5">
        <f>Legacy!AP6+Paid!AP3+React!AP12</f>
        <v/>
      </c>
      <c r="AQ15" s="5">
        <f>Legacy!AQ6+Paid!AQ3+React!AQ12</f>
        <v/>
      </c>
      <c r="AR15" s="5">
        <f>Legacy!AR6+Paid!AR3+React!AR12</f>
        <v/>
      </c>
      <c r="AS15" s="5">
        <f>Legacy!AS6+Paid!AS3+React!AS12</f>
        <v/>
      </c>
      <c r="AT15" s="5">
        <f>Legacy!AT6+Paid!AT3+React!AT12</f>
        <v/>
      </c>
      <c r="AU15" s="5">
        <f>Legacy!AU6+Paid!AU3+React!AU12</f>
        <v/>
      </c>
      <c r="AV15" s="5">
        <f>Legacy!AV6+Paid!AV3+React!AV12</f>
        <v/>
      </c>
      <c r="AW15" s="5">
        <f>Legacy!AW6+Paid!AW3+React!AW12</f>
        <v/>
      </c>
      <c r="AX15" s="5">
        <f>Legacy!AX6+Paid!AX3+React!AX12</f>
        <v/>
      </c>
      <c r="AY15" s="5">
        <f>Legacy!AY6+Paid!AY3+React!AY12</f>
        <v/>
      </c>
      <c r="AZ15" s="5">
        <f>Legacy!AZ6+Paid!AZ3+React!AZ12</f>
        <v/>
      </c>
      <c r="BA15" s="5">
        <f>Legacy!BA6+Paid!BA3+React!BA12</f>
        <v/>
      </c>
      <c r="BB15" s="5">
        <f>Legacy!BB6+Paid!BB3+React!BB12</f>
        <v/>
      </c>
      <c r="BC15" s="5">
        <f>Legacy!BC6+Paid!BC3+React!BC12</f>
        <v/>
      </c>
      <c r="BD15" s="5">
        <f>Legacy!BD6+Paid!BD3+React!BD12</f>
        <v/>
      </c>
      <c r="BE15" s="5">
        <f>Legacy!BE6+Paid!BE3+React!BE12</f>
        <v/>
      </c>
      <c r="BF15" s="5">
        <f>Legacy!BF6+Paid!BF3+React!BF12</f>
        <v/>
      </c>
      <c r="BG15" s="5">
        <f>Legacy!BG6+Paid!BG3+React!BG12</f>
        <v/>
      </c>
      <c r="BH15" s="5">
        <f>Legacy!BH6+Paid!BH3+React!BH12</f>
        <v/>
      </c>
      <c r="BI15" s="5">
        <f>Legacy!BI6+Paid!BI3+React!BI12</f>
        <v/>
      </c>
      <c r="BJ15" s="5">
        <f>Legacy!BJ6+Paid!BJ3+React!BJ12</f>
        <v/>
      </c>
      <c r="BK15" s="5">
        <f>Legacy!BK6+Paid!BK3+React!BK12</f>
        <v/>
      </c>
      <c r="BL15" s="5">
        <f>Legacy!BL6+Paid!BL3+React!BL12</f>
        <v/>
      </c>
      <c r="BM15" s="5">
        <f>Legacy!BM6+Paid!BM3+React!BM12</f>
        <v/>
      </c>
      <c r="BN15" s="5">
        <f>Legacy!BN6+Paid!BN3+React!BN12</f>
        <v/>
      </c>
      <c r="BO15" s="5">
        <f>Legacy!BO6+Paid!BO3+React!BO12</f>
        <v/>
      </c>
      <c r="BP15" s="5">
        <f>Legacy!BP6+Paid!BP3+React!BP12</f>
        <v/>
      </c>
      <c r="BQ15" s="5">
        <f>Legacy!BQ6+Paid!BQ3+React!BQ12</f>
        <v/>
      </c>
      <c r="BR15" s="5">
        <f>Legacy!BR6+Paid!BR3+React!BR12</f>
        <v/>
      </c>
      <c r="BS15" s="5">
        <f>Legacy!BS6+Paid!BS3+React!BS12</f>
        <v/>
      </c>
      <c r="BT15" s="5">
        <f>Legacy!BT6+Paid!BT3+React!BT12</f>
        <v/>
      </c>
      <c r="BU15" s="5">
        <f>Legacy!BU6+Paid!BU3+React!BU12</f>
        <v/>
      </c>
      <c r="BV15" s="5">
        <f>Legacy!BV6+Paid!BV3+React!BV12</f>
        <v/>
      </c>
    </row>
    <row r="17">
      <c r="A17" t="inlineStr">
        <is>
          <t>opening</t>
        </is>
      </c>
      <c r="B17" t="inlineStr">
        <is>
          <t>US_CA|NITRO_A</t>
        </is>
      </c>
      <c r="C17" s="5">
        <f>Legacy!$C$9</f>
        <v/>
      </c>
      <c r="D17" s="5">
        <f>C21</f>
        <v/>
      </c>
      <c r="E17" s="5">
        <f>D21</f>
        <v/>
      </c>
      <c r="F17" s="5">
        <f>E21</f>
        <v/>
      </c>
      <c r="G17" s="5">
        <f>F21</f>
        <v/>
      </c>
      <c r="H17" s="5">
        <f>G21</f>
        <v/>
      </c>
      <c r="I17" s="5">
        <f>H21</f>
        <v/>
      </c>
      <c r="J17" s="5">
        <f>I21</f>
        <v/>
      </c>
      <c r="K17" s="5">
        <f>J21</f>
        <v/>
      </c>
      <c r="L17" s="5">
        <f>K21</f>
        <v/>
      </c>
      <c r="M17" s="5">
        <f>L21</f>
        <v/>
      </c>
      <c r="N17" s="5">
        <f>M21</f>
        <v/>
      </c>
      <c r="O17" s="5">
        <f>N21</f>
        <v/>
      </c>
      <c r="P17" s="5">
        <f>O21</f>
        <v/>
      </c>
      <c r="Q17" s="5">
        <f>P21</f>
        <v/>
      </c>
      <c r="R17" s="5">
        <f>Q21</f>
        <v/>
      </c>
      <c r="S17" s="5">
        <f>R21</f>
        <v/>
      </c>
      <c r="T17" s="5">
        <f>S21</f>
        <v/>
      </c>
      <c r="U17" s="5">
        <f>T21</f>
        <v/>
      </c>
      <c r="V17" s="5">
        <f>U21</f>
        <v/>
      </c>
      <c r="W17" s="5">
        <f>V21</f>
        <v/>
      </c>
      <c r="X17" s="5">
        <f>W21</f>
        <v/>
      </c>
      <c r="Y17" s="5">
        <f>X21</f>
        <v/>
      </c>
      <c r="Z17" s="5">
        <f>Y21</f>
        <v/>
      </c>
      <c r="AA17" s="5">
        <f>Z21</f>
        <v/>
      </c>
      <c r="AB17" s="5">
        <f>AA21</f>
        <v/>
      </c>
      <c r="AC17" s="5">
        <f>AB21</f>
        <v/>
      </c>
      <c r="AD17" s="5">
        <f>AC21</f>
        <v/>
      </c>
      <c r="AE17" s="5">
        <f>AD21</f>
        <v/>
      </c>
      <c r="AF17" s="5">
        <f>AE21</f>
        <v/>
      </c>
      <c r="AG17" s="5">
        <f>AF21</f>
        <v/>
      </c>
      <c r="AH17" s="5">
        <f>AG21</f>
        <v/>
      </c>
      <c r="AI17" s="5">
        <f>AH21</f>
        <v/>
      </c>
      <c r="AJ17" s="5">
        <f>AI21</f>
        <v/>
      </c>
      <c r="AK17" s="5">
        <f>AJ21</f>
        <v/>
      </c>
      <c r="AL17" s="5">
        <f>AK21</f>
        <v/>
      </c>
      <c r="AM17" s="5">
        <f>AL21</f>
        <v/>
      </c>
      <c r="AN17" s="5">
        <f>AM21</f>
        <v/>
      </c>
      <c r="AO17" s="5">
        <f>AN21</f>
        <v/>
      </c>
      <c r="AP17" s="5">
        <f>AO21</f>
        <v/>
      </c>
      <c r="AQ17" s="5">
        <f>AP21</f>
        <v/>
      </c>
      <c r="AR17" s="5">
        <f>AQ21</f>
        <v/>
      </c>
      <c r="AS17" s="5">
        <f>AR21</f>
        <v/>
      </c>
      <c r="AT17" s="5">
        <f>AS21</f>
        <v/>
      </c>
      <c r="AU17" s="5">
        <f>AT21</f>
        <v/>
      </c>
      <c r="AV17" s="5">
        <f>AU21</f>
        <v/>
      </c>
      <c r="AW17" s="5">
        <f>AV21</f>
        <v/>
      </c>
      <c r="AX17" s="5">
        <f>AW21</f>
        <v/>
      </c>
      <c r="AY17" s="5">
        <f>AX21</f>
        <v/>
      </c>
      <c r="AZ17" s="5">
        <f>AY21</f>
        <v/>
      </c>
      <c r="BA17" s="5">
        <f>AZ21</f>
        <v/>
      </c>
      <c r="BB17" s="5">
        <f>BA21</f>
        <v/>
      </c>
      <c r="BC17" s="5">
        <f>BB21</f>
        <v/>
      </c>
      <c r="BD17" s="5">
        <f>BC21</f>
        <v/>
      </c>
      <c r="BE17" s="5">
        <f>BD21</f>
        <v/>
      </c>
      <c r="BF17" s="5">
        <f>BE21</f>
        <v/>
      </c>
      <c r="BG17" s="5">
        <f>BF21</f>
        <v/>
      </c>
      <c r="BH17" s="5">
        <f>BG21</f>
        <v/>
      </c>
      <c r="BI17" s="5">
        <f>BH21</f>
        <v/>
      </c>
      <c r="BJ17" s="5">
        <f>BI21</f>
        <v/>
      </c>
      <c r="BK17" s="5">
        <f>BJ21</f>
        <v/>
      </c>
      <c r="BL17" s="5">
        <f>BK21</f>
        <v/>
      </c>
      <c r="BM17" s="5">
        <f>BL21</f>
        <v/>
      </c>
      <c r="BN17" s="5">
        <f>BM21</f>
        <v/>
      </c>
      <c r="BO17" s="5">
        <f>BN21</f>
        <v/>
      </c>
      <c r="BP17" s="5">
        <f>BO21</f>
        <v/>
      </c>
      <c r="BQ17" s="5">
        <f>BP21</f>
        <v/>
      </c>
      <c r="BR17" s="5">
        <f>BQ21</f>
        <v/>
      </c>
      <c r="BS17" s="5">
        <f>BR21</f>
        <v/>
      </c>
      <c r="BT17" s="5">
        <f>BS21</f>
        <v/>
      </c>
      <c r="BU17" s="5">
        <f>BT21</f>
        <v/>
      </c>
      <c r="BV17" s="5">
        <f>BU21</f>
        <v/>
      </c>
    </row>
    <row r="18">
      <c r="A18" t="inlineStr">
        <is>
          <t>new</t>
        </is>
      </c>
      <c r="B18" t="inlineStr">
        <is>
          <t>US_CA|NITRO_A</t>
        </is>
      </c>
      <c r="C18" s="5">
        <f>Adds!C20+IF(Params!$B$7=1,Adds!C19,Adds!C23)</f>
        <v/>
      </c>
      <c r="D18" s="5">
        <f>Adds!D20+IF(Params!$B$7=1,Adds!D19,Adds!D23)</f>
        <v/>
      </c>
      <c r="E18" s="5">
        <f>Adds!E20+IF(Params!$B$7=1,Adds!E19,Adds!E23)</f>
        <v/>
      </c>
      <c r="F18" s="5">
        <f>Adds!F20+IF(Params!$B$7=1,Adds!F19,Adds!F23)</f>
        <v/>
      </c>
      <c r="G18" s="5">
        <f>Adds!G20+IF(Params!$B$7=1,Adds!G19,Adds!G23)</f>
        <v/>
      </c>
      <c r="H18" s="5">
        <f>Adds!H20+IF(Params!$B$7=1,Adds!H19,Adds!H23)</f>
        <v/>
      </c>
      <c r="I18" s="5">
        <f>Adds!I20+IF(Params!$B$7=1,Adds!I19,Adds!I23)</f>
        <v/>
      </c>
      <c r="J18" s="5">
        <f>Adds!J20+IF(Params!$B$7=1,Adds!J19,Adds!J23)</f>
        <v/>
      </c>
      <c r="K18" s="5">
        <f>Adds!K20+IF(Params!$B$7=1,Adds!K19,Adds!K23)</f>
        <v/>
      </c>
      <c r="L18" s="5">
        <f>Adds!L20+IF(Params!$B$7=1,Adds!L19,Adds!L23)</f>
        <v/>
      </c>
      <c r="M18" s="5">
        <f>Adds!M20+IF(Params!$B$7=1,Adds!M19,Adds!M23)</f>
        <v/>
      </c>
      <c r="N18" s="5">
        <f>Adds!N20+IF(Params!$B$7=1,Adds!N19,Adds!N23)</f>
        <v/>
      </c>
      <c r="O18" s="5">
        <f>Adds!O20+IF(Params!$B$7=1,Adds!O19,Adds!O23)</f>
        <v/>
      </c>
      <c r="P18" s="5">
        <f>Adds!P20+IF(Params!$B$7=1,Adds!P19,Adds!P23)</f>
        <v/>
      </c>
      <c r="Q18" s="5">
        <f>Adds!Q20+IF(Params!$B$7=1,Adds!Q19,Adds!Q23)</f>
        <v/>
      </c>
      <c r="R18" s="5">
        <f>Adds!R20+IF(Params!$B$7=1,Adds!R19,Adds!R23)</f>
        <v/>
      </c>
      <c r="S18" s="5">
        <f>Adds!S20+IF(Params!$B$7=1,Adds!S19,Adds!S23)</f>
        <v/>
      </c>
      <c r="T18" s="5">
        <f>Adds!T20+IF(Params!$B$7=1,Adds!T19,Adds!T23)</f>
        <v/>
      </c>
      <c r="U18" s="5">
        <f>Adds!U20+IF(Params!$B$7=1,Adds!U19,Adds!U23)</f>
        <v/>
      </c>
      <c r="V18" s="5">
        <f>Adds!V20+IF(Params!$B$7=1,Adds!V19,Adds!V23)</f>
        <v/>
      </c>
      <c r="W18" s="5">
        <f>Adds!W20+IF(Params!$B$7=1,Adds!W19,Adds!W23)</f>
        <v/>
      </c>
      <c r="X18" s="5">
        <f>Adds!X20+IF(Params!$B$7=1,Adds!X19,Adds!X23)</f>
        <v/>
      </c>
      <c r="Y18" s="5">
        <f>Adds!Y20+IF(Params!$B$7=1,Adds!Y19,Adds!Y23)</f>
        <v/>
      </c>
      <c r="Z18" s="5">
        <f>Adds!Z20+IF(Params!$B$7=1,Adds!Z19,Adds!Z23)</f>
        <v/>
      </c>
      <c r="AA18" s="5">
        <f>Adds!AA20+IF(Params!$B$7=1,Adds!AA19,Adds!AA23)</f>
        <v/>
      </c>
      <c r="AB18" s="5">
        <f>Adds!AB20+IF(Params!$B$7=1,Adds!AB19,Adds!AB23)</f>
        <v/>
      </c>
      <c r="AC18" s="5">
        <f>Adds!AC20+IF(Params!$B$7=1,Adds!AC19,Adds!AC23)</f>
        <v/>
      </c>
      <c r="AD18" s="5">
        <f>Adds!AD20+IF(Params!$B$7=1,Adds!AD19,Adds!AD23)</f>
        <v/>
      </c>
      <c r="AE18" s="5">
        <f>Adds!AE20+IF(Params!$B$7=1,Adds!AE19,Adds!AE23)</f>
        <v/>
      </c>
      <c r="AF18" s="5">
        <f>Adds!AF20+IF(Params!$B$7=1,Adds!AF19,Adds!AF23)</f>
        <v/>
      </c>
      <c r="AG18" s="5">
        <f>Adds!AG20+IF(Params!$B$7=1,Adds!AG19,Adds!AG23)</f>
        <v/>
      </c>
      <c r="AH18" s="5">
        <f>Adds!AH20+IF(Params!$B$7=1,Adds!AH19,Adds!AH23)</f>
        <v/>
      </c>
      <c r="AI18" s="5">
        <f>Adds!AI20+IF(Params!$B$7=1,Adds!AI19,Adds!AI23)</f>
        <v/>
      </c>
      <c r="AJ18" s="5">
        <f>Adds!AJ20+IF(Params!$B$7=1,Adds!AJ19,Adds!AJ23)</f>
        <v/>
      </c>
      <c r="AK18" s="5">
        <f>Adds!AK20+IF(Params!$B$7=1,Adds!AK19,Adds!AK23)</f>
        <v/>
      </c>
      <c r="AL18" s="5">
        <f>Adds!AL20+IF(Params!$B$7=1,Adds!AL19,Adds!AL23)</f>
        <v/>
      </c>
      <c r="AM18" s="5">
        <f>Adds!AM20+IF(Params!$B$7=1,Adds!AM19,Adds!AM23)</f>
        <v/>
      </c>
      <c r="AN18" s="5">
        <f>Adds!AN20+IF(Params!$B$7=1,Adds!AN19,Adds!AN23)</f>
        <v/>
      </c>
      <c r="AO18" s="5">
        <f>Adds!AO20+IF(Params!$B$7=1,Adds!AO19,Adds!AO23)</f>
        <v/>
      </c>
      <c r="AP18" s="5">
        <f>Adds!AP20+IF(Params!$B$7=1,Adds!AP19,Adds!AP23)</f>
        <v/>
      </c>
      <c r="AQ18" s="5">
        <f>Adds!AQ20+IF(Params!$B$7=1,Adds!AQ19,Adds!AQ23)</f>
        <v/>
      </c>
      <c r="AR18" s="5">
        <f>Adds!AR20+IF(Params!$B$7=1,Adds!AR19,Adds!AR23)</f>
        <v/>
      </c>
      <c r="AS18" s="5">
        <f>Adds!AS20+IF(Params!$B$7=1,Adds!AS19,Adds!AS23)</f>
        <v/>
      </c>
      <c r="AT18" s="5">
        <f>Adds!AT20+IF(Params!$B$7=1,Adds!AT19,Adds!AT23)</f>
        <v/>
      </c>
      <c r="AU18" s="5">
        <f>Adds!AU20+IF(Params!$B$7=1,Adds!AU19,Adds!AU23)</f>
        <v/>
      </c>
      <c r="AV18" s="5">
        <f>Adds!AV20+IF(Params!$B$7=1,Adds!AV19,Adds!AV23)</f>
        <v/>
      </c>
      <c r="AW18" s="5">
        <f>Adds!AW20+IF(Params!$B$7=1,Adds!AW19,Adds!AW23)</f>
        <v/>
      </c>
      <c r="AX18" s="5">
        <f>Adds!AX20+IF(Params!$B$7=1,Adds!AX19,Adds!AX23)</f>
        <v/>
      </c>
      <c r="AY18" s="5">
        <f>Adds!AY20+IF(Params!$B$7=1,Adds!AY19,Adds!AY23)</f>
        <v/>
      </c>
      <c r="AZ18" s="5">
        <f>Adds!AZ20+IF(Params!$B$7=1,Adds!AZ19,Adds!AZ23)</f>
        <v/>
      </c>
      <c r="BA18" s="5">
        <f>Adds!BA20+IF(Params!$B$7=1,Adds!BA19,Adds!BA23)</f>
        <v/>
      </c>
      <c r="BB18" s="5">
        <f>Adds!BB20+IF(Params!$B$7=1,Adds!BB19,Adds!BB23)</f>
        <v/>
      </c>
      <c r="BC18" s="5">
        <f>Adds!BC20+IF(Params!$B$7=1,Adds!BC19,Adds!BC23)</f>
        <v/>
      </c>
      <c r="BD18" s="5">
        <f>Adds!BD20+IF(Params!$B$7=1,Adds!BD19,Adds!BD23)</f>
        <v/>
      </c>
      <c r="BE18" s="5">
        <f>Adds!BE20+IF(Params!$B$7=1,Adds!BE19,Adds!BE23)</f>
        <v/>
      </c>
      <c r="BF18" s="5">
        <f>Adds!BF20+IF(Params!$B$7=1,Adds!BF19,Adds!BF23)</f>
        <v/>
      </c>
      <c r="BG18" s="5">
        <f>Adds!BG20+IF(Params!$B$7=1,Adds!BG19,Adds!BG23)</f>
        <v/>
      </c>
      <c r="BH18" s="5">
        <f>Adds!BH20+IF(Params!$B$7=1,Adds!BH19,Adds!BH23)</f>
        <v/>
      </c>
      <c r="BI18" s="5">
        <f>Adds!BI20+IF(Params!$B$7=1,Adds!BI19,Adds!BI23)</f>
        <v/>
      </c>
      <c r="BJ18" s="5">
        <f>Adds!BJ20+IF(Params!$B$7=1,Adds!BJ19,Adds!BJ23)</f>
        <v/>
      </c>
      <c r="BK18" s="5">
        <f>Adds!BK20+IF(Params!$B$7=1,Adds!BK19,Adds!BK23)</f>
        <v/>
      </c>
      <c r="BL18" s="5">
        <f>Adds!BL20+IF(Params!$B$7=1,Adds!BL19,Adds!BL23)</f>
        <v/>
      </c>
      <c r="BM18" s="5">
        <f>Adds!BM20+IF(Params!$B$7=1,Adds!BM19,Adds!BM23)</f>
        <v/>
      </c>
      <c r="BN18" s="5">
        <f>Adds!BN20+IF(Params!$B$7=1,Adds!BN19,Adds!BN23)</f>
        <v/>
      </c>
      <c r="BO18" s="5">
        <f>Adds!BO20+IF(Params!$B$7=1,Adds!BO19,Adds!BO23)</f>
        <v/>
      </c>
      <c r="BP18" s="5">
        <f>Adds!BP20+IF(Params!$B$7=1,Adds!BP19,Adds!BP23)</f>
        <v/>
      </c>
      <c r="BQ18" s="5">
        <f>Adds!BQ20+IF(Params!$B$7=1,Adds!BQ19,Adds!BQ23)</f>
        <v/>
      </c>
      <c r="BR18" s="5">
        <f>Adds!BR20+IF(Params!$B$7=1,Adds!BR19,Adds!BR23)</f>
        <v/>
      </c>
      <c r="BS18" s="5">
        <f>Adds!BS20+IF(Params!$B$7=1,Adds!BS19,Adds!BS23)</f>
        <v/>
      </c>
      <c r="BT18" s="5">
        <f>Adds!BT20+IF(Params!$B$7=1,Adds!BT19,Adds!BT23)</f>
        <v/>
      </c>
      <c r="BU18" s="5">
        <f>Adds!BU20+IF(Params!$B$7=1,Adds!BU19,Adds!BU23)</f>
        <v/>
      </c>
      <c r="BV18" s="5">
        <f>Adds!BV20+IF(Params!$B$7=1,Adds!BV19,Adds!BV23)</f>
        <v/>
      </c>
    </row>
    <row r="19">
      <c r="A19" t="inlineStr">
        <is>
          <t>reactivated</t>
        </is>
      </c>
      <c r="B19" t="inlineStr">
        <is>
          <t>US_CA|NITRO_A</t>
        </is>
      </c>
      <c r="C19" s="5">
        <f>React!C21</f>
        <v/>
      </c>
      <c r="D19" s="5">
        <f>React!D21</f>
        <v/>
      </c>
      <c r="E19" s="5">
        <f>React!E21</f>
        <v/>
      </c>
      <c r="F19" s="5">
        <f>React!F21</f>
        <v/>
      </c>
      <c r="G19" s="5">
        <f>React!G21</f>
        <v/>
      </c>
      <c r="H19" s="5">
        <f>React!H21</f>
        <v/>
      </c>
      <c r="I19" s="5">
        <f>React!I21</f>
        <v/>
      </c>
      <c r="J19" s="5">
        <f>React!J21</f>
        <v/>
      </c>
      <c r="K19" s="5">
        <f>React!K21</f>
        <v/>
      </c>
      <c r="L19" s="5">
        <f>React!L21</f>
        <v/>
      </c>
      <c r="M19" s="5">
        <f>React!M21</f>
        <v/>
      </c>
      <c r="N19" s="5">
        <f>React!N21</f>
        <v/>
      </c>
      <c r="O19" s="5">
        <f>React!O21</f>
        <v/>
      </c>
      <c r="P19" s="5">
        <f>React!P21</f>
        <v/>
      </c>
      <c r="Q19" s="5">
        <f>React!Q21</f>
        <v/>
      </c>
      <c r="R19" s="5">
        <f>React!R21</f>
        <v/>
      </c>
      <c r="S19" s="5">
        <f>React!S21</f>
        <v/>
      </c>
      <c r="T19" s="5">
        <f>React!T21</f>
        <v/>
      </c>
      <c r="U19" s="5">
        <f>React!U21</f>
        <v/>
      </c>
      <c r="V19" s="5">
        <f>React!V21</f>
        <v/>
      </c>
      <c r="W19" s="5">
        <f>React!W21</f>
        <v/>
      </c>
      <c r="X19" s="5">
        <f>React!X21</f>
        <v/>
      </c>
      <c r="Y19" s="5">
        <f>React!Y21</f>
        <v/>
      </c>
      <c r="Z19" s="5">
        <f>React!Z21</f>
        <v/>
      </c>
      <c r="AA19" s="5">
        <f>React!AA21</f>
        <v/>
      </c>
      <c r="AB19" s="5">
        <f>React!AB21</f>
        <v/>
      </c>
      <c r="AC19" s="5">
        <f>React!AC21</f>
        <v/>
      </c>
      <c r="AD19" s="5">
        <f>React!AD21</f>
        <v/>
      </c>
      <c r="AE19" s="5">
        <f>React!AE21</f>
        <v/>
      </c>
      <c r="AF19" s="5">
        <f>React!AF21</f>
        <v/>
      </c>
      <c r="AG19" s="5">
        <f>React!AG21</f>
        <v/>
      </c>
      <c r="AH19" s="5">
        <f>React!AH21</f>
        <v/>
      </c>
      <c r="AI19" s="5">
        <f>React!AI21</f>
        <v/>
      </c>
      <c r="AJ19" s="5">
        <f>React!AJ21</f>
        <v/>
      </c>
      <c r="AK19" s="5">
        <f>React!AK21</f>
        <v/>
      </c>
      <c r="AL19" s="5">
        <f>React!AL21</f>
        <v/>
      </c>
      <c r="AM19" s="5">
        <f>React!AM21</f>
        <v/>
      </c>
      <c r="AN19" s="5">
        <f>React!AN21</f>
        <v/>
      </c>
      <c r="AO19" s="5">
        <f>React!AO21</f>
        <v/>
      </c>
      <c r="AP19" s="5">
        <f>React!AP21</f>
        <v/>
      </c>
      <c r="AQ19" s="5">
        <f>React!AQ21</f>
        <v/>
      </c>
      <c r="AR19" s="5">
        <f>React!AR21</f>
        <v/>
      </c>
      <c r="AS19" s="5">
        <f>React!AS21</f>
        <v/>
      </c>
      <c r="AT19" s="5">
        <f>React!AT21</f>
        <v/>
      </c>
      <c r="AU19" s="5">
        <f>React!AU21</f>
        <v/>
      </c>
      <c r="AV19" s="5">
        <f>React!AV21</f>
        <v/>
      </c>
      <c r="AW19" s="5">
        <f>React!AW21</f>
        <v/>
      </c>
      <c r="AX19" s="5">
        <f>React!AX21</f>
        <v/>
      </c>
      <c r="AY19" s="5">
        <f>React!AY21</f>
        <v/>
      </c>
      <c r="AZ19" s="5">
        <f>React!AZ21</f>
        <v/>
      </c>
      <c r="BA19" s="5">
        <f>React!BA21</f>
        <v/>
      </c>
      <c r="BB19" s="5">
        <f>React!BB21</f>
        <v/>
      </c>
      <c r="BC19" s="5">
        <f>React!BC21</f>
        <v/>
      </c>
      <c r="BD19" s="5">
        <f>React!BD21</f>
        <v/>
      </c>
      <c r="BE19" s="5">
        <f>React!BE21</f>
        <v/>
      </c>
      <c r="BF19" s="5">
        <f>React!BF21</f>
        <v/>
      </c>
      <c r="BG19" s="5">
        <f>React!BG21</f>
        <v/>
      </c>
      <c r="BH19" s="5">
        <f>React!BH21</f>
        <v/>
      </c>
      <c r="BI19" s="5">
        <f>React!BI21</f>
        <v/>
      </c>
      <c r="BJ19" s="5">
        <f>React!BJ21</f>
        <v/>
      </c>
      <c r="BK19" s="5">
        <f>React!BK21</f>
        <v/>
      </c>
      <c r="BL19" s="5">
        <f>React!BL21</f>
        <v/>
      </c>
      <c r="BM19" s="5">
        <f>React!BM21</f>
        <v/>
      </c>
      <c r="BN19" s="5">
        <f>React!BN21</f>
        <v/>
      </c>
      <c r="BO19" s="5">
        <f>React!BO21</f>
        <v/>
      </c>
      <c r="BP19" s="5">
        <f>React!BP21</f>
        <v/>
      </c>
      <c r="BQ19" s="5">
        <f>React!BQ21</f>
        <v/>
      </c>
      <c r="BR19" s="5">
        <f>React!BR21</f>
        <v/>
      </c>
      <c r="BS19" s="5">
        <f>React!BS21</f>
        <v/>
      </c>
      <c r="BT19" s="5">
        <f>React!BT21</f>
        <v/>
      </c>
      <c r="BU19" s="5">
        <f>React!BU21</f>
        <v/>
      </c>
      <c r="BV19" s="5">
        <f>React!BV21</f>
        <v/>
      </c>
    </row>
    <row r="20">
      <c r="A20" t="inlineStr">
        <is>
          <t>churned</t>
        </is>
      </c>
      <c r="B20" t="inlineStr">
        <is>
          <t>US_CA|NITRO_A</t>
        </is>
      </c>
      <c r="C20" s="5">
        <f>Legacy!C11+Paid!C9+React!C27+Params!$B$7*Adds!C24</f>
        <v/>
      </c>
      <c r="D20" s="5">
        <f>Legacy!D11+Paid!D9+React!D27+Params!$B$7*Adds!D24</f>
        <v/>
      </c>
      <c r="E20" s="5">
        <f>Legacy!E11+Paid!E9+React!E27+Params!$B$7*Adds!E24</f>
        <v/>
      </c>
      <c r="F20" s="5">
        <f>Legacy!F11+Paid!F9+React!F27+Params!$B$7*Adds!F24</f>
        <v/>
      </c>
      <c r="G20" s="5">
        <f>Legacy!G11+Paid!G9+React!G27+Params!$B$7*Adds!G24</f>
        <v/>
      </c>
      <c r="H20" s="5">
        <f>Legacy!H11+Paid!H9+React!H27+Params!$B$7*Adds!H24</f>
        <v/>
      </c>
      <c r="I20" s="5">
        <f>Legacy!I11+Paid!I9+React!I27+Params!$B$7*Adds!I24</f>
        <v/>
      </c>
      <c r="J20" s="5">
        <f>Legacy!J11+Paid!J9+React!J27+Params!$B$7*Adds!J24</f>
        <v/>
      </c>
      <c r="K20" s="5">
        <f>Legacy!K11+Paid!K9+React!K27+Params!$B$7*Adds!K24</f>
        <v/>
      </c>
      <c r="L20" s="5">
        <f>Legacy!L11+Paid!L9+React!L27+Params!$B$7*Adds!L24</f>
        <v/>
      </c>
      <c r="M20" s="5">
        <f>Legacy!M11+Paid!M9+React!M27+Params!$B$7*Adds!M24</f>
        <v/>
      </c>
      <c r="N20" s="5">
        <f>Legacy!N11+Paid!N9+React!N27+Params!$B$7*Adds!N24</f>
        <v/>
      </c>
      <c r="O20" s="5">
        <f>Legacy!O11+Paid!O9+React!O27+Params!$B$7*Adds!O24</f>
        <v/>
      </c>
      <c r="P20" s="5">
        <f>Legacy!P11+Paid!P9+React!P27+Params!$B$7*Adds!P24</f>
        <v/>
      </c>
      <c r="Q20" s="5">
        <f>Legacy!Q11+Paid!Q9+React!Q27+Params!$B$7*Adds!Q24</f>
        <v/>
      </c>
      <c r="R20" s="5">
        <f>Legacy!R11+Paid!R9+React!R27+Params!$B$7*Adds!R24</f>
        <v/>
      </c>
      <c r="S20" s="5">
        <f>Legacy!S11+Paid!S9+React!S27+Params!$B$7*Adds!S24</f>
        <v/>
      </c>
      <c r="T20" s="5">
        <f>Legacy!T11+Paid!T9+React!T27+Params!$B$7*Adds!T24</f>
        <v/>
      </c>
      <c r="U20" s="5">
        <f>Legacy!U11+Paid!U9+React!U27+Params!$B$7*Adds!U24</f>
        <v/>
      </c>
      <c r="V20" s="5">
        <f>Legacy!V11+Paid!V9+React!V27+Params!$B$7*Adds!V24</f>
        <v/>
      </c>
      <c r="W20" s="5">
        <f>Legacy!W11+Paid!W9+React!W27+Params!$B$7*Adds!W24</f>
        <v/>
      </c>
      <c r="X20" s="5">
        <f>Legacy!X11+Paid!X9+React!X27+Params!$B$7*Adds!X24</f>
        <v/>
      </c>
      <c r="Y20" s="5">
        <f>Legacy!Y11+Paid!Y9+React!Y27+Params!$B$7*Adds!Y24</f>
        <v/>
      </c>
      <c r="Z20" s="5">
        <f>Legacy!Z11+Paid!Z9+React!Z27+Params!$B$7*Adds!Z24</f>
        <v/>
      </c>
      <c r="AA20" s="5">
        <f>Legacy!AA11+Paid!AA9+React!AA27+Params!$B$7*Adds!AA24</f>
        <v/>
      </c>
      <c r="AB20" s="5">
        <f>Legacy!AB11+Paid!AB9+React!AB27+Params!$B$7*Adds!AB24</f>
        <v/>
      </c>
      <c r="AC20" s="5">
        <f>Legacy!AC11+Paid!AC9+React!AC27+Params!$B$7*Adds!AC24</f>
        <v/>
      </c>
      <c r="AD20" s="5">
        <f>Legacy!AD11+Paid!AD9+React!AD27+Params!$B$7*Adds!AD24</f>
        <v/>
      </c>
      <c r="AE20" s="5">
        <f>Legacy!AE11+Paid!AE9+React!AE27+Params!$B$7*Adds!AE24</f>
        <v/>
      </c>
      <c r="AF20" s="5">
        <f>Legacy!AF11+Paid!AF9+React!AF27+Params!$B$7*Adds!AF24</f>
        <v/>
      </c>
      <c r="AG20" s="5">
        <f>Legacy!AG11+Paid!AG9+React!AG27+Params!$B$7*Adds!AG24</f>
        <v/>
      </c>
      <c r="AH20" s="5">
        <f>Legacy!AH11+Paid!AH9+React!AH27+Params!$B$7*Adds!AH24</f>
        <v/>
      </c>
      <c r="AI20" s="5">
        <f>Legacy!AI11+Paid!AI9+React!AI27+Params!$B$7*Adds!AI24</f>
        <v/>
      </c>
      <c r="AJ20" s="5">
        <f>Legacy!AJ11+Paid!AJ9+React!AJ27+Params!$B$7*Adds!AJ24</f>
        <v/>
      </c>
      <c r="AK20" s="5">
        <f>Legacy!AK11+Paid!AK9+React!AK27+Params!$B$7*Adds!AK24</f>
        <v/>
      </c>
      <c r="AL20" s="5">
        <f>Legacy!AL11+Paid!AL9+React!AL27+Params!$B$7*Adds!AL24</f>
        <v/>
      </c>
      <c r="AM20" s="5">
        <f>Legacy!AM11+Paid!AM9+React!AM27+Params!$B$7*Adds!AM24</f>
        <v/>
      </c>
      <c r="AN20" s="5">
        <f>Legacy!AN11+Paid!AN9+React!AN27+Params!$B$7*Adds!AN24</f>
        <v/>
      </c>
      <c r="AO20" s="5">
        <f>Legacy!AO11+Paid!AO9+React!AO27+Params!$B$7*Adds!AO24</f>
        <v/>
      </c>
      <c r="AP20" s="5">
        <f>Legacy!AP11+Paid!AP9+React!AP27+Params!$B$7*Adds!AP24</f>
        <v/>
      </c>
      <c r="AQ20" s="5">
        <f>Legacy!AQ11+Paid!AQ9+React!AQ27+Params!$B$7*Adds!AQ24</f>
        <v/>
      </c>
      <c r="AR20" s="5">
        <f>Legacy!AR11+Paid!AR9+React!AR27+Params!$B$7*Adds!AR24</f>
        <v/>
      </c>
      <c r="AS20" s="5">
        <f>Legacy!AS11+Paid!AS9+React!AS27+Params!$B$7*Adds!AS24</f>
        <v/>
      </c>
      <c r="AT20" s="5">
        <f>Legacy!AT11+Paid!AT9+React!AT27+Params!$B$7*Adds!AT24</f>
        <v/>
      </c>
      <c r="AU20" s="5">
        <f>Legacy!AU11+Paid!AU9+React!AU27+Params!$B$7*Adds!AU24</f>
        <v/>
      </c>
      <c r="AV20" s="5">
        <f>Legacy!AV11+Paid!AV9+React!AV27+Params!$B$7*Adds!AV24</f>
        <v/>
      </c>
      <c r="AW20" s="5">
        <f>Legacy!AW11+Paid!AW9+React!AW27+Params!$B$7*Adds!AW24</f>
        <v/>
      </c>
      <c r="AX20" s="5">
        <f>Legacy!AX11+Paid!AX9+React!AX27+Params!$B$7*Adds!AX24</f>
        <v/>
      </c>
      <c r="AY20" s="5">
        <f>Legacy!AY11+Paid!AY9+React!AY27+Params!$B$7*Adds!AY24</f>
        <v/>
      </c>
      <c r="AZ20" s="5">
        <f>Legacy!AZ11+Paid!AZ9+React!AZ27+Params!$B$7*Adds!AZ24</f>
        <v/>
      </c>
      <c r="BA20" s="5">
        <f>Legacy!BA11+Paid!BA9+React!BA27+Params!$B$7*Adds!BA24</f>
        <v/>
      </c>
      <c r="BB20" s="5">
        <f>Legacy!BB11+Paid!BB9+React!BB27+Params!$B$7*Adds!BB24</f>
        <v/>
      </c>
      <c r="BC20" s="5">
        <f>Legacy!BC11+Paid!BC9+React!BC27+Params!$B$7*Adds!BC24</f>
        <v/>
      </c>
      <c r="BD20" s="5">
        <f>Legacy!BD11+Paid!BD9+React!BD27+Params!$B$7*Adds!BD24</f>
        <v/>
      </c>
      <c r="BE20" s="5">
        <f>Legacy!BE11+Paid!BE9+React!BE27+Params!$B$7*Adds!BE24</f>
        <v/>
      </c>
      <c r="BF20" s="5">
        <f>Legacy!BF11+Paid!BF9+React!BF27+Params!$B$7*Adds!BF24</f>
        <v/>
      </c>
      <c r="BG20" s="5">
        <f>Legacy!BG11+Paid!BG9+React!BG27+Params!$B$7*Adds!BG24</f>
        <v/>
      </c>
      <c r="BH20" s="5">
        <f>Legacy!BH11+Paid!BH9+React!BH27+Params!$B$7*Adds!BH24</f>
        <v/>
      </c>
      <c r="BI20" s="5">
        <f>Legacy!BI11+Paid!BI9+React!BI27+Params!$B$7*Adds!BI24</f>
        <v/>
      </c>
      <c r="BJ20" s="5">
        <f>Legacy!BJ11+Paid!BJ9+React!BJ27+Params!$B$7*Adds!BJ24</f>
        <v/>
      </c>
      <c r="BK20" s="5">
        <f>Legacy!BK11+Paid!BK9+React!BK27+Params!$B$7*Adds!BK24</f>
        <v/>
      </c>
      <c r="BL20" s="5">
        <f>Legacy!BL11+Paid!BL9+React!BL27+Params!$B$7*Adds!BL24</f>
        <v/>
      </c>
      <c r="BM20" s="5">
        <f>Legacy!BM11+Paid!BM9+React!BM27+Params!$B$7*Adds!BM24</f>
        <v/>
      </c>
      <c r="BN20" s="5">
        <f>Legacy!BN11+Paid!BN9+React!BN27+Params!$B$7*Adds!BN24</f>
        <v/>
      </c>
      <c r="BO20" s="5">
        <f>Legacy!BO11+Paid!BO9+React!BO27+Params!$B$7*Adds!BO24</f>
        <v/>
      </c>
      <c r="BP20" s="5">
        <f>Legacy!BP11+Paid!BP9+React!BP27+Params!$B$7*Adds!BP24</f>
        <v/>
      </c>
      <c r="BQ20" s="5">
        <f>Legacy!BQ11+Paid!BQ9+React!BQ27+Params!$B$7*Adds!BQ24</f>
        <v/>
      </c>
      <c r="BR20" s="5">
        <f>Legacy!BR11+Paid!BR9+React!BR27+Params!$B$7*Adds!BR24</f>
        <v/>
      </c>
      <c r="BS20" s="5">
        <f>Legacy!BS11+Paid!BS9+React!BS27+Params!$B$7*Adds!BS24</f>
        <v/>
      </c>
      <c r="BT20" s="5">
        <f>Legacy!BT11+Paid!BT9+React!BT27+Params!$B$7*Adds!BT24</f>
        <v/>
      </c>
      <c r="BU20" s="5">
        <f>Legacy!BU11+Paid!BU9+React!BU27+Params!$B$7*Adds!BU24</f>
        <v/>
      </c>
      <c r="BV20" s="5">
        <f>Legacy!BV11+Paid!BV9+React!BV27+Params!$B$7*Adds!BV24</f>
        <v/>
      </c>
    </row>
    <row r="21">
      <c r="A21" t="inlineStr">
        <is>
          <t>closing</t>
        </is>
      </c>
      <c r="B21" t="inlineStr">
        <is>
          <t>US_CA|NITRO_A</t>
        </is>
      </c>
      <c r="C21" s="5">
        <f>C22+Params!$B$7*Adds!C27</f>
        <v/>
      </c>
      <c r="D21" s="5">
        <f>D22+Params!$B$7*Adds!D27</f>
        <v/>
      </c>
      <c r="E21" s="5">
        <f>E22+Params!$B$7*Adds!E27</f>
        <v/>
      </c>
      <c r="F21" s="5">
        <f>F22+Params!$B$7*Adds!F27</f>
        <v/>
      </c>
      <c r="G21" s="5">
        <f>G22+Params!$B$7*Adds!G27</f>
        <v/>
      </c>
      <c r="H21" s="5">
        <f>H22+Params!$B$7*Adds!H27</f>
        <v/>
      </c>
      <c r="I21" s="5">
        <f>I22+Params!$B$7*Adds!I27</f>
        <v/>
      </c>
      <c r="J21" s="5">
        <f>J22+Params!$B$7*Adds!J27</f>
        <v/>
      </c>
      <c r="K21" s="5">
        <f>K22+Params!$B$7*Adds!K27</f>
        <v/>
      </c>
      <c r="L21" s="5">
        <f>L22+Params!$B$7*Adds!L27</f>
        <v/>
      </c>
      <c r="M21" s="5">
        <f>M22+Params!$B$7*Adds!M27</f>
        <v/>
      </c>
      <c r="N21" s="5">
        <f>N22+Params!$B$7*Adds!N27</f>
        <v/>
      </c>
      <c r="O21" s="5">
        <f>O22+Params!$B$7*Adds!O27</f>
        <v/>
      </c>
      <c r="P21" s="5">
        <f>P22+Params!$B$7*Adds!P27</f>
        <v/>
      </c>
      <c r="Q21" s="5">
        <f>Q22+Params!$B$7*Adds!Q27</f>
        <v/>
      </c>
      <c r="R21" s="5">
        <f>R22+Params!$B$7*Adds!R27</f>
        <v/>
      </c>
      <c r="S21" s="5">
        <f>S22+Params!$B$7*Adds!S27</f>
        <v/>
      </c>
      <c r="T21" s="5">
        <f>T22+Params!$B$7*Adds!T27</f>
        <v/>
      </c>
      <c r="U21" s="5">
        <f>U22+Params!$B$7*Adds!U27</f>
        <v/>
      </c>
      <c r="V21" s="5">
        <f>V22+Params!$B$7*Adds!V27</f>
        <v/>
      </c>
      <c r="W21" s="5">
        <f>W22+Params!$B$7*Adds!W27</f>
        <v/>
      </c>
      <c r="X21" s="5">
        <f>X22+Params!$B$7*Adds!X27</f>
        <v/>
      </c>
      <c r="Y21" s="5">
        <f>Y22+Params!$B$7*Adds!Y27</f>
        <v/>
      </c>
      <c r="Z21" s="5">
        <f>Z22+Params!$B$7*Adds!Z27</f>
        <v/>
      </c>
      <c r="AA21" s="5">
        <f>AA22+Params!$B$7*Adds!AA27</f>
        <v/>
      </c>
      <c r="AB21" s="5">
        <f>AB22+Params!$B$7*Adds!AB27</f>
        <v/>
      </c>
      <c r="AC21" s="5">
        <f>AC22+Params!$B$7*Adds!AC27</f>
        <v/>
      </c>
      <c r="AD21" s="5">
        <f>AD22+Params!$B$7*Adds!AD27</f>
        <v/>
      </c>
      <c r="AE21" s="5">
        <f>AE22+Params!$B$7*Adds!AE27</f>
        <v/>
      </c>
      <c r="AF21" s="5">
        <f>AF22+Params!$B$7*Adds!AF27</f>
        <v/>
      </c>
      <c r="AG21" s="5">
        <f>AG22+Params!$B$7*Adds!AG27</f>
        <v/>
      </c>
      <c r="AH21" s="5">
        <f>AH22+Params!$B$7*Adds!AH27</f>
        <v/>
      </c>
      <c r="AI21" s="5">
        <f>AI22+Params!$B$7*Adds!AI27</f>
        <v/>
      </c>
      <c r="AJ21" s="5">
        <f>AJ22+Params!$B$7*Adds!AJ27</f>
        <v/>
      </c>
      <c r="AK21" s="5">
        <f>AK22+Params!$B$7*Adds!AK27</f>
        <v/>
      </c>
      <c r="AL21" s="5">
        <f>AL22+Params!$B$7*Adds!AL27</f>
        <v/>
      </c>
      <c r="AM21" s="5">
        <f>AM22+Params!$B$7*Adds!AM27</f>
        <v/>
      </c>
      <c r="AN21" s="5">
        <f>AN22+Params!$B$7*Adds!AN27</f>
        <v/>
      </c>
      <c r="AO21" s="5">
        <f>AO22+Params!$B$7*Adds!AO27</f>
        <v/>
      </c>
      <c r="AP21" s="5">
        <f>AP22+Params!$B$7*Adds!AP27</f>
        <v/>
      </c>
      <c r="AQ21" s="5">
        <f>AQ22+Params!$B$7*Adds!AQ27</f>
        <v/>
      </c>
      <c r="AR21" s="5">
        <f>AR22+Params!$B$7*Adds!AR27</f>
        <v/>
      </c>
      <c r="AS21" s="5">
        <f>AS22+Params!$B$7*Adds!AS27</f>
        <v/>
      </c>
      <c r="AT21" s="5">
        <f>AT22+Params!$B$7*Adds!AT27</f>
        <v/>
      </c>
      <c r="AU21" s="5">
        <f>AU22+Params!$B$7*Adds!AU27</f>
        <v/>
      </c>
      <c r="AV21" s="5">
        <f>AV22+Params!$B$7*Adds!AV27</f>
        <v/>
      </c>
      <c r="AW21" s="5">
        <f>AW22+Params!$B$7*Adds!AW27</f>
        <v/>
      </c>
      <c r="AX21" s="5">
        <f>AX22+Params!$B$7*Adds!AX27</f>
        <v/>
      </c>
      <c r="AY21" s="5">
        <f>AY22+Params!$B$7*Adds!AY27</f>
        <v/>
      </c>
      <c r="AZ21" s="5">
        <f>AZ22+Params!$B$7*Adds!AZ27</f>
        <v/>
      </c>
      <c r="BA21" s="5">
        <f>BA22+Params!$B$7*Adds!BA27</f>
        <v/>
      </c>
      <c r="BB21" s="5">
        <f>BB22+Params!$B$7*Adds!BB27</f>
        <v/>
      </c>
      <c r="BC21" s="5">
        <f>BC22+Params!$B$7*Adds!BC27</f>
        <v/>
      </c>
      <c r="BD21" s="5">
        <f>BD22+Params!$B$7*Adds!BD27</f>
        <v/>
      </c>
      <c r="BE21" s="5">
        <f>BE22+Params!$B$7*Adds!BE27</f>
        <v/>
      </c>
      <c r="BF21" s="5">
        <f>BF22+Params!$B$7*Adds!BF27</f>
        <v/>
      </c>
      <c r="BG21" s="5">
        <f>BG22+Params!$B$7*Adds!BG27</f>
        <v/>
      </c>
      <c r="BH21" s="5">
        <f>BH22+Params!$B$7*Adds!BH27</f>
        <v/>
      </c>
      <c r="BI21" s="5">
        <f>BI22+Params!$B$7*Adds!BI27</f>
        <v/>
      </c>
      <c r="BJ21" s="5">
        <f>BJ22+Params!$B$7*Adds!BJ27</f>
        <v/>
      </c>
      <c r="BK21" s="5">
        <f>BK22+Params!$B$7*Adds!BK27</f>
        <v/>
      </c>
      <c r="BL21" s="5">
        <f>BL22+Params!$B$7*Adds!BL27</f>
        <v/>
      </c>
      <c r="BM21" s="5">
        <f>BM22+Params!$B$7*Adds!BM27</f>
        <v/>
      </c>
      <c r="BN21" s="5">
        <f>BN22+Params!$B$7*Adds!BN27</f>
        <v/>
      </c>
      <c r="BO21" s="5">
        <f>BO22+Params!$B$7*Adds!BO27</f>
        <v/>
      </c>
      <c r="BP21" s="5">
        <f>BP22+Params!$B$7*Adds!BP27</f>
        <v/>
      </c>
      <c r="BQ21" s="5">
        <f>BQ22+Params!$B$7*Adds!BQ27</f>
        <v/>
      </c>
      <c r="BR21" s="5">
        <f>BR22+Params!$B$7*Adds!BR27</f>
        <v/>
      </c>
      <c r="BS21" s="5">
        <f>BS22+Params!$B$7*Adds!BS27</f>
        <v/>
      </c>
      <c r="BT21" s="5">
        <f>BT22+Params!$B$7*Adds!BT27</f>
        <v/>
      </c>
      <c r="BU21" s="5">
        <f>BU22+Params!$B$7*Adds!BU27</f>
        <v/>
      </c>
      <c r="BV21" s="5">
        <f>BV22+Params!$B$7*Adds!BV27</f>
        <v/>
      </c>
    </row>
    <row r="22">
      <c r="A22" t="inlineStr">
        <is>
          <t>paying</t>
        </is>
      </c>
      <c r="B22" t="inlineStr">
        <is>
          <t>US_CA|NITRO_A</t>
        </is>
      </c>
      <c r="C22" s="5">
        <f>Legacy!C10+Paid!C7+React!C25</f>
        <v/>
      </c>
      <c r="D22" s="5">
        <f>Legacy!D10+Paid!D7+React!D25</f>
        <v/>
      </c>
      <c r="E22" s="5">
        <f>Legacy!E10+Paid!E7+React!E25</f>
        <v/>
      </c>
      <c r="F22" s="5">
        <f>Legacy!F10+Paid!F7+React!F25</f>
        <v/>
      </c>
      <c r="G22" s="5">
        <f>Legacy!G10+Paid!G7+React!G25</f>
        <v/>
      </c>
      <c r="H22" s="5">
        <f>Legacy!H10+Paid!H7+React!H25</f>
        <v/>
      </c>
      <c r="I22" s="5">
        <f>Legacy!I10+Paid!I7+React!I25</f>
        <v/>
      </c>
      <c r="J22" s="5">
        <f>Legacy!J10+Paid!J7+React!J25</f>
        <v/>
      </c>
      <c r="K22" s="5">
        <f>Legacy!K10+Paid!K7+React!K25</f>
        <v/>
      </c>
      <c r="L22" s="5">
        <f>Legacy!L10+Paid!L7+React!L25</f>
        <v/>
      </c>
      <c r="M22" s="5">
        <f>Legacy!M10+Paid!M7+React!M25</f>
        <v/>
      </c>
      <c r="N22" s="5">
        <f>Legacy!N10+Paid!N7+React!N25</f>
        <v/>
      </c>
      <c r="O22" s="5">
        <f>Legacy!O10+Paid!O7+React!O25</f>
        <v/>
      </c>
      <c r="P22" s="5">
        <f>Legacy!P10+Paid!P7+React!P25</f>
        <v/>
      </c>
      <c r="Q22" s="5">
        <f>Legacy!Q10+Paid!Q7+React!Q25</f>
        <v/>
      </c>
      <c r="R22" s="5">
        <f>Legacy!R10+Paid!R7+React!R25</f>
        <v/>
      </c>
      <c r="S22" s="5">
        <f>Legacy!S10+Paid!S7+React!S25</f>
        <v/>
      </c>
      <c r="T22" s="5">
        <f>Legacy!T10+Paid!T7+React!T25</f>
        <v/>
      </c>
      <c r="U22" s="5">
        <f>Legacy!U10+Paid!U7+React!U25</f>
        <v/>
      </c>
      <c r="V22" s="5">
        <f>Legacy!V10+Paid!V7+React!V25</f>
        <v/>
      </c>
      <c r="W22" s="5">
        <f>Legacy!W10+Paid!W7+React!W25</f>
        <v/>
      </c>
      <c r="X22" s="5">
        <f>Legacy!X10+Paid!X7+React!X25</f>
        <v/>
      </c>
      <c r="Y22" s="5">
        <f>Legacy!Y10+Paid!Y7+React!Y25</f>
        <v/>
      </c>
      <c r="Z22" s="5">
        <f>Legacy!Z10+Paid!Z7+React!Z25</f>
        <v/>
      </c>
      <c r="AA22" s="5">
        <f>Legacy!AA10+Paid!AA7+React!AA25</f>
        <v/>
      </c>
      <c r="AB22" s="5">
        <f>Legacy!AB10+Paid!AB7+React!AB25</f>
        <v/>
      </c>
      <c r="AC22" s="5">
        <f>Legacy!AC10+Paid!AC7+React!AC25</f>
        <v/>
      </c>
      <c r="AD22" s="5">
        <f>Legacy!AD10+Paid!AD7+React!AD25</f>
        <v/>
      </c>
      <c r="AE22" s="5">
        <f>Legacy!AE10+Paid!AE7+React!AE25</f>
        <v/>
      </c>
      <c r="AF22" s="5">
        <f>Legacy!AF10+Paid!AF7+React!AF25</f>
        <v/>
      </c>
      <c r="AG22" s="5">
        <f>Legacy!AG10+Paid!AG7+React!AG25</f>
        <v/>
      </c>
      <c r="AH22" s="5">
        <f>Legacy!AH10+Paid!AH7+React!AH25</f>
        <v/>
      </c>
      <c r="AI22" s="5">
        <f>Legacy!AI10+Paid!AI7+React!AI25</f>
        <v/>
      </c>
      <c r="AJ22" s="5">
        <f>Legacy!AJ10+Paid!AJ7+React!AJ25</f>
        <v/>
      </c>
      <c r="AK22" s="5">
        <f>Legacy!AK10+Paid!AK7+React!AK25</f>
        <v/>
      </c>
      <c r="AL22" s="5">
        <f>Legacy!AL10+Paid!AL7+React!AL25</f>
        <v/>
      </c>
      <c r="AM22" s="5">
        <f>Legacy!AM10+Paid!AM7+React!AM25</f>
        <v/>
      </c>
      <c r="AN22" s="5">
        <f>Legacy!AN10+Paid!AN7+React!AN25</f>
        <v/>
      </c>
      <c r="AO22" s="5">
        <f>Legacy!AO10+Paid!AO7+React!AO25</f>
        <v/>
      </c>
      <c r="AP22" s="5">
        <f>Legacy!AP10+Paid!AP7+React!AP25</f>
        <v/>
      </c>
      <c r="AQ22" s="5">
        <f>Legacy!AQ10+Paid!AQ7+React!AQ25</f>
        <v/>
      </c>
      <c r="AR22" s="5">
        <f>Legacy!AR10+Paid!AR7+React!AR25</f>
        <v/>
      </c>
      <c r="AS22" s="5">
        <f>Legacy!AS10+Paid!AS7+React!AS25</f>
        <v/>
      </c>
      <c r="AT22" s="5">
        <f>Legacy!AT10+Paid!AT7+React!AT25</f>
        <v/>
      </c>
      <c r="AU22" s="5">
        <f>Legacy!AU10+Paid!AU7+React!AU25</f>
        <v/>
      </c>
      <c r="AV22" s="5">
        <f>Legacy!AV10+Paid!AV7+React!AV25</f>
        <v/>
      </c>
      <c r="AW22" s="5">
        <f>Legacy!AW10+Paid!AW7+React!AW25</f>
        <v/>
      </c>
      <c r="AX22" s="5">
        <f>Legacy!AX10+Paid!AX7+React!AX25</f>
        <v/>
      </c>
      <c r="AY22" s="5">
        <f>Legacy!AY10+Paid!AY7+React!AY25</f>
        <v/>
      </c>
      <c r="AZ22" s="5">
        <f>Legacy!AZ10+Paid!AZ7+React!AZ25</f>
        <v/>
      </c>
      <c r="BA22" s="5">
        <f>Legacy!BA10+Paid!BA7+React!BA25</f>
        <v/>
      </c>
      <c r="BB22" s="5">
        <f>Legacy!BB10+Paid!BB7+React!BB25</f>
        <v/>
      </c>
      <c r="BC22" s="5">
        <f>Legacy!BC10+Paid!BC7+React!BC25</f>
        <v/>
      </c>
      <c r="BD22" s="5">
        <f>Legacy!BD10+Paid!BD7+React!BD25</f>
        <v/>
      </c>
      <c r="BE22" s="5">
        <f>Legacy!BE10+Paid!BE7+React!BE25</f>
        <v/>
      </c>
      <c r="BF22" s="5">
        <f>Legacy!BF10+Paid!BF7+React!BF25</f>
        <v/>
      </c>
      <c r="BG22" s="5">
        <f>Legacy!BG10+Paid!BG7+React!BG25</f>
        <v/>
      </c>
      <c r="BH22" s="5">
        <f>Legacy!BH10+Paid!BH7+React!BH25</f>
        <v/>
      </c>
      <c r="BI22" s="5">
        <f>Legacy!BI10+Paid!BI7+React!BI25</f>
        <v/>
      </c>
      <c r="BJ22" s="5">
        <f>Legacy!BJ10+Paid!BJ7+React!BJ25</f>
        <v/>
      </c>
      <c r="BK22" s="5">
        <f>Legacy!BK10+Paid!BK7+React!BK25</f>
        <v/>
      </c>
      <c r="BL22" s="5">
        <f>Legacy!BL10+Paid!BL7+React!BL25</f>
        <v/>
      </c>
      <c r="BM22" s="5">
        <f>Legacy!BM10+Paid!BM7+React!BM25</f>
        <v/>
      </c>
      <c r="BN22" s="5">
        <f>Legacy!BN10+Paid!BN7+React!BN25</f>
        <v/>
      </c>
      <c r="BO22" s="5">
        <f>Legacy!BO10+Paid!BO7+React!BO25</f>
        <v/>
      </c>
      <c r="BP22" s="5">
        <f>Legacy!BP10+Paid!BP7+React!BP25</f>
        <v/>
      </c>
      <c r="BQ22" s="5">
        <f>Legacy!BQ10+Paid!BQ7+React!BQ25</f>
        <v/>
      </c>
      <c r="BR22" s="5">
        <f>Legacy!BR10+Paid!BR7+React!BR25</f>
        <v/>
      </c>
      <c r="BS22" s="5">
        <f>Legacy!BS10+Paid!BS7+React!BS25</f>
        <v/>
      </c>
      <c r="BT22" s="5">
        <f>Legacy!BT10+Paid!BT7+React!BT25</f>
        <v/>
      </c>
      <c r="BU22" s="5">
        <f>Legacy!BU10+Paid!BU7+React!BU25</f>
        <v/>
      </c>
      <c r="BV22" s="5">
        <f>Legacy!BV10+Paid!BV7+React!BV25</f>
        <v/>
      </c>
    </row>
    <row r="24">
      <c r="A24" t="inlineStr">
        <is>
          <t>opening</t>
        </is>
      </c>
      <c r="B24" t="inlineStr">
        <is>
          <t>US_CA|BASIC_M</t>
        </is>
      </c>
      <c r="C24" s="5">
        <f>Legacy!$C$13</f>
        <v/>
      </c>
      <c r="D24" s="5">
        <f>C28</f>
        <v/>
      </c>
      <c r="E24" s="5">
        <f>D28</f>
        <v/>
      </c>
      <c r="F24" s="5">
        <f>E28</f>
        <v/>
      </c>
      <c r="G24" s="5">
        <f>F28</f>
        <v/>
      </c>
      <c r="H24" s="5">
        <f>G28</f>
        <v/>
      </c>
      <c r="I24" s="5">
        <f>H28</f>
        <v/>
      </c>
      <c r="J24" s="5">
        <f>I28</f>
        <v/>
      </c>
      <c r="K24" s="5">
        <f>J28</f>
        <v/>
      </c>
      <c r="L24" s="5">
        <f>K28</f>
        <v/>
      </c>
      <c r="M24" s="5">
        <f>L28</f>
        <v/>
      </c>
      <c r="N24" s="5">
        <f>M28</f>
        <v/>
      </c>
      <c r="O24" s="5">
        <f>N28</f>
        <v/>
      </c>
      <c r="P24" s="5">
        <f>O28</f>
        <v/>
      </c>
      <c r="Q24" s="5">
        <f>P28</f>
        <v/>
      </c>
      <c r="R24" s="5">
        <f>Q28</f>
        <v/>
      </c>
      <c r="S24" s="5">
        <f>R28</f>
        <v/>
      </c>
      <c r="T24" s="5">
        <f>S28</f>
        <v/>
      </c>
      <c r="U24" s="5">
        <f>T28</f>
        <v/>
      </c>
      <c r="V24" s="5">
        <f>U28</f>
        <v/>
      </c>
      <c r="W24" s="5">
        <f>V28</f>
        <v/>
      </c>
      <c r="X24" s="5">
        <f>W28</f>
        <v/>
      </c>
      <c r="Y24" s="5">
        <f>X28</f>
        <v/>
      </c>
      <c r="Z24" s="5">
        <f>Y28</f>
        <v/>
      </c>
      <c r="AA24" s="5">
        <f>Z28</f>
        <v/>
      </c>
      <c r="AB24" s="5">
        <f>AA28</f>
        <v/>
      </c>
      <c r="AC24" s="5">
        <f>AB28</f>
        <v/>
      </c>
      <c r="AD24" s="5">
        <f>AC28</f>
        <v/>
      </c>
      <c r="AE24" s="5">
        <f>AD28</f>
        <v/>
      </c>
      <c r="AF24" s="5">
        <f>AE28</f>
        <v/>
      </c>
      <c r="AG24" s="5">
        <f>AF28</f>
        <v/>
      </c>
      <c r="AH24" s="5">
        <f>AG28</f>
        <v/>
      </c>
      <c r="AI24" s="5">
        <f>AH28</f>
        <v/>
      </c>
      <c r="AJ24" s="5">
        <f>AI28</f>
        <v/>
      </c>
      <c r="AK24" s="5">
        <f>AJ28</f>
        <v/>
      </c>
      <c r="AL24" s="5">
        <f>AK28</f>
        <v/>
      </c>
      <c r="AM24" s="5">
        <f>AL28</f>
        <v/>
      </c>
      <c r="AN24" s="5">
        <f>AM28</f>
        <v/>
      </c>
      <c r="AO24" s="5">
        <f>AN28</f>
        <v/>
      </c>
      <c r="AP24" s="5">
        <f>AO28</f>
        <v/>
      </c>
      <c r="AQ24" s="5">
        <f>AP28</f>
        <v/>
      </c>
      <c r="AR24" s="5">
        <f>AQ28</f>
        <v/>
      </c>
      <c r="AS24" s="5">
        <f>AR28</f>
        <v/>
      </c>
      <c r="AT24" s="5">
        <f>AS28</f>
        <v/>
      </c>
      <c r="AU24" s="5">
        <f>AT28</f>
        <v/>
      </c>
      <c r="AV24" s="5">
        <f>AU28</f>
        <v/>
      </c>
      <c r="AW24" s="5">
        <f>AV28</f>
        <v/>
      </c>
      <c r="AX24" s="5">
        <f>AW28</f>
        <v/>
      </c>
      <c r="AY24" s="5">
        <f>AX28</f>
        <v/>
      </c>
      <c r="AZ24" s="5">
        <f>AY28</f>
        <v/>
      </c>
      <c r="BA24" s="5">
        <f>AZ28</f>
        <v/>
      </c>
      <c r="BB24" s="5">
        <f>BA28</f>
        <v/>
      </c>
      <c r="BC24" s="5">
        <f>BB28</f>
        <v/>
      </c>
      <c r="BD24" s="5">
        <f>BC28</f>
        <v/>
      </c>
      <c r="BE24" s="5">
        <f>BD28</f>
        <v/>
      </c>
      <c r="BF24" s="5">
        <f>BE28</f>
        <v/>
      </c>
      <c r="BG24" s="5">
        <f>BF28</f>
        <v/>
      </c>
      <c r="BH24" s="5">
        <f>BG28</f>
        <v/>
      </c>
      <c r="BI24" s="5">
        <f>BH28</f>
        <v/>
      </c>
      <c r="BJ24" s="5">
        <f>BI28</f>
        <v/>
      </c>
      <c r="BK24" s="5">
        <f>BJ28</f>
        <v/>
      </c>
      <c r="BL24" s="5">
        <f>BK28</f>
        <v/>
      </c>
      <c r="BM24" s="5">
        <f>BL28</f>
        <v/>
      </c>
      <c r="BN24" s="5">
        <f>BM28</f>
        <v/>
      </c>
      <c r="BO24" s="5">
        <f>BN28</f>
        <v/>
      </c>
      <c r="BP24" s="5">
        <f>BO28</f>
        <v/>
      </c>
      <c r="BQ24" s="5">
        <f>BP28</f>
        <v/>
      </c>
      <c r="BR24" s="5">
        <f>BQ28</f>
        <v/>
      </c>
      <c r="BS24" s="5">
        <f>BR28</f>
        <v/>
      </c>
      <c r="BT24" s="5">
        <f>BS28</f>
        <v/>
      </c>
      <c r="BU24" s="5">
        <f>BT28</f>
        <v/>
      </c>
      <c r="BV24" s="5">
        <f>BU28</f>
        <v/>
      </c>
    </row>
    <row r="25">
      <c r="A25" t="inlineStr">
        <is>
          <t>new</t>
        </is>
      </c>
      <c r="B25" t="inlineStr">
        <is>
          <t>US_CA|BASIC_M</t>
        </is>
      </c>
      <c r="C25" s="5">
        <f>Adds!C35+IF(Params!$B$7=1,Adds!C34,Adds!C38)</f>
        <v/>
      </c>
      <c r="D25" s="5">
        <f>Adds!D35+IF(Params!$B$7=1,Adds!D34,Adds!D38)</f>
        <v/>
      </c>
      <c r="E25" s="5">
        <f>Adds!E35+IF(Params!$B$7=1,Adds!E34,Adds!E38)</f>
        <v/>
      </c>
      <c r="F25" s="5">
        <f>Adds!F35+IF(Params!$B$7=1,Adds!F34,Adds!F38)</f>
        <v/>
      </c>
      <c r="G25" s="5">
        <f>Adds!G35+IF(Params!$B$7=1,Adds!G34,Adds!G38)</f>
        <v/>
      </c>
      <c r="H25" s="5">
        <f>Adds!H35+IF(Params!$B$7=1,Adds!H34,Adds!H38)</f>
        <v/>
      </c>
      <c r="I25" s="5">
        <f>Adds!I35+IF(Params!$B$7=1,Adds!I34,Adds!I38)</f>
        <v/>
      </c>
      <c r="J25" s="5">
        <f>Adds!J35+IF(Params!$B$7=1,Adds!J34,Adds!J38)</f>
        <v/>
      </c>
      <c r="K25" s="5">
        <f>Adds!K35+IF(Params!$B$7=1,Adds!K34,Adds!K38)</f>
        <v/>
      </c>
      <c r="L25" s="5">
        <f>Adds!L35+IF(Params!$B$7=1,Adds!L34,Adds!L38)</f>
        <v/>
      </c>
      <c r="M25" s="5">
        <f>Adds!M35+IF(Params!$B$7=1,Adds!M34,Adds!M38)</f>
        <v/>
      </c>
      <c r="N25" s="5">
        <f>Adds!N35+IF(Params!$B$7=1,Adds!N34,Adds!N38)</f>
        <v/>
      </c>
      <c r="O25" s="5">
        <f>Adds!O35+IF(Params!$B$7=1,Adds!O34,Adds!O38)</f>
        <v/>
      </c>
      <c r="P25" s="5">
        <f>Adds!P35+IF(Params!$B$7=1,Adds!P34,Adds!P38)</f>
        <v/>
      </c>
      <c r="Q25" s="5">
        <f>Adds!Q35+IF(Params!$B$7=1,Adds!Q34,Adds!Q38)</f>
        <v/>
      </c>
      <c r="R25" s="5">
        <f>Adds!R35+IF(Params!$B$7=1,Adds!R34,Adds!R38)</f>
        <v/>
      </c>
      <c r="S25" s="5">
        <f>Adds!S35+IF(Params!$B$7=1,Adds!S34,Adds!S38)</f>
        <v/>
      </c>
      <c r="T25" s="5">
        <f>Adds!T35+IF(Params!$B$7=1,Adds!T34,Adds!T38)</f>
        <v/>
      </c>
      <c r="U25" s="5">
        <f>Adds!U35+IF(Params!$B$7=1,Adds!U34,Adds!U38)</f>
        <v/>
      </c>
      <c r="V25" s="5">
        <f>Adds!V35+IF(Params!$B$7=1,Adds!V34,Adds!V38)</f>
        <v/>
      </c>
      <c r="W25" s="5">
        <f>Adds!W35+IF(Params!$B$7=1,Adds!W34,Adds!W38)</f>
        <v/>
      </c>
      <c r="X25" s="5">
        <f>Adds!X35+IF(Params!$B$7=1,Adds!X34,Adds!X38)</f>
        <v/>
      </c>
      <c r="Y25" s="5">
        <f>Adds!Y35+IF(Params!$B$7=1,Adds!Y34,Adds!Y38)</f>
        <v/>
      </c>
      <c r="Z25" s="5">
        <f>Adds!Z35+IF(Params!$B$7=1,Adds!Z34,Adds!Z38)</f>
        <v/>
      </c>
      <c r="AA25" s="5">
        <f>Adds!AA35+IF(Params!$B$7=1,Adds!AA34,Adds!AA38)</f>
        <v/>
      </c>
      <c r="AB25" s="5">
        <f>Adds!AB35+IF(Params!$B$7=1,Adds!AB34,Adds!AB38)</f>
        <v/>
      </c>
      <c r="AC25" s="5">
        <f>Adds!AC35+IF(Params!$B$7=1,Adds!AC34,Adds!AC38)</f>
        <v/>
      </c>
      <c r="AD25" s="5">
        <f>Adds!AD35+IF(Params!$B$7=1,Adds!AD34,Adds!AD38)</f>
        <v/>
      </c>
      <c r="AE25" s="5">
        <f>Adds!AE35+IF(Params!$B$7=1,Adds!AE34,Adds!AE38)</f>
        <v/>
      </c>
      <c r="AF25" s="5">
        <f>Adds!AF35+IF(Params!$B$7=1,Adds!AF34,Adds!AF38)</f>
        <v/>
      </c>
      <c r="AG25" s="5">
        <f>Adds!AG35+IF(Params!$B$7=1,Adds!AG34,Adds!AG38)</f>
        <v/>
      </c>
      <c r="AH25" s="5">
        <f>Adds!AH35+IF(Params!$B$7=1,Adds!AH34,Adds!AH38)</f>
        <v/>
      </c>
      <c r="AI25" s="5">
        <f>Adds!AI35+IF(Params!$B$7=1,Adds!AI34,Adds!AI38)</f>
        <v/>
      </c>
      <c r="AJ25" s="5">
        <f>Adds!AJ35+IF(Params!$B$7=1,Adds!AJ34,Adds!AJ38)</f>
        <v/>
      </c>
      <c r="AK25" s="5">
        <f>Adds!AK35+IF(Params!$B$7=1,Adds!AK34,Adds!AK38)</f>
        <v/>
      </c>
      <c r="AL25" s="5">
        <f>Adds!AL35+IF(Params!$B$7=1,Adds!AL34,Adds!AL38)</f>
        <v/>
      </c>
      <c r="AM25" s="5">
        <f>Adds!AM35+IF(Params!$B$7=1,Adds!AM34,Adds!AM38)</f>
        <v/>
      </c>
      <c r="AN25" s="5">
        <f>Adds!AN35+IF(Params!$B$7=1,Adds!AN34,Adds!AN38)</f>
        <v/>
      </c>
      <c r="AO25" s="5">
        <f>Adds!AO35+IF(Params!$B$7=1,Adds!AO34,Adds!AO38)</f>
        <v/>
      </c>
      <c r="AP25" s="5">
        <f>Adds!AP35+IF(Params!$B$7=1,Adds!AP34,Adds!AP38)</f>
        <v/>
      </c>
      <c r="AQ25" s="5">
        <f>Adds!AQ35+IF(Params!$B$7=1,Adds!AQ34,Adds!AQ38)</f>
        <v/>
      </c>
      <c r="AR25" s="5">
        <f>Adds!AR35+IF(Params!$B$7=1,Adds!AR34,Adds!AR38)</f>
        <v/>
      </c>
      <c r="AS25" s="5">
        <f>Adds!AS35+IF(Params!$B$7=1,Adds!AS34,Adds!AS38)</f>
        <v/>
      </c>
      <c r="AT25" s="5">
        <f>Adds!AT35+IF(Params!$B$7=1,Adds!AT34,Adds!AT38)</f>
        <v/>
      </c>
      <c r="AU25" s="5">
        <f>Adds!AU35+IF(Params!$B$7=1,Adds!AU34,Adds!AU38)</f>
        <v/>
      </c>
      <c r="AV25" s="5">
        <f>Adds!AV35+IF(Params!$B$7=1,Adds!AV34,Adds!AV38)</f>
        <v/>
      </c>
      <c r="AW25" s="5">
        <f>Adds!AW35+IF(Params!$B$7=1,Adds!AW34,Adds!AW38)</f>
        <v/>
      </c>
      <c r="AX25" s="5">
        <f>Adds!AX35+IF(Params!$B$7=1,Adds!AX34,Adds!AX38)</f>
        <v/>
      </c>
      <c r="AY25" s="5">
        <f>Adds!AY35+IF(Params!$B$7=1,Adds!AY34,Adds!AY38)</f>
        <v/>
      </c>
      <c r="AZ25" s="5">
        <f>Adds!AZ35+IF(Params!$B$7=1,Adds!AZ34,Adds!AZ38)</f>
        <v/>
      </c>
      <c r="BA25" s="5">
        <f>Adds!BA35+IF(Params!$B$7=1,Adds!BA34,Adds!BA38)</f>
        <v/>
      </c>
      <c r="BB25" s="5">
        <f>Adds!BB35+IF(Params!$B$7=1,Adds!BB34,Adds!BB38)</f>
        <v/>
      </c>
      <c r="BC25" s="5">
        <f>Adds!BC35+IF(Params!$B$7=1,Adds!BC34,Adds!BC38)</f>
        <v/>
      </c>
      <c r="BD25" s="5">
        <f>Adds!BD35+IF(Params!$B$7=1,Adds!BD34,Adds!BD38)</f>
        <v/>
      </c>
      <c r="BE25" s="5">
        <f>Adds!BE35+IF(Params!$B$7=1,Adds!BE34,Adds!BE38)</f>
        <v/>
      </c>
      <c r="BF25" s="5">
        <f>Adds!BF35+IF(Params!$B$7=1,Adds!BF34,Adds!BF38)</f>
        <v/>
      </c>
      <c r="BG25" s="5">
        <f>Adds!BG35+IF(Params!$B$7=1,Adds!BG34,Adds!BG38)</f>
        <v/>
      </c>
      <c r="BH25" s="5">
        <f>Adds!BH35+IF(Params!$B$7=1,Adds!BH34,Adds!BH38)</f>
        <v/>
      </c>
      <c r="BI25" s="5">
        <f>Adds!BI35+IF(Params!$B$7=1,Adds!BI34,Adds!BI38)</f>
        <v/>
      </c>
      <c r="BJ25" s="5">
        <f>Adds!BJ35+IF(Params!$B$7=1,Adds!BJ34,Adds!BJ38)</f>
        <v/>
      </c>
      <c r="BK25" s="5">
        <f>Adds!BK35+IF(Params!$B$7=1,Adds!BK34,Adds!BK38)</f>
        <v/>
      </c>
      <c r="BL25" s="5">
        <f>Adds!BL35+IF(Params!$B$7=1,Adds!BL34,Adds!BL38)</f>
        <v/>
      </c>
      <c r="BM25" s="5">
        <f>Adds!BM35+IF(Params!$B$7=1,Adds!BM34,Adds!BM38)</f>
        <v/>
      </c>
      <c r="BN25" s="5">
        <f>Adds!BN35+IF(Params!$B$7=1,Adds!BN34,Adds!BN38)</f>
        <v/>
      </c>
      <c r="BO25" s="5">
        <f>Adds!BO35+IF(Params!$B$7=1,Adds!BO34,Adds!BO38)</f>
        <v/>
      </c>
      <c r="BP25" s="5">
        <f>Adds!BP35+IF(Params!$B$7=1,Adds!BP34,Adds!BP38)</f>
        <v/>
      </c>
      <c r="BQ25" s="5">
        <f>Adds!BQ35+IF(Params!$B$7=1,Adds!BQ34,Adds!BQ38)</f>
        <v/>
      </c>
      <c r="BR25" s="5">
        <f>Adds!BR35+IF(Params!$B$7=1,Adds!BR34,Adds!BR38)</f>
        <v/>
      </c>
      <c r="BS25" s="5">
        <f>Adds!BS35+IF(Params!$B$7=1,Adds!BS34,Adds!BS38)</f>
        <v/>
      </c>
      <c r="BT25" s="5">
        <f>Adds!BT35+IF(Params!$B$7=1,Adds!BT34,Adds!BT38)</f>
        <v/>
      </c>
      <c r="BU25" s="5">
        <f>Adds!BU35+IF(Params!$B$7=1,Adds!BU34,Adds!BU38)</f>
        <v/>
      </c>
      <c r="BV25" s="5">
        <f>Adds!BV35+IF(Params!$B$7=1,Adds!BV34,Adds!BV38)</f>
        <v/>
      </c>
    </row>
    <row r="26">
      <c r="A26" t="inlineStr">
        <is>
          <t>reactivated</t>
        </is>
      </c>
      <c r="B26" t="inlineStr">
        <is>
          <t>US_CA|BASIC_M</t>
        </is>
      </c>
      <c r="C26" s="5">
        <f>React!C34</f>
        <v/>
      </c>
      <c r="D26" s="5">
        <f>React!D34</f>
        <v/>
      </c>
      <c r="E26" s="5">
        <f>React!E34</f>
        <v/>
      </c>
      <c r="F26" s="5">
        <f>React!F34</f>
        <v/>
      </c>
      <c r="G26" s="5">
        <f>React!G34</f>
        <v/>
      </c>
      <c r="H26" s="5">
        <f>React!H34</f>
        <v/>
      </c>
      <c r="I26" s="5">
        <f>React!I34</f>
        <v/>
      </c>
      <c r="J26" s="5">
        <f>React!J34</f>
        <v/>
      </c>
      <c r="K26" s="5">
        <f>React!K34</f>
        <v/>
      </c>
      <c r="L26" s="5">
        <f>React!L34</f>
        <v/>
      </c>
      <c r="M26" s="5">
        <f>React!M34</f>
        <v/>
      </c>
      <c r="N26" s="5">
        <f>React!N34</f>
        <v/>
      </c>
      <c r="O26" s="5">
        <f>React!O34</f>
        <v/>
      </c>
      <c r="P26" s="5">
        <f>React!P34</f>
        <v/>
      </c>
      <c r="Q26" s="5">
        <f>React!Q34</f>
        <v/>
      </c>
      <c r="R26" s="5">
        <f>React!R34</f>
        <v/>
      </c>
      <c r="S26" s="5">
        <f>React!S34</f>
        <v/>
      </c>
      <c r="T26" s="5">
        <f>React!T34</f>
        <v/>
      </c>
      <c r="U26" s="5">
        <f>React!U34</f>
        <v/>
      </c>
      <c r="V26" s="5">
        <f>React!V34</f>
        <v/>
      </c>
      <c r="W26" s="5">
        <f>React!W34</f>
        <v/>
      </c>
      <c r="X26" s="5">
        <f>React!X34</f>
        <v/>
      </c>
      <c r="Y26" s="5">
        <f>React!Y34</f>
        <v/>
      </c>
      <c r="Z26" s="5">
        <f>React!Z34</f>
        <v/>
      </c>
      <c r="AA26" s="5">
        <f>React!AA34</f>
        <v/>
      </c>
      <c r="AB26" s="5">
        <f>React!AB34</f>
        <v/>
      </c>
      <c r="AC26" s="5">
        <f>React!AC34</f>
        <v/>
      </c>
      <c r="AD26" s="5">
        <f>React!AD34</f>
        <v/>
      </c>
      <c r="AE26" s="5">
        <f>React!AE34</f>
        <v/>
      </c>
      <c r="AF26" s="5">
        <f>React!AF34</f>
        <v/>
      </c>
      <c r="AG26" s="5">
        <f>React!AG34</f>
        <v/>
      </c>
      <c r="AH26" s="5">
        <f>React!AH34</f>
        <v/>
      </c>
      <c r="AI26" s="5">
        <f>React!AI34</f>
        <v/>
      </c>
      <c r="AJ26" s="5">
        <f>React!AJ34</f>
        <v/>
      </c>
      <c r="AK26" s="5">
        <f>React!AK34</f>
        <v/>
      </c>
      <c r="AL26" s="5">
        <f>React!AL34</f>
        <v/>
      </c>
      <c r="AM26" s="5">
        <f>React!AM34</f>
        <v/>
      </c>
      <c r="AN26" s="5">
        <f>React!AN34</f>
        <v/>
      </c>
      <c r="AO26" s="5">
        <f>React!AO34</f>
        <v/>
      </c>
      <c r="AP26" s="5">
        <f>React!AP34</f>
        <v/>
      </c>
      <c r="AQ26" s="5">
        <f>React!AQ34</f>
        <v/>
      </c>
      <c r="AR26" s="5">
        <f>React!AR34</f>
        <v/>
      </c>
      <c r="AS26" s="5">
        <f>React!AS34</f>
        <v/>
      </c>
      <c r="AT26" s="5">
        <f>React!AT34</f>
        <v/>
      </c>
      <c r="AU26" s="5">
        <f>React!AU34</f>
        <v/>
      </c>
      <c r="AV26" s="5">
        <f>React!AV34</f>
        <v/>
      </c>
      <c r="AW26" s="5">
        <f>React!AW34</f>
        <v/>
      </c>
      <c r="AX26" s="5">
        <f>React!AX34</f>
        <v/>
      </c>
      <c r="AY26" s="5">
        <f>React!AY34</f>
        <v/>
      </c>
      <c r="AZ26" s="5">
        <f>React!AZ34</f>
        <v/>
      </c>
      <c r="BA26" s="5">
        <f>React!BA34</f>
        <v/>
      </c>
      <c r="BB26" s="5">
        <f>React!BB34</f>
        <v/>
      </c>
      <c r="BC26" s="5">
        <f>React!BC34</f>
        <v/>
      </c>
      <c r="BD26" s="5">
        <f>React!BD34</f>
        <v/>
      </c>
      <c r="BE26" s="5">
        <f>React!BE34</f>
        <v/>
      </c>
      <c r="BF26" s="5">
        <f>React!BF34</f>
        <v/>
      </c>
      <c r="BG26" s="5">
        <f>React!BG34</f>
        <v/>
      </c>
      <c r="BH26" s="5">
        <f>React!BH34</f>
        <v/>
      </c>
      <c r="BI26" s="5">
        <f>React!BI34</f>
        <v/>
      </c>
      <c r="BJ26" s="5">
        <f>React!BJ34</f>
        <v/>
      </c>
      <c r="BK26" s="5">
        <f>React!BK34</f>
        <v/>
      </c>
      <c r="BL26" s="5">
        <f>React!BL34</f>
        <v/>
      </c>
      <c r="BM26" s="5">
        <f>React!BM34</f>
        <v/>
      </c>
      <c r="BN26" s="5">
        <f>React!BN34</f>
        <v/>
      </c>
      <c r="BO26" s="5">
        <f>React!BO34</f>
        <v/>
      </c>
      <c r="BP26" s="5">
        <f>React!BP34</f>
        <v/>
      </c>
      <c r="BQ26" s="5">
        <f>React!BQ34</f>
        <v/>
      </c>
      <c r="BR26" s="5">
        <f>React!BR34</f>
        <v/>
      </c>
      <c r="BS26" s="5">
        <f>React!BS34</f>
        <v/>
      </c>
      <c r="BT26" s="5">
        <f>React!BT34</f>
        <v/>
      </c>
      <c r="BU26" s="5">
        <f>React!BU34</f>
        <v/>
      </c>
      <c r="BV26" s="5">
        <f>React!BV34</f>
        <v/>
      </c>
    </row>
    <row r="27">
      <c r="A27" t="inlineStr">
        <is>
          <t>churned</t>
        </is>
      </c>
      <c r="B27" t="inlineStr">
        <is>
          <t>US_CA|BASIC_M</t>
        </is>
      </c>
      <c r="C27" s="5">
        <f>Legacy!C15+Paid!C13+React!C40+Params!$B$7*Adds!C39</f>
        <v/>
      </c>
      <c r="D27" s="5">
        <f>Legacy!D15+Paid!D13+React!D40+Params!$B$7*Adds!D39</f>
        <v/>
      </c>
      <c r="E27" s="5">
        <f>Legacy!E15+Paid!E13+React!E40+Params!$B$7*Adds!E39</f>
        <v/>
      </c>
      <c r="F27" s="5">
        <f>Legacy!F15+Paid!F13+React!F40+Params!$B$7*Adds!F39</f>
        <v/>
      </c>
      <c r="G27" s="5">
        <f>Legacy!G15+Paid!G13+React!G40+Params!$B$7*Adds!G39</f>
        <v/>
      </c>
      <c r="H27" s="5">
        <f>Legacy!H15+Paid!H13+React!H40+Params!$B$7*Adds!H39</f>
        <v/>
      </c>
      <c r="I27" s="5">
        <f>Legacy!I15+Paid!I13+React!I40+Params!$B$7*Adds!I39</f>
        <v/>
      </c>
      <c r="J27" s="5">
        <f>Legacy!J15+Paid!J13+React!J40+Params!$B$7*Adds!J39</f>
        <v/>
      </c>
      <c r="K27" s="5">
        <f>Legacy!K15+Paid!K13+React!K40+Params!$B$7*Adds!K39</f>
        <v/>
      </c>
      <c r="L27" s="5">
        <f>Legacy!L15+Paid!L13+React!L40+Params!$B$7*Adds!L39</f>
        <v/>
      </c>
      <c r="M27" s="5">
        <f>Legacy!M15+Paid!M13+React!M40+Params!$B$7*Adds!M39</f>
        <v/>
      </c>
      <c r="N27" s="5">
        <f>Legacy!N15+Paid!N13+React!N40+Params!$B$7*Adds!N39</f>
        <v/>
      </c>
      <c r="O27" s="5">
        <f>Legacy!O15+Paid!O13+React!O40+Params!$B$7*Adds!O39</f>
        <v/>
      </c>
      <c r="P27" s="5">
        <f>Legacy!P15+Paid!P13+React!P40+Params!$B$7*Adds!P39</f>
        <v/>
      </c>
      <c r="Q27" s="5">
        <f>Legacy!Q15+Paid!Q13+React!Q40+Params!$B$7*Adds!Q39</f>
        <v/>
      </c>
      <c r="R27" s="5">
        <f>Legacy!R15+Paid!R13+React!R40+Params!$B$7*Adds!R39</f>
        <v/>
      </c>
      <c r="S27" s="5">
        <f>Legacy!S15+Paid!S13+React!S40+Params!$B$7*Adds!S39</f>
        <v/>
      </c>
      <c r="T27" s="5">
        <f>Legacy!T15+Paid!T13+React!T40+Params!$B$7*Adds!T39</f>
        <v/>
      </c>
      <c r="U27" s="5">
        <f>Legacy!U15+Paid!U13+React!U40+Params!$B$7*Adds!U39</f>
        <v/>
      </c>
      <c r="V27" s="5">
        <f>Legacy!V15+Paid!V13+React!V40+Params!$B$7*Adds!V39</f>
        <v/>
      </c>
      <c r="W27" s="5">
        <f>Legacy!W15+Paid!W13+React!W40+Params!$B$7*Adds!W39</f>
        <v/>
      </c>
      <c r="X27" s="5">
        <f>Legacy!X15+Paid!X13+React!X40+Params!$B$7*Adds!X39</f>
        <v/>
      </c>
      <c r="Y27" s="5">
        <f>Legacy!Y15+Paid!Y13+React!Y40+Params!$B$7*Adds!Y39</f>
        <v/>
      </c>
      <c r="Z27" s="5">
        <f>Legacy!Z15+Paid!Z13+React!Z40+Params!$B$7*Adds!Z39</f>
        <v/>
      </c>
      <c r="AA27" s="5">
        <f>Legacy!AA15+Paid!AA13+React!AA40+Params!$B$7*Adds!AA39</f>
        <v/>
      </c>
      <c r="AB27" s="5">
        <f>Legacy!AB15+Paid!AB13+React!AB40+Params!$B$7*Adds!AB39</f>
        <v/>
      </c>
      <c r="AC27" s="5">
        <f>Legacy!AC15+Paid!AC13+React!AC40+Params!$B$7*Adds!AC39</f>
        <v/>
      </c>
      <c r="AD27" s="5">
        <f>Legacy!AD15+Paid!AD13+React!AD40+Params!$B$7*Adds!AD39</f>
        <v/>
      </c>
      <c r="AE27" s="5">
        <f>Legacy!AE15+Paid!AE13+React!AE40+Params!$B$7*Adds!AE39</f>
        <v/>
      </c>
      <c r="AF27" s="5">
        <f>Legacy!AF15+Paid!AF13+React!AF40+Params!$B$7*Adds!AF39</f>
        <v/>
      </c>
      <c r="AG27" s="5">
        <f>Legacy!AG15+Paid!AG13+React!AG40+Params!$B$7*Adds!AG39</f>
        <v/>
      </c>
      <c r="AH27" s="5">
        <f>Legacy!AH15+Paid!AH13+React!AH40+Params!$B$7*Adds!AH39</f>
        <v/>
      </c>
      <c r="AI27" s="5">
        <f>Legacy!AI15+Paid!AI13+React!AI40+Params!$B$7*Adds!AI39</f>
        <v/>
      </c>
      <c r="AJ27" s="5">
        <f>Legacy!AJ15+Paid!AJ13+React!AJ40+Params!$B$7*Adds!AJ39</f>
        <v/>
      </c>
      <c r="AK27" s="5">
        <f>Legacy!AK15+Paid!AK13+React!AK40+Params!$B$7*Adds!AK39</f>
        <v/>
      </c>
      <c r="AL27" s="5">
        <f>Legacy!AL15+Paid!AL13+React!AL40+Params!$B$7*Adds!AL39</f>
        <v/>
      </c>
      <c r="AM27" s="5">
        <f>Legacy!AM15+Paid!AM13+React!AM40+Params!$B$7*Adds!AM39</f>
        <v/>
      </c>
      <c r="AN27" s="5">
        <f>Legacy!AN15+Paid!AN13+React!AN40+Params!$B$7*Adds!AN39</f>
        <v/>
      </c>
      <c r="AO27" s="5">
        <f>Legacy!AO15+Paid!AO13+React!AO40+Params!$B$7*Adds!AO39</f>
        <v/>
      </c>
      <c r="AP27" s="5">
        <f>Legacy!AP15+Paid!AP13+React!AP40+Params!$B$7*Adds!AP39</f>
        <v/>
      </c>
      <c r="AQ27" s="5">
        <f>Legacy!AQ15+Paid!AQ13+React!AQ40+Params!$B$7*Adds!AQ39</f>
        <v/>
      </c>
      <c r="AR27" s="5">
        <f>Legacy!AR15+Paid!AR13+React!AR40+Params!$B$7*Adds!AR39</f>
        <v/>
      </c>
      <c r="AS27" s="5">
        <f>Legacy!AS15+Paid!AS13+React!AS40+Params!$B$7*Adds!AS39</f>
        <v/>
      </c>
      <c r="AT27" s="5">
        <f>Legacy!AT15+Paid!AT13+React!AT40+Params!$B$7*Adds!AT39</f>
        <v/>
      </c>
      <c r="AU27" s="5">
        <f>Legacy!AU15+Paid!AU13+React!AU40+Params!$B$7*Adds!AU39</f>
        <v/>
      </c>
      <c r="AV27" s="5">
        <f>Legacy!AV15+Paid!AV13+React!AV40+Params!$B$7*Adds!AV39</f>
        <v/>
      </c>
      <c r="AW27" s="5">
        <f>Legacy!AW15+Paid!AW13+React!AW40+Params!$B$7*Adds!AW39</f>
        <v/>
      </c>
      <c r="AX27" s="5">
        <f>Legacy!AX15+Paid!AX13+React!AX40+Params!$B$7*Adds!AX39</f>
        <v/>
      </c>
      <c r="AY27" s="5">
        <f>Legacy!AY15+Paid!AY13+React!AY40+Params!$B$7*Adds!AY39</f>
        <v/>
      </c>
      <c r="AZ27" s="5">
        <f>Legacy!AZ15+Paid!AZ13+React!AZ40+Params!$B$7*Adds!AZ39</f>
        <v/>
      </c>
      <c r="BA27" s="5">
        <f>Legacy!BA15+Paid!BA13+React!BA40+Params!$B$7*Adds!BA39</f>
        <v/>
      </c>
      <c r="BB27" s="5">
        <f>Legacy!BB15+Paid!BB13+React!BB40+Params!$B$7*Adds!BB39</f>
        <v/>
      </c>
      <c r="BC27" s="5">
        <f>Legacy!BC15+Paid!BC13+React!BC40+Params!$B$7*Adds!BC39</f>
        <v/>
      </c>
      <c r="BD27" s="5">
        <f>Legacy!BD15+Paid!BD13+React!BD40+Params!$B$7*Adds!BD39</f>
        <v/>
      </c>
      <c r="BE27" s="5">
        <f>Legacy!BE15+Paid!BE13+React!BE40+Params!$B$7*Adds!BE39</f>
        <v/>
      </c>
      <c r="BF27" s="5">
        <f>Legacy!BF15+Paid!BF13+React!BF40+Params!$B$7*Adds!BF39</f>
        <v/>
      </c>
      <c r="BG27" s="5">
        <f>Legacy!BG15+Paid!BG13+React!BG40+Params!$B$7*Adds!BG39</f>
        <v/>
      </c>
      <c r="BH27" s="5">
        <f>Legacy!BH15+Paid!BH13+React!BH40+Params!$B$7*Adds!BH39</f>
        <v/>
      </c>
      <c r="BI27" s="5">
        <f>Legacy!BI15+Paid!BI13+React!BI40+Params!$B$7*Adds!BI39</f>
        <v/>
      </c>
      <c r="BJ27" s="5">
        <f>Legacy!BJ15+Paid!BJ13+React!BJ40+Params!$B$7*Adds!BJ39</f>
        <v/>
      </c>
      <c r="BK27" s="5">
        <f>Legacy!BK15+Paid!BK13+React!BK40+Params!$B$7*Adds!BK39</f>
        <v/>
      </c>
      <c r="BL27" s="5">
        <f>Legacy!BL15+Paid!BL13+React!BL40+Params!$B$7*Adds!BL39</f>
        <v/>
      </c>
      <c r="BM27" s="5">
        <f>Legacy!BM15+Paid!BM13+React!BM40+Params!$B$7*Adds!BM39</f>
        <v/>
      </c>
      <c r="BN27" s="5">
        <f>Legacy!BN15+Paid!BN13+React!BN40+Params!$B$7*Adds!BN39</f>
        <v/>
      </c>
      <c r="BO27" s="5">
        <f>Legacy!BO15+Paid!BO13+React!BO40+Params!$B$7*Adds!BO39</f>
        <v/>
      </c>
      <c r="BP27" s="5">
        <f>Legacy!BP15+Paid!BP13+React!BP40+Params!$B$7*Adds!BP39</f>
        <v/>
      </c>
      <c r="BQ27" s="5">
        <f>Legacy!BQ15+Paid!BQ13+React!BQ40+Params!$B$7*Adds!BQ39</f>
        <v/>
      </c>
      <c r="BR27" s="5">
        <f>Legacy!BR15+Paid!BR13+React!BR40+Params!$B$7*Adds!BR39</f>
        <v/>
      </c>
      <c r="BS27" s="5">
        <f>Legacy!BS15+Paid!BS13+React!BS40+Params!$B$7*Adds!BS39</f>
        <v/>
      </c>
      <c r="BT27" s="5">
        <f>Legacy!BT15+Paid!BT13+React!BT40+Params!$B$7*Adds!BT39</f>
        <v/>
      </c>
      <c r="BU27" s="5">
        <f>Legacy!BU15+Paid!BU13+React!BU40+Params!$B$7*Adds!BU39</f>
        <v/>
      </c>
      <c r="BV27" s="5">
        <f>Legacy!BV15+Paid!BV13+React!BV40+Params!$B$7*Adds!BV39</f>
        <v/>
      </c>
    </row>
    <row r="28">
      <c r="A28" t="inlineStr">
        <is>
          <t>closing</t>
        </is>
      </c>
      <c r="B28" t="inlineStr">
        <is>
          <t>US_CA|BASIC_M</t>
        </is>
      </c>
      <c r="C28" s="5">
        <f>C29+Params!$B$7*Adds!C42</f>
        <v/>
      </c>
      <c r="D28" s="5">
        <f>D29+Params!$B$7*Adds!D42</f>
        <v/>
      </c>
      <c r="E28" s="5">
        <f>E29+Params!$B$7*Adds!E42</f>
        <v/>
      </c>
      <c r="F28" s="5">
        <f>F29+Params!$B$7*Adds!F42</f>
        <v/>
      </c>
      <c r="G28" s="5">
        <f>G29+Params!$B$7*Adds!G42</f>
        <v/>
      </c>
      <c r="H28" s="5">
        <f>H29+Params!$B$7*Adds!H42</f>
        <v/>
      </c>
      <c r="I28" s="5">
        <f>I29+Params!$B$7*Adds!I42</f>
        <v/>
      </c>
      <c r="J28" s="5">
        <f>J29+Params!$B$7*Adds!J42</f>
        <v/>
      </c>
      <c r="K28" s="5">
        <f>K29+Params!$B$7*Adds!K42</f>
        <v/>
      </c>
      <c r="L28" s="5">
        <f>L29+Params!$B$7*Adds!L42</f>
        <v/>
      </c>
      <c r="M28" s="5">
        <f>M29+Params!$B$7*Adds!M42</f>
        <v/>
      </c>
      <c r="N28" s="5">
        <f>N29+Params!$B$7*Adds!N42</f>
        <v/>
      </c>
      <c r="O28" s="5">
        <f>O29+Params!$B$7*Adds!O42</f>
        <v/>
      </c>
      <c r="P28" s="5">
        <f>P29+Params!$B$7*Adds!P42</f>
        <v/>
      </c>
      <c r="Q28" s="5">
        <f>Q29+Params!$B$7*Adds!Q42</f>
        <v/>
      </c>
      <c r="R28" s="5">
        <f>R29+Params!$B$7*Adds!R42</f>
        <v/>
      </c>
      <c r="S28" s="5">
        <f>S29+Params!$B$7*Adds!S42</f>
        <v/>
      </c>
      <c r="T28" s="5">
        <f>T29+Params!$B$7*Adds!T42</f>
        <v/>
      </c>
      <c r="U28" s="5">
        <f>U29+Params!$B$7*Adds!U42</f>
        <v/>
      </c>
      <c r="V28" s="5">
        <f>V29+Params!$B$7*Adds!V42</f>
        <v/>
      </c>
      <c r="W28" s="5">
        <f>W29+Params!$B$7*Adds!W42</f>
        <v/>
      </c>
      <c r="X28" s="5">
        <f>X29+Params!$B$7*Adds!X42</f>
        <v/>
      </c>
      <c r="Y28" s="5">
        <f>Y29+Params!$B$7*Adds!Y42</f>
        <v/>
      </c>
      <c r="Z28" s="5">
        <f>Z29+Params!$B$7*Adds!Z42</f>
        <v/>
      </c>
      <c r="AA28" s="5">
        <f>AA29+Params!$B$7*Adds!AA42</f>
        <v/>
      </c>
      <c r="AB28" s="5">
        <f>AB29+Params!$B$7*Adds!AB42</f>
        <v/>
      </c>
      <c r="AC28" s="5">
        <f>AC29+Params!$B$7*Adds!AC42</f>
        <v/>
      </c>
      <c r="AD28" s="5">
        <f>AD29+Params!$B$7*Adds!AD42</f>
        <v/>
      </c>
      <c r="AE28" s="5">
        <f>AE29+Params!$B$7*Adds!AE42</f>
        <v/>
      </c>
      <c r="AF28" s="5">
        <f>AF29+Params!$B$7*Adds!AF42</f>
        <v/>
      </c>
      <c r="AG28" s="5">
        <f>AG29+Params!$B$7*Adds!AG42</f>
        <v/>
      </c>
      <c r="AH28" s="5">
        <f>AH29+Params!$B$7*Adds!AH42</f>
        <v/>
      </c>
      <c r="AI28" s="5">
        <f>AI29+Params!$B$7*Adds!AI42</f>
        <v/>
      </c>
      <c r="AJ28" s="5">
        <f>AJ29+Params!$B$7*Adds!AJ42</f>
        <v/>
      </c>
      <c r="AK28" s="5">
        <f>AK29+Params!$B$7*Adds!AK42</f>
        <v/>
      </c>
      <c r="AL28" s="5">
        <f>AL29+Params!$B$7*Adds!AL42</f>
        <v/>
      </c>
      <c r="AM28" s="5">
        <f>AM29+Params!$B$7*Adds!AM42</f>
        <v/>
      </c>
      <c r="AN28" s="5">
        <f>AN29+Params!$B$7*Adds!AN42</f>
        <v/>
      </c>
      <c r="AO28" s="5">
        <f>AO29+Params!$B$7*Adds!AO42</f>
        <v/>
      </c>
      <c r="AP28" s="5">
        <f>AP29+Params!$B$7*Adds!AP42</f>
        <v/>
      </c>
      <c r="AQ28" s="5">
        <f>AQ29+Params!$B$7*Adds!AQ42</f>
        <v/>
      </c>
      <c r="AR28" s="5">
        <f>AR29+Params!$B$7*Adds!AR42</f>
        <v/>
      </c>
      <c r="AS28" s="5">
        <f>AS29+Params!$B$7*Adds!AS42</f>
        <v/>
      </c>
      <c r="AT28" s="5">
        <f>AT29+Params!$B$7*Adds!AT42</f>
        <v/>
      </c>
      <c r="AU28" s="5">
        <f>AU29+Params!$B$7*Adds!AU42</f>
        <v/>
      </c>
      <c r="AV28" s="5">
        <f>AV29+Params!$B$7*Adds!AV42</f>
        <v/>
      </c>
      <c r="AW28" s="5">
        <f>AW29+Params!$B$7*Adds!AW42</f>
        <v/>
      </c>
      <c r="AX28" s="5">
        <f>AX29+Params!$B$7*Adds!AX42</f>
        <v/>
      </c>
      <c r="AY28" s="5">
        <f>AY29+Params!$B$7*Adds!AY42</f>
        <v/>
      </c>
      <c r="AZ28" s="5">
        <f>AZ29+Params!$B$7*Adds!AZ42</f>
        <v/>
      </c>
      <c r="BA28" s="5">
        <f>BA29+Params!$B$7*Adds!BA42</f>
        <v/>
      </c>
      <c r="BB28" s="5">
        <f>BB29+Params!$B$7*Adds!BB42</f>
        <v/>
      </c>
      <c r="BC28" s="5">
        <f>BC29+Params!$B$7*Adds!BC42</f>
        <v/>
      </c>
      <c r="BD28" s="5">
        <f>BD29+Params!$B$7*Adds!BD42</f>
        <v/>
      </c>
      <c r="BE28" s="5">
        <f>BE29+Params!$B$7*Adds!BE42</f>
        <v/>
      </c>
      <c r="BF28" s="5">
        <f>BF29+Params!$B$7*Adds!BF42</f>
        <v/>
      </c>
      <c r="BG28" s="5">
        <f>BG29+Params!$B$7*Adds!BG42</f>
        <v/>
      </c>
      <c r="BH28" s="5">
        <f>BH29+Params!$B$7*Adds!BH42</f>
        <v/>
      </c>
      <c r="BI28" s="5">
        <f>BI29+Params!$B$7*Adds!BI42</f>
        <v/>
      </c>
      <c r="BJ28" s="5">
        <f>BJ29+Params!$B$7*Adds!BJ42</f>
        <v/>
      </c>
      <c r="BK28" s="5">
        <f>BK29+Params!$B$7*Adds!BK42</f>
        <v/>
      </c>
      <c r="BL28" s="5">
        <f>BL29+Params!$B$7*Adds!BL42</f>
        <v/>
      </c>
      <c r="BM28" s="5">
        <f>BM29+Params!$B$7*Adds!BM42</f>
        <v/>
      </c>
      <c r="BN28" s="5">
        <f>BN29+Params!$B$7*Adds!BN42</f>
        <v/>
      </c>
      <c r="BO28" s="5">
        <f>BO29+Params!$B$7*Adds!BO42</f>
        <v/>
      </c>
      <c r="BP28" s="5">
        <f>BP29+Params!$B$7*Adds!BP42</f>
        <v/>
      </c>
      <c r="BQ28" s="5">
        <f>BQ29+Params!$B$7*Adds!BQ42</f>
        <v/>
      </c>
      <c r="BR28" s="5">
        <f>BR29+Params!$B$7*Adds!BR42</f>
        <v/>
      </c>
      <c r="BS28" s="5">
        <f>BS29+Params!$B$7*Adds!BS42</f>
        <v/>
      </c>
      <c r="BT28" s="5">
        <f>BT29+Params!$B$7*Adds!BT42</f>
        <v/>
      </c>
      <c r="BU28" s="5">
        <f>BU29+Params!$B$7*Adds!BU42</f>
        <v/>
      </c>
      <c r="BV28" s="5">
        <f>BV29+Params!$B$7*Adds!BV42</f>
        <v/>
      </c>
    </row>
    <row r="29">
      <c r="A29" t="inlineStr">
        <is>
          <t>paying</t>
        </is>
      </c>
      <c r="B29" t="inlineStr">
        <is>
          <t>US_CA|BASIC_M</t>
        </is>
      </c>
      <c r="C29" s="5">
        <f>Legacy!C14+Paid!C11+React!C38</f>
        <v/>
      </c>
      <c r="D29" s="5">
        <f>Legacy!D14+Paid!D11+React!D38</f>
        <v/>
      </c>
      <c r="E29" s="5">
        <f>Legacy!E14+Paid!E11+React!E38</f>
        <v/>
      </c>
      <c r="F29" s="5">
        <f>Legacy!F14+Paid!F11+React!F38</f>
        <v/>
      </c>
      <c r="G29" s="5">
        <f>Legacy!G14+Paid!G11+React!G38</f>
        <v/>
      </c>
      <c r="H29" s="5">
        <f>Legacy!H14+Paid!H11+React!H38</f>
        <v/>
      </c>
      <c r="I29" s="5">
        <f>Legacy!I14+Paid!I11+React!I38</f>
        <v/>
      </c>
      <c r="J29" s="5">
        <f>Legacy!J14+Paid!J11+React!J38</f>
        <v/>
      </c>
      <c r="K29" s="5">
        <f>Legacy!K14+Paid!K11+React!K38</f>
        <v/>
      </c>
      <c r="L29" s="5">
        <f>Legacy!L14+Paid!L11+React!L38</f>
        <v/>
      </c>
      <c r="M29" s="5">
        <f>Legacy!M14+Paid!M11+React!M38</f>
        <v/>
      </c>
      <c r="N29" s="5">
        <f>Legacy!N14+Paid!N11+React!N38</f>
        <v/>
      </c>
      <c r="O29" s="5">
        <f>Legacy!O14+Paid!O11+React!O38</f>
        <v/>
      </c>
      <c r="P29" s="5">
        <f>Legacy!P14+Paid!P11+React!P38</f>
        <v/>
      </c>
      <c r="Q29" s="5">
        <f>Legacy!Q14+Paid!Q11+React!Q38</f>
        <v/>
      </c>
      <c r="R29" s="5">
        <f>Legacy!R14+Paid!R11+React!R38</f>
        <v/>
      </c>
      <c r="S29" s="5">
        <f>Legacy!S14+Paid!S11+React!S38</f>
        <v/>
      </c>
      <c r="T29" s="5">
        <f>Legacy!T14+Paid!T11+React!T38</f>
        <v/>
      </c>
      <c r="U29" s="5">
        <f>Legacy!U14+Paid!U11+React!U38</f>
        <v/>
      </c>
      <c r="V29" s="5">
        <f>Legacy!V14+Paid!V11+React!V38</f>
        <v/>
      </c>
      <c r="W29" s="5">
        <f>Legacy!W14+Paid!W11+React!W38</f>
        <v/>
      </c>
      <c r="X29" s="5">
        <f>Legacy!X14+Paid!X11+React!X38</f>
        <v/>
      </c>
      <c r="Y29" s="5">
        <f>Legacy!Y14+Paid!Y11+React!Y38</f>
        <v/>
      </c>
      <c r="Z29" s="5">
        <f>Legacy!Z14+Paid!Z11+React!Z38</f>
        <v/>
      </c>
      <c r="AA29" s="5">
        <f>Legacy!AA14+Paid!AA11+React!AA38</f>
        <v/>
      </c>
      <c r="AB29" s="5">
        <f>Legacy!AB14+Paid!AB11+React!AB38</f>
        <v/>
      </c>
      <c r="AC29" s="5">
        <f>Legacy!AC14+Paid!AC11+React!AC38</f>
        <v/>
      </c>
      <c r="AD29" s="5">
        <f>Legacy!AD14+Paid!AD11+React!AD38</f>
        <v/>
      </c>
      <c r="AE29" s="5">
        <f>Legacy!AE14+Paid!AE11+React!AE38</f>
        <v/>
      </c>
      <c r="AF29" s="5">
        <f>Legacy!AF14+Paid!AF11+React!AF38</f>
        <v/>
      </c>
      <c r="AG29" s="5">
        <f>Legacy!AG14+Paid!AG11+React!AG38</f>
        <v/>
      </c>
      <c r="AH29" s="5">
        <f>Legacy!AH14+Paid!AH11+React!AH38</f>
        <v/>
      </c>
      <c r="AI29" s="5">
        <f>Legacy!AI14+Paid!AI11+React!AI38</f>
        <v/>
      </c>
      <c r="AJ29" s="5">
        <f>Legacy!AJ14+Paid!AJ11+React!AJ38</f>
        <v/>
      </c>
      <c r="AK29" s="5">
        <f>Legacy!AK14+Paid!AK11+React!AK38</f>
        <v/>
      </c>
      <c r="AL29" s="5">
        <f>Legacy!AL14+Paid!AL11+React!AL38</f>
        <v/>
      </c>
      <c r="AM29" s="5">
        <f>Legacy!AM14+Paid!AM11+React!AM38</f>
        <v/>
      </c>
      <c r="AN29" s="5">
        <f>Legacy!AN14+Paid!AN11+React!AN38</f>
        <v/>
      </c>
      <c r="AO29" s="5">
        <f>Legacy!AO14+Paid!AO11+React!AO38</f>
        <v/>
      </c>
      <c r="AP29" s="5">
        <f>Legacy!AP14+Paid!AP11+React!AP38</f>
        <v/>
      </c>
      <c r="AQ29" s="5">
        <f>Legacy!AQ14+Paid!AQ11+React!AQ38</f>
        <v/>
      </c>
      <c r="AR29" s="5">
        <f>Legacy!AR14+Paid!AR11+React!AR38</f>
        <v/>
      </c>
      <c r="AS29" s="5">
        <f>Legacy!AS14+Paid!AS11+React!AS38</f>
        <v/>
      </c>
      <c r="AT29" s="5">
        <f>Legacy!AT14+Paid!AT11+React!AT38</f>
        <v/>
      </c>
      <c r="AU29" s="5">
        <f>Legacy!AU14+Paid!AU11+React!AU38</f>
        <v/>
      </c>
      <c r="AV29" s="5">
        <f>Legacy!AV14+Paid!AV11+React!AV38</f>
        <v/>
      </c>
      <c r="AW29" s="5">
        <f>Legacy!AW14+Paid!AW11+React!AW38</f>
        <v/>
      </c>
      <c r="AX29" s="5">
        <f>Legacy!AX14+Paid!AX11+React!AX38</f>
        <v/>
      </c>
      <c r="AY29" s="5">
        <f>Legacy!AY14+Paid!AY11+React!AY38</f>
        <v/>
      </c>
      <c r="AZ29" s="5">
        <f>Legacy!AZ14+Paid!AZ11+React!AZ38</f>
        <v/>
      </c>
      <c r="BA29" s="5">
        <f>Legacy!BA14+Paid!BA11+React!BA38</f>
        <v/>
      </c>
      <c r="BB29" s="5">
        <f>Legacy!BB14+Paid!BB11+React!BB38</f>
        <v/>
      </c>
      <c r="BC29" s="5">
        <f>Legacy!BC14+Paid!BC11+React!BC38</f>
        <v/>
      </c>
      <c r="BD29" s="5">
        <f>Legacy!BD14+Paid!BD11+React!BD38</f>
        <v/>
      </c>
      <c r="BE29" s="5">
        <f>Legacy!BE14+Paid!BE11+React!BE38</f>
        <v/>
      </c>
      <c r="BF29" s="5">
        <f>Legacy!BF14+Paid!BF11+React!BF38</f>
        <v/>
      </c>
      <c r="BG29" s="5">
        <f>Legacy!BG14+Paid!BG11+React!BG38</f>
        <v/>
      </c>
      <c r="BH29" s="5">
        <f>Legacy!BH14+Paid!BH11+React!BH38</f>
        <v/>
      </c>
      <c r="BI29" s="5">
        <f>Legacy!BI14+Paid!BI11+React!BI38</f>
        <v/>
      </c>
      <c r="BJ29" s="5">
        <f>Legacy!BJ14+Paid!BJ11+React!BJ38</f>
        <v/>
      </c>
      <c r="BK29" s="5">
        <f>Legacy!BK14+Paid!BK11+React!BK38</f>
        <v/>
      </c>
      <c r="BL29" s="5">
        <f>Legacy!BL14+Paid!BL11+React!BL38</f>
        <v/>
      </c>
      <c r="BM29" s="5">
        <f>Legacy!BM14+Paid!BM11+React!BM38</f>
        <v/>
      </c>
      <c r="BN29" s="5">
        <f>Legacy!BN14+Paid!BN11+React!BN38</f>
        <v/>
      </c>
      <c r="BO29" s="5">
        <f>Legacy!BO14+Paid!BO11+React!BO38</f>
        <v/>
      </c>
      <c r="BP29" s="5">
        <f>Legacy!BP14+Paid!BP11+React!BP38</f>
        <v/>
      </c>
      <c r="BQ29" s="5">
        <f>Legacy!BQ14+Paid!BQ11+React!BQ38</f>
        <v/>
      </c>
      <c r="BR29" s="5">
        <f>Legacy!BR14+Paid!BR11+React!BR38</f>
        <v/>
      </c>
      <c r="BS29" s="5">
        <f>Legacy!BS14+Paid!BS11+React!BS38</f>
        <v/>
      </c>
      <c r="BT29" s="5">
        <f>Legacy!BT14+Paid!BT11+React!BT38</f>
        <v/>
      </c>
      <c r="BU29" s="5">
        <f>Legacy!BU14+Paid!BU11+React!BU38</f>
        <v/>
      </c>
      <c r="BV29" s="5">
        <f>Legacy!BV14+Paid!BV11+React!BV38</f>
        <v/>
      </c>
    </row>
    <row r="31">
      <c r="A31" t="inlineStr">
        <is>
          <t>opening</t>
        </is>
      </c>
      <c r="B31" t="inlineStr">
        <is>
          <t>US_CA|BASIC_A</t>
        </is>
      </c>
      <c r="C31" s="5">
        <f>Legacy!$C$17</f>
        <v/>
      </c>
      <c r="D31" s="5">
        <f>C35</f>
        <v/>
      </c>
      <c r="E31" s="5">
        <f>D35</f>
        <v/>
      </c>
      <c r="F31" s="5">
        <f>E35</f>
        <v/>
      </c>
      <c r="G31" s="5">
        <f>F35</f>
        <v/>
      </c>
      <c r="H31" s="5">
        <f>G35</f>
        <v/>
      </c>
      <c r="I31" s="5">
        <f>H35</f>
        <v/>
      </c>
      <c r="J31" s="5">
        <f>I35</f>
        <v/>
      </c>
      <c r="K31" s="5">
        <f>J35</f>
        <v/>
      </c>
      <c r="L31" s="5">
        <f>K35</f>
        <v/>
      </c>
      <c r="M31" s="5">
        <f>L35</f>
        <v/>
      </c>
      <c r="N31" s="5">
        <f>M35</f>
        <v/>
      </c>
      <c r="O31" s="5">
        <f>N35</f>
        <v/>
      </c>
      <c r="P31" s="5">
        <f>O35</f>
        <v/>
      </c>
      <c r="Q31" s="5">
        <f>P35</f>
        <v/>
      </c>
      <c r="R31" s="5">
        <f>Q35</f>
        <v/>
      </c>
      <c r="S31" s="5">
        <f>R35</f>
        <v/>
      </c>
      <c r="T31" s="5">
        <f>S35</f>
        <v/>
      </c>
      <c r="U31" s="5">
        <f>T35</f>
        <v/>
      </c>
      <c r="V31" s="5">
        <f>U35</f>
        <v/>
      </c>
      <c r="W31" s="5">
        <f>V35</f>
        <v/>
      </c>
      <c r="X31" s="5">
        <f>W35</f>
        <v/>
      </c>
      <c r="Y31" s="5">
        <f>X35</f>
        <v/>
      </c>
      <c r="Z31" s="5">
        <f>Y35</f>
        <v/>
      </c>
      <c r="AA31" s="5">
        <f>Z35</f>
        <v/>
      </c>
      <c r="AB31" s="5">
        <f>AA35</f>
        <v/>
      </c>
      <c r="AC31" s="5">
        <f>AB35</f>
        <v/>
      </c>
      <c r="AD31" s="5">
        <f>AC35</f>
        <v/>
      </c>
      <c r="AE31" s="5">
        <f>AD35</f>
        <v/>
      </c>
      <c r="AF31" s="5">
        <f>AE35</f>
        <v/>
      </c>
      <c r="AG31" s="5">
        <f>AF35</f>
        <v/>
      </c>
      <c r="AH31" s="5">
        <f>AG35</f>
        <v/>
      </c>
      <c r="AI31" s="5">
        <f>AH35</f>
        <v/>
      </c>
      <c r="AJ31" s="5">
        <f>AI35</f>
        <v/>
      </c>
      <c r="AK31" s="5">
        <f>AJ35</f>
        <v/>
      </c>
      <c r="AL31" s="5">
        <f>AK35</f>
        <v/>
      </c>
      <c r="AM31" s="5">
        <f>AL35</f>
        <v/>
      </c>
      <c r="AN31" s="5">
        <f>AM35</f>
        <v/>
      </c>
      <c r="AO31" s="5">
        <f>AN35</f>
        <v/>
      </c>
      <c r="AP31" s="5">
        <f>AO35</f>
        <v/>
      </c>
      <c r="AQ31" s="5">
        <f>AP35</f>
        <v/>
      </c>
      <c r="AR31" s="5">
        <f>AQ35</f>
        <v/>
      </c>
      <c r="AS31" s="5">
        <f>AR35</f>
        <v/>
      </c>
      <c r="AT31" s="5">
        <f>AS35</f>
        <v/>
      </c>
      <c r="AU31" s="5">
        <f>AT35</f>
        <v/>
      </c>
      <c r="AV31" s="5">
        <f>AU35</f>
        <v/>
      </c>
      <c r="AW31" s="5">
        <f>AV35</f>
        <v/>
      </c>
      <c r="AX31" s="5">
        <f>AW35</f>
        <v/>
      </c>
      <c r="AY31" s="5">
        <f>AX35</f>
        <v/>
      </c>
      <c r="AZ31" s="5">
        <f>AY35</f>
        <v/>
      </c>
      <c r="BA31" s="5">
        <f>AZ35</f>
        <v/>
      </c>
      <c r="BB31" s="5">
        <f>BA35</f>
        <v/>
      </c>
      <c r="BC31" s="5">
        <f>BB35</f>
        <v/>
      </c>
      <c r="BD31" s="5">
        <f>BC35</f>
        <v/>
      </c>
      <c r="BE31" s="5">
        <f>BD35</f>
        <v/>
      </c>
      <c r="BF31" s="5">
        <f>BE35</f>
        <v/>
      </c>
      <c r="BG31" s="5">
        <f>BF35</f>
        <v/>
      </c>
      <c r="BH31" s="5">
        <f>BG35</f>
        <v/>
      </c>
      <c r="BI31" s="5">
        <f>BH35</f>
        <v/>
      </c>
      <c r="BJ31" s="5">
        <f>BI35</f>
        <v/>
      </c>
      <c r="BK31" s="5">
        <f>BJ35</f>
        <v/>
      </c>
      <c r="BL31" s="5">
        <f>BK35</f>
        <v/>
      </c>
      <c r="BM31" s="5">
        <f>BL35</f>
        <v/>
      </c>
      <c r="BN31" s="5">
        <f>BM35</f>
        <v/>
      </c>
      <c r="BO31" s="5">
        <f>BN35</f>
        <v/>
      </c>
      <c r="BP31" s="5">
        <f>BO35</f>
        <v/>
      </c>
      <c r="BQ31" s="5">
        <f>BP35</f>
        <v/>
      </c>
      <c r="BR31" s="5">
        <f>BQ35</f>
        <v/>
      </c>
      <c r="BS31" s="5">
        <f>BR35</f>
        <v/>
      </c>
      <c r="BT31" s="5">
        <f>BS35</f>
        <v/>
      </c>
      <c r="BU31" s="5">
        <f>BT35</f>
        <v/>
      </c>
      <c r="BV31" s="5">
        <f>BU35</f>
        <v/>
      </c>
    </row>
    <row r="32">
      <c r="A32" t="inlineStr">
        <is>
          <t>new</t>
        </is>
      </c>
      <c r="B32" t="inlineStr">
        <is>
          <t>US_CA|BASIC_A</t>
        </is>
      </c>
      <c r="C32" s="5">
        <f>Adds!C50+IF(Params!$B$7=1,Adds!C49,Adds!C53)</f>
        <v/>
      </c>
      <c r="D32" s="5">
        <f>Adds!D50+IF(Params!$B$7=1,Adds!D49,Adds!D53)</f>
        <v/>
      </c>
      <c r="E32" s="5">
        <f>Adds!E50+IF(Params!$B$7=1,Adds!E49,Adds!E53)</f>
        <v/>
      </c>
      <c r="F32" s="5">
        <f>Adds!F50+IF(Params!$B$7=1,Adds!F49,Adds!F53)</f>
        <v/>
      </c>
      <c r="G32" s="5">
        <f>Adds!G50+IF(Params!$B$7=1,Adds!G49,Adds!G53)</f>
        <v/>
      </c>
      <c r="H32" s="5">
        <f>Adds!H50+IF(Params!$B$7=1,Adds!H49,Adds!H53)</f>
        <v/>
      </c>
      <c r="I32" s="5">
        <f>Adds!I50+IF(Params!$B$7=1,Adds!I49,Adds!I53)</f>
        <v/>
      </c>
      <c r="J32" s="5">
        <f>Adds!J50+IF(Params!$B$7=1,Adds!J49,Adds!J53)</f>
        <v/>
      </c>
      <c r="K32" s="5">
        <f>Adds!K50+IF(Params!$B$7=1,Adds!K49,Adds!K53)</f>
        <v/>
      </c>
      <c r="L32" s="5">
        <f>Adds!L50+IF(Params!$B$7=1,Adds!L49,Adds!L53)</f>
        <v/>
      </c>
      <c r="M32" s="5">
        <f>Adds!M50+IF(Params!$B$7=1,Adds!M49,Adds!M53)</f>
        <v/>
      </c>
      <c r="N32" s="5">
        <f>Adds!N50+IF(Params!$B$7=1,Adds!N49,Adds!N53)</f>
        <v/>
      </c>
      <c r="O32" s="5">
        <f>Adds!O50+IF(Params!$B$7=1,Adds!O49,Adds!O53)</f>
        <v/>
      </c>
      <c r="P32" s="5">
        <f>Adds!P50+IF(Params!$B$7=1,Adds!P49,Adds!P53)</f>
        <v/>
      </c>
      <c r="Q32" s="5">
        <f>Adds!Q50+IF(Params!$B$7=1,Adds!Q49,Adds!Q53)</f>
        <v/>
      </c>
      <c r="R32" s="5">
        <f>Adds!R50+IF(Params!$B$7=1,Adds!R49,Adds!R53)</f>
        <v/>
      </c>
      <c r="S32" s="5">
        <f>Adds!S50+IF(Params!$B$7=1,Adds!S49,Adds!S53)</f>
        <v/>
      </c>
      <c r="T32" s="5">
        <f>Adds!T50+IF(Params!$B$7=1,Adds!T49,Adds!T53)</f>
        <v/>
      </c>
      <c r="U32" s="5">
        <f>Adds!U50+IF(Params!$B$7=1,Adds!U49,Adds!U53)</f>
        <v/>
      </c>
      <c r="V32" s="5">
        <f>Adds!V50+IF(Params!$B$7=1,Adds!V49,Adds!V53)</f>
        <v/>
      </c>
      <c r="W32" s="5">
        <f>Adds!W50+IF(Params!$B$7=1,Adds!W49,Adds!W53)</f>
        <v/>
      </c>
      <c r="X32" s="5">
        <f>Adds!X50+IF(Params!$B$7=1,Adds!X49,Adds!X53)</f>
        <v/>
      </c>
      <c r="Y32" s="5">
        <f>Adds!Y50+IF(Params!$B$7=1,Adds!Y49,Adds!Y53)</f>
        <v/>
      </c>
      <c r="Z32" s="5">
        <f>Adds!Z50+IF(Params!$B$7=1,Adds!Z49,Adds!Z53)</f>
        <v/>
      </c>
      <c r="AA32" s="5">
        <f>Adds!AA50+IF(Params!$B$7=1,Adds!AA49,Adds!AA53)</f>
        <v/>
      </c>
      <c r="AB32" s="5">
        <f>Adds!AB50+IF(Params!$B$7=1,Adds!AB49,Adds!AB53)</f>
        <v/>
      </c>
      <c r="AC32" s="5">
        <f>Adds!AC50+IF(Params!$B$7=1,Adds!AC49,Adds!AC53)</f>
        <v/>
      </c>
      <c r="AD32" s="5">
        <f>Adds!AD50+IF(Params!$B$7=1,Adds!AD49,Adds!AD53)</f>
        <v/>
      </c>
      <c r="AE32" s="5">
        <f>Adds!AE50+IF(Params!$B$7=1,Adds!AE49,Adds!AE53)</f>
        <v/>
      </c>
      <c r="AF32" s="5">
        <f>Adds!AF50+IF(Params!$B$7=1,Adds!AF49,Adds!AF53)</f>
        <v/>
      </c>
      <c r="AG32" s="5">
        <f>Adds!AG50+IF(Params!$B$7=1,Adds!AG49,Adds!AG53)</f>
        <v/>
      </c>
      <c r="AH32" s="5">
        <f>Adds!AH50+IF(Params!$B$7=1,Adds!AH49,Adds!AH53)</f>
        <v/>
      </c>
      <c r="AI32" s="5">
        <f>Adds!AI50+IF(Params!$B$7=1,Adds!AI49,Adds!AI53)</f>
        <v/>
      </c>
      <c r="AJ32" s="5">
        <f>Adds!AJ50+IF(Params!$B$7=1,Adds!AJ49,Adds!AJ53)</f>
        <v/>
      </c>
      <c r="AK32" s="5">
        <f>Adds!AK50+IF(Params!$B$7=1,Adds!AK49,Adds!AK53)</f>
        <v/>
      </c>
      <c r="AL32" s="5">
        <f>Adds!AL50+IF(Params!$B$7=1,Adds!AL49,Adds!AL53)</f>
        <v/>
      </c>
      <c r="AM32" s="5">
        <f>Adds!AM50+IF(Params!$B$7=1,Adds!AM49,Adds!AM53)</f>
        <v/>
      </c>
      <c r="AN32" s="5">
        <f>Adds!AN50+IF(Params!$B$7=1,Adds!AN49,Adds!AN53)</f>
        <v/>
      </c>
      <c r="AO32" s="5">
        <f>Adds!AO50+IF(Params!$B$7=1,Adds!AO49,Adds!AO53)</f>
        <v/>
      </c>
      <c r="AP32" s="5">
        <f>Adds!AP50+IF(Params!$B$7=1,Adds!AP49,Adds!AP53)</f>
        <v/>
      </c>
      <c r="AQ32" s="5">
        <f>Adds!AQ50+IF(Params!$B$7=1,Adds!AQ49,Adds!AQ53)</f>
        <v/>
      </c>
      <c r="AR32" s="5">
        <f>Adds!AR50+IF(Params!$B$7=1,Adds!AR49,Adds!AR53)</f>
        <v/>
      </c>
      <c r="AS32" s="5">
        <f>Adds!AS50+IF(Params!$B$7=1,Adds!AS49,Adds!AS53)</f>
        <v/>
      </c>
      <c r="AT32" s="5">
        <f>Adds!AT50+IF(Params!$B$7=1,Adds!AT49,Adds!AT53)</f>
        <v/>
      </c>
      <c r="AU32" s="5">
        <f>Adds!AU50+IF(Params!$B$7=1,Adds!AU49,Adds!AU53)</f>
        <v/>
      </c>
      <c r="AV32" s="5">
        <f>Adds!AV50+IF(Params!$B$7=1,Adds!AV49,Adds!AV53)</f>
        <v/>
      </c>
      <c r="AW32" s="5">
        <f>Adds!AW50+IF(Params!$B$7=1,Adds!AW49,Adds!AW53)</f>
        <v/>
      </c>
      <c r="AX32" s="5">
        <f>Adds!AX50+IF(Params!$B$7=1,Adds!AX49,Adds!AX53)</f>
        <v/>
      </c>
      <c r="AY32" s="5">
        <f>Adds!AY50+IF(Params!$B$7=1,Adds!AY49,Adds!AY53)</f>
        <v/>
      </c>
      <c r="AZ32" s="5">
        <f>Adds!AZ50+IF(Params!$B$7=1,Adds!AZ49,Adds!AZ53)</f>
        <v/>
      </c>
      <c r="BA32" s="5">
        <f>Adds!BA50+IF(Params!$B$7=1,Adds!BA49,Adds!BA53)</f>
        <v/>
      </c>
      <c r="BB32" s="5">
        <f>Adds!BB50+IF(Params!$B$7=1,Adds!BB49,Adds!BB53)</f>
        <v/>
      </c>
      <c r="BC32" s="5">
        <f>Adds!BC50+IF(Params!$B$7=1,Adds!BC49,Adds!BC53)</f>
        <v/>
      </c>
      <c r="BD32" s="5">
        <f>Adds!BD50+IF(Params!$B$7=1,Adds!BD49,Adds!BD53)</f>
        <v/>
      </c>
      <c r="BE32" s="5">
        <f>Adds!BE50+IF(Params!$B$7=1,Adds!BE49,Adds!BE53)</f>
        <v/>
      </c>
      <c r="BF32" s="5">
        <f>Adds!BF50+IF(Params!$B$7=1,Adds!BF49,Adds!BF53)</f>
        <v/>
      </c>
      <c r="BG32" s="5">
        <f>Adds!BG50+IF(Params!$B$7=1,Adds!BG49,Adds!BG53)</f>
        <v/>
      </c>
      <c r="BH32" s="5">
        <f>Adds!BH50+IF(Params!$B$7=1,Adds!BH49,Adds!BH53)</f>
        <v/>
      </c>
      <c r="BI32" s="5">
        <f>Adds!BI50+IF(Params!$B$7=1,Adds!BI49,Adds!BI53)</f>
        <v/>
      </c>
      <c r="BJ32" s="5">
        <f>Adds!BJ50+IF(Params!$B$7=1,Adds!BJ49,Adds!BJ53)</f>
        <v/>
      </c>
      <c r="BK32" s="5">
        <f>Adds!BK50+IF(Params!$B$7=1,Adds!BK49,Adds!BK53)</f>
        <v/>
      </c>
      <c r="BL32" s="5">
        <f>Adds!BL50+IF(Params!$B$7=1,Adds!BL49,Adds!BL53)</f>
        <v/>
      </c>
      <c r="BM32" s="5">
        <f>Adds!BM50+IF(Params!$B$7=1,Adds!BM49,Adds!BM53)</f>
        <v/>
      </c>
      <c r="BN32" s="5">
        <f>Adds!BN50+IF(Params!$B$7=1,Adds!BN49,Adds!BN53)</f>
        <v/>
      </c>
      <c r="BO32" s="5">
        <f>Adds!BO50+IF(Params!$B$7=1,Adds!BO49,Adds!BO53)</f>
        <v/>
      </c>
      <c r="BP32" s="5">
        <f>Adds!BP50+IF(Params!$B$7=1,Adds!BP49,Adds!BP53)</f>
        <v/>
      </c>
      <c r="BQ32" s="5">
        <f>Adds!BQ50+IF(Params!$B$7=1,Adds!BQ49,Adds!BQ53)</f>
        <v/>
      </c>
      <c r="BR32" s="5">
        <f>Adds!BR50+IF(Params!$B$7=1,Adds!BR49,Adds!BR53)</f>
        <v/>
      </c>
      <c r="BS32" s="5">
        <f>Adds!BS50+IF(Params!$B$7=1,Adds!BS49,Adds!BS53)</f>
        <v/>
      </c>
      <c r="BT32" s="5">
        <f>Adds!BT50+IF(Params!$B$7=1,Adds!BT49,Adds!BT53)</f>
        <v/>
      </c>
      <c r="BU32" s="5">
        <f>Adds!BU50+IF(Params!$B$7=1,Adds!BU49,Adds!BU53)</f>
        <v/>
      </c>
      <c r="BV32" s="5">
        <f>Adds!BV50+IF(Params!$B$7=1,Adds!BV49,Adds!BV53)</f>
        <v/>
      </c>
    </row>
    <row r="33">
      <c r="A33" t="inlineStr">
        <is>
          <t>reactivated</t>
        </is>
      </c>
      <c r="B33" t="inlineStr">
        <is>
          <t>US_CA|BASIC_A</t>
        </is>
      </c>
      <c r="C33" s="5">
        <f>React!C47</f>
        <v/>
      </c>
      <c r="D33" s="5">
        <f>React!D47</f>
        <v/>
      </c>
      <c r="E33" s="5">
        <f>React!E47</f>
        <v/>
      </c>
      <c r="F33" s="5">
        <f>React!F47</f>
        <v/>
      </c>
      <c r="G33" s="5">
        <f>React!G47</f>
        <v/>
      </c>
      <c r="H33" s="5">
        <f>React!H47</f>
        <v/>
      </c>
      <c r="I33" s="5">
        <f>React!I47</f>
        <v/>
      </c>
      <c r="J33" s="5">
        <f>React!J47</f>
        <v/>
      </c>
      <c r="K33" s="5">
        <f>React!K47</f>
        <v/>
      </c>
      <c r="L33" s="5">
        <f>React!L47</f>
        <v/>
      </c>
      <c r="M33" s="5">
        <f>React!M47</f>
        <v/>
      </c>
      <c r="N33" s="5">
        <f>React!N47</f>
        <v/>
      </c>
      <c r="O33" s="5">
        <f>React!O47</f>
        <v/>
      </c>
      <c r="P33" s="5">
        <f>React!P47</f>
        <v/>
      </c>
      <c r="Q33" s="5">
        <f>React!Q47</f>
        <v/>
      </c>
      <c r="R33" s="5">
        <f>React!R47</f>
        <v/>
      </c>
      <c r="S33" s="5">
        <f>React!S47</f>
        <v/>
      </c>
      <c r="T33" s="5">
        <f>React!T47</f>
        <v/>
      </c>
      <c r="U33" s="5">
        <f>React!U47</f>
        <v/>
      </c>
      <c r="V33" s="5">
        <f>React!V47</f>
        <v/>
      </c>
      <c r="W33" s="5">
        <f>React!W47</f>
        <v/>
      </c>
      <c r="X33" s="5">
        <f>React!X47</f>
        <v/>
      </c>
      <c r="Y33" s="5">
        <f>React!Y47</f>
        <v/>
      </c>
      <c r="Z33" s="5">
        <f>React!Z47</f>
        <v/>
      </c>
      <c r="AA33" s="5">
        <f>React!AA47</f>
        <v/>
      </c>
      <c r="AB33" s="5">
        <f>React!AB47</f>
        <v/>
      </c>
      <c r="AC33" s="5">
        <f>React!AC47</f>
        <v/>
      </c>
      <c r="AD33" s="5">
        <f>React!AD47</f>
        <v/>
      </c>
      <c r="AE33" s="5">
        <f>React!AE47</f>
        <v/>
      </c>
      <c r="AF33" s="5">
        <f>React!AF47</f>
        <v/>
      </c>
      <c r="AG33" s="5">
        <f>React!AG47</f>
        <v/>
      </c>
      <c r="AH33" s="5">
        <f>React!AH47</f>
        <v/>
      </c>
      <c r="AI33" s="5">
        <f>React!AI47</f>
        <v/>
      </c>
      <c r="AJ33" s="5">
        <f>React!AJ47</f>
        <v/>
      </c>
      <c r="AK33" s="5">
        <f>React!AK47</f>
        <v/>
      </c>
      <c r="AL33" s="5">
        <f>React!AL47</f>
        <v/>
      </c>
      <c r="AM33" s="5">
        <f>React!AM47</f>
        <v/>
      </c>
      <c r="AN33" s="5">
        <f>React!AN47</f>
        <v/>
      </c>
      <c r="AO33" s="5">
        <f>React!AO47</f>
        <v/>
      </c>
      <c r="AP33" s="5">
        <f>React!AP47</f>
        <v/>
      </c>
      <c r="AQ33" s="5">
        <f>React!AQ47</f>
        <v/>
      </c>
      <c r="AR33" s="5">
        <f>React!AR47</f>
        <v/>
      </c>
      <c r="AS33" s="5">
        <f>React!AS47</f>
        <v/>
      </c>
      <c r="AT33" s="5">
        <f>React!AT47</f>
        <v/>
      </c>
      <c r="AU33" s="5">
        <f>React!AU47</f>
        <v/>
      </c>
      <c r="AV33" s="5">
        <f>React!AV47</f>
        <v/>
      </c>
      <c r="AW33" s="5">
        <f>React!AW47</f>
        <v/>
      </c>
      <c r="AX33" s="5">
        <f>React!AX47</f>
        <v/>
      </c>
      <c r="AY33" s="5">
        <f>React!AY47</f>
        <v/>
      </c>
      <c r="AZ33" s="5">
        <f>React!AZ47</f>
        <v/>
      </c>
      <c r="BA33" s="5">
        <f>React!BA47</f>
        <v/>
      </c>
      <c r="BB33" s="5">
        <f>React!BB47</f>
        <v/>
      </c>
      <c r="BC33" s="5">
        <f>React!BC47</f>
        <v/>
      </c>
      <c r="BD33" s="5">
        <f>React!BD47</f>
        <v/>
      </c>
      <c r="BE33" s="5">
        <f>React!BE47</f>
        <v/>
      </c>
      <c r="BF33" s="5">
        <f>React!BF47</f>
        <v/>
      </c>
      <c r="BG33" s="5">
        <f>React!BG47</f>
        <v/>
      </c>
      <c r="BH33" s="5">
        <f>React!BH47</f>
        <v/>
      </c>
      <c r="BI33" s="5">
        <f>React!BI47</f>
        <v/>
      </c>
      <c r="BJ33" s="5">
        <f>React!BJ47</f>
        <v/>
      </c>
      <c r="BK33" s="5">
        <f>React!BK47</f>
        <v/>
      </c>
      <c r="BL33" s="5">
        <f>React!BL47</f>
        <v/>
      </c>
      <c r="BM33" s="5">
        <f>React!BM47</f>
        <v/>
      </c>
      <c r="BN33" s="5">
        <f>React!BN47</f>
        <v/>
      </c>
      <c r="BO33" s="5">
        <f>React!BO47</f>
        <v/>
      </c>
      <c r="BP33" s="5">
        <f>React!BP47</f>
        <v/>
      </c>
      <c r="BQ33" s="5">
        <f>React!BQ47</f>
        <v/>
      </c>
      <c r="BR33" s="5">
        <f>React!BR47</f>
        <v/>
      </c>
      <c r="BS33" s="5">
        <f>React!BS47</f>
        <v/>
      </c>
      <c r="BT33" s="5">
        <f>React!BT47</f>
        <v/>
      </c>
      <c r="BU33" s="5">
        <f>React!BU47</f>
        <v/>
      </c>
      <c r="BV33" s="5">
        <f>React!BV47</f>
        <v/>
      </c>
    </row>
    <row r="34">
      <c r="A34" t="inlineStr">
        <is>
          <t>churned</t>
        </is>
      </c>
      <c r="B34" t="inlineStr">
        <is>
          <t>US_CA|BASIC_A</t>
        </is>
      </c>
      <c r="C34" s="5">
        <f>Legacy!C19+Paid!C17+React!C53+Params!$B$7*Adds!C54</f>
        <v/>
      </c>
      <c r="D34" s="5">
        <f>Legacy!D19+Paid!D17+React!D53+Params!$B$7*Adds!D54</f>
        <v/>
      </c>
      <c r="E34" s="5">
        <f>Legacy!E19+Paid!E17+React!E53+Params!$B$7*Adds!E54</f>
        <v/>
      </c>
      <c r="F34" s="5">
        <f>Legacy!F19+Paid!F17+React!F53+Params!$B$7*Adds!F54</f>
        <v/>
      </c>
      <c r="G34" s="5">
        <f>Legacy!G19+Paid!G17+React!G53+Params!$B$7*Adds!G54</f>
        <v/>
      </c>
      <c r="H34" s="5">
        <f>Legacy!H19+Paid!H17+React!H53+Params!$B$7*Adds!H54</f>
        <v/>
      </c>
      <c r="I34" s="5">
        <f>Legacy!I19+Paid!I17+React!I53+Params!$B$7*Adds!I54</f>
        <v/>
      </c>
      <c r="J34" s="5">
        <f>Legacy!J19+Paid!J17+React!J53+Params!$B$7*Adds!J54</f>
        <v/>
      </c>
      <c r="K34" s="5">
        <f>Legacy!K19+Paid!K17+React!K53+Params!$B$7*Adds!K54</f>
        <v/>
      </c>
      <c r="L34" s="5">
        <f>Legacy!L19+Paid!L17+React!L53+Params!$B$7*Adds!L54</f>
        <v/>
      </c>
      <c r="M34" s="5">
        <f>Legacy!M19+Paid!M17+React!M53+Params!$B$7*Adds!M54</f>
        <v/>
      </c>
      <c r="N34" s="5">
        <f>Legacy!N19+Paid!N17+React!N53+Params!$B$7*Adds!N54</f>
        <v/>
      </c>
      <c r="O34" s="5">
        <f>Legacy!O19+Paid!O17+React!O53+Params!$B$7*Adds!O54</f>
        <v/>
      </c>
      <c r="P34" s="5">
        <f>Legacy!P19+Paid!P17+React!P53+Params!$B$7*Adds!P54</f>
        <v/>
      </c>
      <c r="Q34" s="5">
        <f>Legacy!Q19+Paid!Q17+React!Q53+Params!$B$7*Adds!Q54</f>
        <v/>
      </c>
      <c r="R34" s="5">
        <f>Legacy!R19+Paid!R17+React!R53+Params!$B$7*Adds!R54</f>
        <v/>
      </c>
      <c r="S34" s="5">
        <f>Legacy!S19+Paid!S17+React!S53+Params!$B$7*Adds!S54</f>
        <v/>
      </c>
      <c r="T34" s="5">
        <f>Legacy!T19+Paid!T17+React!T53+Params!$B$7*Adds!T54</f>
        <v/>
      </c>
      <c r="U34" s="5">
        <f>Legacy!U19+Paid!U17+React!U53+Params!$B$7*Adds!U54</f>
        <v/>
      </c>
      <c r="V34" s="5">
        <f>Legacy!V19+Paid!V17+React!V53+Params!$B$7*Adds!V54</f>
        <v/>
      </c>
      <c r="W34" s="5">
        <f>Legacy!W19+Paid!W17+React!W53+Params!$B$7*Adds!W54</f>
        <v/>
      </c>
      <c r="X34" s="5">
        <f>Legacy!X19+Paid!X17+React!X53+Params!$B$7*Adds!X54</f>
        <v/>
      </c>
      <c r="Y34" s="5">
        <f>Legacy!Y19+Paid!Y17+React!Y53+Params!$B$7*Adds!Y54</f>
        <v/>
      </c>
      <c r="Z34" s="5">
        <f>Legacy!Z19+Paid!Z17+React!Z53+Params!$B$7*Adds!Z54</f>
        <v/>
      </c>
      <c r="AA34" s="5">
        <f>Legacy!AA19+Paid!AA17+React!AA53+Params!$B$7*Adds!AA54</f>
        <v/>
      </c>
      <c r="AB34" s="5">
        <f>Legacy!AB19+Paid!AB17+React!AB53+Params!$B$7*Adds!AB54</f>
        <v/>
      </c>
      <c r="AC34" s="5">
        <f>Legacy!AC19+Paid!AC17+React!AC53+Params!$B$7*Adds!AC54</f>
        <v/>
      </c>
      <c r="AD34" s="5">
        <f>Legacy!AD19+Paid!AD17+React!AD53+Params!$B$7*Adds!AD54</f>
        <v/>
      </c>
      <c r="AE34" s="5">
        <f>Legacy!AE19+Paid!AE17+React!AE53+Params!$B$7*Adds!AE54</f>
        <v/>
      </c>
      <c r="AF34" s="5">
        <f>Legacy!AF19+Paid!AF17+React!AF53+Params!$B$7*Adds!AF54</f>
        <v/>
      </c>
      <c r="AG34" s="5">
        <f>Legacy!AG19+Paid!AG17+React!AG53+Params!$B$7*Adds!AG54</f>
        <v/>
      </c>
      <c r="AH34" s="5">
        <f>Legacy!AH19+Paid!AH17+React!AH53+Params!$B$7*Adds!AH54</f>
        <v/>
      </c>
      <c r="AI34" s="5">
        <f>Legacy!AI19+Paid!AI17+React!AI53+Params!$B$7*Adds!AI54</f>
        <v/>
      </c>
      <c r="AJ34" s="5">
        <f>Legacy!AJ19+Paid!AJ17+React!AJ53+Params!$B$7*Adds!AJ54</f>
        <v/>
      </c>
      <c r="AK34" s="5">
        <f>Legacy!AK19+Paid!AK17+React!AK53+Params!$B$7*Adds!AK54</f>
        <v/>
      </c>
      <c r="AL34" s="5">
        <f>Legacy!AL19+Paid!AL17+React!AL53+Params!$B$7*Adds!AL54</f>
        <v/>
      </c>
      <c r="AM34" s="5">
        <f>Legacy!AM19+Paid!AM17+React!AM53+Params!$B$7*Adds!AM54</f>
        <v/>
      </c>
      <c r="AN34" s="5">
        <f>Legacy!AN19+Paid!AN17+React!AN53+Params!$B$7*Adds!AN54</f>
        <v/>
      </c>
      <c r="AO34" s="5">
        <f>Legacy!AO19+Paid!AO17+React!AO53+Params!$B$7*Adds!AO54</f>
        <v/>
      </c>
      <c r="AP34" s="5">
        <f>Legacy!AP19+Paid!AP17+React!AP53+Params!$B$7*Adds!AP54</f>
        <v/>
      </c>
      <c r="AQ34" s="5">
        <f>Legacy!AQ19+Paid!AQ17+React!AQ53+Params!$B$7*Adds!AQ54</f>
        <v/>
      </c>
      <c r="AR34" s="5">
        <f>Legacy!AR19+Paid!AR17+React!AR53+Params!$B$7*Adds!AR54</f>
        <v/>
      </c>
      <c r="AS34" s="5">
        <f>Legacy!AS19+Paid!AS17+React!AS53+Params!$B$7*Adds!AS54</f>
        <v/>
      </c>
      <c r="AT34" s="5">
        <f>Legacy!AT19+Paid!AT17+React!AT53+Params!$B$7*Adds!AT54</f>
        <v/>
      </c>
      <c r="AU34" s="5">
        <f>Legacy!AU19+Paid!AU17+React!AU53+Params!$B$7*Adds!AU54</f>
        <v/>
      </c>
      <c r="AV34" s="5">
        <f>Legacy!AV19+Paid!AV17+React!AV53+Params!$B$7*Adds!AV54</f>
        <v/>
      </c>
      <c r="AW34" s="5">
        <f>Legacy!AW19+Paid!AW17+React!AW53+Params!$B$7*Adds!AW54</f>
        <v/>
      </c>
      <c r="AX34" s="5">
        <f>Legacy!AX19+Paid!AX17+React!AX53+Params!$B$7*Adds!AX54</f>
        <v/>
      </c>
      <c r="AY34" s="5">
        <f>Legacy!AY19+Paid!AY17+React!AY53+Params!$B$7*Adds!AY54</f>
        <v/>
      </c>
      <c r="AZ34" s="5">
        <f>Legacy!AZ19+Paid!AZ17+React!AZ53+Params!$B$7*Adds!AZ54</f>
        <v/>
      </c>
      <c r="BA34" s="5">
        <f>Legacy!BA19+Paid!BA17+React!BA53+Params!$B$7*Adds!BA54</f>
        <v/>
      </c>
      <c r="BB34" s="5">
        <f>Legacy!BB19+Paid!BB17+React!BB53+Params!$B$7*Adds!BB54</f>
        <v/>
      </c>
      <c r="BC34" s="5">
        <f>Legacy!BC19+Paid!BC17+React!BC53+Params!$B$7*Adds!BC54</f>
        <v/>
      </c>
      <c r="BD34" s="5">
        <f>Legacy!BD19+Paid!BD17+React!BD53+Params!$B$7*Adds!BD54</f>
        <v/>
      </c>
      <c r="BE34" s="5">
        <f>Legacy!BE19+Paid!BE17+React!BE53+Params!$B$7*Adds!BE54</f>
        <v/>
      </c>
      <c r="BF34" s="5">
        <f>Legacy!BF19+Paid!BF17+React!BF53+Params!$B$7*Adds!BF54</f>
        <v/>
      </c>
      <c r="BG34" s="5">
        <f>Legacy!BG19+Paid!BG17+React!BG53+Params!$B$7*Adds!BG54</f>
        <v/>
      </c>
      <c r="BH34" s="5">
        <f>Legacy!BH19+Paid!BH17+React!BH53+Params!$B$7*Adds!BH54</f>
        <v/>
      </c>
      <c r="BI34" s="5">
        <f>Legacy!BI19+Paid!BI17+React!BI53+Params!$B$7*Adds!BI54</f>
        <v/>
      </c>
      <c r="BJ34" s="5">
        <f>Legacy!BJ19+Paid!BJ17+React!BJ53+Params!$B$7*Adds!BJ54</f>
        <v/>
      </c>
      <c r="BK34" s="5">
        <f>Legacy!BK19+Paid!BK17+React!BK53+Params!$B$7*Adds!BK54</f>
        <v/>
      </c>
      <c r="BL34" s="5">
        <f>Legacy!BL19+Paid!BL17+React!BL53+Params!$B$7*Adds!BL54</f>
        <v/>
      </c>
      <c r="BM34" s="5">
        <f>Legacy!BM19+Paid!BM17+React!BM53+Params!$B$7*Adds!BM54</f>
        <v/>
      </c>
      <c r="BN34" s="5">
        <f>Legacy!BN19+Paid!BN17+React!BN53+Params!$B$7*Adds!BN54</f>
        <v/>
      </c>
      <c r="BO34" s="5">
        <f>Legacy!BO19+Paid!BO17+React!BO53+Params!$B$7*Adds!BO54</f>
        <v/>
      </c>
      <c r="BP34" s="5">
        <f>Legacy!BP19+Paid!BP17+React!BP53+Params!$B$7*Adds!BP54</f>
        <v/>
      </c>
      <c r="BQ34" s="5">
        <f>Legacy!BQ19+Paid!BQ17+React!BQ53+Params!$B$7*Adds!BQ54</f>
        <v/>
      </c>
      <c r="BR34" s="5">
        <f>Legacy!BR19+Paid!BR17+React!BR53+Params!$B$7*Adds!BR54</f>
        <v/>
      </c>
      <c r="BS34" s="5">
        <f>Legacy!BS19+Paid!BS17+React!BS53+Params!$B$7*Adds!BS54</f>
        <v/>
      </c>
      <c r="BT34" s="5">
        <f>Legacy!BT19+Paid!BT17+React!BT53+Params!$B$7*Adds!BT54</f>
        <v/>
      </c>
      <c r="BU34" s="5">
        <f>Legacy!BU19+Paid!BU17+React!BU53+Params!$B$7*Adds!BU54</f>
        <v/>
      </c>
      <c r="BV34" s="5">
        <f>Legacy!BV19+Paid!BV17+React!BV53+Params!$B$7*Adds!BV54</f>
        <v/>
      </c>
    </row>
    <row r="35">
      <c r="A35" t="inlineStr">
        <is>
          <t>closing</t>
        </is>
      </c>
      <c r="B35" t="inlineStr">
        <is>
          <t>US_CA|BASIC_A</t>
        </is>
      </c>
      <c r="C35" s="5">
        <f>C36+Params!$B$7*Adds!C57</f>
        <v/>
      </c>
      <c r="D35" s="5">
        <f>D36+Params!$B$7*Adds!D57</f>
        <v/>
      </c>
      <c r="E35" s="5">
        <f>E36+Params!$B$7*Adds!E57</f>
        <v/>
      </c>
      <c r="F35" s="5">
        <f>F36+Params!$B$7*Adds!F57</f>
        <v/>
      </c>
      <c r="G35" s="5">
        <f>G36+Params!$B$7*Adds!G57</f>
        <v/>
      </c>
      <c r="H35" s="5">
        <f>H36+Params!$B$7*Adds!H57</f>
        <v/>
      </c>
      <c r="I35" s="5">
        <f>I36+Params!$B$7*Adds!I57</f>
        <v/>
      </c>
      <c r="J35" s="5">
        <f>J36+Params!$B$7*Adds!J57</f>
        <v/>
      </c>
      <c r="K35" s="5">
        <f>K36+Params!$B$7*Adds!K57</f>
        <v/>
      </c>
      <c r="L35" s="5">
        <f>L36+Params!$B$7*Adds!L57</f>
        <v/>
      </c>
      <c r="M35" s="5">
        <f>M36+Params!$B$7*Adds!M57</f>
        <v/>
      </c>
      <c r="N35" s="5">
        <f>N36+Params!$B$7*Adds!N57</f>
        <v/>
      </c>
      <c r="O35" s="5">
        <f>O36+Params!$B$7*Adds!O57</f>
        <v/>
      </c>
      <c r="P35" s="5">
        <f>P36+Params!$B$7*Adds!P57</f>
        <v/>
      </c>
      <c r="Q35" s="5">
        <f>Q36+Params!$B$7*Adds!Q57</f>
        <v/>
      </c>
      <c r="R35" s="5">
        <f>R36+Params!$B$7*Adds!R57</f>
        <v/>
      </c>
      <c r="S35" s="5">
        <f>S36+Params!$B$7*Adds!S57</f>
        <v/>
      </c>
      <c r="T35" s="5">
        <f>T36+Params!$B$7*Adds!T57</f>
        <v/>
      </c>
      <c r="U35" s="5">
        <f>U36+Params!$B$7*Adds!U57</f>
        <v/>
      </c>
      <c r="V35" s="5">
        <f>V36+Params!$B$7*Adds!V57</f>
        <v/>
      </c>
      <c r="W35" s="5">
        <f>W36+Params!$B$7*Adds!W57</f>
        <v/>
      </c>
      <c r="X35" s="5">
        <f>X36+Params!$B$7*Adds!X57</f>
        <v/>
      </c>
      <c r="Y35" s="5">
        <f>Y36+Params!$B$7*Adds!Y57</f>
        <v/>
      </c>
      <c r="Z35" s="5">
        <f>Z36+Params!$B$7*Adds!Z57</f>
        <v/>
      </c>
      <c r="AA35" s="5">
        <f>AA36+Params!$B$7*Adds!AA57</f>
        <v/>
      </c>
      <c r="AB35" s="5">
        <f>AB36+Params!$B$7*Adds!AB57</f>
        <v/>
      </c>
      <c r="AC35" s="5">
        <f>AC36+Params!$B$7*Adds!AC57</f>
        <v/>
      </c>
      <c r="AD35" s="5">
        <f>AD36+Params!$B$7*Adds!AD57</f>
        <v/>
      </c>
      <c r="AE35" s="5">
        <f>AE36+Params!$B$7*Adds!AE57</f>
        <v/>
      </c>
      <c r="AF35" s="5">
        <f>AF36+Params!$B$7*Adds!AF57</f>
        <v/>
      </c>
      <c r="AG35" s="5">
        <f>AG36+Params!$B$7*Adds!AG57</f>
        <v/>
      </c>
      <c r="AH35" s="5">
        <f>AH36+Params!$B$7*Adds!AH57</f>
        <v/>
      </c>
      <c r="AI35" s="5">
        <f>AI36+Params!$B$7*Adds!AI57</f>
        <v/>
      </c>
      <c r="AJ35" s="5">
        <f>AJ36+Params!$B$7*Adds!AJ57</f>
        <v/>
      </c>
      <c r="AK35" s="5">
        <f>AK36+Params!$B$7*Adds!AK57</f>
        <v/>
      </c>
      <c r="AL35" s="5">
        <f>AL36+Params!$B$7*Adds!AL57</f>
        <v/>
      </c>
      <c r="AM35" s="5">
        <f>AM36+Params!$B$7*Adds!AM57</f>
        <v/>
      </c>
      <c r="AN35" s="5">
        <f>AN36+Params!$B$7*Adds!AN57</f>
        <v/>
      </c>
      <c r="AO35" s="5">
        <f>AO36+Params!$B$7*Adds!AO57</f>
        <v/>
      </c>
      <c r="AP35" s="5">
        <f>AP36+Params!$B$7*Adds!AP57</f>
        <v/>
      </c>
      <c r="AQ35" s="5">
        <f>AQ36+Params!$B$7*Adds!AQ57</f>
        <v/>
      </c>
      <c r="AR35" s="5">
        <f>AR36+Params!$B$7*Adds!AR57</f>
        <v/>
      </c>
      <c r="AS35" s="5">
        <f>AS36+Params!$B$7*Adds!AS57</f>
        <v/>
      </c>
      <c r="AT35" s="5">
        <f>AT36+Params!$B$7*Adds!AT57</f>
        <v/>
      </c>
      <c r="AU35" s="5">
        <f>AU36+Params!$B$7*Adds!AU57</f>
        <v/>
      </c>
      <c r="AV35" s="5">
        <f>AV36+Params!$B$7*Adds!AV57</f>
        <v/>
      </c>
      <c r="AW35" s="5">
        <f>AW36+Params!$B$7*Adds!AW57</f>
        <v/>
      </c>
      <c r="AX35" s="5">
        <f>AX36+Params!$B$7*Adds!AX57</f>
        <v/>
      </c>
      <c r="AY35" s="5">
        <f>AY36+Params!$B$7*Adds!AY57</f>
        <v/>
      </c>
      <c r="AZ35" s="5">
        <f>AZ36+Params!$B$7*Adds!AZ57</f>
        <v/>
      </c>
      <c r="BA35" s="5">
        <f>BA36+Params!$B$7*Adds!BA57</f>
        <v/>
      </c>
      <c r="BB35" s="5">
        <f>BB36+Params!$B$7*Adds!BB57</f>
        <v/>
      </c>
      <c r="BC35" s="5">
        <f>BC36+Params!$B$7*Adds!BC57</f>
        <v/>
      </c>
      <c r="BD35" s="5">
        <f>BD36+Params!$B$7*Adds!BD57</f>
        <v/>
      </c>
      <c r="BE35" s="5">
        <f>BE36+Params!$B$7*Adds!BE57</f>
        <v/>
      </c>
      <c r="BF35" s="5">
        <f>BF36+Params!$B$7*Adds!BF57</f>
        <v/>
      </c>
      <c r="BG35" s="5">
        <f>BG36+Params!$B$7*Adds!BG57</f>
        <v/>
      </c>
      <c r="BH35" s="5">
        <f>BH36+Params!$B$7*Adds!BH57</f>
        <v/>
      </c>
      <c r="BI35" s="5">
        <f>BI36+Params!$B$7*Adds!BI57</f>
        <v/>
      </c>
      <c r="BJ35" s="5">
        <f>BJ36+Params!$B$7*Adds!BJ57</f>
        <v/>
      </c>
      <c r="BK35" s="5">
        <f>BK36+Params!$B$7*Adds!BK57</f>
        <v/>
      </c>
      <c r="BL35" s="5">
        <f>BL36+Params!$B$7*Adds!BL57</f>
        <v/>
      </c>
      <c r="BM35" s="5">
        <f>BM36+Params!$B$7*Adds!BM57</f>
        <v/>
      </c>
      <c r="BN35" s="5">
        <f>BN36+Params!$B$7*Adds!BN57</f>
        <v/>
      </c>
      <c r="BO35" s="5">
        <f>BO36+Params!$B$7*Adds!BO57</f>
        <v/>
      </c>
      <c r="BP35" s="5">
        <f>BP36+Params!$B$7*Adds!BP57</f>
        <v/>
      </c>
      <c r="BQ35" s="5">
        <f>BQ36+Params!$B$7*Adds!BQ57</f>
        <v/>
      </c>
      <c r="BR35" s="5">
        <f>BR36+Params!$B$7*Adds!BR57</f>
        <v/>
      </c>
      <c r="BS35" s="5">
        <f>BS36+Params!$B$7*Adds!BS57</f>
        <v/>
      </c>
      <c r="BT35" s="5">
        <f>BT36+Params!$B$7*Adds!BT57</f>
        <v/>
      </c>
      <c r="BU35" s="5">
        <f>BU36+Params!$B$7*Adds!BU57</f>
        <v/>
      </c>
      <c r="BV35" s="5">
        <f>BV36+Params!$B$7*Adds!BV57</f>
        <v/>
      </c>
    </row>
    <row r="36">
      <c r="A36" t="inlineStr">
        <is>
          <t>paying</t>
        </is>
      </c>
      <c r="B36" t="inlineStr">
        <is>
          <t>US_CA|BASIC_A</t>
        </is>
      </c>
      <c r="C36" s="5">
        <f>Legacy!C18+Paid!C15+React!C51</f>
        <v/>
      </c>
      <c r="D36" s="5">
        <f>Legacy!D18+Paid!D15+React!D51</f>
        <v/>
      </c>
      <c r="E36" s="5">
        <f>Legacy!E18+Paid!E15+React!E51</f>
        <v/>
      </c>
      <c r="F36" s="5">
        <f>Legacy!F18+Paid!F15+React!F51</f>
        <v/>
      </c>
      <c r="G36" s="5">
        <f>Legacy!G18+Paid!G15+React!G51</f>
        <v/>
      </c>
      <c r="H36" s="5">
        <f>Legacy!H18+Paid!H15+React!H51</f>
        <v/>
      </c>
      <c r="I36" s="5">
        <f>Legacy!I18+Paid!I15+React!I51</f>
        <v/>
      </c>
      <c r="J36" s="5">
        <f>Legacy!J18+Paid!J15+React!J51</f>
        <v/>
      </c>
      <c r="K36" s="5">
        <f>Legacy!K18+Paid!K15+React!K51</f>
        <v/>
      </c>
      <c r="L36" s="5">
        <f>Legacy!L18+Paid!L15+React!L51</f>
        <v/>
      </c>
      <c r="M36" s="5">
        <f>Legacy!M18+Paid!M15+React!M51</f>
        <v/>
      </c>
      <c r="N36" s="5">
        <f>Legacy!N18+Paid!N15+React!N51</f>
        <v/>
      </c>
      <c r="O36" s="5">
        <f>Legacy!O18+Paid!O15+React!O51</f>
        <v/>
      </c>
      <c r="P36" s="5">
        <f>Legacy!P18+Paid!P15+React!P51</f>
        <v/>
      </c>
      <c r="Q36" s="5">
        <f>Legacy!Q18+Paid!Q15+React!Q51</f>
        <v/>
      </c>
      <c r="R36" s="5">
        <f>Legacy!R18+Paid!R15+React!R51</f>
        <v/>
      </c>
      <c r="S36" s="5">
        <f>Legacy!S18+Paid!S15+React!S51</f>
        <v/>
      </c>
      <c r="T36" s="5">
        <f>Legacy!T18+Paid!T15+React!T51</f>
        <v/>
      </c>
      <c r="U36" s="5">
        <f>Legacy!U18+Paid!U15+React!U51</f>
        <v/>
      </c>
      <c r="V36" s="5">
        <f>Legacy!V18+Paid!V15+React!V51</f>
        <v/>
      </c>
      <c r="W36" s="5">
        <f>Legacy!W18+Paid!W15+React!W51</f>
        <v/>
      </c>
      <c r="X36" s="5">
        <f>Legacy!X18+Paid!X15+React!X51</f>
        <v/>
      </c>
      <c r="Y36" s="5">
        <f>Legacy!Y18+Paid!Y15+React!Y51</f>
        <v/>
      </c>
      <c r="Z36" s="5">
        <f>Legacy!Z18+Paid!Z15+React!Z51</f>
        <v/>
      </c>
      <c r="AA36" s="5">
        <f>Legacy!AA18+Paid!AA15+React!AA51</f>
        <v/>
      </c>
      <c r="AB36" s="5">
        <f>Legacy!AB18+Paid!AB15+React!AB51</f>
        <v/>
      </c>
      <c r="AC36" s="5">
        <f>Legacy!AC18+Paid!AC15+React!AC51</f>
        <v/>
      </c>
      <c r="AD36" s="5">
        <f>Legacy!AD18+Paid!AD15+React!AD51</f>
        <v/>
      </c>
      <c r="AE36" s="5">
        <f>Legacy!AE18+Paid!AE15+React!AE51</f>
        <v/>
      </c>
      <c r="AF36" s="5">
        <f>Legacy!AF18+Paid!AF15+React!AF51</f>
        <v/>
      </c>
      <c r="AG36" s="5">
        <f>Legacy!AG18+Paid!AG15+React!AG51</f>
        <v/>
      </c>
      <c r="AH36" s="5">
        <f>Legacy!AH18+Paid!AH15+React!AH51</f>
        <v/>
      </c>
      <c r="AI36" s="5">
        <f>Legacy!AI18+Paid!AI15+React!AI51</f>
        <v/>
      </c>
      <c r="AJ36" s="5">
        <f>Legacy!AJ18+Paid!AJ15+React!AJ51</f>
        <v/>
      </c>
      <c r="AK36" s="5">
        <f>Legacy!AK18+Paid!AK15+React!AK51</f>
        <v/>
      </c>
      <c r="AL36" s="5">
        <f>Legacy!AL18+Paid!AL15+React!AL51</f>
        <v/>
      </c>
      <c r="AM36" s="5">
        <f>Legacy!AM18+Paid!AM15+React!AM51</f>
        <v/>
      </c>
      <c r="AN36" s="5">
        <f>Legacy!AN18+Paid!AN15+React!AN51</f>
        <v/>
      </c>
      <c r="AO36" s="5">
        <f>Legacy!AO18+Paid!AO15+React!AO51</f>
        <v/>
      </c>
      <c r="AP36" s="5">
        <f>Legacy!AP18+Paid!AP15+React!AP51</f>
        <v/>
      </c>
      <c r="AQ36" s="5">
        <f>Legacy!AQ18+Paid!AQ15+React!AQ51</f>
        <v/>
      </c>
      <c r="AR36" s="5">
        <f>Legacy!AR18+Paid!AR15+React!AR51</f>
        <v/>
      </c>
      <c r="AS36" s="5">
        <f>Legacy!AS18+Paid!AS15+React!AS51</f>
        <v/>
      </c>
      <c r="AT36" s="5">
        <f>Legacy!AT18+Paid!AT15+React!AT51</f>
        <v/>
      </c>
      <c r="AU36" s="5">
        <f>Legacy!AU18+Paid!AU15+React!AU51</f>
        <v/>
      </c>
      <c r="AV36" s="5">
        <f>Legacy!AV18+Paid!AV15+React!AV51</f>
        <v/>
      </c>
      <c r="AW36" s="5">
        <f>Legacy!AW18+Paid!AW15+React!AW51</f>
        <v/>
      </c>
      <c r="AX36" s="5">
        <f>Legacy!AX18+Paid!AX15+React!AX51</f>
        <v/>
      </c>
      <c r="AY36" s="5">
        <f>Legacy!AY18+Paid!AY15+React!AY51</f>
        <v/>
      </c>
      <c r="AZ36" s="5">
        <f>Legacy!AZ18+Paid!AZ15+React!AZ51</f>
        <v/>
      </c>
      <c r="BA36" s="5">
        <f>Legacy!BA18+Paid!BA15+React!BA51</f>
        <v/>
      </c>
      <c r="BB36" s="5">
        <f>Legacy!BB18+Paid!BB15+React!BB51</f>
        <v/>
      </c>
      <c r="BC36" s="5">
        <f>Legacy!BC18+Paid!BC15+React!BC51</f>
        <v/>
      </c>
      <c r="BD36" s="5">
        <f>Legacy!BD18+Paid!BD15+React!BD51</f>
        <v/>
      </c>
      <c r="BE36" s="5">
        <f>Legacy!BE18+Paid!BE15+React!BE51</f>
        <v/>
      </c>
      <c r="BF36" s="5">
        <f>Legacy!BF18+Paid!BF15+React!BF51</f>
        <v/>
      </c>
      <c r="BG36" s="5">
        <f>Legacy!BG18+Paid!BG15+React!BG51</f>
        <v/>
      </c>
      <c r="BH36" s="5">
        <f>Legacy!BH18+Paid!BH15+React!BH51</f>
        <v/>
      </c>
      <c r="BI36" s="5">
        <f>Legacy!BI18+Paid!BI15+React!BI51</f>
        <v/>
      </c>
      <c r="BJ36" s="5">
        <f>Legacy!BJ18+Paid!BJ15+React!BJ51</f>
        <v/>
      </c>
      <c r="BK36" s="5">
        <f>Legacy!BK18+Paid!BK15+React!BK51</f>
        <v/>
      </c>
      <c r="BL36" s="5">
        <f>Legacy!BL18+Paid!BL15+React!BL51</f>
        <v/>
      </c>
      <c r="BM36" s="5">
        <f>Legacy!BM18+Paid!BM15+React!BM51</f>
        <v/>
      </c>
      <c r="BN36" s="5">
        <f>Legacy!BN18+Paid!BN15+React!BN51</f>
        <v/>
      </c>
      <c r="BO36" s="5">
        <f>Legacy!BO18+Paid!BO15+React!BO51</f>
        <v/>
      </c>
      <c r="BP36" s="5">
        <f>Legacy!BP18+Paid!BP15+React!BP51</f>
        <v/>
      </c>
      <c r="BQ36" s="5">
        <f>Legacy!BQ18+Paid!BQ15+React!BQ51</f>
        <v/>
      </c>
      <c r="BR36" s="5">
        <f>Legacy!BR18+Paid!BR15+React!BR51</f>
        <v/>
      </c>
      <c r="BS36" s="5">
        <f>Legacy!BS18+Paid!BS15+React!BS51</f>
        <v/>
      </c>
      <c r="BT36" s="5">
        <f>Legacy!BT18+Paid!BT15+React!BT51</f>
        <v/>
      </c>
      <c r="BU36" s="5">
        <f>Legacy!BU18+Paid!BU15+React!BU51</f>
        <v/>
      </c>
      <c r="BV36" s="5">
        <f>Legacy!BV18+Paid!BV15+React!BV51</f>
        <v/>
      </c>
    </row>
    <row r="38">
      <c r="A38" t="inlineStr">
        <is>
          <t>opening</t>
        </is>
      </c>
      <c r="B38" t="inlineStr">
        <is>
          <t>EUROPE|NITRO_M</t>
        </is>
      </c>
      <c r="C38" s="5">
        <f>Legacy!$C$21</f>
        <v/>
      </c>
      <c r="D38" s="5">
        <f>C42</f>
        <v/>
      </c>
      <c r="E38" s="5">
        <f>D42</f>
        <v/>
      </c>
      <c r="F38" s="5">
        <f>E42</f>
        <v/>
      </c>
      <c r="G38" s="5">
        <f>F42</f>
        <v/>
      </c>
      <c r="H38" s="5">
        <f>G42</f>
        <v/>
      </c>
      <c r="I38" s="5">
        <f>H42</f>
        <v/>
      </c>
      <c r="J38" s="5">
        <f>I42</f>
        <v/>
      </c>
      <c r="K38" s="5">
        <f>J42</f>
        <v/>
      </c>
      <c r="L38" s="5">
        <f>K42</f>
        <v/>
      </c>
      <c r="M38" s="5">
        <f>L42</f>
        <v/>
      </c>
      <c r="N38" s="5">
        <f>M42</f>
        <v/>
      </c>
      <c r="O38" s="5">
        <f>N42</f>
        <v/>
      </c>
      <c r="P38" s="5">
        <f>O42</f>
        <v/>
      </c>
      <c r="Q38" s="5">
        <f>P42</f>
        <v/>
      </c>
      <c r="R38" s="5">
        <f>Q42</f>
        <v/>
      </c>
      <c r="S38" s="5">
        <f>R42</f>
        <v/>
      </c>
      <c r="T38" s="5">
        <f>S42</f>
        <v/>
      </c>
      <c r="U38" s="5">
        <f>T42</f>
        <v/>
      </c>
      <c r="V38" s="5">
        <f>U42</f>
        <v/>
      </c>
      <c r="W38" s="5">
        <f>V42</f>
        <v/>
      </c>
      <c r="X38" s="5">
        <f>W42</f>
        <v/>
      </c>
      <c r="Y38" s="5">
        <f>X42</f>
        <v/>
      </c>
      <c r="Z38" s="5">
        <f>Y42</f>
        <v/>
      </c>
      <c r="AA38" s="5">
        <f>Z42</f>
        <v/>
      </c>
      <c r="AB38" s="5">
        <f>AA42</f>
        <v/>
      </c>
      <c r="AC38" s="5">
        <f>AB42</f>
        <v/>
      </c>
      <c r="AD38" s="5">
        <f>AC42</f>
        <v/>
      </c>
      <c r="AE38" s="5">
        <f>AD42</f>
        <v/>
      </c>
      <c r="AF38" s="5">
        <f>AE42</f>
        <v/>
      </c>
      <c r="AG38" s="5">
        <f>AF42</f>
        <v/>
      </c>
      <c r="AH38" s="5">
        <f>AG42</f>
        <v/>
      </c>
      <c r="AI38" s="5">
        <f>AH42</f>
        <v/>
      </c>
      <c r="AJ38" s="5">
        <f>AI42</f>
        <v/>
      </c>
      <c r="AK38" s="5">
        <f>AJ42</f>
        <v/>
      </c>
      <c r="AL38" s="5">
        <f>AK42</f>
        <v/>
      </c>
      <c r="AM38" s="5">
        <f>AL42</f>
        <v/>
      </c>
      <c r="AN38" s="5">
        <f>AM42</f>
        <v/>
      </c>
      <c r="AO38" s="5">
        <f>AN42</f>
        <v/>
      </c>
      <c r="AP38" s="5">
        <f>AO42</f>
        <v/>
      </c>
      <c r="AQ38" s="5">
        <f>AP42</f>
        <v/>
      </c>
      <c r="AR38" s="5">
        <f>AQ42</f>
        <v/>
      </c>
      <c r="AS38" s="5">
        <f>AR42</f>
        <v/>
      </c>
      <c r="AT38" s="5">
        <f>AS42</f>
        <v/>
      </c>
      <c r="AU38" s="5">
        <f>AT42</f>
        <v/>
      </c>
      <c r="AV38" s="5">
        <f>AU42</f>
        <v/>
      </c>
      <c r="AW38" s="5">
        <f>AV42</f>
        <v/>
      </c>
      <c r="AX38" s="5">
        <f>AW42</f>
        <v/>
      </c>
      <c r="AY38" s="5">
        <f>AX42</f>
        <v/>
      </c>
      <c r="AZ38" s="5">
        <f>AY42</f>
        <v/>
      </c>
      <c r="BA38" s="5">
        <f>AZ42</f>
        <v/>
      </c>
      <c r="BB38" s="5">
        <f>BA42</f>
        <v/>
      </c>
      <c r="BC38" s="5">
        <f>BB42</f>
        <v/>
      </c>
      <c r="BD38" s="5">
        <f>BC42</f>
        <v/>
      </c>
      <c r="BE38" s="5">
        <f>BD42</f>
        <v/>
      </c>
      <c r="BF38" s="5">
        <f>BE42</f>
        <v/>
      </c>
      <c r="BG38" s="5">
        <f>BF42</f>
        <v/>
      </c>
      <c r="BH38" s="5">
        <f>BG42</f>
        <v/>
      </c>
      <c r="BI38" s="5">
        <f>BH42</f>
        <v/>
      </c>
      <c r="BJ38" s="5">
        <f>BI42</f>
        <v/>
      </c>
      <c r="BK38" s="5">
        <f>BJ42</f>
        <v/>
      </c>
      <c r="BL38" s="5">
        <f>BK42</f>
        <v/>
      </c>
      <c r="BM38" s="5">
        <f>BL42</f>
        <v/>
      </c>
      <c r="BN38" s="5">
        <f>BM42</f>
        <v/>
      </c>
      <c r="BO38" s="5">
        <f>BN42</f>
        <v/>
      </c>
      <c r="BP38" s="5">
        <f>BO42</f>
        <v/>
      </c>
      <c r="BQ38" s="5">
        <f>BP42</f>
        <v/>
      </c>
      <c r="BR38" s="5">
        <f>BQ42</f>
        <v/>
      </c>
      <c r="BS38" s="5">
        <f>BR42</f>
        <v/>
      </c>
      <c r="BT38" s="5">
        <f>BS42</f>
        <v/>
      </c>
      <c r="BU38" s="5">
        <f>BT42</f>
        <v/>
      </c>
      <c r="BV38" s="5">
        <f>BU42</f>
        <v/>
      </c>
    </row>
    <row r="39">
      <c r="A39" t="inlineStr">
        <is>
          <t>new</t>
        </is>
      </c>
      <c r="B39" t="inlineStr">
        <is>
          <t>EUROPE|NITRO_M</t>
        </is>
      </c>
      <c r="C39" s="5">
        <f>Adds!C65+IF(Params!$B$7=1,Adds!C64,Adds!C68)</f>
        <v/>
      </c>
      <c r="D39" s="5">
        <f>Adds!D65+IF(Params!$B$7=1,Adds!D64,Adds!D68)</f>
        <v/>
      </c>
      <c r="E39" s="5">
        <f>Adds!E65+IF(Params!$B$7=1,Adds!E64,Adds!E68)</f>
        <v/>
      </c>
      <c r="F39" s="5">
        <f>Adds!F65+IF(Params!$B$7=1,Adds!F64,Adds!F68)</f>
        <v/>
      </c>
      <c r="G39" s="5">
        <f>Adds!G65+IF(Params!$B$7=1,Adds!G64,Adds!G68)</f>
        <v/>
      </c>
      <c r="H39" s="5">
        <f>Adds!H65+IF(Params!$B$7=1,Adds!H64,Adds!H68)</f>
        <v/>
      </c>
      <c r="I39" s="5">
        <f>Adds!I65+IF(Params!$B$7=1,Adds!I64,Adds!I68)</f>
        <v/>
      </c>
      <c r="J39" s="5">
        <f>Adds!J65+IF(Params!$B$7=1,Adds!J64,Adds!J68)</f>
        <v/>
      </c>
      <c r="K39" s="5">
        <f>Adds!K65+IF(Params!$B$7=1,Adds!K64,Adds!K68)</f>
        <v/>
      </c>
      <c r="L39" s="5">
        <f>Adds!L65+IF(Params!$B$7=1,Adds!L64,Adds!L68)</f>
        <v/>
      </c>
      <c r="M39" s="5">
        <f>Adds!M65+IF(Params!$B$7=1,Adds!M64,Adds!M68)</f>
        <v/>
      </c>
      <c r="N39" s="5">
        <f>Adds!N65+IF(Params!$B$7=1,Adds!N64,Adds!N68)</f>
        <v/>
      </c>
      <c r="O39" s="5">
        <f>Adds!O65+IF(Params!$B$7=1,Adds!O64,Adds!O68)</f>
        <v/>
      </c>
      <c r="P39" s="5">
        <f>Adds!P65+IF(Params!$B$7=1,Adds!P64,Adds!P68)</f>
        <v/>
      </c>
      <c r="Q39" s="5">
        <f>Adds!Q65+IF(Params!$B$7=1,Adds!Q64,Adds!Q68)</f>
        <v/>
      </c>
      <c r="R39" s="5">
        <f>Adds!R65+IF(Params!$B$7=1,Adds!R64,Adds!R68)</f>
        <v/>
      </c>
      <c r="S39" s="5">
        <f>Adds!S65+IF(Params!$B$7=1,Adds!S64,Adds!S68)</f>
        <v/>
      </c>
      <c r="T39" s="5">
        <f>Adds!T65+IF(Params!$B$7=1,Adds!T64,Adds!T68)</f>
        <v/>
      </c>
      <c r="U39" s="5">
        <f>Adds!U65+IF(Params!$B$7=1,Adds!U64,Adds!U68)</f>
        <v/>
      </c>
      <c r="V39" s="5">
        <f>Adds!V65+IF(Params!$B$7=1,Adds!V64,Adds!V68)</f>
        <v/>
      </c>
      <c r="W39" s="5">
        <f>Adds!W65+IF(Params!$B$7=1,Adds!W64,Adds!W68)</f>
        <v/>
      </c>
      <c r="X39" s="5">
        <f>Adds!X65+IF(Params!$B$7=1,Adds!X64,Adds!X68)</f>
        <v/>
      </c>
      <c r="Y39" s="5">
        <f>Adds!Y65+IF(Params!$B$7=1,Adds!Y64,Adds!Y68)</f>
        <v/>
      </c>
      <c r="Z39" s="5">
        <f>Adds!Z65+IF(Params!$B$7=1,Adds!Z64,Adds!Z68)</f>
        <v/>
      </c>
      <c r="AA39" s="5">
        <f>Adds!AA65+IF(Params!$B$7=1,Adds!AA64,Adds!AA68)</f>
        <v/>
      </c>
      <c r="AB39" s="5">
        <f>Adds!AB65+IF(Params!$B$7=1,Adds!AB64,Adds!AB68)</f>
        <v/>
      </c>
      <c r="AC39" s="5">
        <f>Adds!AC65+IF(Params!$B$7=1,Adds!AC64,Adds!AC68)</f>
        <v/>
      </c>
      <c r="AD39" s="5">
        <f>Adds!AD65+IF(Params!$B$7=1,Adds!AD64,Adds!AD68)</f>
        <v/>
      </c>
      <c r="AE39" s="5">
        <f>Adds!AE65+IF(Params!$B$7=1,Adds!AE64,Adds!AE68)</f>
        <v/>
      </c>
      <c r="AF39" s="5">
        <f>Adds!AF65+IF(Params!$B$7=1,Adds!AF64,Adds!AF68)</f>
        <v/>
      </c>
      <c r="AG39" s="5">
        <f>Adds!AG65+IF(Params!$B$7=1,Adds!AG64,Adds!AG68)</f>
        <v/>
      </c>
      <c r="AH39" s="5">
        <f>Adds!AH65+IF(Params!$B$7=1,Adds!AH64,Adds!AH68)</f>
        <v/>
      </c>
      <c r="AI39" s="5">
        <f>Adds!AI65+IF(Params!$B$7=1,Adds!AI64,Adds!AI68)</f>
        <v/>
      </c>
      <c r="AJ39" s="5">
        <f>Adds!AJ65+IF(Params!$B$7=1,Adds!AJ64,Adds!AJ68)</f>
        <v/>
      </c>
      <c r="AK39" s="5">
        <f>Adds!AK65+IF(Params!$B$7=1,Adds!AK64,Adds!AK68)</f>
        <v/>
      </c>
      <c r="AL39" s="5">
        <f>Adds!AL65+IF(Params!$B$7=1,Adds!AL64,Adds!AL68)</f>
        <v/>
      </c>
      <c r="AM39" s="5">
        <f>Adds!AM65+IF(Params!$B$7=1,Adds!AM64,Adds!AM68)</f>
        <v/>
      </c>
      <c r="AN39" s="5">
        <f>Adds!AN65+IF(Params!$B$7=1,Adds!AN64,Adds!AN68)</f>
        <v/>
      </c>
      <c r="AO39" s="5">
        <f>Adds!AO65+IF(Params!$B$7=1,Adds!AO64,Adds!AO68)</f>
        <v/>
      </c>
      <c r="AP39" s="5">
        <f>Adds!AP65+IF(Params!$B$7=1,Adds!AP64,Adds!AP68)</f>
        <v/>
      </c>
      <c r="AQ39" s="5">
        <f>Adds!AQ65+IF(Params!$B$7=1,Adds!AQ64,Adds!AQ68)</f>
        <v/>
      </c>
      <c r="AR39" s="5">
        <f>Adds!AR65+IF(Params!$B$7=1,Adds!AR64,Adds!AR68)</f>
        <v/>
      </c>
      <c r="AS39" s="5">
        <f>Adds!AS65+IF(Params!$B$7=1,Adds!AS64,Adds!AS68)</f>
        <v/>
      </c>
      <c r="AT39" s="5">
        <f>Adds!AT65+IF(Params!$B$7=1,Adds!AT64,Adds!AT68)</f>
        <v/>
      </c>
      <c r="AU39" s="5">
        <f>Adds!AU65+IF(Params!$B$7=1,Adds!AU64,Adds!AU68)</f>
        <v/>
      </c>
      <c r="AV39" s="5">
        <f>Adds!AV65+IF(Params!$B$7=1,Adds!AV64,Adds!AV68)</f>
        <v/>
      </c>
      <c r="AW39" s="5">
        <f>Adds!AW65+IF(Params!$B$7=1,Adds!AW64,Adds!AW68)</f>
        <v/>
      </c>
      <c r="AX39" s="5">
        <f>Adds!AX65+IF(Params!$B$7=1,Adds!AX64,Adds!AX68)</f>
        <v/>
      </c>
      <c r="AY39" s="5">
        <f>Adds!AY65+IF(Params!$B$7=1,Adds!AY64,Adds!AY68)</f>
        <v/>
      </c>
      <c r="AZ39" s="5">
        <f>Adds!AZ65+IF(Params!$B$7=1,Adds!AZ64,Adds!AZ68)</f>
        <v/>
      </c>
      <c r="BA39" s="5">
        <f>Adds!BA65+IF(Params!$B$7=1,Adds!BA64,Adds!BA68)</f>
        <v/>
      </c>
      <c r="BB39" s="5">
        <f>Adds!BB65+IF(Params!$B$7=1,Adds!BB64,Adds!BB68)</f>
        <v/>
      </c>
      <c r="BC39" s="5">
        <f>Adds!BC65+IF(Params!$B$7=1,Adds!BC64,Adds!BC68)</f>
        <v/>
      </c>
      <c r="BD39" s="5">
        <f>Adds!BD65+IF(Params!$B$7=1,Adds!BD64,Adds!BD68)</f>
        <v/>
      </c>
      <c r="BE39" s="5">
        <f>Adds!BE65+IF(Params!$B$7=1,Adds!BE64,Adds!BE68)</f>
        <v/>
      </c>
      <c r="BF39" s="5">
        <f>Adds!BF65+IF(Params!$B$7=1,Adds!BF64,Adds!BF68)</f>
        <v/>
      </c>
      <c r="BG39" s="5">
        <f>Adds!BG65+IF(Params!$B$7=1,Adds!BG64,Adds!BG68)</f>
        <v/>
      </c>
      <c r="BH39" s="5">
        <f>Adds!BH65+IF(Params!$B$7=1,Adds!BH64,Adds!BH68)</f>
        <v/>
      </c>
      <c r="BI39" s="5">
        <f>Adds!BI65+IF(Params!$B$7=1,Adds!BI64,Adds!BI68)</f>
        <v/>
      </c>
      <c r="BJ39" s="5">
        <f>Adds!BJ65+IF(Params!$B$7=1,Adds!BJ64,Adds!BJ68)</f>
        <v/>
      </c>
      <c r="BK39" s="5">
        <f>Adds!BK65+IF(Params!$B$7=1,Adds!BK64,Adds!BK68)</f>
        <v/>
      </c>
      <c r="BL39" s="5">
        <f>Adds!BL65+IF(Params!$B$7=1,Adds!BL64,Adds!BL68)</f>
        <v/>
      </c>
      <c r="BM39" s="5">
        <f>Adds!BM65+IF(Params!$B$7=1,Adds!BM64,Adds!BM68)</f>
        <v/>
      </c>
      <c r="BN39" s="5">
        <f>Adds!BN65+IF(Params!$B$7=1,Adds!BN64,Adds!BN68)</f>
        <v/>
      </c>
      <c r="BO39" s="5">
        <f>Adds!BO65+IF(Params!$B$7=1,Adds!BO64,Adds!BO68)</f>
        <v/>
      </c>
      <c r="BP39" s="5">
        <f>Adds!BP65+IF(Params!$B$7=1,Adds!BP64,Adds!BP68)</f>
        <v/>
      </c>
      <c r="BQ39" s="5">
        <f>Adds!BQ65+IF(Params!$B$7=1,Adds!BQ64,Adds!BQ68)</f>
        <v/>
      </c>
      <c r="BR39" s="5">
        <f>Adds!BR65+IF(Params!$B$7=1,Adds!BR64,Adds!BR68)</f>
        <v/>
      </c>
      <c r="BS39" s="5">
        <f>Adds!BS65+IF(Params!$B$7=1,Adds!BS64,Adds!BS68)</f>
        <v/>
      </c>
      <c r="BT39" s="5">
        <f>Adds!BT65+IF(Params!$B$7=1,Adds!BT64,Adds!BT68)</f>
        <v/>
      </c>
      <c r="BU39" s="5">
        <f>Adds!BU65+IF(Params!$B$7=1,Adds!BU64,Adds!BU68)</f>
        <v/>
      </c>
      <c r="BV39" s="5">
        <f>Adds!BV65+IF(Params!$B$7=1,Adds!BV64,Adds!BV68)</f>
        <v/>
      </c>
    </row>
    <row r="40">
      <c r="A40" t="inlineStr">
        <is>
          <t>reactivated</t>
        </is>
      </c>
      <c r="B40" t="inlineStr">
        <is>
          <t>EUROPE|NITRO_M</t>
        </is>
      </c>
      <c r="C40" s="5">
        <f>React!C60</f>
        <v/>
      </c>
      <c r="D40" s="5">
        <f>React!D60</f>
        <v/>
      </c>
      <c r="E40" s="5">
        <f>React!E60</f>
        <v/>
      </c>
      <c r="F40" s="5">
        <f>React!F60</f>
        <v/>
      </c>
      <c r="G40" s="5">
        <f>React!G60</f>
        <v/>
      </c>
      <c r="H40" s="5">
        <f>React!H60</f>
        <v/>
      </c>
      <c r="I40" s="5">
        <f>React!I60</f>
        <v/>
      </c>
      <c r="J40" s="5">
        <f>React!J60</f>
        <v/>
      </c>
      <c r="K40" s="5">
        <f>React!K60</f>
        <v/>
      </c>
      <c r="L40" s="5">
        <f>React!L60</f>
        <v/>
      </c>
      <c r="M40" s="5">
        <f>React!M60</f>
        <v/>
      </c>
      <c r="N40" s="5">
        <f>React!N60</f>
        <v/>
      </c>
      <c r="O40" s="5">
        <f>React!O60</f>
        <v/>
      </c>
      <c r="P40" s="5">
        <f>React!P60</f>
        <v/>
      </c>
      <c r="Q40" s="5">
        <f>React!Q60</f>
        <v/>
      </c>
      <c r="R40" s="5">
        <f>React!R60</f>
        <v/>
      </c>
      <c r="S40" s="5">
        <f>React!S60</f>
        <v/>
      </c>
      <c r="T40" s="5">
        <f>React!T60</f>
        <v/>
      </c>
      <c r="U40" s="5">
        <f>React!U60</f>
        <v/>
      </c>
      <c r="V40" s="5">
        <f>React!V60</f>
        <v/>
      </c>
      <c r="W40" s="5">
        <f>React!W60</f>
        <v/>
      </c>
      <c r="X40" s="5">
        <f>React!X60</f>
        <v/>
      </c>
      <c r="Y40" s="5">
        <f>React!Y60</f>
        <v/>
      </c>
      <c r="Z40" s="5">
        <f>React!Z60</f>
        <v/>
      </c>
      <c r="AA40" s="5">
        <f>React!AA60</f>
        <v/>
      </c>
      <c r="AB40" s="5">
        <f>React!AB60</f>
        <v/>
      </c>
      <c r="AC40" s="5">
        <f>React!AC60</f>
        <v/>
      </c>
      <c r="AD40" s="5">
        <f>React!AD60</f>
        <v/>
      </c>
      <c r="AE40" s="5">
        <f>React!AE60</f>
        <v/>
      </c>
      <c r="AF40" s="5">
        <f>React!AF60</f>
        <v/>
      </c>
      <c r="AG40" s="5">
        <f>React!AG60</f>
        <v/>
      </c>
      <c r="AH40" s="5">
        <f>React!AH60</f>
        <v/>
      </c>
      <c r="AI40" s="5">
        <f>React!AI60</f>
        <v/>
      </c>
      <c r="AJ40" s="5">
        <f>React!AJ60</f>
        <v/>
      </c>
      <c r="AK40" s="5">
        <f>React!AK60</f>
        <v/>
      </c>
      <c r="AL40" s="5">
        <f>React!AL60</f>
        <v/>
      </c>
      <c r="AM40" s="5">
        <f>React!AM60</f>
        <v/>
      </c>
      <c r="AN40" s="5">
        <f>React!AN60</f>
        <v/>
      </c>
      <c r="AO40" s="5">
        <f>React!AO60</f>
        <v/>
      </c>
      <c r="AP40" s="5">
        <f>React!AP60</f>
        <v/>
      </c>
      <c r="AQ40" s="5">
        <f>React!AQ60</f>
        <v/>
      </c>
      <c r="AR40" s="5">
        <f>React!AR60</f>
        <v/>
      </c>
      <c r="AS40" s="5">
        <f>React!AS60</f>
        <v/>
      </c>
      <c r="AT40" s="5">
        <f>React!AT60</f>
        <v/>
      </c>
      <c r="AU40" s="5">
        <f>React!AU60</f>
        <v/>
      </c>
      <c r="AV40" s="5">
        <f>React!AV60</f>
        <v/>
      </c>
      <c r="AW40" s="5">
        <f>React!AW60</f>
        <v/>
      </c>
      <c r="AX40" s="5">
        <f>React!AX60</f>
        <v/>
      </c>
      <c r="AY40" s="5">
        <f>React!AY60</f>
        <v/>
      </c>
      <c r="AZ40" s="5">
        <f>React!AZ60</f>
        <v/>
      </c>
      <c r="BA40" s="5">
        <f>React!BA60</f>
        <v/>
      </c>
      <c r="BB40" s="5">
        <f>React!BB60</f>
        <v/>
      </c>
      <c r="BC40" s="5">
        <f>React!BC60</f>
        <v/>
      </c>
      <c r="BD40" s="5">
        <f>React!BD60</f>
        <v/>
      </c>
      <c r="BE40" s="5">
        <f>React!BE60</f>
        <v/>
      </c>
      <c r="BF40" s="5">
        <f>React!BF60</f>
        <v/>
      </c>
      <c r="BG40" s="5">
        <f>React!BG60</f>
        <v/>
      </c>
      <c r="BH40" s="5">
        <f>React!BH60</f>
        <v/>
      </c>
      <c r="BI40" s="5">
        <f>React!BI60</f>
        <v/>
      </c>
      <c r="BJ40" s="5">
        <f>React!BJ60</f>
        <v/>
      </c>
      <c r="BK40" s="5">
        <f>React!BK60</f>
        <v/>
      </c>
      <c r="BL40" s="5">
        <f>React!BL60</f>
        <v/>
      </c>
      <c r="BM40" s="5">
        <f>React!BM60</f>
        <v/>
      </c>
      <c r="BN40" s="5">
        <f>React!BN60</f>
        <v/>
      </c>
      <c r="BO40" s="5">
        <f>React!BO60</f>
        <v/>
      </c>
      <c r="BP40" s="5">
        <f>React!BP60</f>
        <v/>
      </c>
      <c r="BQ40" s="5">
        <f>React!BQ60</f>
        <v/>
      </c>
      <c r="BR40" s="5">
        <f>React!BR60</f>
        <v/>
      </c>
      <c r="BS40" s="5">
        <f>React!BS60</f>
        <v/>
      </c>
      <c r="BT40" s="5">
        <f>React!BT60</f>
        <v/>
      </c>
      <c r="BU40" s="5">
        <f>React!BU60</f>
        <v/>
      </c>
      <c r="BV40" s="5">
        <f>React!BV60</f>
        <v/>
      </c>
    </row>
    <row r="41">
      <c r="A41" t="inlineStr">
        <is>
          <t>churned</t>
        </is>
      </c>
      <c r="B41" t="inlineStr">
        <is>
          <t>EUROPE|NITRO_M</t>
        </is>
      </c>
      <c r="C41" s="5">
        <f>Legacy!C23+Paid!C21+React!C66+Params!$B$7*Adds!C69</f>
        <v/>
      </c>
      <c r="D41" s="5">
        <f>Legacy!D23+Paid!D21+React!D66+Params!$B$7*Adds!D69</f>
        <v/>
      </c>
      <c r="E41" s="5">
        <f>Legacy!E23+Paid!E21+React!E66+Params!$B$7*Adds!E69</f>
        <v/>
      </c>
      <c r="F41" s="5">
        <f>Legacy!F23+Paid!F21+React!F66+Params!$B$7*Adds!F69</f>
        <v/>
      </c>
      <c r="G41" s="5">
        <f>Legacy!G23+Paid!G21+React!G66+Params!$B$7*Adds!G69</f>
        <v/>
      </c>
      <c r="H41" s="5">
        <f>Legacy!H23+Paid!H21+React!H66+Params!$B$7*Adds!H69</f>
        <v/>
      </c>
      <c r="I41" s="5">
        <f>Legacy!I23+Paid!I21+React!I66+Params!$B$7*Adds!I69</f>
        <v/>
      </c>
      <c r="J41" s="5">
        <f>Legacy!J23+Paid!J21+React!J66+Params!$B$7*Adds!J69</f>
        <v/>
      </c>
      <c r="K41" s="5">
        <f>Legacy!K23+Paid!K21+React!K66+Params!$B$7*Adds!K69</f>
        <v/>
      </c>
      <c r="L41" s="5">
        <f>Legacy!L23+Paid!L21+React!L66+Params!$B$7*Adds!L69</f>
        <v/>
      </c>
      <c r="M41" s="5">
        <f>Legacy!M23+Paid!M21+React!M66+Params!$B$7*Adds!M69</f>
        <v/>
      </c>
      <c r="N41" s="5">
        <f>Legacy!N23+Paid!N21+React!N66+Params!$B$7*Adds!N69</f>
        <v/>
      </c>
      <c r="O41" s="5">
        <f>Legacy!O23+Paid!O21+React!O66+Params!$B$7*Adds!O69</f>
        <v/>
      </c>
      <c r="P41" s="5">
        <f>Legacy!P23+Paid!P21+React!P66+Params!$B$7*Adds!P69</f>
        <v/>
      </c>
      <c r="Q41" s="5">
        <f>Legacy!Q23+Paid!Q21+React!Q66+Params!$B$7*Adds!Q69</f>
        <v/>
      </c>
      <c r="R41" s="5">
        <f>Legacy!R23+Paid!R21+React!R66+Params!$B$7*Adds!R69</f>
        <v/>
      </c>
      <c r="S41" s="5">
        <f>Legacy!S23+Paid!S21+React!S66+Params!$B$7*Adds!S69</f>
        <v/>
      </c>
      <c r="T41" s="5">
        <f>Legacy!T23+Paid!T21+React!T66+Params!$B$7*Adds!T69</f>
        <v/>
      </c>
      <c r="U41" s="5">
        <f>Legacy!U23+Paid!U21+React!U66+Params!$B$7*Adds!U69</f>
        <v/>
      </c>
      <c r="V41" s="5">
        <f>Legacy!V23+Paid!V21+React!V66+Params!$B$7*Adds!V69</f>
        <v/>
      </c>
      <c r="W41" s="5">
        <f>Legacy!W23+Paid!W21+React!W66+Params!$B$7*Adds!W69</f>
        <v/>
      </c>
      <c r="X41" s="5">
        <f>Legacy!X23+Paid!X21+React!X66+Params!$B$7*Adds!X69</f>
        <v/>
      </c>
      <c r="Y41" s="5">
        <f>Legacy!Y23+Paid!Y21+React!Y66+Params!$B$7*Adds!Y69</f>
        <v/>
      </c>
      <c r="Z41" s="5">
        <f>Legacy!Z23+Paid!Z21+React!Z66+Params!$B$7*Adds!Z69</f>
        <v/>
      </c>
      <c r="AA41" s="5">
        <f>Legacy!AA23+Paid!AA21+React!AA66+Params!$B$7*Adds!AA69</f>
        <v/>
      </c>
      <c r="AB41" s="5">
        <f>Legacy!AB23+Paid!AB21+React!AB66+Params!$B$7*Adds!AB69</f>
        <v/>
      </c>
      <c r="AC41" s="5">
        <f>Legacy!AC23+Paid!AC21+React!AC66+Params!$B$7*Adds!AC69</f>
        <v/>
      </c>
      <c r="AD41" s="5">
        <f>Legacy!AD23+Paid!AD21+React!AD66+Params!$B$7*Adds!AD69</f>
        <v/>
      </c>
      <c r="AE41" s="5">
        <f>Legacy!AE23+Paid!AE21+React!AE66+Params!$B$7*Adds!AE69</f>
        <v/>
      </c>
      <c r="AF41" s="5">
        <f>Legacy!AF23+Paid!AF21+React!AF66+Params!$B$7*Adds!AF69</f>
        <v/>
      </c>
      <c r="AG41" s="5">
        <f>Legacy!AG23+Paid!AG21+React!AG66+Params!$B$7*Adds!AG69</f>
        <v/>
      </c>
      <c r="AH41" s="5">
        <f>Legacy!AH23+Paid!AH21+React!AH66+Params!$B$7*Adds!AH69</f>
        <v/>
      </c>
      <c r="AI41" s="5">
        <f>Legacy!AI23+Paid!AI21+React!AI66+Params!$B$7*Adds!AI69</f>
        <v/>
      </c>
      <c r="AJ41" s="5">
        <f>Legacy!AJ23+Paid!AJ21+React!AJ66+Params!$B$7*Adds!AJ69</f>
        <v/>
      </c>
      <c r="AK41" s="5">
        <f>Legacy!AK23+Paid!AK21+React!AK66+Params!$B$7*Adds!AK69</f>
        <v/>
      </c>
      <c r="AL41" s="5">
        <f>Legacy!AL23+Paid!AL21+React!AL66+Params!$B$7*Adds!AL69</f>
        <v/>
      </c>
      <c r="AM41" s="5">
        <f>Legacy!AM23+Paid!AM21+React!AM66+Params!$B$7*Adds!AM69</f>
        <v/>
      </c>
      <c r="AN41" s="5">
        <f>Legacy!AN23+Paid!AN21+React!AN66+Params!$B$7*Adds!AN69</f>
        <v/>
      </c>
      <c r="AO41" s="5">
        <f>Legacy!AO23+Paid!AO21+React!AO66+Params!$B$7*Adds!AO69</f>
        <v/>
      </c>
      <c r="AP41" s="5">
        <f>Legacy!AP23+Paid!AP21+React!AP66+Params!$B$7*Adds!AP69</f>
        <v/>
      </c>
      <c r="AQ41" s="5">
        <f>Legacy!AQ23+Paid!AQ21+React!AQ66+Params!$B$7*Adds!AQ69</f>
        <v/>
      </c>
      <c r="AR41" s="5">
        <f>Legacy!AR23+Paid!AR21+React!AR66+Params!$B$7*Adds!AR69</f>
        <v/>
      </c>
      <c r="AS41" s="5">
        <f>Legacy!AS23+Paid!AS21+React!AS66+Params!$B$7*Adds!AS69</f>
        <v/>
      </c>
      <c r="AT41" s="5">
        <f>Legacy!AT23+Paid!AT21+React!AT66+Params!$B$7*Adds!AT69</f>
        <v/>
      </c>
      <c r="AU41" s="5">
        <f>Legacy!AU23+Paid!AU21+React!AU66+Params!$B$7*Adds!AU69</f>
        <v/>
      </c>
      <c r="AV41" s="5">
        <f>Legacy!AV23+Paid!AV21+React!AV66+Params!$B$7*Adds!AV69</f>
        <v/>
      </c>
      <c r="AW41" s="5">
        <f>Legacy!AW23+Paid!AW21+React!AW66+Params!$B$7*Adds!AW69</f>
        <v/>
      </c>
      <c r="AX41" s="5">
        <f>Legacy!AX23+Paid!AX21+React!AX66+Params!$B$7*Adds!AX69</f>
        <v/>
      </c>
      <c r="AY41" s="5">
        <f>Legacy!AY23+Paid!AY21+React!AY66+Params!$B$7*Adds!AY69</f>
        <v/>
      </c>
      <c r="AZ41" s="5">
        <f>Legacy!AZ23+Paid!AZ21+React!AZ66+Params!$B$7*Adds!AZ69</f>
        <v/>
      </c>
      <c r="BA41" s="5">
        <f>Legacy!BA23+Paid!BA21+React!BA66+Params!$B$7*Adds!BA69</f>
        <v/>
      </c>
      <c r="BB41" s="5">
        <f>Legacy!BB23+Paid!BB21+React!BB66+Params!$B$7*Adds!BB69</f>
        <v/>
      </c>
      <c r="BC41" s="5">
        <f>Legacy!BC23+Paid!BC21+React!BC66+Params!$B$7*Adds!BC69</f>
        <v/>
      </c>
      <c r="BD41" s="5">
        <f>Legacy!BD23+Paid!BD21+React!BD66+Params!$B$7*Adds!BD69</f>
        <v/>
      </c>
      <c r="BE41" s="5">
        <f>Legacy!BE23+Paid!BE21+React!BE66+Params!$B$7*Adds!BE69</f>
        <v/>
      </c>
      <c r="BF41" s="5">
        <f>Legacy!BF23+Paid!BF21+React!BF66+Params!$B$7*Adds!BF69</f>
        <v/>
      </c>
      <c r="BG41" s="5">
        <f>Legacy!BG23+Paid!BG21+React!BG66+Params!$B$7*Adds!BG69</f>
        <v/>
      </c>
      <c r="BH41" s="5">
        <f>Legacy!BH23+Paid!BH21+React!BH66+Params!$B$7*Adds!BH69</f>
        <v/>
      </c>
      <c r="BI41" s="5">
        <f>Legacy!BI23+Paid!BI21+React!BI66+Params!$B$7*Adds!BI69</f>
        <v/>
      </c>
      <c r="BJ41" s="5">
        <f>Legacy!BJ23+Paid!BJ21+React!BJ66+Params!$B$7*Adds!BJ69</f>
        <v/>
      </c>
      <c r="BK41" s="5">
        <f>Legacy!BK23+Paid!BK21+React!BK66+Params!$B$7*Adds!BK69</f>
        <v/>
      </c>
      <c r="BL41" s="5">
        <f>Legacy!BL23+Paid!BL21+React!BL66+Params!$B$7*Adds!BL69</f>
        <v/>
      </c>
      <c r="BM41" s="5">
        <f>Legacy!BM23+Paid!BM21+React!BM66+Params!$B$7*Adds!BM69</f>
        <v/>
      </c>
      <c r="BN41" s="5">
        <f>Legacy!BN23+Paid!BN21+React!BN66+Params!$B$7*Adds!BN69</f>
        <v/>
      </c>
      <c r="BO41" s="5">
        <f>Legacy!BO23+Paid!BO21+React!BO66+Params!$B$7*Adds!BO69</f>
        <v/>
      </c>
      <c r="BP41" s="5">
        <f>Legacy!BP23+Paid!BP21+React!BP66+Params!$B$7*Adds!BP69</f>
        <v/>
      </c>
      <c r="BQ41" s="5">
        <f>Legacy!BQ23+Paid!BQ21+React!BQ66+Params!$B$7*Adds!BQ69</f>
        <v/>
      </c>
      <c r="BR41" s="5">
        <f>Legacy!BR23+Paid!BR21+React!BR66+Params!$B$7*Adds!BR69</f>
        <v/>
      </c>
      <c r="BS41" s="5">
        <f>Legacy!BS23+Paid!BS21+React!BS66+Params!$B$7*Adds!BS69</f>
        <v/>
      </c>
      <c r="BT41" s="5">
        <f>Legacy!BT23+Paid!BT21+React!BT66+Params!$B$7*Adds!BT69</f>
        <v/>
      </c>
      <c r="BU41" s="5">
        <f>Legacy!BU23+Paid!BU21+React!BU66+Params!$B$7*Adds!BU69</f>
        <v/>
      </c>
      <c r="BV41" s="5">
        <f>Legacy!BV23+Paid!BV21+React!BV66+Params!$B$7*Adds!BV69</f>
        <v/>
      </c>
    </row>
    <row r="42">
      <c r="A42" t="inlineStr">
        <is>
          <t>closing</t>
        </is>
      </c>
      <c r="B42" t="inlineStr">
        <is>
          <t>EUROPE|NITRO_M</t>
        </is>
      </c>
      <c r="C42" s="5">
        <f>C43+Params!$B$7*Adds!C72</f>
        <v/>
      </c>
      <c r="D42" s="5">
        <f>D43+Params!$B$7*Adds!D72</f>
        <v/>
      </c>
      <c r="E42" s="5">
        <f>E43+Params!$B$7*Adds!E72</f>
        <v/>
      </c>
      <c r="F42" s="5">
        <f>F43+Params!$B$7*Adds!F72</f>
        <v/>
      </c>
      <c r="G42" s="5">
        <f>G43+Params!$B$7*Adds!G72</f>
        <v/>
      </c>
      <c r="H42" s="5">
        <f>H43+Params!$B$7*Adds!H72</f>
        <v/>
      </c>
      <c r="I42" s="5">
        <f>I43+Params!$B$7*Adds!I72</f>
        <v/>
      </c>
      <c r="J42" s="5">
        <f>J43+Params!$B$7*Adds!J72</f>
        <v/>
      </c>
      <c r="K42" s="5">
        <f>K43+Params!$B$7*Adds!K72</f>
        <v/>
      </c>
      <c r="L42" s="5">
        <f>L43+Params!$B$7*Adds!L72</f>
        <v/>
      </c>
      <c r="M42" s="5">
        <f>M43+Params!$B$7*Adds!M72</f>
        <v/>
      </c>
      <c r="N42" s="5">
        <f>N43+Params!$B$7*Adds!N72</f>
        <v/>
      </c>
      <c r="O42" s="5">
        <f>O43+Params!$B$7*Adds!O72</f>
        <v/>
      </c>
      <c r="P42" s="5">
        <f>P43+Params!$B$7*Adds!P72</f>
        <v/>
      </c>
      <c r="Q42" s="5">
        <f>Q43+Params!$B$7*Adds!Q72</f>
        <v/>
      </c>
      <c r="R42" s="5">
        <f>R43+Params!$B$7*Adds!R72</f>
        <v/>
      </c>
      <c r="S42" s="5">
        <f>S43+Params!$B$7*Adds!S72</f>
        <v/>
      </c>
      <c r="T42" s="5">
        <f>T43+Params!$B$7*Adds!T72</f>
        <v/>
      </c>
      <c r="U42" s="5">
        <f>U43+Params!$B$7*Adds!U72</f>
        <v/>
      </c>
      <c r="V42" s="5">
        <f>V43+Params!$B$7*Adds!V72</f>
        <v/>
      </c>
      <c r="W42" s="5">
        <f>W43+Params!$B$7*Adds!W72</f>
        <v/>
      </c>
      <c r="X42" s="5">
        <f>X43+Params!$B$7*Adds!X72</f>
        <v/>
      </c>
      <c r="Y42" s="5">
        <f>Y43+Params!$B$7*Adds!Y72</f>
        <v/>
      </c>
      <c r="Z42" s="5">
        <f>Z43+Params!$B$7*Adds!Z72</f>
        <v/>
      </c>
      <c r="AA42" s="5">
        <f>AA43+Params!$B$7*Adds!AA72</f>
        <v/>
      </c>
      <c r="AB42" s="5">
        <f>AB43+Params!$B$7*Adds!AB72</f>
        <v/>
      </c>
      <c r="AC42" s="5">
        <f>AC43+Params!$B$7*Adds!AC72</f>
        <v/>
      </c>
      <c r="AD42" s="5">
        <f>AD43+Params!$B$7*Adds!AD72</f>
        <v/>
      </c>
      <c r="AE42" s="5">
        <f>AE43+Params!$B$7*Adds!AE72</f>
        <v/>
      </c>
      <c r="AF42" s="5">
        <f>AF43+Params!$B$7*Adds!AF72</f>
        <v/>
      </c>
      <c r="AG42" s="5">
        <f>AG43+Params!$B$7*Adds!AG72</f>
        <v/>
      </c>
      <c r="AH42" s="5">
        <f>AH43+Params!$B$7*Adds!AH72</f>
        <v/>
      </c>
      <c r="AI42" s="5">
        <f>AI43+Params!$B$7*Adds!AI72</f>
        <v/>
      </c>
      <c r="AJ42" s="5">
        <f>AJ43+Params!$B$7*Adds!AJ72</f>
        <v/>
      </c>
      <c r="AK42" s="5">
        <f>AK43+Params!$B$7*Adds!AK72</f>
        <v/>
      </c>
      <c r="AL42" s="5">
        <f>AL43+Params!$B$7*Adds!AL72</f>
        <v/>
      </c>
      <c r="AM42" s="5">
        <f>AM43+Params!$B$7*Adds!AM72</f>
        <v/>
      </c>
      <c r="AN42" s="5">
        <f>AN43+Params!$B$7*Adds!AN72</f>
        <v/>
      </c>
      <c r="AO42" s="5">
        <f>AO43+Params!$B$7*Adds!AO72</f>
        <v/>
      </c>
      <c r="AP42" s="5">
        <f>AP43+Params!$B$7*Adds!AP72</f>
        <v/>
      </c>
      <c r="AQ42" s="5">
        <f>AQ43+Params!$B$7*Adds!AQ72</f>
        <v/>
      </c>
      <c r="AR42" s="5">
        <f>AR43+Params!$B$7*Adds!AR72</f>
        <v/>
      </c>
      <c r="AS42" s="5">
        <f>AS43+Params!$B$7*Adds!AS72</f>
        <v/>
      </c>
      <c r="AT42" s="5">
        <f>AT43+Params!$B$7*Adds!AT72</f>
        <v/>
      </c>
      <c r="AU42" s="5">
        <f>AU43+Params!$B$7*Adds!AU72</f>
        <v/>
      </c>
      <c r="AV42" s="5">
        <f>AV43+Params!$B$7*Adds!AV72</f>
        <v/>
      </c>
      <c r="AW42" s="5">
        <f>AW43+Params!$B$7*Adds!AW72</f>
        <v/>
      </c>
      <c r="AX42" s="5">
        <f>AX43+Params!$B$7*Adds!AX72</f>
        <v/>
      </c>
      <c r="AY42" s="5">
        <f>AY43+Params!$B$7*Adds!AY72</f>
        <v/>
      </c>
      <c r="AZ42" s="5">
        <f>AZ43+Params!$B$7*Adds!AZ72</f>
        <v/>
      </c>
      <c r="BA42" s="5">
        <f>BA43+Params!$B$7*Adds!BA72</f>
        <v/>
      </c>
      <c r="BB42" s="5">
        <f>BB43+Params!$B$7*Adds!BB72</f>
        <v/>
      </c>
      <c r="BC42" s="5">
        <f>BC43+Params!$B$7*Adds!BC72</f>
        <v/>
      </c>
      <c r="BD42" s="5">
        <f>BD43+Params!$B$7*Adds!BD72</f>
        <v/>
      </c>
      <c r="BE42" s="5">
        <f>BE43+Params!$B$7*Adds!BE72</f>
        <v/>
      </c>
      <c r="BF42" s="5">
        <f>BF43+Params!$B$7*Adds!BF72</f>
        <v/>
      </c>
      <c r="BG42" s="5">
        <f>BG43+Params!$B$7*Adds!BG72</f>
        <v/>
      </c>
      <c r="BH42" s="5">
        <f>BH43+Params!$B$7*Adds!BH72</f>
        <v/>
      </c>
      <c r="BI42" s="5">
        <f>BI43+Params!$B$7*Adds!BI72</f>
        <v/>
      </c>
      <c r="BJ42" s="5">
        <f>BJ43+Params!$B$7*Adds!BJ72</f>
        <v/>
      </c>
      <c r="BK42" s="5">
        <f>BK43+Params!$B$7*Adds!BK72</f>
        <v/>
      </c>
      <c r="BL42" s="5">
        <f>BL43+Params!$B$7*Adds!BL72</f>
        <v/>
      </c>
      <c r="BM42" s="5">
        <f>BM43+Params!$B$7*Adds!BM72</f>
        <v/>
      </c>
      <c r="BN42" s="5">
        <f>BN43+Params!$B$7*Adds!BN72</f>
        <v/>
      </c>
      <c r="BO42" s="5">
        <f>BO43+Params!$B$7*Adds!BO72</f>
        <v/>
      </c>
      <c r="BP42" s="5">
        <f>BP43+Params!$B$7*Adds!BP72</f>
        <v/>
      </c>
      <c r="BQ42" s="5">
        <f>BQ43+Params!$B$7*Adds!BQ72</f>
        <v/>
      </c>
      <c r="BR42" s="5">
        <f>BR43+Params!$B$7*Adds!BR72</f>
        <v/>
      </c>
      <c r="BS42" s="5">
        <f>BS43+Params!$B$7*Adds!BS72</f>
        <v/>
      </c>
      <c r="BT42" s="5">
        <f>BT43+Params!$B$7*Adds!BT72</f>
        <v/>
      </c>
      <c r="BU42" s="5">
        <f>BU43+Params!$B$7*Adds!BU72</f>
        <v/>
      </c>
      <c r="BV42" s="5">
        <f>BV43+Params!$B$7*Adds!BV72</f>
        <v/>
      </c>
    </row>
    <row r="43">
      <c r="A43" t="inlineStr">
        <is>
          <t>paying</t>
        </is>
      </c>
      <c r="B43" t="inlineStr">
        <is>
          <t>EUROPE|NITRO_M</t>
        </is>
      </c>
      <c r="C43" s="5">
        <f>Legacy!C22+Paid!C19+React!C64</f>
        <v/>
      </c>
      <c r="D43" s="5">
        <f>Legacy!D22+Paid!D19+React!D64</f>
        <v/>
      </c>
      <c r="E43" s="5">
        <f>Legacy!E22+Paid!E19+React!E64</f>
        <v/>
      </c>
      <c r="F43" s="5">
        <f>Legacy!F22+Paid!F19+React!F64</f>
        <v/>
      </c>
      <c r="G43" s="5">
        <f>Legacy!G22+Paid!G19+React!G64</f>
        <v/>
      </c>
      <c r="H43" s="5">
        <f>Legacy!H22+Paid!H19+React!H64</f>
        <v/>
      </c>
      <c r="I43" s="5">
        <f>Legacy!I22+Paid!I19+React!I64</f>
        <v/>
      </c>
      <c r="J43" s="5">
        <f>Legacy!J22+Paid!J19+React!J64</f>
        <v/>
      </c>
      <c r="K43" s="5">
        <f>Legacy!K22+Paid!K19+React!K64</f>
        <v/>
      </c>
      <c r="L43" s="5">
        <f>Legacy!L22+Paid!L19+React!L64</f>
        <v/>
      </c>
      <c r="M43" s="5">
        <f>Legacy!M22+Paid!M19+React!M64</f>
        <v/>
      </c>
      <c r="N43" s="5">
        <f>Legacy!N22+Paid!N19+React!N64</f>
        <v/>
      </c>
      <c r="O43" s="5">
        <f>Legacy!O22+Paid!O19+React!O64</f>
        <v/>
      </c>
      <c r="P43" s="5">
        <f>Legacy!P22+Paid!P19+React!P64</f>
        <v/>
      </c>
      <c r="Q43" s="5">
        <f>Legacy!Q22+Paid!Q19+React!Q64</f>
        <v/>
      </c>
      <c r="R43" s="5">
        <f>Legacy!R22+Paid!R19+React!R64</f>
        <v/>
      </c>
      <c r="S43" s="5">
        <f>Legacy!S22+Paid!S19+React!S64</f>
        <v/>
      </c>
      <c r="T43" s="5">
        <f>Legacy!T22+Paid!T19+React!T64</f>
        <v/>
      </c>
      <c r="U43" s="5">
        <f>Legacy!U22+Paid!U19+React!U64</f>
        <v/>
      </c>
      <c r="V43" s="5">
        <f>Legacy!V22+Paid!V19+React!V64</f>
        <v/>
      </c>
      <c r="W43" s="5">
        <f>Legacy!W22+Paid!W19+React!W64</f>
        <v/>
      </c>
      <c r="X43" s="5">
        <f>Legacy!X22+Paid!X19+React!X64</f>
        <v/>
      </c>
      <c r="Y43" s="5">
        <f>Legacy!Y22+Paid!Y19+React!Y64</f>
        <v/>
      </c>
      <c r="Z43" s="5">
        <f>Legacy!Z22+Paid!Z19+React!Z64</f>
        <v/>
      </c>
      <c r="AA43" s="5">
        <f>Legacy!AA22+Paid!AA19+React!AA64</f>
        <v/>
      </c>
      <c r="AB43" s="5">
        <f>Legacy!AB22+Paid!AB19+React!AB64</f>
        <v/>
      </c>
      <c r="AC43" s="5">
        <f>Legacy!AC22+Paid!AC19+React!AC64</f>
        <v/>
      </c>
      <c r="AD43" s="5">
        <f>Legacy!AD22+Paid!AD19+React!AD64</f>
        <v/>
      </c>
      <c r="AE43" s="5">
        <f>Legacy!AE22+Paid!AE19+React!AE64</f>
        <v/>
      </c>
      <c r="AF43" s="5">
        <f>Legacy!AF22+Paid!AF19+React!AF64</f>
        <v/>
      </c>
      <c r="AG43" s="5">
        <f>Legacy!AG22+Paid!AG19+React!AG64</f>
        <v/>
      </c>
      <c r="AH43" s="5">
        <f>Legacy!AH22+Paid!AH19+React!AH64</f>
        <v/>
      </c>
      <c r="AI43" s="5">
        <f>Legacy!AI22+Paid!AI19+React!AI64</f>
        <v/>
      </c>
      <c r="AJ43" s="5">
        <f>Legacy!AJ22+Paid!AJ19+React!AJ64</f>
        <v/>
      </c>
      <c r="AK43" s="5">
        <f>Legacy!AK22+Paid!AK19+React!AK64</f>
        <v/>
      </c>
      <c r="AL43" s="5">
        <f>Legacy!AL22+Paid!AL19+React!AL64</f>
        <v/>
      </c>
      <c r="AM43" s="5">
        <f>Legacy!AM22+Paid!AM19+React!AM64</f>
        <v/>
      </c>
      <c r="AN43" s="5">
        <f>Legacy!AN22+Paid!AN19+React!AN64</f>
        <v/>
      </c>
      <c r="AO43" s="5">
        <f>Legacy!AO22+Paid!AO19+React!AO64</f>
        <v/>
      </c>
      <c r="AP43" s="5">
        <f>Legacy!AP22+Paid!AP19+React!AP64</f>
        <v/>
      </c>
      <c r="AQ43" s="5">
        <f>Legacy!AQ22+Paid!AQ19+React!AQ64</f>
        <v/>
      </c>
      <c r="AR43" s="5">
        <f>Legacy!AR22+Paid!AR19+React!AR64</f>
        <v/>
      </c>
      <c r="AS43" s="5">
        <f>Legacy!AS22+Paid!AS19+React!AS64</f>
        <v/>
      </c>
      <c r="AT43" s="5">
        <f>Legacy!AT22+Paid!AT19+React!AT64</f>
        <v/>
      </c>
      <c r="AU43" s="5">
        <f>Legacy!AU22+Paid!AU19+React!AU64</f>
        <v/>
      </c>
      <c r="AV43" s="5">
        <f>Legacy!AV22+Paid!AV19+React!AV64</f>
        <v/>
      </c>
      <c r="AW43" s="5">
        <f>Legacy!AW22+Paid!AW19+React!AW64</f>
        <v/>
      </c>
      <c r="AX43" s="5">
        <f>Legacy!AX22+Paid!AX19+React!AX64</f>
        <v/>
      </c>
      <c r="AY43" s="5">
        <f>Legacy!AY22+Paid!AY19+React!AY64</f>
        <v/>
      </c>
      <c r="AZ43" s="5">
        <f>Legacy!AZ22+Paid!AZ19+React!AZ64</f>
        <v/>
      </c>
      <c r="BA43" s="5">
        <f>Legacy!BA22+Paid!BA19+React!BA64</f>
        <v/>
      </c>
      <c r="BB43" s="5">
        <f>Legacy!BB22+Paid!BB19+React!BB64</f>
        <v/>
      </c>
      <c r="BC43" s="5">
        <f>Legacy!BC22+Paid!BC19+React!BC64</f>
        <v/>
      </c>
      <c r="BD43" s="5">
        <f>Legacy!BD22+Paid!BD19+React!BD64</f>
        <v/>
      </c>
      <c r="BE43" s="5">
        <f>Legacy!BE22+Paid!BE19+React!BE64</f>
        <v/>
      </c>
      <c r="BF43" s="5">
        <f>Legacy!BF22+Paid!BF19+React!BF64</f>
        <v/>
      </c>
      <c r="BG43" s="5">
        <f>Legacy!BG22+Paid!BG19+React!BG64</f>
        <v/>
      </c>
      <c r="BH43" s="5">
        <f>Legacy!BH22+Paid!BH19+React!BH64</f>
        <v/>
      </c>
      <c r="BI43" s="5">
        <f>Legacy!BI22+Paid!BI19+React!BI64</f>
        <v/>
      </c>
      <c r="BJ43" s="5">
        <f>Legacy!BJ22+Paid!BJ19+React!BJ64</f>
        <v/>
      </c>
      <c r="BK43" s="5">
        <f>Legacy!BK22+Paid!BK19+React!BK64</f>
        <v/>
      </c>
      <c r="BL43" s="5">
        <f>Legacy!BL22+Paid!BL19+React!BL64</f>
        <v/>
      </c>
      <c r="BM43" s="5">
        <f>Legacy!BM22+Paid!BM19+React!BM64</f>
        <v/>
      </c>
      <c r="BN43" s="5">
        <f>Legacy!BN22+Paid!BN19+React!BN64</f>
        <v/>
      </c>
      <c r="BO43" s="5">
        <f>Legacy!BO22+Paid!BO19+React!BO64</f>
        <v/>
      </c>
      <c r="BP43" s="5">
        <f>Legacy!BP22+Paid!BP19+React!BP64</f>
        <v/>
      </c>
      <c r="BQ43" s="5">
        <f>Legacy!BQ22+Paid!BQ19+React!BQ64</f>
        <v/>
      </c>
      <c r="BR43" s="5">
        <f>Legacy!BR22+Paid!BR19+React!BR64</f>
        <v/>
      </c>
      <c r="BS43" s="5">
        <f>Legacy!BS22+Paid!BS19+React!BS64</f>
        <v/>
      </c>
      <c r="BT43" s="5">
        <f>Legacy!BT22+Paid!BT19+React!BT64</f>
        <v/>
      </c>
      <c r="BU43" s="5">
        <f>Legacy!BU22+Paid!BU19+React!BU64</f>
        <v/>
      </c>
      <c r="BV43" s="5">
        <f>Legacy!BV22+Paid!BV19+React!BV64</f>
        <v/>
      </c>
    </row>
    <row r="45">
      <c r="A45" t="inlineStr">
        <is>
          <t>opening</t>
        </is>
      </c>
      <c r="B45" t="inlineStr">
        <is>
          <t>EUROPE|NITRO_A</t>
        </is>
      </c>
      <c r="C45" s="5">
        <f>Legacy!$C$25</f>
        <v/>
      </c>
      <c r="D45" s="5">
        <f>C49</f>
        <v/>
      </c>
      <c r="E45" s="5">
        <f>D49</f>
        <v/>
      </c>
      <c r="F45" s="5">
        <f>E49</f>
        <v/>
      </c>
      <c r="G45" s="5">
        <f>F49</f>
        <v/>
      </c>
      <c r="H45" s="5">
        <f>G49</f>
        <v/>
      </c>
      <c r="I45" s="5">
        <f>H49</f>
        <v/>
      </c>
      <c r="J45" s="5">
        <f>I49</f>
        <v/>
      </c>
      <c r="K45" s="5">
        <f>J49</f>
        <v/>
      </c>
      <c r="L45" s="5">
        <f>K49</f>
        <v/>
      </c>
      <c r="M45" s="5">
        <f>L49</f>
        <v/>
      </c>
      <c r="N45" s="5">
        <f>M49</f>
        <v/>
      </c>
      <c r="O45" s="5">
        <f>N49</f>
        <v/>
      </c>
      <c r="P45" s="5">
        <f>O49</f>
        <v/>
      </c>
      <c r="Q45" s="5">
        <f>P49</f>
        <v/>
      </c>
      <c r="R45" s="5">
        <f>Q49</f>
        <v/>
      </c>
      <c r="S45" s="5">
        <f>R49</f>
        <v/>
      </c>
      <c r="T45" s="5">
        <f>S49</f>
        <v/>
      </c>
      <c r="U45" s="5">
        <f>T49</f>
        <v/>
      </c>
      <c r="V45" s="5">
        <f>U49</f>
        <v/>
      </c>
      <c r="W45" s="5">
        <f>V49</f>
        <v/>
      </c>
      <c r="X45" s="5">
        <f>W49</f>
        <v/>
      </c>
      <c r="Y45" s="5">
        <f>X49</f>
        <v/>
      </c>
      <c r="Z45" s="5">
        <f>Y49</f>
        <v/>
      </c>
      <c r="AA45" s="5">
        <f>Z49</f>
        <v/>
      </c>
      <c r="AB45" s="5">
        <f>AA49</f>
        <v/>
      </c>
      <c r="AC45" s="5">
        <f>AB49</f>
        <v/>
      </c>
      <c r="AD45" s="5">
        <f>AC49</f>
        <v/>
      </c>
      <c r="AE45" s="5">
        <f>AD49</f>
        <v/>
      </c>
      <c r="AF45" s="5">
        <f>AE49</f>
        <v/>
      </c>
      <c r="AG45" s="5">
        <f>AF49</f>
        <v/>
      </c>
      <c r="AH45" s="5">
        <f>AG49</f>
        <v/>
      </c>
      <c r="AI45" s="5">
        <f>AH49</f>
        <v/>
      </c>
      <c r="AJ45" s="5">
        <f>AI49</f>
        <v/>
      </c>
      <c r="AK45" s="5">
        <f>AJ49</f>
        <v/>
      </c>
      <c r="AL45" s="5">
        <f>AK49</f>
        <v/>
      </c>
      <c r="AM45" s="5">
        <f>AL49</f>
        <v/>
      </c>
      <c r="AN45" s="5">
        <f>AM49</f>
        <v/>
      </c>
      <c r="AO45" s="5">
        <f>AN49</f>
        <v/>
      </c>
      <c r="AP45" s="5">
        <f>AO49</f>
        <v/>
      </c>
      <c r="AQ45" s="5">
        <f>AP49</f>
        <v/>
      </c>
      <c r="AR45" s="5">
        <f>AQ49</f>
        <v/>
      </c>
      <c r="AS45" s="5">
        <f>AR49</f>
        <v/>
      </c>
      <c r="AT45" s="5">
        <f>AS49</f>
        <v/>
      </c>
      <c r="AU45" s="5">
        <f>AT49</f>
        <v/>
      </c>
      <c r="AV45" s="5">
        <f>AU49</f>
        <v/>
      </c>
      <c r="AW45" s="5">
        <f>AV49</f>
        <v/>
      </c>
      <c r="AX45" s="5">
        <f>AW49</f>
        <v/>
      </c>
      <c r="AY45" s="5">
        <f>AX49</f>
        <v/>
      </c>
      <c r="AZ45" s="5">
        <f>AY49</f>
        <v/>
      </c>
      <c r="BA45" s="5">
        <f>AZ49</f>
        <v/>
      </c>
      <c r="BB45" s="5">
        <f>BA49</f>
        <v/>
      </c>
      <c r="BC45" s="5">
        <f>BB49</f>
        <v/>
      </c>
      <c r="BD45" s="5">
        <f>BC49</f>
        <v/>
      </c>
      <c r="BE45" s="5">
        <f>BD49</f>
        <v/>
      </c>
      <c r="BF45" s="5">
        <f>BE49</f>
        <v/>
      </c>
      <c r="BG45" s="5">
        <f>BF49</f>
        <v/>
      </c>
      <c r="BH45" s="5">
        <f>BG49</f>
        <v/>
      </c>
      <c r="BI45" s="5">
        <f>BH49</f>
        <v/>
      </c>
      <c r="BJ45" s="5">
        <f>BI49</f>
        <v/>
      </c>
      <c r="BK45" s="5">
        <f>BJ49</f>
        <v/>
      </c>
      <c r="BL45" s="5">
        <f>BK49</f>
        <v/>
      </c>
      <c r="BM45" s="5">
        <f>BL49</f>
        <v/>
      </c>
      <c r="BN45" s="5">
        <f>BM49</f>
        <v/>
      </c>
      <c r="BO45" s="5">
        <f>BN49</f>
        <v/>
      </c>
      <c r="BP45" s="5">
        <f>BO49</f>
        <v/>
      </c>
      <c r="BQ45" s="5">
        <f>BP49</f>
        <v/>
      </c>
      <c r="BR45" s="5">
        <f>BQ49</f>
        <v/>
      </c>
      <c r="BS45" s="5">
        <f>BR49</f>
        <v/>
      </c>
      <c r="BT45" s="5">
        <f>BS49</f>
        <v/>
      </c>
      <c r="BU45" s="5">
        <f>BT49</f>
        <v/>
      </c>
      <c r="BV45" s="5">
        <f>BU49</f>
        <v/>
      </c>
    </row>
    <row r="46">
      <c r="A46" t="inlineStr">
        <is>
          <t>new</t>
        </is>
      </c>
      <c r="B46" t="inlineStr">
        <is>
          <t>EUROPE|NITRO_A</t>
        </is>
      </c>
      <c r="C46" s="5">
        <f>Adds!C80+IF(Params!$B$7=1,Adds!C79,Adds!C83)</f>
        <v/>
      </c>
      <c r="D46" s="5">
        <f>Adds!D80+IF(Params!$B$7=1,Adds!D79,Adds!D83)</f>
        <v/>
      </c>
      <c r="E46" s="5">
        <f>Adds!E80+IF(Params!$B$7=1,Adds!E79,Adds!E83)</f>
        <v/>
      </c>
      <c r="F46" s="5">
        <f>Adds!F80+IF(Params!$B$7=1,Adds!F79,Adds!F83)</f>
        <v/>
      </c>
      <c r="G46" s="5">
        <f>Adds!G80+IF(Params!$B$7=1,Adds!G79,Adds!G83)</f>
        <v/>
      </c>
      <c r="H46" s="5">
        <f>Adds!H80+IF(Params!$B$7=1,Adds!H79,Adds!H83)</f>
        <v/>
      </c>
      <c r="I46" s="5">
        <f>Adds!I80+IF(Params!$B$7=1,Adds!I79,Adds!I83)</f>
        <v/>
      </c>
      <c r="J46" s="5">
        <f>Adds!J80+IF(Params!$B$7=1,Adds!J79,Adds!J83)</f>
        <v/>
      </c>
      <c r="K46" s="5">
        <f>Adds!K80+IF(Params!$B$7=1,Adds!K79,Adds!K83)</f>
        <v/>
      </c>
      <c r="L46" s="5">
        <f>Adds!L80+IF(Params!$B$7=1,Adds!L79,Adds!L83)</f>
        <v/>
      </c>
      <c r="M46" s="5">
        <f>Adds!M80+IF(Params!$B$7=1,Adds!M79,Adds!M83)</f>
        <v/>
      </c>
      <c r="N46" s="5">
        <f>Adds!N80+IF(Params!$B$7=1,Adds!N79,Adds!N83)</f>
        <v/>
      </c>
      <c r="O46" s="5">
        <f>Adds!O80+IF(Params!$B$7=1,Adds!O79,Adds!O83)</f>
        <v/>
      </c>
      <c r="P46" s="5">
        <f>Adds!P80+IF(Params!$B$7=1,Adds!P79,Adds!P83)</f>
        <v/>
      </c>
      <c r="Q46" s="5">
        <f>Adds!Q80+IF(Params!$B$7=1,Adds!Q79,Adds!Q83)</f>
        <v/>
      </c>
      <c r="R46" s="5">
        <f>Adds!R80+IF(Params!$B$7=1,Adds!R79,Adds!R83)</f>
        <v/>
      </c>
      <c r="S46" s="5">
        <f>Adds!S80+IF(Params!$B$7=1,Adds!S79,Adds!S83)</f>
        <v/>
      </c>
      <c r="T46" s="5">
        <f>Adds!T80+IF(Params!$B$7=1,Adds!T79,Adds!T83)</f>
        <v/>
      </c>
      <c r="U46" s="5">
        <f>Adds!U80+IF(Params!$B$7=1,Adds!U79,Adds!U83)</f>
        <v/>
      </c>
      <c r="V46" s="5">
        <f>Adds!V80+IF(Params!$B$7=1,Adds!V79,Adds!V83)</f>
        <v/>
      </c>
      <c r="W46" s="5">
        <f>Adds!W80+IF(Params!$B$7=1,Adds!W79,Adds!W83)</f>
        <v/>
      </c>
      <c r="X46" s="5">
        <f>Adds!X80+IF(Params!$B$7=1,Adds!X79,Adds!X83)</f>
        <v/>
      </c>
      <c r="Y46" s="5">
        <f>Adds!Y80+IF(Params!$B$7=1,Adds!Y79,Adds!Y83)</f>
        <v/>
      </c>
      <c r="Z46" s="5">
        <f>Adds!Z80+IF(Params!$B$7=1,Adds!Z79,Adds!Z83)</f>
        <v/>
      </c>
      <c r="AA46" s="5">
        <f>Adds!AA80+IF(Params!$B$7=1,Adds!AA79,Adds!AA83)</f>
        <v/>
      </c>
      <c r="AB46" s="5">
        <f>Adds!AB80+IF(Params!$B$7=1,Adds!AB79,Adds!AB83)</f>
        <v/>
      </c>
      <c r="AC46" s="5">
        <f>Adds!AC80+IF(Params!$B$7=1,Adds!AC79,Adds!AC83)</f>
        <v/>
      </c>
      <c r="AD46" s="5">
        <f>Adds!AD80+IF(Params!$B$7=1,Adds!AD79,Adds!AD83)</f>
        <v/>
      </c>
      <c r="AE46" s="5">
        <f>Adds!AE80+IF(Params!$B$7=1,Adds!AE79,Adds!AE83)</f>
        <v/>
      </c>
      <c r="AF46" s="5">
        <f>Adds!AF80+IF(Params!$B$7=1,Adds!AF79,Adds!AF83)</f>
        <v/>
      </c>
      <c r="AG46" s="5">
        <f>Adds!AG80+IF(Params!$B$7=1,Adds!AG79,Adds!AG83)</f>
        <v/>
      </c>
      <c r="AH46" s="5">
        <f>Adds!AH80+IF(Params!$B$7=1,Adds!AH79,Adds!AH83)</f>
        <v/>
      </c>
      <c r="AI46" s="5">
        <f>Adds!AI80+IF(Params!$B$7=1,Adds!AI79,Adds!AI83)</f>
        <v/>
      </c>
      <c r="AJ46" s="5">
        <f>Adds!AJ80+IF(Params!$B$7=1,Adds!AJ79,Adds!AJ83)</f>
        <v/>
      </c>
      <c r="AK46" s="5">
        <f>Adds!AK80+IF(Params!$B$7=1,Adds!AK79,Adds!AK83)</f>
        <v/>
      </c>
      <c r="AL46" s="5">
        <f>Adds!AL80+IF(Params!$B$7=1,Adds!AL79,Adds!AL83)</f>
        <v/>
      </c>
      <c r="AM46" s="5">
        <f>Adds!AM80+IF(Params!$B$7=1,Adds!AM79,Adds!AM83)</f>
        <v/>
      </c>
      <c r="AN46" s="5">
        <f>Adds!AN80+IF(Params!$B$7=1,Adds!AN79,Adds!AN83)</f>
        <v/>
      </c>
      <c r="AO46" s="5">
        <f>Adds!AO80+IF(Params!$B$7=1,Adds!AO79,Adds!AO83)</f>
        <v/>
      </c>
      <c r="AP46" s="5">
        <f>Adds!AP80+IF(Params!$B$7=1,Adds!AP79,Adds!AP83)</f>
        <v/>
      </c>
      <c r="AQ46" s="5">
        <f>Adds!AQ80+IF(Params!$B$7=1,Adds!AQ79,Adds!AQ83)</f>
        <v/>
      </c>
      <c r="AR46" s="5">
        <f>Adds!AR80+IF(Params!$B$7=1,Adds!AR79,Adds!AR83)</f>
        <v/>
      </c>
      <c r="AS46" s="5">
        <f>Adds!AS80+IF(Params!$B$7=1,Adds!AS79,Adds!AS83)</f>
        <v/>
      </c>
      <c r="AT46" s="5">
        <f>Adds!AT80+IF(Params!$B$7=1,Adds!AT79,Adds!AT83)</f>
        <v/>
      </c>
      <c r="AU46" s="5">
        <f>Adds!AU80+IF(Params!$B$7=1,Adds!AU79,Adds!AU83)</f>
        <v/>
      </c>
      <c r="AV46" s="5">
        <f>Adds!AV80+IF(Params!$B$7=1,Adds!AV79,Adds!AV83)</f>
        <v/>
      </c>
      <c r="AW46" s="5">
        <f>Adds!AW80+IF(Params!$B$7=1,Adds!AW79,Adds!AW83)</f>
        <v/>
      </c>
      <c r="AX46" s="5">
        <f>Adds!AX80+IF(Params!$B$7=1,Adds!AX79,Adds!AX83)</f>
        <v/>
      </c>
      <c r="AY46" s="5">
        <f>Adds!AY80+IF(Params!$B$7=1,Adds!AY79,Adds!AY83)</f>
        <v/>
      </c>
      <c r="AZ46" s="5">
        <f>Adds!AZ80+IF(Params!$B$7=1,Adds!AZ79,Adds!AZ83)</f>
        <v/>
      </c>
      <c r="BA46" s="5">
        <f>Adds!BA80+IF(Params!$B$7=1,Adds!BA79,Adds!BA83)</f>
        <v/>
      </c>
      <c r="BB46" s="5">
        <f>Adds!BB80+IF(Params!$B$7=1,Adds!BB79,Adds!BB83)</f>
        <v/>
      </c>
      <c r="BC46" s="5">
        <f>Adds!BC80+IF(Params!$B$7=1,Adds!BC79,Adds!BC83)</f>
        <v/>
      </c>
      <c r="BD46" s="5">
        <f>Adds!BD80+IF(Params!$B$7=1,Adds!BD79,Adds!BD83)</f>
        <v/>
      </c>
      <c r="BE46" s="5">
        <f>Adds!BE80+IF(Params!$B$7=1,Adds!BE79,Adds!BE83)</f>
        <v/>
      </c>
      <c r="BF46" s="5">
        <f>Adds!BF80+IF(Params!$B$7=1,Adds!BF79,Adds!BF83)</f>
        <v/>
      </c>
      <c r="BG46" s="5">
        <f>Adds!BG80+IF(Params!$B$7=1,Adds!BG79,Adds!BG83)</f>
        <v/>
      </c>
      <c r="BH46" s="5">
        <f>Adds!BH80+IF(Params!$B$7=1,Adds!BH79,Adds!BH83)</f>
        <v/>
      </c>
      <c r="BI46" s="5">
        <f>Adds!BI80+IF(Params!$B$7=1,Adds!BI79,Adds!BI83)</f>
        <v/>
      </c>
      <c r="BJ46" s="5">
        <f>Adds!BJ80+IF(Params!$B$7=1,Adds!BJ79,Adds!BJ83)</f>
        <v/>
      </c>
      <c r="BK46" s="5">
        <f>Adds!BK80+IF(Params!$B$7=1,Adds!BK79,Adds!BK83)</f>
        <v/>
      </c>
      <c r="BL46" s="5">
        <f>Adds!BL80+IF(Params!$B$7=1,Adds!BL79,Adds!BL83)</f>
        <v/>
      </c>
      <c r="BM46" s="5">
        <f>Adds!BM80+IF(Params!$B$7=1,Adds!BM79,Adds!BM83)</f>
        <v/>
      </c>
      <c r="BN46" s="5">
        <f>Adds!BN80+IF(Params!$B$7=1,Adds!BN79,Adds!BN83)</f>
        <v/>
      </c>
      <c r="BO46" s="5">
        <f>Adds!BO80+IF(Params!$B$7=1,Adds!BO79,Adds!BO83)</f>
        <v/>
      </c>
      <c r="BP46" s="5">
        <f>Adds!BP80+IF(Params!$B$7=1,Adds!BP79,Adds!BP83)</f>
        <v/>
      </c>
      <c r="BQ46" s="5">
        <f>Adds!BQ80+IF(Params!$B$7=1,Adds!BQ79,Adds!BQ83)</f>
        <v/>
      </c>
      <c r="BR46" s="5">
        <f>Adds!BR80+IF(Params!$B$7=1,Adds!BR79,Adds!BR83)</f>
        <v/>
      </c>
      <c r="BS46" s="5">
        <f>Adds!BS80+IF(Params!$B$7=1,Adds!BS79,Adds!BS83)</f>
        <v/>
      </c>
      <c r="BT46" s="5">
        <f>Adds!BT80+IF(Params!$B$7=1,Adds!BT79,Adds!BT83)</f>
        <v/>
      </c>
      <c r="BU46" s="5">
        <f>Adds!BU80+IF(Params!$B$7=1,Adds!BU79,Adds!BU83)</f>
        <v/>
      </c>
      <c r="BV46" s="5">
        <f>Adds!BV80+IF(Params!$B$7=1,Adds!BV79,Adds!BV83)</f>
        <v/>
      </c>
    </row>
    <row r="47">
      <c r="A47" t="inlineStr">
        <is>
          <t>reactivated</t>
        </is>
      </c>
      <c r="B47" t="inlineStr">
        <is>
          <t>EUROPE|NITRO_A</t>
        </is>
      </c>
      <c r="C47" s="5">
        <f>React!C73</f>
        <v/>
      </c>
      <c r="D47" s="5">
        <f>React!D73</f>
        <v/>
      </c>
      <c r="E47" s="5">
        <f>React!E73</f>
        <v/>
      </c>
      <c r="F47" s="5">
        <f>React!F73</f>
        <v/>
      </c>
      <c r="G47" s="5">
        <f>React!G73</f>
        <v/>
      </c>
      <c r="H47" s="5">
        <f>React!H73</f>
        <v/>
      </c>
      <c r="I47" s="5">
        <f>React!I73</f>
        <v/>
      </c>
      <c r="J47" s="5">
        <f>React!J73</f>
        <v/>
      </c>
      <c r="K47" s="5">
        <f>React!K73</f>
        <v/>
      </c>
      <c r="L47" s="5">
        <f>React!L73</f>
        <v/>
      </c>
      <c r="M47" s="5">
        <f>React!M73</f>
        <v/>
      </c>
      <c r="N47" s="5">
        <f>React!N73</f>
        <v/>
      </c>
      <c r="O47" s="5">
        <f>React!O73</f>
        <v/>
      </c>
      <c r="P47" s="5">
        <f>React!P73</f>
        <v/>
      </c>
      <c r="Q47" s="5">
        <f>React!Q73</f>
        <v/>
      </c>
      <c r="R47" s="5">
        <f>React!R73</f>
        <v/>
      </c>
      <c r="S47" s="5">
        <f>React!S73</f>
        <v/>
      </c>
      <c r="T47" s="5">
        <f>React!T73</f>
        <v/>
      </c>
      <c r="U47" s="5">
        <f>React!U73</f>
        <v/>
      </c>
      <c r="V47" s="5">
        <f>React!V73</f>
        <v/>
      </c>
      <c r="W47" s="5">
        <f>React!W73</f>
        <v/>
      </c>
      <c r="X47" s="5">
        <f>React!X73</f>
        <v/>
      </c>
      <c r="Y47" s="5">
        <f>React!Y73</f>
        <v/>
      </c>
      <c r="Z47" s="5">
        <f>React!Z73</f>
        <v/>
      </c>
      <c r="AA47" s="5">
        <f>React!AA73</f>
        <v/>
      </c>
      <c r="AB47" s="5">
        <f>React!AB73</f>
        <v/>
      </c>
      <c r="AC47" s="5">
        <f>React!AC73</f>
        <v/>
      </c>
      <c r="AD47" s="5">
        <f>React!AD73</f>
        <v/>
      </c>
      <c r="AE47" s="5">
        <f>React!AE73</f>
        <v/>
      </c>
      <c r="AF47" s="5">
        <f>React!AF73</f>
        <v/>
      </c>
      <c r="AG47" s="5">
        <f>React!AG73</f>
        <v/>
      </c>
      <c r="AH47" s="5">
        <f>React!AH73</f>
        <v/>
      </c>
      <c r="AI47" s="5">
        <f>React!AI73</f>
        <v/>
      </c>
      <c r="AJ47" s="5">
        <f>React!AJ73</f>
        <v/>
      </c>
      <c r="AK47" s="5">
        <f>React!AK73</f>
        <v/>
      </c>
      <c r="AL47" s="5">
        <f>React!AL73</f>
        <v/>
      </c>
      <c r="AM47" s="5">
        <f>React!AM73</f>
        <v/>
      </c>
      <c r="AN47" s="5">
        <f>React!AN73</f>
        <v/>
      </c>
      <c r="AO47" s="5">
        <f>React!AO73</f>
        <v/>
      </c>
      <c r="AP47" s="5">
        <f>React!AP73</f>
        <v/>
      </c>
      <c r="AQ47" s="5">
        <f>React!AQ73</f>
        <v/>
      </c>
      <c r="AR47" s="5">
        <f>React!AR73</f>
        <v/>
      </c>
      <c r="AS47" s="5">
        <f>React!AS73</f>
        <v/>
      </c>
      <c r="AT47" s="5">
        <f>React!AT73</f>
        <v/>
      </c>
      <c r="AU47" s="5">
        <f>React!AU73</f>
        <v/>
      </c>
      <c r="AV47" s="5">
        <f>React!AV73</f>
        <v/>
      </c>
      <c r="AW47" s="5">
        <f>React!AW73</f>
        <v/>
      </c>
      <c r="AX47" s="5">
        <f>React!AX73</f>
        <v/>
      </c>
      <c r="AY47" s="5">
        <f>React!AY73</f>
        <v/>
      </c>
      <c r="AZ47" s="5">
        <f>React!AZ73</f>
        <v/>
      </c>
      <c r="BA47" s="5">
        <f>React!BA73</f>
        <v/>
      </c>
      <c r="BB47" s="5">
        <f>React!BB73</f>
        <v/>
      </c>
      <c r="BC47" s="5">
        <f>React!BC73</f>
        <v/>
      </c>
      <c r="BD47" s="5">
        <f>React!BD73</f>
        <v/>
      </c>
      <c r="BE47" s="5">
        <f>React!BE73</f>
        <v/>
      </c>
      <c r="BF47" s="5">
        <f>React!BF73</f>
        <v/>
      </c>
      <c r="BG47" s="5">
        <f>React!BG73</f>
        <v/>
      </c>
      <c r="BH47" s="5">
        <f>React!BH73</f>
        <v/>
      </c>
      <c r="BI47" s="5">
        <f>React!BI73</f>
        <v/>
      </c>
      <c r="BJ47" s="5">
        <f>React!BJ73</f>
        <v/>
      </c>
      <c r="BK47" s="5">
        <f>React!BK73</f>
        <v/>
      </c>
      <c r="BL47" s="5">
        <f>React!BL73</f>
        <v/>
      </c>
      <c r="BM47" s="5">
        <f>React!BM73</f>
        <v/>
      </c>
      <c r="BN47" s="5">
        <f>React!BN73</f>
        <v/>
      </c>
      <c r="BO47" s="5">
        <f>React!BO73</f>
        <v/>
      </c>
      <c r="BP47" s="5">
        <f>React!BP73</f>
        <v/>
      </c>
      <c r="BQ47" s="5">
        <f>React!BQ73</f>
        <v/>
      </c>
      <c r="BR47" s="5">
        <f>React!BR73</f>
        <v/>
      </c>
      <c r="BS47" s="5">
        <f>React!BS73</f>
        <v/>
      </c>
      <c r="BT47" s="5">
        <f>React!BT73</f>
        <v/>
      </c>
      <c r="BU47" s="5">
        <f>React!BU73</f>
        <v/>
      </c>
      <c r="BV47" s="5">
        <f>React!BV73</f>
        <v/>
      </c>
    </row>
    <row r="48">
      <c r="A48" t="inlineStr">
        <is>
          <t>churned</t>
        </is>
      </c>
      <c r="B48" t="inlineStr">
        <is>
          <t>EUROPE|NITRO_A</t>
        </is>
      </c>
      <c r="C48" s="5">
        <f>Legacy!C27+Paid!C25+React!C79+Params!$B$7*Adds!C84</f>
        <v/>
      </c>
      <c r="D48" s="5">
        <f>Legacy!D27+Paid!D25+React!D79+Params!$B$7*Adds!D84</f>
        <v/>
      </c>
      <c r="E48" s="5">
        <f>Legacy!E27+Paid!E25+React!E79+Params!$B$7*Adds!E84</f>
        <v/>
      </c>
      <c r="F48" s="5">
        <f>Legacy!F27+Paid!F25+React!F79+Params!$B$7*Adds!F84</f>
        <v/>
      </c>
      <c r="G48" s="5">
        <f>Legacy!G27+Paid!G25+React!G79+Params!$B$7*Adds!G84</f>
        <v/>
      </c>
      <c r="H48" s="5">
        <f>Legacy!H27+Paid!H25+React!H79+Params!$B$7*Adds!H84</f>
        <v/>
      </c>
      <c r="I48" s="5">
        <f>Legacy!I27+Paid!I25+React!I79+Params!$B$7*Adds!I84</f>
        <v/>
      </c>
      <c r="J48" s="5">
        <f>Legacy!J27+Paid!J25+React!J79+Params!$B$7*Adds!J84</f>
        <v/>
      </c>
      <c r="K48" s="5">
        <f>Legacy!K27+Paid!K25+React!K79+Params!$B$7*Adds!K84</f>
        <v/>
      </c>
      <c r="L48" s="5">
        <f>Legacy!L27+Paid!L25+React!L79+Params!$B$7*Adds!L84</f>
        <v/>
      </c>
      <c r="M48" s="5">
        <f>Legacy!M27+Paid!M25+React!M79+Params!$B$7*Adds!M84</f>
        <v/>
      </c>
      <c r="N48" s="5">
        <f>Legacy!N27+Paid!N25+React!N79+Params!$B$7*Adds!N84</f>
        <v/>
      </c>
      <c r="O48" s="5">
        <f>Legacy!O27+Paid!O25+React!O79+Params!$B$7*Adds!O84</f>
        <v/>
      </c>
      <c r="P48" s="5">
        <f>Legacy!P27+Paid!P25+React!P79+Params!$B$7*Adds!P84</f>
        <v/>
      </c>
      <c r="Q48" s="5">
        <f>Legacy!Q27+Paid!Q25+React!Q79+Params!$B$7*Adds!Q84</f>
        <v/>
      </c>
      <c r="R48" s="5">
        <f>Legacy!R27+Paid!R25+React!R79+Params!$B$7*Adds!R84</f>
        <v/>
      </c>
      <c r="S48" s="5">
        <f>Legacy!S27+Paid!S25+React!S79+Params!$B$7*Adds!S84</f>
        <v/>
      </c>
      <c r="T48" s="5">
        <f>Legacy!T27+Paid!T25+React!T79+Params!$B$7*Adds!T84</f>
        <v/>
      </c>
      <c r="U48" s="5">
        <f>Legacy!U27+Paid!U25+React!U79+Params!$B$7*Adds!U84</f>
        <v/>
      </c>
      <c r="V48" s="5">
        <f>Legacy!V27+Paid!V25+React!V79+Params!$B$7*Adds!V84</f>
        <v/>
      </c>
      <c r="W48" s="5">
        <f>Legacy!W27+Paid!W25+React!W79+Params!$B$7*Adds!W84</f>
        <v/>
      </c>
      <c r="X48" s="5">
        <f>Legacy!X27+Paid!X25+React!X79+Params!$B$7*Adds!X84</f>
        <v/>
      </c>
      <c r="Y48" s="5">
        <f>Legacy!Y27+Paid!Y25+React!Y79+Params!$B$7*Adds!Y84</f>
        <v/>
      </c>
      <c r="Z48" s="5">
        <f>Legacy!Z27+Paid!Z25+React!Z79+Params!$B$7*Adds!Z84</f>
        <v/>
      </c>
      <c r="AA48" s="5">
        <f>Legacy!AA27+Paid!AA25+React!AA79+Params!$B$7*Adds!AA84</f>
        <v/>
      </c>
      <c r="AB48" s="5">
        <f>Legacy!AB27+Paid!AB25+React!AB79+Params!$B$7*Adds!AB84</f>
        <v/>
      </c>
      <c r="AC48" s="5">
        <f>Legacy!AC27+Paid!AC25+React!AC79+Params!$B$7*Adds!AC84</f>
        <v/>
      </c>
      <c r="AD48" s="5">
        <f>Legacy!AD27+Paid!AD25+React!AD79+Params!$B$7*Adds!AD84</f>
        <v/>
      </c>
      <c r="AE48" s="5">
        <f>Legacy!AE27+Paid!AE25+React!AE79+Params!$B$7*Adds!AE84</f>
        <v/>
      </c>
      <c r="AF48" s="5">
        <f>Legacy!AF27+Paid!AF25+React!AF79+Params!$B$7*Adds!AF84</f>
        <v/>
      </c>
      <c r="AG48" s="5">
        <f>Legacy!AG27+Paid!AG25+React!AG79+Params!$B$7*Adds!AG84</f>
        <v/>
      </c>
      <c r="AH48" s="5">
        <f>Legacy!AH27+Paid!AH25+React!AH79+Params!$B$7*Adds!AH84</f>
        <v/>
      </c>
      <c r="AI48" s="5">
        <f>Legacy!AI27+Paid!AI25+React!AI79+Params!$B$7*Adds!AI84</f>
        <v/>
      </c>
      <c r="AJ48" s="5">
        <f>Legacy!AJ27+Paid!AJ25+React!AJ79+Params!$B$7*Adds!AJ84</f>
        <v/>
      </c>
      <c r="AK48" s="5">
        <f>Legacy!AK27+Paid!AK25+React!AK79+Params!$B$7*Adds!AK84</f>
        <v/>
      </c>
      <c r="AL48" s="5">
        <f>Legacy!AL27+Paid!AL25+React!AL79+Params!$B$7*Adds!AL84</f>
        <v/>
      </c>
      <c r="AM48" s="5">
        <f>Legacy!AM27+Paid!AM25+React!AM79+Params!$B$7*Adds!AM84</f>
        <v/>
      </c>
      <c r="AN48" s="5">
        <f>Legacy!AN27+Paid!AN25+React!AN79+Params!$B$7*Adds!AN84</f>
        <v/>
      </c>
      <c r="AO48" s="5">
        <f>Legacy!AO27+Paid!AO25+React!AO79+Params!$B$7*Adds!AO84</f>
        <v/>
      </c>
      <c r="AP48" s="5">
        <f>Legacy!AP27+Paid!AP25+React!AP79+Params!$B$7*Adds!AP84</f>
        <v/>
      </c>
      <c r="AQ48" s="5">
        <f>Legacy!AQ27+Paid!AQ25+React!AQ79+Params!$B$7*Adds!AQ84</f>
        <v/>
      </c>
      <c r="AR48" s="5">
        <f>Legacy!AR27+Paid!AR25+React!AR79+Params!$B$7*Adds!AR84</f>
        <v/>
      </c>
      <c r="AS48" s="5">
        <f>Legacy!AS27+Paid!AS25+React!AS79+Params!$B$7*Adds!AS84</f>
        <v/>
      </c>
      <c r="AT48" s="5">
        <f>Legacy!AT27+Paid!AT25+React!AT79+Params!$B$7*Adds!AT84</f>
        <v/>
      </c>
      <c r="AU48" s="5">
        <f>Legacy!AU27+Paid!AU25+React!AU79+Params!$B$7*Adds!AU84</f>
        <v/>
      </c>
      <c r="AV48" s="5">
        <f>Legacy!AV27+Paid!AV25+React!AV79+Params!$B$7*Adds!AV84</f>
        <v/>
      </c>
      <c r="AW48" s="5">
        <f>Legacy!AW27+Paid!AW25+React!AW79+Params!$B$7*Adds!AW84</f>
        <v/>
      </c>
      <c r="AX48" s="5">
        <f>Legacy!AX27+Paid!AX25+React!AX79+Params!$B$7*Adds!AX84</f>
        <v/>
      </c>
      <c r="AY48" s="5">
        <f>Legacy!AY27+Paid!AY25+React!AY79+Params!$B$7*Adds!AY84</f>
        <v/>
      </c>
      <c r="AZ48" s="5">
        <f>Legacy!AZ27+Paid!AZ25+React!AZ79+Params!$B$7*Adds!AZ84</f>
        <v/>
      </c>
      <c r="BA48" s="5">
        <f>Legacy!BA27+Paid!BA25+React!BA79+Params!$B$7*Adds!BA84</f>
        <v/>
      </c>
      <c r="BB48" s="5">
        <f>Legacy!BB27+Paid!BB25+React!BB79+Params!$B$7*Adds!BB84</f>
        <v/>
      </c>
      <c r="BC48" s="5">
        <f>Legacy!BC27+Paid!BC25+React!BC79+Params!$B$7*Adds!BC84</f>
        <v/>
      </c>
      <c r="BD48" s="5">
        <f>Legacy!BD27+Paid!BD25+React!BD79+Params!$B$7*Adds!BD84</f>
        <v/>
      </c>
      <c r="BE48" s="5">
        <f>Legacy!BE27+Paid!BE25+React!BE79+Params!$B$7*Adds!BE84</f>
        <v/>
      </c>
      <c r="BF48" s="5">
        <f>Legacy!BF27+Paid!BF25+React!BF79+Params!$B$7*Adds!BF84</f>
        <v/>
      </c>
      <c r="BG48" s="5">
        <f>Legacy!BG27+Paid!BG25+React!BG79+Params!$B$7*Adds!BG84</f>
        <v/>
      </c>
      <c r="BH48" s="5">
        <f>Legacy!BH27+Paid!BH25+React!BH79+Params!$B$7*Adds!BH84</f>
        <v/>
      </c>
      <c r="BI48" s="5">
        <f>Legacy!BI27+Paid!BI25+React!BI79+Params!$B$7*Adds!BI84</f>
        <v/>
      </c>
      <c r="BJ48" s="5">
        <f>Legacy!BJ27+Paid!BJ25+React!BJ79+Params!$B$7*Adds!BJ84</f>
        <v/>
      </c>
      <c r="BK48" s="5">
        <f>Legacy!BK27+Paid!BK25+React!BK79+Params!$B$7*Adds!BK84</f>
        <v/>
      </c>
      <c r="BL48" s="5">
        <f>Legacy!BL27+Paid!BL25+React!BL79+Params!$B$7*Adds!BL84</f>
        <v/>
      </c>
      <c r="BM48" s="5">
        <f>Legacy!BM27+Paid!BM25+React!BM79+Params!$B$7*Adds!BM84</f>
        <v/>
      </c>
      <c r="BN48" s="5">
        <f>Legacy!BN27+Paid!BN25+React!BN79+Params!$B$7*Adds!BN84</f>
        <v/>
      </c>
      <c r="BO48" s="5">
        <f>Legacy!BO27+Paid!BO25+React!BO79+Params!$B$7*Adds!BO84</f>
        <v/>
      </c>
      <c r="BP48" s="5">
        <f>Legacy!BP27+Paid!BP25+React!BP79+Params!$B$7*Adds!BP84</f>
        <v/>
      </c>
      <c r="BQ48" s="5">
        <f>Legacy!BQ27+Paid!BQ25+React!BQ79+Params!$B$7*Adds!BQ84</f>
        <v/>
      </c>
      <c r="BR48" s="5">
        <f>Legacy!BR27+Paid!BR25+React!BR79+Params!$B$7*Adds!BR84</f>
        <v/>
      </c>
      <c r="BS48" s="5">
        <f>Legacy!BS27+Paid!BS25+React!BS79+Params!$B$7*Adds!BS84</f>
        <v/>
      </c>
      <c r="BT48" s="5">
        <f>Legacy!BT27+Paid!BT25+React!BT79+Params!$B$7*Adds!BT84</f>
        <v/>
      </c>
      <c r="BU48" s="5">
        <f>Legacy!BU27+Paid!BU25+React!BU79+Params!$B$7*Adds!BU84</f>
        <v/>
      </c>
      <c r="BV48" s="5">
        <f>Legacy!BV27+Paid!BV25+React!BV79+Params!$B$7*Adds!BV84</f>
        <v/>
      </c>
    </row>
    <row r="49">
      <c r="A49" t="inlineStr">
        <is>
          <t>closing</t>
        </is>
      </c>
      <c r="B49" t="inlineStr">
        <is>
          <t>EUROPE|NITRO_A</t>
        </is>
      </c>
      <c r="C49" s="5">
        <f>C50+Params!$B$7*Adds!C87</f>
        <v/>
      </c>
      <c r="D49" s="5">
        <f>D50+Params!$B$7*Adds!D87</f>
        <v/>
      </c>
      <c r="E49" s="5">
        <f>E50+Params!$B$7*Adds!E87</f>
        <v/>
      </c>
      <c r="F49" s="5">
        <f>F50+Params!$B$7*Adds!F87</f>
        <v/>
      </c>
      <c r="G49" s="5">
        <f>G50+Params!$B$7*Adds!G87</f>
        <v/>
      </c>
      <c r="H49" s="5">
        <f>H50+Params!$B$7*Adds!H87</f>
        <v/>
      </c>
      <c r="I49" s="5">
        <f>I50+Params!$B$7*Adds!I87</f>
        <v/>
      </c>
      <c r="J49" s="5">
        <f>J50+Params!$B$7*Adds!J87</f>
        <v/>
      </c>
      <c r="K49" s="5">
        <f>K50+Params!$B$7*Adds!K87</f>
        <v/>
      </c>
      <c r="L49" s="5">
        <f>L50+Params!$B$7*Adds!L87</f>
        <v/>
      </c>
      <c r="M49" s="5">
        <f>M50+Params!$B$7*Adds!M87</f>
        <v/>
      </c>
      <c r="N49" s="5">
        <f>N50+Params!$B$7*Adds!N87</f>
        <v/>
      </c>
      <c r="O49" s="5">
        <f>O50+Params!$B$7*Adds!O87</f>
        <v/>
      </c>
      <c r="P49" s="5">
        <f>P50+Params!$B$7*Adds!P87</f>
        <v/>
      </c>
      <c r="Q49" s="5">
        <f>Q50+Params!$B$7*Adds!Q87</f>
        <v/>
      </c>
      <c r="R49" s="5">
        <f>R50+Params!$B$7*Adds!R87</f>
        <v/>
      </c>
      <c r="S49" s="5">
        <f>S50+Params!$B$7*Adds!S87</f>
        <v/>
      </c>
      <c r="T49" s="5">
        <f>T50+Params!$B$7*Adds!T87</f>
        <v/>
      </c>
      <c r="U49" s="5">
        <f>U50+Params!$B$7*Adds!U87</f>
        <v/>
      </c>
      <c r="V49" s="5">
        <f>V50+Params!$B$7*Adds!V87</f>
        <v/>
      </c>
      <c r="W49" s="5">
        <f>W50+Params!$B$7*Adds!W87</f>
        <v/>
      </c>
      <c r="X49" s="5">
        <f>X50+Params!$B$7*Adds!X87</f>
        <v/>
      </c>
      <c r="Y49" s="5">
        <f>Y50+Params!$B$7*Adds!Y87</f>
        <v/>
      </c>
      <c r="Z49" s="5">
        <f>Z50+Params!$B$7*Adds!Z87</f>
        <v/>
      </c>
      <c r="AA49" s="5">
        <f>AA50+Params!$B$7*Adds!AA87</f>
        <v/>
      </c>
      <c r="AB49" s="5">
        <f>AB50+Params!$B$7*Adds!AB87</f>
        <v/>
      </c>
      <c r="AC49" s="5">
        <f>AC50+Params!$B$7*Adds!AC87</f>
        <v/>
      </c>
      <c r="AD49" s="5">
        <f>AD50+Params!$B$7*Adds!AD87</f>
        <v/>
      </c>
      <c r="AE49" s="5">
        <f>AE50+Params!$B$7*Adds!AE87</f>
        <v/>
      </c>
      <c r="AF49" s="5">
        <f>AF50+Params!$B$7*Adds!AF87</f>
        <v/>
      </c>
      <c r="AG49" s="5">
        <f>AG50+Params!$B$7*Adds!AG87</f>
        <v/>
      </c>
      <c r="AH49" s="5">
        <f>AH50+Params!$B$7*Adds!AH87</f>
        <v/>
      </c>
      <c r="AI49" s="5">
        <f>AI50+Params!$B$7*Adds!AI87</f>
        <v/>
      </c>
      <c r="AJ49" s="5">
        <f>AJ50+Params!$B$7*Adds!AJ87</f>
        <v/>
      </c>
      <c r="AK49" s="5">
        <f>AK50+Params!$B$7*Adds!AK87</f>
        <v/>
      </c>
      <c r="AL49" s="5">
        <f>AL50+Params!$B$7*Adds!AL87</f>
        <v/>
      </c>
      <c r="AM49" s="5">
        <f>AM50+Params!$B$7*Adds!AM87</f>
        <v/>
      </c>
      <c r="AN49" s="5">
        <f>AN50+Params!$B$7*Adds!AN87</f>
        <v/>
      </c>
      <c r="AO49" s="5">
        <f>AO50+Params!$B$7*Adds!AO87</f>
        <v/>
      </c>
      <c r="AP49" s="5">
        <f>AP50+Params!$B$7*Adds!AP87</f>
        <v/>
      </c>
      <c r="AQ49" s="5">
        <f>AQ50+Params!$B$7*Adds!AQ87</f>
        <v/>
      </c>
      <c r="AR49" s="5">
        <f>AR50+Params!$B$7*Adds!AR87</f>
        <v/>
      </c>
      <c r="AS49" s="5">
        <f>AS50+Params!$B$7*Adds!AS87</f>
        <v/>
      </c>
      <c r="AT49" s="5">
        <f>AT50+Params!$B$7*Adds!AT87</f>
        <v/>
      </c>
      <c r="AU49" s="5">
        <f>AU50+Params!$B$7*Adds!AU87</f>
        <v/>
      </c>
      <c r="AV49" s="5">
        <f>AV50+Params!$B$7*Adds!AV87</f>
        <v/>
      </c>
      <c r="AW49" s="5">
        <f>AW50+Params!$B$7*Adds!AW87</f>
        <v/>
      </c>
      <c r="AX49" s="5">
        <f>AX50+Params!$B$7*Adds!AX87</f>
        <v/>
      </c>
      <c r="AY49" s="5">
        <f>AY50+Params!$B$7*Adds!AY87</f>
        <v/>
      </c>
      <c r="AZ49" s="5">
        <f>AZ50+Params!$B$7*Adds!AZ87</f>
        <v/>
      </c>
      <c r="BA49" s="5">
        <f>BA50+Params!$B$7*Adds!BA87</f>
        <v/>
      </c>
      <c r="BB49" s="5">
        <f>BB50+Params!$B$7*Adds!BB87</f>
        <v/>
      </c>
      <c r="BC49" s="5">
        <f>BC50+Params!$B$7*Adds!BC87</f>
        <v/>
      </c>
      <c r="BD49" s="5">
        <f>BD50+Params!$B$7*Adds!BD87</f>
        <v/>
      </c>
      <c r="BE49" s="5">
        <f>BE50+Params!$B$7*Adds!BE87</f>
        <v/>
      </c>
      <c r="BF49" s="5">
        <f>BF50+Params!$B$7*Adds!BF87</f>
        <v/>
      </c>
      <c r="BG49" s="5">
        <f>BG50+Params!$B$7*Adds!BG87</f>
        <v/>
      </c>
      <c r="BH49" s="5">
        <f>BH50+Params!$B$7*Adds!BH87</f>
        <v/>
      </c>
      <c r="BI49" s="5">
        <f>BI50+Params!$B$7*Adds!BI87</f>
        <v/>
      </c>
      <c r="BJ49" s="5">
        <f>BJ50+Params!$B$7*Adds!BJ87</f>
        <v/>
      </c>
      <c r="BK49" s="5">
        <f>BK50+Params!$B$7*Adds!BK87</f>
        <v/>
      </c>
      <c r="BL49" s="5">
        <f>BL50+Params!$B$7*Adds!BL87</f>
        <v/>
      </c>
      <c r="BM49" s="5">
        <f>BM50+Params!$B$7*Adds!BM87</f>
        <v/>
      </c>
      <c r="BN49" s="5">
        <f>BN50+Params!$B$7*Adds!BN87</f>
        <v/>
      </c>
      <c r="BO49" s="5">
        <f>BO50+Params!$B$7*Adds!BO87</f>
        <v/>
      </c>
      <c r="BP49" s="5">
        <f>BP50+Params!$B$7*Adds!BP87</f>
        <v/>
      </c>
      <c r="BQ49" s="5">
        <f>BQ50+Params!$B$7*Adds!BQ87</f>
        <v/>
      </c>
      <c r="BR49" s="5">
        <f>BR50+Params!$B$7*Adds!BR87</f>
        <v/>
      </c>
      <c r="BS49" s="5">
        <f>BS50+Params!$B$7*Adds!BS87</f>
        <v/>
      </c>
      <c r="BT49" s="5">
        <f>BT50+Params!$B$7*Adds!BT87</f>
        <v/>
      </c>
      <c r="BU49" s="5">
        <f>BU50+Params!$B$7*Adds!BU87</f>
        <v/>
      </c>
      <c r="BV49" s="5">
        <f>BV50+Params!$B$7*Adds!BV87</f>
        <v/>
      </c>
    </row>
    <row r="50">
      <c r="A50" t="inlineStr">
        <is>
          <t>paying</t>
        </is>
      </c>
      <c r="B50" t="inlineStr">
        <is>
          <t>EUROPE|NITRO_A</t>
        </is>
      </c>
      <c r="C50" s="5">
        <f>Legacy!C26+Paid!C23+React!C77</f>
        <v/>
      </c>
      <c r="D50" s="5">
        <f>Legacy!D26+Paid!D23+React!D77</f>
        <v/>
      </c>
      <c r="E50" s="5">
        <f>Legacy!E26+Paid!E23+React!E77</f>
        <v/>
      </c>
      <c r="F50" s="5">
        <f>Legacy!F26+Paid!F23+React!F77</f>
        <v/>
      </c>
      <c r="G50" s="5">
        <f>Legacy!G26+Paid!G23+React!G77</f>
        <v/>
      </c>
      <c r="H50" s="5">
        <f>Legacy!H26+Paid!H23+React!H77</f>
        <v/>
      </c>
      <c r="I50" s="5">
        <f>Legacy!I26+Paid!I23+React!I77</f>
        <v/>
      </c>
      <c r="J50" s="5">
        <f>Legacy!J26+Paid!J23+React!J77</f>
        <v/>
      </c>
      <c r="K50" s="5">
        <f>Legacy!K26+Paid!K23+React!K77</f>
        <v/>
      </c>
      <c r="L50" s="5">
        <f>Legacy!L26+Paid!L23+React!L77</f>
        <v/>
      </c>
      <c r="M50" s="5">
        <f>Legacy!M26+Paid!M23+React!M77</f>
        <v/>
      </c>
      <c r="N50" s="5">
        <f>Legacy!N26+Paid!N23+React!N77</f>
        <v/>
      </c>
      <c r="O50" s="5">
        <f>Legacy!O26+Paid!O23+React!O77</f>
        <v/>
      </c>
      <c r="P50" s="5">
        <f>Legacy!P26+Paid!P23+React!P77</f>
        <v/>
      </c>
      <c r="Q50" s="5">
        <f>Legacy!Q26+Paid!Q23+React!Q77</f>
        <v/>
      </c>
      <c r="R50" s="5">
        <f>Legacy!R26+Paid!R23+React!R77</f>
        <v/>
      </c>
      <c r="S50" s="5">
        <f>Legacy!S26+Paid!S23+React!S77</f>
        <v/>
      </c>
      <c r="T50" s="5">
        <f>Legacy!T26+Paid!T23+React!T77</f>
        <v/>
      </c>
      <c r="U50" s="5">
        <f>Legacy!U26+Paid!U23+React!U77</f>
        <v/>
      </c>
      <c r="V50" s="5">
        <f>Legacy!V26+Paid!V23+React!V77</f>
        <v/>
      </c>
      <c r="W50" s="5">
        <f>Legacy!W26+Paid!W23+React!W77</f>
        <v/>
      </c>
      <c r="X50" s="5">
        <f>Legacy!X26+Paid!X23+React!X77</f>
        <v/>
      </c>
      <c r="Y50" s="5">
        <f>Legacy!Y26+Paid!Y23+React!Y77</f>
        <v/>
      </c>
      <c r="Z50" s="5">
        <f>Legacy!Z26+Paid!Z23+React!Z77</f>
        <v/>
      </c>
      <c r="AA50" s="5">
        <f>Legacy!AA26+Paid!AA23+React!AA77</f>
        <v/>
      </c>
      <c r="AB50" s="5">
        <f>Legacy!AB26+Paid!AB23+React!AB77</f>
        <v/>
      </c>
      <c r="AC50" s="5">
        <f>Legacy!AC26+Paid!AC23+React!AC77</f>
        <v/>
      </c>
      <c r="AD50" s="5">
        <f>Legacy!AD26+Paid!AD23+React!AD77</f>
        <v/>
      </c>
      <c r="AE50" s="5">
        <f>Legacy!AE26+Paid!AE23+React!AE77</f>
        <v/>
      </c>
      <c r="AF50" s="5">
        <f>Legacy!AF26+Paid!AF23+React!AF77</f>
        <v/>
      </c>
      <c r="AG50" s="5">
        <f>Legacy!AG26+Paid!AG23+React!AG77</f>
        <v/>
      </c>
      <c r="AH50" s="5">
        <f>Legacy!AH26+Paid!AH23+React!AH77</f>
        <v/>
      </c>
      <c r="AI50" s="5">
        <f>Legacy!AI26+Paid!AI23+React!AI77</f>
        <v/>
      </c>
      <c r="AJ50" s="5">
        <f>Legacy!AJ26+Paid!AJ23+React!AJ77</f>
        <v/>
      </c>
      <c r="AK50" s="5">
        <f>Legacy!AK26+Paid!AK23+React!AK77</f>
        <v/>
      </c>
      <c r="AL50" s="5">
        <f>Legacy!AL26+Paid!AL23+React!AL77</f>
        <v/>
      </c>
      <c r="AM50" s="5">
        <f>Legacy!AM26+Paid!AM23+React!AM77</f>
        <v/>
      </c>
      <c r="AN50" s="5">
        <f>Legacy!AN26+Paid!AN23+React!AN77</f>
        <v/>
      </c>
      <c r="AO50" s="5">
        <f>Legacy!AO26+Paid!AO23+React!AO77</f>
        <v/>
      </c>
      <c r="AP50" s="5">
        <f>Legacy!AP26+Paid!AP23+React!AP77</f>
        <v/>
      </c>
      <c r="AQ50" s="5">
        <f>Legacy!AQ26+Paid!AQ23+React!AQ77</f>
        <v/>
      </c>
      <c r="AR50" s="5">
        <f>Legacy!AR26+Paid!AR23+React!AR77</f>
        <v/>
      </c>
      <c r="AS50" s="5">
        <f>Legacy!AS26+Paid!AS23+React!AS77</f>
        <v/>
      </c>
      <c r="AT50" s="5">
        <f>Legacy!AT26+Paid!AT23+React!AT77</f>
        <v/>
      </c>
      <c r="AU50" s="5">
        <f>Legacy!AU26+Paid!AU23+React!AU77</f>
        <v/>
      </c>
      <c r="AV50" s="5">
        <f>Legacy!AV26+Paid!AV23+React!AV77</f>
        <v/>
      </c>
      <c r="AW50" s="5">
        <f>Legacy!AW26+Paid!AW23+React!AW77</f>
        <v/>
      </c>
      <c r="AX50" s="5">
        <f>Legacy!AX26+Paid!AX23+React!AX77</f>
        <v/>
      </c>
      <c r="AY50" s="5">
        <f>Legacy!AY26+Paid!AY23+React!AY77</f>
        <v/>
      </c>
      <c r="AZ50" s="5">
        <f>Legacy!AZ26+Paid!AZ23+React!AZ77</f>
        <v/>
      </c>
      <c r="BA50" s="5">
        <f>Legacy!BA26+Paid!BA23+React!BA77</f>
        <v/>
      </c>
      <c r="BB50" s="5">
        <f>Legacy!BB26+Paid!BB23+React!BB77</f>
        <v/>
      </c>
      <c r="BC50" s="5">
        <f>Legacy!BC26+Paid!BC23+React!BC77</f>
        <v/>
      </c>
      <c r="BD50" s="5">
        <f>Legacy!BD26+Paid!BD23+React!BD77</f>
        <v/>
      </c>
      <c r="BE50" s="5">
        <f>Legacy!BE26+Paid!BE23+React!BE77</f>
        <v/>
      </c>
      <c r="BF50" s="5">
        <f>Legacy!BF26+Paid!BF23+React!BF77</f>
        <v/>
      </c>
      <c r="BG50" s="5">
        <f>Legacy!BG26+Paid!BG23+React!BG77</f>
        <v/>
      </c>
      <c r="BH50" s="5">
        <f>Legacy!BH26+Paid!BH23+React!BH77</f>
        <v/>
      </c>
      <c r="BI50" s="5">
        <f>Legacy!BI26+Paid!BI23+React!BI77</f>
        <v/>
      </c>
      <c r="BJ50" s="5">
        <f>Legacy!BJ26+Paid!BJ23+React!BJ77</f>
        <v/>
      </c>
      <c r="BK50" s="5">
        <f>Legacy!BK26+Paid!BK23+React!BK77</f>
        <v/>
      </c>
      <c r="BL50" s="5">
        <f>Legacy!BL26+Paid!BL23+React!BL77</f>
        <v/>
      </c>
      <c r="BM50" s="5">
        <f>Legacy!BM26+Paid!BM23+React!BM77</f>
        <v/>
      </c>
      <c r="BN50" s="5">
        <f>Legacy!BN26+Paid!BN23+React!BN77</f>
        <v/>
      </c>
      <c r="BO50" s="5">
        <f>Legacy!BO26+Paid!BO23+React!BO77</f>
        <v/>
      </c>
      <c r="BP50" s="5">
        <f>Legacy!BP26+Paid!BP23+React!BP77</f>
        <v/>
      </c>
      <c r="BQ50" s="5">
        <f>Legacy!BQ26+Paid!BQ23+React!BQ77</f>
        <v/>
      </c>
      <c r="BR50" s="5">
        <f>Legacy!BR26+Paid!BR23+React!BR77</f>
        <v/>
      </c>
      <c r="BS50" s="5">
        <f>Legacy!BS26+Paid!BS23+React!BS77</f>
        <v/>
      </c>
      <c r="BT50" s="5">
        <f>Legacy!BT26+Paid!BT23+React!BT77</f>
        <v/>
      </c>
      <c r="BU50" s="5">
        <f>Legacy!BU26+Paid!BU23+React!BU77</f>
        <v/>
      </c>
      <c r="BV50" s="5">
        <f>Legacy!BV26+Paid!BV23+React!BV77</f>
        <v/>
      </c>
    </row>
    <row r="52">
      <c r="A52" t="inlineStr">
        <is>
          <t>opening</t>
        </is>
      </c>
      <c r="B52" t="inlineStr">
        <is>
          <t>EUROPE|BASIC_M</t>
        </is>
      </c>
      <c r="C52" s="5">
        <f>Legacy!$C$29</f>
        <v/>
      </c>
      <c r="D52" s="5">
        <f>C56</f>
        <v/>
      </c>
      <c r="E52" s="5">
        <f>D56</f>
        <v/>
      </c>
      <c r="F52" s="5">
        <f>E56</f>
        <v/>
      </c>
      <c r="G52" s="5">
        <f>F56</f>
        <v/>
      </c>
      <c r="H52" s="5">
        <f>G56</f>
        <v/>
      </c>
      <c r="I52" s="5">
        <f>H56</f>
        <v/>
      </c>
      <c r="J52" s="5">
        <f>I56</f>
        <v/>
      </c>
      <c r="K52" s="5">
        <f>J56</f>
        <v/>
      </c>
      <c r="L52" s="5">
        <f>K56</f>
        <v/>
      </c>
      <c r="M52" s="5">
        <f>L56</f>
        <v/>
      </c>
      <c r="N52" s="5">
        <f>M56</f>
        <v/>
      </c>
      <c r="O52" s="5">
        <f>N56</f>
        <v/>
      </c>
      <c r="P52" s="5">
        <f>O56</f>
        <v/>
      </c>
      <c r="Q52" s="5">
        <f>P56</f>
        <v/>
      </c>
      <c r="R52" s="5">
        <f>Q56</f>
        <v/>
      </c>
      <c r="S52" s="5">
        <f>R56</f>
        <v/>
      </c>
      <c r="T52" s="5">
        <f>S56</f>
        <v/>
      </c>
      <c r="U52" s="5">
        <f>T56</f>
        <v/>
      </c>
      <c r="V52" s="5">
        <f>U56</f>
        <v/>
      </c>
      <c r="W52" s="5">
        <f>V56</f>
        <v/>
      </c>
      <c r="X52" s="5">
        <f>W56</f>
        <v/>
      </c>
      <c r="Y52" s="5">
        <f>X56</f>
        <v/>
      </c>
      <c r="Z52" s="5">
        <f>Y56</f>
        <v/>
      </c>
      <c r="AA52" s="5">
        <f>Z56</f>
        <v/>
      </c>
      <c r="AB52" s="5">
        <f>AA56</f>
        <v/>
      </c>
      <c r="AC52" s="5">
        <f>AB56</f>
        <v/>
      </c>
      <c r="AD52" s="5">
        <f>AC56</f>
        <v/>
      </c>
      <c r="AE52" s="5">
        <f>AD56</f>
        <v/>
      </c>
      <c r="AF52" s="5">
        <f>AE56</f>
        <v/>
      </c>
      <c r="AG52" s="5">
        <f>AF56</f>
        <v/>
      </c>
      <c r="AH52" s="5">
        <f>AG56</f>
        <v/>
      </c>
      <c r="AI52" s="5">
        <f>AH56</f>
        <v/>
      </c>
      <c r="AJ52" s="5">
        <f>AI56</f>
        <v/>
      </c>
      <c r="AK52" s="5">
        <f>AJ56</f>
        <v/>
      </c>
      <c r="AL52" s="5">
        <f>AK56</f>
        <v/>
      </c>
      <c r="AM52" s="5">
        <f>AL56</f>
        <v/>
      </c>
      <c r="AN52" s="5">
        <f>AM56</f>
        <v/>
      </c>
      <c r="AO52" s="5">
        <f>AN56</f>
        <v/>
      </c>
      <c r="AP52" s="5">
        <f>AO56</f>
        <v/>
      </c>
      <c r="AQ52" s="5">
        <f>AP56</f>
        <v/>
      </c>
      <c r="AR52" s="5">
        <f>AQ56</f>
        <v/>
      </c>
      <c r="AS52" s="5">
        <f>AR56</f>
        <v/>
      </c>
      <c r="AT52" s="5">
        <f>AS56</f>
        <v/>
      </c>
      <c r="AU52" s="5">
        <f>AT56</f>
        <v/>
      </c>
      <c r="AV52" s="5">
        <f>AU56</f>
        <v/>
      </c>
      <c r="AW52" s="5">
        <f>AV56</f>
        <v/>
      </c>
      <c r="AX52" s="5">
        <f>AW56</f>
        <v/>
      </c>
      <c r="AY52" s="5">
        <f>AX56</f>
        <v/>
      </c>
      <c r="AZ52" s="5">
        <f>AY56</f>
        <v/>
      </c>
      <c r="BA52" s="5">
        <f>AZ56</f>
        <v/>
      </c>
      <c r="BB52" s="5">
        <f>BA56</f>
        <v/>
      </c>
      <c r="BC52" s="5">
        <f>BB56</f>
        <v/>
      </c>
      <c r="BD52" s="5">
        <f>BC56</f>
        <v/>
      </c>
      <c r="BE52" s="5">
        <f>BD56</f>
        <v/>
      </c>
      <c r="BF52" s="5">
        <f>BE56</f>
        <v/>
      </c>
      <c r="BG52" s="5">
        <f>BF56</f>
        <v/>
      </c>
      <c r="BH52" s="5">
        <f>BG56</f>
        <v/>
      </c>
      <c r="BI52" s="5">
        <f>BH56</f>
        <v/>
      </c>
      <c r="BJ52" s="5">
        <f>BI56</f>
        <v/>
      </c>
      <c r="BK52" s="5">
        <f>BJ56</f>
        <v/>
      </c>
      <c r="BL52" s="5">
        <f>BK56</f>
        <v/>
      </c>
      <c r="BM52" s="5">
        <f>BL56</f>
        <v/>
      </c>
      <c r="BN52" s="5">
        <f>BM56</f>
        <v/>
      </c>
      <c r="BO52" s="5">
        <f>BN56</f>
        <v/>
      </c>
      <c r="BP52" s="5">
        <f>BO56</f>
        <v/>
      </c>
      <c r="BQ52" s="5">
        <f>BP56</f>
        <v/>
      </c>
      <c r="BR52" s="5">
        <f>BQ56</f>
        <v/>
      </c>
      <c r="BS52" s="5">
        <f>BR56</f>
        <v/>
      </c>
      <c r="BT52" s="5">
        <f>BS56</f>
        <v/>
      </c>
      <c r="BU52" s="5">
        <f>BT56</f>
        <v/>
      </c>
      <c r="BV52" s="5">
        <f>BU56</f>
        <v/>
      </c>
    </row>
    <row r="53">
      <c r="A53" t="inlineStr">
        <is>
          <t>new</t>
        </is>
      </c>
      <c r="B53" t="inlineStr">
        <is>
          <t>EUROPE|BASIC_M</t>
        </is>
      </c>
      <c r="C53" s="5">
        <f>Adds!C95+IF(Params!$B$7=1,Adds!C94,Adds!C98)</f>
        <v/>
      </c>
      <c r="D53" s="5">
        <f>Adds!D95+IF(Params!$B$7=1,Adds!D94,Adds!D98)</f>
        <v/>
      </c>
      <c r="E53" s="5">
        <f>Adds!E95+IF(Params!$B$7=1,Adds!E94,Adds!E98)</f>
        <v/>
      </c>
      <c r="F53" s="5">
        <f>Adds!F95+IF(Params!$B$7=1,Adds!F94,Adds!F98)</f>
        <v/>
      </c>
      <c r="G53" s="5">
        <f>Adds!G95+IF(Params!$B$7=1,Adds!G94,Adds!G98)</f>
        <v/>
      </c>
      <c r="H53" s="5">
        <f>Adds!H95+IF(Params!$B$7=1,Adds!H94,Adds!H98)</f>
        <v/>
      </c>
      <c r="I53" s="5">
        <f>Adds!I95+IF(Params!$B$7=1,Adds!I94,Adds!I98)</f>
        <v/>
      </c>
      <c r="J53" s="5">
        <f>Adds!J95+IF(Params!$B$7=1,Adds!J94,Adds!J98)</f>
        <v/>
      </c>
      <c r="K53" s="5">
        <f>Adds!K95+IF(Params!$B$7=1,Adds!K94,Adds!K98)</f>
        <v/>
      </c>
      <c r="L53" s="5">
        <f>Adds!L95+IF(Params!$B$7=1,Adds!L94,Adds!L98)</f>
        <v/>
      </c>
      <c r="M53" s="5">
        <f>Adds!M95+IF(Params!$B$7=1,Adds!M94,Adds!M98)</f>
        <v/>
      </c>
      <c r="N53" s="5">
        <f>Adds!N95+IF(Params!$B$7=1,Adds!N94,Adds!N98)</f>
        <v/>
      </c>
      <c r="O53" s="5">
        <f>Adds!O95+IF(Params!$B$7=1,Adds!O94,Adds!O98)</f>
        <v/>
      </c>
      <c r="P53" s="5">
        <f>Adds!P95+IF(Params!$B$7=1,Adds!P94,Adds!P98)</f>
        <v/>
      </c>
      <c r="Q53" s="5">
        <f>Adds!Q95+IF(Params!$B$7=1,Adds!Q94,Adds!Q98)</f>
        <v/>
      </c>
      <c r="R53" s="5">
        <f>Adds!R95+IF(Params!$B$7=1,Adds!R94,Adds!R98)</f>
        <v/>
      </c>
      <c r="S53" s="5">
        <f>Adds!S95+IF(Params!$B$7=1,Adds!S94,Adds!S98)</f>
        <v/>
      </c>
      <c r="T53" s="5">
        <f>Adds!T95+IF(Params!$B$7=1,Adds!T94,Adds!T98)</f>
        <v/>
      </c>
      <c r="U53" s="5">
        <f>Adds!U95+IF(Params!$B$7=1,Adds!U94,Adds!U98)</f>
        <v/>
      </c>
      <c r="V53" s="5">
        <f>Adds!V95+IF(Params!$B$7=1,Adds!V94,Adds!V98)</f>
        <v/>
      </c>
      <c r="W53" s="5">
        <f>Adds!W95+IF(Params!$B$7=1,Adds!W94,Adds!W98)</f>
        <v/>
      </c>
      <c r="X53" s="5">
        <f>Adds!X95+IF(Params!$B$7=1,Adds!X94,Adds!X98)</f>
        <v/>
      </c>
      <c r="Y53" s="5">
        <f>Adds!Y95+IF(Params!$B$7=1,Adds!Y94,Adds!Y98)</f>
        <v/>
      </c>
      <c r="Z53" s="5">
        <f>Adds!Z95+IF(Params!$B$7=1,Adds!Z94,Adds!Z98)</f>
        <v/>
      </c>
      <c r="AA53" s="5">
        <f>Adds!AA95+IF(Params!$B$7=1,Adds!AA94,Adds!AA98)</f>
        <v/>
      </c>
      <c r="AB53" s="5">
        <f>Adds!AB95+IF(Params!$B$7=1,Adds!AB94,Adds!AB98)</f>
        <v/>
      </c>
      <c r="AC53" s="5">
        <f>Adds!AC95+IF(Params!$B$7=1,Adds!AC94,Adds!AC98)</f>
        <v/>
      </c>
      <c r="AD53" s="5">
        <f>Adds!AD95+IF(Params!$B$7=1,Adds!AD94,Adds!AD98)</f>
        <v/>
      </c>
      <c r="AE53" s="5">
        <f>Adds!AE95+IF(Params!$B$7=1,Adds!AE94,Adds!AE98)</f>
        <v/>
      </c>
      <c r="AF53" s="5">
        <f>Adds!AF95+IF(Params!$B$7=1,Adds!AF94,Adds!AF98)</f>
        <v/>
      </c>
      <c r="AG53" s="5">
        <f>Adds!AG95+IF(Params!$B$7=1,Adds!AG94,Adds!AG98)</f>
        <v/>
      </c>
      <c r="AH53" s="5">
        <f>Adds!AH95+IF(Params!$B$7=1,Adds!AH94,Adds!AH98)</f>
        <v/>
      </c>
      <c r="AI53" s="5">
        <f>Adds!AI95+IF(Params!$B$7=1,Adds!AI94,Adds!AI98)</f>
        <v/>
      </c>
      <c r="AJ53" s="5">
        <f>Adds!AJ95+IF(Params!$B$7=1,Adds!AJ94,Adds!AJ98)</f>
        <v/>
      </c>
      <c r="AK53" s="5">
        <f>Adds!AK95+IF(Params!$B$7=1,Adds!AK94,Adds!AK98)</f>
        <v/>
      </c>
      <c r="AL53" s="5">
        <f>Adds!AL95+IF(Params!$B$7=1,Adds!AL94,Adds!AL98)</f>
        <v/>
      </c>
      <c r="AM53" s="5">
        <f>Adds!AM95+IF(Params!$B$7=1,Adds!AM94,Adds!AM98)</f>
        <v/>
      </c>
      <c r="AN53" s="5">
        <f>Adds!AN95+IF(Params!$B$7=1,Adds!AN94,Adds!AN98)</f>
        <v/>
      </c>
      <c r="AO53" s="5">
        <f>Adds!AO95+IF(Params!$B$7=1,Adds!AO94,Adds!AO98)</f>
        <v/>
      </c>
      <c r="AP53" s="5">
        <f>Adds!AP95+IF(Params!$B$7=1,Adds!AP94,Adds!AP98)</f>
        <v/>
      </c>
      <c r="AQ53" s="5">
        <f>Adds!AQ95+IF(Params!$B$7=1,Adds!AQ94,Adds!AQ98)</f>
        <v/>
      </c>
      <c r="AR53" s="5">
        <f>Adds!AR95+IF(Params!$B$7=1,Adds!AR94,Adds!AR98)</f>
        <v/>
      </c>
      <c r="AS53" s="5">
        <f>Adds!AS95+IF(Params!$B$7=1,Adds!AS94,Adds!AS98)</f>
        <v/>
      </c>
      <c r="AT53" s="5">
        <f>Adds!AT95+IF(Params!$B$7=1,Adds!AT94,Adds!AT98)</f>
        <v/>
      </c>
      <c r="AU53" s="5">
        <f>Adds!AU95+IF(Params!$B$7=1,Adds!AU94,Adds!AU98)</f>
        <v/>
      </c>
      <c r="AV53" s="5">
        <f>Adds!AV95+IF(Params!$B$7=1,Adds!AV94,Adds!AV98)</f>
        <v/>
      </c>
      <c r="AW53" s="5">
        <f>Adds!AW95+IF(Params!$B$7=1,Adds!AW94,Adds!AW98)</f>
        <v/>
      </c>
      <c r="AX53" s="5">
        <f>Adds!AX95+IF(Params!$B$7=1,Adds!AX94,Adds!AX98)</f>
        <v/>
      </c>
      <c r="AY53" s="5">
        <f>Adds!AY95+IF(Params!$B$7=1,Adds!AY94,Adds!AY98)</f>
        <v/>
      </c>
      <c r="AZ53" s="5">
        <f>Adds!AZ95+IF(Params!$B$7=1,Adds!AZ94,Adds!AZ98)</f>
        <v/>
      </c>
      <c r="BA53" s="5">
        <f>Adds!BA95+IF(Params!$B$7=1,Adds!BA94,Adds!BA98)</f>
        <v/>
      </c>
      <c r="BB53" s="5">
        <f>Adds!BB95+IF(Params!$B$7=1,Adds!BB94,Adds!BB98)</f>
        <v/>
      </c>
      <c r="BC53" s="5">
        <f>Adds!BC95+IF(Params!$B$7=1,Adds!BC94,Adds!BC98)</f>
        <v/>
      </c>
      <c r="BD53" s="5">
        <f>Adds!BD95+IF(Params!$B$7=1,Adds!BD94,Adds!BD98)</f>
        <v/>
      </c>
      <c r="BE53" s="5">
        <f>Adds!BE95+IF(Params!$B$7=1,Adds!BE94,Adds!BE98)</f>
        <v/>
      </c>
      <c r="BF53" s="5">
        <f>Adds!BF95+IF(Params!$B$7=1,Adds!BF94,Adds!BF98)</f>
        <v/>
      </c>
      <c r="BG53" s="5">
        <f>Adds!BG95+IF(Params!$B$7=1,Adds!BG94,Adds!BG98)</f>
        <v/>
      </c>
      <c r="BH53" s="5">
        <f>Adds!BH95+IF(Params!$B$7=1,Adds!BH94,Adds!BH98)</f>
        <v/>
      </c>
      <c r="BI53" s="5">
        <f>Adds!BI95+IF(Params!$B$7=1,Adds!BI94,Adds!BI98)</f>
        <v/>
      </c>
      <c r="BJ53" s="5">
        <f>Adds!BJ95+IF(Params!$B$7=1,Adds!BJ94,Adds!BJ98)</f>
        <v/>
      </c>
      <c r="BK53" s="5">
        <f>Adds!BK95+IF(Params!$B$7=1,Adds!BK94,Adds!BK98)</f>
        <v/>
      </c>
      <c r="BL53" s="5">
        <f>Adds!BL95+IF(Params!$B$7=1,Adds!BL94,Adds!BL98)</f>
        <v/>
      </c>
      <c r="BM53" s="5">
        <f>Adds!BM95+IF(Params!$B$7=1,Adds!BM94,Adds!BM98)</f>
        <v/>
      </c>
      <c r="BN53" s="5">
        <f>Adds!BN95+IF(Params!$B$7=1,Adds!BN94,Adds!BN98)</f>
        <v/>
      </c>
      <c r="BO53" s="5">
        <f>Adds!BO95+IF(Params!$B$7=1,Adds!BO94,Adds!BO98)</f>
        <v/>
      </c>
      <c r="BP53" s="5">
        <f>Adds!BP95+IF(Params!$B$7=1,Adds!BP94,Adds!BP98)</f>
        <v/>
      </c>
      <c r="BQ53" s="5">
        <f>Adds!BQ95+IF(Params!$B$7=1,Adds!BQ94,Adds!BQ98)</f>
        <v/>
      </c>
      <c r="BR53" s="5">
        <f>Adds!BR95+IF(Params!$B$7=1,Adds!BR94,Adds!BR98)</f>
        <v/>
      </c>
      <c r="BS53" s="5">
        <f>Adds!BS95+IF(Params!$B$7=1,Adds!BS94,Adds!BS98)</f>
        <v/>
      </c>
      <c r="BT53" s="5">
        <f>Adds!BT95+IF(Params!$B$7=1,Adds!BT94,Adds!BT98)</f>
        <v/>
      </c>
      <c r="BU53" s="5">
        <f>Adds!BU95+IF(Params!$B$7=1,Adds!BU94,Adds!BU98)</f>
        <v/>
      </c>
      <c r="BV53" s="5">
        <f>Adds!BV95+IF(Params!$B$7=1,Adds!BV94,Adds!BV98)</f>
        <v/>
      </c>
    </row>
    <row r="54">
      <c r="A54" t="inlineStr">
        <is>
          <t>reactivated</t>
        </is>
      </c>
      <c r="B54" t="inlineStr">
        <is>
          <t>EUROPE|BASIC_M</t>
        </is>
      </c>
      <c r="C54" s="5">
        <f>React!C86</f>
        <v/>
      </c>
      <c r="D54" s="5">
        <f>React!D86</f>
        <v/>
      </c>
      <c r="E54" s="5">
        <f>React!E86</f>
        <v/>
      </c>
      <c r="F54" s="5">
        <f>React!F86</f>
        <v/>
      </c>
      <c r="G54" s="5">
        <f>React!G86</f>
        <v/>
      </c>
      <c r="H54" s="5">
        <f>React!H86</f>
        <v/>
      </c>
      <c r="I54" s="5">
        <f>React!I86</f>
        <v/>
      </c>
      <c r="J54" s="5">
        <f>React!J86</f>
        <v/>
      </c>
      <c r="K54" s="5">
        <f>React!K86</f>
        <v/>
      </c>
      <c r="L54" s="5">
        <f>React!L86</f>
        <v/>
      </c>
      <c r="M54" s="5">
        <f>React!M86</f>
        <v/>
      </c>
      <c r="N54" s="5">
        <f>React!N86</f>
        <v/>
      </c>
      <c r="O54" s="5">
        <f>React!O86</f>
        <v/>
      </c>
      <c r="P54" s="5">
        <f>React!P86</f>
        <v/>
      </c>
      <c r="Q54" s="5">
        <f>React!Q86</f>
        <v/>
      </c>
      <c r="R54" s="5">
        <f>React!R86</f>
        <v/>
      </c>
      <c r="S54" s="5">
        <f>React!S86</f>
        <v/>
      </c>
      <c r="T54" s="5">
        <f>React!T86</f>
        <v/>
      </c>
      <c r="U54" s="5">
        <f>React!U86</f>
        <v/>
      </c>
      <c r="V54" s="5">
        <f>React!V86</f>
        <v/>
      </c>
      <c r="W54" s="5">
        <f>React!W86</f>
        <v/>
      </c>
      <c r="X54" s="5">
        <f>React!X86</f>
        <v/>
      </c>
      <c r="Y54" s="5">
        <f>React!Y86</f>
        <v/>
      </c>
      <c r="Z54" s="5">
        <f>React!Z86</f>
        <v/>
      </c>
      <c r="AA54" s="5">
        <f>React!AA86</f>
        <v/>
      </c>
      <c r="AB54" s="5">
        <f>React!AB86</f>
        <v/>
      </c>
      <c r="AC54" s="5">
        <f>React!AC86</f>
        <v/>
      </c>
      <c r="AD54" s="5">
        <f>React!AD86</f>
        <v/>
      </c>
      <c r="AE54" s="5">
        <f>React!AE86</f>
        <v/>
      </c>
      <c r="AF54" s="5">
        <f>React!AF86</f>
        <v/>
      </c>
      <c r="AG54" s="5">
        <f>React!AG86</f>
        <v/>
      </c>
      <c r="AH54" s="5">
        <f>React!AH86</f>
        <v/>
      </c>
      <c r="AI54" s="5">
        <f>React!AI86</f>
        <v/>
      </c>
      <c r="AJ54" s="5">
        <f>React!AJ86</f>
        <v/>
      </c>
      <c r="AK54" s="5">
        <f>React!AK86</f>
        <v/>
      </c>
      <c r="AL54" s="5">
        <f>React!AL86</f>
        <v/>
      </c>
      <c r="AM54" s="5">
        <f>React!AM86</f>
        <v/>
      </c>
      <c r="AN54" s="5">
        <f>React!AN86</f>
        <v/>
      </c>
      <c r="AO54" s="5">
        <f>React!AO86</f>
        <v/>
      </c>
      <c r="AP54" s="5">
        <f>React!AP86</f>
        <v/>
      </c>
      <c r="AQ54" s="5">
        <f>React!AQ86</f>
        <v/>
      </c>
      <c r="AR54" s="5">
        <f>React!AR86</f>
        <v/>
      </c>
      <c r="AS54" s="5">
        <f>React!AS86</f>
        <v/>
      </c>
      <c r="AT54" s="5">
        <f>React!AT86</f>
        <v/>
      </c>
      <c r="AU54" s="5">
        <f>React!AU86</f>
        <v/>
      </c>
      <c r="AV54" s="5">
        <f>React!AV86</f>
        <v/>
      </c>
      <c r="AW54" s="5">
        <f>React!AW86</f>
        <v/>
      </c>
      <c r="AX54" s="5">
        <f>React!AX86</f>
        <v/>
      </c>
      <c r="AY54" s="5">
        <f>React!AY86</f>
        <v/>
      </c>
      <c r="AZ54" s="5">
        <f>React!AZ86</f>
        <v/>
      </c>
      <c r="BA54" s="5">
        <f>React!BA86</f>
        <v/>
      </c>
      <c r="BB54" s="5">
        <f>React!BB86</f>
        <v/>
      </c>
      <c r="BC54" s="5">
        <f>React!BC86</f>
        <v/>
      </c>
      <c r="BD54" s="5">
        <f>React!BD86</f>
        <v/>
      </c>
      <c r="BE54" s="5">
        <f>React!BE86</f>
        <v/>
      </c>
      <c r="BF54" s="5">
        <f>React!BF86</f>
        <v/>
      </c>
      <c r="BG54" s="5">
        <f>React!BG86</f>
        <v/>
      </c>
      <c r="BH54" s="5">
        <f>React!BH86</f>
        <v/>
      </c>
      <c r="BI54" s="5">
        <f>React!BI86</f>
        <v/>
      </c>
      <c r="BJ54" s="5">
        <f>React!BJ86</f>
        <v/>
      </c>
      <c r="BK54" s="5">
        <f>React!BK86</f>
        <v/>
      </c>
      <c r="BL54" s="5">
        <f>React!BL86</f>
        <v/>
      </c>
      <c r="BM54" s="5">
        <f>React!BM86</f>
        <v/>
      </c>
      <c r="BN54" s="5">
        <f>React!BN86</f>
        <v/>
      </c>
      <c r="BO54" s="5">
        <f>React!BO86</f>
        <v/>
      </c>
      <c r="BP54" s="5">
        <f>React!BP86</f>
        <v/>
      </c>
      <c r="BQ54" s="5">
        <f>React!BQ86</f>
        <v/>
      </c>
      <c r="BR54" s="5">
        <f>React!BR86</f>
        <v/>
      </c>
      <c r="BS54" s="5">
        <f>React!BS86</f>
        <v/>
      </c>
      <c r="BT54" s="5">
        <f>React!BT86</f>
        <v/>
      </c>
      <c r="BU54" s="5">
        <f>React!BU86</f>
        <v/>
      </c>
      <c r="BV54" s="5">
        <f>React!BV86</f>
        <v/>
      </c>
    </row>
    <row r="55">
      <c r="A55" t="inlineStr">
        <is>
          <t>churned</t>
        </is>
      </c>
      <c r="B55" t="inlineStr">
        <is>
          <t>EUROPE|BASIC_M</t>
        </is>
      </c>
      <c r="C55" s="5">
        <f>Legacy!C31+Paid!C29+React!C92+Params!$B$7*Adds!C99</f>
        <v/>
      </c>
      <c r="D55" s="5">
        <f>Legacy!D31+Paid!D29+React!D92+Params!$B$7*Adds!D99</f>
        <v/>
      </c>
      <c r="E55" s="5">
        <f>Legacy!E31+Paid!E29+React!E92+Params!$B$7*Adds!E99</f>
        <v/>
      </c>
      <c r="F55" s="5">
        <f>Legacy!F31+Paid!F29+React!F92+Params!$B$7*Adds!F99</f>
        <v/>
      </c>
      <c r="G55" s="5">
        <f>Legacy!G31+Paid!G29+React!G92+Params!$B$7*Adds!G99</f>
        <v/>
      </c>
      <c r="H55" s="5">
        <f>Legacy!H31+Paid!H29+React!H92+Params!$B$7*Adds!H99</f>
        <v/>
      </c>
      <c r="I55" s="5">
        <f>Legacy!I31+Paid!I29+React!I92+Params!$B$7*Adds!I99</f>
        <v/>
      </c>
      <c r="J55" s="5">
        <f>Legacy!J31+Paid!J29+React!J92+Params!$B$7*Adds!J99</f>
        <v/>
      </c>
      <c r="K55" s="5">
        <f>Legacy!K31+Paid!K29+React!K92+Params!$B$7*Adds!K99</f>
        <v/>
      </c>
      <c r="L55" s="5">
        <f>Legacy!L31+Paid!L29+React!L92+Params!$B$7*Adds!L99</f>
        <v/>
      </c>
      <c r="M55" s="5">
        <f>Legacy!M31+Paid!M29+React!M92+Params!$B$7*Adds!M99</f>
        <v/>
      </c>
      <c r="N55" s="5">
        <f>Legacy!N31+Paid!N29+React!N92+Params!$B$7*Adds!N99</f>
        <v/>
      </c>
      <c r="O55" s="5">
        <f>Legacy!O31+Paid!O29+React!O92+Params!$B$7*Adds!O99</f>
        <v/>
      </c>
      <c r="P55" s="5">
        <f>Legacy!P31+Paid!P29+React!P92+Params!$B$7*Adds!P99</f>
        <v/>
      </c>
      <c r="Q55" s="5">
        <f>Legacy!Q31+Paid!Q29+React!Q92+Params!$B$7*Adds!Q99</f>
        <v/>
      </c>
      <c r="R55" s="5">
        <f>Legacy!R31+Paid!R29+React!R92+Params!$B$7*Adds!R99</f>
        <v/>
      </c>
      <c r="S55" s="5">
        <f>Legacy!S31+Paid!S29+React!S92+Params!$B$7*Adds!S99</f>
        <v/>
      </c>
      <c r="T55" s="5">
        <f>Legacy!T31+Paid!T29+React!T92+Params!$B$7*Adds!T99</f>
        <v/>
      </c>
      <c r="U55" s="5">
        <f>Legacy!U31+Paid!U29+React!U92+Params!$B$7*Adds!U99</f>
        <v/>
      </c>
      <c r="V55" s="5">
        <f>Legacy!V31+Paid!V29+React!V92+Params!$B$7*Adds!V99</f>
        <v/>
      </c>
      <c r="W55" s="5">
        <f>Legacy!W31+Paid!W29+React!W92+Params!$B$7*Adds!W99</f>
        <v/>
      </c>
      <c r="X55" s="5">
        <f>Legacy!X31+Paid!X29+React!X92+Params!$B$7*Adds!X99</f>
        <v/>
      </c>
      <c r="Y55" s="5">
        <f>Legacy!Y31+Paid!Y29+React!Y92+Params!$B$7*Adds!Y99</f>
        <v/>
      </c>
      <c r="Z55" s="5">
        <f>Legacy!Z31+Paid!Z29+React!Z92+Params!$B$7*Adds!Z99</f>
        <v/>
      </c>
      <c r="AA55" s="5">
        <f>Legacy!AA31+Paid!AA29+React!AA92+Params!$B$7*Adds!AA99</f>
        <v/>
      </c>
      <c r="AB55" s="5">
        <f>Legacy!AB31+Paid!AB29+React!AB92+Params!$B$7*Adds!AB99</f>
        <v/>
      </c>
      <c r="AC55" s="5">
        <f>Legacy!AC31+Paid!AC29+React!AC92+Params!$B$7*Adds!AC99</f>
        <v/>
      </c>
      <c r="AD55" s="5">
        <f>Legacy!AD31+Paid!AD29+React!AD92+Params!$B$7*Adds!AD99</f>
        <v/>
      </c>
      <c r="AE55" s="5">
        <f>Legacy!AE31+Paid!AE29+React!AE92+Params!$B$7*Adds!AE99</f>
        <v/>
      </c>
      <c r="AF55" s="5">
        <f>Legacy!AF31+Paid!AF29+React!AF92+Params!$B$7*Adds!AF99</f>
        <v/>
      </c>
      <c r="AG55" s="5">
        <f>Legacy!AG31+Paid!AG29+React!AG92+Params!$B$7*Adds!AG99</f>
        <v/>
      </c>
      <c r="AH55" s="5">
        <f>Legacy!AH31+Paid!AH29+React!AH92+Params!$B$7*Adds!AH99</f>
        <v/>
      </c>
      <c r="AI55" s="5">
        <f>Legacy!AI31+Paid!AI29+React!AI92+Params!$B$7*Adds!AI99</f>
        <v/>
      </c>
      <c r="AJ55" s="5">
        <f>Legacy!AJ31+Paid!AJ29+React!AJ92+Params!$B$7*Adds!AJ99</f>
        <v/>
      </c>
      <c r="AK55" s="5">
        <f>Legacy!AK31+Paid!AK29+React!AK92+Params!$B$7*Adds!AK99</f>
        <v/>
      </c>
      <c r="AL55" s="5">
        <f>Legacy!AL31+Paid!AL29+React!AL92+Params!$B$7*Adds!AL99</f>
        <v/>
      </c>
      <c r="AM55" s="5">
        <f>Legacy!AM31+Paid!AM29+React!AM92+Params!$B$7*Adds!AM99</f>
        <v/>
      </c>
      <c r="AN55" s="5">
        <f>Legacy!AN31+Paid!AN29+React!AN92+Params!$B$7*Adds!AN99</f>
        <v/>
      </c>
      <c r="AO55" s="5">
        <f>Legacy!AO31+Paid!AO29+React!AO92+Params!$B$7*Adds!AO99</f>
        <v/>
      </c>
      <c r="AP55" s="5">
        <f>Legacy!AP31+Paid!AP29+React!AP92+Params!$B$7*Adds!AP99</f>
        <v/>
      </c>
      <c r="AQ55" s="5">
        <f>Legacy!AQ31+Paid!AQ29+React!AQ92+Params!$B$7*Adds!AQ99</f>
        <v/>
      </c>
      <c r="AR55" s="5">
        <f>Legacy!AR31+Paid!AR29+React!AR92+Params!$B$7*Adds!AR99</f>
        <v/>
      </c>
      <c r="AS55" s="5">
        <f>Legacy!AS31+Paid!AS29+React!AS92+Params!$B$7*Adds!AS99</f>
        <v/>
      </c>
      <c r="AT55" s="5">
        <f>Legacy!AT31+Paid!AT29+React!AT92+Params!$B$7*Adds!AT99</f>
        <v/>
      </c>
      <c r="AU55" s="5">
        <f>Legacy!AU31+Paid!AU29+React!AU92+Params!$B$7*Adds!AU99</f>
        <v/>
      </c>
      <c r="AV55" s="5">
        <f>Legacy!AV31+Paid!AV29+React!AV92+Params!$B$7*Adds!AV99</f>
        <v/>
      </c>
      <c r="AW55" s="5">
        <f>Legacy!AW31+Paid!AW29+React!AW92+Params!$B$7*Adds!AW99</f>
        <v/>
      </c>
      <c r="AX55" s="5">
        <f>Legacy!AX31+Paid!AX29+React!AX92+Params!$B$7*Adds!AX99</f>
        <v/>
      </c>
      <c r="AY55" s="5">
        <f>Legacy!AY31+Paid!AY29+React!AY92+Params!$B$7*Adds!AY99</f>
        <v/>
      </c>
      <c r="AZ55" s="5">
        <f>Legacy!AZ31+Paid!AZ29+React!AZ92+Params!$B$7*Adds!AZ99</f>
        <v/>
      </c>
      <c r="BA55" s="5">
        <f>Legacy!BA31+Paid!BA29+React!BA92+Params!$B$7*Adds!BA99</f>
        <v/>
      </c>
      <c r="BB55" s="5">
        <f>Legacy!BB31+Paid!BB29+React!BB92+Params!$B$7*Adds!BB99</f>
        <v/>
      </c>
      <c r="BC55" s="5">
        <f>Legacy!BC31+Paid!BC29+React!BC92+Params!$B$7*Adds!BC99</f>
        <v/>
      </c>
      <c r="BD55" s="5">
        <f>Legacy!BD31+Paid!BD29+React!BD92+Params!$B$7*Adds!BD99</f>
        <v/>
      </c>
      <c r="BE55" s="5">
        <f>Legacy!BE31+Paid!BE29+React!BE92+Params!$B$7*Adds!BE99</f>
        <v/>
      </c>
      <c r="BF55" s="5">
        <f>Legacy!BF31+Paid!BF29+React!BF92+Params!$B$7*Adds!BF99</f>
        <v/>
      </c>
      <c r="BG55" s="5">
        <f>Legacy!BG31+Paid!BG29+React!BG92+Params!$B$7*Adds!BG99</f>
        <v/>
      </c>
      <c r="BH55" s="5">
        <f>Legacy!BH31+Paid!BH29+React!BH92+Params!$B$7*Adds!BH99</f>
        <v/>
      </c>
      <c r="BI55" s="5">
        <f>Legacy!BI31+Paid!BI29+React!BI92+Params!$B$7*Adds!BI99</f>
        <v/>
      </c>
      <c r="BJ55" s="5">
        <f>Legacy!BJ31+Paid!BJ29+React!BJ92+Params!$B$7*Adds!BJ99</f>
        <v/>
      </c>
      <c r="BK55" s="5">
        <f>Legacy!BK31+Paid!BK29+React!BK92+Params!$B$7*Adds!BK99</f>
        <v/>
      </c>
      <c r="BL55" s="5">
        <f>Legacy!BL31+Paid!BL29+React!BL92+Params!$B$7*Adds!BL99</f>
        <v/>
      </c>
      <c r="BM55" s="5">
        <f>Legacy!BM31+Paid!BM29+React!BM92+Params!$B$7*Adds!BM99</f>
        <v/>
      </c>
      <c r="BN55" s="5">
        <f>Legacy!BN31+Paid!BN29+React!BN92+Params!$B$7*Adds!BN99</f>
        <v/>
      </c>
      <c r="BO55" s="5">
        <f>Legacy!BO31+Paid!BO29+React!BO92+Params!$B$7*Adds!BO99</f>
        <v/>
      </c>
      <c r="BP55" s="5">
        <f>Legacy!BP31+Paid!BP29+React!BP92+Params!$B$7*Adds!BP99</f>
        <v/>
      </c>
      <c r="BQ55" s="5">
        <f>Legacy!BQ31+Paid!BQ29+React!BQ92+Params!$B$7*Adds!BQ99</f>
        <v/>
      </c>
      <c r="BR55" s="5">
        <f>Legacy!BR31+Paid!BR29+React!BR92+Params!$B$7*Adds!BR99</f>
        <v/>
      </c>
      <c r="BS55" s="5">
        <f>Legacy!BS31+Paid!BS29+React!BS92+Params!$B$7*Adds!BS99</f>
        <v/>
      </c>
      <c r="BT55" s="5">
        <f>Legacy!BT31+Paid!BT29+React!BT92+Params!$B$7*Adds!BT99</f>
        <v/>
      </c>
      <c r="BU55" s="5">
        <f>Legacy!BU31+Paid!BU29+React!BU92+Params!$B$7*Adds!BU99</f>
        <v/>
      </c>
      <c r="BV55" s="5">
        <f>Legacy!BV31+Paid!BV29+React!BV92+Params!$B$7*Adds!BV99</f>
        <v/>
      </c>
    </row>
    <row r="56">
      <c r="A56" t="inlineStr">
        <is>
          <t>closing</t>
        </is>
      </c>
      <c r="B56" t="inlineStr">
        <is>
          <t>EUROPE|BASIC_M</t>
        </is>
      </c>
      <c r="C56" s="5">
        <f>C57+Params!$B$7*Adds!C102</f>
        <v/>
      </c>
      <c r="D56" s="5">
        <f>D57+Params!$B$7*Adds!D102</f>
        <v/>
      </c>
      <c r="E56" s="5">
        <f>E57+Params!$B$7*Adds!E102</f>
        <v/>
      </c>
      <c r="F56" s="5">
        <f>F57+Params!$B$7*Adds!F102</f>
        <v/>
      </c>
      <c r="G56" s="5">
        <f>G57+Params!$B$7*Adds!G102</f>
        <v/>
      </c>
      <c r="H56" s="5">
        <f>H57+Params!$B$7*Adds!H102</f>
        <v/>
      </c>
      <c r="I56" s="5">
        <f>I57+Params!$B$7*Adds!I102</f>
        <v/>
      </c>
      <c r="J56" s="5">
        <f>J57+Params!$B$7*Adds!J102</f>
        <v/>
      </c>
      <c r="K56" s="5">
        <f>K57+Params!$B$7*Adds!K102</f>
        <v/>
      </c>
      <c r="L56" s="5">
        <f>L57+Params!$B$7*Adds!L102</f>
        <v/>
      </c>
      <c r="M56" s="5">
        <f>M57+Params!$B$7*Adds!M102</f>
        <v/>
      </c>
      <c r="N56" s="5">
        <f>N57+Params!$B$7*Adds!N102</f>
        <v/>
      </c>
      <c r="O56" s="5">
        <f>O57+Params!$B$7*Adds!O102</f>
        <v/>
      </c>
      <c r="P56" s="5">
        <f>P57+Params!$B$7*Adds!P102</f>
        <v/>
      </c>
      <c r="Q56" s="5">
        <f>Q57+Params!$B$7*Adds!Q102</f>
        <v/>
      </c>
      <c r="R56" s="5">
        <f>R57+Params!$B$7*Adds!R102</f>
        <v/>
      </c>
      <c r="S56" s="5">
        <f>S57+Params!$B$7*Adds!S102</f>
        <v/>
      </c>
      <c r="T56" s="5">
        <f>T57+Params!$B$7*Adds!T102</f>
        <v/>
      </c>
      <c r="U56" s="5">
        <f>U57+Params!$B$7*Adds!U102</f>
        <v/>
      </c>
      <c r="V56" s="5">
        <f>V57+Params!$B$7*Adds!V102</f>
        <v/>
      </c>
      <c r="W56" s="5">
        <f>W57+Params!$B$7*Adds!W102</f>
        <v/>
      </c>
      <c r="X56" s="5">
        <f>X57+Params!$B$7*Adds!X102</f>
        <v/>
      </c>
      <c r="Y56" s="5">
        <f>Y57+Params!$B$7*Adds!Y102</f>
        <v/>
      </c>
      <c r="Z56" s="5">
        <f>Z57+Params!$B$7*Adds!Z102</f>
        <v/>
      </c>
      <c r="AA56" s="5">
        <f>AA57+Params!$B$7*Adds!AA102</f>
        <v/>
      </c>
      <c r="AB56" s="5">
        <f>AB57+Params!$B$7*Adds!AB102</f>
        <v/>
      </c>
      <c r="AC56" s="5">
        <f>AC57+Params!$B$7*Adds!AC102</f>
        <v/>
      </c>
      <c r="AD56" s="5">
        <f>AD57+Params!$B$7*Adds!AD102</f>
        <v/>
      </c>
      <c r="AE56" s="5">
        <f>AE57+Params!$B$7*Adds!AE102</f>
        <v/>
      </c>
      <c r="AF56" s="5">
        <f>AF57+Params!$B$7*Adds!AF102</f>
        <v/>
      </c>
      <c r="AG56" s="5">
        <f>AG57+Params!$B$7*Adds!AG102</f>
        <v/>
      </c>
      <c r="AH56" s="5">
        <f>AH57+Params!$B$7*Adds!AH102</f>
        <v/>
      </c>
      <c r="AI56" s="5">
        <f>AI57+Params!$B$7*Adds!AI102</f>
        <v/>
      </c>
      <c r="AJ56" s="5">
        <f>AJ57+Params!$B$7*Adds!AJ102</f>
        <v/>
      </c>
      <c r="AK56" s="5">
        <f>AK57+Params!$B$7*Adds!AK102</f>
        <v/>
      </c>
      <c r="AL56" s="5">
        <f>AL57+Params!$B$7*Adds!AL102</f>
        <v/>
      </c>
      <c r="AM56" s="5">
        <f>AM57+Params!$B$7*Adds!AM102</f>
        <v/>
      </c>
      <c r="AN56" s="5">
        <f>AN57+Params!$B$7*Adds!AN102</f>
        <v/>
      </c>
      <c r="AO56" s="5">
        <f>AO57+Params!$B$7*Adds!AO102</f>
        <v/>
      </c>
      <c r="AP56" s="5">
        <f>AP57+Params!$B$7*Adds!AP102</f>
        <v/>
      </c>
      <c r="AQ56" s="5">
        <f>AQ57+Params!$B$7*Adds!AQ102</f>
        <v/>
      </c>
      <c r="AR56" s="5">
        <f>AR57+Params!$B$7*Adds!AR102</f>
        <v/>
      </c>
      <c r="AS56" s="5">
        <f>AS57+Params!$B$7*Adds!AS102</f>
        <v/>
      </c>
      <c r="AT56" s="5">
        <f>AT57+Params!$B$7*Adds!AT102</f>
        <v/>
      </c>
      <c r="AU56" s="5">
        <f>AU57+Params!$B$7*Adds!AU102</f>
        <v/>
      </c>
      <c r="AV56" s="5">
        <f>AV57+Params!$B$7*Adds!AV102</f>
        <v/>
      </c>
      <c r="AW56" s="5">
        <f>AW57+Params!$B$7*Adds!AW102</f>
        <v/>
      </c>
      <c r="AX56" s="5">
        <f>AX57+Params!$B$7*Adds!AX102</f>
        <v/>
      </c>
      <c r="AY56" s="5">
        <f>AY57+Params!$B$7*Adds!AY102</f>
        <v/>
      </c>
      <c r="AZ56" s="5">
        <f>AZ57+Params!$B$7*Adds!AZ102</f>
        <v/>
      </c>
      <c r="BA56" s="5">
        <f>BA57+Params!$B$7*Adds!BA102</f>
        <v/>
      </c>
      <c r="BB56" s="5">
        <f>BB57+Params!$B$7*Adds!BB102</f>
        <v/>
      </c>
      <c r="BC56" s="5">
        <f>BC57+Params!$B$7*Adds!BC102</f>
        <v/>
      </c>
      <c r="BD56" s="5">
        <f>BD57+Params!$B$7*Adds!BD102</f>
        <v/>
      </c>
      <c r="BE56" s="5">
        <f>BE57+Params!$B$7*Adds!BE102</f>
        <v/>
      </c>
      <c r="BF56" s="5">
        <f>BF57+Params!$B$7*Adds!BF102</f>
        <v/>
      </c>
      <c r="BG56" s="5">
        <f>BG57+Params!$B$7*Adds!BG102</f>
        <v/>
      </c>
      <c r="BH56" s="5">
        <f>BH57+Params!$B$7*Adds!BH102</f>
        <v/>
      </c>
      <c r="BI56" s="5">
        <f>BI57+Params!$B$7*Adds!BI102</f>
        <v/>
      </c>
      <c r="BJ56" s="5">
        <f>BJ57+Params!$B$7*Adds!BJ102</f>
        <v/>
      </c>
      <c r="BK56" s="5">
        <f>BK57+Params!$B$7*Adds!BK102</f>
        <v/>
      </c>
      <c r="BL56" s="5">
        <f>BL57+Params!$B$7*Adds!BL102</f>
        <v/>
      </c>
      <c r="BM56" s="5">
        <f>BM57+Params!$B$7*Adds!BM102</f>
        <v/>
      </c>
      <c r="BN56" s="5">
        <f>BN57+Params!$B$7*Adds!BN102</f>
        <v/>
      </c>
      <c r="BO56" s="5">
        <f>BO57+Params!$B$7*Adds!BO102</f>
        <v/>
      </c>
      <c r="BP56" s="5">
        <f>BP57+Params!$B$7*Adds!BP102</f>
        <v/>
      </c>
      <c r="BQ56" s="5">
        <f>BQ57+Params!$B$7*Adds!BQ102</f>
        <v/>
      </c>
      <c r="BR56" s="5">
        <f>BR57+Params!$B$7*Adds!BR102</f>
        <v/>
      </c>
      <c r="BS56" s="5">
        <f>BS57+Params!$B$7*Adds!BS102</f>
        <v/>
      </c>
      <c r="BT56" s="5">
        <f>BT57+Params!$B$7*Adds!BT102</f>
        <v/>
      </c>
      <c r="BU56" s="5">
        <f>BU57+Params!$B$7*Adds!BU102</f>
        <v/>
      </c>
      <c r="BV56" s="5">
        <f>BV57+Params!$B$7*Adds!BV102</f>
        <v/>
      </c>
    </row>
    <row r="57">
      <c r="A57" t="inlineStr">
        <is>
          <t>paying</t>
        </is>
      </c>
      <c r="B57" t="inlineStr">
        <is>
          <t>EUROPE|BASIC_M</t>
        </is>
      </c>
      <c r="C57" s="5">
        <f>Legacy!C30+Paid!C27+React!C90</f>
        <v/>
      </c>
      <c r="D57" s="5">
        <f>Legacy!D30+Paid!D27+React!D90</f>
        <v/>
      </c>
      <c r="E57" s="5">
        <f>Legacy!E30+Paid!E27+React!E90</f>
        <v/>
      </c>
      <c r="F57" s="5">
        <f>Legacy!F30+Paid!F27+React!F90</f>
        <v/>
      </c>
      <c r="G57" s="5">
        <f>Legacy!G30+Paid!G27+React!G90</f>
        <v/>
      </c>
      <c r="H57" s="5">
        <f>Legacy!H30+Paid!H27+React!H90</f>
        <v/>
      </c>
      <c r="I57" s="5">
        <f>Legacy!I30+Paid!I27+React!I90</f>
        <v/>
      </c>
      <c r="J57" s="5">
        <f>Legacy!J30+Paid!J27+React!J90</f>
        <v/>
      </c>
      <c r="K57" s="5">
        <f>Legacy!K30+Paid!K27+React!K90</f>
        <v/>
      </c>
      <c r="L57" s="5">
        <f>Legacy!L30+Paid!L27+React!L90</f>
        <v/>
      </c>
      <c r="M57" s="5">
        <f>Legacy!M30+Paid!M27+React!M90</f>
        <v/>
      </c>
      <c r="N57" s="5">
        <f>Legacy!N30+Paid!N27+React!N90</f>
        <v/>
      </c>
      <c r="O57" s="5">
        <f>Legacy!O30+Paid!O27+React!O90</f>
        <v/>
      </c>
      <c r="P57" s="5">
        <f>Legacy!P30+Paid!P27+React!P90</f>
        <v/>
      </c>
      <c r="Q57" s="5">
        <f>Legacy!Q30+Paid!Q27+React!Q90</f>
        <v/>
      </c>
      <c r="R57" s="5">
        <f>Legacy!R30+Paid!R27+React!R90</f>
        <v/>
      </c>
      <c r="S57" s="5">
        <f>Legacy!S30+Paid!S27+React!S90</f>
        <v/>
      </c>
      <c r="T57" s="5">
        <f>Legacy!T30+Paid!T27+React!T90</f>
        <v/>
      </c>
      <c r="U57" s="5">
        <f>Legacy!U30+Paid!U27+React!U90</f>
        <v/>
      </c>
      <c r="V57" s="5">
        <f>Legacy!V30+Paid!V27+React!V90</f>
        <v/>
      </c>
      <c r="W57" s="5">
        <f>Legacy!W30+Paid!W27+React!W90</f>
        <v/>
      </c>
      <c r="X57" s="5">
        <f>Legacy!X30+Paid!X27+React!X90</f>
        <v/>
      </c>
      <c r="Y57" s="5">
        <f>Legacy!Y30+Paid!Y27+React!Y90</f>
        <v/>
      </c>
      <c r="Z57" s="5">
        <f>Legacy!Z30+Paid!Z27+React!Z90</f>
        <v/>
      </c>
      <c r="AA57" s="5">
        <f>Legacy!AA30+Paid!AA27+React!AA90</f>
        <v/>
      </c>
      <c r="AB57" s="5">
        <f>Legacy!AB30+Paid!AB27+React!AB90</f>
        <v/>
      </c>
      <c r="AC57" s="5">
        <f>Legacy!AC30+Paid!AC27+React!AC90</f>
        <v/>
      </c>
      <c r="AD57" s="5">
        <f>Legacy!AD30+Paid!AD27+React!AD90</f>
        <v/>
      </c>
      <c r="AE57" s="5">
        <f>Legacy!AE30+Paid!AE27+React!AE90</f>
        <v/>
      </c>
      <c r="AF57" s="5">
        <f>Legacy!AF30+Paid!AF27+React!AF90</f>
        <v/>
      </c>
      <c r="AG57" s="5">
        <f>Legacy!AG30+Paid!AG27+React!AG90</f>
        <v/>
      </c>
      <c r="AH57" s="5">
        <f>Legacy!AH30+Paid!AH27+React!AH90</f>
        <v/>
      </c>
      <c r="AI57" s="5">
        <f>Legacy!AI30+Paid!AI27+React!AI90</f>
        <v/>
      </c>
      <c r="AJ57" s="5">
        <f>Legacy!AJ30+Paid!AJ27+React!AJ90</f>
        <v/>
      </c>
      <c r="AK57" s="5">
        <f>Legacy!AK30+Paid!AK27+React!AK90</f>
        <v/>
      </c>
      <c r="AL57" s="5">
        <f>Legacy!AL30+Paid!AL27+React!AL90</f>
        <v/>
      </c>
      <c r="AM57" s="5">
        <f>Legacy!AM30+Paid!AM27+React!AM90</f>
        <v/>
      </c>
      <c r="AN57" s="5">
        <f>Legacy!AN30+Paid!AN27+React!AN90</f>
        <v/>
      </c>
      <c r="AO57" s="5">
        <f>Legacy!AO30+Paid!AO27+React!AO90</f>
        <v/>
      </c>
      <c r="AP57" s="5">
        <f>Legacy!AP30+Paid!AP27+React!AP90</f>
        <v/>
      </c>
      <c r="AQ57" s="5">
        <f>Legacy!AQ30+Paid!AQ27+React!AQ90</f>
        <v/>
      </c>
      <c r="AR57" s="5">
        <f>Legacy!AR30+Paid!AR27+React!AR90</f>
        <v/>
      </c>
      <c r="AS57" s="5">
        <f>Legacy!AS30+Paid!AS27+React!AS90</f>
        <v/>
      </c>
      <c r="AT57" s="5">
        <f>Legacy!AT30+Paid!AT27+React!AT90</f>
        <v/>
      </c>
      <c r="AU57" s="5">
        <f>Legacy!AU30+Paid!AU27+React!AU90</f>
        <v/>
      </c>
      <c r="AV57" s="5">
        <f>Legacy!AV30+Paid!AV27+React!AV90</f>
        <v/>
      </c>
      <c r="AW57" s="5">
        <f>Legacy!AW30+Paid!AW27+React!AW90</f>
        <v/>
      </c>
      <c r="AX57" s="5">
        <f>Legacy!AX30+Paid!AX27+React!AX90</f>
        <v/>
      </c>
      <c r="AY57" s="5">
        <f>Legacy!AY30+Paid!AY27+React!AY90</f>
        <v/>
      </c>
      <c r="AZ57" s="5">
        <f>Legacy!AZ30+Paid!AZ27+React!AZ90</f>
        <v/>
      </c>
      <c r="BA57" s="5">
        <f>Legacy!BA30+Paid!BA27+React!BA90</f>
        <v/>
      </c>
      <c r="BB57" s="5">
        <f>Legacy!BB30+Paid!BB27+React!BB90</f>
        <v/>
      </c>
      <c r="BC57" s="5">
        <f>Legacy!BC30+Paid!BC27+React!BC90</f>
        <v/>
      </c>
      <c r="BD57" s="5">
        <f>Legacy!BD30+Paid!BD27+React!BD90</f>
        <v/>
      </c>
      <c r="BE57" s="5">
        <f>Legacy!BE30+Paid!BE27+React!BE90</f>
        <v/>
      </c>
      <c r="BF57" s="5">
        <f>Legacy!BF30+Paid!BF27+React!BF90</f>
        <v/>
      </c>
      <c r="BG57" s="5">
        <f>Legacy!BG30+Paid!BG27+React!BG90</f>
        <v/>
      </c>
      <c r="BH57" s="5">
        <f>Legacy!BH30+Paid!BH27+React!BH90</f>
        <v/>
      </c>
      <c r="BI57" s="5">
        <f>Legacy!BI30+Paid!BI27+React!BI90</f>
        <v/>
      </c>
      <c r="BJ57" s="5">
        <f>Legacy!BJ30+Paid!BJ27+React!BJ90</f>
        <v/>
      </c>
      <c r="BK57" s="5">
        <f>Legacy!BK30+Paid!BK27+React!BK90</f>
        <v/>
      </c>
      <c r="BL57" s="5">
        <f>Legacy!BL30+Paid!BL27+React!BL90</f>
        <v/>
      </c>
      <c r="BM57" s="5">
        <f>Legacy!BM30+Paid!BM27+React!BM90</f>
        <v/>
      </c>
      <c r="BN57" s="5">
        <f>Legacy!BN30+Paid!BN27+React!BN90</f>
        <v/>
      </c>
      <c r="BO57" s="5">
        <f>Legacy!BO30+Paid!BO27+React!BO90</f>
        <v/>
      </c>
      <c r="BP57" s="5">
        <f>Legacy!BP30+Paid!BP27+React!BP90</f>
        <v/>
      </c>
      <c r="BQ57" s="5">
        <f>Legacy!BQ30+Paid!BQ27+React!BQ90</f>
        <v/>
      </c>
      <c r="BR57" s="5">
        <f>Legacy!BR30+Paid!BR27+React!BR90</f>
        <v/>
      </c>
      <c r="BS57" s="5">
        <f>Legacy!BS30+Paid!BS27+React!BS90</f>
        <v/>
      </c>
      <c r="BT57" s="5">
        <f>Legacy!BT30+Paid!BT27+React!BT90</f>
        <v/>
      </c>
      <c r="BU57" s="5">
        <f>Legacy!BU30+Paid!BU27+React!BU90</f>
        <v/>
      </c>
      <c r="BV57" s="5">
        <f>Legacy!BV30+Paid!BV27+React!BV90</f>
        <v/>
      </c>
    </row>
    <row r="59">
      <c r="A59" t="inlineStr">
        <is>
          <t>opening</t>
        </is>
      </c>
      <c r="B59" t="inlineStr">
        <is>
          <t>EUROPE|BASIC_A</t>
        </is>
      </c>
      <c r="C59" s="5">
        <f>Legacy!$C$33</f>
        <v/>
      </c>
      <c r="D59" s="5">
        <f>C63</f>
        <v/>
      </c>
      <c r="E59" s="5">
        <f>D63</f>
        <v/>
      </c>
      <c r="F59" s="5">
        <f>E63</f>
        <v/>
      </c>
      <c r="G59" s="5">
        <f>F63</f>
        <v/>
      </c>
      <c r="H59" s="5">
        <f>G63</f>
        <v/>
      </c>
      <c r="I59" s="5">
        <f>H63</f>
        <v/>
      </c>
      <c r="J59" s="5">
        <f>I63</f>
        <v/>
      </c>
      <c r="K59" s="5">
        <f>J63</f>
        <v/>
      </c>
      <c r="L59" s="5">
        <f>K63</f>
        <v/>
      </c>
      <c r="M59" s="5">
        <f>L63</f>
        <v/>
      </c>
      <c r="N59" s="5">
        <f>M63</f>
        <v/>
      </c>
      <c r="O59" s="5">
        <f>N63</f>
        <v/>
      </c>
      <c r="P59" s="5">
        <f>O63</f>
        <v/>
      </c>
      <c r="Q59" s="5">
        <f>P63</f>
        <v/>
      </c>
      <c r="R59" s="5">
        <f>Q63</f>
        <v/>
      </c>
      <c r="S59" s="5">
        <f>R63</f>
        <v/>
      </c>
      <c r="T59" s="5">
        <f>S63</f>
        <v/>
      </c>
      <c r="U59" s="5">
        <f>T63</f>
        <v/>
      </c>
      <c r="V59" s="5">
        <f>U63</f>
        <v/>
      </c>
      <c r="W59" s="5">
        <f>V63</f>
        <v/>
      </c>
      <c r="X59" s="5">
        <f>W63</f>
        <v/>
      </c>
      <c r="Y59" s="5">
        <f>X63</f>
        <v/>
      </c>
      <c r="Z59" s="5">
        <f>Y63</f>
        <v/>
      </c>
      <c r="AA59" s="5">
        <f>Z63</f>
        <v/>
      </c>
      <c r="AB59" s="5">
        <f>AA63</f>
        <v/>
      </c>
      <c r="AC59" s="5">
        <f>AB63</f>
        <v/>
      </c>
      <c r="AD59" s="5">
        <f>AC63</f>
        <v/>
      </c>
      <c r="AE59" s="5">
        <f>AD63</f>
        <v/>
      </c>
      <c r="AF59" s="5">
        <f>AE63</f>
        <v/>
      </c>
      <c r="AG59" s="5">
        <f>AF63</f>
        <v/>
      </c>
      <c r="AH59" s="5">
        <f>AG63</f>
        <v/>
      </c>
      <c r="AI59" s="5">
        <f>AH63</f>
        <v/>
      </c>
      <c r="AJ59" s="5">
        <f>AI63</f>
        <v/>
      </c>
      <c r="AK59" s="5">
        <f>AJ63</f>
        <v/>
      </c>
      <c r="AL59" s="5">
        <f>AK63</f>
        <v/>
      </c>
      <c r="AM59" s="5">
        <f>AL63</f>
        <v/>
      </c>
      <c r="AN59" s="5">
        <f>AM63</f>
        <v/>
      </c>
      <c r="AO59" s="5">
        <f>AN63</f>
        <v/>
      </c>
      <c r="AP59" s="5">
        <f>AO63</f>
        <v/>
      </c>
      <c r="AQ59" s="5">
        <f>AP63</f>
        <v/>
      </c>
      <c r="AR59" s="5">
        <f>AQ63</f>
        <v/>
      </c>
      <c r="AS59" s="5">
        <f>AR63</f>
        <v/>
      </c>
      <c r="AT59" s="5">
        <f>AS63</f>
        <v/>
      </c>
      <c r="AU59" s="5">
        <f>AT63</f>
        <v/>
      </c>
      <c r="AV59" s="5">
        <f>AU63</f>
        <v/>
      </c>
      <c r="AW59" s="5">
        <f>AV63</f>
        <v/>
      </c>
      <c r="AX59" s="5">
        <f>AW63</f>
        <v/>
      </c>
      <c r="AY59" s="5">
        <f>AX63</f>
        <v/>
      </c>
      <c r="AZ59" s="5">
        <f>AY63</f>
        <v/>
      </c>
      <c r="BA59" s="5">
        <f>AZ63</f>
        <v/>
      </c>
      <c r="BB59" s="5">
        <f>BA63</f>
        <v/>
      </c>
      <c r="BC59" s="5">
        <f>BB63</f>
        <v/>
      </c>
      <c r="BD59" s="5">
        <f>BC63</f>
        <v/>
      </c>
      <c r="BE59" s="5">
        <f>BD63</f>
        <v/>
      </c>
      <c r="BF59" s="5">
        <f>BE63</f>
        <v/>
      </c>
      <c r="BG59" s="5">
        <f>BF63</f>
        <v/>
      </c>
      <c r="BH59" s="5">
        <f>BG63</f>
        <v/>
      </c>
      <c r="BI59" s="5">
        <f>BH63</f>
        <v/>
      </c>
      <c r="BJ59" s="5">
        <f>BI63</f>
        <v/>
      </c>
      <c r="BK59" s="5">
        <f>BJ63</f>
        <v/>
      </c>
      <c r="BL59" s="5">
        <f>BK63</f>
        <v/>
      </c>
      <c r="BM59" s="5">
        <f>BL63</f>
        <v/>
      </c>
      <c r="BN59" s="5">
        <f>BM63</f>
        <v/>
      </c>
      <c r="BO59" s="5">
        <f>BN63</f>
        <v/>
      </c>
      <c r="BP59" s="5">
        <f>BO63</f>
        <v/>
      </c>
      <c r="BQ59" s="5">
        <f>BP63</f>
        <v/>
      </c>
      <c r="BR59" s="5">
        <f>BQ63</f>
        <v/>
      </c>
      <c r="BS59" s="5">
        <f>BR63</f>
        <v/>
      </c>
      <c r="BT59" s="5">
        <f>BS63</f>
        <v/>
      </c>
      <c r="BU59" s="5">
        <f>BT63</f>
        <v/>
      </c>
      <c r="BV59" s="5">
        <f>BU63</f>
        <v/>
      </c>
    </row>
    <row r="60">
      <c r="A60" t="inlineStr">
        <is>
          <t>new</t>
        </is>
      </c>
      <c r="B60" t="inlineStr">
        <is>
          <t>EUROPE|BASIC_A</t>
        </is>
      </c>
      <c r="C60" s="5">
        <f>Adds!C110+IF(Params!$B$7=1,Adds!C109,Adds!C113)</f>
        <v/>
      </c>
      <c r="D60" s="5">
        <f>Adds!D110+IF(Params!$B$7=1,Adds!D109,Adds!D113)</f>
        <v/>
      </c>
      <c r="E60" s="5">
        <f>Adds!E110+IF(Params!$B$7=1,Adds!E109,Adds!E113)</f>
        <v/>
      </c>
      <c r="F60" s="5">
        <f>Adds!F110+IF(Params!$B$7=1,Adds!F109,Adds!F113)</f>
        <v/>
      </c>
      <c r="G60" s="5">
        <f>Adds!G110+IF(Params!$B$7=1,Adds!G109,Adds!G113)</f>
        <v/>
      </c>
      <c r="H60" s="5">
        <f>Adds!H110+IF(Params!$B$7=1,Adds!H109,Adds!H113)</f>
        <v/>
      </c>
      <c r="I60" s="5">
        <f>Adds!I110+IF(Params!$B$7=1,Adds!I109,Adds!I113)</f>
        <v/>
      </c>
      <c r="J60" s="5">
        <f>Adds!J110+IF(Params!$B$7=1,Adds!J109,Adds!J113)</f>
        <v/>
      </c>
      <c r="K60" s="5">
        <f>Adds!K110+IF(Params!$B$7=1,Adds!K109,Adds!K113)</f>
        <v/>
      </c>
      <c r="L60" s="5">
        <f>Adds!L110+IF(Params!$B$7=1,Adds!L109,Adds!L113)</f>
        <v/>
      </c>
      <c r="M60" s="5">
        <f>Adds!M110+IF(Params!$B$7=1,Adds!M109,Adds!M113)</f>
        <v/>
      </c>
      <c r="N60" s="5">
        <f>Adds!N110+IF(Params!$B$7=1,Adds!N109,Adds!N113)</f>
        <v/>
      </c>
      <c r="O60" s="5">
        <f>Adds!O110+IF(Params!$B$7=1,Adds!O109,Adds!O113)</f>
        <v/>
      </c>
      <c r="P60" s="5">
        <f>Adds!P110+IF(Params!$B$7=1,Adds!P109,Adds!P113)</f>
        <v/>
      </c>
      <c r="Q60" s="5">
        <f>Adds!Q110+IF(Params!$B$7=1,Adds!Q109,Adds!Q113)</f>
        <v/>
      </c>
      <c r="R60" s="5">
        <f>Adds!R110+IF(Params!$B$7=1,Adds!R109,Adds!R113)</f>
        <v/>
      </c>
      <c r="S60" s="5">
        <f>Adds!S110+IF(Params!$B$7=1,Adds!S109,Adds!S113)</f>
        <v/>
      </c>
      <c r="T60" s="5">
        <f>Adds!T110+IF(Params!$B$7=1,Adds!T109,Adds!T113)</f>
        <v/>
      </c>
      <c r="U60" s="5">
        <f>Adds!U110+IF(Params!$B$7=1,Adds!U109,Adds!U113)</f>
        <v/>
      </c>
      <c r="V60" s="5">
        <f>Adds!V110+IF(Params!$B$7=1,Adds!V109,Adds!V113)</f>
        <v/>
      </c>
      <c r="W60" s="5">
        <f>Adds!W110+IF(Params!$B$7=1,Adds!W109,Adds!W113)</f>
        <v/>
      </c>
      <c r="X60" s="5">
        <f>Adds!X110+IF(Params!$B$7=1,Adds!X109,Adds!X113)</f>
        <v/>
      </c>
      <c r="Y60" s="5">
        <f>Adds!Y110+IF(Params!$B$7=1,Adds!Y109,Adds!Y113)</f>
        <v/>
      </c>
      <c r="Z60" s="5">
        <f>Adds!Z110+IF(Params!$B$7=1,Adds!Z109,Adds!Z113)</f>
        <v/>
      </c>
      <c r="AA60" s="5">
        <f>Adds!AA110+IF(Params!$B$7=1,Adds!AA109,Adds!AA113)</f>
        <v/>
      </c>
      <c r="AB60" s="5">
        <f>Adds!AB110+IF(Params!$B$7=1,Adds!AB109,Adds!AB113)</f>
        <v/>
      </c>
      <c r="AC60" s="5">
        <f>Adds!AC110+IF(Params!$B$7=1,Adds!AC109,Adds!AC113)</f>
        <v/>
      </c>
      <c r="AD60" s="5">
        <f>Adds!AD110+IF(Params!$B$7=1,Adds!AD109,Adds!AD113)</f>
        <v/>
      </c>
      <c r="AE60" s="5">
        <f>Adds!AE110+IF(Params!$B$7=1,Adds!AE109,Adds!AE113)</f>
        <v/>
      </c>
      <c r="AF60" s="5">
        <f>Adds!AF110+IF(Params!$B$7=1,Adds!AF109,Adds!AF113)</f>
        <v/>
      </c>
      <c r="AG60" s="5">
        <f>Adds!AG110+IF(Params!$B$7=1,Adds!AG109,Adds!AG113)</f>
        <v/>
      </c>
      <c r="AH60" s="5">
        <f>Adds!AH110+IF(Params!$B$7=1,Adds!AH109,Adds!AH113)</f>
        <v/>
      </c>
      <c r="AI60" s="5">
        <f>Adds!AI110+IF(Params!$B$7=1,Adds!AI109,Adds!AI113)</f>
        <v/>
      </c>
      <c r="AJ60" s="5">
        <f>Adds!AJ110+IF(Params!$B$7=1,Adds!AJ109,Adds!AJ113)</f>
        <v/>
      </c>
      <c r="AK60" s="5">
        <f>Adds!AK110+IF(Params!$B$7=1,Adds!AK109,Adds!AK113)</f>
        <v/>
      </c>
      <c r="AL60" s="5">
        <f>Adds!AL110+IF(Params!$B$7=1,Adds!AL109,Adds!AL113)</f>
        <v/>
      </c>
      <c r="AM60" s="5">
        <f>Adds!AM110+IF(Params!$B$7=1,Adds!AM109,Adds!AM113)</f>
        <v/>
      </c>
      <c r="AN60" s="5">
        <f>Adds!AN110+IF(Params!$B$7=1,Adds!AN109,Adds!AN113)</f>
        <v/>
      </c>
      <c r="AO60" s="5">
        <f>Adds!AO110+IF(Params!$B$7=1,Adds!AO109,Adds!AO113)</f>
        <v/>
      </c>
      <c r="AP60" s="5">
        <f>Adds!AP110+IF(Params!$B$7=1,Adds!AP109,Adds!AP113)</f>
        <v/>
      </c>
      <c r="AQ60" s="5">
        <f>Adds!AQ110+IF(Params!$B$7=1,Adds!AQ109,Adds!AQ113)</f>
        <v/>
      </c>
      <c r="AR60" s="5">
        <f>Adds!AR110+IF(Params!$B$7=1,Adds!AR109,Adds!AR113)</f>
        <v/>
      </c>
      <c r="AS60" s="5">
        <f>Adds!AS110+IF(Params!$B$7=1,Adds!AS109,Adds!AS113)</f>
        <v/>
      </c>
      <c r="AT60" s="5">
        <f>Adds!AT110+IF(Params!$B$7=1,Adds!AT109,Adds!AT113)</f>
        <v/>
      </c>
      <c r="AU60" s="5">
        <f>Adds!AU110+IF(Params!$B$7=1,Adds!AU109,Adds!AU113)</f>
        <v/>
      </c>
      <c r="AV60" s="5">
        <f>Adds!AV110+IF(Params!$B$7=1,Adds!AV109,Adds!AV113)</f>
        <v/>
      </c>
      <c r="AW60" s="5">
        <f>Adds!AW110+IF(Params!$B$7=1,Adds!AW109,Adds!AW113)</f>
        <v/>
      </c>
      <c r="AX60" s="5">
        <f>Adds!AX110+IF(Params!$B$7=1,Adds!AX109,Adds!AX113)</f>
        <v/>
      </c>
      <c r="AY60" s="5">
        <f>Adds!AY110+IF(Params!$B$7=1,Adds!AY109,Adds!AY113)</f>
        <v/>
      </c>
      <c r="AZ60" s="5">
        <f>Adds!AZ110+IF(Params!$B$7=1,Adds!AZ109,Adds!AZ113)</f>
        <v/>
      </c>
      <c r="BA60" s="5">
        <f>Adds!BA110+IF(Params!$B$7=1,Adds!BA109,Adds!BA113)</f>
        <v/>
      </c>
      <c r="BB60" s="5">
        <f>Adds!BB110+IF(Params!$B$7=1,Adds!BB109,Adds!BB113)</f>
        <v/>
      </c>
      <c r="BC60" s="5">
        <f>Adds!BC110+IF(Params!$B$7=1,Adds!BC109,Adds!BC113)</f>
        <v/>
      </c>
      <c r="BD60" s="5">
        <f>Adds!BD110+IF(Params!$B$7=1,Adds!BD109,Adds!BD113)</f>
        <v/>
      </c>
      <c r="BE60" s="5">
        <f>Adds!BE110+IF(Params!$B$7=1,Adds!BE109,Adds!BE113)</f>
        <v/>
      </c>
      <c r="BF60" s="5">
        <f>Adds!BF110+IF(Params!$B$7=1,Adds!BF109,Adds!BF113)</f>
        <v/>
      </c>
      <c r="BG60" s="5">
        <f>Adds!BG110+IF(Params!$B$7=1,Adds!BG109,Adds!BG113)</f>
        <v/>
      </c>
      <c r="BH60" s="5">
        <f>Adds!BH110+IF(Params!$B$7=1,Adds!BH109,Adds!BH113)</f>
        <v/>
      </c>
      <c r="BI60" s="5">
        <f>Adds!BI110+IF(Params!$B$7=1,Adds!BI109,Adds!BI113)</f>
        <v/>
      </c>
      <c r="BJ60" s="5">
        <f>Adds!BJ110+IF(Params!$B$7=1,Adds!BJ109,Adds!BJ113)</f>
        <v/>
      </c>
      <c r="BK60" s="5">
        <f>Adds!BK110+IF(Params!$B$7=1,Adds!BK109,Adds!BK113)</f>
        <v/>
      </c>
      <c r="BL60" s="5">
        <f>Adds!BL110+IF(Params!$B$7=1,Adds!BL109,Adds!BL113)</f>
        <v/>
      </c>
      <c r="BM60" s="5">
        <f>Adds!BM110+IF(Params!$B$7=1,Adds!BM109,Adds!BM113)</f>
        <v/>
      </c>
      <c r="BN60" s="5">
        <f>Adds!BN110+IF(Params!$B$7=1,Adds!BN109,Adds!BN113)</f>
        <v/>
      </c>
      <c r="BO60" s="5">
        <f>Adds!BO110+IF(Params!$B$7=1,Adds!BO109,Adds!BO113)</f>
        <v/>
      </c>
      <c r="BP60" s="5">
        <f>Adds!BP110+IF(Params!$B$7=1,Adds!BP109,Adds!BP113)</f>
        <v/>
      </c>
      <c r="BQ60" s="5">
        <f>Adds!BQ110+IF(Params!$B$7=1,Adds!BQ109,Adds!BQ113)</f>
        <v/>
      </c>
      <c r="BR60" s="5">
        <f>Adds!BR110+IF(Params!$B$7=1,Adds!BR109,Adds!BR113)</f>
        <v/>
      </c>
      <c r="BS60" s="5">
        <f>Adds!BS110+IF(Params!$B$7=1,Adds!BS109,Adds!BS113)</f>
        <v/>
      </c>
      <c r="BT60" s="5">
        <f>Adds!BT110+IF(Params!$B$7=1,Adds!BT109,Adds!BT113)</f>
        <v/>
      </c>
      <c r="BU60" s="5">
        <f>Adds!BU110+IF(Params!$B$7=1,Adds!BU109,Adds!BU113)</f>
        <v/>
      </c>
      <c r="BV60" s="5">
        <f>Adds!BV110+IF(Params!$B$7=1,Adds!BV109,Adds!BV113)</f>
        <v/>
      </c>
    </row>
    <row r="61">
      <c r="A61" t="inlineStr">
        <is>
          <t>reactivated</t>
        </is>
      </c>
      <c r="B61" t="inlineStr">
        <is>
          <t>EUROPE|BASIC_A</t>
        </is>
      </c>
      <c r="C61" s="5">
        <f>React!C99</f>
        <v/>
      </c>
      <c r="D61" s="5">
        <f>React!D99</f>
        <v/>
      </c>
      <c r="E61" s="5">
        <f>React!E99</f>
        <v/>
      </c>
      <c r="F61" s="5">
        <f>React!F99</f>
        <v/>
      </c>
      <c r="G61" s="5">
        <f>React!G99</f>
        <v/>
      </c>
      <c r="H61" s="5">
        <f>React!H99</f>
        <v/>
      </c>
      <c r="I61" s="5">
        <f>React!I99</f>
        <v/>
      </c>
      <c r="J61" s="5">
        <f>React!J99</f>
        <v/>
      </c>
      <c r="K61" s="5">
        <f>React!K99</f>
        <v/>
      </c>
      <c r="L61" s="5">
        <f>React!L99</f>
        <v/>
      </c>
      <c r="M61" s="5">
        <f>React!M99</f>
        <v/>
      </c>
      <c r="N61" s="5">
        <f>React!N99</f>
        <v/>
      </c>
      <c r="O61" s="5">
        <f>React!O99</f>
        <v/>
      </c>
      <c r="P61" s="5">
        <f>React!P99</f>
        <v/>
      </c>
      <c r="Q61" s="5">
        <f>React!Q99</f>
        <v/>
      </c>
      <c r="R61" s="5">
        <f>React!R99</f>
        <v/>
      </c>
      <c r="S61" s="5">
        <f>React!S99</f>
        <v/>
      </c>
      <c r="T61" s="5">
        <f>React!T99</f>
        <v/>
      </c>
      <c r="U61" s="5">
        <f>React!U99</f>
        <v/>
      </c>
      <c r="V61" s="5">
        <f>React!V99</f>
        <v/>
      </c>
      <c r="W61" s="5">
        <f>React!W99</f>
        <v/>
      </c>
      <c r="X61" s="5">
        <f>React!X99</f>
        <v/>
      </c>
      <c r="Y61" s="5">
        <f>React!Y99</f>
        <v/>
      </c>
      <c r="Z61" s="5">
        <f>React!Z99</f>
        <v/>
      </c>
      <c r="AA61" s="5">
        <f>React!AA99</f>
        <v/>
      </c>
      <c r="AB61" s="5">
        <f>React!AB99</f>
        <v/>
      </c>
      <c r="AC61" s="5">
        <f>React!AC99</f>
        <v/>
      </c>
      <c r="AD61" s="5">
        <f>React!AD99</f>
        <v/>
      </c>
      <c r="AE61" s="5">
        <f>React!AE99</f>
        <v/>
      </c>
      <c r="AF61" s="5">
        <f>React!AF99</f>
        <v/>
      </c>
      <c r="AG61" s="5">
        <f>React!AG99</f>
        <v/>
      </c>
      <c r="AH61" s="5">
        <f>React!AH99</f>
        <v/>
      </c>
      <c r="AI61" s="5">
        <f>React!AI99</f>
        <v/>
      </c>
      <c r="AJ61" s="5">
        <f>React!AJ99</f>
        <v/>
      </c>
      <c r="AK61" s="5">
        <f>React!AK99</f>
        <v/>
      </c>
      <c r="AL61" s="5">
        <f>React!AL99</f>
        <v/>
      </c>
      <c r="AM61" s="5">
        <f>React!AM99</f>
        <v/>
      </c>
      <c r="AN61" s="5">
        <f>React!AN99</f>
        <v/>
      </c>
      <c r="AO61" s="5">
        <f>React!AO99</f>
        <v/>
      </c>
      <c r="AP61" s="5">
        <f>React!AP99</f>
        <v/>
      </c>
      <c r="AQ61" s="5">
        <f>React!AQ99</f>
        <v/>
      </c>
      <c r="AR61" s="5">
        <f>React!AR99</f>
        <v/>
      </c>
      <c r="AS61" s="5">
        <f>React!AS99</f>
        <v/>
      </c>
      <c r="AT61" s="5">
        <f>React!AT99</f>
        <v/>
      </c>
      <c r="AU61" s="5">
        <f>React!AU99</f>
        <v/>
      </c>
      <c r="AV61" s="5">
        <f>React!AV99</f>
        <v/>
      </c>
      <c r="AW61" s="5">
        <f>React!AW99</f>
        <v/>
      </c>
      <c r="AX61" s="5">
        <f>React!AX99</f>
        <v/>
      </c>
      <c r="AY61" s="5">
        <f>React!AY99</f>
        <v/>
      </c>
      <c r="AZ61" s="5">
        <f>React!AZ99</f>
        <v/>
      </c>
      <c r="BA61" s="5">
        <f>React!BA99</f>
        <v/>
      </c>
      <c r="BB61" s="5">
        <f>React!BB99</f>
        <v/>
      </c>
      <c r="BC61" s="5">
        <f>React!BC99</f>
        <v/>
      </c>
      <c r="BD61" s="5">
        <f>React!BD99</f>
        <v/>
      </c>
      <c r="BE61" s="5">
        <f>React!BE99</f>
        <v/>
      </c>
      <c r="BF61" s="5">
        <f>React!BF99</f>
        <v/>
      </c>
      <c r="BG61" s="5">
        <f>React!BG99</f>
        <v/>
      </c>
      <c r="BH61" s="5">
        <f>React!BH99</f>
        <v/>
      </c>
      <c r="BI61" s="5">
        <f>React!BI99</f>
        <v/>
      </c>
      <c r="BJ61" s="5">
        <f>React!BJ99</f>
        <v/>
      </c>
      <c r="BK61" s="5">
        <f>React!BK99</f>
        <v/>
      </c>
      <c r="BL61" s="5">
        <f>React!BL99</f>
        <v/>
      </c>
      <c r="BM61" s="5">
        <f>React!BM99</f>
        <v/>
      </c>
      <c r="BN61" s="5">
        <f>React!BN99</f>
        <v/>
      </c>
      <c r="BO61" s="5">
        <f>React!BO99</f>
        <v/>
      </c>
      <c r="BP61" s="5">
        <f>React!BP99</f>
        <v/>
      </c>
      <c r="BQ61" s="5">
        <f>React!BQ99</f>
        <v/>
      </c>
      <c r="BR61" s="5">
        <f>React!BR99</f>
        <v/>
      </c>
      <c r="BS61" s="5">
        <f>React!BS99</f>
        <v/>
      </c>
      <c r="BT61" s="5">
        <f>React!BT99</f>
        <v/>
      </c>
      <c r="BU61" s="5">
        <f>React!BU99</f>
        <v/>
      </c>
      <c r="BV61" s="5">
        <f>React!BV99</f>
        <v/>
      </c>
    </row>
    <row r="62">
      <c r="A62" t="inlineStr">
        <is>
          <t>churned</t>
        </is>
      </c>
      <c r="B62" t="inlineStr">
        <is>
          <t>EUROPE|BASIC_A</t>
        </is>
      </c>
      <c r="C62" s="5">
        <f>Legacy!C35+Paid!C33+React!C105+Params!$B$7*Adds!C114</f>
        <v/>
      </c>
      <c r="D62" s="5">
        <f>Legacy!D35+Paid!D33+React!D105+Params!$B$7*Adds!D114</f>
        <v/>
      </c>
      <c r="E62" s="5">
        <f>Legacy!E35+Paid!E33+React!E105+Params!$B$7*Adds!E114</f>
        <v/>
      </c>
      <c r="F62" s="5">
        <f>Legacy!F35+Paid!F33+React!F105+Params!$B$7*Adds!F114</f>
        <v/>
      </c>
      <c r="G62" s="5">
        <f>Legacy!G35+Paid!G33+React!G105+Params!$B$7*Adds!G114</f>
        <v/>
      </c>
      <c r="H62" s="5">
        <f>Legacy!H35+Paid!H33+React!H105+Params!$B$7*Adds!H114</f>
        <v/>
      </c>
      <c r="I62" s="5">
        <f>Legacy!I35+Paid!I33+React!I105+Params!$B$7*Adds!I114</f>
        <v/>
      </c>
      <c r="J62" s="5">
        <f>Legacy!J35+Paid!J33+React!J105+Params!$B$7*Adds!J114</f>
        <v/>
      </c>
      <c r="K62" s="5">
        <f>Legacy!K35+Paid!K33+React!K105+Params!$B$7*Adds!K114</f>
        <v/>
      </c>
      <c r="L62" s="5">
        <f>Legacy!L35+Paid!L33+React!L105+Params!$B$7*Adds!L114</f>
        <v/>
      </c>
      <c r="M62" s="5">
        <f>Legacy!M35+Paid!M33+React!M105+Params!$B$7*Adds!M114</f>
        <v/>
      </c>
      <c r="N62" s="5">
        <f>Legacy!N35+Paid!N33+React!N105+Params!$B$7*Adds!N114</f>
        <v/>
      </c>
      <c r="O62" s="5">
        <f>Legacy!O35+Paid!O33+React!O105+Params!$B$7*Adds!O114</f>
        <v/>
      </c>
      <c r="P62" s="5">
        <f>Legacy!P35+Paid!P33+React!P105+Params!$B$7*Adds!P114</f>
        <v/>
      </c>
      <c r="Q62" s="5">
        <f>Legacy!Q35+Paid!Q33+React!Q105+Params!$B$7*Adds!Q114</f>
        <v/>
      </c>
      <c r="R62" s="5">
        <f>Legacy!R35+Paid!R33+React!R105+Params!$B$7*Adds!R114</f>
        <v/>
      </c>
      <c r="S62" s="5">
        <f>Legacy!S35+Paid!S33+React!S105+Params!$B$7*Adds!S114</f>
        <v/>
      </c>
      <c r="T62" s="5">
        <f>Legacy!T35+Paid!T33+React!T105+Params!$B$7*Adds!T114</f>
        <v/>
      </c>
      <c r="U62" s="5">
        <f>Legacy!U35+Paid!U33+React!U105+Params!$B$7*Adds!U114</f>
        <v/>
      </c>
      <c r="V62" s="5">
        <f>Legacy!V35+Paid!V33+React!V105+Params!$B$7*Adds!V114</f>
        <v/>
      </c>
      <c r="W62" s="5">
        <f>Legacy!W35+Paid!W33+React!W105+Params!$B$7*Adds!W114</f>
        <v/>
      </c>
      <c r="X62" s="5">
        <f>Legacy!X35+Paid!X33+React!X105+Params!$B$7*Adds!X114</f>
        <v/>
      </c>
      <c r="Y62" s="5">
        <f>Legacy!Y35+Paid!Y33+React!Y105+Params!$B$7*Adds!Y114</f>
        <v/>
      </c>
      <c r="Z62" s="5">
        <f>Legacy!Z35+Paid!Z33+React!Z105+Params!$B$7*Adds!Z114</f>
        <v/>
      </c>
      <c r="AA62" s="5">
        <f>Legacy!AA35+Paid!AA33+React!AA105+Params!$B$7*Adds!AA114</f>
        <v/>
      </c>
      <c r="AB62" s="5">
        <f>Legacy!AB35+Paid!AB33+React!AB105+Params!$B$7*Adds!AB114</f>
        <v/>
      </c>
      <c r="AC62" s="5">
        <f>Legacy!AC35+Paid!AC33+React!AC105+Params!$B$7*Adds!AC114</f>
        <v/>
      </c>
      <c r="AD62" s="5">
        <f>Legacy!AD35+Paid!AD33+React!AD105+Params!$B$7*Adds!AD114</f>
        <v/>
      </c>
      <c r="AE62" s="5">
        <f>Legacy!AE35+Paid!AE33+React!AE105+Params!$B$7*Adds!AE114</f>
        <v/>
      </c>
      <c r="AF62" s="5">
        <f>Legacy!AF35+Paid!AF33+React!AF105+Params!$B$7*Adds!AF114</f>
        <v/>
      </c>
      <c r="AG62" s="5">
        <f>Legacy!AG35+Paid!AG33+React!AG105+Params!$B$7*Adds!AG114</f>
        <v/>
      </c>
      <c r="AH62" s="5">
        <f>Legacy!AH35+Paid!AH33+React!AH105+Params!$B$7*Adds!AH114</f>
        <v/>
      </c>
      <c r="AI62" s="5">
        <f>Legacy!AI35+Paid!AI33+React!AI105+Params!$B$7*Adds!AI114</f>
        <v/>
      </c>
      <c r="AJ62" s="5">
        <f>Legacy!AJ35+Paid!AJ33+React!AJ105+Params!$B$7*Adds!AJ114</f>
        <v/>
      </c>
      <c r="AK62" s="5">
        <f>Legacy!AK35+Paid!AK33+React!AK105+Params!$B$7*Adds!AK114</f>
        <v/>
      </c>
      <c r="AL62" s="5">
        <f>Legacy!AL35+Paid!AL33+React!AL105+Params!$B$7*Adds!AL114</f>
        <v/>
      </c>
      <c r="AM62" s="5">
        <f>Legacy!AM35+Paid!AM33+React!AM105+Params!$B$7*Adds!AM114</f>
        <v/>
      </c>
      <c r="AN62" s="5">
        <f>Legacy!AN35+Paid!AN33+React!AN105+Params!$B$7*Adds!AN114</f>
        <v/>
      </c>
      <c r="AO62" s="5">
        <f>Legacy!AO35+Paid!AO33+React!AO105+Params!$B$7*Adds!AO114</f>
        <v/>
      </c>
      <c r="AP62" s="5">
        <f>Legacy!AP35+Paid!AP33+React!AP105+Params!$B$7*Adds!AP114</f>
        <v/>
      </c>
      <c r="AQ62" s="5">
        <f>Legacy!AQ35+Paid!AQ33+React!AQ105+Params!$B$7*Adds!AQ114</f>
        <v/>
      </c>
      <c r="AR62" s="5">
        <f>Legacy!AR35+Paid!AR33+React!AR105+Params!$B$7*Adds!AR114</f>
        <v/>
      </c>
      <c r="AS62" s="5">
        <f>Legacy!AS35+Paid!AS33+React!AS105+Params!$B$7*Adds!AS114</f>
        <v/>
      </c>
      <c r="AT62" s="5">
        <f>Legacy!AT35+Paid!AT33+React!AT105+Params!$B$7*Adds!AT114</f>
        <v/>
      </c>
      <c r="AU62" s="5">
        <f>Legacy!AU35+Paid!AU33+React!AU105+Params!$B$7*Adds!AU114</f>
        <v/>
      </c>
      <c r="AV62" s="5">
        <f>Legacy!AV35+Paid!AV33+React!AV105+Params!$B$7*Adds!AV114</f>
        <v/>
      </c>
      <c r="AW62" s="5">
        <f>Legacy!AW35+Paid!AW33+React!AW105+Params!$B$7*Adds!AW114</f>
        <v/>
      </c>
      <c r="AX62" s="5">
        <f>Legacy!AX35+Paid!AX33+React!AX105+Params!$B$7*Adds!AX114</f>
        <v/>
      </c>
      <c r="AY62" s="5">
        <f>Legacy!AY35+Paid!AY33+React!AY105+Params!$B$7*Adds!AY114</f>
        <v/>
      </c>
      <c r="AZ62" s="5">
        <f>Legacy!AZ35+Paid!AZ33+React!AZ105+Params!$B$7*Adds!AZ114</f>
        <v/>
      </c>
      <c r="BA62" s="5">
        <f>Legacy!BA35+Paid!BA33+React!BA105+Params!$B$7*Adds!BA114</f>
        <v/>
      </c>
      <c r="BB62" s="5">
        <f>Legacy!BB35+Paid!BB33+React!BB105+Params!$B$7*Adds!BB114</f>
        <v/>
      </c>
      <c r="BC62" s="5">
        <f>Legacy!BC35+Paid!BC33+React!BC105+Params!$B$7*Adds!BC114</f>
        <v/>
      </c>
      <c r="BD62" s="5">
        <f>Legacy!BD35+Paid!BD33+React!BD105+Params!$B$7*Adds!BD114</f>
        <v/>
      </c>
      <c r="BE62" s="5">
        <f>Legacy!BE35+Paid!BE33+React!BE105+Params!$B$7*Adds!BE114</f>
        <v/>
      </c>
      <c r="BF62" s="5">
        <f>Legacy!BF35+Paid!BF33+React!BF105+Params!$B$7*Adds!BF114</f>
        <v/>
      </c>
      <c r="BG62" s="5">
        <f>Legacy!BG35+Paid!BG33+React!BG105+Params!$B$7*Adds!BG114</f>
        <v/>
      </c>
      <c r="BH62" s="5">
        <f>Legacy!BH35+Paid!BH33+React!BH105+Params!$B$7*Adds!BH114</f>
        <v/>
      </c>
      <c r="BI62" s="5">
        <f>Legacy!BI35+Paid!BI33+React!BI105+Params!$B$7*Adds!BI114</f>
        <v/>
      </c>
      <c r="BJ62" s="5">
        <f>Legacy!BJ35+Paid!BJ33+React!BJ105+Params!$B$7*Adds!BJ114</f>
        <v/>
      </c>
      <c r="BK62" s="5">
        <f>Legacy!BK35+Paid!BK33+React!BK105+Params!$B$7*Adds!BK114</f>
        <v/>
      </c>
      <c r="BL62" s="5">
        <f>Legacy!BL35+Paid!BL33+React!BL105+Params!$B$7*Adds!BL114</f>
        <v/>
      </c>
      <c r="BM62" s="5">
        <f>Legacy!BM35+Paid!BM33+React!BM105+Params!$B$7*Adds!BM114</f>
        <v/>
      </c>
      <c r="BN62" s="5">
        <f>Legacy!BN35+Paid!BN33+React!BN105+Params!$B$7*Adds!BN114</f>
        <v/>
      </c>
      <c r="BO62" s="5">
        <f>Legacy!BO35+Paid!BO33+React!BO105+Params!$B$7*Adds!BO114</f>
        <v/>
      </c>
      <c r="BP62" s="5">
        <f>Legacy!BP35+Paid!BP33+React!BP105+Params!$B$7*Adds!BP114</f>
        <v/>
      </c>
      <c r="BQ62" s="5">
        <f>Legacy!BQ35+Paid!BQ33+React!BQ105+Params!$B$7*Adds!BQ114</f>
        <v/>
      </c>
      <c r="BR62" s="5">
        <f>Legacy!BR35+Paid!BR33+React!BR105+Params!$B$7*Adds!BR114</f>
        <v/>
      </c>
      <c r="BS62" s="5">
        <f>Legacy!BS35+Paid!BS33+React!BS105+Params!$B$7*Adds!BS114</f>
        <v/>
      </c>
      <c r="BT62" s="5">
        <f>Legacy!BT35+Paid!BT33+React!BT105+Params!$B$7*Adds!BT114</f>
        <v/>
      </c>
      <c r="BU62" s="5">
        <f>Legacy!BU35+Paid!BU33+React!BU105+Params!$B$7*Adds!BU114</f>
        <v/>
      </c>
      <c r="BV62" s="5">
        <f>Legacy!BV35+Paid!BV33+React!BV105+Params!$B$7*Adds!BV114</f>
        <v/>
      </c>
    </row>
    <row r="63">
      <c r="A63" t="inlineStr">
        <is>
          <t>closing</t>
        </is>
      </c>
      <c r="B63" t="inlineStr">
        <is>
          <t>EUROPE|BASIC_A</t>
        </is>
      </c>
      <c r="C63" s="5">
        <f>C64+Params!$B$7*Adds!C117</f>
        <v/>
      </c>
      <c r="D63" s="5">
        <f>D64+Params!$B$7*Adds!D117</f>
        <v/>
      </c>
      <c r="E63" s="5">
        <f>E64+Params!$B$7*Adds!E117</f>
        <v/>
      </c>
      <c r="F63" s="5">
        <f>F64+Params!$B$7*Adds!F117</f>
        <v/>
      </c>
      <c r="G63" s="5">
        <f>G64+Params!$B$7*Adds!G117</f>
        <v/>
      </c>
      <c r="H63" s="5">
        <f>H64+Params!$B$7*Adds!H117</f>
        <v/>
      </c>
      <c r="I63" s="5">
        <f>I64+Params!$B$7*Adds!I117</f>
        <v/>
      </c>
      <c r="J63" s="5">
        <f>J64+Params!$B$7*Adds!J117</f>
        <v/>
      </c>
      <c r="K63" s="5">
        <f>K64+Params!$B$7*Adds!K117</f>
        <v/>
      </c>
      <c r="L63" s="5">
        <f>L64+Params!$B$7*Adds!L117</f>
        <v/>
      </c>
      <c r="M63" s="5">
        <f>M64+Params!$B$7*Adds!M117</f>
        <v/>
      </c>
      <c r="N63" s="5">
        <f>N64+Params!$B$7*Adds!N117</f>
        <v/>
      </c>
      <c r="O63" s="5">
        <f>O64+Params!$B$7*Adds!O117</f>
        <v/>
      </c>
      <c r="P63" s="5">
        <f>P64+Params!$B$7*Adds!P117</f>
        <v/>
      </c>
      <c r="Q63" s="5">
        <f>Q64+Params!$B$7*Adds!Q117</f>
        <v/>
      </c>
      <c r="R63" s="5">
        <f>R64+Params!$B$7*Adds!R117</f>
        <v/>
      </c>
      <c r="S63" s="5">
        <f>S64+Params!$B$7*Adds!S117</f>
        <v/>
      </c>
      <c r="T63" s="5">
        <f>T64+Params!$B$7*Adds!T117</f>
        <v/>
      </c>
      <c r="U63" s="5">
        <f>U64+Params!$B$7*Adds!U117</f>
        <v/>
      </c>
      <c r="V63" s="5">
        <f>V64+Params!$B$7*Adds!V117</f>
        <v/>
      </c>
      <c r="W63" s="5">
        <f>W64+Params!$B$7*Adds!W117</f>
        <v/>
      </c>
      <c r="X63" s="5">
        <f>X64+Params!$B$7*Adds!X117</f>
        <v/>
      </c>
      <c r="Y63" s="5">
        <f>Y64+Params!$B$7*Adds!Y117</f>
        <v/>
      </c>
      <c r="Z63" s="5">
        <f>Z64+Params!$B$7*Adds!Z117</f>
        <v/>
      </c>
      <c r="AA63" s="5">
        <f>AA64+Params!$B$7*Adds!AA117</f>
        <v/>
      </c>
      <c r="AB63" s="5">
        <f>AB64+Params!$B$7*Adds!AB117</f>
        <v/>
      </c>
      <c r="AC63" s="5">
        <f>AC64+Params!$B$7*Adds!AC117</f>
        <v/>
      </c>
      <c r="AD63" s="5">
        <f>AD64+Params!$B$7*Adds!AD117</f>
        <v/>
      </c>
      <c r="AE63" s="5">
        <f>AE64+Params!$B$7*Adds!AE117</f>
        <v/>
      </c>
      <c r="AF63" s="5">
        <f>AF64+Params!$B$7*Adds!AF117</f>
        <v/>
      </c>
      <c r="AG63" s="5">
        <f>AG64+Params!$B$7*Adds!AG117</f>
        <v/>
      </c>
      <c r="AH63" s="5">
        <f>AH64+Params!$B$7*Adds!AH117</f>
        <v/>
      </c>
      <c r="AI63" s="5">
        <f>AI64+Params!$B$7*Adds!AI117</f>
        <v/>
      </c>
      <c r="AJ63" s="5">
        <f>AJ64+Params!$B$7*Adds!AJ117</f>
        <v/>
      </c>
      <c r="AK63" s="5">
        <f>AK64+Params!$B$7*Adds!AK117</f>
        <v/>
      </c>
      <c r="AL63" s="5">
        <f>AL64+Params!$B$7*Adds!AL117</f>
        <v/>
      </c>
      <c r="AM63" s="5">
        <f>AM64+Params!$B$7*Adds!AM117</f>
        <v/>
      </c>
      <c r="AN63" s="5">
        <f>AN64+Params!$B$7*Adds!AN117</f>
        <v/>
      </c>
      <c r="AO63" s="5">
        <f>AO64+Params!$B$7*Adds!AO117</f>
        <v/>
      </c>
      <c r="AP63" s="5">
        <f>AP64+Params!$B$7*Adds!AP117</f>
        <v/>
      </c>
      <c r="AQ63" s="5">
        <f>AQ64+Params!$B$7*Adds!AQ117</f>
        <v/>
      </c>
      <c r="AR63" s="5">
        <f>AR64+Params!$B$7*Adds!AR117</f>
        <v/>
      </c>
      <c r="AS63" s="5">
        <f>AS64+Params!$B$7*Adds!AS117</f>
        <v/>
      </c>
      <c r="AT63" s="5">
        <f>AT64+Params!$B$7*Adds!AT117</f>
        <v/>
      </c>
      <c r="AU63" s="5">
        <f>AU64+Params!$B$7*Adds!AU117</f>
        <v/>
      </c>
      <c r="AV63" s="5">
        <f>AV64+Params!$B$7*Adds!AV117</f>
        <v/>
      </c>
      <c r="AW63" s="5">
        <f>AW64+Params!$B$7*Adds!AW117</f>
        <v/>
      </c>
      <c r="AX63" s="5">
        <f>AX64+Params!$B$7*Adds!AX117</f>
        <v/>
      </c>
      <c r="AY63" s="5">
        <f>AY64+Params!$B$7*Adds!AY117</f>
        <v/>
      </c>
      <c r="AZ63" s="5">
        <f>AZ64+Params!$B$7*Adds!AZ117</f>
        <v/>
      </c>
      <c r="BA63" s="5">
        <f>BA64+Params!$B$7*Adds!BA117</f>
        <v/>
      </c>
      <c r="BB63" s="5">
        <f>BB64+Params!$B$7*Adds!BB117</f>
        <v/>
      </c>
      <c r="BC63" s="5">
        <f>BC64+Params!$B$7*Adds!BC117</f>
        <v/>
      </c>
      <c r="BD63" s="5">
        <f>BD64+Params!$B$7*Adds!BD117</f>
        <v/>
      </c>
      <c r="BE63" s="5">
        <f>BE64+Params!$B$7*Adds!BE117</f>
        <v/>
      </c>
      <c r="BF63" s="5">
        <f>BF64+Params!$B$7*Adds!BF117</f>
        <v/>
      </c>
      <c r="BG63" s="5">
        <f>BG64+Params!$B$7*Adds!BG117</f>
        <v/>
      </c>
      <c r="BH63" s="5">
        <f>BH64+Params!$B$7*Adds!BH117</f>
        <v/>
      </c>
      <c r="BI63" s="5">
        <f>BI64+Params!$B$7*Adds!BI117</f>
        <v/>
      </c>
      <c r="BJ63" s="5">
        <f>BJ64+Params!$B$7*Adds!BJ117</f>
        <v/>
      </c>
      <c r="BK63" s="5">
        <f>BK64+Params!$B$7*Adds!BK117</f>
        <v/>
      </c>
      <c r="BL63" s="5">
        <f>BL64+Params!$B$7*Adds!BL117</f>
        <v/>
      </c>
      <c r="BM63" s="5">
        <f>BM64+Params!$B$7*Adds!BM117</f>
        <v/>
      </c>
      <c r="BN63" s="5">
        <f>BN64+Params!$B$7*Adds!BN117</f>
        <v/>
      </c>
      <c r="BO63" s="5">
        <f>BO64+Params!$B$7*Adds!BO117</f>
        <v/>
      </c>
      <c r="BP63" s="5">
        <f>BP64+Params!$B$7*Adds!BP117</f>
        <v/>
      </c>
      <c r="BQ63" s="5">
        <f>BQ64+Params!$B$7*Adds!BQ117</f>
        <v/>
      </c>
      <c r="BR63" s="5">
        <f>BR64+Params!$B$7*Adds!BR117</f>
        <v/>
      </c>
      <c r="BS63" s="5">
        <f>BS64+Params!$B$7*Adds!BS117</f>
        <v/>
      </c>
      <c r="BT63" s="5">
        <f>BT64+Params!$B$7*Adds!BT117</f>
        <v/>
      </c>
      <c r="BU63" s="5">
        <f>BU64+Params!$B$7*Adds!BU117</f>
        <v/>
      </c>
      <c r="BV63" s="5">
        <f>BV64+Params!$B$7*Adds!BV117</f>
        <v/>
      </c>
    </row>
    <row r="64">
      <c r="A64" t="inlineStr">
        <is>
          <t>paying</t>
        </is>
      </c>
      <c r="B64" t="inlineStr">
        <is>
          <t>EUROPE|BASIC_A</t>
        </is>
      </c>
      <c r="C64" s="5">
        <f>Legacy!C34+Paid!C31+React!C103</f>
        <v/>
      </c>
      <c r="D64" s="5">
        <f>Legacy!D34+Paid!D31+React!D103</f>
        <v/>
      </c>
      <c r="E64" s="5">
        <f>Legacy!E34+Paid!E31+React!E103</f>
        <v/>
      </c>
      <c r="F64" s="5">
        <f>Legacy!F34+Paid!F31+React!F103</f>
        <v/>
      </c>
      <c r="G64" s="5">
        <f>Legacy!G34+Paid!G31+React!G103</f>
        <v/>
      </c>
      <c r="H64" s="5">
        <f>Legacy!H34+Paid!H31+React!H103</f>
        <v/>
      </c>
      <c r="I64" s="5">
        <f>Legacy!I34+Paid!I31+React!I103</f>
        <v/>
      </c>
      <c r="J64" s="5">
        <f>Legacy!J34+Paid!J31+React!J103</f>
        <v/>
      </c>
      <c r="K64" s="5">
        <f>Legacy!K34+Paid!K31+React!K103</f>
        <v/>
      </c>
      <c r="L64" s="5">
        <f>Legacy!L34+Paid!L31+React!L103</f>
        <v/>
      </c>
      <c r="M64" s="5">
        <f>Legacy!M34+Paid!M31+React!M103</f>
        <v/>
      </c>
      <c r="N64" s="5">
        <f>Legacy!N34+Paid!N31+React!N103</f>
        <v/>
      </c>
      <c r="O64" s="5">
        <f>Legacy!O34+Paid!O31+React!O103</f>
        <v/>
      </c>
      <c r="P64" s="5">
        <f>Legacy!P34+Paid!P31+React!P103</f>
        <v/>
      </c>
      <c r="Q64" s="5">
        <f>Legacy!Q34+Paid!Q31+React!Q103</f>
        <v/>
      </c>
      <c r="R64" s="5">
        <f>Legacy!R34+Paid!R31+React!R103</f>
        <v/>
      </c>
      <c r="S64" s="5">
        <f>Legacy!S34+Paid!S31+React!S103</f>
        <v/>
      </c>
      <c r="T64" s="5">
        <f>Legacy!T34+Paid!T31+React!T103</f>
        <v/>
      </c>
      <c r="U64" s="5">
        <f>Legacy!U34+Paid!U31+React!U103</f>
        <v/>
      </c>
      <c r="V64" s="5">
        <f>Legacy!V34+Paid!V31+React!V103</f>
        <v/>
      </c>
      <c r="W64" s="5">
        <f>Legacy!W34+Paid!W31+React!W103</f>
        <v/>
      </c>
      <c r="X64" s="5">
        <f>Legacy!X34+Paid!X31+React!X103</f>
        <v/>
      </c>
      <c r="Y64" s="5">
        <f>Legacy!Y34+Paid!Y31+React!Y103</f>
        <v/>
      </c>
      <c r="Z64" s="5">
        <f>Legacy!Z34+Paid!Z31+React!Z103</f>
        <v/>
      </c>
      <c r="AA64" s="5">
        <f>Legacy!AA34+Paid!AA31+React!AA103</f>
        <v/>
      </c>
      <c r="AB64" s="5">
        <f>Legacy!AB34+Paid!AB31+React!AB103</f>
        <v/>
      </c>
      <c r="AC64" s="5">
        <f>Legacy!AC34+Paid!AC31+React!AC103</f>
        <v/>
      </c>
      <c r="AD64" s="5">
        <f>Legacy!AD34+Paid!AD31+React!AD103</f>
        <v/>
      </c>
      <c r="AE64" s="5">
        <f>Legacy!AE34+Paid!AE31+React!AE103</f>
        <v/>
      </c>
      <c r="AF64" s="5">
        <f>Legacy!AF34+Paid!AF31+React!AF103</f>
        <v/>
      </c>
      <c r="AG64" s="5">
        <f>Legacy!AG34+Paid!AG31+React!AG103</f>
        <v/>
      </c>
      <c r="AH64" s="5">
        <f>Legacy!AH34+Paid!AH31+React!AH103</f>
        <v/>
      </c>
      <c r="AI64" s="5">
        <f>Legacy!AI34+Paid!AI31+React!AI103</f>
        <v/>
      </c>
      <c r="AJ64" s="5">
        <f>Legacy!AJ34+Paid!AJ31+React!AJ103</f>
        <v/>
      </c>
      <c r="AK64" s="5">
        <f>Legacy!AK34+Paid!AK31+React!AK103</f>
        <v/>
      </c>
      <c r="AL64" s="5">
        <f>Legacy!AL34+Paid!AL31+React!AL103</f>
        <v/>
      </c>
      <c r="AM64" s="5">
        <f>Legacy!AM34+Paid!AM31+React!AM103</f>
        <v/>
      </c>
      <c r="AN64" s="5">
        <f>Legacy!AN34+Paid!AN31+React!AN103</f>
        <v/>
      </c>
      <c r="AO64" s="5">
        <f>Legacy!AO34+Paid!AO31+React!AO103</f>
        <v/>
      </c>
      <c r="AP64" s="5">
        <f>Legacy!AP34+Paid!AP31+React!AP103</f>
        <v/>
      </c>
      <c r="AQ64" s="5">
        <f>Legacy!AQ34+Paid!AQ31+React!AQ103</f>
        <v/>
      </c>
      <c r="AR64" s="5">
        <f>Legacy!AR34+Paid!AR31+React!AR103</f>
        <v/>
      </c>
      <c r="AS64" s="5">
        <f>Legacy!AS34+Paid!AS31+React!AS103</f>
        <v/>
      </c>
      <c r="AT64" s="5">
        <f>Legacy!AT34+Paid!AT31+React!AT103</f>
        <v/>
      </c>
      <c r="AU64" s="5">
        <f>Legacy!AU34+Paid!AU31+React!AU103</f>
        <v/>
      </c>
      <c r="AV64" s="5">
        <f>Legacy!AV34+Paid!AV31+React!AV103</f>
        <v/>
      </c>
      <c r="AW64" s="5">
        <f>Legacy!AW34+Paid!AW31+React!AW103</f>
        <v/>
      </c>
      <c r="AX64" s="5">
        <f>Legacy!AX34+Paid!AX31+React!AX103</f>
        <v/>
      </c>
      <c r="AY64" s="5">
        <f>Legacy!AY34+Paid!AY31+React!AY103</f>
        <v/>
      </c>
      <c r="AZ64" s="5">
        <f>Legacy!AZ34+Paid!AZ31+React!AZ103</f>
        <v/>
      </c>
      <c r="BA64" s="5">
        <f>Legacy!BA34+Paid!BA31+React!BA103</f>
        <v/>
      </c>
      <c r="BB64" s="5">
        <f>Legacy!BB34+Paid!BB31+React!BB103</f>
        <v/>
      </c>
      <c r="BC64" s="5">
        <f>Legacy!BC34+Paid!BC31+React!BC103</f>
        <v/>
      </c>
      <c r="BD64" s="5">
        <f>Legacy!BD34+Paid!BD31+React!BD103</f>
        <v/>
      </c>
      <c r="BE64" s="5">
        <f>Legacy!BE34+Paid!BE31+React!BE103</f>
        <v/>
      </c>
      <c r="BF64" s="5">
        <f>Legacy!BF34+Paid!BF31+React!BF103</f>
        <v/>
      </c>
      <c r="BG64" s="5">
        <f>Legacy!BG34+Paid!BG31+React!BG103</f>
        <v/>
      </c>
      <c r="BH64" s="5">
        <f>Legacy!BH34+Paid!BH31+React!BH103</f>
        <v/>
      </c>
      <c r="BI64" s="5">
        <f>Legacy!BI34+Paid!BI31+React!BI103</f>
        <v/>
      </c>
      <c r="BJ64" s="5">
        <f>Legacy!BJ34+Paid!BJ31+React!BJ103</f>
        <v/>
      </c>
      <c r="BK64" s="5">
        <f>Legacy!BK34+Paid!BK31+React!BK103</f>
        <v/>
      </c>
      <c r="BL64" s="5">
        <f>Legacy!BL34+Paid!BL31+React!BL103</f>
        <v/>
      </c>
      <c r="BM64" s="5">
        <f>Legacy!BM34+Paid!BM31+React!BM103</f>
        <v/>
      </c>
      <c r="BN64" s="5">
        <f>Legacy!BN34+Paid!BN31+React!BN103</f>
        <v/>
      </c>
      <c r="BO64" s="5">
        <f>Legacy!BO34+Paid!BO31+React!BO103</f>
        <v/>
      </c>
      <c r="BP64" s="5">
        <f>Legacy!BP34+Paid!BP31+React!BP103</f>
        <v/>
      </c>
      <c r="BQ64" s="5">
        <f>Legacy!BQ34+Paid!BQ31+React!BQ103</f>
        <v/>
      </c>
      <c r="BR64" s="5">
        <f>Legacy!BR34+Paid!BR31+React!BR103</f>
        <v/>
      </c>
      <c r="BS64" s="5">
        <f>Legacy!BS34+Paid!BS31+React!BS103</f>
        <v/>
      </c>
      <c r="BT64" s="5">
        <f>Legacy!BT34+Paid!BT31+React!BT103</f>
        <v/>
      </c>
      <c r="BU64" s="5">
        <f>Legacy!BU34+Paid!BU31+React!BU103</f>
        <v/>
      </c>
      <c r="BV64" s="5">
        <f>Legacy!BV34+Paid!BV31+React!BV103</f>
        <v/>
      </c>
    </row>
    <row r="66">
      <c r="A66" t="inlineStr">
        <is>
          <t>opening</t>
        </is>
      </c>
      <c r="B66" t="inlineStr">
        <is>
          <t>LATAM|NITRO_M</t>
        </is>
      </c>
      <c r="C66" s="5">
        <f>Legacy!$C$37</f>
        <v/>
      </c>
      <c r="D66" s="5">
        <f>C70</f>
        <v/>
      </c>
      <c r="E66" s="5">
        <f>D70</f>
        <v/>
      </c>
      <c r="F66" s="5">
        <f>E70</f>
        <v/>
      </c>
      <c r="G66" s="5">
        <f>F70</f>
        <v/>
      </c>
      <c r="H66" s="5">
        <f>G70</f>
        <v/>
      </c>
      <c r="I66" s="5">
        <f>H70</f>
        <v/>
      </c>
      <c r="J66" s="5">
        <f>I70</f>
        <v/>
      </c>
      <c r="K66" s="5">
        <f>J70</f>
        <v/>
      </c>
      <c r="L66" s="5">
        <f>K70</f>
        <v/>
      </c>
      <c r="M66" s="5">
        <f>L70</f>
        <v/>
      </c>
      <c r="N66" s="5">
        <f>M70</f>
        <v/>
      </c>
      <c r="O66" s="5">
        <f>N70</f>
        <v/>
      </c>
      <c r="P66" s="5">
        <f>O70</f>
        <v/>
      </c>
      <c r="Q66" s="5">
        <f>P70</f>
        <v/>
      </c>
      <c r="R66" s="5">
        <f>Q70</f>
        <v/>
      </c>
      <c r="S66" s="5">
        <f>R70</f>
        <v/>
      </c>
      <c r="T66" s="5">
        <f>S70</f>
        <v/>
      </c>
      <c r="U66" s="5">
        <f>T70</f>
        <v/>
      </c>
      <c r="V66" s="5">
        <f>U70</f>
        <v/>
      </c>
      <c r="W66" s="5">
        <f>V70</f>
        <v/>
      </c>
      <c r="X66" s="5">
        <f>W70</f>
        <v/>
      </c>
      <c r="Y66" s="5">
        <f>X70</f>
        <v/>
      </c>
      <c r="Z66" s="5">
        <f>Y70</f>
        <v/>
      </c>
      <c r="AA66" s="5">
        <f>Z70</f>
        <v/>
      </c>
      <c r="AB66" s="5">
        <f>AA70</f>
        <v/>
      </c>
      <c r="AC66" s="5">
        <f>AB70</f>
        <v/>
      </c>
      <c r="AD66" s="5">
        <f>AC70</f>
        <v/>
      </c>
      <c r="AE66" s="5">
        <f>AD70</f>
        <v/>
      </c>
      <c r="AF66" s="5">
        <f>AE70</f>
        <v/>
      </c>
      <c r="AG66" s="5">
        <f>AF70</f>
        <v/>
      </c>
      <c r="AH66" s="5">
        <f>AG70</f>
        <v/>
      </c>
      <c r="AI66" s="5">
        <f>AH70</f>
        <v/>
      </c>
      <c r="AJ66" s="5">
        <f>AI70</f>
        <v/>
      </c>
      <c r="AK66" s="5">
        <f>AJ70</f>
        <v/>
      </c>
      <c r="AL66" s="5">
        <f>AK70</f>
        <v/>
      </c>
      <c r="AM66" s="5">
        <f>AL70</f>
        <v/>
      </c>
      <c r="AN66" s="5">
        <f>AM70</f>
        <v/>
      </c>
      <c r="AO66" s="5">
        <f>AN70</f>
        <v/>
      </c>
      <c r="AP66" s="5">
        <f>AO70</f>
        <v/>
      </c>
      <c r="AQ66" s="5">
        <f>AP70</f>
        <v/>
      </c>
      <c r="AR66" s="5">
        <f>AQ70</f>
        <v/>
      </c>
      <c r="AS66" s="5">
        <f>AR70</f>
        <v/>
      </c>
      <c r="AT66" s="5">
        <f>AS70</f>
        <v/>
      </c>
      <c r="AU66" s="5">
        <f>AT70</f>
        <v/>
      </c>
      <c r="AV66" s="5">
        <f>AU70</f>
        <v/>
      </c>
      <c r="AW66" s="5">
        <f>AV70</f>
        <v/>
      </c>
      <c r="AX66" s="5">
        <f>AW70</f>
        <v/>
      </c>
      <c r="AY66" s="5">
        <f>AX70</f>
        <v/>
      </c>
      <c r="AZ66" s="5">
        <f>AY70</f>
        <v/>
      </c>
      <c r="BA66" s="5">
        <f>AZ70</f>
        <v/>
      </c>
      <c r="BB66" s="5">
        <f>BA70</f>
        <v/>
      </c>
      <c r="BC66" s="5">
        <f>BB70</f>
        <v/>
      </c>
      <c r="BD66" s="5">
        <f>BC70</f>
        <v/>
      </c>
      <c r="BE66" s="5">
        <f>BD70</f>
        <v/>
      </c>
      <c r="BF66" s="5">
        <f>BE70</f>
        <v/>
      </c>
      <c r="BG66" s="5">
        <f>BF70</f>
        <v/>
      </c>
      <c r="BH66" s="5">
        <f>BG70</f>
        <v/>
      </c>
      <c r="BI66" s="5">
        <f>BH70</f>
        <v/>
      </c>
      <c r="BJ66" s="5">
        <f>BI70</f>
        <v/>
      </c>
      <c r="BK66" s="5">
        <f>BJ70</f>
        <v/>
      </c>
      <c r="BL66" s="5">
        <f>BK70</f>
        <v/>
      </c>
      <c r="BM66" s="5">
        <f>BL70</f>
        <v/>
      </c>
      <c r="BN66" s="5">
        <f>BM70</f>
        <v/>
      </c>
      <c r="BO66" s="5">
        <f>BN70</f>
        <v/>
      </c>
      <c r="BP66" s="5">
        <f>BO70</f>
        <v/>
      </c>
      <c r="BQ66" s="5">
        <f>BP70</f>
        <v/>
      </c>
      <c r="BR66" s="5">
        <f>BQ70</f>
        <v/>
      </c>
      <c r="BS66" s="5">
        <f>BR70</f>
        <v/>
      </c>
      <c r="BT66" s="5">
        <f>BS70</f>
        <v/>
      </c>
      <c r="BU66" s="5">
        <f>BT70</f>
        <v/>
      </c>
      <c r="BV66" s="5">
        <f>BU70</f>
        <v/>
      </c>
    </row>
    <row r="67">
      <c r="A67" t="inlineStr">
        <is>
          <t>new</t>
        </is>
      </c>
      <c r="B67" t="inlineStr">
        <is>
          <t>LATAM|NITRO_M</t>
        </is>
      </c>
      <c r="C67" s="5">
        <f>Adds!C125+IF(Params!$B$7=1,Adds!C124,Adds!C128)</f>
        <v/>
      </c>
      <c r="D67" s="5">
        <f>Adds!D125+IF(Params!$B$7=1,Adds!D124,Adds!D128)</f>
        <v/>
      </c>
      <c r="E67" s="5">
        <f>Adds!E125+IF(Params!$B$7=1,Adds!E124,Adds!E128)</f>
        <v/>
      </c>
      <c r="F67" s="5">
        <f>Adds!F125+IF(Params!$B$7=1,Adds!F124,Adds!F128)</f>
        <v/>
      </c>
      <c r="G67" s="5">
        <f>Adds!G125+IF(Params!$B$7=1,Adds!G124,Adds!G128)</f>
        <v/>
      </c>
      <c r="H67" s="5">
        <f>Adds!H125+IF(Params!$B$7=1,Adds!H124,Adds!H128)</f>
        <v/>
      </c>
      <c r="I67" s="5">
        <f>Adds!I125+IF(Params!$B$7=1,Adds!I124,Adds!I128)</f>
        <v/>
      </c>
      <c r="J67" s="5">
        <f>Adds!J125+IF(Params!$B$7=1,Adds!J124,Adds!J128)</f>
        <v/>
      </c>
      <c r="K67" s="5">
        <f>Adds!K125+IF(Params!$B$7=1,Adds!K124,Adds!K128)</f>
        <v/>
      </c>
      <c r="L67" s="5">
        <f>Adds!L125+IF(Params!$B$7=1,Adds!L124,Adds!L128)</f>
        <v/>
      </c>
      <c r="M67" s="5">
        <f>Adds!M125+IF(Params!$B$7=1,Adds!M124,Adds!M128)</f>
        <v/>
      </c>
      <c r="N67" s="5">
        <f>Adds!N125+IF(Params!$B$7=1,Adds!N124,Adds!N128)</f>
        <v/>
      </c>
      <c r="O67" s="5">
        <f>Adds!O125+IF(Params!$B$7=1,Adds!O124,Adds!O128)</f>
        <v/>
      </c>
      <c r="P67" s="5">
        <f>Adds!P125+IF(Params!$B$7=1,Adds!P124,Adds!P128)</f>
        <v/>
      </c>
      <c r="Q67" s="5">
        <f>Adds!Q125+IF(Params!$B$7=1,Adds!Q124,Adds!Q128)</f>
        <v/>
      </c>
      <c r="R67" s="5">
        <f>Adds!R125+IF(Params!$B$7=1,Adds!R124,Adds!R128)</f>
        <v/>
      </c>
      <c r="S67" s="5">
        <f>Adds!S125+IF(Params!$B$7=1,Adds!S124,Adds!S128)</f>
        <v/>
      </c>
      <c r="T67" s="5">
        <f>Adds!T125+IF(Params!$B$7=1,Adds!T124,Adds!T128)</f>
        <v/>
      </c>
      <c r="U67" s="5">
        <f>Adds!U125+IF(Params!$B$7=1,Adds!U124,Adds!U128)</f>
        <v/>
      </c>
      <c r="V67" s="5">
        <f>Adds!V125+IF(Params!$B$7=1,Adds!V124,Adds!V128)</f>
        <v/>
      </c>
      <c r="W67" s="5">
        <f>Adds!W125+IF(Params!$B$7=1,Adds!W124,Adds!W128)</f>
        <v/>
      </c>
      <c r="X67" s="5">
        <f>Adds!X125+IF(Params!$B$7=1,Adds!X124,Adds!X128)</f>
        <v/>
      </c>
      <c r="Y67" s="5">
        <f>Adds!Y125+IF(Params!$B$7=1,Adds!Y124,Adds!Y128)</f>
        <v/>
      </c>
      <c r="Z67" s="5">
        <f>Adds!Z125+IF(Params!$B$7=1,Adds!Z124,Adds!Z128)</f>
        <v/>
      </c>
      <c r="AA67" s="5">
        <f>Adds!AA125+IF(Params!$B$7=1,Adds!AA124,Adds!AA128)</f>
        <v/>
      </c>
      <c r="AB67" s="5">
        <f>Adds!AB125+IF(Params!$B$7=1,Adds!AB124,Adds!AB128)</f>
        <v/>
      </c>
      <c r="AC67" s="5">
        <f>Adds!AC125+IF(Params!$B$7=1,Adds!AC124,Adds!AC128)</f>
        <v/>
      </c>
      <c r="AD67" s="5">
        <f>Adds!AD125+IF(Params!$B$7=1,Adds!AD124,Adds!AD128)</f>
        <v/>
      </c>
      <c r="AE67" s="5">
        <f>Adds!AE125+IF(Params!$B$7=1,Adds!AE124,Adds!AE128)</f>
        <v/>
      </c>
      <c r="AF67" s="5">
        <f>Adds!AF125+IF(Params!$B$7=1,Adds!AF124,Adds!AF128)</f>
        <v/>
      </c>
      <c r="AG67" s="5">
        <f>Adds!AG125+IF(Params!$B$7=1,Adds!AG124,Adds!AG128)</f>
        <v/>
      </c>
      <c r="AH67" s="5">
        <f>Adds!AH125+IF(Params!$B$7=1,Adds!AH124,Adds!AH128)</f>
        <v/>
      </c>
      <c r="AI67" s="5">
        <f>Adds!AI125+IF(Params!$B$7=1,Adds!AI124,Adds!AI128)</f>
        <v/>
      </c>
      <c r="AJ67" s="5">
        <f>Adds!AJ125+IF(Params!$B$7=1,Adds!AJ124,Adds!AJ128)</f>
        <v/>
      </c>
      <c r="AK67" s="5">
        <f>Adds!AK125+IF(Params!$B$7=1,Adds!AK124,Adds!AK128)</f>
        <v/>
      </c>
      <c r="AL67" s="5">
        <f>Adds!AL125+IF(Params!$B$7=1,Adds!AL124,Adds!AL128)</f>
        <v/>
      </c>
      <c r="AM67" s="5">
        <f>Adds!AM125+IF(Params!$B$7=1,Adds!AM124,Adds!AM128)</f>
        <v/>
      </c>
      <c r="AN67" s="5">
        <f>Adds!AN125+IF(Params!$B$7=1,Adds!AN124,Adds!AN128)</f>
        <v/>
      </c>
      <c r="AO67" s="5">
        <f>Adds!AO125+IF(Params!$B$7=1,Adds!AO124,Adds!AO128)</f>
        <v/>
      </c>
      <c r="AP67" s="5">
        <f>Adds!AP125+IF(Params!$B$7=1,Adds!AP124,Adds!AP128)</f>
        <v/>
      </c>
      <c r="AQ67" s="5">
        <f>Adds!AQ125+IF(Params!$B$7=1,Adds!AQ124,Adds!AQ128)</f>
        <v/>
      </c>
      <c r="AR67" s="5">
        <f>Adds!AR125+IF(Params!$B$7=1,Adds!AR124,Adds!AR128)</f>
        <v/>
      </c>
      <c r="AS67" s="5">
        <f>Adds!AS125+IF(Params!$B$7=1,Adds!AS124,Adds!AS128)</f>
        <v/>
      </c>
      <c r="AT67" s="5">
        <f>Adds!AT125+IF(Params!$B$7=1,Adds!AT124,Adds!AT128)</f>
        <v/>
      </c>
      <c r="AU67" s="5">
        <f>Adds!AU125+IF(Params!$B$7=1,Adds!AU124,Adds!AU128)</f>
        <v/>
      </c>
      <c r="AV67" s="5">
        <f>Adds!AV125+IF(Params!$B$7=1,Adds!AV124,Adds!AV128)</f>
        <v/>
      </c>
      <c r="AW67" s="5">
        <f>Adds!AW125+IF(Params!$B$7=1,Adds!AW124,Adds!AW128)</f>
        <v/>
      </c>
      <c r="AX67" s="5">
        <f>Adds!AX125+IF(Params!$B$7=1,Adds!AX124,Adds!AX128)</f>
        <v/>
      </c>
      <c r="AY67" s="5">
        <f>Adds!AY125+IF(Params!$B$7=1,Adds!AY124,Adds!AY128)</f>
        <v/>
      </c>
      <c r="AZ67" s="5">
        <f>Adds!AZ125+IF(Params!$B$7=1,Adds!AZ124,Adds!AZ128)</f>
        <v/>
      </c>
      <c r="BA67" s="5">
        <f>Adds!BA125+IF(Params!$B$7=1,Adds!BA124,Adds!BA128)</f>
        <v/>
      </c>
      <c r="BB67" s="5">
        <f>Adds!BB125+IF(Params!$B$7=1,Adds!BB124,Adds!BB128)</f>
        <v/>
      </c>
      <c r="BC67" s="5">
        <f>Adds!BC125+IF(Params!$B$7=1,Adds!BC124,Adds!BC128)</f>
        <v/>
      </c>
      <c r="BD67" s="5">
        <f>Adds!BD125+IF(Params!$B$7=1,Adds!BD124,Adds!BD128)</f>
        <v/>
      </c>
      <c r="BE67" s="5">
        <f>Adds!BE125+IF(Params!$B$7=1,Adds!BE124,Adds!BE128)</f>
        <v/>
      </c>
      <c r="BF67" s="5">
        <f>Adds!BF125+IF(Params!$B$7=1,Adds!BF124,Adds!BF128)</f>
        <v/>
      </c>
      <c r="BG67" s="5">
        <f>Adds!BG125+IF(Params!$B$7=1,Adds!BG124,Adds!BG128)</f>
        <v/>
      </c>
      <c r="BH67" s="5">
        <f>Adds!BH125+IF(Params!$B$7=1,Adds!BH124,Adds!BH128)</f>
        <v/>
      </c>
      <c r="BI67" s="5">
        <f>Adds!BI125+IF(Params!$B$7=1,Adds!BI124,Adds!BI128)</f>
        <v/>
      </c>
      <c r="BJ67" s="5">
        <f>Adds!BJ125+IF(Params!$B$7=1,Adds!BJ124,Adds!BJ128)</f>
        <v/>
      </c>
      <c r="BK67" s="5">
        <f>Adds!BK125+IF(Params!$B$7=1,Adds!BK124,Adds!BK128)</f>
        <v/>
      </c>
      <c r="BL67" s="5">
        <f>Adds!BL125+IF(Params!$B$7=1,Adds!BL124,Adds!BL128)</f>
        <v/>
      </c>
      <c r="BM67" s="5">
        <f>Adds!BM125+IF(Params!$B$7=1,Adds!BM124,Adds!BM128)</f>
        <v/>
      </c>
      <c r="BN67" s="5">
        <f>Adds!BN125+IF(Params!$B$7=1,Adds!BN124,Adds!BN128)</f>
        <v/>
      </c>
      <c r="BO67" s="5">
        <f>Adds!BO125+IF(Params!$B$7=1,Adds!BO124,Adds!BO128)</f>
        <v/>
      </c>
      <c r="BP67" s="5">
        <f>Adds!BP125+IF(Params!$B$7=1,Adds!BP124,Adds!BP128)</f>
        <v/>
      </c>
      <c r="BQ67" s="5">
        <f>Adds!BQ125+IF(Params!$B$7=1,Adds!BQ124,Adds!BQ128)</f>
        <v/>
      </c>
      <c r="BR67" s="5">
        <f>Adds!BR125+IF(Params!$B$7=1,Adds!BR124,Adds!BR128)</f>
        <v/>
      </c>
      <c r="BS67" s="5">
        <f>Adds!BS125+IF(Params!$B$7=1,Adds!BS124,Adds!BS128)</f>
        <v/>
      </c>
      <c r="BT67" s="5">
        <f>Adds!BT125+IF(Params!$B$7=1,Adds!BT124,Adds!BT128)</f>
        <v/>
      </c>
      <c r="BU67" s="5">
        <f>Adds!BU125+IF(Params!$B$7=1,Adds!BU124,Adds!BU128)</f>
        <v/>
      </c>
      <c r="BV67" s="5">
        <f>Adds!BV125+IF(Params!$B$7=1,Adds!BV124,Adds!BV128)</f>
        <v/>
      </c>
    </row>
    <row r="68">
      <c r="A68" t="inlineStr">
        <is>
          <t>reactivated</t>
        </is>
      </c>
      <c r="B68" t="inlineStr">
        <is>
          <t>LATAM|NITRO_M</t>
        </is>
      </c>
      <c r="C68" s="5">
        <f>React!C112</f>
        <v/>
      </c>
      <c r="D68" s="5">
        <f>React!D112</f>
        <v/>
      </c>
      <c r="E68" s="5">
        <f>React!E112</f>
        <v/>
      </c>
      <c r="F68" s="5">
        <f>React!F112</f>
        <v/>
      </c>
      <c r="G68" s="5">
        <f>React!G112</f>
        <v/>
      </c>
      <c r="H68" s="5">
        <f>React!H112</f>
        <v/>
      </c>
      <c r="I68" s="5">
        <f>React!I112</f>
        <v/>
      </c>
      <c r="J68" s="5">
        <f>React!J112</f>
        <v/>
      </c>
      <c r="K68" s="5">
        <f>React!K112</f>
        <v/>
      </c>
      <c r="L68" s="5">
        <f>React!L112</f>
        <v/>
      </c>
      <c r="M68" s="5">
        <f>React!M112</f>
        <v/>
      </c>
      <c r="N68" s="5">
        <f>React!N112</f>
        <v/>
      </c>
      <c r="O68" s="5">
        <f>React!O112</f>
        <v/>
      </c>
      <c r="P68" s="5">
        <f>React!P112</f>
        <v/>
      </c>
      <c r="Q68" s="5">
        <f>React!Q112</f>
        <v/>
      </c>
      <c r="R68" s="5">
        <f>React!R112</f>
        <v/>
      </c>
      <c r="S68" s="5">
        <f>React!S112</f>
        <v/>
      </c>
      <c r="T68" s="5">
        <f>React!T112</f>
        <v/>
      </c>
      <c r="U68" s="5">
        <f>React!U112</f>
        <v/>
      </c>
      <c r="V68" s="5">
        <f>React!V112</f>
        <v/>
      </c>
      <c r="W68" s="5">
        <f>React!W112</f>
        <v/>
      </c>
      <c r="X68" s="5">
        <f>React!X112</f>
        <v/>
      </c>
      <c r="Y68" s="5">
        <f>React!Y112</f>
        <v/>
      </c>
      <c r="Z68" s="5">
        <f>React!Z112</f>
        <v/>
      </c>
      <c r="AA68" s="5">
        <f>React!AA112</f>
        <v/>
      </c>
      <c r="AB68" s="5">
        <f>React!AB112</f>
        <v/>
      </c>
      <c r="AC68" s="5">
        <f>React!AC112</f>
        <v/>
      </c>
      <c r="AD68" s="5">
        <f>React!AD112</f>
        <v/>
      </c>
      <c r="AE68" s="5">
        <f>React!AE112</f>
        <v/>
      </c>
      <c r="AF68" s="5">
        <f>React!AF112</f>
        <v/>
      </c>
      <c r="AG68" s="5">
        <f>React!AG112</f>
        <v/>
      </c>
      <c r="AH68" s="5">
        <f>React!AH112</f>
        <v/>
      </c>
      <c r="AI68" s="5">
        <f>React!AI112</f>
        <v/>
      </c>
      <c r="AJ68" s="5">
        <f>React!AJ112</f>
        <v/>
      </c>
      <c r="AK68" s="5">
        <f>React!AK112</f>
        <v/>
      </c>
      <c r="AL68" s="5">
        <f>React!AL112</f>
        <v/>
      </c>
      <c r="AM68" s="5">
        <f>React!AM112</f>
        <v/>
      </c>
      <c r="AN68" s="5">
        <f>React!AN112</f>
        <v/>
      </c>
      <c r="AO68" s="5">
        <f>React!AO112</f>
        <v/>
      </c>
      <c r="AP68" s="5">
        <f>React!AP112</f>
        <v/>
      </c>
      <c r="AQ68" s="5">
        <f>React!AQ112</f>
        <v/>
      </c>
      <c r="AR68" s="5">
        <f>React!AR112</f>
        <v/>
      </c>
      <c r="AS68" s="5">
        <f>React!AS112</f>
        <v/>
      </c>
      <c r="AT68" s="5">
        <f>React!AT112</f>
        <v/>
      </c>
      <c r="AU68" s="5">
        <f>React!AU112</f>
        <v/>
      </c>
      <c r="AV68" s="5">
        <f>React!AV112</f>
        <v/>
      </c>
      <c r="AW68" s="5">
        <f>React!AW112</f>
        <v/>
      </c>
      <c r="AX68" s="5">
        <f>React!AX112</f>
        <v/>
      </c>
      <c r="AY68" s="5">
        <f>React!AY112</f>
        <v/>
      </c>
      <c r="AZ68" s="5">
        <f>React!AZ112</f>
        <v/>
      </c>
      <c r="BA68" s="5">
        <f>React!BA112</f>
        <v/>
      </c>
      <c r="BB68" s="5">
        <f>React!BB112</f>
        <v/>
      </c>
      <c r="BC68" s="5">
        <f>React!BC112</f>
        <v/>
      </c>
      <c r="BD68" s="5">
        <f>React!BD112</f>
        <v/>
      </c>
      <c r="BE68" s="5">
        <f>React!BE112</f>
        <v/>
      </c>
      <c r="BF68" s="5">
        <f>React!BF112</f>
        <v/>
      </c>
      <c r="BG68" s="5">
        <f>React!BG112</f>
        <v/>
      </c>
      <c r="BH68" s="5">
        <f>React!BH112</f>
        <v/>
      </c>
      <c r="BI68" s="5">
        <f>React!BI112</f>
        <v/>
      </c>
      <c r="BJ68" s="5">
        <f>React!BJ112</f>
        <v/>
      </c>
      <c r="BK68" s="5">
        <f>React!BK112</f>
        <v/>
      </c>
      <c r="BL68" s="5">
        <f>React!BL112</f>
        <v/>
      </c>
      <c r="BM68" s="5">
        <f>React!BM112</f>
        <v/>
      </c>
      <c r="BN68" s="5">
        <f>React!BN112</f>
        <v/>
      </c>
      <c r="BO68" s="5">
        <f>React!BO112</f>
        <v/>
      </c>
      <c r="BP68" s="5">
        <f>React!BP112</f>
        <v/>
      </c>
      <c r="BQ68" s="5">
        <f>React!BQ112</f>
        <v/>
      </c>
      <c r="BR68" s="5">
        <f>React!BR112</f>
        <v/>
      </c>
      <c r="BS68" s="5">
        <f>React!BS112</f>
        <v/>
      </c>
      <c r="BT68" s="5">
        <f>React!BT112</f>
        <v/>
      </c>
      <c r="BU68" s="5">
        <f>React!BU112</f>
        <v/>
      </c>
      <c r="BV68" s="5">
        <f>React!BV112</f>
        <v/>
      </c>
    </row>
    <row r="69">
      <c r="A69" t="inlineStr">
        <is>
          <t>churned</t>
        </is>
      </c>
      <c r="B69" t="inlineStr">
        <is>
          <t>LATAM|NITRO_M</t>
        </is>
      </c>
      <c r="C69" s="5">
        <f>Legacy!C39+Paid!C37+React!C118+Params!$B$7*Adds!C129</f>
        <v/>
      </c>
      <c r="D69" s="5">
        <f>Legacy!D39+Paid!D37+React!D118+Params!$B$7*Adds!D129</f>
        <v/>
      </c>
      <c r="E69" s="5">
        <f>Legacy!E39+Paid!E37+React!E118+Params!$B$7*Adds!E129</f>
        <v/>
      </c>
      <c r="F69" s="5">
        <f>Legacy!F39+Paid!F37+React!F118+Params!$B$7*Adds!F129</f>
        <v/>
      </c>
      <c r="G69" s="5">
        <f>Legacy!G39+Paid!G37+React!G118+Params!$B$7*Adds!G129</f>
        <v/>
      </c>
      <c r="H69" s="5">
        <f>Legacy!H39+Paid!H37+React!H118+Params!$B$7*Adds!H129</f>
        <v/>
      </c>
      <c r="I69" s="5">
        <f>Legacy!I39+Paid!I37+React!I118+Params!$B$7*Adds!I129</f>
        <v/>
      </c>
      <c r="J69" s="5">
        <f>Legacy!J39+Paid!J37+React!J118+Params!$B$7*Adds!J129</f>
        <v/>
      </c>
      <c r="K69" s="5">
        <f>Legacy!K39+Paid!K37+React!K118+Params!$B$7*Adds!K129</f>
        <v/>
      </c>
      <c r="L69" s="5">
        <f>Legacy!L39+Paid!L37+React!L118+Params!$B$7*Adds!L129</f>
        <v/>
      </c>
      <c r="M69" s="5">
        <f>Legacy!M39+Paid!M37+React!M118+Params!$B$7*Adds!M129</f>
        <v/>
      </c>
      <c r="N69" s="5">
        <f>Legacy!N39+Paid!N37+React!N118+Params!$B$7*Adds!N129</f>
        <v/>
      </c>
      <c r="O69" s="5">
        <f>Legacy!O39+Paid!O37+React!O118+Params!$B$7*Adds!O129</f>
        <v/>
      </c>
      <c r="P69" s="5">
        <f>Legacy!P39+Paid!P37+React!P118+Params!$B$7*Adds!P129</f>
        <v/>
      </c>
      <c r="Q69" s="5">
        <f>Legacy!Q39+Paid!Q37+React!Q118+Params!$B$7*Adds!Q129</f>
        <v/>
      </c>
      <c r="R69" s="5">
        <f>Legacy!R39+Paid!R37+React!R118+Params!$B$7*Adds!R129</f>
        <v/>
      </c>
      <c r="S69" s="5">
        <f>Legacy!S39+Paid!S37+React!S118+Params!$B$7*Adds!S129</f>
        <v/>
      </c>
      <c r="T69" s="5">
        <f>Legacy!T39+Paid!T37+React!T118+Params!$B$7*Adds!T129</f>
        <v/>
      </c>
      <c r="U69" s="5">
        <f>Legacy!U39+Paid!U37+React!U118+Params!$B$7*Adds!U129</f>
        <v/>
      </c>
      <c r="V69" s="5">
        <f>Legacy!V39+Paid!V37+React!V118+Params!$B$7*Adds!V129</f>
        <v/>
      </c>
      <c r="W69" s="5">
        <f>Legacy!W39+Paid!W37+React!W118+Params!$B$7*Adds!W129</f>
        <v/>
      </c>
      <c r="X69" s="5">
        <f>Legacy!X39+Paid!X37+React!X118+Params!$B$7*Adds!X129</f>
        <v/>
      </c>
      <c r="Y69" s="5">
        <f>Legacy!Y39+Paid!Y37+React!Y118+Params!$B$7*Adds!Y129</f>
        <v/>
      </c>
      <c r="Z69" s="5">
        <f>Legacy!Z39+Paid!Z37+React!Z118+Params!$B$7*Adds!Z129</f>
        <v/>
      </c>
      <c r="AA69" s="5">
        <f>Legacy!AA39+Paid!AA37+React!AA118+Params!$B$7*Adds!AA129</f>
        <v/>
      </c>
      <c r="AB69" s="5">
        <f>Legacy!AB39+Paid!AB37+React!AB118+Params!$B$7*Adds!AB129</f>
        <v/>
      </c>
      <c r="AC69" s="5">
        <f>Legacy!AC39+Paid!AC37+React!AC118+Params!$B$7*Adds!AC129</f>
        <v/>
      </c>
      <c r="AD69" s="5">
        <f>Legacy!AD39+Paid!AD37+React!AD118+Params!$B$7*Adds!AD129</f>
        <v/>
      </c>
      <c r="AE69" s="5">
        <f>Legacy!AE39+Paid!AE37+React!AE118+Params!$B$7*Adds!AE129</f>
        <v/>
      </c>
      <c r="AF69" s="5">
        <f>Legacy!AF39+Paid!AF37+React!AF118+Params!$B$7*Adds!AF129</f>
        <v/>
      </c>
      <c r="AG69" s="5">
        <f>Legacy!AG39+Paid!AG37+React!AG118+Params!$B$7*Adds!AG129</f>
        <v/>
      </c>
      <c r="AH69" s="5">
        <f>Legacy!AH39+Paid!AH37+React!AH118+Params!$B$7*Adds!AH129</f>
        <v/>
      </c>
      <c r="AI69" s="5">
        <f>Legacy!AI39+Paid!AI37+React!AI118+Params!$B$7*Adds!AI129</f>
        <v/>
      </c>
      <c r="AJ69" s="5">
        <f>Legacy!AJ39+Paid!AJ37+React!AJ118+Params!$B$7*Adds!AJ129</f>
        <v/>
      </c>
      <c r="AK69" s="5">
        <f>Legacy!AK39+Paid!AK37+React!AK118+Params!$B$7*Adds!AK129</f>
        <v/>
      </c>
      <c r="AL69" s="5">
        <f>Legacy!AL39+Paid!AL37+React!AL118+Params!$B$7*Adds!AL129</f>
        <v/>
      </c>
      <c r="AM69" s="5">
        <f>Legacy!AM39+Paid!AM37+React!AM118+Params!$B$7*Adds!AM129</f>
        <v/>
      </c>
      <c r="AN69" s="5">
        <f>Legacy!AN39+Paid!AN37+React!AN118+Params!$B$7*Adds!AN129</f>
        <v/>
      </c>
      <c r="AO69" s="5">
        <f>Legacy!AO39+Paid!AO37+React!AO118+Params!$B$7*Adds!AO129</f>
        <v/>
      </c>
      <c r="AP69" s="5">
        <f>Legacy!AP39+Paid!AP37+React!AP118+Params!$B$7*Adds!AP129</f>
        <v/>
      </c>
      <c r="AQ69" s="5">
        <f>Legacy!AQ39+Paid!AQ37+React!AQ118+Params!$B$7*Adds!AQ129</f>
        <v/>
      </c>
      <c r="AR69" s="5">
        <f>Legacy!AR39+Paid!AR37+React!AR118+Params!$B$7*Adds!AR129</f>
        <v/>
      </c>
      <c r="AS69" s="5">
        <f>Legacy!AS39+Paid!AS37+React!AS118+Params!$B$7*Adds!AS129</f>
        <v/>
      </c>
      <c r="AT69" s="5">
        <f>Legacy!AT39+Paid!AT37+React!AT118+Params!$B$7*Adds!AT129</f>
        <v/>
      </c>
      <c r="AU69" s="5">
        <f>Legacy!AU39+Paid!AU37+React!AU118+Params!$B$7*Adds!AU129</f>
        <v/>
      </c>
      <c r="AV69" s="5">
        <f>Legacy!AV39+Paid!AV37+React!AV118+Params!$B$7*Adds!AV129</f>
        <v/>
      </c>
      <c r="AW69" s="5">
        <f>Legacy!AW39+Paid!AW37+React!AW118+Params!$B$7*Adds!AW129</f>
        <v/>
      </c>
      <c r="AX69" s="5">
        <f>Legacy!AX39+Paid!AX37+React!AX118+Params!$B$7*Adds!AX129</f>
        <v/>
      </c>
      <c r="AY69" s="5">
        <f>Legacy!AY39+Paid!AY37+React!AY118+Params!$B$7*Adds!AY129</f>
        <v/>
      </c>
      <c r="AZ69" s="5">
        <f>Legacy!AZ39+Paid!AZ37+React!AZ118+Params!$B$7*Adds!AZ129</f>
        <v/>
      </c>
      <c r="BA69" s="5">
        <f>Legacy!BA39+Paid!BA37+React!BA118+Params!$B$7*Adds!BA129</f>
        <v/>
      </c>
      <c r="BB69" s="5">
        <f>Legacy!BB39+Paid!BB37+React!BB118+Params!$B$7*Adds!BB129</f>
        <v/>
      </c>
      <c r="BC69" s="5">
        <f>Legacy!BC39+Paid!BC37+React!BC118+Params!$B$7*Adds!BC129</f>
        <v/>
      </c>
      <c r="BD69" s="5">
        <f>Legacy!BD39+Paid!BD37+React!BD118+Params!$B$7*Adds!BD129</f>
        <v/>
      </c>
      <c r="BE69" s="5">
        <f>Legacy!BE39+Paid!BE37+React!BE118+Params!$B$7*Adds!BE129</f>
        <v/>
      </c>
      <c r="BF69" s="5">
        <f>Legacy!BF39+Paid!BF37+React!BF118+Params!$B$7*Adds!BF129</f>
        <v/>
      </c>
      <c r="BG69" s="5">
        <f>Legacy!BG39+Paid!BG37+React!BG118+Params!$B$7*Adds!BG129</f>
        <v/>
      </c>
      <c r="BH69" s="5">
        <f>Legacy!BH39+Paid!BH37+React!BH118+Params!$B$7*Adds!BH129</f>
        <v/>
      </c>
      <c r="BI69" s="5">
        <f>Legacy!BI39+Paid!BI37+React!BI118+Params!$B$7*Adds!BI129</f>
        <v/>
      </c>
      <c r="BJ69" s="5">
        <f>Legacy!BJ39+Paid!BJ37+React!BJ118+Params!$B$7*Adds!BJ129</f>
        <v/>
      </c>
      <c r="BK69" s="5">
        <f>Legacy!BK39+Paid!BK37+React!BK118+Params!$B$7*Adds!BK129</f>
        <v/>
      </c>
      <c r="BL69" s="5">
        <f>Legacy!BL39+Paid!BL37+React!BL118+Params!$B$7*Adds!BL129</f>
        <v/>
      </c>
      <c r="BM69" s="5">
        <f>Legacy!BM39+Paid!BM37+React!BM118+Params!$B$7*Adds!BM129</f>
        <v/>
      </c>
      <c r="BN69" s="5">
        <f>Legacy!BN39+Paid!BN37+React!BN118+Params!$B$7*Adds!BN129</f>
        <v/>
      </c>
      <c r="BO69" s="5">
        <f>Legacy!BO39+Paid!BO37+React!BO118+Params!$B$7*Adds!BO129</f>
        <v/>
      </c>
      <c r="BP69" s="5">
        <f>Legacy!BP39+Paid!BP37+React!BP118+Params!$B$7*Adds!BP129</f>
        <v/>
      </c>
      <c r="BQ69" s="5">
        <f>Legacy!BQ39+Paid!BQ37+React!BQ118+Params!$B$7*Adds!BQ129</f>
        <v/>
      </c>
      <c r="BR69" s="5">
        <f>Legacy!BR39+Paid!BR37+React!BR118+Params!$B$7*Adds!BR129</f>
        <v/>
      </c>
      <c r="BS69" s="5">
        <f>Legacy!BS39+Paid!BS37+React!BS118+Params!$B$7*Adds!BS129</f>
        <v/>
      </c>
      <c r="BT69" s="5">
        <f>Legacy!BT39+Paid!BT37+React!BT118+Params!$B$7*Adds!BT129</f>
        <v/>
      </c>
      <c r="BU69" s="5">
        <f>Legacy!BU39+Paid!BU37+React!BU118+Params!$B$7*Adds!BU129</f>
        <v/>
      </c>
      <c r="BV69" s="5">
        <f>Legacy!BV39+Paid!BV37+React!BV118+Params!$B$7*Adds!BV129</f>
        <v/>
      </c>
    </row>
    <row r="70">
      <c r="A70" t="inlineStr">
        <is>
          <t>closing</t>
        </is>
      </c>
      <c r="B70" t="inlineStr">
        <is>
          <t>LATAM|NITRO_M</t>
        </is>
      </c>
      <c r="C70" s="5">
        <f>C71+Params!$B$7*Adds!C132</f>
        <v/>
      </c>
      <c r="D70" s="5">
        <f>D71+Params!$B$7*Adds!D132</f>
        <v/>
      </c>
      <c r="E70" s="5">
        <f>E71+Params!$B$7*Adds!E132</f>
        <v/>
      </c>
      <c r="F70" s="5">
        <f>F71+Params!$B$7*Adds!F132</f>
        <v/>
      </c>
      <c r="G70" s="5">
        <f>G71+Params!$B$7*Adds!G132</f>
        <v/>
      </c>
      <c r="H70" s="5">
        <f>H71+Params!$B$7*Adds!H132</f>
        <v/>
      </c>
      <c r="I70" s="5">
        <f>I71+Params!$B$7*Adds!I132</f>
        <v/>
      </c>
      <c r="J70" s="5">
        <f>J71+Params!$B$7*Adds!J132</f>
        <v/>
      </c>
      <c r="K70" s="5">
        <f>K71+Params!$B$7*Adds!K132</f>
        <v/>
      </c>
      <c r="L70" s="5">
        <f>L71+Params!$B$7*Adds!L132</f>
        <v/>
      </c>
      <c r="M70" s="5">
        <f>M71+Params!$B$7*Adds!M132</f>
        <v/>
      </c>
      <c r="N70" s="5">
        <f>N71+Params!$B$7*Adds!N132</f>
        <v/>
      </c>
      <c r="O70" s="5">
        <f>O71+Params!$B$7*Adds!O132</f>
        <v/>
      </c>
      <c r="P70" s="5">
        <f>P71+Params!$B$7*Adds!P132</f>
        <v/>
      </c>
      <c r="Q70" s="5">
        <f>Q71+Params!$B$7*Adds!Q132</f>
        <v/>
      </c>
      <c r="R70" s="5">
        <f>R71+Params!$B$7*Adds!R132</f>
        <v/>
      </c>
      <c r="S70" s="5">
        <f>S71+Params!$B$7*Adds!S132</f>
        <v/>
      </c>
      <c r="T70" s="5">
        <f>T71+Params!$B$7*Adds!T132</f>
        <v/>
      </c>
      <c r="U70" s="5">
        <f>U71+Params!$B$7*Adds!U132</f>
        <v/>
      </c>
      <c r="V70" s="5">
        <f>V71+Params!$B$7*Adds!V132</f>
        <v/>
      </c>
      <c r="W70" s="5">
        <f>W71+Params!$B$7*Adds!W132</f>
        <v/>
      </c>
      <c r="X70" s="5">
        <f>X71+Params!$B$7*Adds!X132</f>
        <v/>
      </c>
      <c r="Y70" s="5">
        <f>Y71+Params!$B$7*Adds!Y132</f>
        <v/>
      </c>
      <c r="Z70" s="5">
        <f>Z71+Params!$B$7*Adds!Z132</f>
        <v/>
      </c>
      <c r="AA70" s="5">
        <f>AA71+Params!$B$7*Adds!AA132</f>
        <v/>
      </c>
      <c r="AB70" s="5">
        <f>AB71+Params!$B$7*Adds!AB132</f>
        <v/>
      </c>
      <c r="AC70" s="5">
        <f>AC71+Params!$B$7*Adds!AC132</f>
        <v/>
      </c>
      <c r="AD70" s="5">
        <f>AD71+Params!$B$7*Adds!AD132</f>
        <v/>
      </c>
      <c r="AE70" s="5">
        <f>AE71+Params!$B$7*Adds!AE132</f>
        <v/>
      </c>
      <c r="AF70" s="5">
        <f>AF71+Params!$B$7*Adds!AF132</f>
        <v/>
      </c>
      <c r="AG70" s="5">
        <f>AG71+Params!$B$7*Adds!AG132</f>
        <v/>
      </c>
      <c r="AH70" s="5">
        <f>AH71+Params!$B$7*Adds!AH132</f>
        <v/>
      </c>
      <c r="AI70" s="5">
        <f>AI71+Params!$B$7*Adds!AI132</f>
        <v/>
      </c>
      <c r="AJ70" s="5">
        <f>AJ71+Params!$B$7*Adds!AJ132</f>
        <v/>
      </c>
      <c r="AK70" s="5">
        <f>AK71+Params!$B$7*Adds!AK132</f>
        <v/>
      </c>
      <c r="AL70" s="5">
        <f>AL71+Params!$B$7*Adds!AL132</f>
        <v/>
      </c>
      <c r="AM70" s="5">
        <f>AM71+Params!$B$7*Adds!AM132</f>
        <v/>
      </c>
      <c r="AN70" s="5">
        <f>AN71+Params!$B$7*Adds!AN132</f>
        <v/>
      </c>
      <c r="AO70" s="5">
        <f>AO71+Params!$B$7*Adds!AO132</f>
        <v/>
      </c>
      <c r="AP70" s="5">
        <f>AP71+Params!$B$7*Adds!AP132</f>
        <v/>
      </c>
      <c r="AQ70" s="5">
        <f>AQ71+Params!$B$7*Adds!AQ132</f>
        <v/>
      </c>
      <c r="AR70" s="5">
        <f>AR71+Params!$B$7*Adds!AR132</f>
        <v/>
      </c>
      <c r="AS70" s="5">
        <f>AS71+Params!$B$7*Adds!AS132</f>
        <v/>
      </c>
      <c r="AT70" s="5">
        <f>AT71+Params!$B$7*Adds!AT132</f>
        <v/>
      </c>
      <c r="AU70" s="5">
        <f>AU71+Params!$B$7*Adds!AU132</f>
        <v/>
      </c>
      <c r="AV70" s="5">
        <f>AV71+Params!$B$7*Adds!AV132</f>
        <v/>
      </c>
      <c r="AW70" s="5">
        <f>AW71+Params!$B$7*Adds!AW132</f>
        <v/>
      </c>
      <c r="AX70" s="5">
        <f>AX71+Params!$B$7*Adds!AX132</f>
        <v/>
      </c>
      <c r="AY70" s="5">
        <f>AY71+Params!$B$7*Adds!AY132</f>
        <v/>
      </c>
      <c r="AZ70" s="5">
        <f>AZ71+Params!$B$7*Adds!AZ132</f>
        <v/>
      </c>
      <c r="BA70" s="5">
        <f>BA71+Params!$B$7*Adds!BA132</f>
        <v/>
      </c>
      <c r="BB70" s="5">
        <f>BB71+Params!$B$7*Adds!BB132</f>
        <v/>
      </c>
      <c r="BC70" s="5">
        <f>BC71+Params!$B$7*Adds!BC132</f>
        <v/>
      </c>
      <c r="BD70" s="5">
        <f>BD71+Params!$B$7*Adds!BD132</f>
        <v/>
      </c>
      <c r="BE70" s="5">
        <f>BE71+Params!$B$7*Adds!BE132</f>
        <v/>
      </c>
      <c r="BF70" s="5">
        <f>BF71+Params!$B$7*Adds!BF132</f>
        <v/>
      </c>
      <c r="BG70" s="5">
        <f>BG71+Params!$B$7*Adds!BG132</f>
        <v/>
      </c>
      <c r="BH70" s="5">
        <f>BH71+Params!$B$7*Adds!BH132</f>
        <v/>
      </c>
      <c r="BI70" s="5">
        <f>BI71+Params!$B$7*Adds!BI132</f>
        <v/>
      </c>
      <c r="BJ70" s="5">
        <f>BJ71+Params!$B$7*Adds!BJ132</f>
        <v/>
      </c>
      <c r="BK70" s="5">
        <f>BK71+Params!$B$7*Adds!BK132</f>
        <v/>
      </c>
      <c r="BL70" s="5">
        <f>BL71+Params!$B$7*Adds!BL132</f>
        <v/>
      </c>
      <c r="BM70" s="5">
        <f>BM71+Params!$B$7*Adds!BM132</f>
        <v/>
      </c>
      <c r="BN70" s="5">
        <f>BN71+Params!$B$7*Adds!BN132</f>
        <v/>
      </c>
      <c r="BO70" s="5">
        <f>BO71+Params!$B$7*Adds!BO132</f>
        <v/>
      </c>
      <c r="BP70" s="5">
        <f>BP71+Params!$B$7*Adds!BP132</f>
        <v/>
      </c>
      <c r="BQ70" s="5">
        <f>BQ71+Params!$B$7*Adds!BQ132</f>
        <v/>
      </c>
      <c r="BR70" s="5">
        <f>BR71+Params!$B$7*Adds!BR132</f>
        <v/>
      </c>
      <c r="BS70" s="5">
        <f>BS71+Params!$B$7*Adds!BS132</f>
        <v/>
      </c>
      <c r="BT70" s="5">
        <f>BT71+Params!$B$7*Adds!BT132</f>
        <v/>
      </c>
      <c r="BU70" s="5">
        <f>BU71+Params!$B$7*Adds!BU132</f>
        <v/>
      </c>
      <c r="BV70" s="5">
        <f>BV71+Params!$B$7*Adds!BV132</f>
        <v/>
      </c>
    </row>
    <row r="71">
      <c r="A71" t="inlineStr">
        <is>
          <t>paying</t>
        </is>
      </c>
      <c r="B71" t="inlineStr">
        <is>
          <t>LATAM|NITRO_M</t>
        </is>
      </c>
      <c r="C71" s="5">
        <f>Legacy!C38+Paid!C35+React!C116</f>
        <v/>
      </c>
      <c r="D71" s="5">
        <f>Legacy!D38+Paid!D35+React!D116</f>
        <v/>
      </c>
      <c r="E71" s="5">
        <f>Legacy!E38+Paid!E35+React!E116</f>
        <v/>
      </c>
      <c r="F71" s="5">
        <f>Legacy!F38+Paid!F35+React!F116</f>
        <v/>
      </c>
      <c r="G71" s="5">
        <f>Legacy!G38+Paid!G35+React!G116</f>
        <v/>
      </c>
      <c r="H71" s="5">
        <f>Legacy!H38+Paid!H35+React!H116</f>
        <v/>
      </c>
      <c r="I71" s="5">
        <f>Legacy!I38+Paid!I35+React!I116</f>
        <v/>
      </c>
      <c r="J71" s="5">
        <f>Legacy!J38+Paid!J35+React!J116</f>
        <v/>
      </c>
      <c r="K71" s="5">
        <f>Legacy!K38+Paid!K35+React!K116</f>
        <v/>
      </c>
      <c r="L71" s="5">
        <f>Legacy!L38+Paid!L35+React!L116</f>
        <v/>
      </c>
      <c r="M71" s="5">
        <f>Legacy!M38+Paid!M35+React!M116</f>
        <v/>
      </c>
      <c r="N71" s="5">
        <f>Legacy!N38+Paid!N35+React!N116</f>
        <v/>
      </c>
      <c r="O71" s="5">
        <f>Legacy!O38+Paid!O35+React!O116</f>
        <v/>
      </c>
      <c r="P71" s="5">
        <f>Legacy!P38+Paid!P35+React!P116</f>
        <v/>
      </c>
      <c r="Q71" s="5">
        <f>Legacy!Q38+Paid!Q35+React!Q116</f>
        <v/>
      </c>
      <c r="R71" s="5">
        <f>Legacy!R38+Paid!R35+React!R116</f>
        <v/>
      </c>
      <c r="S71" s="5">
        <f>Legacy!S38+Paid!S35+React!S116</f>
        <v/>
      </c>
      <c r="T71" s="5">
        <f>Legacy!T38+Paid!T35+React!T116</f>
        <v/>
      </c>
      <c r="U71" s="5">
        <f>Legacy!U38+Paid!U35+React!U116</f>
        <v/>
      </c>
      <c r="V71" s="5">
        <f>Legacy!V38+Paid!V35+React!V116</f>
        <v/>
      </c>
      <c r="W71" s="5">
        <f>Legacy!W38+Paid!W35+React!W116</f>
        <v/>
      </c>
      <c r="X71" s="5">
        <f>Legacy!X38+Paid!X35+React!X116</f>
        <v/>
      </c>
      <c r="Y71" s="5">
        <f>Legacy!Y38+Paid!Y35+React!Y116</f>
        <v/>
      </c>
      <c r="Z71" s="5">
        <f>Legacy!Z38+Paid!Z35+React!Z116</f>
        <v/>
      </c>
      <c r="AA71" s="5">
        <f>Legacy!AA38+Paid!AA35+React!AA116</f>
        <v/>
      </c>
      <c r="AB71" s="5">
        <f>Legacy!AB38+Paid!AB35+React!AB116</f>
        <v/>
      </c>
      <c r="AC71" s="5">
        <f>Legacy!AC38+Paid!AC35+React!AC116</f>
        <v/>
      </c>
      <c r="AD71" s="5">
        <f>Legacy!AD38+Paid!AD35+React!AD116</f>
        <v/>
      </c>
      <c r="AE71" s="5">
        <f>Legacy!AE38+Paid!AE35+React!AE116</f>
        <v/>
      </c>
      <c r="AF71" s="5">
        <f>Legacy!AF38+Paid!AF35+React!AF116</f>
        <v/>
      </c>
      <c r="AG71" s="5">
        <f>Legacy!AG38+Paid!AG35+React!AG116</f>
        <v/>
      </c>
      <c r="AH71" s="5">
        <f>Legacy!AH38+Paid!AH35+React!AH116</f>
        <v/>
      </c>
      <c r="AI71" s="5">
        <f>Legacy!AI38+Paid!AI35+React!AI116</f>
        <v/>
      </c>
      <c r="AJ71" s="5">
        <f>Legacy!AJ38+Paid!AJ35+React!AJ116</f>
        <v/>
      </c>
      <c r="AK71" s="5">
        <f>Legacy!AK38+Paid!AK35+React!AK116</f>
        <v/>
      </c>
      <c r="AL71" s="5">
        <f>Legacy!AL38+Paid!AL35+React!AL116</f>
        <v/>
      </c>
      <c r="AM71" s="5">
        <f>Legacy!AM38+Paid!AM35+React!AM116</f>
        <v/>
      </c>
      <c r="AN71" s="5">
        <f>Legacy!AN38+Paid!AN35+React!AN116</f>
        <v/>
      </c>
      <c r="AO71" s="5">
        <f>Legacy!AO38+Paid!AO35+React!AO116</f>
        <v/>
      </c>
      <c r="AP71" s="5">
        <f>Legacy!AP38+Paid!AP35+React!AP116</f>
        <v/>
      </c>
      <c r="AQ71" s="5">
        <f>Legacy!AQ38+Paid!AQ35+React!AQ116</f>
        <v/>
      </c>
      <c r="AR71" s="5">
        <f>Legacy!AR38+Paid!AR35+React!AR116</f>
        <v/>
      </c>
      <c r="AS71" s="5">
        <f>Legacy!AS38+Paid!AS35+React!AS116</f>
        <v/>
      </c>
      <c r="AT71" s="5">
        <f>Legacy!AT38+Paid!AT35+React!AT116</f>
        <v/>
      </c>
      <c r="AU71" s="5">
        <f>Legacy!AU38+Paid!AU35+React!AU116</f>
        <v/>
      </c>
      <c r="AV71" s="5">
        <f>Legacy!AV38+Paid!AV35+React!AV116</f>
        <v/>
      </c>
      <c r="AW71" s="5">
        <f>Legacy!AW38+Paid!AW35+React!AW116</f>
        <v/>
      </c>
      <c r="AX71" s="5">
        <f>Legacy!AX38+Paid!AX35+React!AX116</f>
        <v/>
      </c>
      <c r="AY71" s="5">
        <f>Legacy!AY38+Paid!AY35+React!AY116</f>
        <v/>
      </c>
      <c r="AZ71" s="5">
        <f>Legacy!AZ38+Paid!AZ35+React!AZ116</f>
        <v/>
      </c>
      <c r="BA71" s="5">
        <f>Legacy!BA38+Paid!BA35+React!BA116</f>
        <v/>
      </c>
      <c r="BB71" s="5">
        <f>Legacy!BB38+Paid!BB35+React!BB116</f>
        <v/>
      </c>
      <c r="BC71" s="5">
        <f>Legacy!BC38+Paid!BC35+React!BC116</f>
        <v/>
      </c>
      <c r="BD71" s="5">
        <f>Legacy!BD38+Paid!BD35+React!BD116</f>
        <v/>
      </c>
      <c r="BE71" s="5">
        <f>Legacy!BE38+Paid!BE35+React!BE116</f>
        <v/>
      </c>
      <c r="BF71" s="5">
        <f>Legacy!BF38+Paid!BF35+React!BF116</f>
        <v/>
      </c>
      <c r="BG71" s="5">
        <f>Legacy!BG38+Paid!BG35+React!BG116</f>
        <v/>
      </c>
      <c r="BH71" s="5">
        <f>Legacy!BH38+Paid!BH35+React!BH116</f>
        <v/>
      </c>
      <c r="BI71" s="5">
        <f>Legacy!BI38+Paid!BI35+React!BI116</f>
        <v/>
      </c>
      <c r="BJ71" s="5">
        <f>Legacy!BJ38+Paid!BJ35+React!BJ116</f>
        <v/>
      </c>
      <c r="BK71" s="5">
        <f>Legacy!BK38+Paid!BK35+React!BK116</f>
        <v/>
      </c>
      <c r="BL71" s="5">
        <f>Legacy!BL38+Paid!BL35+React!BL116</f>
        <v/>
      </c>
      <c r="BM71" s="5">
        <f>Legacy!BM38+Paid!BM35+React!BM116</f>
        <v/>
      </c>
      <c r="BN71" s="5">
        <f>Legacy!BN38+Paid!BN35+React!BN116</f>
        <v/>
      </c>
      <c r="BO71" s="5">
        <f>Legacy!BO38+Paid!BO35+React!BO116</f>
        <v/>
      </c>
      <c r="BP71" s="5">
        <f>Legacy!BP38+Paid!BP35+React!BP116</f>
        <v/>
      </c>
      <c r="BQ71" s="5">
        <f>Legacy!BQ38+Paid!BQ35+React!BQ116</f>
        <v/>
      </c>
      <c r="BR71" s="5">
        <f>Legacy!BR38+Paid!BR35+React!BR116</f>
        <v/>
      </c>
      <c r="BS71" s="5">
        <f>Legacy!BS38+Paid!BS35+React!BS116</f>
        <v/>
      </c>
      <c r="BT71" s="5">
        <f>Legacy!BT38+Paid!BT35+React!BT116</f>
        <v/>
      </c>
      <c r="BU71" s="5">
        <f>Legacy!BU38+Paid!BU35+React!BU116</f>
        <v/>
      </c>
      <c r="BV71" s="5">
        <f>Legacy!BV38+Paid!BV35+React!BV116</f>
        <v/>
      </c>
    </row>
    <row r="73">
      <c r="A73" t="inlineStr">
        <is>
          <t>opening</t>
        </is>
      </c>
      <c r="B73" t="inlineStr">
        <is>
          <t>LATAM|NITRO_A</t>
        </is>
      </c>
      <c r="C73" s="5">
        <f>Legacy!$C$41</f>
        <v/>
      </c>
      <c r="D73" s="5">
        <f>C77</f>
        <v/>
      </c>
      <c r="E73" s="5">
        <f>D77</f>
        <v/>
      </c>
      <c r="F73" s="5">
        <f>E77</f>
        <v/>
      </c>
      <c r="G73" s="5">
        <f>F77</f>
        <v/>
      </c>
      <c r="H73" s="5">
        <f>G77</f>
        <v/>
      </c>
      <c r="I73" s="5">
        <f>H77</f>
        <v/>
      </c>
      <c r="J73" s="5">
        <f>I77</f>
        <v/>
      </c>
      <c r="K73" s="5">
        <f>J77</f>
        <v/>
      </c>
      <c r="L73" s="5">
        <f>K77</f>
        <v/>
      </c>
      <c r="M73" s="5">
        <f>L77</f>
        <v/>
      </c>
      <c r="N73" s="5">
        <f>M77</f>
        <v/>
      </c>
      <c r="O73" s="5">
        <f>N77</f>
        <v/>
      </c>
      <c r="P73" s="5">
        <f>O77</f>
        <v/>
      </c>
      <c r="Q73" s="5">
        <f>P77</f>
        <v/>
      </c>
      <c r="R73" s="5">
        <f>Q77</f>
        <v/>
      </c>
      <c r="S73" s="5">
        <f>R77</f>
        <v/>
      </c>
      <c r="T73" s="5">
        <f>S77</f>
        <v/>
      </c>
      <c r="U73" s="5">
        <f>T77</f>
        <v/>
      </c>
      <c r="V73" s="5">
        <f>U77</f>
        <v/>
      </c>
      <c r="W73" s="5">
        <f>V77</f>
        <v/>
      </c>
      <c r="X73" s="5">
        <f>W77</f>
        <v/>
      </c>
      <c r="Y73" s="5">
        <f>X77</f>
        <v/>
      </c>
      <c r="Z73" s="5">
        <f>Y77</f>
        <v/>
      </c>
      <c r="AA73" s="5">
        <f>Z77</f>
        <v/>
      </c>
      <c r="AB73" s="5">
        <f>AA77</f>
        <v/>
      </c>
      <c r="AC73" s="5">
        <f>AB77</f>
        <v/>
      </c>
      <c r="AD73" s="5">
        <f>AC77</f>
        <v/>
      </c>
      <c r="AE73" s="5">
        <f>AD77</f>
        <v/>
      </c>
      <c r="AF73" s="5">
        <f>AE77</f>
        <v/>
      </c>
      <c r="AG73" s="5">
        <f>AF77</f>
        <v/>
      </c>
      <c r="AH73" s="5">
        <f>AG77</f>
        <v/>
      </c>
      <c r="AI73" s="5">
        <f>AH77</f>
        <v/>
      </c>
      <c r="AJ73" s="5">
        <f>AI77</f>
        <v/>
      </c>
      <c r="AK73" s="5">
        <f>AJ77</f>
        <v/>
      </c>
      <c r="AL73" s="5">
        <f>AK77</f>
        <v/>
      </c>
      <c r="AM73" s="5">
        <f>AL77</f>
        <v/>
      </c>
      <c r="AN73" s="5">
        <f>AM77</f>
        <v/>
      </c>
      <c r="AO73" s="5">
        <f>AN77</f>
        <v/>
      </c>
      <c r="AP73" s="5">
        <f>AO77</f>
        <v/>
      </c>
      <c r="AQ73" s="5">
        <f>AP77</f>
        <v/>
      </c>
      <c r="AR73" s="5">
        <f>AQ77</f>
        <v/>
      </c>
      <c r="AS73" s="5">
        <f>AR77</f>
        <v/>
      </c>
      <c r="AT73" s="5">
        <f>AS77</f>
        <v/>
      </c>
      <c r="AU73" s="5">
        <f>AT77</f>
        <v/>
      </c>
      <c r="AV73" s="5">
        <f>AU77</f>
        <v/>
      </c>
      <c r="AW73" s="5">
        <f>AV77</f>
        <v/>
      </c>
      <c r="AX73" s="5">
        <f>AW77</f>
        <v/>
      </c>
      <c r="AY73" s="5">
        <f>AX77</f>
        <v/>
      </c>
      <c r="AZ73" s="5">
        <f>AY77</f>
        <v/>
      </c>
      <c r="BA73" s="5">
        <f>AZ77</f>
        <v/>
      </c>
      <c r="BB73" s="5">
        <f>BA77</f>
        <v/>
      </c>
      <c r="BC73" s="5">
        <f>BB77</f>
        <v/>
      </c>
      <c r="BD73" s="5">
        <f>BC77</f>
        <v/>
      </c>
      <c r="BE73" s="5">
        <f>BD77</f>
        <v/>
      </c>
      <c r="BF73" s="5">
        <f>BE77</f>
        <v/>
      </c>
      <c r="BG73" s="5">
        <f>BF77</f>
        <v/>
      </c>
      <c r="BH73" s="5">
        <f>BG77</f>
        <v/>
      </c>
      <c r="BI73" s="5">
        <f>BH77</f>
        <v/>
      </c>
      <c r="BJ73" s="5">
        <f>BI77</f>
        <v/>
      </c>
      <c r="BK73" s="5">
        <f>BJ77</f>
        <v/>
      </c>
      <c r="BL73" s="5">
        <f>BK77</f>
        <v/>
      </c>
      <c r="BM73" s="5">
        <f>BL77</f>
        <v/>
      </c>
      <c r="BN73" s="5">
        <f>BM77</f>
        <v/>
      </c>
      <c r="BO73" s="5">
        <f>BN77</f>
        <v/>
      </c>
      <c r="BP73" s="5">
        <f>BO77</f>
        <v/>
      </c>
      <c r="BQ73" s="5">
        <f>BP77</f>
        <v/>
      </c>
      <c r="BR73" s="5">
        <f>BQ77</f>
        <v/>
      </c>
      <c r="BS73" s="5">
        <f>BR77</f>
        <v/>
      </c>
      <c r="BT73" s="5">
        <f>BS77</f>
        <v/>
      </c>
      <c r="BU73" s="5">
        <f>BT77</f>
        <v/>
      </c>
      <c r="BV73" s="5">
        <f>BU77</f>
        <v/>
      </c>
    </row>
    <row r="74">
      <c r="A74" t="inlineStr">
        <is>
          <t>new</t>
        </is>
      </c>
      <c r="B74" t="inlineStr">
        <is>
          <t>LATAM|NITRO_A</t>
        </is>
      </c>
      <c r="C74" s="5">
        <f>Adds!C140+IF(Params!$B$7=1,Adds!C139,Adds!C143)</f>
        <v/>
      </c>
      <c r="D74" s="5">
        <f>Adds!D140+IF(Params!$B$7=1,Adds!D139,Adds!D143)</f>
        <v/>
      </c>
      <c r="E74" s="5">
        <f>Adds!E140+IF(Params!$B$7=1,Adds!E139,Adds!E143)</f>
        <v/>
      </c>
      <c r="F74" s="5">
        <f>Adds!F140+IF(Params!$B$7=1,Adds!F139,Adds!F143)</f>
        <v/>
      </c>
      <c r="G74" s="5">
        <f>Adds!G140+IF(Params!$B$7=1,Adds!G139,Adds!G143)</f>
        <v/>
      </c>
      <c r="H74" s="5">
        <f>Adds!H140+IF(Params!$B$7=1,Adds!H139,Adds!H143)</f>
        <v/>
      </c>
      <c r="I74" s="5">
        <f>Adds!I140+IF(Params!$B$7=1,Adds!I139,Adds!I143)</f>
        <v/>
      </c>
      <c r="J74" s="5">
        <f>Adds!J140+IF(Params!$B$7=1,Adds!J139,Adds!J143)</f>
        <v/>
      </c>
      <c r="K74" s="5">
        <f>Adds!K140+IF(Params!$B$7=1,Adds!K139,Adds!K143)</f>
        <v/>
      </c>
      <c r="L74" s="5">
        <f>Adds!L140+IF(Params!$B$7=1,Adds!L139,Adds!L143)</f>
        <v/>
      </c>
      <c r="M74" s="5">
        <f>Adds!M140+IF(Params!$B$7=1,Adds!M139,Adds!M143)</f>
        <v/>
      </c>
      <c r="N74" s="5">
        <f>Adds!N140+IF(Params!$B$7=1,Adds!N139,Adds!N143)</f>
        <v/>
      </c>
      <c r="O74" s="5">
        <f>Adds!O140+IF(Params!$B$7=1,Adds!O139,Adds!O143)</f>
        <v/>
      </c>
      <c r="P74" s="5">
        <f>Adds!P140+IF(Params!$B$7=1,Adds!P139,Adds!P143)</f>
        <v/>
      </c>
      <c r="Q74" s="5">
        <f>Adds!Q140+IF(Params!$B$7=1,Adds!Q139,Adds!Q143)</f>
        <v/>
      </c>
      <c r="R74" s="5">
        <f>Adds!R140+IF(Params!$B$7=1,Adds!R139,Adds!R143)</f>
        <v/>
      </c>
      <c r="S74" s="5">
        <f>Adds!S140+IF(Params!$B$7=1,Adds!S139,Adds!S143)</f>
        <v/>
      </c>
      <c r="T74" s="5">
        <f>Adds!T140+IF(Params!$B$7=1,Adds!T139,Adds!T143)</f>
        <v/>
      </c>
      <c r="U74" s="5">
        <f>Adds!U140+IF(Params!$B$7=1,Adds!U139,Adds!U143)</f>
        <v/>
      </c>
      <c r="V74" s="5">
        <f>Adds!V140+IF(Params!$B$7=1,Adds!V139,Adds!V143)</f>
        <v/>
      </c>
      <c r="W74" s="5">
        <f>Adds!W140+IF(Params!$B$7=1,Adds!W139,Adds!W143)</f>
        <v/>
      </c>
      <c r="X74" s="5">
        <f>Adds!X140+IF(Params!$B$7=1,Adds!X139,Adds!X143)</f>
        <v/>
      </c>
      <c r="Y74" s="5">
        <f>Adds!Y140+IF(Params!$B$7=1,Adds!Y139,Adds!Y143)</f>
        <v/>
      </c>
      <c r="Z74" s="5">
        <f>Adds!Z140+IF(Params!$B$7=1,Adds!Z139,Adds!Z143)</f>
        <v/>
      </c>
      <c r="AA74" s="5">
        <f>Adds!AA140+IF(Params!$B$7=1,Adds!AA139,Adds!AA143)</f>
        <v/>
      </c>
      <c r="AB74" s="5">
        <f>Adds!AB140+IF(Params!$B$7=1,Adds!AB139,Adds!AB143)</f>
        <v/>
      </c>
      <c r="AC74" s="5">
        <f>Adds!AC140+IF(Params!$B$7=1,Adds!AC139,Adds!AC143)</f>
        <v/>
      </c>
      <c r="AD74" s="5">
        <f>Adds!AD140+IF(Params!$B$7=1,Adds!AD139,Adds!AD143)</f>
        <v/>
      </c>
      <c r="AE74" s="5">
        <f>Adds!AE140+IF(Params!$B$7=1,Adds!AE139,Adds!AE143)</f>
        <v/>
      </c>
      <c r="AF74" s="5">
        <f>Adds!AF140+IF(Params!$B$7=1,Adds!AF139,Adds!AF143)</f>
        <v/>
      </c>
      <c r="AG74" s="5">
        <f>Adds!AG140+IF(Params!$B$7=1,Adds!AG139,Adds!AG143)</f>
        <v/>
      </c>
      <c r="AH74" s="5">
        <f>Adds!AH140+IF(Params!$B$7=1,Adds!AH139,Adds!AH143)</f>
        <v/>
      </c>
      <c r="AI74" s="5">
        <f>Adds!AI140+IF(Params!$B$7=1,Adds!AI139,Adds!AI143)</f>
        <v/>
      </c>
      <c r="AJ74" s="5">
        <f>Adds!AJ140+IF(Params!$B$7=1,Adds!AJ139,Adds!AJ143)</f>
        <v/>
      </c>
      <c r="AK74" s="5">
        <f>Adds!AK140+IF(Params!$B$7=1,Adds!AK139,Adds!AK143)</f>
        <v/>
      </c>
      <c r="AL74" s="5">
        <f>Adds!AL140+IF(Params!$B$7=1,Adds!AL139,Adds!AL143)</f>
        <v/>
      </c>
      <c r="AM74" s="5">
        <f>Adds!AM140+IF(Params!$B$7=1,Adds!AM139,Adds!AM143)</f>
        <v/>
      </c>
      <c r="AN74" s="5">
        <f>Adds!AN140+IF(Params!$B$7=1,Adds!AN139,Adds!AN143)</f>
        <v/>
      </c>
      <c r="AO74" s="5">
        <f>Adds!AO140+IF(Params!$B$7=1,Adds!AO139,Adds!AO143)</f>
        <v/>
      </c>
      <c r="AP74" s="5">
        <f>Adds!AP140+IF(Params!$B$7=1,Adds!AP139,Adds!AP143)</f>
        <v/>
      </c>
      <c r="AQ74" s="5">
        <f>Adds!AQ140+IF(Params!$B$7=1,Adds!AQ139,Adds!AQ143)</f>
        <v/>
      </c>
      <c r="AR74" s="5">
        <f>Adds!AR140+IF(Params!$B$7=1,Adds!AR139,Adds!AR143)</f>
        <v/>
      </c>
      <c r="AS74" s="5">
        <f>Adds!AS140+IF(Params!$B$7=1,Adds!AS139,Adds!AS143)</f>
        <v/>
      </c>
      <c r="AT74" s="5">
        <f>Adds!AT140+IF(Params!$B$7=1,Adds!AT139,Adds!AT143)</f>
        <v/>
      </c>
      <c r="AU74" s="5">
        <f>Adds!AU140+IF(Params!$B$7=1,Adds!AU139,Adds!AU143)</f>
        <v/>
      </c>
      <c r="AV74" s="5">
        <f>Adds!AV140+IF(Params!$B$7=1,Adds!AV139,Adds!AV143)</f>
        <v/>
      </c>
      <c r="AW74" s="5">
        <f>Adds!AW140+IF(Params!$B$7=1,Adds!AW139,Adds!AW143)</f>
        <v/>
      </c>
      <c r="AX74" s="5">
        <f>Adds!AX140+IF(Params!$B$7=1,Adds!AX139,Adds!AX143)</f>
        <v/>
      </c>
      <c r="AY74" s="5">
        <f>Adds!AY140+IF(Params!$B$7=1,Adds!AY139,Adds!AY143)</f>
        <v/>
      </c>
      <c r="AZ74" s="5">
        <f>Adds!AZ140+IF(Params!$B$7=1,Adds!AZ139,Adds!AZ143)</f>
        <v/>
      </c>
      <c r="BA74" s="5">
        <f>Adds!BA140+IF(Params!$B$7=1,Adds!BA139,Adds!BA143)</f>
        <v/>
      </c>
      <c r="BB74" s="5">
        <f>Adds!BB140+IF(Params!$B$7=1,Adds!BB139,Adds!BB143)</f>
        <v/>
      </c>
      <c r="BC74" s="5">
        <f>Adds!BC140+IF(Params!$B$7=1,Adds!BC139,Adds!BC143)</f>
        <v/>
      </c>
      <c r="BD74" s="5">
        <f>Adds!BD140+IF(Params!$B$7=1,Adds!BD139,Adds!BD143)</f>
        <v/>
      </c>
      <c r="BE74" s="5">
        <f>Adds!BE140+IF(Params!$B$7=1,Adds!BE139,Adds!BE143)</f>
        <v/>
      </c>
      <c r="BF74" s="5">
        <f>Adds!BF140+IF(Params!$B$7=1,Adds!BF139,Adds!BF143)</f>
        <v/>
      </c>
      <c r="BG74" s="5">
        <f>Adds!BG140+IF(Params!$B$7=1,Adds!BG139,Adds!BG143)</f>
        <v/>
      </c>
      <c r="BH74" s="5">
        <f>Adds!BH140+IF(Params!$B$7=1,Adds!BH139,Adds!BH143)</f>
        <v/>
      </c>
      <c r="BI74" s="5">
        <f>Adds!BI140+IF(Params!$B$7=1,Adds!BI139,Adds!BI143)</f>
        <v/>
      </c>
      <c r="BJ74" s="5">
        <f>Adds!BJ140+IF(Params!$B$7=1,Adds!BJ139,Adds!BJ143)</f>
        <v/>
      </c>
      <c r="BK74" s="5">
        <f>Adds!BK140+IF(Params!$B$7=1,Adds!BK139,Adds!BK143)</f>
        <v/>
      </c>
      <c r="BL74" s="5">
        <f>Adds!BL140+IF(Params!$B$7=1,Adds!BL139,Adds!BL143)</f>
        <v/>
      </c>
      <c r="BM74" s="5">
        <f>Adds!BM140+IF(Params!$B$7=1,Adds!BM139,Adds!BM143)</f>
        <v/>
      </c>
      <c r="BN74" s="5">
        <f>Adds!BN140+IF(Params!$B$7=1,Adds!BN139,Adds!BN143)</f>
        <v/>
      </c>
      <c r="BO74" s="5">
        <f>Adds!BO140+IF(Params!$B$7=1,Adds!BO139,Adds!BO143)</f>
        <v/>
      </c>
      <c r="BP74" s="5">
        <f>Adds!BP140+IF(Params!$B$7=1,Adds!BP139,Adds!BP143)</f>
        <v/>
      </c>
      <c r="BQ74" s="5">
        <f>Adds!BQ140+IF(Params!$B$7=1,Adds!BQ139,Adds!BQ143)</f>
        <v/>
      </c>
      <c r="BR74" s="5">
        <f>Adds!BR140+IF(Params!$B$7=1,Adds!BR139,Adds!BR143)</f>
        <v/>
      </c>
      <c r="BS74" s="5">
        <f>Adds!BS140+IF(Params!$B$7=1,Adds!BS139,Adds!BS143)</f>
        <v/>
      </c>
      <c r="BT74" s="5">
        <f>Adds!BT140+IF(Params!$B$7=1,Adds!BT139,Adds!BT143)</f>
        <v/>
      </c>
      <c r="BU74" s="5">
        <f>Adds!BU140+IF(Params!$B$7=1,Adds!BU139,Adds!BU143)</f>
        <v/>
      </c>
      <c r="BV74" s="5">
        <f>Adds!BV140+IF(Params!$B$7=1,Adds!BV139,Adds!BV143)</f>
        <v/>
      </c>
    </row>
    <row r="75">
      <c r="A75" t="inlineStr">
        <is>
          <t>reactivated</t>
        </is>
      </c>
      <c r="B75" t="inlineStr">
        <is>
          <t>LATAM|NITRO_A</t>
        </is>
      </c>
      <c r="C75" s="5">
        <f>React!C125</f>
        <v/>
      </c>
      <c r="D75" s="5">
        <f>React!D125</f>
        <v/>
      </c>
      <c r="E75" s="5">
        <f>React!E125</f>
        <v/>
      </c>
      <c r="F75" s="5">
        <f>React!F125</f>
        <v/>
      </c>
      <c r="G75" s="5">
        <f>React!G125</f>
        <v/>
      </c>
      <c r="H75" s="5">
        <f>React!H125</f>
        <v/>
      </c>
      <c r="I75" s="5">
        <f>React!I125</f>
        <v/>
      </c>
      <c r="J75" s="5">
        <f>React!J125</f>
        <v/>
      </c>
      <c r="K75" s="5">
        <f>React!K125</f>
        <v/>
      </c>
      <c r="L75" s="5">
        <f>React!L125</f>
        <v/>
      </c>
      <c r="M75" s="5">
        <f>React!M125</f>
        <v/>
      </c>
      <c r="N75" s="5">
        <f>React!N125</f>
        <v/>
      </c>
      <c r="O75" s="5">
        <f>React!O125</f>
        <v/>
      </c>
      <c r="P75" s="5">
        <f>React!P125</f>
        <v/>
      </c>
      <c r="Q75" s="5">
        <f>React!Q125</f>
        <v/>
      </c>
      <c r="R75" s="5">
        <f>React!R125</f>
        <v/>
      </c>
      <c r="S75" s="5">
        <f>React!S125</f>
        <v/>
      </c>
      <c r="T75" s="5">
        <f>React!T125</f>
        <v/>
      </c>
      <c r="U75" s="5">
        <f>React!U125</f>
        <v/>
      </c>
      <c r="V75" s="5">
        <f>React!V125</f>
        <v/>
      </c>
      <c r="W75" s="5">
        <f>React!W125</f>
        <v/>
      </c>
      <c r="X75" s="5">
        <f>React!X125</f>
        <v/>
      </c>
      <c r="Y75" s="5">
        <f>React!Y125</f>
        <v/>
      </c>
      <c r="Z75" s="5">
        <f>React!Z125</f>
        <v/>
      </c>
      <c r="AA75" s="5">
        <f>React!AA125</f>
        <v/>
      </c>
      <c r="AB75" s="5">
        <f>React!AB125</f>
        <v/>
      </c>
      <c r="AC75" s="5">
        <f>React!AC125</f>
        <v/>
      </c>
      <c r="AD75" s="5">
        <f>React!AD125</f>
        <v/>
      </c>
      <c r="AE75" s="5">
        <f>React!AE125</f>
        <v/>
      </c>
      <c r="AF75" s="5">
        <f>React!AF125</f>
        <v/>
      </c>
      <c r="AG75" s="5">
        <f>React!AG125</f>
        <v/>
      </c>
      <c r="AH75" s="5">
        <f>React!AH125</f>
        <v/>
      </c>
      <c r="AI75" s="5">
        <f>React!AI125</f>
        <v/>
      </c>
      <c r="AJ75" s="5">
        <f>React!AJ125</f>
        <v/>
      </c>
      <c r="AK75" s="5">
        <f>React!AK125</f>
        <v/>
      </c>
      <c r="AL75" s="5">
        <f>React!AL125</f>
        <v/>
      </c>
      <c r="AM75" s="5">
        <f>React!AM125</f>
        <v/>
      </c>
      <c r="AN75" s="5">
        <f>React!AN125</f>
        <v/>
      </c>
      <c r="AO75" s="5">
        <f>React!AO125</f>
        <v/>
      </c>
      <c r="AP75" s="5">
        <f>React!AP125</f>
        <v/>
      </c>
      <c r="AQ75" s="5">
        <f>React!AQ125</f>
        <v/>
      </c>
      <c r="AR75" s="5">
        <f>React!AR125</f>
        <v/>
      </c>
      <c r="AS75" s="5">
        <f>React!AS125</f>
        <v/>
      </c>
      <c r="AT75" s="5">
        <f>React!AT125</f>
        <v/>
      </c>
      <c r="AU75" s="5">
        <f>React!AU125</f>
        <v/>
      </c>
      <c r="AV75" s="5">
        <f>React!AV125</f>
        <v/>
      </c>
      <c r="AW75" s="5">
        <f>React!AW125</f>
        <v/>
      </c>
      <c r="AX75" s="5">
        <f>React!AX125</f>
        <v/>
      </c>
      <c r="AY75" s="5">
        <f>React!AY125</f>
        <v/>
      </c>
      <c r="AZ75" s="5">
        <f>React!AZ125</f>
        <v/>
      </c>
      <c r="BA75" s="5">
        <f>React!BA125</f>
        <v/>
      </c>
      <c r="BB75" s="5">
        <f>React!BB125</f>
        <v/>
      </c>
      <c r="BC75" s="5">
        <f>React!BC125</f>
        <v/>
      </c>
      <c r="BD75" s="5">
        <f>React!BD125</f>
        <v/>
      </c>
      <c r="BE75" s="5">
        <f>React!BE125</f>
        <v/>
      </c>
      <c r="BF75" s="5">
        <f>React!BF125</f>
        <v/>
      </c>
      <c r="BG75" s="5">
        <f>React!BG125</f>
        <v/>
      </c>
      <c r="BH75" s="5">
        <f>React!BH125</f>
        <v/>
      </c>
      <c r="BI75" s="5">
        <f>React!BI125</f>
        <v/>
      </c>
      <c r="BJ75" s="5">
        <f>React!BJ125</f>
        <v/>
      </c>
      <c r="BK75" s="5">
        <f>React!BK125</f>
        <v/>
      </c>
      <c r="BL75" s="5">
        <f>React!BL125</f>
        <v/>
      </c>
      <c r="BM75" s="5">
        <f>React!BM125</f>
        <v/>
      </c>
      <c r="BN75" s="5">
        <f>React!BN125</f>
        <v/>
      </c>
      <c r="BO75" s="5">
        <f>React!BO125</f>
        <v/>
      </c>
      <c r="BP75" s="5">
        <f>React!BP125</f>
        <v/>
      </c>
      <c r="BQ75" s="5">
        <f>React!BQ125</f>
        <v/>
      </c>
      <c r="BR75" s="5">
        <f>React!BR125</f>
        <v/>
      </c>
      <c r="BS75" s="5">
        <f>React!BS125</f>
        <v/>
      </c>
      <c r="BT75" s="5">
        <f>React!BT125</f>
        <v/>
      </c>
      <c r="BU75" s="5">
        <f>React!BU125</f>
        <v/>
      </c>
      <c r="BV75" s="5">
        <f>React!BV125</f>
        <v/>
      </c>
    </row>
    <row r="76">
      <c r="A76" t="inlineStr">
        <is>
          <t>churned</t>
        </is>
      </c>
      <c r="B76" t="inlineStr">
        <is>
          <t>LATAM|NITRO_A</t>
        </is>
      </c>
      <c r="C76" s="5">
        <f>Legacy!C43+Paid!C41+React!C131+Params!$B$7*Adds!C144</f>
        <v/>
      </c>
      <c r="D76" s="5">
        <f>Legacy!D43+Paid!D41+React!D131+Params!$B$7*Adds!D144</f>
        <v/>
      </c>
      <c r="E76" s="5">
        <f>Legacy!E43+Paid!E41+React!E131+Params!$B$7*Adds!E144</f>
        <v/>
      </c>
      <c r="F76" s="5">
        <f>Legacy!F43+Paid!F41+React!F131+Params!$B$7*Adds!F144</f>
        <v/>
      </c>
      <c r="G76" s="5">
        <f>Legacy!G43+Paid!G41+React!G131+Params!$B$7*Adds!G144</f>
        <v/>
      </c>
      <c r="H76" s="5">
        <f>Legacy!H43+Paid!H41+React!H131+Params!$B$7*Adds!H144</f>
        <v/>
      </c>
      <c r="I76" s="5">
        <f>Legacy!I43+Paid!I41+React!I131+Params!$B$7*Adds!I144</f>
        <v/>
      </c>
      <c r="J76" s="5">
        <f>Legacy!J43+Paid!J41+React!J131+Params!$B$7*Adds!J144</f>
        <v/>
      </c>
      <c r="K76" s="5">
        <f>Legacy!K43+Paid!K41+React!K131+Params!$B$7*Adds!K144</f>
        <v/>
      </c>
      <c r="L76" s="5">
        <f>Legacy!L43+Paid!L41+React!L131+Params!$B$7*Adds!L144</f>
        <v/>
      </c>
      <c r="M76" s="5">
        <f>Legacy!M43+Paid!M41+React!M131+Params!$B$7*Adds!M144</f>
        <v/>
      </c>
      <c r="N76" s="5">
        <f>Legacy!N43+Paid!N41+React!N131+Params!$B$7*Adds!N144</f>
        <v/>
      </c>
      <c r="O76" s="5">
        <f>Legacy!O43+Paid!O41+React!O131+Params!$B$7*Adds!O144</f>
        <v/>
      </c>
      <c r="P76" s="5">
        <f>Legacy!P43+Paid!P41+React!P131+Params!$B$7*Adds!P144</f>
        <v/>
      </c>
      <c r="Q76" s="5">
        <f>Legacy!Q43+Paid!Q41+React!Q131+Params!$B$7*Adds!Q144</f>
        <v/>
      </c>
      <c r="R76" s="5">
        <f>Legacy!R43+Paid!R41+React!R131+Params!$B$7*Adds!R144</f>
        <v/>
      </c>
      <c r="S76" s="5">
        <f>Legacy!S43+Paid!S41+React!S131+Params!$B$7*Adds!S144</f>
        <v/>
      </c>
      <c r="T76" s="5">
        <f>Legacy!T43+Paid!T41+React!T131+Params!$B$7*Adds!T144</f>
        <v/>
      </c>
      <c r="U76" s="5">
        <f>Legacy!U43+Paid!U41+React!U131+Params!$B$7*Adds!U144</f>
        <v/>
      </c>
      <c r="V76" s="5">
        <f>Legacy!V43+Paid!V41+React!V131+Params!$B$7*Adds!V144</f>
        <v/>
      </c>
      <c r="W76" s="5">
        <f>Legacy!W43+Paid!W41+React!W131+Params!$B$7*Adds!W144</f>
        <v/>
      </c>
      <c r="X76" s="5">
        <f>Legacy!X43+Paid!X41+React!X131+Params!$B$7*Adds!X144</f>
        <v/>
      </c>
      <c r="Y76" s="5">
        <f>Legacy!Y43+Paid!Y41+React!Y131+Params!$B$7*Adds!Y144</f>
        <v/>
      </c>
      <c r="Z76" s="5">
        <f>Legacy!Z43+Paid!Z41+React!Z131+Params!$B$7*Adds!Z144</f>
        <v/>
      </c>
      <c r="AA76" s="5">
        <f>Legacy!AA43+Paid!AA41+React!AA131+Params!$B$7*Adds!AA144</f>
        <v/>
      </c>
      <c r="AB76" s="5">
        <f>Legacy!AB43+Paid!AB41+React!AB131+Params!$B$7*Adds!AB144</f>
        <v/>
      </c>
      <c r="AC76" s="5">
        <f>Legacy!AC43+Paid!AC41+React!AC131+Params!$B$7*Adds!AC144</f>
        <v/>
      </c>
      <c r="AD76" s="5">
        <f>Legacy!AD43+Paid!AD41+React!AD131+Params!$B$7*Adds!AD144</f>
        <v/>
      </c>
      <c r="AE76" s="5">
        <f>Legacy!AE43+Paid!AE41+React!AE131+Params!$B$7*Adds!AE144</f>
        <v/>
      </c>
      <c r="AF76" s="5">
        <f>Legacy!AF43+Paid!AF41+React!AF131+Params!$B$7*Adds!AF144</f>
        <v/>
      </c>
      <c r="AG76" s="5">
        <f>Legacy!AG43+Paid!AG41+React!AG131+Params!$B$7*Adds!AG144</f>
        <v/>
      </c>
      <c r="AH76" s="5">
        <f>Legacy!AH43+Paid!AH41+React!AH131+Params!$B$7*Adds!AH144</f>
        <v/>
      </c>
      <c r="AI76" s="5">
        <f>Legacy!AI43+Paid!AI41+React!AI131+Params!$B$7*Adds!AI144</f>
        <v/>
      </c>
      <c r="AJ76" s="5">
        <f>Legacy!AJ43+Paid!AJ41+React!AJ131+Params!$B$7*Adds!AJ144</f>
        <v/>
      </c>
      <c r="AK76" s="5">
        <f>Legacy!AK43+Paid!AK41+React!AK131+Params!$B$7*Adds!AK144</f>
        <v/>
      </c>
      <c r="AL76" s="5">
        <f>Legacy!AL43+Paid!AL41+React!AL131+Params!$B$7*Adds!AL144</f>
        <v/>
      </c>
      <c r="AM76" s="5">
        <f>Legacy!AM43+Paid!AM41+React!AM131+Params!$B$7*Adds!AM144</f>
        <v/>
      </c>
      <c r="AN76" s="5">
        <f>Legacy!AN43+Paid!AN41+React!AN131+Params!$B$7*Adds!AN144</f>
        <v/>
      </c>
      <c r="AO76" s="5">
        <f>Legacy!AO43+Paid!AO41+React!AO131+Params!$B$7*Adds!AO144</f>
        <v/>
      </c>
      <c r="AP76" s="5">
        <f>Legacy!AP43+Paid!AP41+React!AP131+Params!$B$7*Adds!AP144</f>
        <v/>
      </c>
      <c r="AQ76" s="5">
        <f>Legacy!AQ43+Paid!AQ41+React!AQ131+Params!$B$7*Adds!AQ144</f>
        <v/>
      </c>
      <c r="AR76" s="5">
        <f>Legacy!AR43+Paid!AR41+React!AR131+Params!$B$7*Adds!AR144</f>
        <v/>
      </c>
      <c r="AS76" s="5">
        <f>Legacy!AS43+Paid!AS41+React!AS131+Params!$B$7*Adds!AS144</f>
        <v/>
      </c>
      <c r="AT76" s="5">
        <f>Legacy!AT43+Paid!AT41+React!AT131+Params!$B$7*Adds!AT144</f>
        <v/>
      </c>
      <c r="AU76" s="5">
        <f>Legacy!AU43+Paid!AU41+React!AU131+Params!$B$7*Adds!AU144</f>
        <v/>
      </c>
      <c r="AV76" s="5">
        <f>Legacy!AV43+Paid!AV41+React!AV131+Params!$B$7*Adds!AV144</f>
        <v/>
      </c>
      <c r="AW76" s="5">
        <f>Legacy!AW43+Paid!AW41+React!AW131+Params!$B$7*Adds!AW144</f>
        <v/>
      </c>
      <c r="AX76" s="5">
        <f>Legacy!AX43+Paid!AX41+React!AX131+Params!$B$7*Adds!AX144</f>
        <v/>
      </c>
      <c r="AY76" s="5">
        <f>Legacy!AY43+Paid!AY41+React!AY131+Params!$B$7*Adds!AY144</f>
        <v/>
      </c>
      <c r="AZ76" s="5">
        <f>Legacy!AZ43+Paid!AZ41+React!AZ131+Params!$B$7*Adds!AZ144</f>
        <v/>
      </c>
      <c r="BA76" s="5">
        <f>Legacy!BA43+Paid!BA41+React!BA131+Params!$B$7*Adds!BA144</f>
        <v/>
      </c>
      <c r="BB76" s="5">
        <f>Legacy!BB43+Paid!BB41+React!BB131+Params!$B$7*Adds!BB144</f>
        <v/>
      </c>
      <c r="BC76" s="5">
        <f>Legacy!BC43+Paid!BC41+React!BC131+Params!$B$7*Adds!BC144</f>
        <v/>
      </c>
      <c r="BD76" s="5">
        <f>Legacy!BD43+Paid!BD41+React!BD131+Params!$B$7*Adds!BD144</f>
        <v/>
      </c>
      <c r="BE76" s="5">
        <f>Legacy!BE43+Paid!BE41+React!BE131+Params!$B$7*Adds!BE144</f>
        <v/>
      </c>
      <c r="BF76" s="5">
        <f>Legacy!BF43+Paid!BF41+React!BF131+Params!$B$7*Adds!BF144</f>
        <v/>
      </c>
      <c r="BG76" s="5">
        <f>Legacy!BG43+Paid!BG41+React!BG131+Params!$B$7*Adds!BG144</f>
        <v/>
      </c>
      <c r="BH76" s="5">
        <f>Legacy!BH43+Paid!BH41+React!BH131+Params!$B$7*Adds!BH144</f>
        <v/>
      </c>
      <c r="BI76" s="5">
        <f>Legacy!BI43+Paid!BI41+React!BI131+Params!$B$7*Adds!BI144</f>
        <v/>
      </c>
      <c r="BJ76" s="5">
        <f>Legacy!BJ43+Paid!BJ41+React!BJ131+Params!$B$7*Adds!BJ144</f>
        <v/>
      </c>
      <c r="BK76" s="5">
        <f>Legacy!BK43+Paid!BK41+React!BK131+Params!$B$7*Adds!BK144</f>
        <v/>
      </c>
      <c r="BL76" s="5">
        <f>Legacy!BL43+Paid!BL41+React!BL131+Params!$B$7*Adds!BL144</f>
        <v/>
      </c>
      <c r="BM76" s="5">
        <f>Legacy!BM43+Paid!BM41+React!BM131+Params!$B$7*Adds!BM144</f>
        <v/>
      </c>
      <c r="BN76" s="5">
        <f>Legacy!BN43+Paid!BN41+React!BN131+Params!$B$7*Adds!BN144</f>
        <v/>
      </c>
      <c r="BO76" s="5">
        <f>Legacy!BO43+Paid!BO41+React!BO131+Params!$B$7*Adds!BO144</f>
        <v/>
      </c>
      <c r="BP76" s="5">
        <f>Legacy!BP43+Paid!BP41+React!BP131+Params!$B$7*Adds!BP144</f>
        <v/>
      </c>
      <c r="BQ76" s="5">
        <f>Legacy!BQ43+Paid!BQ41+React!BQ131+Params!$B$7*Adds!BQ144</f>
        <v/>
      </c>
      <c r="BR76" s="5">
        <f>Legacy!BR43+Paid!BR41+React!BR131+Params!$B$7*Adds!BR144</f>
        <v/>
      </c>
      <c r="BS76" s="5">
        <f>Legacy!BS43+Paid!BS41+React!BS131+Params!$B$7*Adds!BS144</f>
        <v/>
      </c>
      <c r="BT76" s="5">
        <f>Legacy!BT43+Paid!BT41+React!BT131+Params!$B$7*Adds!BT144</f>
        <v/>
      </c>
      <c r="BU76" s="5">
        <f>Legacy!BU43+Paid!BU41+React!BU131+Params!$B$7*Adds!BU144</f>
        <v/>
      </c>
      <c r="BV76" s="5">
        <f>Legacy!BV43+Paid!BV41+React!BV131+Params!$B$7*Adds!BV144</f>
        <v/>
      </c>
    </row>
    <row r="77">
      <c r="A77" t="inlineStr">
        <is>
          <t>closing</t>
        </is>
      </c>
      <c r="B77" t="inlineStr">
        <is>
          <t>LATAM|NITRO_A</t>
        </is>
      </c>
      <c r="C77" s="5">
        <f>C78+Params!$B$7*Adds!C147</f>
        <v/>
      </c>
      <c r="D77" s="5">
        <f>D78+Params!$B$7*Adds!D147</f>
        <v/>
      </c>
      <c r="E77" s="5">
        <f>E78+Params!$B$7*Adds!E147</f>
        <v/>
      </c>
      <c r="F77" s="5">
        <f>F78+Params!$B$7*Adds!F147</f>
        <v/>
      </c>
      <c r="G77" s="5">
        <f>G78+Params!$B$7*Adds!G147</f>
        <v/>
      </c>
      <c r="H77" s="5">
        <f>H78+Params!$B$7*Adds!H147</f>
        <v/>
      </c>
      <c r="I77" s="5">
        <f>I78+Params!$B$7*Adds!I147</f>
        <v/>
      </c>
      <c r="J77" s="5">
        <f>J78+Params!$B$7*Adds!J147</f>
        <v/>
      </c>
      <c r="K77" s="5">
        <f>K78+Params!$B$7*Adds!K147</f>
        <v/>
      </c>
      <c r="L77" s="5">
        <f>L78+Params!$B$7*Adds!L147</f>
        <v/>
      </c>
      <c r="M77" s="5">
        <f>M78+Params!$B$7*Adds!M147</f>
        <v/>
      </c>
      <c r="N77" s="5">
        <f>N78+Params!$B$7*Adds!N147</f>
        <v/>
      </c>
      <c r="O77" s="5">
        <f>O78+Params!$B$7*Adds!O147</f>
        <v/>
      </c>
      <c r="P77" s="5">
        <f>P78+Params!$B$7*Adds!P147</f>
        <v/>
      </c>
      <c r="Q77" s="5">
        <f>Q78+Params!$B$7*Adds!Q147</f>
        <v/>
      </c>
      <c r="R77" s="5">
        <f>R78+Params!$B$7*Adds!R147</f>
        <v/>
      </c>
      <c r="S77" s="5">
        <f>S78+Params!$B$7*Adds!S147</f>
        <v/>
      </c>
      <c r="T77" s="5">
        <f>T78+Params!$B$7*Adds!T147</f>
        <v/>
      </c>
      <c r="U77" s="5">
        <f>U78+Params!$B$7*Adds!U147</f>
        <v/>
      </c>
      <c r="V77" s="5">
        <f>V78+Params!$B$7*Adds!V147</f>
        <v/>
      </c>
      <c r="W77" s="5">
        <f>W78+Params!$B$7*Adds!W147</f>
        <v/>
      </c>
      <c r="X77" s="5">
        <f>X78+Params!$B$7*Adds!X147</f>
        <v/>
      </c>
      <c r="Y77" s="5">
        <f>Y78+Params!$B$7*Adds!Y147</f>
        <v/>
      </c>
      <c r="Z77" s="5">
        <f>Z78+Params!$B$7*Adds!Z147</f>
        <v/>
      </c>
      <c r="AA77" s="5">
        <f>AA78+Params!$B$7*Adds!AA147</f>
        <v/>
      </c>
      <c r="AB77" s="5">
        <f>AB78+Params!$B$7*Adds!AB147</f>
        <v/>
      </c>
      <c r="AC77" s="5">
        <f>AC78+Params!$B$7*Adds!AC147</f>
        <v/>
      </c>
      <c r="AD77" s="5">
        <f>AD78+Params!$B$7*Adds!AD147</f>
        <v/>
      </c>
      <c r="AE77" s="5">
        <f>AE78+Params!$B$7*Adds!AE147</f>
        <v/>
      </c>
      <c r="AF77" s="5">
        <f>AF78+Params!$B$7*Adds!AF147</f>
        <v/>
      </c>
      <c r="AG77" s="5">
        <f>AG78+Params!$B$7*Adds!AG147</f>
        <v/>
      </c>
      <c r="AH77" s="5">
        <f>AH78+Params!$B$7*Adds!AH147</f>
        <v/>
      </c>
      <c r="AI77" s="5">
        <f>AI78+Params!$B$7*Adds!AI147</f>
        <v/>
      </c>
      <c r="AJ77" s="5">
        <f>AJ78+Params!$B$7*Adds!AJ147</f>
        <v/>
      </c>
      <c r="AK77" s="5">
        <f>AK78+Params!$B$7*Adds!AK147</f>
        <v/>
      </c>
      <c r="AL77" s="5">
        <f>AL78+Params!$B$7*Adds!AL147</f>
        <v/>
      </c>
      <c r="AM77" s="5">
        <f>AM78+Params!$B$7*Adds!AM147</f>
        <v/>
      </c>
      <c r="AN77" s="5">
        <f>AN78+Params!$B$7*Adds!AN147</f>
        <v/>
      </c>
      <c r="AO77" s="5">
        <f>AO78+Params!$B$7*Adds!AO147</f>
        <v/>
      </c>
      <c r="AP77" s="5">
        <f>AP78+Params!$B$7*Adds!AP147</f>
        <v/>
      </c>
      <c r="AQ77" s="5">
        <f>AQ78+Params!$B$7*Adds!AQ147</f>
        <v/>
      </c>
      <c r="AR77" s="5">
        <f>AR78+Params!$B$7*Adds!AR147</f>
        <v/>
      </c>
      <c r="AS77" s="5">
        <f>AS78+Params!$B$7*Adds!AS147</f>
        <v/>
      </c>
      <c r="AT77" s="5">
        <f>AT78+Params!$B$7*Adds!AT147</f>
        <v/>
      </c>
      <c r="AU77" s="5">
        <f>AU78+Params!$B$7*Adds!AU147</f>
        <v/>
      </c>
      <c r="AV77" s="5">
        <f>AV78+Params!$B$7*Adds!AV147</f>
        <v/>
      </c>
      <c r="AW77" s="5">
        <f>AW78+Params!$B$7*Adds!AW147</f>
        <v/>
      </c>
      <c r="AX77" s="5">
        <f>AX78+Params!$B$7*Adds!AX147</f>
        <v/>
      </c>
      <c r="AY77" s="5">
        <f>AY78+Params!$B$7*Adds!AY147</f>
        <v/>
      </c>
      <c r="AZ77" s="5">
        <f>AZ78+Params!$B$7*Adds!AZ147</f>
        <v/>
      </c>
      <c r="BA77" s="5">
        <f>BA78+Params!$B$7*Adds!BA147</f>
        <v/>
      </c>
      <c r="BB77" s="5">
        <f>BB78+Params!$B$7*Adds!BB147</f>
        <v/>
      </c>
      <c r="BC77" s="5">
        <f>BC78+Params!$B$7*Adds!BC147</f>
        <v/>
      </c>
      <c r="BD77" s="5">
        <f>BD78+Params!$B$7*Adds!BD147</f>
        <v/>
      </c>
      <c r="BE77" s="5">
        <f>BE78+Params!$B$7*Adds!BE147</f>
        <v/>
      </c>
      <c r="BF77" s="5">
        <f>BF78+Params!$B$7*Adds!BF147</f>
        <v/>
      </c>
      <c r="BG77" s="5">
        <f>BG78+Params!$B$7*Adds!BG147</f>
        <v/>
      </c>
      <c r="BH77" s="5">
        <f>BH78+Params!$B$7*Adds!BH147</f>
        <v/>
      </c>
      <c r="BI77" s="5">
        <f>BI78+Params!$B$7*Adds!BI147</f>
        <v/>
      </c>
      <c r="BJ77" s="5">
        <f>BJ78+Params!$B$7*Adds!BJ147</f>
        <v/>
      </c>
      <c r="BK77" s="5">
        <f>BK78+Params!$B$7*Adds!BK147</f>
        <v/>
      </c>
      <c r="BL77" s="5">
        <f>BL78+Params!$B$7*Adds!BL147</f>
        <v/>
      </c>
      <c r="BM77" s="5">
        <f>BM78+Params!$B$7*Adds!BM147</f>
        <v/>
      </c>
      <c r="BN77" s="5">
        <f>BN78+Params!$B$7*Adds!BN147</f>
        <v/>
      </c>
      <c r="BO77" s="5">
        <f>BO78+Params!$B$7*Adds!BO147</f>
        <v/>
      </c>
      <c r="BP77" s="5">
        <f>BP78+Params!$B$7*Adds!BP147</f>
        <v/>
      </c>
      <c r="BQ77" s="5">
        <f>BQ78+Params!$B$7*Adds!BQ147</f>
        <v/>
      </c>
      <c r="BR77" s="5">
        <f>BR78+Params!$B$7*Adds!BR147</f>
        <v/>
      </c>
      <c r="BS77" s="5">
        <f>BS78+Params!$B$7*Adds!BS147</f>
        <v/>
      </c>
      <c r="BT77" s="5">
        <f>BT78+Params!$B$7*Adds!BT147</f>
        <v/>
      </c>
      <c r="BU77" s="5">
        <f>BU78+Params!$B$7*Adds!BU147</f>
        <v/>
      </c>
      <c r="BV77" s="5">
        <f>BV78+Params!$B$7*Adds!BV147</f>
        <v/>
      </c>
    </row>
    <row r="78">
      <c r="A78" t="inlineStr">
        <is>
          <t>paying</t>
        </is>
      </c>
      <c r="B78" t="inlineStr">
        <is>
          <t>LATAM|NITRO_A</t>
        </is>
      </c>
      <c r="C78" s="5">
        <f>Legacy!C42+Paid!C39+React!C129</f>
        <v/>
      </c>
      <c r="D78" s="5">
        <f>Legacy!D42+Paid!D39+React!D129</f>
        <v/>
      </c>
      <c r="E78" s="5">
        <f>Legacy!E42+Paid!E39+React!E129</f>
        <v/>
      </c>
      <c r="F78" s="5">
        <f>Legacy!F42+Paid!F39+React!F129</f>
        <v/>
      </c>
      <c r="G78" s="5">
        <f>Legacy!G42+Paid!G39+React!G129</f>
        <v/>
      </c>
      <c r="H78" s="5">
        <f>Legacy!H42+Paid!H39+React!H129</f>
        <v/>
      </c>
      <c r="I78" s="5">
        <f>Legacy!I42+Paid!I39+React!I129</f>
        <v/>
      </c>
      <c r="J78" s="5">
        <f>Legacy!J42+Paid!J39+React!J129</f>
        <v/>
      </c>
      <c r="K78" s="5">
        <f>Legacy!K42+Paid!K39+React!K129</f>
        <v/>
      </c>
      <c r="L78" s="5">
        <f>Legacy!L42+Paid!L39+React!L129</f>
        <v/>
      </c>
      <c r="M78" s="5">
        <f>Legacy!M42+Paid!M39+React!M129</f>
        <v/>
      </c>
      <c r="N78" s="5">
        <f>Legacy!N42+Paid!N39+React!N129</f>
        <v/>
      </c>
      <c r="O78" s="5">
        <f>Legacy!O42+Paid!O39+React!O129</f>
        <v/>
      </c>
      <c r="P78" s="5">
        <f>Legacy!P42+Paid!P39+React!P129</f>
        <v/>
      </c>
      <c r="Q78" s="5">
        <f>Legacy!Q42+Paid!Q39+React!Q129</f>
        <v/>
      </c>
      <c r="R78" s="5">
        <f>Legacy!R42+Paid!R39+React!R129</f>
        <v/>
      </c>
      <c r="S78" s="5">
        <f>Legacy!S42+Paid!S39+React!S129</f>
        <v/>
      </c>
      <c r="T78" s="5">
        <f>Legacy!T42+Paid!T39+React!T129</f>
        <v/>
      </c>
      <c r="U78" s="5">
        <f>Legacy!U42+Paid!U39+React!U129</f>
        <v/>
      </c>
      <c r="V78" s="5">
        <f>Legacy!V42+Paid!V39+React!V129</f>
        <v/>
      </c>
      <c r="W78" s="5">
        <f>Legacy!W42+Paid!W39+React!W129</f>
        <v/>
      </c>
      <c r="X78" s="5">
        <f>Legacy!X42+Paid!X39+React!X129</f>
        <v/>
      </c>
      <c r="Y78" s="5">
        <f>Legacy!Y42+Paid!Y39+React!Y129</f>
        <v/>
      </c>
      <c r="Z78" s="5">
        <f>Legacy!Z42+Paid!Z39+React!Z129</f>
        <v/>
      </c>
      <c r="AA78" s="5">
        <f>Legacy!AA42+Paid!AA39+React!AA129</f>
        <v/>
      </c>
      <c r="AB78" s="5">
        <f>Legacy!AB42+Paid!AB39+React!AB129</f>
        <v/>
      </c>
      <c r="AC78" s="5">
        <f>Legacy!AC42+Paid!AC39+React!AC129</f>
        <v/>
      </c>
      <c r="AD78" s="5">
        <f>Legacy!AD42+Paid!AD39+React!AD129</f>
        <v/>
      </c>
      <c r="AE78" s="5">
        <f>Legacy!AE42+Paid!AE39+React!AE129</f>
        <v/>
      </c>
      <c r="AF78" s="5">
        <f>Legacy!AF42+Paid!AF39+React!AF129</f>
        <v/>
      </c>
      <c r="AG78" s="5">
        <f>Legacy!AG42+Paid!AG39+React!AG129</f>
        <v/>
      </c>
      <c r="AH78" s="5">
        <f>Legacy!AH42+Paid!AH39+React!AH129</f>
        <v/>
      </c>
      <c r="AI78" s="5">
        <f>Legacy!AI42+Paid!AI39+React!AI129</f>
        <v/>
      </c>
      <c r="AJ78" s="5">
        <f>Legacy!AJ42+Paid!AJ39+React!AJ129</f>
        <v/>
      </c>
      <c r="AK78" s="5">
        <f>Legacy!AK42+Paid!AK39+React!AK129</f>
        <v/>
      </c>
      <c r="AL78" s="5">
        <f>Legacy!AL42+Paid!AL39+React!AL129</f>
        <v/>
      </c>
      <c r="AM78" s="5">
        <f>Legacy!AM42+Paid!AM39+React!AM129</f>
        <v/>
      </c>
      <c r="AN78" s="5">
        <f>Legacy!AN42+Paid!AN39+React!AN129</f>
        <v/>
      </c>
      <c r="AO78" s="5">
        <f>Legacy!AO42+Paid!AO39+React!AO129</f>
        <v/>
      </c>
      <c r="AP78" s="5">
        <f>Legacy!AP42+Paid!AP39+React!AP129</f>
        <v/>
      </c>
      <c r="AQ78" s="5">
        <f>Legacy!AQ42+Paid!AQ39+React!AQ129</f>
        <v/>
      </c>
      <c r="AR78" s="5">
        <f>Legacy!AR42+Paid!AR39+React!AR129</f>
        <v/>
      </c>
      <c r="AS78" s="5">
        <f>Legacy!AS42+Paid!AS39+React!AS129</f>
        <v/>
      </c>
      <c r="AT78" s="5">
        <f>Legacy!AT42+Paid!AT39+React!AT129</f>
        <v/>
      </c>
      <c r="AU78" s="5">
        <f>Legacy!AU42+Paid!AU39+React!AU129</f>
        <v/>
      </c>
      <c r="AV78" s="5">
        <f>Legacy!AV42+Paid!AV39+React!AV129</f>
        <v/>
      </c>
      <c r="AW78" s="5">
        <f>Legacy!AW42+Paid!AW39+React!AW129</f>
        <v/>
      </c>
      <c r="AX78" s="5">
        <f>Legacy!AX42+Paid!AX39+React!AX129</f>
        <v/>
      </c>
      <c r="AY78" s="5">
        <f>Legacy!AY42+Paid!AY39+React!AY129</f>
        <v/>
      </c>
      <c r="AZ78" s="5">
        <f>Legacy!AZ42+Paid!AZ39+React!AZ129</f>
        <v/>
      </c>
      <c r="BA78" s="5">
        <f>Legacy!BA42+Paid!BA39+React!BA129</f>
        <v/>
      </c>
      <c r="BB78" s="5">
        <f>Legacy!BB42+Paid!BB39+React!BB129</f>
        <v/>
      </c>
      <c r="BC78" s="5">
        <f>Legacy!BC42+Paid!BC39+React!BC129</f>
        <v/>
      </c>
      <c r="BD78" s="5">
        <f>Legacy!BD42+Paid!BD39+React!BD129</f>
        <v/>
      </c>
      <c r="BE78" s="5">
        <f>Legacy!BE42+Paid!BE39+React!BE129</f>
        <v/>
      </c>
      <c r="BF78" s="5">
        <f>Legacy!BF42+Paid!BF39+React!BF129</f>
        <v/>
      </c>
      <c r="BG78" s="5">
        <f>Legacy!BG42+Paid!BG39+React!BG129</f>
        <v/>
      </c>
      <c r="BH78" s="5">
        <f>Legacy!BH42+Paid!BH39+React!BH129</f>
        <v/>
      </c>
      <c r="BI78" s="5">
        <f>Legacy!BI42+Paid!BI39+React!BI129</f>
        <v/>
      </c>
      <c r="BJ78" s="5">
        <f>Legacy!BJ42+Paid!BJ39+React!BJ129</f>
        <v/>
      </c>
      <c r="BK78" s="5">
        <f>Legacy!BK42+Paid!BK39+React!BK129</f>
        <v/>
      </c>
      <c r="BL78" s="5">
        <f>Legacy!BL42+Paid!BL39+React!BL129</f>
        <v/>
      </c>
      <c r="BM78" s="5">
        <f>Legacy!BM42+Paid!BM39+React!BM129</f>
        <v/>
      </c>
      <c r="BN78" s="5">
        <f>Legacy!BN42+Paid!BN39+React!BN129</f>
        <v/>
      </c>
      <c r="BO78" s="5">
        <f>Legacy!BO42+Paid!BO39+React!BO129</f>
        <v/>
      </c>
      <c r="BP78" s="5">
        <f>Legacy!BP42+Paid!BP39+React!BP129</f>
        <v/>
      </c>
      <c r="BQ78" s="5">
        <f>Legacy!BQ42+Paid!BQ39+React!BQ129</f>
        <v/>
      </c>
      <c r="BR78" s="5">
        <f>Legacy!BR42+Paid!BR39+React!BR129</f>
        <v/>
      </c>
      <c r="BS78" s="5">
        <f>Legacy!BS42+Paid!BS39+React!BS129</f>
        <v/>
      </c>
      <c r="BT78" s="5">
        <f>Legacy!BT42+Paid!BT39+React!BT129</f>
        <v/>
      </c>
      <c r="BU78" s="5">
        <f>Legacy!BU42+Paid!BU39+React!BU129</f>
        <v/>
      </c>
      <c r="BV78" s="5">
        <f>Legacy!BV42+Paid!BV39+React!BV129</f>
        <v/>
      </c>
    </row>
    <row r="80">
      <c r="A80" t="inlineStr">
        <is>
          <t>opening</t>
        </is>
      </c>
      <c r="B80" t="inlineStr">
        <is>
          <t>LATAM|BASIC_M</t>
        </is>
      </c>
      <c r="C80" s="5">
        <f>Legacy!$C$45</f>
        <v/>
      </c>
      <c r="D80" s="5">
        <f>C84</f>
        <v/>
      </c>
      <c r="E80" s="5">
        <f>D84</f>
        <v/>
      </c>
      <c r="F80" s="5">
        <f>E84</f>
        <v/>
      </c>
      <c r="G80" s="5">
        <f>F84</f>
        <v/>
      </c>
      <c r="H80" s="5">
        <f>G84</f>
        <v/>
      </c>
      <c r="I80" s="5">
        <f>H84</f>
        <v/>
      </c>
      <c r="J80" s="5">
        <f>I84</f>
        <v/>
      </c>
      <c r="K80" s="5">
        <f>J84</f>
        <v/>
      </c>
      <c r="L80" s="5">
        <f>K84</f>
        <v/>
      </c>
      <c r="M80" s="5">
        <f>L84</f>
        <v/>
      </c>
      <c r="N80" s="5">
        <f>M84</f>
        <v/>
      </c>
      <c r="O80" s="5">
        <f>N84</f>
        <v/>
      </c>
      <c r="P80" s="5">
        <f>O84</f>
        <v/>
      </c>
      <c r="Q80" s="5">
        <f>P84</f>
        <v/>
      </c>
      <c r="R80" s="5">
        <f>Q84</f>
        <v/>
      </c>
      <c r="S80" s="5">
        <f>R84</f>
        <v/>
      </c>
      <c r="T80" s="5">
        <f>S84</f>
        <v/>
      </c>
      <c r="U80" s="5">
        <f>T84</f>
        <v/>
      </c>
      <c r="V80" s="5">
        <f>U84</f>
        <v/>
      </c>
      <c r="W80" s="5">
        <f>V84</f>
        <v/>
      </c>
      <c r="X80" s="5">
        <f>W84</f>
        <v/>
      </c>
      <c r="Y80" s="5">
        <f>X84</f>
        <v/>
      </c>
      <c r="Z80" s="5">
        <f>Y84</f>
        <v/>
      </c>
      <c r="AA80" s="5">
        <f>Z84</f>
        <v/>
      </c>
      <c r="AB80" s="5">
        <f>AA84</f>
        <v/>
      </c>
      <c r="AC80" s="5">
        <f>AB84</f>
        <v/>
      </c>
      <c r="AD80" s="5">
        <f>AC84</f>
        <v/>
      </c>
      <c r="AE80" s="5">
        <f>AD84</f>
        <v/>
      </c>
      <c r="AF80" s="5">
        <f>AE84</f>
        <v/>
      </c>
      <c r="AG80" s="5">
        <f>AF84</f>
        <v/>
      </c>
      <c r="AH80" s="5">
        <f>AG84</f>
        <v/>
      </c>
      <c r="AI80" s="5">
        <f>AH84</f>
        <v/>
      </c>
      <c r="AJ80" s="5">
        <f>AI84</f>
        <v/>
      </c>
      <c r="AK80" s="5">
        <f>AJ84</f>
        <v/>
      </c>
      <c r="AL80" s="5">
        <f>AK84</f>
        <v/>
      </c>
      <c r="AM80" s="5">
        <f>AL84</f>
        <v/>
      </c>
      <c r="AN80" s="5">
        <f>AM84</f>
        <v/>
      </c>
      <c r="AO80" s="5">
        <f>AN84</f>
        <v/>
      </c>
      <c r="AP80" s="5">
        <f>AO84</f>
        <v/>
      </c>
      <c r="AQ80" s="5">
        <f>AP84</f>
        <v/>
      </c>
      <c r="AR80" s="5">
        <f>AQ84</f>
        <v/>
      </c>
      <c r="AS80" s="5">
        <f>AR84</f>
        <v/>
      </c>
      <c r="AT80" s="5">
        <f>AS84</f>
        <v/>
      </c>
      <c r="AU80" s="5">
        <f>AT84</f>
        <v/>
      </c>
      <c r="AV80" s="5">
        <f>AU84</f>
        <v/>
      </c>
      <c r="AW80" s="5">
        <f>AV84</f>
        <v/>
      </c>
      <c r="AX80" s="5">
        <f>AW84</f>
        <v/>
      </c>
      <c r="AY80" s="5">
        <f>AX84</f>
        <v/>
      </c>
      <c r="AZ80" s="5">
        <f>AY84</f>
        <v/>
      </c>
      <c r="BA80" s="5">
        <f>AZ84</f>
        <v/>
      </c>
      <c r="BB80" s="5">
        <f>BA84</f>
        <v/>
      </c>
      <c r="BC80" s="5">
        <f>BB84</f>
        <v/>
      </c>
      <c r="BD80" s="5">
        <f>BC84</f>
        <v/>
      </c>
      <c r="BE80" s="5">
        <f>BD84</f>
        <v/>
      </c>
      <c r="BF80" s="5">
        <f>BE84</f>
        <v/>
      </c>
      <c r="BG80" s="5">
        <f>BF84</f>
        <v/>
      </c>
      <c r="BH80" s="5">
        <f>BG84</f>
        <v/>
      </c>
      <c r="BI80" s="5">
        <f>BH84</f>
        <v/>
      </c>
      <c r="BJ80" s="5">
        <f>BI84</f>
        <v/>
      </c>
      <c r="BK80" s="5">
        <f>BJ84</f>
        <v/>
      </c>
      <c r="BL80" s="5">
        <f>BK84</f>
        <v/>
      </c>
      <c r="BM80" s="5">
        <f>BL84</f>
        <v/>
      </c>
      <c r="BN80" s="5">
        <f>BM84</f>
        <v/>
      </c>
      <c r="BO80" s="5">
        <f>BN84</f>
        <v/>
      </c>
      <c r="BP80" s="5">
        <f>BO84</f>
        <v/>
      </c>
      <c r="BQ80" s="5">
        <f>BP84</f>
        <v/>
      </c>
      <c r="BR80" s="5">
        <f>BQ84</f>
        <v/>
      </c>
      <c r="BS80" s="5">
        <f>BR84</f>
        <v/>
      </c>
      <c r="BT80" s="5">
        <f>BS84</f>
        <v/>
      </c>
      <c r="BU80" s="5">
        <f>BT84</f>
        <v/>
      </c>
      <c r="BV80" s="5">
        <f>BU84</f>
        <v/>
      </c>
    </row>
    <row r="81">
      <c r="A81" t="inlineStr">
        <is>
          <t>new</t>
        </is>
      </c>
      <c r="B81" t="inlineStr">
        <is>
          <t>LATAM|BASIC_M</t>
        </is>
      </c>
      <c r="C81" s="5">
        <f>Adds!C155+IF(Params!$B$7=1,Adds!C154,Adds!C158)</f>
        <v/>
      </c>
      <c r="D81" s="5">
        <f>Adds!D155+IF(Params!$B$7=1,Adds!D154,Adds!D158)</f>
        <v/>
      </c>
      <c r="E81" s="5">
        <f>Adds!E155+IF(Params!$B$7=1,Adds!E154,Adds!E158)</f>
        <v/>
      </c>
      <c r="F81" s="5">
        <f>Adds!F155+IF(Params!$B$7=1,Adds!F154,Adds!F158)</f>
        <v/>
      </c>
      <c r="G81" s="5">
        <f>Adds!G155+IF(Params!$B$7=1,Adds!G154,Adds!G158)</f>
        <v/>
      </c>
      <c r="H81" s="5">
        <f>Adds!H155+IF(Params!$B$7=1,Adds!H154,Adds!H158)</f>
        <v/>
      </c>
      <c r="I81" s="5">
        <f>Adds!I155+IF(Params!$B$7=1,Adds!I154,Adds!I158)</f>
        <v/>
      </c>
      <c r="J81" s="5">
        <f>Adds!J155+IF(Params!$B$7=1,Adds!J154,Adds!J158)</f>
        <v/>
      </c>
      <c r="K81" s="5">
        <f>Adds!K155+IF(Params!$B$7=1,Adds!K154,Adds!K158)</f>
        <v/>
      </c>
      <c r="L81" s="5">
        <f>Adds!L155+IF(Params!$B$7=1,Adds!L154,Adds!L158)</f>
        <v/>
      </c>
      <c r="M81" s="5">
        <f>Adds!M155+IF(Params!$B$7=1,Adds!M154,Adds!M158)</f>
        <v/>
      </c>
      <c r="N81" s="5">
        <f>Adds!N155+IF(Params!$B$7=1,Adds!N154,Adds!N158)</f>
        <v/>
      </c>
      <c r="O81" s="5">
        <f>Adds!O155+IF(Params!$B$7=1,Adds!O154,Adds!O158)</f>
        <v/>
      </c>
      <c r="P81" s="5">
        <f>Adds!P155+IF(Params!$B$7=1,Adds!P154,Adds!P158)</f>
        <v/>
      </c>
      <c r="Q81" s="5">
        <f>Adds!Q155+IF(Params!$B$7=1,Adds!Q154,Adds!Q158)</f>
        <v/>
      </c>
      <c r="R81" s="5">
        <f>Adds!R155+IF(Params!$B$7=1,Adds!R154,Adds!R158)</f>
        <v/>
      </c>
      <c r="S81" s="5">
        <f>Adds!S155+IF(Params!$B$7=1,Adds!S154,Adds!S158)</f>
        <v/>
      </c>
      <c r="T81" s="5">
        <f>Adds!T155+IF(Params!$B$7=1,Adds!T154,Adds!T158)</f>
        <v/>
      </c>
      <c r="U81" s="5">
        <f>Adds!U155+IF(Params!$B$7=1,Adds!U154,Adds!U158)</f>
        <v/>
      </c>
      <c r="V81" s="5">
        <f>Adds!V155+IF(Params!$B$7=1,Adds!V154,Adds!V158)</f>
        <v/>
      </c>
      <c r="W81" s="5">
        <f>Adds!W155+IF(Params!$B$7=1,Adds!W154,Adds!W158)</f>
        <v/>
      </c>
      <c r="X81" s="5">
        <f>Adds!X155+IF(Params!$B$7=1,Adds!X154,Adds!X158)</f>
        <v/>
      </c>
      <c r="Y81" s="5">
        <f>Adds!Y155+IF(Params!$B$7=1,Adds!Y154,Adds!Y158)</f>
        <v/>
      </c>
      <c r="Z81" s="5">
        <f>Adds!Z155+IF(Params!$B$7=1,Adds!Z154,Adds!Z158)</f>
        <v/>
      </c>
      <c r="AA81" s="5">
        <f>Adds!AA155+IF(Params!$B$7=1,Adds!AA154,Adds!AA158)</f>
        <v/>
      </c>
      <c r="AB81" s="5">
        <f>Adds!AB155+IF(Params!$B$7=1,Adds!AB154,Adds!AB158)</f>
        <v/>
      </c>
      <c r="AC81" s="5">
        <f>Adds!AC155+IF(Params!$B$7=1,Adds!AC154,Adds!AC158)</f>
        <v/>
      </c>
      <c r="AD81" s="5">
        <f>Adds!AD155+IF(Params!$B$7=1,Adds!AD154,Adds!AD158)</f>
        <v/>
      </c>
      <c r="AE81" s="5">
        <f>Adds!AE155+IF(Params!$B$7=1,Adds!AE154,Adds!AE158)</f>
        <v/>
      </c>
      <c r="AF81" s="5">
        <f>Adds!AF155+IF(Params!$B$7=1,Adds!AF154,Adds!AF158)</f>
        <v/>
      </c>
      <c r="AG81" s="5">
        <f>Adds!AG155+IF(Params!$B$7=1,Adds!AG154,Adds!AG158)</f>
        <v/>
      </c>
      <c r="AH81" s="5">
        <f>Adds!AH155+IF(Params!$B$7=1,Adds!AH154,Adds!AH158)</f>
        <v/>
      </c>
      <c r="AI81" s="5">
        <f>Adds!AI155+IF(Params!$B$7=1,Adds!AI154,Adds!AI158)</f>
        <v/>
      </c>
      <c r="AJ81" s="5">
        <f>Adds!AJ155+IF(Params!$B$7=1,Adds!AJ154,Adds!AJ158)</f>
        <v/>
      </c>
      <c r="AK81" s="5">
        <f>Adds!AK155+IF(Params!$B$7=1,Adds!AK154,Adds!AK158)</f>
        <v/>
      </c>
      <c r="AL81" s="5">
        <f>Adds!AL155+IF(Params!$B$7=1,Adds!AL154,Adds!AL158)</f>
        <v/>
      </c>
      <c r="AM81" s="5">
        <f>Adds!AM155+IF(Params!$B$7=1,Adds!AM154,Adds!AM158)</f>
        <v/>
      </c>
      <c r="AN81" s="5">
        <f>Adds!AN155+IF(Params!$B$7=1,Adds!AN154,Adds!AN158)</f>
        <v/>
      </c>
      <c r="AO81" s="5">
        <f>Adds!AO155+IF(Params!$B$7=1,Adds!AO154,Adds!AO158)</f>
        <v/>
      </c>
      <c r="AP81" s="5">
        <f>Adds!AP155+IF(Params!$B$7=1,Adds!AP154,Adds!AP158)</f>
        <v/>
      </c>
      <c r="AQ81" s="5">
        <f>Adds!AQ155+IF(Params!$B$7=1,Adds!AQ154,Adds!AQ158)</f>
        <v/>
      </c>
      <c r="AR81" s="5">
        <f>Adds!AR155+IF(Params!$B$7=1,Adds!AR154,Adds!AR158)</f>
        <v/>
      </c>
      <c r="AS81" s="5">
        <f>Adds!AS155+IF(Params!$B$7=1,Adds!AS154,Adds!AS158)</f>
        <v/>
      </c>
      <c r="AT81" s="5">
        <f>Adds!AT155+IF(Params!$B$7=1,Adds!AT154,Adds!AT158)</f>
        <v/>
      </c>
      <c r="AU81" s="5">
        <f>Adds!AU155+IF(Params!$B$7=1,Adds!AU154,Adds!AU158)</f>
        <v/>
      </c>
      <c r="AV81" s="5">
        <f>Adds!AV155+IF(Params!$B$7=1,Adds!AV154,Adds!AV158)</f>
        <v/>
      </c>
      <c r="AW81" s="5">
        <f>Adds!AW155+IF(Params!$B$7=1,Adds!AW154,Adds!AW158)</f>
        <v/>
      </c>
      <c r="AX81" s="5">
        <f>Adds!AX155+IF(Params!$B$7=1,Adds!AX154,Adds!AX158)</f>
        <v/>
      </c>
      <c r="AY81" s="5">
        <f>Adds!AY155+IF(Params!$B$7=1,Adds!AY154,Adds!AY158)</f>
        <v/>
      </c>
      <c r="AZ81" s="5">
        <f>Adds!AZ155+IF(Params!$B$7=1,Adds!AZ154,Adds!AZ158)</f>
        <v/>
      </c>
      <c r="BA81" s="5">
        <f>Adds!BA155+IF(Params!$B$7=1,Adds!BA154,Adds!BA158)</f>
        <v/>
      </c>
      <c r="BB81" s="5">
        <f>Adds!BB155+IF(Params!$B$7=1,Adds!BB154,Adds!BB158)</f>
        <v/>
      </c>
      <c r="BC81" s="5">
        <f>Adds!BC155+IF(Params!$B$7=1,Adds!BC154,Adds!BC158)</f>
        <v/>
      </c>
      <c r="BD81" s="5">
        <f>Adds!BD155+IF(Params!$B$7=1,Adds!BD154,Adds!BD158)</f>
        <v/>
      </c>
      <c r="BE81" s="5">
        <f>Adds!BE155+IF(Params!$B$7=1,Adds!BE154,Adds!BE158)</f>
        <v/>
      </c>
      <c r="BF81" s="5">
        <f>Adds!BF155+IF(Params!$B$7=1,Adds!BF154,Adds!BF158)</f>
        <v/>
      </c>
      <c r="BG81" s="5">
        <f>Adds!BG155+IF(Params!$B$7=1,Adds!BG154,Adds!BG158)</f>
        <v/>
      </c>
      <c r="BH81" s="5">
        <f>Adds!BH155+IF(Params!$B$7=1,Adds!BH154,Adds!BH158)</f>
        <v/>
      </c>
      <c r="BI81" s="5">
        <f>Adds!BI155+IF(Params!$B$7=1,Adds!BI154,Adds!BI158)</f>
        <v/>
      </c>
      <c r="BJ81" s="5">
        <f>Adds!BJ155+IF(Params!$B$7=1,Adds!BJ154,Adds!BJ158)</f>
        <v/>
      </c>
      <c r="BK81" s="5">
        <f>Adds!BK155+IF(Params!$B$7=1,Adds!BK154,Adds!BK158)</f>
        <v/>
      </c>
      <c r="BL81" s="5">
        <f>Adds!BL155+IF(Params!$B$7=1,Adds!BL154,Adds!BL158)</f>
        <v/>
      </c>
      <c r="BM81" s="5">
        <f>Adds!BM155+IF(Params!$B$7=1,Adds!BM154,Adds!BM158)</f>
        <v/>
      </c>
      <c r="BN81" s="5">
        <f>Adds!BN155+IF(Params!$B$7=1,Adds!BN154,Adds!BN158)</f>
        <v/>
      </c>
      <c r="BO81" s="5">
        <f>Adds!BO155+IF(Params!$B$7=1,Adds!BO154,Adds!BO158)</f>
        <v/>
      </c>
      <c r="BP81" s="5">
        <f>Adds!BP155+IF(Params!$B$7=1,Adds!BP154,Adds!BP158)</f>
        <v/>
      </c>
      <c r="BQ81" s="5">
        <f>Adds!BQ155+IF(Params!$B$7=1,Adds!BQ154,Adds!BQ158)</f>
        <v/>
      </c>
      <c r="BR81" s="5">
        <f>Adds!BR155+IF(Params!$B$7=1,Adds!BR154,Adds!BR158)</f>
        <v/>
      </c>
      <c r="BS81" s="5">
        <f>Adds!BS155+IF(Params!$B$7=1,Adds!BS154,Adds!BS158)</f>
        <v/>
      </c>
      <c r="BT81" s="5">
        <f>Adds!BT155+IF(Params!$B$7=1,Adds!BT154,Adds!BT158)</f>
        <v/>
      </c>
      <c r="BU81" s="5">
        <f>Adds!BU155+IF(Params!$B$7=1,Adds!BU154,Adds!BU158)</f>
        <v/>
      </c>
      <c r="BV81" s="5">
        <f>Adds!BV155+IF(Params!$B$7=1,Adds!BV154,Adds!BV158)</f>
        <v/>
      </c>
    </row>
    <row r="82">
      <c r="A82" t="inlineStr">
        <is>
          <t>reactivated</t>
        </is>
      </c>
      <c r="B82" t="inlineStr">
        <is>
          <t>LATAM|BASIC_M</t>
        </is>
      </c>
      <c r="C82" s="5">
        <f>React!C138</f>
        <v/>
      </c>
      <c r="D82" s="5">
        <f>React!D138</f>
        <v/>
      </c>
      <c r="E82" s="5">
        <f>React!E138</f>
        <v/>
      </c>
      <c r="F82" s="5">
        <f>React!F138</f>
        <v/>
      </c>
      <c r="G82" s="5">
        <f>React!G138</f>
        <v/>
      </c>
      <c r="H82" s="5">
        <f>React!H138</f>
        <v/>
      </c>
      <c r="I82" s="5">
        <f>React!I138</f>
        <v/>
      </c>
      <c r="J82" s="5">
        <f>React!J138</f>
        <v/>
      </c>
      <c r="K82" s="5">
        <f>React!K138</f>
        <v/>
      </c>
      <c r="L82" s="5">
        <f>React!L138</f>
        <v/>
      </c>
      <c r="M82" s="5">
        <f>React!M138</f>
        <v/>
      </c>
      <c r="N82" s="5">
        <f>React!N138</f>
        <v/>
      </c>
      <c r="O82" s="5">
        <f>React!O138</f>
        <v/>
      </c>
      <c r="P82" s="5">
        <f>React!P138</f>
        <v/>
      </c>
      <c r="Q82" s="5">
        <f>React!Q138</f>
        <v/>
      </c>
      <c r="R82" s="5">
        <f>React!R138</f>
        <v/>
      </c>
      <c r="S82" s="5">
        <f>React!S138</f>
        <v/>
      </c>
      <c r="T82" s="5">
        <f>React!T138</f>
        <v/>
      </c>
      <c r="U82" s="5">
        <f>React!U138</f>
        <v/>
      </c>
      <c r="V82" s="5">
        <f>React!V138</f>
        <v/>
      </c>
      <c r="W82" s="5">
        <f>React!W138</f>
        <v/>
      </c>
      <c r="X82" s="5">
        <f>React!X138</f>
        <v/>
      </c>
      <c r="Y82" s="5">
        <f>React!Y138</f>
        <v/>
      </c>
      <c r="Z82" s="5">
        <f>React!Z138</f>
        <v/>
      </c>
      <c r="AA82" s="5">
        <f>React!AA138</f>
        <v/>
      </c>
      <c r="AB82" s="5">
        <f>React!AB138</f>
        <v/>
      </c>
      <c r="AC82" s="5">
        <f>React!AC138</f>
        <v/>
      </c>
      <c r="AD82" s="5">
        <f>React!AD138</f>
        <v/>
      </c>
      <c r="AE82" s="5">
        <f>React!AE138</f>
        <v/>
      </c>
      <c r="AF82" s="5">
        <f>React!AF138</f>
        <v/>
      </c>
      <c r="AG82" s="5">
        <f>React!AG138</f>
        <v/>
      </c>
      <c r="AH82" s="5">
        <f>React!AH138</f>
        <v/>
      </c>
      <c r="AI82" s="5">
        <f>React!AI138</f>
        <v/>
      </c>
      <c r="AJ82" s="5">
        <f>React!AJ138</f>
        <v/>
      </c>
      <c r="AK82" s="5">
        <f>React!AK138</f>
        <v/>
      </c>
      <c r="AL82" s="5">
        <f>React!AL138</f>
        <v/>
      </c>
      <c r="AM82" s="5">
        <f>React!AM138</f>
        <v/>
      </c>
      <c r="AN82" s="5">
        <f>React!AN138</f>
        <v/>
      </c>
      <c r="AO82" s="5">
        <f>React!AO138</f>
        <v/>
      </c>
      <c r="AP82" s="5">
        <f>React!AP138</f>
        <v/>
      </c>
      <c r="AQ82" s="5">
        <f>React!AQ138</f>
        <v/>
      </c>
      <c r="AR82" s="5">
        <f>React!AR138</f>
        <v/>
      </c>
      <c r="AS82" s="5">
        <f>React!AS138</f>
        <v/>
      </c>
      <c r="AT82" s="5">
        <f>React!AT138</f>
        <v/>
      </c>
      <c r="AU82" s="5">
        <f>React!AU138</f>
        <v/>
      </c>
      <c r="AV82" s="5">
        <f>React!AV138</f>
        <v/>
      </c>
      <c r="AW82" s="5">
        <f>React!AW138</f>
        <v/>
      </c>
      <c r="AX82" s="5">
        <f>React!AX138</f>
        <v/>
      </c>
      <c r="AY82" s="5">
        <f>React!AY138</f>
        <v/>
      </c>
      <c r="AZ82" s="5">
        <f>React!AZ138</f>
        <v/>
      </c>
      <c r="BA82" s="5">
        <f>React!BA138</f>
        <v/>
      </c>
      <c r="BB82" s="5">
        <f>React!BB138</f>
        <v/>
      </c>
      <c r="BC82" s="5">
        <f>React!BC138</f>
        <v/>
      </c>
      <c r="BD82" s="5">
        <f>React!BD138</f>
        <v/>
      </c>
      <c r="BE82" s="5">
        <f>React!BE138</f>
        <v/>
      </c>
      <c r="BF82" s="5">
        <f>React!BF138</f>
        <v/>
      </c>
      <c r="BG82" s="5">
        <f>React!BG138</f>
        <v/>
      </c>
      <c r="BH82" s="5">
        <f>React!BH138</f>
        <v/>
      </c>
      <c r="BI82" s="5">
        <f>React!BI138</f>
        <v/>
      </c>
      <c r="BJ82" s="5">
        <f>React!BJ138</f>
        <v/>
      </c>
      <c r="BK82" s="5">
        <f>React!BK138</f>
        <v/>
      </c>
      <c r="BL82" s="5">
        <f>React!BL138</f>
        <v/>
      </c>
      <c r="BM82" s="5">
        <f>React!BM138</f>
        <v/>
      </c>
      <c r="BN82" s="5">
        <f>React!BN138</f>
        <v/>
      </c>
      <c r="BO82" s="5">
        <f>React!BO138</f>
        <v/>
      </c>
      <c r="BP82" s="5">
        <f>React!BP138</f>
        <v/>
      </c>
      <c r="BQ82" s="5">
        <f>React!BQ138</f>
        <v/>
      </c>
      <c r="BR82" s="5">
        <f>React!BR138</f>
        <v/>
      </c>
      <c r="BS82" s="5">
        <f>React!BS138</f>
        <v/>
      </c>
      <c r="BT82" s="5">
        <f>React!BT138</f>
        <v/>
      </c>
      <c r="BU82" s="5">
        <f>React!BU138</f>
        <v/>
      </c>
      <c r="BV82" s="5">
        <f>React!BV138</f>
        <v/>
      </c>
    </row>
    <row r="83">
      <c r="A83" t="inlineStr">
        <is>
          <t>churned</t>
        </is>
      </c>
      <c r="B83" t="inlineStr">
        <is>
          <t>LATAM|BASIC_M</t>
        </is>
      </c>
      <c r="C83" s="5">
        <f>Legacy!C47+Paid!C45+React!C144+Params!$B$7*Adds!C159</f>
        <v/>
      </c>
      <c r="D83" s="5">
        <f>Legacy!D47+Paid!D45+React!D144+Params!$B$7*Adds!D159</f>
        <v/>
      </c>
      <c r="E83" s="5">
        <f>Legacy!E47+Paid!E45+React!E144+Params!$B$7*Adds!E159</f>
        <v/>
      </c>
      <c r="F83" s="5">
        <f>Legacy!F47+Paid!F45+React!F144+Params!$B$7*Adds!F159</f>
        <v/>
      </c>
      <c r="G83" s="5">
        <f>Legacy!G47+Paid!G45+React!G144+Params!$B$7*Adds!G159</f>
        <v/>
      </c>
      <c r="H83" s="5">
        <f>Legacy!H47+Paid!H45+React!H144+Params!$B$7*Adds!H159</f>
        <v/>
      </c>
      <c r="I83" s="5">
        <f>Legacy!I47+Paid!I45+React!I144+Params!$B$7*Adds!I159</f>
        <v/>
      </c>
      <c r="J83" s="5">
        <f>Legacy!J47+Paid!J45+React!J144+Params!$B$7*Adds!J159</f>
        <v/>
      </c>
      <c r="K83" s="5">
        <f>Legacy!K47+Paid!K45+React!K144+Params!$B$7*Adds!K159</f>
        <v/>
      </c>
      <c r="L83" s="5">
        <f>Legacy!L47+Paid!L45+React!L144+Params!$B$7*Adds!L159</f>
        <v/>
      </c>
      <c r="M83" s="5">
        <f>Legacy!M47+Paid!M45+React!M144+Params!$B$7*Adds!M159</f>
        <v/>
      </c>
      <c r="N83" s="5">
        <f>Legacy!N47+Paid!N45+React!N144+Params!$B$7*Adds!N159</f>
        <v/>
      </c>
      <c r="O83" s="5">
        <f>Legacy!O47+Paid!O45+React!O144+Params!$B$7*Adds!O159</f>
        <v/>
      </c>
      <c r="P83" s="5">
        <f>Legacy!P47+Paid!P45+React!P144+Params!$B$7*Adds!P159</f>
        <v/>
      </c>
      <c r="Q83" s="5">
        <f>Legacy!Q47+Paid!Q45+React!Q144+Params!$B$7*Adds!Q159</f>
        <v/>
      </c>
      <c r="R83" s="5">
        <f>Legacy!R47+Paid!R45+React!R144+Params!$B$7*Adds!R159</f>
        <v/>
      </c>
      <c r="S83" s="5">
        <f>Legacy!S47+Paid!S45+React!S144+Params!$B$7*Adds!S159</f>
        <v/>
      </c>
      <c r="T83" s="5">
        <f>Legacy!T47+Paid!T45+React!T144+Params!$B$7*Adds!T159</f>
        <v/>
      </c>
      <c r="U83" s="5">
        <f>Legacy!U47+Paid!U45+React!U144+Params!$B$7*Adds!U159</f>
        <v/>
      </c>
      <c r="V83" s="5">
        <f>Legacy!V47+Paid!V45+React!V144+Params!$B$7*Adds!V159</f>
        <v/>
      </c>
      <c r="W83" s="5">
        <f>Legacy!W47+Paid!W45+React!W144+Params!$B$7*Adds!W159</f>
        <v/>
      </c>
      <c r="X83" s="5">
        <f>Legacy!X47+Paid!X45+React!X144+Params!$B$7*Adds!X159</f>
        <v/>
      </c>
      <c r="Y83" s="5">
        <f>Legacy!Y47+Paid!Y45+React!Y144+Params!$B$7*Adds!Y159</f>
        <v/>
      </c>
      <c r="Z83" s="5">
        <f>Legacy!Z47+Paid!Z45+React!Z144+Params!$B$7*Adds!Z159</f>
        <v/>
      </c>
      <c r="AA83" s="5">
        <f>Legacy!AA47+Paid!AA45+React!AA144+Params!$B$7*Adds!AA159</f>
        <v/>
      </c>
      <c r="AB83" s="5">
        <f>Legacy!AB47+Paid!AB45+React!AB144+Params!$B$7*Adds!AB159</f>
        <v/>
      </c>
      <c r="AC83" s="5">
        <f>Legacy!AC47+Paid!AC45+React!AC144+Params!$B$7*Adds!AC159</f>
        <v/>
      </c>
      <c r="AD83" s="5">
        <f>Legacy!AD47+Paid!AD45+React!AD144+Params!$B$7*Adds!AD159</f>
        <v/>
      </c>
      <c r="AE83" s="5">
        <f>Legacy!AE47+Paid!AE45+React!AE144+Params!$B$7*Adds!AE159</f>
        <v/>
      </c>
      <c r="AF83" s="5">
        <f>Legacy!AF47+Paid!AF45+React!AF144+Params!$B$7*Adds!AF159</f>
        <v/>
      </c>
      <c r="AG83" s="5">
        <f>Legacy!AG47+Paid!AG45+React!AG144+Params!$B$7*Adds!AG159</f>
        <v/>
      </c>
      <c r="AH83" s="5">
        <f>Legacy!AH47+Paid!AH45+React!AH144+Params!$B$7*Adds!AH159</f>
        <v/>
      </c>
      <c r="AI83" s="5">
        <f>Legacy!AI47+Paid!AI45+React!AI144+Params!$B$7*Adds!AI159</f>
        <v/>
      </c>
      <c r="AJ83" s="5">
        <f>Legacy!AJ47+Paid!AJ45+React!AJ144+Params!$B$7*Adds!AJ159</f>
        <v/>
      </c>
      <c r="AK83" s="5">
        <f>Legacy!AK47+Paid!AK45+React!AK144+Params!$B$7*Adds!AK159</f>
        <v/>
      </c>
      <c r="AL83" s="5">
        <f>Legacy!AL47+Paid!AL45+React!AL144+Params!$B$7*Adds!AL159</f>
        <v/>
      </c>
      <c r="AM83" s="5">
        <f>Legacy!AM47+Paid!AM45+React!AM144+Params!$B$7*Adds!AM159</f>
        <v/>
      </c>
      <c r="AN83" s="5">
        <f>Legacy!AN47+Paid!AN45+React!AN144+Params!$B$7*Adds!AN159</f>
        <v/>
      </c>
      <c r="AO83" s="5">
        <f>Legacy!AO47+Paid!AO45+React!AO144+Params!$B$7*Adds!AO159</f>
        <v/>
      </c>
      <c r="AP83" s="5">
        <f>Legacy!AP47+Paid!AP45+React!AP144+Params!$B$7*Adds!AP159</f>
        <v/>
      </c>
      <c r="AQ83" s="5">
        <f>Legacy!AQ47+Paid!AQ45+React!AQ144+Params!$B$7*Adds!AQ159</f>
        <v/>
      </c>
      <c r="AR83" s="5">
        <f>Legacy!AR47+Paid!AR45+React!AR144+Params!$B$7*Adds!AR159</f>
        <v/>
      </c>
      <c r="AS83" s="5">
        <f>Legacy!AS47+Paid!AS45+React!AS144+Params!$B$7*Adds!AS159</f>
        <v/>
      </c>
      <c r="AT83" s="5">
        <f>Legacy!AT47+Paid!AT45+React!AT144+Params!$B$7*Adds!AT159</f>
        <v/>
      </c>
      <c r="AU83" s="5">
        <f>Legacy!AU47+Paid!AU45+React!AU144+Params!$B$7*Adds!AU159</f>
        <v/>
      </c>
      <c r="AV83" s="5">
        <f>Legacy!AV47+Paid!AV45+React!AV144+Params!$B$7*Adds!AV159</f>
        <v/>
      </c>
      <c r="AW83" s="5">
        <f>Legacy!AW47+Paid!AW45+React!AW144+Params!$B$7*Adds!AW159</f>
        <v/>
      </c>
      <c r="AX83" s="5">
        <f>Legacy!AX47+Paid!AX45+React!AX144+Params!$B$7*Adds!AX159</f>
        <v/>
      </c>
      <c r="AY83" s="5">
        <f>Legacy!AY47+Paid!AY45+React!AY144+Params!$B$7*Adds!AY159</f>
        <v/>
      </c>
      <c r="AZ83" s="5">
        <f>Legacy!AZ47+Paid!AZ45+React!AZ144+Params!$B$7*Adds!AZ159</f>
        <v/>
      </c>
      <c r="BA83" s="5">
        <f>Legacy!BA47+Paid!BA45+React!BA144+Params!$B$7*Adds!BA159</f>
        <v/>
      </c>
      <c r="BB83" s="5">
        <f>Legacy!BB47+Paid!BB45+React!BB144+Params!$B$7*Adds!BB159</f>
        <v/>
      </c>
      <c r="BC83" s="5">
        <f>Legacy!BC47+Paid!BC45+React!BC144+Params!$B$7*Adds!BC159</f>
        <v/>
      </c>
      <c r="BD83" s="5">
        <f>Legacy!BD47+Paid!BD45+React!BD144+Params!$B$7*Adds!BD159</f>
        <v/>
      </c>
      <c r="BE83" s="5">
        <f>Legacy!BE47+Paid!BE45+React!BE144+Params!$B$7*Adds!BE159</f>
        <v/>
      </c>
      <c r="BF83" s="5">
        <f>Legacy!BF47+Paid!BF45+React!BF144+Params!$B$7*Adds!BF159</f>
        <v/>
      </c>
      <c r="BG83" s="5">
        <f>Legacy!BG47+Paid!BG45+React!BG144+Params!$B$7*Adds!BG159</f>
        <v/>
      </c>
      <c r="BH83" s="5">
        <f>Legacy!BH47+Paid!BH45+React!BH144+Params!$B$7*Adds!BH159</f>
        <v/>
      </c>
      <c r="BI83" s="5">
        <f>Legacy!BI47+Paid!BI45+React!BI144+Params!$B$7*Adds!BI159</f>
        <v/>
      </c>
      <c r="BJ83" s="5">
        <f>Legacy!BJ47+Paid!BJ45+React!BJ144+Params!$B$7*Adds!BJ159</f>
        <v/>
      </c>
      <c r="BK83" s="5">
        <f>Legacy!BK47+Paid!BK45+React!BK144+Params!$B$7*Adds!BK159</f>
        <v/>
      </c>
      <c r="BL83" s="5">
        <f>Legacy!BL47+Paid!BL45+React!BL144+Params!$B$7*Adds!BL159</f>
        <v/>
      </c>
      <c r="BM83" s="5">
        <f>Legacy!BM47+Paid!BM45+React!BM144+Params!$B$7*Adds!BM159</f>
        <v/>
      </c>
      <c r="BN83" s="5">
        <f>Legacy!BN47+Paid!BN45+React!BN144+Params!$B$7*Adds!BN159</f>
        <v/>
      </c>
      <c r="BO83" s="5">
        <f>Legacy!BO47+Paid!BO45+React!BO144+Params!$B$7*Adds!BO159</f>
        <v/>
      </c>
      <c r="BP83" s="5">
        <f>Legacy!BP47+Paid!BP45+React!BP144+Params!$B$7*Adds!BP159</f>
        <v/>
      </c>
      <c r="BQ83" s="5">
        <f>Legacy!BQ47+Paid!BQ45+React!BQ144+Params!$B$7*Adds!BQ159</f>
        <v/>
      </c>
      <c r="BR83" s="5">
        <f>Legacy!BR47+Paid!BR45+React!BR144+Params!$B$7*Adds!BR159</f>
        <v/>
      </c>
      <c r="BS83" s="5">
        <f>Legacy!BS47+Paid!BS45+React!BS144+Params!$B$7*Adds!BS159</f>
        <v/>
      </c>
      <c r="BT83" s="5">
        <f>Legacy!BT47+Paid!BT45+React!BT144+Params!$B$7*Adds!BT159</f>
        <v/>
      </c>
      <c r="BU83" s="5">
        <f>Legacy!BU47+Paid!BU45+React!BU144+Params!$B$7*Adds!BU159</f>
        <v/>
      </c>
      <c r="BV83" s="5">
        <f>Legacy!BV47+Paid!BV45+React!BV144+Params!$B$7*Adds!BV159</f>
        <v/>
      </c>
    </row>
    <row r="84">
      <c r="A84" t="inlineStr">
        <is>
          <t>closing</t>
        </is>
      </c>
      <c r="B84" t="inlineStr">
        <is>
          <t>LATAM|BASIC_M</t>
        </is>
      </c>
      <c r="C84" s="5">
        <f>C85+Params!$B$7*Adds!C162</f>
        <v/>
      </c>
      <c r="D84" s="5">
        <f>D85+Params!$B$7*Adds!D162</f>
        <v/>
      </c>
      <c r="E84" s="5">
        <f>E85+Params!$B$7*Adds!E162</f>
        <v/>
      </c>
      <c r="F84" s="5">
        <f>F85+Params!$B$7*Adds!F162</f>
        <v/>
      </c>
      <c r="G84" s="5">
        <f>G85+Params!$B$7*Adds!G162</f>
        <v/>
      </c>
      <c r="H84" s="5">
        <f>H85+Params!$B$7*Adds!H162</f>
        <v/>
      </c>
      <c r="I84" s="5">
        <f>I85+Params!$B$7*Adds!I162</f>
        <v/>
      </c>
      <c r="J84" s="5">
        <f>J85+Params!$B$7*Adds!J162</f>
        <v/>
      </c>
      <c r="K84" s="5">
        <f>K85+Params!$B$7*Adds!K162</f>
        <v/>
      </c>
      <c r="L84" s="5">
        <f>L85+Params!$B$7*Adds!L162</f>
        <v/>
      </c>
      <c r="M84" s="5">
        <f>M85+Params!$B$7*Adds!M162</f>
        <v/>
      </c>
      <c r="N84" s="5">
        <f>N85+Params!$B$7*Adds!N162</f>
        <v/>
      </c>
      <c r="O84" s="5">
        <f>O85+Params!$B$7*Adds!O162</f>
        <v/>
      </c>
      <c r="P84" s="5">
        <f>P85+Params!$B$7*Adds!P162</f>
        <v/>
      </c>
      <c r="Q84" s="5">
        <f>Q85+Params!$B$7*Adds!Q162</f>
        <v/>
      </c>
      <c r="R84" s="5">
        <f>R85+Params!$B$7*Adds!R162</f>
        <v/>
      </c>
      <c r="S84" s="5">
        <f>S85+Params!$B$7*Adds!S162</f>
        <v/>
      </c>
      <c r="T84" s="5">
        <f>T85+Params!$B$7*Adds!T162</f>
        <v/>
      </c>
      <c r="U84" s="5">
        <f>U85+Params!$B$7*Adds!U162</f>
        <v/>
      </c>
      <c r="V84" s="5">
        <f>V85+Params!$B$7*Adds!V162</f>
        <v/>
      </c>
      <c r="W84" s="5">
        <f>W85+Params!$B$7*Adds!W162</f>
        <v/>
      </c>
      <c r="X84" s="5">
        <f>X85+Params!$B$7*Adds!X162</f>
        <v/>
      </c>
      <c r="Y84" s="5">
        <f>Y85+Params!$B$7*Adds!Y162</f>
        <v/>
      </c>
      <c r="Z84" s="5">
        <f>Z85+Params!$B$7*Adds!Z162</f>
        <v/>
      </c>
      <c r="AA84" s="5">
        <f>AA85+Params!$B$7*Adds!AA162</f>
        <v/>
      </c>
      <c r="AB84" s="5">
        <f>AB85+Params!$B$7*Adds!AB162</f>
        <v/>
      </c>
      <c r="AC84" s="5">
        <f>AC85+Params!$B$7*Adds!AC162</f>
        <v/>
      </c>
      <c r="AD84" s="5">
        <f>AD85+Params!$B$7*Adds!AD162</f>
        <v/>
      </c>
      <c r="AE84" s="5">
        <f>AE85+Params!$B$7*Adds!AE162</f>
        <v/>
      </c>
      <c r="AF84" s="5">
        <f>AF85+Params!$B$7*Adds!AF162</f>
        <v/>
      </c>
      <c r="AG84" s="5">
        <f>AG85+Params!$B$7*Adds!AG162</f>
        <v/>
      </c>
      <c r="AH84" s="5">
        <f>AH85+Params!$B$7*Adds!AH162</f>
        <v/>
      </c>
      <c r="AI84" s="5">
        <f>AI85+Params!$B$7*Adds!AI162</f>
        <v/>
      </c>
      <c r="AJ84" s="5">
        <f>AJ85+Params!$B$7*Adds!AJ162</f>
        <v/>
      </c>
      <c r="AK84" s="5">
        <f>AK85+Params!$B$7*Adds!AK162</f>
        <v/>
      </c>
      <c r="AL84" s="5">
        <f>AL85+Params!$B$7*Adds!AL162</f>
        <v/>
      </c>
      <c r="AM84" s="5">
        <f>AM85+Params!$B$7*Adds!AM162</f>
        <v/>
      </c>
      <c r="AN84" s="5">
        <f>AN85+Params!$B$7*Adds!AN162</f>
        <v/>
      </c>
      <c r="AO84" s="5">
        <f>AO85+Params!$B$7*Adds!AO162</f>
        <v/>
      </c>
      <c r="AP84" s="5">
        <f>AP85+Params!$B$7*Adds!AP162</f>
        <v/>
      </c>
      <c r="AQ84" s="5">
        <f>AQ85+Params!$B$7*Adds!AQ162</f>
        <v/>
      </c>
      <c r="AR84" s="5">
        <f>AR85+Params!$B$7*Adds!AR162</f>
        <v/>
      </c>
      <c r="AS84" s="5">
        <f>AS85+Params!$B$7*Adds!AS162</f>
        <v/>
      </c>
      <c r="AT84" s="5">
        <f>AT85+Params!$B$7*Adds!AT162</f>
        <v/>
      </c>
      <c r="AU84" s="5">
        <f>AU85+Params!$B$7*Adds!AU162</f>
        <v/>
      </c>
      <c r="AV84" s="5">
        <f>AV85+Params!$B$7*Adds!AV162</f>
        <v/>
      </c>
      <c r="AW84" s="5">
        <f>AW85+Params!$B$7*Adds!AW162</f>
        <v/>
      </c>
      <c r="AX84" s="5">
        <f>AX85+Params!$B$7*Adds!AX162</f>
        <v/>
      </c>
      <c r="AY84" s="5">
        <f>AY85+Params!$B$7*Adds!AY162</f>
        <v/>
      </c>
      <c r="AZ84" s="5">
        <f>AZ85+Params!$B$7*Adds!AZ162</f>
        <v/>
      </c>
      <c r="BA84" s="5">
        <f>BA85+Params!$B$7*Adds!BA162</f>
        <v/>
      </c>
      <c r="BB84" s="5">
        <f>BB85+Params!$B$7*Adds!BB162</f>
        <v/>
      </c>
      <c r="BC84" s="5">
        <f>BC85+Params!$B$7*Adds!BC162</f>
        <v/>
      </c>
      <c r="BD84" s="5">
        <f>BD85+Params!$B$7*Adds!BD162</f>
        <v/>
      </c>
      <c r="BE84" s="5">
        <f>BE85+Params!$B$7*Adds!BE162</f>
        <v/>
      </c>
      <c r="BF84" s="5">
        <f>BF85+Params!$B$7*Adds!BF162</f>
        <v/>
      </c>
      <c r="BG84" s="5">
        <f>BG85+Params!$B$7*Adds!BG162</f>
        <v/>
      </c>
      <c r="BH84" s="5">
        <f>BH85+Params!$B$7*Adds!BH162</f>
        <v/>
      </c>
      <c r="BI84" s="5">
        <f>BI85+Params!$B$7*Adds!BI162</f>
        <v/>
      </c>
      <c r="BJ84" s="5">
        <f>BJ85+Params!$B$7*Adds!BJ162</f>
        <v/>
      </c>
      <c r="BK84" s="5">
        <f>BK85+Params!$B$7*Adds!BK162</f>
        <v/>
      </c>
      <c r="BL84" s="5">
        <f>BL85+Params!$B$7*Adds!BL162</f>
        <v/>
      </c>
      <c r="BM84" s="5">
        <f>BM85+Params!$B$7*Adds!BM162</f>
        <v/>
      </c>
      <c r="BN84" s="5">
        <f>BN85+Params!$B$7*Adds!BN162</f>
        <v/>
      </c>
      <c r="BO84" s="5">
        <f>BO85+Params!$B$7*Adds!BO162</f>
        <v/>
      </c>
      <c r="BP84" s="5">
        <f>BP85+Params!$B$7*Adds!BP162</f>
        <v/>
      </c>
      <c r="BQ84" s="5">
        <f>BQ85+Params!$B$7*Adds!BQ162</f>
        <v/>
      </c>
      <c r="BR84" s="5">
        <f>BR85+Params!$B$7*Adds!BR162</f>
        <v/>
      </c>
      <c r="BS84" s="5">
        <f>BS85+Params!$B$7*Adds!BS162</f>
        <v/>
      </c>
      <c r="BT84" s="5">
        <f>BT85+Params!$B$7*Adds!BT162</f>
        <v/>
      </c>
      <c r="BU84" s="5">
        <f>BU85+Params!$B$7*Adds!BU162</f>
        <v/>
      </c>
      <c r="BV84" s="5">
        <f>BV85+Params!$B$7*Adds!BV162</f>
        <v/>
      </c>
    </row>
    <row r="85">
      <c r="A85" t="inlineStr">
        <is>
          <t>paying</t>
        </is>
      </c>
      <c r="B85" t="inlineStr">
        <is>
          <t>LATAM|BASIC_M</t>
        </is>
      </c>
      <c r="C85" s="5">
        <f>Legacy!C46+Paid!C43+React!C142</f>
        <v/>
      </c>
      <c r="D85" s="5">
        <f>Legacy!D46+Paid!D43+React!D142</f>
        <v/>
      </c>
      <c r="E85" s="5">
        <f>Legacy!E46+Paid!E43+React!E142</f>
        <v/>
      </c>
      <c r="F85" s="5">
        <f>Legacy!F46+Paid!F43+React!F142</f>
        <v/>
      </c>
      <c r="G85" s="5">
        <f>Legacy!G46+Paid!G43+React!G142</f>
        <v/>
      </c>
      <c r="H85" s="5">
        <f>Legacy!H46+Paid!H43+React!H142</f>
        <v/>
      </c>
      <c r="I85" s="5">
        <f>Legacy!I46+Paid!I43+React!I142</f>
        <v/>
      </c>
      <c r="J85" s="5">
        <f>Legacy!J46+Paid!J43+React!J142</f>
        <v/>
      </c>
      <c r="K85" s="5">
        <f>Legacy!K46+Paid!K43+React!K142</f>
        <v/>
      </c>
      <c r="L85" s="5">
        <f>Legacy!L46+Paid!L43+React!L142</f>
        <v/>
      </c>
      <c r="M85" s="5">
        <f>Legacy!M46+Paid!M43+React!M142</f>
        <v/>
      </c>
      <c r="N85" s="5">
        <f>Legacy!N46+Paid!N43+React!N142</f>
        <v/>
      </c>
      <c r="O85" s="5">
        <f>Legacy!O46+Paid!O43+React!O142</f>
        <v/>
      </c>
      <c r="P85" s="5">
        <f>Legacy!P46+Paid!P43+React!P142</f>
        <v/>
      </c>
      <c r="Q85" s="5">
        <f>Legacy!Q46+Paid!Q43+React!Q142</f>
        <v/>
      </c>
      <c r="R85" s="5">
        <f>Legacy!R46+Paid!R43+React!R142</f>
        <v/>
      </c>
      <c r="S85" s="5">
        <f>Legacy!S46+Paid!S43+React!S142</f>
        <v/>
      </c>
      <c r="T85" s="5">
        <f>Legacy!T46+Paid!T43+React!T142</f>
        <v/>
      </c>
      <c r="U85" s="5">
        <f>Legacy!U46+Paid!U43+React!U142</f>
        <v/>
      </c>
      <c r="V85" s="5">
        <f>Legacy!V46+Paid!V43+React!V142</f>
        <v/>
      </c>
      <c r="W85" s="5">
        <f>Legacy!W46+Paid!W43+React!W142</f>
        <v/>
      </c>
      <c r="X85" s="5">
        <f>Legacy!X46+Paid!X43+React!X142</f>
        <v/>
      </c>
      <c r="Y85" s="5">
        <f>Legacy!Y46+Paid!Y43+React!Y142</f>
        <v/>
      </c>
      <c r="Z85" s="5">
        <f>Legacy!Z46+Paid!Z43+React!Z142</f>
        <v/>
      </c>
      <c r="AA85" s="5">
        <f>Legacy!AA46+Paid!AA43+React!AA142</f>
        <v/>
      </c>
      <c r="AB85" s="5">
        <f>Legacy!AB46+Paid!AB43+React!AB142</f>
        <v/>
      </c>
      <c r="AC85" s="5">
        <f>Legacy!AC46+Paid!AC43+React!AC142</f>
        <v/>
      </c>
      <c r="AD85" s="5">
        <f>Legacy!AD46+Paid!AD43+React!AD142</f>
        <v/>
      </c>
      <c r="AE85" s="5">
        <f>Legacy!AE46+Paid!AE43+React!AE142</f>
        <v/>
      </c>
      <c r="AF85" s="5">
        <f>Legacy!AF46+Paid!AF43+React!AF142</f>
        <v/>
      </c>
      <c r="AG85" s="5">
        <f>Legacy!AG46+Paid!AG43+React!AG142</f>
        <v/>
      </c>
      <c r="AH85" s="5">
        <f>Legacy!AH46+Paid!AH43+React!AH142</f>
        <v/>
      </c>
      <c r="AI85" s="5">
        <f>Legacy!AI46+Paid!AI43+React!AI142</f>
        <v/>
      </c>
      <c r="AJ85" s="5">
        <f>Legacy!AJ46+Paid!AJ43+React!AJ142</f>
        <v/>
      </c>
      <c r="AK85" s="5">
        <f>Legacy!AK46+Paid!AK43+React!AK142</f>
        <v/>
      </c>
      <c r="AL85" s="5">
        <f>Legacy!AL46+Paid!AL43+React!AL142</f>
        <v/>
      </c>
      <c r="AM85" s="5">
        <f>Legacy!AM46+Paid!AM43+React!AM142</f>
        <v/>
      </c>
      <c r="AN85" s="5">
        <f>Legacy!AN46+Paid!AN43+React!AN142</f>
        <v/>
      </c>
      <c r="AO85" s="5">
        <f>Legacy!AO46+Paid!AO43+React!AO142</f>
        <v/>
      </c>
      <c r="AP85" s="5">
        <f>Legacy!AP46+Paid!AP43+React!AP142</f>
        <v/>
      </c>
      <c r="AQ85" s="5">
        <f>Legacy!AQ46+Paid!AQ43+React!AQ142</f>
        <v/>
      </c>
      <c r="AR85" s="5">
        <f>Legacy!AR46+Paid!AR43+React!AR142</f>
        <v/>
      </c>
      <c r="AS85" s="5">
        <f>Legacy!AS46+Paid!AS43+React!AS142</f>
        <v/>
      </c>
      <c r="AT85" s="5">
        <f>Legacy!AT46+Paid!AT43+React!AT142</f>
        <v/>
      </c>
      <c r="AU85" s="5">
        <f>Legacy!AU46+Paid!AU43+React!AU142</f>
        <v/>
      </c>
      <c r="AV85" s="5">
        <f>Legacy!AV46+Paid!AV43+React!AV142</f>
        <v/>
      </c>
      <c r="AW85" s="5">
        <f>Legacy!AW46+Paid!AW43+React!AW142</f>
        <v/>
      </c>
      <c r="AX85" s="5">
        <f>Legacy!AX46+Paid!AX43+React!AX142</f>
        <v/>
      </c>
      <c r="AY85" s="5">
        <f>Legacy!AY46+Paid!AY43+React!AY142</f>
        <v/>
      </c>
      <c r="AZ85" s="5">
        <f>Legacy!AZ46+Paid!AZ43+React!AZ142</f>
        <v/>
      </c>
      <c r="BA85" s="5">
        <f>Legacy!BA46+Paid!BA43+React!BA142</f>
        <v/>
      </c>
      <c r="BB85" s="5">
        <f>Legacy!BB46+Paid!BB43+React!BB142</f>
        <v/>
      </c>
      <c r="BC85" s="5">
        <f>Legacy!BC46+Paid!BC43+React!BC142</f>
        <v/>
      </c>
      <c r="BD85" s="5">
        <f>Legacy!BD46+Paid!BD43+React!BD142</f>
        <v/>
      </c>
      <c r="BE85" s="5">
        <f>Legacy!BE46+Paid!BE43+React!BE142</f>
        <v/>
      </c>
      <c r="BF85" s="5">
        <f>Legacy!BF46+Paid!BF43+React!BF142</f>
        <v/>
      </c>
      <c r="BG85" s="5">
        <f>Legacy!BG46+Paid!BG43+React!BG142</f>
        <v/>
      </c>
      <c r="BH85" s="5">
        <f>Legacy!BH46+Paid!BH43+React!BH142</f>
        <v/>
      </c>
      <c r="BI85" s="5">
        <f>Legacy!BI46+Paid!BI43+React!BI142</f>
        <v/>
      </c>
      <c r="BJ85" s="5">
        <f>Legacy!BJ46+Paid!BJ43+React!BJ142</f>
        <v/>
      </c>
      <c r="BK85" s="5">
        <f>Legacy!BK46+Paid!BK43+React!BK142</f>
        <v/>
      </c>
      <c r="BL85" s="5">
        <f>Legacy!BL46+Paid!BL43+React!BL142</f>
        <v/>
      </c>
      <c r="BM85" s="5">
        <f>Legacy!BM46+Paid!BM43+React!BM142</f>
        <v/>
      </c>
      <c r="BN85" s="5">
        <f>Legacy!BN46+Paid!BN43+React!BN142</f>
        <v/>
      </c>
      <c r="BO85" s="5">
        <f>Legacy!BO46+Paid!BO43+React!BO142</f>
        <v/>
      </c>
      <c r="BP85" s="5">
        <f>Legacy!BP46+Paid!BP43+React!BP142</f>
        <v/>
      </c>
      <c r="BQ85" s="5">
        <f>Legacy!BQ46+Paid!BQ43+React!BQ142</f>
        <v/>
      </c>
      <c r="BR85" s="5">
        <f>Legacy!BR46+Paid!BR43+React!BR142</f>
        <v/>
      </c>
      <c r="BS85" s="5">
        <f>Legacy!BS46+Paid!BS43+React!BS142</f>
        <v/>
      </c>
      <c r="BT85" s="5">
        <f>Legacy!BT46+Paid!BT43+React!BT142</f>
        <v/>
      </c>
      <c r="BU85" s="5">
        <f>Legacy!BU46+Paid!BU43+React!BU142</f>
        <v/>
      </c>
      <c r="BV85" s="5">
        <f>Legacy!BV46+Paid!BV43+React!BV142</f>
        <v/>
      </c>
    </row>
    <row r="87">
      <c r="A87" t="inlineStr">
        <is>
          <t>opening</t>
        </is>
      </c>
      <c r="B87" t="inlineStr">
        <is>
          <t>LATAM|BASIC_A</t>
        </is>
      </c>
      <c r="C87" s="5">
        <f>Legacy!$C$49</f>
        <v/>
      </c>
      <c r="D87" s="5">
        <f>C91</f>
        <v/>
      </c>
      <c r="E87" s="5">
        <f>D91</f>
        <v/>
      </c>
      <c r="F87" s="5">
        <f>E91</f>
        <v/>
      </c>
      <c r="G87" s="5">
        <f>F91</f>
        <v/>
      </c>
      <c r="H87" s="5">
        <f>G91</f>
        <v/>
      </c>
      <c r="I87" s="5">
        <f>H91</f>
        <v/>
      </c>
      <c r="J87" s="5">
        <f>I91</f>
        <v/>
      </c>
      <c r="K87" s="5">
        <f>J91</f>
        <v/>
      </c>
      <c r="L87" s="5">
        <f>K91</f>
        <v/>
      </c>
      <c r="M87" s="5">
        <f>L91</f>
        <v/>
      </c>
      <c r="N87" s="5">
        <f>M91</f>
        <v/>
      </c>
      <c r="O87" s="5">
        <f>N91</f>
        <v/>
      </c>
      <c r="P87" s="5">
        <f>O91</f>
        <v/>
      </c>
      <c r="Q87" s="5">
        <f>P91</f>
        <v/>
      </c>
      <c r="R87" s="5">
        <f>Q91</f>
        <v/>
      </c>
      <c r="S87" s="5">
        <f>R91</f>
        <v/>
      </c>
      <c r="T87" s="5">
        <f>S91</f>
        <v/>
      </c>
      <c r="U87" s="5">
        <f>T91</f>
        <v/>
      </c>
      <c r="V87" s="5">
        <f>U91</f>
        <v/>
      </c>
      <c r="W87" s="5">
        <f>V91</f>
        <v/>
      </c>
      <c r="X87" s="5">
        <f>W91</f>
        <v/>
      </c>
      <c r="Y87" s="5">
        <f>X91</f>
        <v/>
      </c>
      <c r="Z87" s="5">
        <f>Y91</f>
        <v/>
      </c>
      <c r="AA87" s="5">
        <f>Z91</f>
        <v/>
      </c>
      <c r="AB87" s="5">
        <f>AA91</f>
        <v/>
      </c>
      <c r="AC87" s="5">
        <f>AB91</f>
        <v/>
      </c>
      <c r="AD87" s="5">
        <f>AC91</f>
        <v/>
      </c>
      <c r="AE87" s="5">
        <f>AD91</f>
        <v/>
      </c>
      <c r="AF87" s="5">
        <f>AE91</f>
        <v/>
      </c>
      <c r="AG87" s="5">
        <f>AF91</f>
        <v/>
      </c>
      <c r="AH87" s="5">
        <f>AG91</f>
        <v/>
      </c>
      <c r="AI87" s="5">
        <f>AH91</f>
        <v/>
      </c>
      <c r="AJ87" s="5">
        <f>AI91</f>
        <v/>
      </c>
      <c r="AK87" s="5">
        <f>AJ91</f>
        <v/>
      </c>
      <c r="AL87" s="5">
        <f>AK91</f>
        <v/>
      </c>
      <c r="AM87" s="5">
        <f>AL91</f>
        <v/>
      </c>
      <c r="AN87" s="5">
        <f>AM91</f>
        <v/>
      </c>
      <c r="AO87" s="5">
        <f>AN91</f>
        <v/>
      </c>
      <c r="AP87" s="5">
        <f>AO91</f>
        <v/>
      </c>
      <c r="AQ87" s="5">
        <f>AP91</f>
        <v/>
      </c>
      <c r="AR87" s="5">
        <f>AQ91</f>
        <v/>
      </c>
      <c r="AS87" s="5">
        <f>AR91</f>
        <v/>
      </c>
      <c r="AT87" s="5">
        <f>AS91</f>
        <v/>
      </c>
      <c r="AU87" s="5">
        <f>AT91</f>
        <v/>
      </c>
      <c r="AV87" s="5">
        <f>AU91</f>
        <v/>
      </c>
      <c r="AW87" s="5">
        <f>AV91</f>
        <v/>
      </c>
      <c r="AX87" s="5">
        <f>AW91</f>
        <v/>
      </c>
      <c r="AY87" s="5">
        <f>AX91</f>
        <v/>
      </c>
      <c r="AZ87" s="5">
        <f>AY91</f>
        <v/>
      </c>
      <c r="BA87" s="5">
        <f>AZ91</f>
        <v/>
      </c>
      <c r="BB87" s="5">
        <f>BA91</f>
        <v/>
      </c>
      <c r="BC87" s="5">
        <f>BB91</f>
        <v/>
      </c>
      <c r="BD87" s="5">
        <f>BC91</f>
        <v/>
      </c>
      <c r="BE87" s="5">
        <f>BD91</f>
        <v/>
      </c>
      <c r="BF87" s="5">
        <f>BE91</f>
        <v/>
      </c>
      <c r="BG87" s="5">
        <f>BF91</f>
        <v/>
      </c>
      <c r="BH87" s="5">
        <f>BG91</f>
        <v/>
      </c>
      <c r="BI87" s="5">
        <f>BH91</f>
        <v/>
      </c>
      <c r="BJ87" s="5">
        <f>BI91</f>
        <v/>
      </c>
      <c r="BK87" s="5">
        <f>BJ91</f>
        <v/>
      </c>
      <c r="BL87" s="5">
        <f>BK91</f>
        <v/>
      </c>
      <c r="BM87" s="5">
        <f>BL91</f>
        <v/>
      </c>
      <c r="BN87" s="5">
        <f>BM91</f>
        <v/>
      </c>
      <c r="BO87" s="5">
        <f>BN91</f>
        <v/>
      </c>
      <c r="BP87" s="5">
        <f>BO91</f>
        <v/>
      </c>
      <c r="BQ87" s="5">
        <f>BP91</f>
        <v/>
      </c>
      <c r="BR87" s="5">
        <f>BQ91</f>
        <v/>
      </c>
      <c r="BS87" s="5">
        <f>BR91</f>
        <v/>
      </c>
      <c r="BT87" s="5">
        <f>BS91</f>
        <v/>
      </c>
      <c r="BU87" s="5">
        <f>BT91</f>
        <v/>
      </c>
      <c r="BV87" s="5">
        <f>BU91</f>
        <v/>
      </c>
    </row>
    <row r="88">
      <c r="A88" t="inlineStr">
        <is>
          <t>new</t>
        </is>
      </c>
      <c r="B88" t="inlineStr">
        <is>
          <t>LATAM|BASIC_A</t>
        </is>
      </c>
      <c r="C88" s="5">
        <f>Adds!C170+IF(Params!$B$7=1,Adds!C169,Adds!C173)</f>
        <v/>
      </c>
      <c r="D88" s="5">
        <f>Adds!D170+IF(Params!$B$7=1,Adds!D169,Adds!D173)</f>
        <v/>
      </c>
      <c r="E88" s="5">
        <f>Adds!E170+IF(Params!$B$7=1,Adds!E169,Adds!E173)</f>
        <v/>
      </c>
      <c r="F88" s="5">
        <f>Adds!F170+IF(Params!$B$7=1,Adds!F169,Adds!F173)</f>
        <v/>
      </c>
      <c r="G88" s="5">
        <f>Adds!G170+IF(Params!$B$7=1,Adds!G169,Adds!G173)</f>
        <v/>
      </c>
      <c r="H88" s="5">
        <f>Adds!H170+IF(Params!$B$7=1,Adds!H169,Adds!H173)</f>
        <v/>
      </c>
      <c r="I88" s="5">
        <f>Adds!I170+IF(Params!$B$7=1,Adds!I169,Adds!I173)</f>
        <v/>
      </c>
      <c r="J88" s="5">
        <f>Adds!J170+IF(Params!$B$7=1,Adds!J169,Adds!J173)</f>
        <v/>
      </c>
      <c r="K88" s="5">
        <f>Adds!K170+IF(Params!$B$7=1,Adds!K169,Adds!K173)</f>
        <v/>
      </c>
      <c r="L88" s="5">
        <f>Adds!L170+IF(Params!$B$7=1,Adds!L169,Adds!L173)</f>
        <v/>
      </c>
      <c r="M88" s="5">
        <f>Adds!M170+IF(Params!$B$7=1,Adds!M169,Adds!M173)</f>
        <v/>
      </c>
      <c r="N88" s="5">
        <f>Adds!N170+IF(Params!$B$7=1,Adds!N169,Adds!N173)</f>
        <v/>
      </c>
      <c r="O88" s="5">
        <f>Adds!O170+IF(Params!$B$7=1,Adds!O169,Adds!O173)</f>
        <v/>
      </c>
      <c r="P88" s="5">
        <f>Adds!P170+IF(Params!$B$7=1,Adds!P169,Adds!P173)</f>
        <v/>
      </c>
      <c r="Q88" s="5">
        <f>Adds!Q170+IF(Params!$B$7=1,Adds!Q169,Adds!Q173)</f>
        <v/>
      </c>
      <c r="R88" s="5">
        <f>Adds!R170+IF(Params!$B$7=1,Adds!R169,Adds!R173)</f>
        <v/>
      </c>
      <c r="S88" s="5">
        <f>Adds!S170+IF(Params!$B$7=1,Adds!S169,Adds!S173)</f>
        <v/>
      </c>
      <c r="T88" s="5">
        <f>Adds!T170+IF(Params!$B$7=1,Adds!T169,Adds!T173)</f>
        <v/>
      </c>
      <c r="U88" s="5">
        <f>Adds!U170+IF(Params!$B$7=1,Adds!U169,Adds!U173)</f>
        <v/>
      </c>
      <c r="V88" s="5">
        <f>Adds!V170+IF(Params!$B$7=1,Adds!V169,Adds!V173)</f>
        <v/>
      </c>
      <c r="W88" s="5">
        <f>Adds!W170+IF(Params!$B$7=1,Adds!W169,Adds!W173)</f>
        <v/>
      </c>
      <c r="X88" s="5">
        <f>Adds!X170+IF(Params!$B$7=1,Adds!X169,Adds!X173)</f>
        <v/>
      </c>
      <c r="Y88" s="5">
        <f>Adds!Y170+IF(Params!$B$7=1,Adds!Y169,Adds!Y173)</f>
        <v/>
      </c>
      <c r="Z88" s="5">
        <f>Adds!Z170+IF(Params!$B$7=1,Adds!Z169,Adds!Z173)</f>
        <v/>
      </c>
      <c r="AA88" s="5">
        <f>Adds!AA170+IF(Params!$B$7=1,Adds!AA169,Adds!AA173)</f>
        <v/>
      </c>
      <c r="AB88" s="5">
        <f>Adds!AB170+IF(Params!$B$7=1,Adds!AB169,Adds!AB173)</f>
        <v/>
      </c>
      <c r="AC88" s="5">
        <f>Adds!AC170+IF(Params!$B$7=1,Adds!AC169,Adds!AC173)</f>
        <v/>
      </c>
      <c r="AD88" s="5">
        <f>Adds!AD170+IF(Params!$B$7=1,Adds!AD169,Adds!AD173)</f>
        <v/>
      </c>
      <c r="AE88" s="5">
        <f>Adds!AE170+IF(Params!$B$7=1,Adds!AE169,Adds!AE173)</f>
        <v/>
      </c>
      <c r="AF88" s="5">
        <f>Adds!AF170+IF(Params!$B$7=1,Adds!AF169,Adds!AF173)</f>
        <v/>
      </c>
      <c r="AG88" s="5">
        <f>Adds!AG170+IF(Params!$B$7=1,Adds!AG169,Adds!AG173)</f>
        <v/>
      </c>
      <c r="AH88" s="5">
        <f>Adds!AH170+IF(Params!$B$7=1,Adds!AH169,Adds!AH173)</f>
        <v/>
      </c>
      <c r="AI88" s="5">
        <f>Adds!AI170+IF(Params!$B$7=1,Adds!AI169,Adds!AI173)</f>
        <v/>
      </c>
      <c r="AJ88" s="5">
        <f>Adds!AJ170+IF(Params!$B$7=1,Adds!AJ169,Adds!AJ173)</f>
        <v/>
      </c>
      <c r="AK88" s="5">
        <f>Adds!AK170+IF(Params!$B$7=1,Adds!AK169,Adds!AK173)</f>
        <v/>
      </c>
      <c r="AL88" s="5">
        <f>Adds!AL170+IF(Params!$B$7=1,Adds!AL169,Adds!AL173)</f>
        <v/>
      </c>
      <c r="AM88" s="5">
        <f>Adds!AM170+IF(Params!$B$7=1,Adds!AM169,Adds!AM173)</f>
        <v/>
      </c>
      <c r="AN88" s="5">
        <f>Adds!AN170+IF(Params!$B$7=1,Adds!AN169,Adds!AN173)</f>
        <v/>
      </c>
      <c r="AO88" s="5">
        <f>Adds!AO170+IF(Params!$B$7=1,Adds!AO169,Adds!AO173)</f>
        <v/>
      </c>
      <c r="AP88" s="5">
        <f>Adds!AP170+IF(Params!$B$7=1,Adds!AP169,Adds!AP173)</f>
        <v/>
      </c>
      <c r="AQ88" s="5">
        <f>Adds!AQ170+IF(Params!$B$7=1,Adds!AQ169,Adds!AQ173)</f>
        <v/>
      </c>
      <c r="AR88" s="5">
        <f>Adds!AR170+IF(Params!$B$7=1,Adds!AR169,Adds!AR173)</f>
        <v/>
      </c>
      <c r="AS88" s="5">
        <f>Adds!AS170+IF(Params!$B$7=1,Adds!AS169,Adds!AS173)</f>
        <v/>
      </c>
      <c r="AT88" s="5">
        <f>Adds!AT170+IF(Params!$B$7=1,Adds!AT169,Adds!AT173)</f>
        <v/>
      </c>
      <c r="AU88" s="5">
        <f>Adds!AU170+IF(Params!$B$7=1,Adds!AU169,Adds!AU173)</f>
        <v/>
      </c>
      <c r="AV88" s="5">
        <f>Adds!AV170+IF(Params!$B$7=1,Adds!AV169,Adds!AV173)</f>
        <v/>
      </c>
      <c r="AW88" s="5">
        <f>Adds!AW170+IF(Params!$B$7=1,Adds!AW169,Adds!AW173)</f>
        <v/>
      </c>
      <c r="AX88" s="5">
        <f>Adds!AX170+IF(Params!$B$7=1,Adds!AX169,Adds!AX173)</f>
        <v/>
      </c>
      <c r="AY88" s="5">
        <f>Adds!AY170+IF(Params!$B$7=1,Adds!AY169,Adds!AY173)</f>
        <v/>
      </c>
      <c r="AZ88" s="5">
        <f>Adds!AZ170+IF(Params!$B$7=1,Adds!AZ169,Adds!AZ173)</f>
        <v/>
      </c>
      <c r="BA88" s="5">
        <f>Adds!BA170+IF(Params!$B$7=1,Adds!BA169,Adds!BA173)</f>
        <v/>
      </c>
      <c r="BB88" s="5">
        <f>Adds!BB170+IF(Params!$B$7=1,Adds!BB169,Adds!BB173)</f>
        <v/>
      </c>
      <c r="BC88" s="5">
        <f>Adds!BC170+IF(Params!$B$7=1,Adds!BC169,Adds!BC173)</f>
        <v/>
      </c>
      <c r="BD88" s="5">
        <f>Adds!BD170+IF(Params!$B$7=1,Adds!BD169,Adds!BD173)</f>
        <v/>
      </c>
      <c r="BE88" s="5">
        <f>Adds!BE170+IF(Params!$B$7=1,Adds!BE169,Adds!BE173)</f>
        <v/>
      </c>
      <c r="BF88" s="5">
        <f>Adds!BF170+IF(Params!$B$7=1,Adds!BF169,Adds!BF173)</f>
        <v/>
      </c>
      <c r="BG88" s="5">
        <f>Adds!BG170+IF(Params!$B$7=1,Adds!BG169,Adds!BG173)</f>
        <v/>
      </c>
      <c r="BH88" s="5">
        <f>Adds!BH170+IF(Params!$B$7=1,Adds!BH169,Adds!BH173)</f>
        <v/>
      </c>
      <c r="BI88" s="5">
        <f>Adds!BI170+IF(Params!$B$7=1,Adds!BI169,Adds!BI173)</f>
        <v/>
      </c>
      <c r="BJ88" s="5">
        <f>Adds!BJ170+IF(Params!$B$7=1,Adds!BJ169,Adds!BJ173)</f>
        <v/>
      </c>
      <c r="BK88" s="5">
        <f>Adds!BK170+IF(Params!$B$7=1,Adds!BK169,Adds!BK173)</f>
        <v/>
      </c>
      <c r="BL88" s="5">
        <f>Adds!BL170+IF(Params!$B$7=1,Adds!BL169,Adds!BL173)</f>
        <v/>
      </c>
      <c r="BM88" s="5">
        <f>Adds!BM170+IF(Params!$B$7=1,Adds!BM169,Adds!BM173)</f>
        <v/>
      </c>
      <c r="BN88" s="5">
        <f>Adds!BN170+IF(Params!$B$7=1,Adds!BN169,Adds!BN173)</f>
        <v/>
      </c>
      <c r="BO88" s="5">
        <f>Adds!BO170+IF(Params!$B$7=1,Adds!BO169,Adds!BO173)</f>
        <v/>
      </c>
      <c r="BP88" s="5">
        <f>Adds!BP170+IF(Params!$B$7=1,Adds!BP169,Adds!BP173)</f>
        <v/>
      </c>
      <c r="BQ88" s="5">
        <f>Adds!BQ170+IF(Params!$B$7=1,Adds!BQ169,Adds!BQ173)</f>
        <v/>
      </c>
      <c r="BR88" s="5">
        <f>Adds!BR170+IF(Params!$B$7=1,Adds!BR169,Adds!BR173)</f>
        <v/>
      </c>
      <c r="BS88" s="5">
        <f>Adds!BS170+IF(Params!$B$7=1,Adds!BS169,Adds!BS173)</f>
        <v/>
      </c>
      <c r="BT88" s="5">
        <f>Adds!BT170+IF(Params!$B$7=1,Adds!BT169,Adds!BT173)</f>
        <v/>
      </c>
      <c r="BU88" s="5">
        <f>Adds!BU170+IF(Params!$B$7=1,Adds!BU169,Adds!BU173)</f>
        <v/>
      </c>
      <c r="BV88" s="5">
        <f>Adds!BV170+IF(Params!$B$7=1,Adds!BV169,Adds!BV173)</f>
        <v/>
      </c>
    </row>
    <row r="89">
      <c r="A89" t="inlineStr">
        <is>
          <t>reactivated</t>
        </is>
      </c>
      <c r="B89" t="inlineStr">
        <is>
          <t>LATAM|BASIC_A</t>
        </is>
      </c>
      <c r="C89" s="5">
        <f>React!C151</f>
        <v/>
      </c>
      <c r="D89" s="5">
        <f>React!D151</f>
        <v/>
      </c>
      <c r="E89" s="5">
        <f>React!E151</f>
        <v/>
      </c>
      <c r="F89" s="5">
        <f>React!F151</f>
        <v/>
      </c>
      <c r="G89" s="5">
        <f>React!G151</f>
        <v/>
      </c>
      <c r="H89" s="5">
        <f>React!H151</f>
        <v/>
      </c>
      <c r="I89" s="5">
        <f>React!I151</f>
        <v/>
      </c>
      <c r="J89" s="5">
        <f>React!J151</f>
        <v/>
      </c>
      <c r="K89" s="5">
        <f>React!K151</f>
        <v/>
      </c>
      <c r="L89" s="5">
        <f>React!L151</f>
        <v/>
      </c>
      <c r="M89" s="5">
        <f>React!M151</f>
        <v/>
      </c>
      <c r="N89" s="5">
        <f>React!N151</f>
        <v/>
      </c>
      <c r="O89" s="5">
        <f>React!O151</f>
        <v/>
      </c>
      <c r="P89" s="5">
        <f>React!P151</f>
        <v/>
      </c>
      <c r="Q89" s="5">
        <f>React!Q151</f>
        <v/>
      </c>
      <c r="R89" s="5">
        <f>React!R151</f>
        <v/>
      </c>
      <c r="S89" s="5">
        <f>React!S151</f>
        <v/>
      </c>
      <c r="T89" s="5">
        <f>React!T151</f>
        <v/>
      </c>
      <c r="U89" s="5">
        <f>React!U151</f>
        <v/>
      </c>
      <c r="V89" s="5">
        <f>React!V151</f>
        <v/>
      </c>
      <c r="W89" s="5">
        <f>React!W151</f>
        <v/>
      </c>
      <c r="X89" s="5">
        <f>React!X151</f>
        <v/>
      </c>
      <c r="Y89" s="5">
        <f>React!Y151</f>
        <v/>
      </c>
      <c r="Z89" s="5">
        <f>React!Z151</f>
        <v/>
      </c>
      <c r="AA89" s="5">
        <f>React!AA151</f>
        <v/>
      </c>
      <c r="AB89" s="5">
        <f>React!AB151</f>
        <v/>
      </c>
      <c r="AC89" s="5">
        <f>React!AC151</f>
        <v/>
      </c>
      <c r="AD89" s="5">
        <f>React!AD151</f>
        <v/>
      </c>
      <c r="AE89" s="5">
        <f>React!AE151</f>
        <v/>
      </c>
      <c r="AF89" s="5">
        <f>React!AF151</f>
        <v/>
      </c>
      <c r="AG89" s="5">
        <f>React!AG151</f>
        <v/>
      </c>
      <c r="AH89" s="5">
        <f>React!AH151</f>
        <v/>
      </c>
      <c r="AI89" s="5">
        <f>React!AI151</f>
        <v/>
      </c>
      <c r="AJ89" s="5">
        <f>React!AJ151</f>
        <v/>
      </c>
      <c r="AK89" s="5">
        <f>React!AK151</f>
        <v/>
      </c>
      <c r="AL89" s="5">
        <f>React!AL151</f>
        <v/>
      </c>
      <c r="AM89" s="5">
        <f>React!AM151</f>
        <v/>
      </c>
      <c r="AN89" s="5">
        <f>React!AN151</f>
        <v/>
      </c>
      <c r="AO89" s="5">
        <f>React!AO151</f>
        <v/>
      </c>
      <c r="AP89" s="5">
        <f>React!AP151</f>
        <v/>
      </c>
      <c r="AQ89" s="5">
        <f>React!AQ151</f>
        <v/>
      </c>
      <c r="AR89" s="5">
        <f>React!AR151</f>
        <v/>
      </c>
      <c r="AS89" s="5">
        <f>React!AS151</f>
        <v/>
      </c>
      <c r="AT89" s="5">
        <f>React!AT151</f>
        <v/>
      </c>
      <c r="AU89" s="5">
        <f>React!AU151</f>
        <v/>
      </c>
      <c r="AV89" s="5">
        <f>React!AV151</f>
        <v/>
      </c>
      <c r="AW89" s="5">
        <f>React!AW151</f>
        <v/>
      </c>
      <c r="AX89" s="5">
        <f>React!AX151</f>
        <v/>
      </c>
      <c r="AY89" s="5">
        <f>React!AY151</f>
        <v/>
      </c>
      <c r="AZ89" s="5">
        <f>React!AZ151</f>
        <v/>
      </c>
      <c r="BA89" s="5">
        <f>React!BA151</f>
        <v/>
      </c>
      <c r="BB89" s="5">
        <f>React!BB151</f>
        <v/>
      </c>
      <c r="BC89" s="5">
        <f>React!BC151</f>
        <v/>
      </c>
      <c r="BD89" s="5">
        <f>React!BD151</f>
        <v/>
      </c>
      <c r="BE89" s="5">
        <f>React!BE151</f>
        <v/>
      </c>
      <c r="BF89" s="5">
        <f>React!BF151</f>
        <v/>
      </c>
      <c r="BG89" s="5">
        <f>React!BG151</f>
        <v/>
      </c>
      <c r="BH89" s="5">
        <f>React!BH151</f>
        <v/>
      </c>
      <c r="BI89" s="5">
        <f>React!BI151</f>
        <v/>
      </c>
      <c r="BJ89" s="5">
        <f>React!BJ151</f>
        <v/>
      </c>
      <c r="BK89" s="5">
        <f>React!BK151</f>
        <v/>
      </c>
      <c r="BL89" s="5">
        <f>React!BL151</f>
        <v/>
      </c>
      <c r="BM89" s="5">
        <f>React!BM151</f>
        <v/>
      </c>
      <c r="BN89" s="5">
        <f>React!BN151</f>
        <v/>
      </c>
      <c r="BO89" s="5">
        <f>React!BO151</f>
        <v/>
      </c>
      <c r="BP89" s="5">
        <f>React!BP151</f>
        <v/>
      </c>
      <c r="BQ89" s="5">
        <f>React!BQ151</f>
        <v/>
      </c>
      <c r="BR89" s="5">
        <f>React!BR151</f>
        <v/>
      </c>
      <c r="BS89" s="5">
        <f>React!BS151</f>
        <v/>
      </c>
      <c r="BT89" s="5">
        <f>React!BT151</f>
        <v/>
      </c>
      <c r="BU89" s="5">
        <f>React!BU151</f>
        <v/>
      </c>
      <c r="BV89" s="5">
        <f>React!BV151</f>
        <v/>
      </c>
    </row>
    <row r="90">
      <c r="A90" t="inlineStr">
        <is>
          <t>churned</t>
        </is>
      </c>
      <c r="B90" t="inlineStr">
        <is>
          <t>LATAM|BASIC_A</t>
        </is>
      </c>
      <c r="C90" s="5">
        <f>Legacy!C51+Paid!C49+React!C157+Params!$B$7*Adds!C174</f>
        <v/>
      </c>
      <c r="D90" s="5">
        <f>Legacy!D51+Paid!D49+React!D157+Params!$B$7*Adds!D174</f>
        <v/>
      </c>
      <c r="E90" s="5">
        <f>Legacy!E51+Paid!E49+React!E157+Params!$B$7*Adds!E174</f>
        <v/>
      </c>
      <c r="F90" s="5">
        <f>Legacy!F51+Paid!F49+React!F157+Params!$B$7*Adds!F174</f>
        <v/>
      </c>
      <c r="G90" s="5">
        <f>Legacy!G51+Paid!G49+React!G157+Params!$B$7*Adds!G174</f>
        <v/>
      </c>
      <c r="H90" s="5">
        <f>Legacy!H51+Paid!H49+React!H157+Params!$B$7*Adds!H174</f>
        <v/>
      </c>
      <c r="I90" s="5">
        <f>Legacy!I51+Paid!I49+React!I157+Params!$B$7*Adds!I174</f>
        <v/>
      </c>
      <c r="J90" s="5">
        <f>Legacy!J51+Paid!J49+React!J157+Params!$B$7*Adds!J174</f>
        <v/>
      </c>
      <c r="K90" s="5">
        <f>Legacy!K51+Paid!K49+React!K157+Params!$B$7*Adds!K174</f>
        <v/>
      </c>
      <c r="L90" s="5">
        <f>Legacy!L51+Paid!L49+React!L157+Params!$B$7*Adds!L174</f>
        <v/>
      </c>
      <c r="M90" s="5">
        <f>Legacy!M51+Paid!M49+React!M157+Params!$B$7*Adds!M174</f>
        <v/>
      </c>
      <c r="N90" s="5">
        <f>Legacy!N51+Paid!N49+React!N157+Params!$B$7*Adds!N174</f>
        <v/>
      </c>
      <c r="O90" s="5">
        <f>Legacy!O51+Paid!O49+React!O157+Params!$B$7*Adds!O174</f>
        <v/>
      </c>
      <c r="P90" s="5">
        <f>Legacy!P51+Paid!P49+React!P157+Params!$B$7*Adds!P174</f>
        <v/>
      </c>
      <c r="Q90" s="5">
        <f>Legacy!Q51+Paid!Q49+React!Q157+Params!$B$7*Adds!Q174</f>
        <v/>
      </c>
      <c r="R90" s="5">
        <f>Legacy!R51+Paid!R49+React!R157+Params!$B$7*Adds!R174</f>
        <v/>
      </c>
      <c r="S90" s="5">
        <f>Legacy!S51+Paid!S49+React!S157+Params!$B$7*Adds!S174</f>
        <v/>
      </c>
      <c r="T90" s="5">
        <f>Legacy!T51+Paid!T49+React!T157+Params!$B$7*Adds!T174</f>
        <v/>
      </c>
      <c r="U90" s="5">
        <f>Legacy!U51+Paid!U49+React!U157+Params!$B$7*Adds!U174</f>
        <v/>
      </c>
      <c r="V90" s="5">
        <f>Legacy!V51+Paid!V49+React!V157+Params!$B$7*Adds!V174</f>
        <v/>
      </c>
      <c r="W90" s="5">
        <f>Legacy!W51+Paid!W49+React!W157+Params!$B$7*Adds!W174</f>
        <v/>
      </c>
      <c r="X90" s="5">
        <f>Legacy!X51+Paid!X49+React!X157+Params!$B$7*Adds!X174</f>
        <v/>
      </c>
      <c r="Y90" s="5">
        <f>Legacy!Y51+Paid!Y49+React!Y157+Params!$B$7*Adds!Y174</f>
        <v/>
      </c>
      <c r="Z90" s="5">
        <f>Legacy!Z51+Paid!Z49+React!Z157+Params!$B$7*Adds!Z174</f>
        <v/>
      </c>
      <c r="AA90" s="5">
        <f>Legacy!AA51+Paid!AA49+React!AA157+Params!$B$7*Adds!AA174</f>
        <v/>
      </c>
      <c r="AB90" s="5">
        <f>Legacy!AB51+Paid!AB49+React!AB157+Params!$B$7*Adds!AB174</f>
        <v/>
      </c>
      <c r="AC90" s="5">
        <f>Legacy!AC51+Paid!AC49+React!AC157+Params!$B$7*Adds!AC174</f>
        <v/>
      </c>
      <c r="AD90" s="5">
        <f>Legacy!AD51+Paid!AD49+React!AD157+Params!$B$7*Adds!AD174</f>
        <v/>
      </c>
      <c r="AE90" s="5">
        <f>Legacy!AE51+Paid!AE49+React!AE157+Params!$B$7*Adds!AE174</f>
        <v/>
      </c>
      <c r="AF90" s="5">
        <f>Legacy!AF51+Paid!AF49+React!AF157+Params!$B$7*Adds!AF174</f>
        <v/>
      </c>
      <c r="AG90" s="5">
        <f>Legacy!AG51+Paid!AG49+React!AG157+Params!$B$7*Adds!AG174</f>
        <v/>
      </c>
      <c r="AH90" s="5">
        <f>Legacy!AH51+Paid!AH49+React!AH157+Params!$B$7*Adds!AH174</f>
        <v/>
      </c>
      <c r="AI90" s="5">
        <f>Legacy!AI51+Paid!AI49+React!AI157+Params!$B$7*Adds!AI174</f>
        <v/>
      </c>
      <c r="AJ90" s="5">
        <f>Legacy!AJ51+Paid!AJ49+React!AJ157+Params!$B$7*Adds!AJ174</f>
        <v/>
      </c>
      <c r="AK90" s="5">
        <f>Legacy!AK51+Paid!AK49+React!AK157+Params!$B$7*Adds!AK174</f>
        <v/>
      </c>
      <c r="AL90" s="5">
        <f>Legacy!AL51+Paid!AL49+React!AL157+Params!$B$7*Adds!AL174</f>
        <v/>
      </c>
      <c r="AM90" s="5">
        <f>Legacy!AM51+Paid!AM49+React!AM157+Params!$B$7*Adds!AM174</f>
        <v/>
      </c>
      <c r="AN90" s="5">
        <f>Legacy!AN51+Paid!AN49+React!AN157+Params!$B$7*Adds!AN174</f>
        <v/>
      </c>
      <c r="AO90" s="5">
        <f>Legacy!AO51+Paid!AO49+React!AO157+Params!$B$7*Adds!AO174</f>
        <v/>
      </c>
      <c r="AP90" s="5">
        <f>Legacy!AP51+Paid!AP49+React!AP157+Params!$B$7*Adds!AP174</f>
        <v/>
      </c>
      <c r="AQ90" s="5">
        <f>Legacy!AQ51+Paid!AQ49+React!AQ157+Params!$B$7*Adds!AQ174</f>
        <v/>
      </c>
      <c r="AR90" s="5">
        <f>Legacy!AR51+Paid!AR49+React!AR157+Params!$B$7*Adds!AR174</f>
        <v/>
      </c>
      <c r="AS90" s="5">
        <f>Legacy!AS51+Paid!AS49+React!AS157+Params!$B$7*Adds!AS174</f>
        <v/>
      </c>
      <c r="AT90" s="5">
        <f>Legacy!AT51+Paid!AT49+React!AT157+Params!$B$7*Adds!AT174</f>
        <v/>
      </c>
      <c r="AU90" s="5">
        <f>Legacy!AU51+Paid!AU49+React!AU157+Params!$B$7*Adds!AU174</f>
        <v/>
      </c>
      <c r="AV90" s="5">
        <f>Legacy!AV51+Paid!AV49+React!AV157+Params!$B$7*Adds!AV174</f>
        <v/>
      </c>
      <c r="AW90" s="5">
        <f>Legacy!AW51+Paid!AW49+React!AW157+Params!$B$7*Adds!AW174</f>
        <v/>
      </c>
      <c r="AX90" s="5">
        <f>Legacy!AX51+Paid!AX49+React!AX157+Params!$B$7*Adds!AX174</f>
        <v/>
      </c>
      <c r="AY90" s="5">
        <f>Legacy!AY51+Paid!AY49+React!AY157+Params!$B$7*Adds!AY174</f>
        <v/>
      </c>
      <c r="AZ90" s="5">
        <f>Legacy!AZ51+Paid!AZ49+React!AZ157+Params!$B$7*Adds!AZ174</f>
        <v/>
      </c>
      <c r="BA90" s="5">
        <f>Legacy!BA51+Paid!BA49+React!BA157+Params!$B$7*Adds!BA174</f>
        <v/>
      </c>
      <c r="BB90" s="5">
        <f>Legacy!BB51+Paid!BB49+React!BB157+Params!$B$7*Adds!BB174</f>
        <v/>
      </c>
      <c r="BC90" s="5">
        <f>Legacy!BC51+Paid!BC49+React!BC157+Params!$B$7*Adds!BC174</f>
        <v/>
      </c>
      <c r="BD90" s="5">
        <f>Legacy!BD51+Paid!BD49+React!BD157+Params!$B$7*Adds!BD174</f>
        <v/>
      </c>
      <c r="BE90" s="5">
        <f>Legacy!BE51+Paid!BE49+React!BE157+Params!$B$7*Adds!BE174</f>
        <v/>
      </c>
      <c r="BF90" s="5">
        <f>Legacy!BF51+Paid!BF49+React!BF157+Params!$B$7*Adds!BF174</f>
        <v/>
      </c>
      <c r="BG90" s="5">
        <f>Legacy!BG51+Paid!BG49+React!BG157+Params!$B$7*Adds!BG174</f>
        <v/>
      </c>
      <c r="BH90" s="5">
        <f>Legacy!BH51+Paid!BH49+React!BH157+Params!$B$7*Adds!BH174</f>
        <v/>
      </c>
      <c r="BI90" s="5">
        <f>Legacy!BI51+Paid!BI49+React!BI157+Params!$B$7*Adds!BI174</f>
        <v/>
      </c>
      <c r="BJ90" s="5">
        <f>Legacy!BJ51+Paid!BJ49+React!BJ157+Params!$B$7*Adds!BJ174</f>
        <v/>
      </c>
      <c r="BK90" s="5">
        <f>Legacy!BK51+Paid!BK49+React!BK157+Params!$B$7*Adds!BK174</f>
        <v/>
      </c>
      <c r="BL90" s="5">
        <f>Legacy!BL51+Paid!BL49+React!BL157+Params!$B$7*Adds!BL174</f>
        <v/>
      </c>
      <c r="BM90" s="5">
        <f>Legacy!BM51+Paid!BM49+React!BM157+Params!$B$7*Adds!BM174</f>
        <v/>
      </c>
      <c r="BN90" s="5">
        <f>Legacy!BN51+Paid!BN49+React!BN157+Params!$B$7*Adds!BN174</f>
        <v/>
      </c>
      <c r="BO90" s="5">
        <f>Legacy!BO51+Paid!BO49+React!BO157+Params!$B$7*Adds!BO174</f>
        <v/>
      </c>
      <c r="BP90" s="5">
        <f>Legacy!BP51+Paid!BP49+React!BP157+Params!$B$7*Adds!BP174</f>
        <v/>
      </c>
      <c r="BQ90" s="5">
        <f>Legacy!BQ51+Paid!BQ49+React!BQ157+Params!$B$7*Adds!BQ174</f>
        <v/>
      </c>
      <c r="BR90" s="5">
        <f>Legacy!BR51+Paid!BR49+React!BR157+Params!$B$7*Adds!BR174</f>
        <v/>
      </c>
      <c r="BS90" s="5">
        <f>Legacy!BS51+Paid!BS49+React!BS157+Params!$B$7*Adds!BS174</f>
        <v/>
      </c>
      <c r="BT90" s="5">
        <f>Legacy!BT51+Paid!BT49+React!BT157+Params!$B$7*Adds!BT174</f>
        <v/>
      </c>
      <c r="BU90" s="5">
        <f>Legacy!BU51+Paid!BU49+React!BU157+Params!$B$7*Adds!BU174</f>
        <v/>
      </c>
      <c r="BV90" s="5">
        <f>Legacy!BV51+Paid!BV49+React!BV157+Params!$B$7*Adds!BV174</f>
        <v/>
      </c>
    </row>
    <row r="91">
      <c r="A91" t="inlineStr">
        <is>
          <t>closing</t>
        </is>
      </c>
      <c r="B91" t="inlineStr">
        <is>
          <t>LATAM|BASIC_A</t>
        </is>
      </c>
      <c r="C91" s="5">
        <f>C92+Params!$B$7*Adds!C177</f>
        <v/>
      </c>
      <c r="D91" s="5">
        <f>D92+Params!$B$7*Adds!D177</f>
        <v/>
      </c>
      <c r="E91" s="5">
        <f>E92+Params!$B$7*Adds!E177</f>
        <v/>
      </c>
      <c r="F91" s="5">
        <f>F92+Params!$B$7*Adds!F177</f>
        <v/>
      </c>
      <c r="G91" s="5">
        <f>G92+Params!$B$7*Adds!G177</f>
        <v/>
      </c>
      <c r="H91" s="5">
        <f>H92+Params!$B$7*Adds!H177</f>
        <v/>
      </c>
      <c r="I91" s="5">
        <f>I92+Params!$B$7*Adds!I177</f>
        <v/>
      </c>
      <c r="J91" s="5">
        <f>J92+Params!$B$7*Adds!J177</f>
        <v/>
      </c>
      <c r="K91" s="5">
        <f>K92+Params!$B$7*Adds!K177</f>
        <v/>
      </c>
      <c r="L91" s="5">
        <f>L92+Params!$B$7*Adds!L177</f>
        <v/>
      </c>
      <c r="M91" s="5">
        <f>M92+Params!$B$7*Adds!M177</f>
        <v/>
      </c>
      <c r="N91" s="5">
        <f>N92+Params!$B$7*Adds!N177</f>
        <v/>
      </c>
      <c r="O91" s="5">
        <f>O92+Params!$B$7*Adds!O177</f>
        <v/>
      </c>
      <c r="P91" s="5">
        <f>P92+Params!$B$7*Adds!P177</f>
        <v/>
      </c>
      <c r="Q91" s="5">
        <f>Q92+Params!$B$7*Adds!Q177</f>
        <v/>
      </c>
      <c r="R91" s="5">
        <f>R92+Params!$B$7*Adds!R177</f>
        <v/>
      </c>
      <c r="S91" s="5">
        <f>S92+Params!$B$7*Adds!S177</f>
        <v/>
      </c>
      <c r="T91" s="5">
        <f>T92+Params!$B$7*Adds!T177</f>
        <v/>
      </c>
      <c r="U91" s="5">
        <f>U92+Params!$B$7*Adds!U177</f>
        <v/>
      </c>
      <c r="V91" s="5">
        <f>V92+Params!$B$7*Adds!V177</f>
        <v/>
      </c>
      <c r="W91" s="5">
        <f>W92+Params!$B$7*Adds!W177</f>
        <v/>
      </c>
      <c r="X91" s="5">
        <f>X92+Params!$B$7*Adds!X177</f>
        <v/>
      </c>
      <c r="Y91" s="5">
        <f>Y92+Params!$B$7*Adds!Y177</f>
        <v/>
      </c>
      <c r="Z91" s="5">
        <f>Z92+Params!$B$7*Adds!Z177</f>
        <v/>
      </c>
      <c r="AA91" s="5">
        <f>AA92+Params!$B$7*Adds!AA177</f>
        <v/>
      </c>
      <c r="AB91" s="5">
        <f>AB92+Params!$B$7*Adds!AB177</f>
        <v/>
      </c>
      <c r="AC91" s="5">
        <f>AC92+Params!$B$7*Adds!AC177</f>
        <v/>
      </c>
      <c r="AD91" s="5">
        <f>AD92+Params!$B$7*Adds!AD177</f>
        <v/>
      </c>
      <c r="AE91" s="5">
        <f>AE92+Params!$B$7*Adds!AE177</f>
        <v/>
      </c>
      <c r="AF91" s="5">
        <f>AF92+Params!$B$7*Adds!AF177</f>
        <v/>
      </c>
      <c r="AG91" s="5">
        <f>AG92+Params!$B$7*Adds!AG177</f>
        <v/>
      </c>
      <c r="AH91" s="5">
        <f>AH92+Params!$B$7*Adds!AH177</f>
        <v/>
      </c>
      <c r="AI91" s="5">
        <f>AI92+Params!$B$7*Adds!AI177</f>
        <v/>
      </c>
      <c r="AJ91" s="5">
        <f>AJ92+Params!$B$7*Adds!AJ177</f>
        <v/>
      </c>
      <c r="AK91" s="5">
        <f>AK92+Params!$B$7*Adds!AK177</f>
        <v/>
      </c>
      <c r="AL91" s="5">
        <f>AL92+Params!$B$7*Adds!AL177</f>
        <v/>
      </c>
      <c r="AM91" s="5">
        <f>AM92+Params!$B$7*Adds!AM177</f>
        <v/>
      </c>
      <c r="AN91" s="5">
        <f>AN92+Params!$B$7*Adds!AN177</f>
        <v/>
      </c>
      <c r="AO91" s="5">
        <f>AO92+Params!$B$7*Adds!AO177</f>
        <v/>
      </c>
      <c r="AP91" s="5">
        <f>AP92+Params!$B$7*Adds!AP177</f>
        <v/>
      </c>
      <c r="AQ91" s="5">
        <f>AQ92+Params!$B$7*Adds!AQ177</f>
        <v/>
      </c>
      <c r="AR91" s="5">
        <f>AR92+Params!$B$7*Adds!AR177</f>
        <v/>
      </c>
      <c r="AS91" s="5">
        <f>AS92+Params!$B$7*Adds!AS177</f>
        <v/>
      </c>
      <c r="AT91" s="5">
        <f>AT92+Params!$B$7*Adds!AT177</f>
        <v/>
      </c>
      <c r="AU91" s="5">
        <f>AU92+Params!$B$7*Adds!AU177</f>
        <v/>
      </c>
      <c r="AV91" s="5">
        <f>AV92+Params!$B$7*Adds!AV177</f>
        <v/>
      </c>
      <c r="AW91" s="5">
        <f>AW92+Params!$B$7*Adds!AW177</f>
        <v/>
      </c>
      <c r="AX91" s="5">
        <f>AX92+Params!$B$7*Adds!AX177</f>
        <v/>
      </c>
      <c r="AY91" s="5">
        <f>AY92+Params!$B$7*Adds!AY177</f>
        <v/>
      </c>
      <c r="AZ91" s="5">
        <f>AZ92+Params!$B$7*Adds!AZ177</f>
        <v/>
      </c>
      <c r="BA91" s="5">
        <f>BA92+Params!$B$7*Adds!BA177</f>
        <v/>
      </c>
      <c r="BB91" s="5">
        <f>BB92+Params!$B$7*Adds!BB177</f>
        <v/>
      </c>
      <c r="BC91" s="5">
        <f>BC92+Params!$B$7*Adds!BC177</f>
        <v/>
      </c>
      <c r="BD91" s="5">
        <f>BD92+Params!$B$7*Adds!BD177</f>
        <v/>
      </c>
      <c r="BE91" s="5">
        <f>BE92+Params!$B$7*Adds!BE177</f>
        <v/>
      </c>
      <c r="BF91" s="5">
        <f>BF92+Params!$B$7*Adds!BF177</f>
        <v/>
      </c>
      <c r="BG91" s="5">
        <f>BG92+Params!$B$7*Adds!BG177</f>
        <v/>
      </c>
      <c r="BH91" s="5">
        <f>BH92+Params!$B$7*Adds!BH177</f>
        <v/>
      </c>
      <c r="BI91" s="5">
        <f>BI92+Params!$B$7*Adds!BI177</f>
        <v/>
      </c>
      <c r="BJ91" s="5">
        <f>BJ92+Params!$B$7*Adds!BJ177</f>
        <v/>
      </c>
      <c r="BK91" s="5">
        <f>BK92+Params!$B$7*Adds!BK177</f>
        <v/>
      </c>
      <c r="BL91" s="5">
        <f>BL92+Params!$B$7*Adds!BL177</f>
        <v/>
      </c>
      <c r="BM91" s="5">
        <f>BM92+Params!$B$7*Adds!BM177</f>
        <v/>
      </c>
      <c r="BN91" s="5">
        <f>BN92+Params!$B$7*Adds!BN177</f>
        <v/>
      </c>
      <c r="BO91" s="5">
        <f>BO92+Params!$B$7*Adds!BO177</f>
        <v/>
      </c>
      <c r="BP91" s="5">
        <f>BP92+Params!$B$7*Adds!BP177</f>
        <v/>
      </c>
      <c r="BQ91" s="5">
        <f>BQ92+Params!$B$7*Adds!BQ177</f>
        <v/>
      </c>
      <c r="BR91" s="5">
        <f>BR92+Params!$B$7*Adds!BR177</f>
        <v/>
      </c>
      <c r="BS91" s="5">
        <f>BS92+Params!$B$7*Adds!BS177</f>
        <v/>
      </c>
      <c r="BT91" s="5">
        <f>BT92+Params!$B$7*Adds!BT177</f>
        <v/>
      </c>
      <c r="BU91" s="5">
        <f>BU92+Params!$B$7*Adds!BU177</f>
        <v/>
      </c>
      <c r="BV91" s="5">
        <f>BV92+Params!$B$7*Adds!BV177</f>
        <v/>
      </c>
    </row>
    <row r="92">
      <c r="A92" t="inlineStr">
        <is>
          <t>paying</t>
        </is>
      </c>
      <c r="B92" t="inlineStr">
        <is>
          <t>LATAM|BASIC_A</t>
        </is>
      </c>
      <c r="C92" s="5">
        <f>Legacy!C50+Paid!C47+React!C155</f>
        <v/>
      </c>
      <c r="D92" s="5">
        <f>Legacy!D50+Paid!D47+React!D155</f>
        <v/>
      </c>
      <c r="E92" s="5">
        <f>Legacy!E50+Paid!E47+React!E155</f>
        <v/>
      </c>
      <c r="F92" s="5">
        <f>Legacy!F50+Paid!F47+React!F155</f>
        <v/>
      </c>
      <c r="G92" s="5">
        <f>Legacy!G50+Paid!G47+React!G155</f>
        <v/>
      </c>
      <c r="H92" s="5">
        <f>Legacy!H50+Paid!H47+React!H155</f>
        <v/>
      </c>
      <c r="I92" s="5">
        <f>Legacy!I50+Paid!I47+React!I155</f>
        <v/>
      </c>
      <c r="J92" s="5">
        <f>Legacy!J50+Paid!J47+React!J155</f>
        <v/>
      </c>
      <c r="K92" s="5">
        <f>Legacy!K50+Paid!K47+React!K155</f>
        <v/>
      </c>
      <c r="L92" s="5">
        <f>Legacy!L50+Paid!L47+React!L155</f>
        <v/>
      </c>
      <c r="M92" s="5">
        <f>Legacy!M50+Paid!M47+React!M155</f>
        <v/>
      </c>
      <c r="N92" s="5">
        <f>Legacy!N50+Paid!N47+React!N155</f>
        <v/>
      </c>
      <c r="O92" s="5">
        <f>Legacy!O50+Paid!O47+React!O155</f>
        <v/>
      </c>
      <c r="P92" s="5">
        <f>Legacy!P50+Paid!P47+React!P155</f>
        <v/>
      </c>
      <c r="Q92" s="5">
        <f>Legacy!Q50+Paid!Q47+React!Q155</f>
        <v/>
      </c>
      <c r="R92" s="5">
        <f>Legacy!R50+Paid!R47+React!R155</f>
        <v/>
      </c>
      <c r="S92" s="5">
        <f>Legacy!S50+Paid!S47+React!S155</f>
        <v/>
      </c>
      <c r="T92" s="5">
        <f>Legacy!T50+Paid!T47+React!T155</f>
        <v/>
      </c>
      <c r="U92" s="5">
        <f>Legacy!U50+Paid!U47+React!U155</f>
        <v/>
      </c>
      <c r="V92" s="5">
        <f>Legacy!V50+Paid!V47+React!V155</f>
        <v/>
      </c>
      <c r="W92" s="5">
        <f>Legacy!W50+Paid!W47+React!W155</f>
        <v/>
      </c>
      <c r="X92" s="5">
        <f>Legacy!X50+Paid!X47+React!X155</f>
        <v/>
      </c>
      <c r="Y92" s="5">
        <f>Legacy!Y50+Paid!Y47+React!Y155</f>
        <v/>
      </c>
      <c r="Z92" s="5">
        <f>Legacy!Z50+Paid!Z47+React!Z155</f>
        <v/>
      </c>
      <c r="AA92" s="5">
        <f>Legacy!AA50+Paid!AA47+React!AA155</f>
        <v/>
      </c>
      <c r="AB92" s="5">
        <f>Legacy!AB50+Paid!AB47+React!AB155</f>
        <v/>
      </c>
      <c r="AC92" s="5">
        <f>Legacy!AC50+Paid!AC47+React!AC155</f>
        <v/>
      </c>
      <c r="AD92" s="5">
        <f>Legacy!AD50+Paid!AD47+React!AD155</f>
        <v/>
      </c>
      <c r="AE92" s="5">
        <f>Legacy!AE50+Paid!AE47+React!AE155</f>
        <v/>
      </c>
      <c r="AF92" s="5">
        <f>Legacy!AF50+Paid!AF47+React!AF155</f>
        <v/>
      </c>
      <c r="AG92" s="5">
        <f>Legacy!AG50+Paid!AG47+React!AG155</f>
        <v/>
      </c>
      <c r="AH92" s="5">
        <f>Legacy!AH50+Paid!AH47+React!AH155</f>
        <v/>
      </c>
      <c r="AI92" s="5">
        <f>Legacy!AI50+Paid!AI47+React!AI155</f>
        <v/>
      </c>
      <c r="AJ92" s="5">
        <f>Legacy!AJ50+Paid!AJ47+React!AJ155</f>
        <v/>
      </c>
      <c r="AK92" s="5">
        <f>Legacy!AK50+Paid!AK47+React!AK155</f>
        <v/>
      </c>
      <c r="AL92" s="5">
        <f>Legacy!AL50+Paid!AL47+React!AL155</f>
        <v/>
      </c>
      <c r="AM92" s="5">
        <f>Legacy!AM50+Paid!AM47+React!AM155</f>
        <v/>
      </c>
      <c r="AN92" s="5">
        <f>Legacy!AN50+Paid!AN47+React!AN155</f>
        <v/>
      </c>
      <c r="AO92" s="5">
        <f>Legacy!AO50+Paid!AO47+React!AO155</f>
        <v/>
      </c>
      <c r="AP92" s="5">
        <f>Legacy!AP50+Paid!AP47+React!AP155</f>
        <v/>
      </c>
      <c r="AQ92" s="5">
        <f>Legacy!AQ50+Paid!AQ47+React!AQ155</f>
        <v/>
      </c>
      <c r="AR92" s="5">
        <f>Legacy!AR50+Paid!AR47+React!AR155</f>
        <v/>
      </c>
      <c r="AS92" s="5">
        <f>Legacy!AS50+Paid!AS47+React!AS155</f>
        <v/>
      </c>
      <c r="AT92" s="5">
        <f>Legacy!AT50+Paid!AT47+React!AT155</f>
        <v/>
      </c>
      <c r="AU92" s="5">
        <f>Legacy!AU50+Paid!AU47+React!AU155</f>
        <v/>
      </c>
      <c r="AV92" s="5">
        <f>Legacy!AV50+Paid!AV47+React!AV155</f>
        <v/>
      </c>
      <c r="AW92" s="5">
        <f>Legacy!AW50+Paid!AW47+React!AW155</f>
        <v/>
      </c>
      <c r="AX92" s="5">
        <f>Legacy!AX50+Paid!AX47+React!AX155</f>
        <v/>
      </c>
      <c r="AY92" s="5">
        <f>Legacy!AY50+Paid!AY47+React!AY155</f>
        <v/>
      </c>
      <c r="AZ92" s="5">
        <f>Legacy!AZ50+Paid!AZ47+React!AZ155</f>
        <v/>
      </c>
      <c r="BA92" s="5">
        <f>Legacy!BA50+Paid!BA47+React!BA155</f>
        <v/>
      </c>
      <c r="BB92" s="5">
        <f>Legacy!BB50+Paid!BB47+React!BB155</f>
        <v/>
      </c>
      <c r="BC92" s="5">
        <f>Legacy!BC50+Paid!BC47+React!BC155</f>
        <v/>
      </c>
      <c r="BD92" s="5">
        <f>Legacy!BD50+Paid!BD47+React!BD155</f>
        <v/>
      </c>
      <c r="BE92" s="5">
        <f>Legacy!BE50+Paid!BE47+React!BE155</f>
        <v/>
      </c>
      <c r="BF92" s="5">
        <f>Legacy!BF50+Paid!BF47+React!BF155</f>
        <v/>
      </c>
      <c r="BG92" s="5">
        <f>Legacy!BG50+Paid!BG47+React!BG155</f>
        <v/>
      </c>
      <c r="BH92" s="5">
        <f>Legacy!BH50+Paid!BH47+React!BH155</f>
        <v/>
      </c>
      <c r="BI92" s="5">
        <f>Legacy!BI50+Paid!BI47+React!BI155</f>
        <v/>
      </c>
      <c r="BJ92" s="5">
        <f>Legacy!BJ50+Paid!BJ47+React!BJ155</f>
        <v/>
      </c>
      <c r="BK92" s="5">
        <f>Legacy!BK50+Paid!BK47+React!BK155</f>
        <v/>
      </c>
      <c r="BL92" s="5">
        <f>Legacy!BL50+Paid!BL47+React!BL155</f>
        <v/>
      </c>
      <c r="BM92" s="5">
        <f>Legacy!BM50+Paid!BM47+React!BM155</f>
        <v/>
      </c>
      <c r="BN92" s="5">
        <f>Legacy!BN50+Paid!BN47+React!BN155</f>
        <v/>
      </c>
      <c r="BO92" s="5">
        <f>Legacy!BO50+Paid!BO47+React!BO155</f>
        <v/>
      </c>
      <c r="BP92" s="5">
        <f>Legacy!BP50+Paid!BP47+React!BP155</f>
        <v/>
      </c>
      <c r="BQ92" s="5">
        <f>Legacy!BQ50+Paid!BQ47+React!BQ155</f>
        <v/>
      </c>
      <c r="BR92" s="5">
        <f>Legacy!BR50+Paid!BR47+React!BR155</f>
        <v/>
      </c>
      <c r="BS92" s="5">
        <f>Legacy!BS50+Paid!BS47+React!BS155</f>
        <v/>
      </c>
      <c r="BT92" s="5">
        <f>Legacy!BT50+Paid!BT47+React!BT155</f>
        <v/>
      </c>
      <c r="BU92" s="5">
        <f>Legacy!BU50+Paid!BU47+React!BU155</f>
        <v/>
      </c>
      <c r="BV92" s="5">
        <f>Legacy!BV50+Paid!BV47+React!BV155</f>
        <v/>
      </c>
    </row>
    <row r="94">
      <c r="A94" t="inlineStr">
        <is>
          <t>opening</t>
        </is>
      </c>
      <c r="B94" t="inlineStr">
        <is>
          <t>APAC|NITRO_M</t>
        </is>
      </c>
      <c r="C94" s="5">
        <f>Legacy!$C$53</f>
        <v/>
      </c>
      <c r="D94" s="5">
        <f>C98</f>
        <v/>
      </c>
      <c r="E94" s="5">
        <f>D98</f>
        <v/>
      </c>
      <c r="F94" s="5">
        <f>E98</f>
        <v/>
      </c>
      <c r="G94" s="5">
        <f>F98</f>
        <v/>
      </c>
      <c r="H94" s="5">
        <f>G98</f>
        <v/>
      </c>
      <c r="I94" s="5">
        <f>H98</f>
        <v/>
      </c>
      <c r="J94" s="5">
        <f>I98</f>
        <v/>
      </c>
      <c r="K94" s="5">
        <f>J98</f>
        <v/>
      </c>
      <c r="L94" s="5">
        <f>K98</f>
        <v/>
      </c>
      <c r="M94" s="5">
        <f>L98</f>
        <v/>
      </c>
      <c r="N94" s="5">
        <f>M98</f>
        <v/>
      </c>
      <c r="O94" s="5">
        <f>N98</f>
        <v/>
      </c>
      <c r="P94" s="5">
        <f>O98</f>
        <v/>
      </c>
      <c r="Q94" s="5">
        <f>P98</f>
        <v/>
      </c>
      <c r="R94" s="5">
        <f>Q98</f>
        <v/>
      </c>
      <c r="S94" s="5">
        <f>R98</f>
        <v/>
      </c>
      <c r="T94" s="5">
        <f>S98</f>
        <v/>
      </c>
      <c r="U94" s="5">
        <f>T98</f>
        <v/>
      </c>
      <c r="V94" s="5">
        <f>U98</f>
        <v/>
      </c>
      <c r="W94" s="5">
        <f>V98</f>
        <v/>
      </c>
      <c r="X94" s="5">
        <f>W98</f>
        <v/>
      </c>
      <c r="Y94" s="5">
        <f>X98</f>
        <v/>
      </c>
      <c r="Z94" s="5">
        <f>Y98</f>
        <v/>
      </c>
      <c r="AA94" s="5">
        <f>Z98</f>
        <v/>
      </c>
      <c r="AB94" s="5">
        <f>AA98</f>
        <v/>
      </c>
      <c r="AC94" s="5">
        <f>AB98</f>
        <v/>
      </c>
      <c r="AD94" s="5">
        <f>AC98</f>
        <v/>
      </c>
      <c r="AE94" s="5">
        <f>AD98</f>
        <v/>
      </c>
      <c r="AF94" s="5">
        <f>AE98</f>
        <v/>
      </c>
      <c r="AG94" s="5">
        <f>AF98</f>
        <v/>
      </c>
      <c r="AH94" s="5">
        <f>AG98</f>
        <v/>
      </c>
      <c r="AI94" s="5">
        <f>AH98</f>
        <v/>
      </c>
      <c r="AJ94" s="5">
        <f>AI98</f>
        <v/>
      </c>
      <c r="AK94" s="5">
        <f>AJ98</f>
        <v/>
      </c>
      <c r="AL94" s="5">
        <f>AK98</f>
        <v/>
      </c>
      <c r="AM94" s="5">
        <f>AL98</f>
        <v/>
      </c>
      <c r="AN94" s="5">
        <f>AM98</f>
        <v/>
      </c>
      <c r="AO94" s="5">
        <f>AN98</f>
        <v/>
      </c>
      <c r="AP94" s="5">
        <f>AO98</f>
        <v/>
      </c>
      <c r="AQ94" s="5">
        <f>AP98</f>
        <v/>
      </c>
      <c r="AR94" s="5">
        <f>AQ98</f>
        <v/>
      </c>
      <c r="AS94" s="5">
        <f>AR98</f>
        <v/>
      </c>
      <c r="AT94" s="5">
        <f>AS98</f>
        <v/>
      </c>
      <c r="AU94" s="5">
        <f>AT98</f>
        <v/>
      </c>
      <c r="AV94" s="5">
        <f>AU98</f>
        <v/>
      </c>
      <c r="AW94" s="5">
        <f>AV98</f>
        <v/>
      </c>
      <c r="AX94" s="5">
        <f>AW98</f>
        <v/>
      </c>
      <c r="AY94" s="5">
        <f>AX98</f>
        <v/>
      </c>
      <c r="AZ94" s="5">
        <f>AY98</f>
        <v/>
      </c>
      <c r="BA94" s="5">
        <f>AZ98</f>
        <v/>
      </c>
      <c r="BB94" s="5">
        <f>BA98</f>
        <v/>
      </c>
      <c r="BC94" s="5">
        <f>BB98</f>
        <v/>
      </c>
      <c r="BD94" s="5">
        <f>BC98</f>
        <v/>
      </c>
      <c r="BE94" s="5">
        <f>BD98</f>
        <v/>
      </c>
      <c r="BF94" s="5">
        <f>BE98</f>
        <v/>
      </c>
      <c r="BG94" s="5">
        <f>BF98</f>
        <v/>
      </c>
      <c r="BH94" s="5">
        <f>BG98</f>
        <v/>
      </c>
      <c r="BI94" s="5">
        <f>BH98</f>
        <v/>
      </c>
      <c r="BJ94" s="5">
        <f>BI98</f>
        <v/>
      </c>
      <c r="BK94" s="5">
        <f>BJ98</f>
        <v/>
      </c>
      <c r="BL94" s="5">
        <f>BK98</f>
        <v/>
      </c>
      <c r="BM94" s="5">
        <f>BL98</f>
        <v/>
      </c>
      <c r="BN94" s="5">
        <f>BM98</f>
        <v/>
      </c>
      <c r="BO94" s="5">
        <f>BN98</f>
        <v/>
      </c>
      <c r="BP94" s="5">
        <f>BO98</f>
        <v/>
      </c>
      <c r="BQ94" s="5">
        <f>BP98</f>
        <v/>
      </c>
      <c r="BR94" s="5">
        <f>BQ98</f>
        <v/>
      </c>
      <c r="BS94" s="5">
        <f>BR98</f>
        <v/>
      </c>
      <c r="BT94" s="5">
        <f>BS98</f>
        <v/>
      </c>
      <c r="BU94" s="5">
        <f>BT98</f>
        <v/>
      </c>
      <c r="BV94" s="5">
        <f>BU98</f>
        <v/>
      </c>
    </row>
    <row r="95">
      <c r="A95" t="inlineStr">
        <is>
          <t>new</t>
        </is>
      </c>
      <c r="B95" t="inlineStr">
        <is>
          <t>APAC|NITRO_M</t>
        </is>
      </c>
      <c r="C95" s="5">
        <f>Adds!C185+IF(Params!$B$7=1,Adds!C184,Adds!C188)</f>
        <v/>
      </c>
      <c r="D95" s="5">
        <f>Adds!D185+IF(Params!$B$7=1,Adds!D184,Adds!D188)</f>
        <v/>
      </c>
      <c r="E95" s="5">
        <f>Adds!E185+IF(Params!$B$7=1,Adds!E184,Adds!E188)</f>
        <v/>
      </c>
      <c r="F95" s="5">
        <f>Adds!F185+IF(Params!$B$7=1,Adds!F184,Adds!F188)</f>
        <v/>
      </c>
      <c r="G95" s="5">
        <f>Adds!G185+IF(Params!$B$7=1,Adds!G184,Adds!G188)</f>
        <v/>
      </c>
      <c r="H95" s="5">
        <f>Adds!H185+IF(Params!$B$7=1,Adds!H184,Adds!H188)</f>
        <v/>
      </c>
      <c r="I95" s="5">
        <f>Adds!I185+IF(Params!$B$7=1,Adds!I184,Adds!I188)</f>
        <v/>
      </c>
      <c r="J95" s="5">
        <f>Adds!J185+IF(Params!$B$7=1,Adds!J184,Adds!J188)</f>
        <v/>
      </c>
      <c r="K95" s="5">
        <f>Adds!K185+IF(Params!$B$7=1,Adds!K184,Adds!K188)</f>
        <v/>
      </c>
      <c r="L95" s="5">
        <f>Adds!L185+IF(Params!$B$7=1,Adds!L184,Adds!L188)</f>
        <v/>
      </c>
      <c r="M95" s="5">
        <f>Adds!M185+IF(Params!$B$7=1,Adds!M184,Adds!M188)</f>
        <v/>
      </c>
      <c r="N95" s="5">
        <f>Adds!N185+IF(Params!$B$7=1,Adds!N184,Adds!N188)</f>
        <v/>
      </c>
      <c r="O95" s="5">
        <f>Adds!O185+IF(Params!$B$7=1,Adds!O184,Adds!O188)</f>
        <v/>
      </c>
      <c r="P95" s="5">
        <f>Adds!P185+IF(Params!$B$7=1,Adds!P184,Adds!P188)</f>
        <v/>
      </c>
      <c r="Q95" s="5">
        <f>Adds!Q185+IF(Params!$B$7=1,Adds!Q184,Adds!Q188)</f>
        <v/>
      </c>
      <c r="R95" s="5">
        <f>Adds!R185+IF(Params!$B$7=1,Adds!R184,Adds!R188)</f>
        <v/>
      </c>
      <c r="S95" s="5">
        <f>Adds!S185+IF(Params!$B$7=1,Adds!S184,Adds!S188)</f>
        <v/>
      </c>
      <c r="T95" s="5">
        <f>Adds!T185+IF(Params!$B$7=1,Adds!T184,Adds!T188)</f>
        <v/>
      </c>
      <c r="U95" s="5">
        <f>Adds!U185+IF(Params!$B$7=1,Adds!U184,Adds!U188)</f>
        <v/>
      </c>
      <c r="V95" s="5">
        <f>Adds!V185+IF(Params!$B$7=1,Adds!V184,Adds!V188)</f>
        <v/>
      </c>
      <c r="W95" s="5">
        <f>Adds!W185+IF(Params!$B$7=1,Adds!W184,Adds!W188)</f>
        <v/>
      </c>
      <c r="X95" s="5">
        <f>Adds!X185+IF(Params!$B$7=1,Adds!X184,Adds!X188)</f>
        <v/>
      </c>
      <c r="Y95" s="5">
        <f>Adds!Y185+IF(Params!$B$7=1,Adds!Y184,Adds!Y188)</f>
        <v/>
      </c>
      <c r="Z95" s="5">
        <f>Adds!Z185+IF(Params!$B$7=1,Adds!Z184,Adds!Z188)</f>
        <v/>
      </c>
      <c r="AA95" s="5">
        <f>Adds!AA185+IF(Params!$B$7=1,Adds!AA184,Adds!AA188)</f>
        <v/>
      </c>
      <c r="AB95" s="5">
        <f>Adds!AB185+IF(Params!$B$7=1,Adds!AB184,Adds!AB188)</f>
        <v/>
      </c>
      <c r="AC95" s="5">
        <f>Adds!AC185+IF(Params!$B$7=1,Adds!AC184,Adds!AC188)</f>
        <v/>
      </c>
      <c r="AD95" s="5">
        <f>Adds!AD185+IF(Params!$B$7=1,Adds!AD184,Adds!AD188)</f>
        <v/>
      </c>
      <c r="AE95" s="5">
        <f>Adds!AE185+IF(Params!$B$7=1,Adds!AE184,Adds!AE188)</f>
        <v/>
      </c>
      <c r="AF95" s="5">
        <f>Adds!AF185+IF(Params!$B$7=1,Adds!AF184,Adds!AF188)</f>
        <v/>
      </c>
      <c r="AG95" s="5">
        <f>Adds!AG185+IF(Params!$B$7=1,Adds!AG184,Adds!AG188)</f>
        <v/>
      </c>
      <c r="AH95" s="5">
        <f>Adds!AH185+IF(Params!$B$7=1,Adds!AH184,Adds!AH188)</f>
        <v/>
      </c>
      <c r="AI95" s="5">
        <f>Adds!AI185+IF(Params!$B$7=1,Adds!AI184,Adds!AI188)</f>
        <v/>
      </c>
      <c r="AJ95" s="5">
        <f>Adds!AJ185+IF(Params!$B$7=1,Adds!AJ184,Adds!AJ188)</f>
        <v/>
      </c>
      <c r="AK95" s="5">
        <f>Adds!AK185+IF(Params!$B$7=1,Adds!AK184,Adds!AK188)</f>
        <v/>
      </c>
      <c r="AL95" s="5">
        <f>Adds!AL185+IF(Params!$B$7=1,Adds!AL184,Adds!AL188)</f>
        <v/>
      </c>
      <c r="AM95" s="5">
        <f>Adds!AM185+IF(Params!$B$7=1,Adds!AM184,Adds!AM188)</f>
        <v/>
      </c>
      <c r="AN95" s="5">
        <f>Adds!AN185+IF(Params!$B$7=1,Adds!AN184,Adds!AN188)</f>
        <v/>
      </c>
      <c r="AO95" s="5">
        <f>Adds!AO185+IF(Params!$B$7=1,Adds!AO184,Adds!AO188)</f>
        <v/>
      </c>
      <c r="AP95" s="5">
        <f>Adds!AP185+IF(Params!$B$7=1,Adds!AP184,Adds!AP188)</f>
        <v/>
      </c>
      <c r="AQ95" s="5">
        <f>Adds!AQ185+IF(Params!$B$7=1,Adds!AQ184,Adds!AQ188)</f>
        <v/>
      </c>
      <c r="AR95" s="5">
        <f>Adds!AR185+IF(Params!$B$7=1,Adds!AR184,Adds!AR188)</f>
        <v/>
      </c>
      <c r="AS95" s="5">
        <f>Adds!AS185+IF(Params!$B$7=1,Adds!AS184,Adds!AS188)</f>
        <v/>
      </c>
      <c r="AT95" s="5">
        <f>Adds!AT185+IF(Params!$B$7=1,Adds!AT184,Adds!AT188)</f>
        <v/>
      </c>
      <c r="AU95" s="5">
        <f>Adds!AU185+IF(Params!$B$7=1,Adds!AU184,Adds!AU188)</f>
        <v/>
      </c>
      <c r="AV95" s="5">
        <f>Adds!AV185+IF(Params!$B$7=1,Adds!AV184,Adds!AV188)</f>
        <v/>
      </c>
      <c r="AW95" s="5">
        <f>Adds!AW185+IF(Params!$B$7=1,Adds!AW184,Adds!AW188)</f>
        <v/>
      </c>
      <c r="AX95" s="5">
        <f>Adds!AX185+IF(Params!$B$7=1,Adds!AX184,Adds!AX188)</f>
        <v/>
      </c>
      <c r="AY95" s="5">
        <f>Adds!AY185+IF(Params!$B$7=1,Adds!AY184,Adds!AY188)</f>
        <v/>
      </c>
      <c r="AZ95" s="5">
        <f>Adds!AZ185+IF(Params!$B$7=1,Adds!AZ184,Adds!AZ188)</f>
        <v/>
      </c>
      <c r="BA95" s="5">
        <f>Adds!BA185+IF(Params!$B$7=1,Adds!BA184,Adds!BA188)</f>
        <v/>
      </c>
      <c r="BB95" s="5">
        <f>Adds!BB185+IF(Params!$B$7=1,Adds!BB184,Adds!BB188)</f>
        <v/>
      </c>
      <c r="BC95" s="5">
        <f>Adds!BC185+IF(Params!$B$7=1,Adds!BC184,Adds!BC188)</f>
        <v/>
      </c>
      <c r="BD95" s="5">
        <f>Adds!BD185+IF(Params!$B$7=1,Adds!BD184,Adds!BD188)</f>
        <v/>
      </c>
      <c r="BE95" s="5">
        <f>Adds!BE185+IF(Params!$B$7=1,Adds!BE184,Adds!BE188)</f>
        <v/>
      </c>
      <c r="BF95" s="5">
        <f>Adds!BF185+IF(Params!$B$7=1,Adds!BF184,Adds!BF188)</f>
        <v/>
      </c>
      <c r="BG95" s="5">
        <f>Adds!BG185+IF(Params!$B$7=1,Adds!BG184,Adds!BG188)</f>
        <v/>
      </c>
      <c r="BH95" s="5">
        <f>Adds!BH185+IF(Params!$B$7=1,Adds!BH184,Adds!BH188)</f>
        <v/>
      </c>
      <c r="BI95" s="5">
        <f>Adds!BI185+IF(Params!$B$7=1,Adds!BI184,Adds!BI188)</f>
        <v/>
      </c>
      <c r="BJ95" s="5">
        <f>Adds!BJ185+IF(Params!$B$7=1,Adds!BJ184,Adds!BJ188)</f>
        <v/>
      </c>
      <c r="BK95" s="5">
        <f>Adds!BK185+IF(Params!$B$7=1,Adds!BK184,Adds!BK188)</f>
        <v/>
      </c>
      <c r="BL95" s="5">
        <f>Adds!BL185+IF(Params!$B$7=1,Adds!BL184,Adds!BL188)</f>
        <v/>
      </c>
      <c r="BM95" s="5">
        <f>Adds!BM185+IF(Params!$B$7=1,Adds!BM184,Adds!BM188)</f>
        <v/>
      </c>
      <c r="BN95" s="5">
        <f>Adds!BN185+IF(Params!$B$7=1,Adds!BN184,Adds!BN188)</f>
        <v/>
      </c>
      <c r="BO95" s="5">
        <f>Adds!BO185+IF(Params!$B$7=1,Adds!BO184,Adds!BO188)</f>
        <v/>
      </c>
      <c r="BP95" s="5">
        <f>Adds!BP185+IF(Params!$B$7=1,Adds!BP184,Adds!BP188)</f>
        <v/>
      </c>
      <c r="BQ95" s="5">
        <f>Adds!BQ185+IF(Params!$B$7=1,Adds!BQ184,Adds!BQ188)</f>
        <v/>
      </c>
      <c r="BR95" s="5">
        <f>Adds!BR185+IF(Params!$B$7=1,Adds!BR184,Adds!BR188)</f>
        <v/>
      </c>
      <c r="BS95" s="5">
        <f>Adds!BS185+IF(Params!$B$7=1,Adds!BS184,Adds!BS188)</f>
        <v/>
      </c>
      <c r="BT95" s="5">
        <f>Adds!BT185+IF(Params!$B$7=1,Adds!BT184,Adds!BT188)</f>
        <v/>
      </c>
      <c r="BU95" s="5">
        <f>Adds!BU185+IF(Params!$B$7=1,Adds!BU184,Adds!BU188)</f>
        <v/>
      </c>
      <c r="BV95" s="5">
        <f>Adds!BV185+IF(Params!$B$7=1,Adds!BV184,Adds!BV188)</f>
        <v/>
      </c>
    </row>
    <row r="96">
      <c r="A96" t="inlineStr">
        <is>
          <t>reactivated</t>
        </is>
      </c>
      <c r="B96" t="inlineStr">
        <is>
          <t>APAC|NITRO_M</t>
        </is>
      </c>
      <c r="C96" s="5">
        <f>React!C164</f>
        <v/>
      </c>
      <c r="D96" s="5">
        <f>React!D164</f>
        <v/>
      </c>
      <c r="E96" s="5">
        <f>React!E164</f>
        <v/>
      </c>
      <c r="F96" s="5">
        <f>React!F164</f>
        <v/>
      </c>
      <c r="G96" s="5">
        <f>React!G164</f>
        <v/>
      </c>
      <c r="H96" s="5">
        <f>React!H164</f>
        <v/>
      </c>
      <c r="I96" s="5">
        <f>React!I164</f>
        <v/>
      </c>
      <c r="J96" s="5">
        <f>React!J164</f>
        <v/>
      </c>
      <c r="K96" s="5">
        <f>React!K164</f>
        <v/>
      </c>
      <c r="L96" s="5">
        <f>React!L164</f>
        <v/>
      </c>
      <c r="M96" s="5">
        <f>React!M164</f>
        <v/>
      </c>
      <c r="N96" s="5">
        <f>React!N164</f>
        <v/>
      </c>
      <c r="O96" s="5">
        <f>React!O164</f>
        <v/>
      </c>
      <c r="P96" s="5">
        <f>React!P164</f>
        <v/>
      </c>
      <c r="Q96" s="5">
        <f>React!Q164</f>
        <v/>
      </c>
      <c r="R96" s="5">
        <f>React!R164</f>
        <v/>
      </c>
      <c r="S96" s="5">
        <f>React!S164</f>
        <v/>
      </c>
      <c r="T96" s="5">
        <f>React!T164</f>
        <v/>
      </c>
      <c r="U96" s="5">
        <f>React!U164</f>
        <v/>
      </c>
      <c r="V96" s="5">
        <f>React!V164</f>
        <v/>
      </c>
      <c r="W96" s="5">
        <f>React!W164</f>
        <v/>
      </c>
      <c r="X96" s="5">
        <f>React!X164</f>
        <v/>
      </c>
      <c r="Y96" s="5">
        <f>React!Y164</f>
        <v/>
      </c>
      <c r="Z96" s="5">
        <f>React!Z164</f>
        <v/>
      </c>
      <c r="AA96" s="5">
        <f>React!AA164</f>
        <v/>
      </c>
      <c r="AB96" s="5">
        <f>React!AB164</f>
        <v/>
      </c>
      <c r="AC96" s="5">
        <f>React!AC164</f>
        <v/>
      </c>
      <c r="AD96" s="5">
        <f>React!AD164</f>
        <v/>
      </c>
      <c r="AE96" s="5">
        <f>React!AE164</f>
        <v/>
      </c>
      <c r="AF96" s="5">
        <f>React!AF164</f>
        <v/>
      </c>
      <c r="AG96" s="5">
        <f>React!AG164</f>
        <v/>
      </c>
      <c r="AH96" s="5">
        <f>React!AH164</f>
        <v/>
      </c>
      <c r="AI96" s="5">
        <f>React!AI164</f>
        <v/>
      </c>
      <c r="AJ96" s="5">
        <f>React!AJ164</f>
        <v/>
      </c>
      <c r="AK96" s="5">
        <f>React!AK164</f>
        <v/>
      </c>
      <c r="AL96" s="5">
        <f>React!AL164</f>
        <v/>
      </c>
      <c r="AM96" s="5">
        <f>React!AM164</f>
        <v/>
      </c>
      <c r="AN96" s="5">
        <f>React!AN164</f>
        <v/>
      </c>
      <c r="AO96" s="5">
        <f>React!AO164</f>
        <v/>
      </c>
      <c r="AP96" s="5">
        <f>React!AP164</f>
        <v/>
      </c>
      <c r="AQ96" s="5">
        <f>React!AQ164</f>
        <v/>
      </c>
      <c r="AR96" s="5">
        <f>React!AR164</f>
        <v/>
      </c>
      <c r="AS96" s="5">
        <f>React!AS164</f>
        <v/>
      </c>
      <c r="AT96" s="5">
        <f>React!AT164</f>
        <v/>
      </c>
      <c r="AU96" s="5">
        <f>React!AU164</f>
        <v/>
      </c>
      <c r="AV96" s="5">
        <f>React!AV164</f>
        <v/>
      </c>
      <c r="AW96" s="5">
        <f>React!AW164</f>
        <v/>
      </c>
      <c r="AX96" s="5">
        <f>React!AX164</f>
        <v/>
      </c>
      <c r="AY96" s="5">
        <f>React!AY164</f>
        <v/>
      </c>
      <c r="AZ96" s="5">
        <f>React!AZ164</f>
        <v/>
      </c>
      <c r="BA96" s="5">
        <f>React!BA164</f>
        <v/>
      </c>
      <c r="BB96" s="5">
        <f>React!BB164</f>
        <v/>
      </c>
      <c r="BC96" s="5">
        <f>React!BC164</f>
        <v/>
      </c>
      <c r="BD96" s="5">
        <f>React!BD164</f>
        <v/>
      </c>
      <c r="BE96" s="5">
        <f>React!BE164</f>
        <v/>
      </c>
      <c r="BF96" s="5">
        <f>React!BF164</f>
        <v/>
      </c>
      <c r="BG96" s="5">
        <f>React!BG164</f>
        <v/>
      </c>
      <c r="BH96" s="5">
        <f>React!BH164</f>
        <v/>
      </c>
      <c r="BI96" s="5">
        <f>React!BI164</f>
        <v/>
      </c>
      <c r="BJ96" s="5">
        <f>React!BJ164</f>
        <v/>
      </c>
      <c r="BK96" s="5">
        <f>React!BK164</f>
        <v/>
      </c>
      <c r="BL96" s="5">
        <f>React!BL164</f>
        <v/>
      </c>
      <c r="BM96" s="5">
        <f>React!BM164</f>
        <v/>
      </c>
      <c r="BN96" s="5">
        <f>React!BN164</f>
        <v/>
      </c>
      <c r="BO96" s="5">
        <f>React!BO164</f>
        <v/>
      </c>
      <c r="BP96" s="5">
        <f>React!BP164</f>
        <v/>
      </c>
      <c r="BQ96" s="5">
        <f>React!BQ164</f>
        <v/>
      </c>
      <c r="BR96" s="5">
        <f>React!BR164</f>
        <v/>
      </c>
      <c r="BS96" s="5">
        <f>React!BS164</f>
        <v/>
      </c>
      <c r="BT96" s="5">
        <f>React!BT164</f>
        <v/>
      </c>
      <c r="BU96" s="5">
        <f>React!BU164</f>
        <v/>
      </c>
      <c r="BV96" s="5">
        <f>React!BV164</f>
        <v/>
      </c>
    </row>
    <row r="97">
      <c r="A97" t="inlineStr">
        <is>
          <t>churned</t>
        </is>
      </c>
      <c r="B97" t="inlineStr">
        <is>
          <t>APAC|NITRO_M</t>
        </is>
      </c>
      <c r="C97" s="5">
        <f>Legacy!C55+Paid!C53+React!C170+Params!$B$7*Adds!C189</f>
        <v/>
      </c>
      <c r="D97" s="5">
        <f>Legacy!D55+Paid!D53+React!D170+Params!$B$7*Adds!D189</f>
        <v/>
      </c>
      <c r="E97" s="5">
        <f>Legacy!E55+Paid!E53+React!E170+Params!$B$7*Adds!E189</f>
        <v/>
      </c>
      <c r="F97" s="5">
        <f>Legacy!F55+Paid!F53+React!F170+Params!$B$7*Adds!F189</f>
        <v/>
      </c>
      <c r="G97" s="5">
        <f>Legacy!G55+Paid!G53+React!G170+Params!$B$7*Adds!G189</f>
        <v/>
      </c>
      <c r="H97" s="5">
        <f>Legacy!H55+Paid!H53+React!H170+Params!$B$7*Adds!H189</f>
        <v/>
      </c>
      <c r="I97" s="5">
        <f>Legacy!I55+Paid!I53+React!I170+Params!$B$7*Adds!I189</f>
        <v/>
      </c>
      <c r="J97" s="5">
        <f>Legacy!J55+Paid!J53+React!J170+Params!$B$7*Adds!J189</f>
        <v/>
      </c>
      <c r="K97" s="5">
        <f>Legacy!K55+Paid!K53+React!K170+Params!$B$7*Adds!K189</f>
        <v/>
      </c>
      <c r="L97" s="5">
        <f>Legacy!L55+Paid!L53+React!L170+Params!$B$7*Adds!L189</f>
        <v/>
      </c>
      <c r="M97" s="5">
        <f>Legacy!M55+Paid!M53+React!M170+Params!$B$7*Adds!M189</f>
        <v/>
      </c>
      <c r="N97" s="5">
        <f>Legacy!N55+Paid!N53+React!N170+Params!$B$7*Adds!N189</f>
        <v/>
      </c>
      <c r="O97" s="5">
        <f>Legacy!O55+Paid!O53+React!O170+Params!$B$7*Adds!O189</f>
        <v/>
      </c>
      <c r="P97" s="5">
        <f>Legacy!P55+Paid!P53+React!P170+Params!$B$7*Adds!P189</f>
        <v/>
      </c>
      <c r="Q97" s="5">
        <f>Legacy!Q55+Paid!Q53+React!Q170+Params!$B$7*Adds!Q189</f>
        <v/>
      </c>
      <c r="R97" s="5">
        <f>Legacy!R55+Paid!R53+React!R170+Params!$B$7*Adds!R189</f>
        <v/>
      </c>
      <c r="S97" s="5">
        <f>Legacy!S55+Paid!S53+React!S170+Params!$B$7*Adds!S189</f>
        <v/>
      </c>
      <c r="T97" s="5">
        <f>Legacy!T55+Paid!T53+React!T170+Params!$B$7*Adds!T189</f>
        <v/>
      </c>
      <c r="U97" s="5">
        <f>Legacy!U55+Paid!U53+React!U170+Params!$B$7*Adds!U189</f>
        <v/>
      </c>
      <c r="V97" s="5">
        <f>Legacy!V55+Paid!V53+React!V170+Params!$B$7*Adds!V189</f>
        <v/>
      </c>
      <c r="W97" s="5">
        <f>Legacy!W55+Paid!W53+React!W170+Params!$B$7*Adds!W189</f>
        <v/>
      </c>
      <c r="X97" s="5">
        <f>Legacy!X55+Paid!X53+React!X170+Params!$B$7*Adds!X189</f>
        <v/>
      </c>
      <c r="Y97" s="5">
        <f>Legacy!Y55+Paid!Y53+React!Y170+Params!$B$7*Adds!Y189</f>
        <v/>
      </c>
      <c r="Z97" s="5">
        <f>Legacy!Z55+Paid!Z53+React!Z170+Params!$B$7*Adds!Z189</f>
        <v/>
      </c>
      <c r="AA97" s="5">
        <f>Legacy!AA55+Paid!AA53+React!AA170+Params!$B$7*Adds!AA189</f>
        <v/>
      </c>
      <c r="AB97" s="5">
        <f>Legacy!AB55+Paid!AB53+React!AB170+Params!$B$7*Adds!AB189</f>
        <v/>
      </c>
      <c r="AC97" s="5">
        <f>Legacy!AC55+Paid!AC53+React!AC170+Params!$B$7*Adds!AC189</f>
        <v/>
      </c>
      <c r="AD97" s="5">
        <f>Legacy!AD55+Paid!AD53+React!AD170+Params!$B$7*Adds!AD189</f>
        <v/>
      </c>
      <c r="AE97" s="5">
        <f>Legacy!AE55+Paid!AE53+React!AE170+Params!$B$7*Adds!AE189</f>
        <v/>
      </c>
      <c r="AF97" s="5">
        <f>Legacy!AF55+Paid!AF53+React!AF170+Params!$B$7*Adds!AF189</f>
        <v/>
      </c>
      <c r="AG97" s="5">
        <f>Legacy!AG55+Paid!AG53+React!AG170+Params!$B$7*Adds!AG189</f>
        <v/>
      </c>
      <c r="AH97" s="5">
        <f>Legacy!AH55+Paid!AH53+React!AH170+Params!$B$7*Adds!AH189</f>
        <v/>
      </c>
      <c r="AI97" s="5">
        <f>Legacy!AI55+Paid!AI53+React!AI170+Params!$B$7*Adds!AI189</f>
        <v/>
      </c>
      <c r="AJ97" s="5">
        <f>Legacy!AJ55+Paid!AJ53+React!AJ170+Params!$B$7*Adds!AJ189</f>
        <v/>
      </c>
      <c r="AK97" s="5">
        <f>Legacy!AK55+Paid!AK53+React!AK170+Params!$B$7*Adds!AK189</f>
        <v/>
      </c>
      <c r="AL97" s="5">
        <f>Legacy!AL55+Paid!AL53+React!AL170+Params!$B$7*Adds!AL189</f>
        <v/>
      </c>
      <c r="AM97" s="5">
        <f>Legacy!AM55+Paid!AM53+React!AM170+Params!$B$7*Adds!AM189</f>
        <v/>
      </c>
      <c r="AN97" s="5">
        <f>Legacy!AN55+Paid!AN53+React!AN170+Params!$B$7*Adds!AN189</f>
        <v/>
      </c>
      <c r="AO97" s="5">
        <f>Legacy!AO55+Paid!AO53+React!AO170+Params!$B$7*Adds!AO189</f>
        <v/>
      </c>
      <c r="AP97" s="5">
        <f>Legacy!AP55+Paid!AP53+React!AP170+Params!$B$7*Adds!AP189</f>
        <v/>
      </c>
      <c r="AQ97" s="5">
        <f>Legacy!AQ55+Paid!AQ53+React!AQ170+Params!$B$7*Adds!AQ189</f>
        <v/>
      </c>
      <c r="AR97" s="5">
        <f>Legacy!AR55+Paid!AR53+React!AR170+Params!$B$7*Adds!AR189</f>
        <v/>
      </c>
      <c r="AS97" s="5">
        <f>Legacy!AS55+Paid!AS53+React!AS170+Params!$B$7*Adds!AS189</f>
        <v/>
      </c>
      <c r="AT97" s="5">
        <f>Legacy!AT55+Paid!AT53+React!AT170+Params!$B$7*Adds!AT189</f>
        <v/>
      </c>
      <c r="AU97" s="5">
        <f>Legacy!AU55+Paid!AU53+React!AU170+Params!$B$7*Adds!AU189</f>
        <v/>
      </c>
      <c r="AV97" s="5">
        <f>Legacy!AV55+Paid!AV53+React!AV170+Params!$B$7*Adds!AV189</f>
        <v/>
      </c>
      <c r="AW97" s="5">
        <f>Legacy!AW55+Paid!AW53+React!AW170+Params!$B$7*Adds!AW189</f>
        <v/>
      </c>
      <c r="AX97" s="5">
        <f>Legacy!AX55+Paid!AX53+React!AX170+Params!$B$7*Adds!AX189</f>
        <v/>
      </c>
      <c r="AY97" s="5">
        <f>Legacy!AY55+Paid!AY53+React!AY170+Params!$B$7*Adds!AY189</f>
        <v/>
      </c>
      <c r="AZ97" s="5">
        <f>Legacy!AZ55+Paid!AZ53+React!AZ170+Params!$B$7*Adds!AZ189</f>
        <v/>
      </c>
      <c r="BA97" s="5">
        <f>Legacy!BA55+Paid!BA53+React!BA170+Params!$B$7*Adds!BA189</f>
        <v/>
      </c>
      <c r="BB97" s="5">
        <f>Legacy!BB55+Paid!BB53+React!BB170+Params!$B$7*Adds!BB189</f>
        <v/>
      </c>
      <c r="BC97" s="5">
        <f>Legacy!BC55+Paid!BC53+React!BC170+Params!$B$7*Adds!BC189</f>
        <v/>
      </c>
      <c r="BD97" s="5">
        <f>Legacy!BD55+Paid!BD53+React!BD170+Params!$B$7*Adds!BD189</f>
        <v/>
      </c>
      <c r="BE97" s="5">
        <f>Legacy!BE55+Paid!BE53+React!BE170+Params!$B$7*Adds!BE189</f>
        <v/>
      </c>
      <c r="BF97" s="5">
        <f>Legacy!BF55+Paid!BF53+React!BF170+Params!$B$7*Adds!BF189</f>
        <v/>
      </c>
      <c r="BG97" s="5">
        <f>Legacy!BG55+Paid!BG53+React!BG170+Params!$B$7*Adds!BG189</f>
        <v/>
      </c>
      <c r="BH97" s="5">
        <f>Legacy!BH55+Paid!BH53+React!BH170+Params!$B$7*Adds!BH189</f>
        <v/>
      </c>
      <c r="BI97" s="5">
        <f>Legacy!BI55+Paid!BI53+React!BI170+Params!$B$7*Adds!BI189</f>
        <v/>
      </c>
      <c r="BJ97" s="5">
        <f>Legacy!BJ55+Paid!BJ53+React!BJ170+Params!$B$7*Adds!BJ189</f>
        <v/>
      </c>
      <c r="BK97" s="5">
        <f>Legacy!BK55+Paid!BK53+React!BK170+Params!$B$7*Adds!BK189</f>
        <v/>
      </c>
      <c r="BL97" s="5">
        <f>Legacy!BL55+Paid!BL53+React!BL170+Params!$B$7*Adds!BL189</f>
        <v/>
      </c>
      <c r="BM97" s="5">
        <f>Legacy!BM55+Paid!BM53+React!BM170+Params!$B$7*Adds!BM189</f>
        <v/>
      </c>
      <c r="BN97" s="5">
        <f>Legacy!BN55+Paid!BN53+React!BN170+Params!$B$7*Adds!BN189</f>
        <v/>
      </c>
      <c r="BO97" s="5">
        <f>Legacy!BO55+Paid!BO53+React!BO170+Params!$B$7*Adds!BO189</f>
        <v/>
      </c>
      <c r="BP97" s="5">
        <f>Legacy!BP55+Paid!BP53+React!BP170+Params!$B$7*Adds!BP189</f>
        <v/>
      </c>
      <c r="BQ97" s="5">
        <f>Legacy!BQ55+Paid!BQ53+React!BQ170+Params!$B$7*Adds!BQ189</f>
        <v/>
      </c>
      <c r="BR97" s="5">
        <f>Legacy!BR55+Paid!BR53+React!BR170+Params!$B$7*Adds!BR189</f>
        <v/>
      </c>
      <c r="BS97" s="5">
        <f>Legacy!BS55+Paid!BS53+React!BS170+Params!$B$7*Adds!BS189</f>
        <v/>
      </c>
      <c r="BT97" s="5">
        <f>Legacy!BT55+Paid!BT53+React!BT170+Params!$B$7*Adds!BT189</f>
        <v/>
      </c>
      <c r="BU97" s="5">
        <f>Legacy!BU55+Paid!BU53+React!BU170+Params!$B$7*Adds!BU189</f>
        <v/>
      </c>
      <c r="BV97" s="5">
        <f>Legacy!BV55+Paid!BV53+React!BV170+Params!$B$7*Adds!BV189</f>
        <v/>
      </c>
    </row>
    <row r="98">
      <c r="A98" t="inlineStr">
        <is>
          <t>closing</t>
        </is>
      </c>
      <c r="B98" t="inlineStr">
        <is>
          <t>APAC|NITRO_M</t>
        </is>
      </c>
      <c r="C98" s="5">
        <f>C99+Params!$B$7*Adds!C192</f>
        <v/>
      </c>
      <c r="D98" s="5">
        <f>D99+Params!$B$7*Adds!D192</f>
        <v/>
      </c>
      <c r="E98" s="5">
        <f>E99+Params!$B$7*Adds!E192</f>
        <v/>
      </c>
      <c r="F98" s="5">
        <f>F99+Params!$B$7*Adds!F192</f>
        <v/>
      </c>
      <c r="G98" s="5">
        <f>G99+Params!$B$7*Adds!G192</f>
        <v/>
      </c>
      <c r="H98" s="5">
        <f>H99+Params!$B$7*Adds!H192</f>
        <v/>
      </c>
      <c r="I98" s="5">
        <f>I99+Params!$B$7*Adds!I192</f>
        <v/>
      </c>
      <c r="J98" s="5">
        <f>J99+Params!$B$7*Adds!J192</f>
        <v/>
      </c>
      <c r="K98" s="5">
        <f>K99+Params!$B$7*Adds!K192</f>
        <v/>
      </c>
      <c r="L98" s="5">
        <f>L99+Params!$B$7*Adds!L192</f>
        <v/>
      </c>
      <c r="M98" s="5">
        <f>M99+Params!$B$7*Adds!M192</f>
        <v/>
      </c>
      <c r="N98" s="5">
        <f>N99+Params!$B$7*Adds!N192</f>
        <v/>
      </c>
      <c r="O98" s="5">
        <f>O99+Params!$B$7*Adds!O192</f>
        <v/>
      </c>
      <c r="P98" s="5">
        <f>P99+Params!$B$7*Adds!P192</f>
        <v/>
      </c>
      <c r="Q98" s="5">
        <f>Q99+Params!$B$7*Adds!Q192</f>
        <v/>
      </c>
      <c r="R98" s="5">
        <f>R99+Params!$B$7*Adds!R192</f>
        <v/>
      </c>
      <c r="S98" s="5">
        <f>S99+Params!$B$7*Adds!S192</f>
        <v/>
      </c>
      <c r="T98" s="5">
        <f>T99+Params!$B$7*Adds!T192</f>
        <v/>
      </c>
      <c r="U98" s="5">
        <f>U99+Params!$B$7*Adds!U192</f>
        <v/>
      </c>
      <c r="V98" s="5">
        <f>V99+Params!$B$7*Adds!V192</f>
        <v/>
      </c>
      <c r="W98" s="5">
        <f>W99+Params!$B$7*Adds!W192</f>
        <v/>
      </c>
      <c r="X98" s="5">
        <f>X99+Params!$B$7*Adds!X192</f>
        <v/>
      </c>
      <c r="Y98" s="5">
        <f>Y99+Params!$B$7*Adds!Y192</f>
        <v/>
      </c>
      <c r="Z98" s="5">
        <f>Z99+Params!$B$7*Adds!Z192</f>
        <v/>
      </c>
      <c r="AA98" s="5">
        <f>AA99+Params!$B$7*Adds!AA192</f>
        <v/>
      </c>
      <c r="AB98" s="5">
        <f>AB99+Params!$B$7*Adds!AB192</f>
        <v/>
      </c>
      <c r="AC98" s="5">
        <f>AC99+Params!$B$7*Adds!AC192</f>
        <v/>
      </c>
      <c r="AD98" s="5">
        <f>AD99+Params!$B$7*Adds!AD192</f>
        <v/>
      </c>
      <c r="AE98" s="5">
        <f>AE99+Params!$B$7*Adds!AE192</f>
        <v/>
      </c>
      <c r="AF98" s="5">
        <f>AF99+Params!$B$7*Adds!AF192</f>
        <v/>
      </c>
      <c r="AG98" s="5">
        <f>AG99+Params!$B$7*Adds!AG192</f>
        <v/>
      </c>
      <c r="AH98" s="5">
        <f>AH99+Params!$B$7*Adds!AH192</f>
        <v/>
      </c>
      <c r="AI98" s="5">
        <f>AI99+Params!$B$7*Adds!AI192</f>
        <v/>
      </c>
      <c r="AJ98" s="5">
        <f>AJ99+Params!$B$7*Adds!AJ192</f>
        <v/>
      </c>
      <c r="AK98" s="5">
        <f>AK99+Params!$B$7*Adds!AK192</f>
        <v/>
      </c>
      <c r="AL98" s="5">
        <f>AL99+Params!$B$7*Adds!AL192</f>
        <v/>
      </c>
      <c r="AM98" s="5">
        <f>AM99+Params!$B$7*Adds!AM192</f>
        <v/>
      </c>
      <c r="AN98" s="5">
        <f>AN99+Params!$B$7*Adds!AN192</f>
        <v/>
      </c>
      <c r="AO98" s="5">
        <f>AO99+Params!$B$7*Adds!AO192</f>
        <v/>
      </c>
      <c r="AP98" s="5">
        <f>AP99+Params!$B$7*Adds!AP192</f>
        <v/>
      </c>
      <c r="AQ98" s="5">
        <f>AQ99+Params!$B$7*Adds!AQ192</f>
        <v/>
      </c>
      <c r="AR98" s="5">
        <f>AR99+Params!$B$7*Adds!AR192</f>
        <v/>
      </c>
      <c r="AS98" s="5">
        <f>AS99+Params!$B$7*Adds!AS192</f>
        <v/>
      </c>
      <c r="AT98" s="5">
        <f>AT99+Params!$B$7*Adds!AT192</f>
        <v/>
      </c>
      <c r="AU98" s="5">
        <f>AU99+Params!$B$7*Adds!AU192</f>
        <v/>
      </c>
      <c r="AV98" s="5">
        <f>AV99+Params!$B$7*Adds!AV192</f>
        <v/>
      </c>
      <c r="AW98" s="5">
        <f>AW99+Params!$B$7*Adds!AW192</f>
        <v/>
      </c>
      <c r="AX98" s="5">
        <f>AX99+Params!$B$7*Adds!AX192</f>
        <v/>
      </c>
      <c r="AY98" s="5">
        <f>AY99+Params!$B$7*Adds!AY192</f>
        <v/>
      </c>
      <c r="AZ98" s="5">
        <f>AZ99+Params!$B$7*Adds!AZ192</f>
        <v/>
      </c>
      <c r="BA98" s="5">
        <f>BA99+Params!$B$7*Adds!BA192</f>
        <v/>
      </c>
      <c r="BB98" s="5">
        <f>BB99+Params!$B$7*Adds!BB192</f>
        <v/>
      </c>
      <c r="BC98" s="5">
        <f>BC99+Params!$B$7*Adds!BC192</f>
        <v/>
      </c>
      <c r="BD98" s="5">
        <f>BD99+Params!$B$7*Adds!BD192</f>
        <v/>
      </c>
      <c r="BE98" s="5">
        <f>BE99+Params!$B$7*Adds!BE192</f>
        <v/>
      </c>
      <c r="BF98" s="5">
        <f>BF99+Params!$B$7*Adds!BF192</f>
        <v/>
      </c>
      <c r="BG98" s="5">
        <f>BG99+Params!$B$7*Adds!BG192</f>
        <v/>
      </c>
      <c r="BH98" s="5">
        <f>BH99+Params!$B$7*Adds!BH192</f>
        <v/>
      </c>
      <c r="BI98" s="5">
        <f>BI99+Params!$B$7*Adds!BI192</f>
        <v/>
      </c>
      <c r="BJ98" s="5">
        <f>BJ99+Params!$B$7*Adds!BJ192</f>
        <v/>
      </c>
      <c r="BK98" s="5">
        <f>BK99+Params!$B$7*Adds!BK192</f>
        <v/>
      </c>
      <c r="BL98" s="5">
        <f>BL99+Params!$B$7*Adds!BL192</f>
        <v/>
      </c>
      <c r="BM98" s="5">
        <f>BM99+Params!$B$7*Adds!BM192</f>
        <v/>
      </c>
      <c r="BN98" s="5">
        <f>BN99+Params!$B$7*Adds!BN192</f>
        <v/>
      </c>
      <c r="BO98" s="5">
        <f>BO99+Params!$B$7*Adds!BO192</f>
        <v/>
      </c>
      <c r="BP98" s="5">
        <f>BP99+Params!$B$7*Adds!BP192</f>
        <v/>
      </c>
      <c r="BQ98" s="5">
        <f>BQ99+Params!$B$7*Adds!BQ192</f>
        <v/>
      </c>
      <c r="BR98" s="5">
        <f>BR99+Params!$B$7*Adds!BR192</f>
        <v/>
      </c>
      <c r="BS98" s="5">
        <f>BS99+Params!$B$7*Adds!BS192</f>
        <v/>
      </c>
      <c r="BT98" s="5">
        <f>BT99+Params!$B$7*Adds!BT192</f>
        <v/>
      </c>
      <c r="BU98" s="5">
        <f>BU99+Params!$B$7*Adds!BU192</f>
        <v/>
      </c>
      <c r="BV98" s="5">
        <f>BV99+Params!$B$7*Adds!BV192</f>
        <v/>
      </c>
    </row>
    <row r="99">
      <c r="A99" t="inlineStr">
        <is>
          <t>paying</t>
        </is>
      </c>
      <c r="B99" t="inlineStr">
        <is>
          <t>APAC|NITRO_M</t>
        </is>
      </c>
      <c r="C99" s="5">
        <f>Legacy!C54+Paid!C51+React!C168</f>
        <v/>
      </c>
      <c r="D99" s="5">
        <f>Legacy!D54+Paid!D51+React!D168</f>
        <v/>
      </c>
      <c r="E99" s="5">
        <f>Legacy!E54+Paid!E51+React!E168</f>
        <v/>
      </c>
      <c r="F99" s="5">
        <f>Legacy!F54+Paid!F51+React!F168</f>
        <v/>
      </c>
      <c r="G99" s="5">
        <f>Legacy!G54+Paid!G51+React!G168</f>
        <v/>
      </c>
      <c r="H99" s="5">
        <f>Legacy!H54+Paid!H51+React!H168</f>
        <v/>
      </c>
      <c r="I99" s="5">
        <f>Legacy!I54+Paid!I51+React!I168</f>
        <v/>
      </c>
      <c r="J99" s="5">
        <f>Legacy!J54+Paid!J51+React!J168</f>
        <v/>
      </c>
      <c r="K99" s="5">
        <f>Legacy!K54+Paid!K51+React!K168</f>
        <v/>
      </c>
      <c r="L99" s="5">
        <f>Legacy!L54+Paid!L51+React!L168</f>
        <v/>
      </c>
      <c r="M99" s="5">
        <f>Legacy!M54+Paid!M51+React!M168</f>
        <v/>
      </c>
      <c r="N99" s="5">
        <f>Legacy!N54+Paid!N51+React!N168</f>
        <v/>
      </c>
      <c r="O99" s="5">
        <f>Legacy!O54+Paid!O51+React!O168</f>
        <v/>
      </c>
      <c r="P99" s="5">
        <f>Legacy!P54+Paid!P51+React!P168</f>
        <v/>
      </c>
      <c r="Q99" s="5">
        <f>Legacy!Q54+Paid!Q51+React!Q168</f>
        <v/>
      </c>
      <c r="R99" s="5">
        <f>Legacy!R54+Paid!R51+React!R168</f>
        <v/>
      </c>
      <c r="S99" s="5">
        <f>Legacy!S54+Paid!S51+React!S168</f>
        <v/>
      </c>
      <c r="T99" s="5">
        <f>Legacy!T54+Paid!T51+React!T168</f>
        <v/>
      </c>
      <c r="U99" s="5">
        <f>Legacy!U54+Paid!U51+React!U168</f>
        <v/>
      </c>
      <c r="V99" s="5">
        <f>Legacy!V54+Paid!V51+React!V168</f>
        <v/>
      </c>
      <c r="W99" s="5">
        <f>Legacy!W54+Paid!W51+React!W168</f>
        <v/>
      </c>
      <c r="X99" s="5">
        <f>Legacy!X54+Paid!X51+React!X168</f>
        <v/>
      </c>
      <c r="Y99" s="5">
        <f>Legacy!Y54+Paid!Y51+React!Y168</f>
        <v/>
      </c>
      <c r="Z99" s="5">
        <f>Legacy!Z54+Paid!Z51+React!Z168</f>
        <v/>
      </c>
      <c r="AA99" s="5">
        <f>Legacy!AA54+Paid!AA51+React!AA168</f>
        <v/>
      </c>
      <c r="AB99" s="5">
        <f>Legacy!AB54+Paid!AB51+React!AB168</f>
        <v/>
      </c>
      <c r="AC99" s="5">
        <f>Legacy!AC54+Paid!AC51+React!AC168</f>
        <v/>
      </c>
      <c r="AD99" s="5">
        <f>Legacy!AD54+Paid!AD51+React!AD168</f>
        <v/>
      </c>
      <c r="AE99" s="5">
        <f>Legacy!AE54+Paid!AE51+React!AE168</f>
        <v/>
      </c>
      <c r="AF99" s="5">
        <f>Legacy!AF54+Paid!AF51+React!AF168</f>
        <v/>
      </c>
      <c r="AG99" s="5">
        <f>Legacy!AG54+Paid!AG51+React!AG168</f>
        <v/>
      </c>
      <c r="AH99" s="5">
        <f>Legacy!AH54+Paid!AH51+React!AH168</f>
        <v/>
      </c>
      <c r="AI99" s="5">
        <f>Legacy!AI54+Paid!AI51+React!AI168</f>
        <v/>
      </c>
      <c r="AJ99" s="5">
        <f>Legacy!AJ54+Paid!AJ51+React!AJ168</f>
        <v/>
      </c>
      <c r="AK99" s="5">
        <f>Legacy!AK54+Paid!AK51+React!AK168</f>
        <v/>
      </c>
      <c r="AL99" s="5">
        <f>Legacy!AL54+Paid!AL51+React!AL168</f>
        <v/>
      </c>
      <c r="AM99" s="5">
        <f>Legacy!AM54+Paid!AM51+React!AM168</f>
        <v/>
      </c>
      <c r="AN99" s="5">
        <f>Legacy!AN54+Paid!AN51+React!AN168</f>
        <v/>
      </c>
      <c r="AO99" s="5">
        <f>Legacy!AO54+Paid!AO51+React!AO168</f>
        <v/>
      </c>
      <c r="AP99" s="5">
        <f>Legacy!AP54+Paid!AP51+React!AP168</f>
        <v/>
      </c>
      <c r="AQ99" s="5">
        <f>Legacy!AQ54+Paid!AQ51+React!AQ168</f>
        <v/>
      </c>
      <c r="AR99" s="5">
        <f>Legacy!AR54+Paid!AR51+React!AR168</f>
        <v/>
      </c>
      <c r="AS99" s="5">
        <f>Legacy!AS54+Paid!AS51+React!AS168</f>
        <v/>
      </c>
      <c r="AT99" s="5">
        <f>Legacy!AT54+Paid!AT51+React!AT168</f>
        <v/>
      </c>
      <c r="AU99" s="5">
        <f>Legacy!AU54+Paid!AU51+React!AU168</f>
        <v/>
      </c>
      <c r="AV99" s="5">
        <f>Legacy!AV54+Paid!AV51+React!AV168</f>
        <v/>
      </c>
      <c r="AW99" s="5">
        <f>Legacy!AW54+Paid!AW51+React!AW168</f>
        <v/>
      </c>
      <c r="AX99" s="5">
        <f>Legacy!AX54+Paid!AX51+React!AX168</f>
        <v/>
      </c>
      <c r="AY99" s="5">
        <f>Legacy!AY54+Paid!AY51+React!AY168</f>
        <v/>
      </c>
      <c r="AZ99" s="5">
        <f>Legacy!AZ54+Paid!AZ51+React!AZ168</f>
        <v/>
      </c>
      <c r="BA99" s="5">
        <f>Legacy!BA54+Paid!BA51+React!BA168</f>
        <v/>
      </c>
      <c r="BB99" s="5">
        <f>Legacy!BB54+Paid!BB51+React!BB168</f>
        <v/>
      </c>
      <c r="BC99" s="5">
        <f>Legacy!BC54+Paid!BC51+React!BC168</f>
        <v/>
      </c>
      <c r="BD99" s="5">
        <f>Legacy!BD54+Paid!BD51+React!BD168</f>
        <v/>
      </c>
      <c r="BE99" s="5">
        <f>Legacy!BE54+Paid!BE51+React!BE168</f>
        <v/>
      </c>
      <c r="BF99" s="5">
        <f>Legacy!BF54+Paid!BF51+React!BF168</f>
        <v/>
      </c>
      <c r="BG99" s="5">
        <f>Legacy!BG54+Paid!BG51+React!BG168</f>
        <v/>
      </c>
      <c r="BH99" s="5">
        <f>Legacy!BH54+Paid!BH51+React!BH168</f>
        <v/>
      </c>
      <c r="BI99" s="5">
        <f>Legacy!BI54+Paid!BI51+React!BI168</f>
        <v/>
      </c>
      <c r="BJ99" s="5">
        <f>Legacy!BJ54+Paid!BJ51+React!BJ168</f>
        <v/>
      </c>
      <c r="BK99" s="5">
        <f>Legacy!BK54+Paid!BK51+React!BK168</f>
        <v/>
      </c>
      <c r="BL99" s="5">
        <f>Legacy!BL54+Paid!BL51+React!BL168</f>
        <v/>
      </c>
      <c r="BM99" s="5">
        <f>Legacy!BM54+Paid!BM51+React!BM168</f>
        <v/>
      </c>
      <c r="BN99" s="5">
        <f>Legacy!BN54+Paid!BN51+React!BN168</f>
        <v/>
      </c>
      <c r="BO99" s="5">
        <f>Legacy!BO54+Paid!BO51+React!BO168</f>
        <v/>
      </c>
      <c r="BP99" s="5">
        <f>Legacy!BP54+Paid!BP51+React!BP168</f>
        <v/>
      </c>
      <c r="BQ99" s="5">
        <f>Legacy!BQ54+Paid!BQ51+React!BQ168</f>
        <v/>
      </c>
      <c r="BR99" s="5">
        <f>Legacy!BR54+Paid!BR51+React!BR168</f>
        <v/>
      </c>
      <c r="BS99" s="5">
        <f>Legacy!BS54+Paid!BS51+React!BS168</f>
        <v/>
      </c>
      <c r="BT99" s="5">
        <f>Legacy!BT54+Paid!BT51+React!BT168</f>
        <v/>
      </c>
      <c r="BU99" s="5">
        <f>Legacy!BU54+Paid!BU51+React!BU168</f>
        <v/>
      </c>
      <c r="BV99" s="5">
        <f>Legacy!BV54+Paid!BV51+React!BV168</f>
        <v/>
      </c>
    </row>
    <row r="101">
      <c r="A101" t="inlineStr">
        <is>
          <t>opening</t>
        </is>
      </c>
      <c r="B101" t="inlineStr">
        <is>
          <t>APAC|NITRO_A</t>
        </is>
      </c>
      <c r="C101" s="5">
        <f>Legacy!$C$57</f>
        <v/>
      </c>
      <c r="D101" s="5">
        <f>C105</f>
        <v/>
      </c>
      <c r="E101" s="5">
        <f>D105</f>
        <v/>
      </c>
      <c r="F101" s="5">
        <f>E105</f>
        <v/>
      </c>
      <c r="G101" s="5">
        <f>F105</f>
        <v/>
      </c>
      <c r="H101" s="5">
        <f>G105</f>
        <v/>
      </c>
      <c r="I101" s="5">
        <f>H105</f>
        <v/>
      </c>
      <c r="J101" s="5">
        <f>I105</f>
        <v/>
      </c>
      <c r="K101" s="5">
        <f>J105</f>
        <v/>
      </c>
      <c r="L101" s="5">
        <f>K105</f>
        <v/>
      </c>
      <c r="M101" s="5">
        <f>L105</f>
        <v/>
      </c>
      <c r="N101" s="5">
        <f>M105</f>
        <v/>
      </c>
      <c r="O101" s="5">
        <f>N105</f>
        <v/>
      </c>
      <c r="P101" s="5">
        <f>O105</f>
        <v/>
      </c>
      <c r="Q101" s="5">
        <f>P105</f>
        <v/>
      </c>
      <c r="R101" s="5">
        <f>Q105</f>
        <v/>
      </c>
      <c r="S101" s="5">
        <f>R105</f>
        <v/>
      </c>
      <c r="T101" s="5">
        <f>S105</f>
        <v/>
      </c>
      <c r="U101" s="5">
        <f>T105</f>
        <v/>
      </c>
      <c r="V101" s="5">
        <f>U105</f>
        <v/>
      </c>
      <c r="W101" s="5">
        <f>V105</f>
        <v/>
      </c>
      <c r="X101" s="5">
        <f>W105</f>
        <v/>
      </c>
      <c r="Y101" s="5">
        <f>X105</f>
        <v/>
      </c>
      <c r="Z101" s="5">
        <f>Y105</f>
        <v/>
      </c>
      <c r="AA101" s="5">
        <f>Z105</f>
        <v/>
      </c>
      <c r="AB101" s="5">
        <f>AA105</f>
        <v/>
      </c>
      <c r="AC101" s="5">
        <f>AB105</f>
        <v/>
      </c>
      <c r="AD101" s="5">
        <f>AC105</f>
        <v/>
      </c>
      <c r="AE101" s="5">
        <f>AD105</f>
        <v/>
      </c>
      <c r="AF101" s="5">
        <f>AE105</f>
        <v/>
      </c>
      <c r="AG101" s="5">
        <f>AF105</f>
        <v/>
      </c>
      <c r="AH101" s="5">
        <f>AG105</f>
        <v/>
      </c>
      <c r="AI101" s="5">
        <f>AH105</f>
        <v/>
      </c>
      <c r="AJ101" s="5">
        <f>AI105</f>
        <v/>
      </c>
      <c r="AK101" s="5">
        <f>AJ105</f>
        <v/>
      </c>
      <c r="AL101" s="5">
        <f>AK105</f>
        <v/>
      </c>
      <c r="AM101" s="5">
        <f>AL105</f>
        <v/>
      </c>
      <c r="AN101" s="5">
        <f>AM105</f>
        <v/>
      </c>
      <c r="AO101" s="5">
        <f>AN105</f>
        <v/>
      </c>
      <c r="AP101" s="5">
        <f>AO105</f>
        <v/>
      </c>
      <c r="AQ101" s="5">
        <f>AP105</f>
        <v/>
      </c>
      <c r="AR101" s="5">
        <f>AQ105</f>
        <v/>
      </c>
      <c r="AS101" s="5">
        <f>AR105</f>
        <v/>
      </c>
      <c r="AT101" s="5">
        <f>AS105</f>
        <v/>
      </c>
      <c r="AU101" s="5">
        <f>AT105</f>
        <v/>
      </c>
      <c r="AV101" s="5">
        <f>AU105</f>
        <v/>
      </c>
      <c r="AW101" s="5">
        <f>AV105</f>
        <v/>
      </c>
      <c r="AX101" s="5">
        <f>AW105</f>
        <v/>
      </c>
      <c r="AY101" s="5">
        <f>AX105</f>
        <v/>
      </c>
      <c r="AZ101" s="5">
        <f>AY105</f>
        <v/>
      </c>
      <c r="BA101" s="5">
        <f>AZ105</f>
        <v/>
      </c>
      <c r="BB101" s="5">
        <f>BA105</f>
        <v/>
      </c>
      <c r="BC101" s="5">
        <f>BB105</f>
        <v/>
      </c>
      <c r="BD101" s="5">
        <f>BC105</f>
        <v/>
      </c>
      <c r="BE101" s="5">
        <f>BD105</f>
        <v/>
      </c>
      <c r="BF101" s="5">
        <f>BE105</f>
        <v/>
      </c>
      <c r="BG101" s="5">
        <f>BF105</f>
        <v/>
      </c>
      <c r="BH101" s="5">
        <f>BG105</f>
        <v/>
      </c>
      <c r="BI101" s="5">
        <f>BH105</f>
        <v/>
      </c>
      <c r="BJ101" s="5">
        <f>BI105</f>
        <v/>
      </c>
      <c r="BK101" s="5">
        <f>BJ105</f>
        <v/>
      </c>
      <c r="BL101" s="5">
        <f>BK105</f>
        <v/>
      </c>
      <c r="BM101" s="5">
        <f>BL105</f>
        <v/>
      </c>
      <c r="BN101" s="5">
        <f>BM105</f>
        <v/>
      </c>
      <c r="BO101" s="5">
        <f>BN105</f>
        <v/>
      </c>
      <c r="BP101" s="5">
        <f>BO105</f>
        <v/>
      </c>
      <c r="BQ101" s="5">
        <f>BP105</f>
        <v/>
      </c>
      <c r="BR101" s="5">
        <f>BQ105</f>
        <v/>
      </c>
      <c r="BS101" s="5">
        <f>BR105</f>
        <v/>
      </c>
      <c r="BT101" s="5">
        <f>BS105</f>
        <v/>
      </c>
      <c r="BU101" s="5">
        <f>BT105</f>
        <v/>
      </c>
      <c r="BV101" s="5">
        <f>BU105</f>
        <v/>
      </c>
    </row>
    <row r="102">
      <c r="A102" t="inlineStr">
        <is>
          <t>new</t>
        </is>
      </c>
      <c r="B102" t="inlineStr">
        <is>
          <t>APAC|NITRO_A</t>
        </is>
      </c>
      <c r="C102" s="5">
        <f>Adds!C200+IF(Params!$B$7=1,Adds!C199,Adds!C203)</f>
        <v/>
      </c>
      <c r="D102" s="5">
        <f>Adds!D200+IF(Params!$B$7=1,Adds!D199,Adds!D203)</f>
        <v/>
      </c>
      <c r="E102" s="5">
        <f>Adds!E200+IF(Params!$B$7=1,Adds!E199,Adds!E203)</f>
        <v/>
      </c>
      <c r="F102" s="5">
        <f>Adds!F200+IF(Params!$B$7=1,Adds!F199,Adds!F203)</f>
        <v/>
      </c>
      <c r="G102" s="5">
        <f>Adds!G200+IF(Params!$B$7=1,Adds!G199,Adds!G203)</f>
        <v/>
      </c>
      <c r="H102" s="5">
        <f>Adds!H200+IF(Params!$B$7=1,Adds!H199,Adds!H203)</f>
        <v/>
      </c>
      <c r="I102" s="5">
        <f>Adds!I200+IF(Params!$B$7=1,Adds!I199,Adds!I203)</f>
        <v/>
      </c>
      <c r="J102" s="5">
        <f>Adds!J200+IF(Params!$B$7=1,Adds!J199,Adds!J203)</f>
        <v/>
      </c>
      <c r="K102" s="5">
        <f>Adds!K200+IF(Params!$B$7=1,Adds!K199,Adds!K203)</f>
        <v/>
      </c>
      <c r="L102" s="5">
        <f>Adds!L200+IF(Params!$B$7=1,Adds!L199,Adds!L203)</f>
        <v/>
      </c>
      <c r="M102" s="5">
        <f>Adds!M200+IF(Params!$B$7=1,Adds!M199,Adds!M203)</f>
        <v/>
      </c>
      <c r="N102" s="5">
        <f>Adds!N200+IF(Params!$B$7=1,Adds!N199,Adds!N203)</f>
        <v/>
      </c>
      <c r="O102" s="5">
        <f>Adds!O200+IF(Params!$B$7=1,Adds!O199,Adds!O203)</f>
        <v/>
      </c>
      <c r="P102" s="5">
        <f>Adds!P200+IF(Params!$B$7=1,Adds!P199,Adds!P203)</f>
        <v/>
      </c>
      <c r="Q102" s="5">
        <f>Adds!Q200+IF(Params!$B$7=1,Adds!Q199,Adds!Q203)</f>
        <v/>
      </c>
      <c r="R102" s="5">
        <f>Adds!R200+IF(Params!$B$7=1,Adds!R199,Adds!R203)</f>
        <v/>
      </c>
      <c r="S102" s="5">
        <f>Adds!S200+IF(Params!$B$7=1,Adds!S199,Adds!S203)</f>
        <v/>
      </c>
      <c r="T102" s="5">
        <f>Adds!T200+IF(Params!$B$7=1,Adds!T199,Adds!T203)</f>
        <v/>
      </c>
      <c r="U102" s="5">
        <f>Adds!U200+IF(Params!$B$7=1,Adds!U199,Adds!U203)</f>
        <v/>
      </c>
      <c r="V102" s="5">
        <f>Adds!V200+IF(Params!$B$7=1,Adds!V199,Adds!V203)</f>
        <v/>
      </c>
      <c r="W102" s="5">
        <f>Adds!W200+IF(Params!$B$7=1,Adds!W199,Adds!W203)</f>
        <v/>
      </c>
      <c r="X102" s="5">
        <f>Adds!X200+IF(Params!$B$7=1,Adds!X199,Adds!X203)</f>
        <v/>
      </c>
      <c r="Y102" s="5">
        <f>Adds!Y200+IF(Params!$B$7=1,Adds!Y199,Adds!Y203)</f>
        <v/>
      </c>
      <c r="Z102" s="5">
        <f>Adds!Z200+IF(Params!$B$7=1,Adds!Z199,Adds!Z203)</f>
        <v/>
      </c>
      <c r="AA102" s="5">
        <f>Adds!AA200+IF(Params!$B$7=1,Adds!AA199,Adds!AA203)</f>
        <v/>
      </c>
      <c r="AB102" s="5">
        <f>Adds!AB200+IF(Params!$B$7=1,Adds!AB199,Adds!AB203)</f>
        <v/>
      </c>
      <c r="AC102" s="5">
        <f>Adds!AC200+IF(Params!$B$7=1,Adds!AC199,Adds!AC203)</f>
        <v/>
      </c>
      <c r="AD102" s="5">
        <f>Adds!AD200+IF(Params!$B$7=1,Adds!AD199,Adds!AD203)</f>
        <v/>
      </c>
      <c r="AE102" s="5">
        <f>Adds!AE200+IF(Params!$B$7=1,Adds!AE199,Adds!AE203)</f>
        <v/>
      </c>
      <c r="AF102" s="5">
        <f>Adds!AF200+IF(Params!$B$7=1,Adds!AF199,Adds!AF203)</f>
        <v/>
      </c>
      <c r="AG102" s="5">
        <f>Adds!AG200+IF(Params!$B$7=1,Adds!AG199,Adds!AG203)</f>
        <v/>
      </c>
      <c r="AH102" s="5">
        <f>Adds!AH200+IF(Params!$B$7=1,Adds!AH199,Adds!AH203)</f>
        <v/>
      </c>
      <c r="AI102" s="5">
        <f>Adds!AI200+IF(Params!$B$7=1,Adds!AI199,Adds!AI203)</f>
        <v/>
      </c>
      <c r="AJ102" s="5">
        <f>Adds!AJ200+IF(Params!$B$7=1,Adds!AJ199,Adds!AJ203)</f>
        <v/>
      </c>
      <c r="AK102" s="5">
        <f>Adds!AK200+IF(Params!$B$7=1,Adds!AK199,Adds!AK203)</f>
        <v/>
      </c>
      <c r="AL102" s="5">
        <f>Adds!AL200+IF(Params!$B$7=1,Adds!AL199,Adds!AL203)</f>
        <v/>
      </c>
      <c r="AM102" s="5">
        <f>Adds!AM200+IF(Params!$B$7=1,Adds!AM199,Adds!AM203)</f>
        <v/>
      </c>
      <c r="AN102" s="5">
        <f>Adds!AN200+IF(Params!$B$7=1,Adds!AN199,Adds!AN203)</f>
        <v/>
      </c>
      <c r="AO102" s="5">
        <f>Adds!AO200+IF(Params!$B$7=1,Adds!AO199,Adds!AO203)</f>
        <v/>
      </c>
      <c r="AP102" s="5">
        <f>Adds!AP200+IF(Params!$B$7=1,Adds!AP199,Adds!AP203)</f>
        <v/>
      </c>
      <c r="AQ102" s="5">
        <f>Adds!AQ200+IF(Params!$B$7=1,Adds!AQ199,Adds!AQ203)</f>
        <v/>
      </c>
      <c r="AR102" s="5">
        <f>Adds!AR200+IF(Params!$B$7=1,Adds!AR199,Adds!AR203)</f>
        <v/>
      </c>
      <c r="AS102" s="5">
        <f>Adds!AS200+IF(Params!$B$7=1,Adds!AS199,Adds!AS203)</f>
        <v/>
      </c>
      <c r="AT102" s="5">
        <f>Adds!AT200+IF(Params!$B$7=1,Adds!AT199,Adds!AT203)</f>
        <v/>
      </c>
      <c r="AU102" s="5">
        <f>Adds!AU200+IF(Params!$B$7=1,Adds!AU199,Adds!AU203)</f>
        <v/>
      </c>
      <c r="AV102" s="5">
        <f>Adds!AV200+IF(Params!$B$7=1,Adds!AV199,Adds!AV203)</f>
        <v/>
      </c>
      <c r="AW102" s="5">
        <f>Adds!AW200+IF(Params!$B$7=1,Adds!AW199,Adds!AW203)</f>
        <v/>
      </c>
      <c r="AX102" s="5">
        <f>Adds!AX200+IF(Params!$B$7=1,Adds!AX199,Adds!AX203)</f>
        <v/>
      </c>
      <c r="AY102" s="5">
        <f>Adds!AY200+IF(Params!$B$7=1,Adds!AY199,Adds!AY203)</f>
        <v/>
      </c>
      <c r="AZ102" s="5">
        <f>Adds!AZ200+IF(Params!$B$7=1,Adds!AZ199,Adds!AZ203)</f>
        <v/>
      </c>
      <c r="BA102" s="5">
        <f>Adds!BA200+IF(Params!$B$7=1,Adds!BA199,Adds!BA203)</f>
        <v/>
      </c>
      <c r="BB102" s="5">
        <f>Adds!BB200+IF(Params!$B$7=1,Adds!BB199,Adds!BB203)</f>
        <v/>
      </c>
      <c r="BC102" s="5">
        <f>Adds!BC200+IF(Params!$B$7=1,Adds!BC199,Adds!BC203)</f>
        <v/>
      </c>
      <c r="BD102" s="5">
        <f>Adds!BD200+IF(Params!$B$7=1,Adds!BD199,Adds!BD203)</f>
        <v/>
      </c>
      <c r="BE102" s="5">
        <f>Adds!BE200+IF(Params!$B$7=1,Adds!BE199,Adds!BE203)</f>
        <v/>
      </c>
      <c r="BF102" s="5">
        <f>Adds!BF200+IF(Params!$B$7=1,Adds!BF199,Adds!BF203)</f>
        <v/>
      </c>
      <c r="BG102" s="5">
        <f>Adds!BG200+IF(Params!$B$7=1,Adds!BG199,Adds!BG203)</f>
        <v/>
      </c>
      <c r="BH102" s="5">
        <f>Adds!BH200+IF(Params!$B$7=1,Adds!BH199,Adds!BH203)</f>
        <v/>
      </c>
      <c r="BI102" s="5">
        <f>Adds!BI200+IF(Params!$B$7=1,Adds!BI199,Adds!BI203)</f>
        <v/>
      </c>
      <c r="BJ102" s="5">
        <f>Adds!BJ200+IF(Params!$B$7=1,Adds!BJ199,Adds!BJ203)</f>
        <v/>
      </c>
      <c r="BK102" s="5">
        <f>Adds!BK200+IF(Params!$B$7=1,Adds!BK199,Adds!BK203)</f>
        <v/>
      </c>
      <c r="BL102" s="5">
        <f>Adds!BL200+IF(Params!$B$7=1,Adds!BL199,Adds!BL203)</f>
        <v/>
      </c>
      <c r="BM102" s="5">
        <f>Adds!BM200+IF(Params!$B$7=1,Adds!BM199,Adds!BM203)</f>
        <v/>
      </c>
      <c r="BN102" s="5">
        <f>Adds!BN200+IF(Params!$B$7=1,Adds!BN199,Adds!BN203)</f>
        <v/>
      </c>
      <c r="BO102" s="5">
        <f>Adds!BO200+IF(Params!$B$7=1,Adds!BO199,Adds!BO203)</f>
        <v/>
      </c>
      <c r="BP102" s="5">
        <f>Adds!BP200+IF(Params!$B$7=1,Adds!BP199,Adds!BP203)</f>
        <v/>
      </c>
      <c r="BQ102" s="5">
        <f>Adds!BQ200+IF(Params!$B$7=1,Adds!BQ199,Adds!BQ203)</f>
        <v/>
      </c>
      <c r="BR102" s="5">
        <f>Adds!BR200+IF(Params!$B$7=1,Adds!BR199,Adds!BR203)</f>
        <v/>
      </c>
      <c r="BS102" s="5">
        <f>Adds!BS200+IF(Params!$B$7=1,Adds!BS199,Adds!BS203)</f>
        <v/>
      </c>
      <c r="BT102" s="5">
        <f>Adds!BT200+IF(Params!$B$7=1,Adds!BT199,Adds!BT203)</f>
        <v/>
      </c>
      <c r="BU102" s="5">
        <f>Adds!BU200+IF(Params!$B$7=1,Adds!BU199,Adds!BU203)</f>
        <v/>
      </c>
      <c r="BV102" s="5">
        <f>Adds!BV200+IF(Params!$B$7=1,Adds!BV199,Adds!BV203)</f>
        <v/>
      </c>
    </row>
    <row r="103">
      <c r="A103" t="inlineStr">
        <is>
          <t>reactivated</t>
        </is>
      </c>
      <c r="B103" t="inlineStr">
        <is>
          <t>APAC|NITRO_A</t>
        </is>
      </c>
      <c r="C103" s="5">
        <f>React!C177</f>
        <v/>
      </c>
      <c r="D103" s="5">
        <f>React!D177</f>
        <v/>
      </c>
      <c r="E103" s="5">
        <f>React!E177</f>
        <v/>
      </c>
      <c r="F103" s="5">
        <f>React!F177</f>
        <v/>
      </c>
      <c r="G103" s="5">
        <f>React!G177</f>
        <v/>
      </c>
      <c r="H103" s="5">
        <f>React!H177</f>
        <v/>
      </c>
      <c r="I103" s="5">
        <f>React!I177</f>
        <v/>
      </c>
      <c r="J103" s="5">
        <f>React!J177</f>
        <v/>
      </c>
      <c r="K103" s="5">
        <f>React!K177</f>
        <v/>
      </c>
      <c r="L103" s="5">
        <f>React!L177</f>
        <v/>
      </c>
      <c r="M103" s="5">
        <f>React!M177</f>
        <v/>
      </c>
      <c r="N103" s="5">
        <f>React!N177</f>
        <v/>
      </c>
      <c r="O103" s="5">
        <f>React!O177</f>
        <v/>
      </c>
      <c r="P103" s="5">
        <f>React!P177</f>
        <v/>
      </c>
      <c r="Q103" s="5">
        <f>React!Q177</f>
        <v/>
      </c>
      <c r="R103" s="5">
        <f>React!R177</f>
        <v/>
      </c>
      <c r="S103" s="5">
        <f>React!S177</f>
        <v/>
      </c>
      <c r="T103" s="5">
        <f>React!T177</f>
        <v/>
      </c>
      <c r="U103" s="5">
        <f>React!U177</f>
        <v/>
      </c>
      <c r="V103" s="5">
        <f>React!V177</f>
        <v/>
      </c>
      <c r="W103" s="5">
        <f>React!W177</f>
        <v/>
      </c>
      <c r="X103" s="5">
        <f>React!X177</f>
        <v/>
      </c>
      <c r="Y103" s="5">
        <f>React!Y177</f>
        <v/>
      </c>
      <c r="Z103" s="5">
        <f>React!Z177</f>
        <v/>
      </c>
      <c r="AA103" s="5">
        <f>React!AA177</f>
        <v/>
      </c>
      <c r="AB103" s="5">
        <f>React!AB177</f>
        <v/>
      </c>
      <c r="AC103" s="5">
        <f>React!AC177</f>
        <v/>
      </c>
      <c r="AD103" s="5">
        <f>React!AD177</f>
        <v/>
      </c>
      <c r="AE103" s="5">
        <f>React!AE177</f>
        <v/>
      </c>
      <c r="AF103" s="5">
        <f>React!AF177</f>
        <v/>
      </c>
      <c r="AG103" s="5">
        <f>React!AG177</f>
        <v/>
      </c>
      <c r="AH103" s="5">
        <f>React!AH177</f>
        <v/>
      </c>
      <c r="AI103" s="5">
        <f>React!AI177</f>
        <v/>
      </c>
      <c r="AJ103" s="5">
        <f>React!AJ177</f>
        <v/>
      </c>
      <c r="AK103" s="5">
        <f>React!AK177</f>
        <v/>
      </c>
      <c r="AL103" s="5">
        <f>React!AL177</f>
        <v/>
      </c>
      <c r="AM103" s="5">
        <f>React!AM177</f>
        <v/>
      </c>
      <c r="AN103" s="5">
        <f>React!AN177</f>
        <v/>
      </c>
      <c r="AO103" s="5">
        <f>React!AO177</f>
        <v/>
      </c>
      <c r="AP103" s="5">
        <f>React!AP177</f>
        <v/>
      </c>
      <c r="AQ103" s="5">
        <f>React!AQ177</f>
        <v/>
      </c>
      <c r="AR103" s="5">
        <f>React!AR177</f>
        <v/>
      </c>
      <c r="AS103" s="5">
        <f>React!AS177</f>
        <v/>
      </c>
      <c r="AT103" s="5">
        <f>React!AT177</f>
        <v/>
      </c>
      <c r="AU103" s="5">
        <f>React!AU177</f>
        <v/>
      </c>
      <c r="AV103" s="5">
        <f>React!AV177</f>
        <v/>
      </c>
      <c r="AW103" s="5">
        <f>React!AW177</f>
        <v/>
      </c>
      <c r="AX103" s="5">
        <f>React!AX177</f>
        <v/>
      </c>
      <c r="AY103" s="5">
        <f>React!AY177</f>
        <v/>
      </c>
      <c r="AZ103" s="5">
        <f>React!AZ177</f>
        <v/>
      </c>
      <c r="BA103" s="5">
        <f>React!BA177</f>
        <v/>
      </c>
      <c r="BB103" s="5">
        <f>React!BB177</f>
        <v/>
      </c>
      <c r="BC103" s="5">
        <f>React!BC177</f>
        <v/>
      </c>
      <c r="BD103" s="5">
        <f>React!BD177</f>
        <v/>
      </c>
      <c r="BE103" s="5">
        <f>React!BE177</f>
        <v/>
      </c>
      <c r="BF103" s="5">
        <f>React!BF177</f>
        <v/>
      </c>
      <c r="BG103" s="5">
        <f>React!BG177</f>
        <v/>
      </c>
      <c r="BH103" s="5">
        <f>React!BH177</f>
        <v/>
      </c>
      <c r="BI103" s="5">
        <f>React!BI177</f>
        <v/>
      </c>
      <c r="BJ103" s="5">
        <f>React!BJ177</f>
        <v/>
      </c>
      <c r="BK103" s="5">
        <f>React!BK177</f>
        <v/>
      </c>
      <c r="BL103" s="5">
        <f>React!BL177</f>
        <v/>
      </c>
      <c r="BM103" s="5">
        <f>React!BM177</f>
        <v/>
      </c>
      <c r="BN103" s="5">
        <f>React!BN177</f>
        <v/>
      </c>
      <c r="BO103" s="5">
        <f>React!BO177</f>
        <v/>
      </c>
      <c r="BP103" s="5">
        <f>React!BP177</f>
        <v/>
      </c>
      <c r="BQ103" s="5">
        <f>React!BQ177</f>
        <v/>
      </c>
      <c r="BR103" s="5">
        <f>React!BR177</f>
        <v/>
      </c>
      <c r="BS103" s="5">
        <f>React!BS177</f>
        <v/>
      </c>
      <c r="BT103" s="5">
        <f>React!BT177</f>
        <v/>
      </c>
      <c r="BU103" s="5">
        <f>React!BU177</f>
        <v/>
      </c>
      <c r="BV103" s="5">
        <f>React!BV177</f>
        <v/>
      </c>
    </row>
    <row r="104">
      <c r="A104" t="inlineStr">
        <is>
          <t>churned</t>
        </is>
      </c>
      <c r="B104" t="inlineStr">
        <is>
          <t>APAC|NITRO_A</t>
        </is>
      </c>
      <c r="C104" s="5">
        <f>Legacy!C59+Paid!C57+React!C183+Params!$B$7*Adds!C204</f>
        <v/>
      </c>
      <c r="D104" s="5">
        <f>Legacy!D59+Paid!D57+React!D183+Params!$B$7*Adds!D204</f>
        <v/>
      </c>
      <c r="E104" s="5">
        <f>Legacy!E59+Paid!E57+React!E183+Params!$B$7*Adds!E204</f>
        <v/>
      </c>
      <c r="F104" s="5">
        <f>Legacy!F59+Paid!F57+React!F183+Params!$B$7*Adds!F204</f>
        <v/>
      </c>
      <c r="G104" s="5">
        <f>Legacy!G59+Paid!G57+React!G183+Params!$B$7*Adds!G204</f>
        <v/>
      </c>
      <c r="H104" s="5">
        <f>Legacy!H59+Paid!H57+React!H183+Params!$B$7*Adds!H204</f>
        <v/>
      </c>
      <c r="I104" s="5">
        <f>Legacy!I59+Paid!I57+React!I183+Params!$B$7*Adds!I204</f>
        <v/>
      </c>
      <c r="J104" s="5">
        <f>Legacy!J59+Paid!J57+React!J183+Params!$B$7*Adds!J204</f>
        <v/>
      </c>
      <c r="K104" s="5">
        <f>Legacy!K59+Paid!K57+React!K183+Params!$B$7*Adds!K204</f>
        <v/>
      </c>
      <c r="L104" s="5">
        <f>Legacy!L59+Paid!L57+React!L183+Params!$B$7*Adds!L204</f>
        <v/>
      </c>
      <c r="M104" s="5">
        <f>Legacy!M59+Paid!M57+React!M183+Params!$B$7*Adds!M204</f>
        <v/>
      </c>
      <c r="N104" s="5">
        <f>Legacy!N59+Paid!N57+React!N183+Params!$B$7*Adds!N204</f>
        <v/>
      </c>
      <c r="O104" s="5">
        <f>Legacy!O59+Paid!O57+React!O183+Params!$B$7*Adds!O204</f>
        <v/>
      </c>
      <c r="P104" s="5">
        <f>Legacy!P59+Paid!P57+React!P183+Params!$B$7*Adds!P204</f>
        <v/>
      </c>
      <c r="Q104" s="5">
        <f>Legacy!Q59+Paid!Q57+React!Q183+Params!$B$7*Adds!Q204</f>
        <v/>
      </c>
      <c r="R104" s="5">
        <f>Legacy!R59+Paid!R57+React!R183+Params!$B$7*Adds!R204</f>
        <v/>
      </c>
      <c r="S104" s="5">
        <f>Legacy!S59+Paid!S57+React!S183+Params!$B$7*Adds!S204</f>
        <v/>
      </c>
      <c r="T104" s="5">
        <f>Legacy!T59+Paid!T57+React!T183+Params!$B$7*Adds!T204</f>
        <v/>
      </c>
      <c r="U104" s="5">
        <f>Legacy!U59+Paid!U57+React!U183+Params!$B$7*Adds!U204</f>
        <v/>
      </c>
      <c r="V104" s="5">
        <f>Legacy!V59+Paid!V57+React!V183+Params!$B$7*Adds!V204</f>
        <v/>
      </c>
      <c r="W104" s="5">
        <f>Legacy!W59+Paid!W57+React!W183+Params!$B$7*Adds!W204</f>
        <v/>
      </c>
      <c r="X104" s="5">
        <f>Legacy!X59+Paid!X57+React!X183+Params!$B$7*Adds!X204</f>
        <v/>
      </c>
      <c r="Y104" s="5">
        <f>Legacy!Y59+Paid!Y57+React!Y183+Params!$B$7*Adds!Y204</f>
        <v/>
      </c>
      <c r="Z104" s="5">
        <f>Legacy!Z59+Paid!Z57+React!Z183+Params!$B$7*Adds!Z204</f>
        <v/>
      </c>
      <c r="AA104" s="5">
        <f>Legacy!AA59+Paid!AA57+React!AA183+Params!$B$7*Adds!AA204</f>
        <v/>
      </c>
      <c r="AB104" s="5">
        <f>Legacy!AB59+Paid!AB57+React!AB183+Params!$B$7*Adds!AB204</f>
        <v/>
      </c>
      <c r="AC104" s="5">
        <f>Legacy!AC59+Paid!AC57+React!AC183+Params!$B$7*Adds!AC204</f>
        <v/>
      </c>
      <c r="AD104" s="5">
        <f>Legacy!AD59+Paid!AD57+React!AD183+Params!$B$7*Adds!AD204</f>
        <v/>
      </c>
      <c r="AE104" s="5">
        <f>Legacy!AE59+Paid!AE57+React!AE183+Params!$B$7*Adds!AE204</f>
        <v/>
      </c>
      <c r="AF104" s="5">
        <f>Legacy!AF59+Paid!AF57+React!AF183+Params!$B$7*Adds!AF204</f>
        <v/>
      </c>
      <c r="AG104" s="5">
        <f>Legacy!AG59+Paid!AG57+React!AG183+Params!$B$7*Adds!AG204</f>
        <v/>
      </c>
      <c r="AH104" s="5">
        <f>Legacy!AH59+Paid!AH57+React!AH183+Params!$B$7*Adds!AH204</f>
        <v/>
      </c>
      <c r="AI104" s="5">
        <f>Legacy!AI59+Paid!AI57+React!AI183+Params!$B$7*Adds!AI204</f>
        <v/>
      </c>
      <c r="AJ104" s="5">
        <f>Legacy!AJ59+Paid!AJ57+React!AJ183+Params!$B$7*Adds!AJ204</f>
        <v/>
      </c>
      <c r="AK104" s="5">
        <f>Legacy!AK59+Paid!AK57+React!AK183+Params!$B$7*Adds!AK204</f>
        <v/>
      </c>
      <c r="AL104" s="5">
        <f>Legacy!AL59+Paid!AL57+React!AL183+Params!$B$7*Adds!AL204</f>
        <v/>
      </c>
      <c r="AM104" s="5">
        <f>Legacy!AM59+Paid!AM57+React!AM183+Params!$B$7*Adds!AM204</f>
        <v/>
      </c>
      <c r="AN104" s="5">
        <f>Legacy!AN59+Paid!AN57+React!AN183+Params!$B$7*Adds!AN204</f>
        <v/>
      </c>
      <c r="AO104" s="5">
        <f>Legacy!AO59+Paid!AO57+React!AO183+Params!$B$7*Adds!AO204</f>
        <v/>
      </c>
      <c r="AP104" s="5">
        <f>Legacy!AP59+Paid!AP57+React!AP183+Params!$B$7*Adds!AP204</f>
        <v/>
      </c>
      <c r="AQ104" s="5">
        <f>Legacy!AQ59+Paid!AQ57+React!AQ183+Params!$B$7*Adds!AQ204</f>
        <v/>
      </c>
      <c r="AR104" s="5">
        <f>Legacy!AR59+Paid!AR57+React!AR183+Params!$B$7*Adds!AR204</f>
        <v/>
      </c>
      <c r="AS104" s="5">
        <f>Legacy!AS59+Paid!AS57+React!AS183+Params!$B$7*Adds!AS204</f>
        <v/>
      </c>
      <c r="AT104" s="5">
        <f>Legacy!AT59+Paid!AT57+React!AT183+Params!$B$7*Adds!AT204</f>
        <v/>
      </c>
      <c r="AU104" s="5">
        <f>Legacy!AU59+Paid!AU57+React!AU183+Params!$B$7*Adds!AU204</f>
        <v/>
      </c>
      <c r="AV104" s="5">
        <f>Legacy!AV59+Paid!AV57+React!AV183+Params!$B$7*Adds!AV204</f>
        <v/>
      </c>
      <c r="AW104" s="5">
        <f>Legacy!AW59+Paid!AW57+React!AW183+Params!$B$7*Adds!AW204</f>
        <v/>
      </c>
      <c r="AX104" s="5">
        <f>Legacy!AX59+Paid!AX57+React!AX183+Params!$B$7*Adds!AX204</f>
        <v/>
      </c>
      <c r="AY104" s="5">
        <f>Legacy!AY59+Paid!AY57+React!AY183+Params!$B$7*Adds!AY204</f>
        <v/>
      </c>
      <c r="AZ104" s="5">
        <f>Legacy!AZ59+Paid!AZ57+React!AZ183+Params!$B$7*Adds!AZ204</f>
        <v/>
      </c>
      <c r="BA104" s="5">
        <f>Legacy!BA59+Paid!BA57+React!BA183+Params!$B$7*Adds!BA204</f>
        <v/>
      </c>
      <c r="BB104" s="5">
        <f>Legacy!BB59+Paid!BB57+React!BB183+Params!$B$7*Adds!BB204</f>
        <v/>
      </c>
      <c r="BC104" s="5">
        <f>Legacy!BC59+Paid!BC57+React!BC183+Params!$B$7*Adds!BC204</f>
        <v/>
      </c>
      <c r="BD104" s="5">
        <f>Legacy!BD59+Paid!BD57+React!BD183+Params!$B$7*Adds!BD204</f>
        <v/>
      </c>
      <c r="BE104" s="5">
        <f>Legacy!BE59+Paid!BE57+React!BE183+Params!$B$7*Adds!BE204</f>
        <v/>
      </c>
      <c r="BF104" s="5">
        <f>Legacy!BF59+Paid!BF57+React!BF183+Params!$B$7*Adds!BF204</f>
        <v/>
      </c>
      <c r="BG104" s="5">
        <f>Legacy!BG59+Paid!BG57+React!BG183+Params!$B$7*Adds!BG204</f>
        <v/>
      </c>
      <c r="BH104" s="5">
        <f>Legacy!BH59+Paid!BH57+React!BH183+Params!$B$7*Adds!BH204</f>
        <v/>
      </c>
      <c r="BI104" s="5">
        <f>Legacy!BI59+Paid!BI57+React!BI183+Params!$B$7*Adds!BI204</f>
        <v/>
      </c>
      <c r="BJ104" s="5">
        <f>Legacy!BJ59+Paid!BJ57+React!BJ183+Params!$B$7*Adds!BJ204</f>
        <v/>
      </c>
      <c r="BK104" s="5">
        <f>Legacy!BK59+Paid!BK57+React!BK183+Params!$B$7*Adds!BK204</f>
        <v/>
      </c>
      <c r="BL104" s="5">
        <f>Legacy!BL59+Paid!BL57+React!BL183+Params!$B$7*Adds!BL204</f>
        <v/>
      </c>
      <c r="BM104" s="5">
        <f>Legacy!BM59+Paid!BM57+React!BM183+Params!$B$7*Adds!BM204</f>
        <v/>
      </c>
      <c r="BN104" s="5">
        <f>Legacy!BN59+Paid!BN57+React!BN183+Params!$B$7*Adds!BN204</f>
        <v/>
      </c>
      <c r="BO104" s="5">
        <f>Legacy!BO59+Paid!BO57+React!BO183+Params!$B$7*Adds!BO204</f>
        <v/>
      </c>
      <c r="BP104" s="5">
        <f>Legacy!BP59+Paid!BP57+React!BP183+Params!$B$7*Adds!BP204</f>
        <v/>
      </c>
      <c r="BQ104" s="5">
        <f>Legacy!BQ59+Paid!BQ57+React!BQ183+Params!$B$7*Adds!BQ204</f>
        <v/>
      </c>
      <c r="BR104" s="5">
        <f>Legacy!BR59+Paid!BR57+React!BR183+Params!$B$7*Adds!BR204</f>
        <v/>
      </c>
      <c r="BS104" s="5">
        <f>Legacy!BS59+Paid!BS57+React!BS183+Params!$B$7*Adds!BS204</f>
        <v/>
      </c>
      <c r="BT104" s="5">
        <f>Legacy!BT59+Paid!BT57+React!BT183+Params!$B$7*Adds!BT204</f>
        <v/>
      </c>
      <c r="BU104" s="5">
        <f>Legacy!BU59+Paid!BU57+React!BU183+Params!$B$7*Adds!BU204</f>
        <v/>
      </c>
      <c r="BV104" s="5">
        <f>Legacy!BV59+Paid!BV57+React!BV183+Params!$B$7*Adds!BV204</f>
        <v/>
      </c>
    </row>
    <row r="105">
      <c r="A105" t="inlineStr">
        <is>
          <t>closing</t>
        </is>
      </c>
      <c r="B105" t="inlineStr">
        <is>
          <t>APAC|NITRO_A</t>
        </is>
      </c>
      <c r="C105" s="5">
        <f>C106+Params!$B$7*Adds!C207</f>
        <v/>
      </c>
      <c r="D105" s="5">
        <f>D106+Params!$B$7*Adds!D207</f>
        <v/>
      </c>
      <c r="E105" s="5">
        <f>E106+Params!$B$7*Adds!E207</f>
        <v/>
      </c>
      <c r="F105" s="5">
        <f>F106+Params!$B$7*Adds!F207</f>
        <v/>
      </c>
      <c r="G105" s="5">
        <f>G106+Params!$B$7*Adds!G207</f>
        <v/>
      </c>
      <c r="H105" s="5">
        <f>H106+Params!$B$7*Adds!H207</f>
        <v/>
      </c>
      <c r="I105" s="5">
        <f>I106+Params!$B$7*Adds!I207</f>
        <v/>
      </c>
      <c r="J105" s="5">
        <f>J106+Params!$B$7*Adds!J207</f>
        <v/>
      </c>
      <c r="K105" s="5">
        <f>K106+Params!$B$7*Adds!K207</f>
        <v/>
      </c>
      <c r="L105" s="5">
        <f>L106+Params!$B$7*Adds!L207</f>
        <v/>
      </c>
      <c r="M105" s="5">
        <f>M106+Params!$B$7*Adds!M207</f>
        <v/>
      </c>
      <c r="N105" s="5">
        <f>N106+Params!$B$7*Adds!N207</f>
        <v/>
      </c>
      <c r="O105" s="5">
        <f>O106+Params!$B$7*Adds!O207</f>
        <v/>
      </c>
      <c r="P105" s="5">
        <f>P106+Params!$B$7*Adds!P207</f>
        <v/>
      </c>
      <c r="Q105" s="5">
        <f>Q106+Params!$B$7*Adds!Q207</f>
        <v/>
      </c>
      <c r="R105" s="5">
        <f>R106+Params!$B$7*Adds!R207</f>
        <v/>
      </c>
      <c r="S105" s="5">
        <f>S106+Params!$B$7*Adds!S207</f>
        <v/>
      </c>
      <c r="T105" s="5">
        <f>T106+Params!$B$7*Adds!T207</f>
        <v/>
      </c>
      <c r="U105" s="5">
        <f>U106+Params!$B$7*Adds!U207</f>
        <v/>
      </c>
      <c r="V105" s="5">
        <f>V106+Params!$B$7*Adds!V207</f>
        <v/>
      </c>
      <c r="W105" s="5">
        <f>W106+Params!$B$7*Adds!W207</f>
        <v/>
      </c>
      <c r="X105" s="5">
        <f>X106+Params!$B$7*Adds!X207</f>
        <v/>
      </c>
      <c r="Y105" s="5">
        <f>Y106+Params!$B$7*Adds!Y207</f>
        <v/>
      </c>
      <c r="Z105" s="5">
        <f>Z106+Params!$B$7*Adds!Z207</f>
        <v/>
      </c>
      <c r="AA105" s="5">
        <f>AA106+Params!$B$7*Adds!AA207</f>
        <v/>
      </c>
      <c r="AB105" s="5">
        <f>AB106+Params!$B$7*Adds!AB207</f>
        <v/>
      </c>
      <c r="AC105" s="5">
        <f>AC106+Params!$B$7*Adds!AC207</f>
        <v/>
      </c>
      <c r="AD105" s="5">
        <f>AD106+Params!$B$7*Adds!AD207</f>
        <v/>
      </c>
      <c r="AE105" s="5">
        <f>AE106+Params!$B$7*Adds!AE207</f>
        <v/>
      </c>
      <c r="AF105" s="5">
        <f>AF106+Params!$B$7*Adds!AF207</f>
        <v/>
      </c>
      <c r="AG105" s="5">
        <f>AG106+Params!$B$7*Adds!AG207</f>
        <v/>
      </c>
      <c r="AH105" s="5">
        <f>AH106+Params!$B$7*Adds!AH207</f>
        <v/>
      </c>
      <c r="AI105" s="5">
        <f>AI106+Params!$B$7*Adds!AI207</f>
        <v/>
      </c>
      <c r="AJ105" s="5">
        <f>AJ106+Params!$B$7*Adds!AJ207</f>
        <v/>
      </c>
      <c r="AK105" s="5">
        <f>AK106+Params!$B$7*Adds!AK207</f>
        <v/>
      </c>
      <c r="AL105" s="5">
        <f>AL106+Params!$B$7*Adds!AL207</f>
        <v/>
      </c>
      <c r="AM105" s="5">
        <f>AM106+Params!$B$7*Adds!AM207</f>
        <v/>
      </c>
      <c r="AN105" s="5">
        <f>AN106+Params!$B$7*Adds!AN207</f>
        <v/>
      </c>
      <c r="AO105" s="5">
        <f>AO106+Params!$B$7*Adds!AO207</f>
        <v/>
      </c>
      <c r="AP105" s="5">
        <f>AP106+Params!$B$7*Adds!AP207</f>
        <v/>
      </c>
      <c r="AQ105" s="5">
        <f>AQ106+Params!$B$7*Adds!AQ207</f>
        <v/>
      </c>
      <c r="AR105" s="5">
        <f>AR106+Params!$B$7*Adds!AR207</f>
        <v/>
      </c>
      <c r="AS105" s="5">
        <f>AS106+Params!$B$7*Adds!AS207</f>
        <v/>
      </c>
      <c r="AT105" s="5">
        <f>AT106+Params!$B$7*Adds!AT207</f>
        <v/>
      </c>
      <c r="AU105" s="5">
        <f>AU106+Params!$B$7*Adds!AU207</f>
        <v/>
      </c>
      <c r="AV105" s="5">
        <f>AV106+Params!$B$7*Adds!AV207</f>
        <v/>
      </c>
      <c r="AW105" s="5">
        <f>AW106+Params!$B$7*Adds!AW207</f>
        <v/>
      </c>
      <c r="AX105" s="5">
        <f>AX106+Params!$B$7*Adds!AX207</f>
        <v/>
      </c>
      <c r="AY105" s="5">
        <f>AY106+Params!$B$7*Adds!AY207</f>
        <v/>
      </c>
      <c r="AZ105" s="5">
        <f>AZ106+Params!$B$7*Adds!AZ207</f>
        <v/>
      </c>
      <c r="BA105" s="5">
        <f>BA106+Params!$B$7*Adds!BA207</f>
        <v/>
      </c>
      <c r="BB105" s="5">
        <f>BB106+Params!$B$7*Adds!BB207</f>
        <v/>
      </c>
      <c r="BC105" s="5">
        <f>BC106+Params!$B$7*Adds!BC207</f>
        <v/>
      </c>
      <c r="BD105" s="5">
        <f>BD106+Params!$B$7*Adds!BD207</f>
        <v/>
      </c>
      <c r="BE105" s="5">
        <f>BE106+Params!$B$7*Adds!BE207</f>
        <v/>
      </c>
      <c r="BF105" s="5">
        <f>BF106+Params!$B$7*Adds!BF207</f>
        <v/>
      </c>
      <c r="BG105" s="5">
        <f>BG106+Params!$B$7*Adds!BG207</f>
        <v/>
      </c>
      <c r="BH105" s="5">
        <f>BH106+Params!$B$7*Adds!BH207</f>
        <v/>
      </c>
      <c r="BI105" s="5">
        <f>BI106+Params!$B$7*Adds!BI207</f>
        <v/>
      </c>
      <c r="BJ105" s="5">
        <f>BJ106+Params!$B$7*Adds!BJ207</f>
        <v/>
      </c>
      <c r="BK105" s="5">
        <f>BK106+Params!$B$7*Adds!BK207</f>
        <v/>
      </c>
      <c r="BL105" s="5">
        <f>BL106+Params!$B$7*Adds!BL207</f>
        <v/>
      </c>
      <c r="BM105" s="5">
        <f>BM106+Params!$B$7*Adds!BM207</f>
        <v/>
      </c>
      <c r="BN105" s="5">
        <f>BN106+Params!$B$7*Adds!BN207</f>
        <v/>
      </c>
      <c r="BO105" s="5">
        <f>BO106+Params!$B$7*Adds!BO207</f>
        <v/>
      </c>
      <c r="BP105" s="5">
        <f>BP106+Params!$B$7*Adds!BP207</f>
        <v/>
      </c>
      <c r="BQ105" s="5">
        <f>BQ106+Params!$B$7*Adds!BQ207</f>
        <v/>
      </c>
      <c r="BR105" s="5">
        <f>BR106+Params!$B$7*Adds!BR207</f>
        <v/>
      </c>
      <c r="BS105" s="5">
        <f>BS106+Params!$B$7*Adds!BS207</f>
        <v/>
      </c>
      <c r="BT105" s="5">
        <f>BT106+Params!$B$7*Adds!BT207</f>
        <v/>
      </c>
      <c r="BU105" s="5">
        <f>BU106+Params!$B$7*Adds!BU207</f>
        <v/>
      </c>
      <c r="BV105" s="5">
        <f>BV106+Params!$B$7*Adds!BV207</f>
        <v/>
      </c>
    </row>
    <row r="106">
      <c r="A106" t="inlineStr">
        <is>
          <t>paying</t>
        </is>
      </c>
      <c r="B106" t="inlineStr">
        <is>
          <t>APAC|NITRO_A</t>
        </is>
      </c>
      <c r="C106" s="5">
        <f>Legacy!C58+Paid!C55+React!C181</f>
        <v/>
      </c>
      <c r="D106" s="5">
        <f>Legacy!D58+Paid!D55+React!D181</f>
        <v/>
      </c>
      <c r="E106" s="5">
        <f>Legacy!E58+Paid!E55+React!E181</f>
        <v/>
      </c>
      <c r="F106" s="5">
        <f>Legacy!F58+Paid!F55+React!F181</f>
        <v/>
      </c>
      <c r="G106" s="5">
        <f>Legacy!G58+Paid!G55+React!G181</f>
        <v/>
      </c>
      <c r="H106" s="5">
        <f>Legacy!H58+Paid!H55+React!H181</f>
        <v/>
      </c>
      <c r="I106" s="5">
        <f>Legacy!I58+Paid!I55+React!I181</f>
        <v/>
      </c>
      <c r="J106" s="5">
        <f>Legacy!J58+Paid!J55+React!J181</f>
        <v/>
      </c>
      <c r="K106" s="5">
        <f>Legacy!K58+Paid!K55+React!K181</f>
        <v/>
      </c>
      <c r="L106" s="5">
        <f>Legacy!L58+Paid!L55+React!L181</f>
        <v/>
      </c>
      <c r="M106" s="5">
        <f>Legacy!M58+Paid!M55+React!M181</f>
        <v/>
      </c>
      <c r="N106" s="5">
        <f>Legacy!N58+Paid!N55+React!N181</f>
        <v/>
      </c>
      <c r="O106" s="5">
        <f>Legacy!O58+Paid!O55+React!O181</f>
        <v/>
      </c>
      <c r="P106" s="5">
        <f>Legacy!P58+Paid!P55+React!P181</f>
        <v/>
      </c>
      <c r="Q106" s="5">
        <f>Legacy!Q58+Paid!Q55+React!Q181</f>
        <v/>
      </c>
      <c r="R106" s="5">
        <f>Legacy!R58+Paid!R55+React!R181</f>
        <v/>
      </c>
      <c r="S106" s="5">
        <f>Legacy!S58+Paid!S55+React!S181</f>
        <v/>
      </c>
      <c r="T106" s="5">
        <f>Legacy!T58+Paid!T55+React!T181</f>
        <v/>
      </c>
      <c r="U106" s="5">
        <f>Legacy!U58+Paid!U55+React!U181</f>
        <v/>
      </c>
      <c r="V106" s="5">
        <f>Legacy!V58+Paid!V55+React!V181</f>
        <v/>
      </c>
      <c r="W106" s="5">
        <f>Legacy!W58+Paid!W55+React!W181</f>
        <v/>
      </c>
      <c r="X106" s="5">
        <f>Legacy!X58+Paid!X55+React!X181</f>
        <v/>
      </c>
      <c r="Y106" s="5">
        <f>Legacy!Y58+Paid!Y55+React!Y181</f>
        <v/>
      </c>
      <c r="Z106" s="5">
        <f>Legacy!Z58+Paid!Z55+React!Z181</f>
        <v/>
      </c>
      <c r="AA106" s="5">
        <f>Legacy!AA58+Paid!AA55+React!AA181</f>
        <v/>
      </c>
      <c r="AB106" s="5">
        <f>Legacy!AB58+Paid!AB55+React!AB181</f>
        <v/>
      </c>
      <c r="AC106" s="5">
        <f>Legacy!AC58+Paid!AC55+React!AC181</f>
        <v/>
      </c>
      <c r="AD106" s="5">
        <f>Legacy!AD58+Paid!AD55+React!AD181</f>
        <v/>
      </c>
      <c r="AE106" s="5">
        <f>Legacy!AE58+Paid!AE55+React!AE181</f>
        <v/>
      </c>
      <c r="AF106" s="5">
        <f>Legacy!AF58+Paid!AF55+React!AF181</f>
        <v/>
      </c>
      <c r="AG106" s="5">
        <f>Legacy!AG58+Paid!AG55+React!AG181</f>
        <v/>
      </c>
      <c r="AH106" s="5">
        <f>Legacy!AH58+Paid!AH55+React!AH181</f>
        <v/>
      </c>
      <c r="AI106" s="5">
        <f>Legacy!AI58+Paid!AI55+React!AI181</f>
        <v/>
      </c>
      <c r="AJ106" s="5">
        <f>Legacy!AJ58+Paid!AJ55+React!AJ181</f>
        <v/>
      </c>
      <c r="AK106" s="5">
        <f>Legacy!AK58+Paid!AK55+React!AK181</f>
        <v/>
      </c>
      <c r="AL106" s="5">
        <f>Legacy!AL58+Paid!AL55+React!AL181</f>
        <v/>
      </c>
      <c r="AM106" s="5">
        <f>Legacy!AM58+Paid!AM55+React!AM181</f>
        <v/>
      </c>
      <c r="AN106" s="5">
        <f>Legacy!AN58+Paid!AN55+React!AN181</f>
        <v/>
      </c>
      <c r="AO106" s="5">
        <f>Legacy!AO58+Paid!AO55+React!AO181</f>
        <v/>
      </c>
      <c r="AP106" s="5">
        <f>Legacy!AP58+Paid!AP55+React!AP181</f>
        <v/>
      </c>
      <c r="AQ106" s="5">
        <f>Legacy!AQ58+Paid!AQ55+React!AQ181</f>
        <v/>
      </c>
      <c r="AR106" s="5">
        <f>Legacy!AR58+Paid!AR55+React!AR181</f>
        <v/>
      </c>
      <c r="AS106" s="5">
        <f>Legacy!AS58+Paid!AS55+React!AS181</f>
        <v/>
      </c>
      <c r="AT106" s="5">
        <f>Legacy!AT58+Paid!AT55+React!AT181</f>
        <v/>
      </c>
      <c r="AU106" s="5">
        <f>Legacy!AU58+Paid!AU55+React!AU181</f>
        <v/>
      </c>
      <c r="AV106" s="5">
        <f>Legacy!AV58+Paid!AV55+React!AV181</f>
        <v/>
      </c>
      <c r="AW106" s="5">
        <f>Legacy!AW58+Paid!AW55+React!AW181</f>
        <v/>
      </c>
      <c r="AX106" s="5">
        <f>Legacy!AX58+Paid!AX55+React!AX181</f>
        <v/>
      </c>
      <c r="AY106" s="5">
        <f>Legacy!AY58+Paid!AY55+React!AY181</f>
        <v/>
      </c>
      <c r="AZ106" s="5">
        <f>Legacy!AZ58+Paid!AZ55+React!AZ181</f>
        <v/>
      </c>
      <c r="BA106" s="5">
        <f>Legacy!BA58+Paid!BA55+React!BA181</f>
        <v/>
      </c>
      <c r="BB106" s="5">
        <f>Legacy!BB58+Paid!BB55+React!BB181</f>
        <v/>
      </c>
      <c r="BC106" s="5">
        <f>Legacy!BC58+Paid!BC55+React!BC181</f>
        <v/>
      </c>
      <c r="BD106" s="5">
        <f>Legacy!BD58+Paid!BD55+React!BD181</f>
        <v/>
      </c>
      <c r="BE106" s="5">
        <f>Legacy!BE58+Paid!BE55+React!BE181</f>
        <v/>
      </c>
      <c r="BF106" s="5">
        <f>Legacy!BF58+Paid!BF55+React!BF181</f>
        <v/>
      </c>
      <c r="BG106" s="5">
        <f>Legacy!BG58+Paid!BG55+React!BG181</f>
        <v/>
      </c>
      <c r="BH106" s="5">
        <f>Legacy!BH58+Paid!BH55+React!BH181</f>
        <v/>
      </c>
      <c r="BI106" s="5">
        <f>Legacy!BI58+Paid!BI55+React!BI181</f>
        <v/>
      </c>
      <c r="BJ106" s="5">
        <f>Legacy!BJ58+Paid!BJ55+React!BJ181</f>
        <v/>
      </c>
      <c r="BK106" s="5">
        <f>Legacy!BK58+Paid!BK55+React!BK181</f>
        <v/>
      </c>
      <c r="BL106" s="5">
        <f>Legacy!BL58+Paid!BL55+React!BL181</f>
        <v/>
      </c>
      <c r="BM106" s="5">
        <f>Legacy!BM58+Paid!BM55+React!BM181</f>
        <v/>
      </c>
      <c r="BN106" s="5">
        <f>Legacy!BN58+Paid!BN55+React!BN181</f>
        <v/>
      </c>
      <c r="BO106" s="5">
        <f>Legacy!BO58+Paid!BO55+React!BO181</f>
        <v/>
      </c>
      <c r="BP106" s="5">
        <f>Legacy!BP58+Paid!BP55+React!BP181</f>
        <v/>
      </c>
      <c r="BQ106" s="5">
        <f>Legacy!BQ58+Paid!BQ55+React!BQ181</f>
        <v/>
      </c>
      <c r="BR106" s="5">
        <f>Legacy!BR58+Paid!BR55+React!BR181</f>
        <v/>
      </c>
      <c r="BS106" s="5">
        <f>Legacy!BS58+Paid!BS55+React!BS181</f>
        <v/>
      </c>
      <c r="BT106" s="5">
        <f>Legacy!BT58+Paid!BT55+React!BT181</f>
        <v/>
      </c>
      <c r="BU106" s="5">
        <f>Legacy!BU58+Paid!BU55+React!BU181</f>
        <v/>
      </c>
      <c r="BV106" s="5">
        <f>Legacy!BV58+Paid!BV55+React!BV181</f>
        <v/>
      </c>
    </row>
    <row r="108">
      <c r="A108" t="inlineStr">
        <is>
          <t>opening</t>
        </is>
      </c>
      <c r="B108" t="inlineStr">
        <is>
          <t>APAC|BASIC_M</t>
        </is>
      </c>
      <c r="C108" s="5">
        <f>Legacy!$C$61</f>
        <v/>
      </c>
      <c r="D108" s="5">
        <f>C112</f>
        <v/>
      </c>
      <c r="E108" s="5">
        <f>D112</f>
        <v/>
      </c>
      <c r="F108" s="5">
        <f>E112</f>
        <v/>
      </c>
      <c r="G108" s="5">
        <f>F112</f>
        <v/>
      </c>
      <c r="H108" s="5">
        <f>G112</f>
        <v/>
      </c>
      <c r="I108" s="5">
        <f>H112</f>
        <v/>
      </c>
      <c r="J108" s="5">
        <f>I112</f>
        <v/>
      </c>
      <c r="K108" s="5">
        <f>J112</f>
        <v/>
      </c>
      <c r="L108" s="5">
        <f>K112</f>
        <v/>
      </c>
      <c r="M108" s="5">
        <f>L112</f>
        <v/>
      </c>
      <c r="N108" s="5">
        <f>M112</f>
        <v/>
      </c>
      <c r="O108" s="5">
        <f>N112</f>
        <v/>
      </c>
      <c r="P108" s="5">
        <f>O112</f>
        <v/>
      </c>
      <c r="Q108" s="5">
        <f>P112</f>
        <v/>
      </c>
      <c r="R108" s="5">
        <f>Q112</f>
        <v/>
      </c>
      <c r="S108" s="5">
        <f>R112</f>
        <v/>
      </c>
      <c r="T108" s="5">
        <f>S112</f>
        <v/>
      </c>
      <c r="U108" s="5">
        <f>T112</f>
        <v/>
      </c>
      <c r="V108" s="5">
        <f>U112</f>
        <v/>
      </c>
      <c r="W108" s="5">
        <f>V112</f>
        <v/>
      </c>
      <c r="X108" s="5">
        <f>W112</f>
        <v/>
      </c>
      <c r="Y108" s="5">
        <f>X112</f>
        <v/>
      </c>
      <c r="Z108" s="5">
        <f>Y112</f>
        <v/>
      </c>
      <c r="AA108" s="5">
        <f>Z112</f>
        <v/>
      </c>
      <c r="AB108" s="5">
        <f>AA112</f>
        <v/>
      </c>
      <c r="AC108" s="5">
        <f>AB112</f>
        <v/>
      </c>
      <c r="AD108" s="5">
        <f>AC112</f>
        <v/>
      </c>
      <c r="AE108" s="5">
        <f>AD112</f>
        <v/>
      </c>
      <c r="AF108" s="5">
        <f>AE112</f>
        <v/>
      </c>
      <c r="AG108" s="5">
        <f>AF112</f>
        <v/>
      </c>
      <c r="AH108" s="5">
        <f>AG112</f>
        <v/>
      </c>
      <c r="AI108" s="5">
        <f>AH112</f>
        <v/>
      </c>
      <c r="AJ108" s="5">
        <f>AI112</f>
        <v/>
      </c>
      <c r="AK108" s="5">
        <f>AJ112</f>
        <v/>
      </c>
      <c r="AL108" s="5">
        <f>AK112</f>
        <v/>
      </c>
      <c r="AM108" s="5">
        <f>AL112</f>
        <v/>
      </c>
      <c r="AN108" s="5">
        <f>AM112</f>
        <v/>
      </c>
      <c r="AO108" s="5">
        <f>AN112</f>
        <v/>
      </c>
      <c r="AP108" s="5">
        <f>AO112</f>
        <v/>
      </c>
      <c r="AQ108" s="5">
        <f>AP112</f>
        <v/>
      </c>
      <c r="AR108" s="5">
        <f>AQ112</f>
        <v/>
      </c>
      <c r="AS108" s="5">
        <f>AR112</f>
        <v/>
      </c>
      <c r="AT108" s="5">
        <f>AS112</f>
        <v/>
      </c>
      <c r="AU108" s="5">
        <f>AT112</f>
        <v/>
      </c>
      <c r="AV108" s="5">
        <f>AU112</f>
        <v/>
      </c>
      <c r="AW108" s="5">
        <f>AV112</f>
        <v/>
      </c>
      <c r="AX108" s="5">
        <f>AW112</f>
        <v/>
      </c>
      <c r="AY108" s="5">
        <f>AX112</f>
        <v/>
      </c>
      <c r="AZ108" s="5">
        <f>AY112</f>
        <v/>
      </c>
      <c r="BA108" s="5">
        <f>AZ112</f>
        <v/>
      </c>
      <c r="BB108" s="5">
        <f>BA112</f>
        <v/>
      </c>
      <c r="BC108" s="5">
        <f>BB112</f>
        <v/>
      </c>
      <c r="BD108" s="5">
        <f>BC112</f>
        <v/>
      </c>
      <c r="BE108" s="5">
        <f>BD112</f>
        <v/>
      </c>
      <c r="BF108" s="5">
        <f>BE112</f>
        <v/>
      </c>
      <c r="BG108" s="5">
        <f>BF112</f>
        <v/>
      </c>
      <c r="BH108" s="5">
        <f>BG112</f>
        <v/>
      </c>
      <c r="BI108" s="5">
        <f>BH112</f>
        <v/>
      </c>
      <c r="BJ108" s="5">
        <f>BI112</f>
        <v/>
      </c>
      <c r="BK108" s="5">
        <f>BJ112</f>
        <v/>
      </c>
      <c r="BL108" s="5">
        <f>BK112</f>
        <v/>
      </c>
      <c r="BM108" s="5">
        <f>BL112</f>
        <v/>
      </c>
      <c r="BN108" s="5">
        <f>BM112</f>
        <v/>
      </c>
      <c r="BO108" s="5">
        <f>BN112</f>
        <v/>
      </c>
      <c r="BP108" s="5">
        <f>BO112</f>
        <v/>
      </c>
      <c r="BQ108" s="5">
        <f>BP112</f>
        <v/>
      </c>
      <c r="BR108" s="5">
        <f>BQ112</f>
        <v/>
      </c>
      <c r="BS108" s="5">
        <f>BR112</f>
        <v/>
      </c>
      <c r="BT108" s="5">
        <f>BS112</f>
        <v/>
      </c>
      <c r="BU108" s="5">
        <f>BT112</f>
        <v/>
      </c>
      <c r="BV108" s="5">
        <f>BU112</f>
        <v/>
      </c>
    </row>
    <row r="109">
      <c r="A109" t="inlineStr">
        <is>
          <t>new</t>
        </is>
      </c>
      <c r="B109" t="inlineStr">
        <is>
          <t>APAC|BASIC_M</t>
        </is>
      </c>
      <c r="C109" s="5">
        <f>Adds!C215+IF(Params!$B$7=1,Adds!C214,Adds!C218)</f>
        <v/>
      </c>
      <c r="D109" s="5">
        <f>Adds!D215+IF(Params!$B$7=1,Adds!D214,Adds!D218)</f>
        <v/>
      </c>
      <c r="E109" s="5">
        <f>Adds!E215+IF(Params!$B$7=1,Adds!E214,Adds!E218)</f>
        <v/>
      </c>
      <c r="F109" s="5">
        <f>Adds!F215+IF(Params!$B$7=1,Adds!F214,Adds!F218)</f>
        <v/>
      </c>
      <c r="G109" s="5">
        <f>Adds!G215+IF(Params!$B$7=1,Adds!G214,Adds!G218)</f>
        <v/>
      </c>
      <c r="H109" s="5">
        <f>Adds!H215+IF(Params!$B$7=1,Adds!H214,Adds!H218)</f>
        <v/>
      </c>
      <c r="I109" s="5">
        <f>Adds!I215+IF(Params!$B$7=1,Adds!I214,Adds!I218)</f>
        <v/>
      </c>
      <c r="J109" s="5">
        <f>Adds!J215+IF(Params!$B$7=1,Adds!J214,Adds!J218)</f>
        <v/>
      </c>
      <c r="K109" s="5">
        <f>Adds!K215+IF(Params!$B$7=1,Adds!K214,Adds!K218)</f>
        <v/>
      </c>
      <c r="L109" s="5">
        <f>Adds!L215+IF(Params!$B$7=1,Adds!L214,Adds!L218)</f>
        <v/>
      </c>
      <c r="M109" s="5">
        <f>Adds!M215+IF(Params!$B$7=1,Adds!M214,Adds!M218)</f>
        <v/>
      </c>
      <c r="N109" s="5">
        <f>Adds!N215+IF(Params!$B$7=1,Adds!N214,Adds!N218)</f>
        <v/>
      </c>
      <c r="O109" s="5">
        <f>Adds!O215+IF(Params!$B$7=1,Adds!O214,Adds!O218)</f>
        <v/>
      </c>
      <c r="P109" s="5">
        <f>Adds!P215+IF(Params!$B$7=1,Adds!P214,Adds!P218)</f>
        <v/>
      </c>
      <c r="Q109" s="5">
        <f>Adds!Q215+IF(Params!$B$7=1,Adds!Q214,Adds!Q218)</f>
        <v/>
      </c>
      <c r="R109" s="5">
        <f>Adds!R215+IF(Params!$B$7=1,Adds!R214,Adds!R218)</f>
        <v/>
      </c>
      <c r="S109" s="5">
        <f>Adds!S215+IF(Params!$B$7=1,Adds!S214,Adds!S218)</f>
        <v/>
      </c>
      <c r="T109" s="5">
        <f>Adds!T215+IF(Params!$B$7=1,Adds!T214,Adds!T218)</f>
        <v/>
      </c>
      <c r="U109" s="5">
        <f>Adds!U215+IF(Params!$B$7=1,Adds!U214,Adds!U218)</f>
        <v/>
      </c>
      <c r="V109" s="5">
        <f>Adds!V215+IF(Params!$B$7=1,Adds!V214,Adds!V218)</f>
        <v/>
      </c>
      <c r="W109" s="5">
        <f>Adds!W215+IF(Params!$B$7=1,Adds!W214,Adds!W218)</f>
        <v/>
      </c>
      <c r="X109" s="5">
        <f>Adds!X215+IF(Params!$B$7=1,Adds!X214,Adds!X218)</f>
        <v/>
      </c>
      <c r="Y109" s="5">
        <f>Adds!Y215+IF(Params!$B$7=1,Adds!Y214,Adds!Y218)</f>
        <v/>
      </c>
      <c r="Z109" s="5">
        <f>Adds!Z215+IF(Params!$B$7=1,Adds!Z214,Adds!Z218)</f>
        <v/>
      </c>
      <c r="AA109" s="5">
        <f>Adds!AA215+IF(Params!$B$7=1,Adds!AA214,Adds!AA218)</f>
        <v/>
      </c>
      <c r="AB109" s="5">
        <f>Adds!AB215+IF(Params!$B$7=1,Adds!AB214,Adds!AB218)</f>
        <v/>
      </c>
      <c r="AC109" s="5">
        <f>Adds!AC215+IF(Params!$B$7=1,Adds!AC214,Adds!AC218)</f>
        <v/>
      </c>
      <c r="AD109" s="5">
        <f>Adds!AD215+IF(Params!$B$7=1,Adds!AD214,Adds!AD218)</f>
        <v/>
      </c>
      <c r="AE109" s="5">
        <f>Adds!AE215+IF(Params!$B$7=1,Adds!AE214,Adds!AE218)</f>
        <v/>
      </c>
      <c r="AF109" s="5">
        <f>Adds!AF215+IF(Params!$B$7=1,Adds!AF214,Adds!AF218)</f>
        <v/>
      </c>
      <c r="AG109" s="5">
        <f>Adds!AG215+IF(Params!$B$7=1,Adds!AG214,Adds!AG218)</f>
        <v/>
      </c>
      <c r="AH109" s="5">
        <f>Adds!AH215+IF(Params!$B$7=1,Adds!AH214,Adds!AH218)</f>
        <v/>
      </c>
      <c r="AI109" s="5">
        <f>Adds!AI215+IF(Params!$B$7=1,Adds!AI214,Adds!AI218)</f>
        <v/>
      </c>
      <c r="AJ109" s="5">
        <f>Adds!AJ215+IF(Params!$B$7=1,Adds!AJ214,Adds!AJ218)</f>
        <v/>
      </c>
      <c r="AK109" s="5">
        <f>Adds!AK215+IF(Params!$B$7=1,Adds!AK214,Adds!AK218)</f>
        <v/>
      </c>
      <c r="AL109" s="5">
        <f>Adds!AL215+IF(Params!$B$7=1,Adds!AL214,Adds!AL218)</f>
        <v/>
      </c>
      <c r="AM109" s="5">
        <f>Adds!AM215+IF(Params!$B$7=1,Adds!AM214,Adds!AM218)</f>
        <v/>
      </c>
      <c r="AN109" s="5">
        <f>Adds!AN215+IF(Params!$B$7=1,Adds!AN214,Adds!AN218)</f>
        <v/>
      </c>
      <c r="AO109" s="5">
        <f>Adds!AO215+IF(Params!$B$7=1,Adds!AO214,Adds!AO218)</f>
        <v/>
      </c>
      <c r="AP109" s="5">
        <f>Adds!AP215+IF(Params!$B$7=1,Adds!AP214,Adds!AP218)</f>
        <v/>
      </c>
      <c r="AQ109" s="5">
        <f>Adds!AQ215+IF(Params!$B$7=1,Adds!AQ214,Adds!AQ218)</f>
        <v/>
      </c>
      <c r="AR109" s="5">
        <f>Adds!AR215+IF(Params!$B$7=1,Adds!AR214,Adds!AR218)</f>
        <v/>
      </c>
      <c r="AS109" s="5">
        <f>Adds!AS215+IF(Params!$B$7=1,Adds!AS214,Adds!AS218)</f>
        <v/>
      </c>
      <c r="AT109" s="5">
        <f>Adds!AT215+IF(Params!$B$7=1,Adds!AT214,Adds!AT218)</f>
        <v/>
      </c>
      <c r="AU109" s="5">
        <f>Adds!AU215+IF(Params!$B$7=1,Adds!AU214,Adds!AU218)</f>
        <v/>
      </c>
      <c r="AV109" s="5">
        <f>Adds!AV215+IF(Params!$B$7=1,Adds!AV214,Adds!AV218)</f>
        <v/>
      </c>
      <c r="AW109" s="5">
        <f>Adds!AW215+IF(Params!$B$7=1,Adds!AW214,Adds!AW218)</f>
        <v/>
      </c>
      <c r="AX109" s="5">
        <f>Adds!AX215+IF(Params!$B$7=1,Adds!AX214,Adds!AX218)</f>
        <v/>
      </c>
      <c r="AY109" s="5">
        <f>Adds!AY215+IF(Params!$B$7=1,Adds!AY214,Adds!AY218)</f>
        <v/>
      </c>
      <c r="AZ109" s="5">
        <f>Adds!AZ215+IF(Params!$B$7=1,Adds!AZ214,Adds!AZ218)</f>
        <v/>
      </c>
      <c r="BA109" s="5">
        <f>Adds!BA215+IF(Params!$B$7=1,Adds!BA214,Adds!BA218)</f>
        <v/>
      </c>
      <c r="BB109" s="5">
        <f>Adds!BB215+IF(Params!$B$7=1,Adds!BB214,Adds!BB218)</f>
        <v/>
      </c>
      <c r="BC109" s="5">
        <f>Adds!BC215+IF(Params!$B$7=1,Adds!BC214,Adds!BC218)</f>
        <v/>
      </c>
      <c r="BD109" s="5">
        <f>Adds!BD215+IF(Params!$B$7=1,Adds!BD214,Adds!BD218)</f>
        <v/>
      </c>
      <c r="BE109" s="5">
        <f>Adds!BE215+IF(Params!$B$7=1,Adds!BE214,Adds!BE218)</f>
        <v/>
      </c>
      <c r="BF109" s="5">
        <f>Adds!BF215+IF(Params!$B$7=1,Adds!BF214,Adds!BF218)</f>
        <v/>
      </c>
      <c r="BG109" s="5">
        <f>Adds!BG215+IF(Params!$B$7=1,Adds!BG214,Adds!BG218)</f>
        <v/>
      </c>
      <c r="BH109" s="5">
        <f>Adds!BH215+IF(Params!$B$7=1,Adds!BH214,Adds!BH218)</f>
        <v/>
      </c>
      <c r="BI109" s="5">
        <f>Adds!BI215+IF(Params!$B$7=1,Adds!BI214,Adds!BI218)</f>
        <v/>
      </c>
      <c r="BJ109" s="5">
        <f>Adds!BJ215+IF(Params!$B$7=1,Adds!BJ214,Adds!BJ218)</f>
        <v/>
      </c>
      <c r="BK109" s="5">
        <f>Adds!BK215+IF(Params!$B$7=1,Adds!BK214,Adds!BK218)</f>
        <v/>
      </c>
      <c r="BL109" s="5">
        <f>Adds!BL215+IF(Params!$B$7=1,Adds!BL214,Adds!BL218)</f>
        <v/>
      </c>
      <c r="BM109" s="5">
        <f>Adds!BM215+IF(Params!$B$7=1,Adds!BM214,Adds!BM218)</f>
        <v/>
      </c>
      <c r="BN109" s="5">
        <f>Adds!BN215+IF(Params!$B$7=1,Adds!BN214,Adds!BN218)</f>
        <v/>
      </c>
      <c r="BO109" s="5">
        <f>Adds!BO215+IF(Params!$B$7=1,Adds!BO214,Adds!BO218)</f>
        <v/>
      </c>
      <c r="BP109" s="5">
        <f>Adds!BP215+IF(Params!$B$7=1,Adds!BP214,Adds!BP218)</f>
        <v/>
      </c>
      <c r="BQ109" s="5">
        <f>Adds!BQ215+IF(Params!$B$7=1,Adds!BQ214,Adds!BQ218)</f>
        <v/>
      </c>
      <c r="BR109" s="5">
        <f>Adds!BR215+IF(Params!$B$7=1,Adds!BR214,Adds!BR218)</f>
        <v/>
      </c>
      <c r="BS109" s="5">
        <f>Adds!BS215+IF(Params!$B$7=1,Adds!BS214,Adds!BS218)</f>
        <v/>
      </c>
      <c r="BT109" s="5">
        <f>Adds!BT215+IF(Params!$B$7=1,Adds!BT214,Adds!BT218)</f>
        <v/>
      </c>
      <c r="BU109" s="5">
        <f>Adds!BU215+IF(Params!$B$7=1,Adds!BU214,Adds!BU218)</f>
        <v/>
      </c>
      <c r="BV109" s="5">
        <f>Adds!BV215+IF(Params!$B$7=1,Adds!BV214,Adds!BV218)</f>
        <v/>
      </c>
    </row>
    <row r="110">
      <c r="A110" t="inlineStr">
        <is>
          <t>reactivated</t>
        </is>
      </c>
      <c r="B110" t="inlineStr">
        <is>
          <t>APAC|BASIC_M</t>
        </is>
      </c>
      <c r="C110" s="5">
        <f>React!C190</f>
        <v/>
      </c>
      <c r="D110" s="5">
        <f>React!D190</f>
        <v/>
      </c>
      <c r="E110" s="5">
        <f>React!E190</f>
        <v/>
      </c>
      <c r="F110" s="5">
        <f>React!F190</f>
        <v/>
      </c>
      <c r="G110" s="5">
        <f>React!G190</f>
        <v/>
      </c>
      <c r="H110" s="5">
        <f>React!H190</f>
        <v/>
      </c>
      <c r="I110" s="5">
        <f>React!I190</f>
        <v/>
      </c>
      <c r="J110" s="5">
        <f>React!J190</f>
        <v/>
      </c>
      <c r="K110" s="5">
        <f>React!K190</f>
        <v/>
      </c>
      <c r="L110" s="5">
        <f>React!L190</f>
        <v/>
      </c>
      <c r="M110" s="5">
        <f>React!M190</f>
        <v/>
      </c>
      <c r="N110" s="5">
        <f>React!N190</f>
        <v/>
      </c>
      <c r="O110" s="5">
        <f>React!O190</f>
        <v/>
      </c>
      <c r="P110" s="5">
        <f>React!P190</f>
        <v/>
      </c>
      <c r="Q110" s="5">
        <f>React!Q190</f>
        <v/>
      </c>
      <c r="R110" s="5">
        <f>React!R190</f>
        <v/>
      </c>
      <c r="S110" s="5">
        <f>React!S190</f>
        <v/>
      </c>
      <c r="T110" s="5">
        <f>React!T190</f>
        <v/>
      </c>
      <c r="U110" s="5">
        <f>React!U190</f>
        <v/>
      </c>
      <c r="V110" s="5">
        <f>React!V190</f>
        <v/>
      </c>
      <c r="W110" s="5">
        <f>React!W190</f>
        <v/>
      </c>
      <c r="X110" s="5">
        <f>React!X190</f>
        <v/>
      </c>
      <c r="Y110" s="5">
        <f>React!Y190</f>
        <v/>
      </c>
      <c r="Z110" s="5">
        <f>React!Z190</f>
        <v/>
      </c>
      <c r="AA110" s="5">
        <f>React!AA190</f>
        <v/>
      </c>
      <c r="AB110" s="5">
        <f>React!AB190</f>
        <v/>
      </c>
      <c r="AC110" s="5">
        <f>React!AC190</f>
        <v/>
      </c>
      <c r="AD110" s="5">
        <f>React!AD190</f>
        <v/>
      </c>
      <c r="AE110" s="5">
        <f>React!AE190</f>
        <v/>
      </c>
      <c r="AF110" s="5">
        <f>React!AF190</f>
        <v/>
      </c>
      <c r="AG110" s="5">
        <f>React!AG190</f>
        <v/>
      </c>
      <c r="AH110" s="5">
        <f>React!AH190</f>
        <v/>
      </c>
      <c r="AI110" s="5">
        <f>React!AI190</f>
        <v/>
      </c>
      <c r="AJ110" s="5">
        <f>React!AJ190</f>
        <v/>
      </c>
      <c r="AK110" s="5">
        <f>React!AK190</f>
        <v/>
      </c>
      <c r="AL110" s="5">
        <f>React!AL190</f>
        <v/>
      </c>
      <c r="AM110" s="5">
        <f>React!AM190</f>
        <v/>
      </c>
      <c r="AN110" s="5">
        <f>React!AN190</f>
        <v/>
      </c>
      <c r="AO110" s="5">
        <f>React!AO190</f>
        <v/>
      </c>
      <c r="AP110" s="5">
        <f>React!AP190</f>
        <v/>
      </c>
      <c r="AQ110" s="5">
        <f>React!AQ190</f>
        <v/>
      </c>
      <c r="AR110" s="5">
        <f>React!AR190</f>
        <v/>
      </c>
      <c r="AS110" s="5">
        <f>React!AS190</f>
        <v/>
      </c>
      <c r="AT110" s="5">
        <f>React!AT190</f>
        <v/>
      </c>
      <c r="AU110" s="5">
        <f>React!AU190</f>
        <v/>
      </c>
      <c r="AV110" s="5">
        <f>React!AV190</f>
        <v/>
      </c>
      <c r="AW110" s="5">
        <f>React!AW190</f>
        <v/>
      </c>
      <c r="AX110" s="5">
        <f>React!AX190</f>
        <v/>
      </c>
      <c r="AY110" s="5">
        <f>React!AY190</f>
        <v/>
      </c>
      <c r="AZ110" s="5">
        <f>React!AZ190</f>
        <v/>
      </c>
      <c r="BA110" s="5">
        <f>React!BA190</f>
        <v/>
      </c>
      <c r="BB110" s="5">
        <f>React!BB190</f>
        <v/>
      </c>
      <c r="BC110" s="5">
        <f>React!BC190</f>
        <v/>
      </c>
      <c r="BD110" s="5">
        <f>React!BD190</f>
        <v/>
      </c>
      <c r="BE110" s="5">
        <f>React!BE190</f>
        <v/>
      </c>
      <c r="BF110" s="5">
        <f>React!BF190</f>
        <v/>
      </c>
      <c r="BG110" s="5">
        <f>React!BG190</f>
        <v/>
      </c>
      <c r="BH110" s="5">
        <f>React!BH190</f>
        <v/>
      </c>
      <c r="BI110" s="5">
        <f>React!BI190</f>
        <v/>
      </c>
      <c r="BJ110" s="5">
        <f>React!BJ190</f>
        <v/>
      </c>
      <c r="BK110" s="5">
        <f>React!BK190</f>
        <v/>
      </c>
      <c r="BL110" s="5">
        <f>React!BL190</f>
        <v/>
      </c>
      <c r="BM110" s="5">
        <f>React!BM190</f>
        <v/>
      </c>
      <c r="BN110" s="5">
        <f>React!BN190</f>
        <v/>
      </c>
      <c r="BO110" s="5">
        <f>React!BO190</f>
        <v/>
      </c>
      <c r="BP110" s="5">
        <f>React!BP190</f>
        <v/>
      </c>
      <c r="BQ110" s="5">
        <f>React!BQ190</f>
        <v/>
      </c>
      <c r="BR110" s="5">
        <f>React!BR190</f>
        <v/>
      </c>
      <c r="BS110" s="5">
        <f>React!BS190</f>
        <v/>
      </c>
      <c r="BT110" s="5">
        <f>React!BT190</f>
        <v/>
      </c>
      <c r="BU110" s="5">
        <f>React!BU190</f>
        <v/>
      </c>
      <c r="BV110" s="5">
        <f>React!BV190</f>
        <v/>
      </c>
    </row>
    <row r="111">
      <c r="A111" t="inlineStr">
        <is>
          <t>churned</t>
        </is>
      </c>
      <c r="B111" t="inlineStr">
        <is>
          <t>APAC|BASIC_M</t>
        </is>
      </c>
      <c r="C111" s="5">
        <f>Legacy!C63+Paid!C61+React!C196+Params!$B$7*Adds!C219</f>
        <v/>
      </c>
      <c r="D111" s="5">
        <f>Legacy!D63+Paid!D61+React!D196+Params!$B$7*Adds!D219</f>
        <v/>
      </c>
      <c r="E111" s="5">
        <f>Legacy!E63+Paid!E61+React!E196+Params!$B$7*Adds!E219</f>
        <v/>
      </c>
      <c r="F111" s="5">
        <f>Legacy!F63+Paid!F61+React!F196+Params!$B$7*Adds!F219</f>
        <v/>
      </c>
      <c r="G111" s="5">
        <f>Legacy!G63+Paid!G61+React!G196+Params!$B$7*Adds!G219</f>
        <v/>
      </c>
      <c r="H111" s="5">
        <f>Legacy!H63+Paid!H61+React!H196+Params!$B$7*Adds!H219</f>
        <v/>
      </c>
      <c r="I111" s="5">
        <f>Legacy!I63+Paid!I61+React!I196+Params!$B$7*Adds!I219</f>
        <v/>
      </c>
      <c r="J111" s="5">
        <f>Legacy!J63+Paid!J61+React!J196+Params!$B$7*Adds!J219</f>
        <v/>
      </c>
      <c r="K111" s="5">
        <f>Legacy!K63+Paid!K61+React!K196+Params!$B$7*Adds!K219</f>
        <v/>
      </c>
      <c r="L111" s="5">
        <f>Legacy!L63+Paid!L61+React!L196+Params!$B$7*Adds!L219</f>
        <v/>
      </c>
      <c r="M111" s="5">
        <f>Legacy!M63+Paid!M61+React!M196+Params!$B$7*Adds!M219</f>
        <v/>
      </c>
      <c r="N111" s="5">
        <f>Legacy!N63+Paid!N61+React!N196+Params!$B$7*Adds!N219</f>
        <v/>
      </c>
      <c r="O111" s="5">
        <f>Legacy!O63+Paid!O61+React!O196+Params!$B$7*Adds!O219</f>
        <v/>
      </c>
      <c r="P111" s="5">
        <f>Legacy!P63+Paid!P61+React!P196+Params!$B$7*Adds!P219</f>
        <v/>
      </c>
      <c r="Q111" s="5">
        <f>Legacy!Q63+Paid!Q61+React!Q196+Params!$B$7*Adds!Q219</f>
        <v/>
      </c>
      <c r="R111" s="5">
        <f>Legacy!R63+Paid!R61+React!R196+Params!$B$7*Adds!R219</f>
        <v/>
      </c>
      <c r="S111" s="5">
        <f>Legacy!S63+Paid!S61+React!S196+Params!$B$7*Adds!S219</f>
        <v/>
      </c>
      <c r="T111" s="5">
        <f>Legacy!T63+Paid!T61+React!T196+Params!$B$7*Adds!T219</f>
        <v/>
      </c>
      <c r="U111" s="5">
        <f>Legacy!U63+Paid!U61+React!U196+Params!$B$7*Adds!U219</f>
        <v/>
      </c>
      <c r="V111" s="5">
        <f>Legacy!V63+Paid!V61+React!V196+Params!$B$7*Adds!V219</f>
        <v/>
      </c>
      <c r="W111" s="5">
        <f>Legacy!W63+Paid!W61+React!W196+Params!$B$7*Adds!W219</f>
        <v/>
      </c>
      <c r="X111" s="5">
        <f>Legacy!X63+Paid!X61+React!X196+Params!$B$7*Adds!X219</f>
        <v/>
      </c>
      <c r="Y111" s="5">
        <f>Legacy!Y63+Paid!Y61+React!Y196+Params!$B$7*Adds!Y219</f>
        <v/>
      </c>
      <c r="Z111" s="5">
        <f>Legacy!Z63+Paid!Z61+React!Z196+Params!$B$7*Adds!Z219</f>
        <v/>
      </c>
      <c r="AA111" s="5">
        <f>Legacy!AA63+Paid!AA61+React!AA196+Params!$B$7*Adds!AA219</f>
        <v/>
      </c>
      <c r="AB111" s="5">
        <f>Legacy!AB63+Paid!AB61+React!AB196+Params!$B$7*Adds!AB219</f>
        <v/>
      </c>
      <c r="AC111" s="5">
        <f>Legacy!AC63+Paid!AC61+React!AC196+Params!$B$7*Adds!AC219</f>
        <v/>
      </c>
      <c r="AD111" s="5">
        <f>Legacy!AD63+Paid!AD61+React!AD196+Params!$B$7*Adds!AD219</f>
        <v/>
      </c>
      <c r="AE111" s="5">
        <f>Legacy!AE63+Paid!AE61+React!AE196+Params!$B$7*Adds!AE219</f>
        <v/>
      </c>
      <c r="AF111" s="5">
        <f>Legacy!AF63+Paid!AF61+React!AF196+Params!$B$7*Adds!AF219</f>
        <v/>
      </c>
      <c r="AG111" s="5">
        <f>Legacy!AG63+Paid!AG61+React!AG196+Params!$B$7*Adds!AG219</f>
        <v/>
      </c>
      <c r="AH111" s="5">
        <f>Legacy!AH63+Paid!AH61+React!AH196+Params!$B$7*Adds!AH219</f>
        <v/>
      </c>
      <c r="AI111" s="5">
        <f>Legacy!AI63+Paid!AI61+React!AI196+Params!$B$7*Adds!AI219</f>
        <v/>
      </c>
      <c r="AJ111" s="5">
        <f>Legacy!AJ63+Paid!AJ61+React!AJ196+Params!$B$7*Adds!AJ219</f>
        <v/>
      </c>
      <c r="AK111" s="5">
        <f>Legacy!AK63+Paid!AK61+React!AK196+Params!$B$7*Adds!AK219</f>
        <v/>
      </c>
      <c r="AL111" s="5">
        <f>Legacy!AL63+Paid!AL61+React!AL196+Params!$B$7*Adds!AL219</f>
        <v/>
      </c>
      <c r="AM111" s="5">
        <f>Legacy!AM63+Paid!AM61+React!AM196+Params!$B$7*Adds!AM219</f>
        <v/>
      </c>
      <c r="AN111" s="5">
        <f>Legacy!AN63+Paid!AN61+React!AN196+Params!$B$7*Adds!AN219</f>
        <v/>
      </c>
      <c r="AO111" s="5">
        <f>Legacy!AO63+Paid!AO61+React!AO196+Params!$B$7*Adds!AO219</f>
        <v/>
      </c>
      <c r="AP111" s="5">
        <f>Legacy!AP63+Paid!AP61+React!AP196+Params!$B$7*Adds!AP219</f>
        <v/>
      </c>
      <c r="AQ111" s="5">
        <f>Legacy!AQ63+Paid!AQ61+React!AQ196+Params!$B$7*Adds!AQ219</f>
        <v/>
      </c>
      <c r="AR111" s="5">
        <f>Legacy!AR63+Paid!AR61+React!AR196+Params!$B$7*Adds!AR219</f>
        <v/>
      </c>
      <c r="AS111" s="5">
        <f>Legacy!AS63+Paid!AS61+React!AS196+Params!$B$7*Adds!AS219</f>
        <v/>
      </c>
      <c r="AT111" s="5">
        <f>Legacy!AT63+Paid!AT61+React!AT196+Params!$B$7*Adds!AT219</f>
        <v/>
      </c>
      <c r="AU111" s="5">
        <f>Legacy!AU63+Paid!AU61+React!AU196+Params!$B$7*Adds!AU219</f>
        <v/>
      </c>
      <c r="AV111" s="5">
        <f>Legacy!AV63+Paid!AV61+React!AV196+Params!$B$7*Adds!AV219</f>
        <v/>
      </c>
      <c r="AW111" s="5">
        <f>Legacy!AW63+Paid!AW61+React!AW196+Params!$B$7*Adds!AW219</f>
        <v/>
      </c>
      <c r="AX111" s="5">
        <f>Legacy!AX63+Paid!AX61+React!AX196+Params!$B$7*Adds!AX219</f>
        <v/>
      </c>
      <c r="AY111" s="5">
        <f>Legacy!AY63+Paid!AY61+React!AY196+Params!$B$7*Adds!AY219</f>
        <v/>
      </c>
      <c r="AZ111" s="5">
        <f>Legacy!AZ63+Paid!AZ61+React!AZ196+Params!$B$7*Adds!AZ219</f>
        <v/>
      </c>
      <c r="BA111" s="5">
        <f>Legacy!BA63+Paid!BA61+React!BA196+Params!$B$7*Adds!BA219</f>
        <v/>
      </c>
      <c r="BB111" s="5">
        <f>Legacy!BB63+Paid!BB61+React!BB196+Params!$B$7*Adds!BB219</f>
        <v/>
      </c>
      <c r="BC111" s="5">
        <f>Legacy!BC63+Paid!BC61+React!BC196+Params!$B$7*Adds!BC219</f>
        <v/>
      </c>
      <c r="BD111" s="5">
        <f>Legacy!BD63+Paid!BD61+React!BD196+Params!$B$7*Adds!BD219</f>
        <v/>
      </c>
      <c r="BE111" s="5">
        <f>Legacy!BE63+Paid!BE61+React!BE196+Params!$B$7*Adds!BE219</f>
        <v/>
      </c>
      <c r="BF111" s="5">
        <f>Legacy!BF63+Paid!BF61+React!BF196+Params!$B$7*Adds!BF219</f>
        <v/>
      </c>
      <c r="BG111" s="5">
        <f>Legacy!BG63+Paid!BG61+React!BG196+Params!$B$7*Adds!BG219</f>
        <v/>
      </c>
      <c r="BH111" s="5">
        <f>Legacy!BH63+Paid!BH61+React!BH196+Params!$B$7*Adds!BH219</f>
        <v/>
      </c>
      <c r="BI111" s="5">
        <f>Legacy!BI63+Paid!BI61+React!BI196+Params!$B$7*Adds!BI219</f>
        <v/>
      </c>
      <c r="BJ111" s="5">
        <f>Legacy!BJ63+Paid!BJ61+React!BJ196+Params!$B$7*Adds!BJ219</f>
        <v/>
      </c>
      <c r="BK111" s="5">
        <f>Legacy!BK63+Paid!BK61+React!BK196+Params!$B$7*Adds!BK219</f>
        <v/>
      </c>
      <c r="BL111" s="5">
        <f>Legacy!BL63+Paid!BL61+React!BL196+Params!$B$7*Adds!BL219</f>
        <v/>
      </c>
      <c r="BM111" s="5">
        <f>Legacy!BM63+Paid!BM61+React!BM196+Params!$B$7*Adds!BM219</f>
        <v/>
      </c>
      <c r="BN111" s="5">
        <f>Legacy!BN63+Paid!BN61+React!BN196+Params!$B$7*Adds!BN219</f>
        <v/>
      </c>
      <c r="BO111" s="5">
        <f>Legacy!BO63+Paid!BO61+React!BO196+Params!$B$7*Adds!BO219</f>
        <v/>
      </c>
      <c r="BP111" s="5">
        <f>Legacy!BP63+Paid!BP61+React!BP196+Params!$B$7*Adds!BP219</f>
        <v/>
      </c>
      <c r="BQ111" s="5">
        <f>Legacy!BQ63+Paid!BQ61+React!BQ196+Params!$B$7*Adds!BQ219</f>
        <v/>
      </c>
      <c r="BR111" s="5">
        <f>Legacy!BR63+Paid!BR61+React!BR196+Params!$B$7*Adds!BR219</f>
        <v/>
      </c>
      <c r="BS111" s="5">
        <f>Legacy!BS63+Paid!BS61+React!BS196+Params!$B$7*Adds!BS219</f>
        <v/>
      </c>
      <c r="BT111" s="5">
        <f>Legacy!BT63+Paid!BT61+React!BT196+Params!$B$7*Adds!BT219</f>
        <v/>
      </c>
      <c r="BU111" s="5">
        <f>Legacy!BU63+Paid!BU61+React!BU196+Params!$B$7*Adds!BU219</f>
        <v/>
      </c>
      <c r="BV111" s="5">
        <f>Legacy!BV63+Paid!BV61+React!BV196+Params!$B$7*Adds!BV219</f>
        <v/>
      </c>
    </row>
    <row r="112">
      <c r="A112" t="inlineStr">
        <is>
          <t>closing</t>
        </is>
      </c>
      <c r="B112" t="inlineStr">
        <is>
          <t>APAC|BASIC_M</t>
        </is>
      </c>
      <c r="C112" s="5">
        <f>C113+Params!$B$7*Adds!C222</f>
        <v/>
      </c>
      <c r="D112" s="5">
        <f>D113+Params!$B$7*Adds!D222</f>
        <v/>
      </c>
      <c r="E112" s="5">
        <f>E113+Params!$B$7*Adds!E222</f>
        <v/>
      </c>
      <c r="F112" s="5">
        <f>F113+Params!$B$7*Adds!F222</f>
        <v/>
      </c>
      <c r="G112" s="5">
        <f>G113+Params!$B$7*Adds!G222</f>
        <v/>
      </c>
      <c r="H112" s="5">
        <f>H113+Params!$B$7*Adds!H222</f>
        <v/>
      </c>
      <c r="I112" s="5">
        <f>I113+Params!$B$7*Adds!I222</f>
        <v/>
      </c>
      <c r="J112" s="5">
        <f>J113+Params!$B$7*Adds!J222</f>
        <v/>
      </c>
      <c r="K112" s="5">
        <f>K113+Params!$B$7*Adds!K222</f>
        <v/>
      </c>
      <c r="L112" s="5">
        <f>L113+Params!$B$7*Adds!L222</f>
        <v/>
      </c>
      <c r="M112" s="5">
        <f>M113+Params!$B$7*Adds!M222</f>
        <v/>
      </c>
      <c r="N112" s="5">
        <f>N113+Params!$B$7*Adds!N222</f>
        <v/>
      </c>
      <c r="O112" s="5">
        <f>O113+Params!$B$7*Adds!O222</f>
        <v/>
      </c>
      <c r="P112" s="5">
        <f>P113+Params!$B$7*Adds!P222</f>
        <v/>
      </c>
      <c r="Q112" s="5">
        <f>Q113+Params!$B$7*Adds!Q222</f>
        <v/>
      </c>
      <c r="R112" s="5">
        <f>R113+Params!$B$7*Adds!R222</f>
        <v/>
      </c>
      <c r="S112" s="5">
        <f>S113+Params!$B$7*Adds!S222</f>
        <v/>
      </c>
      <c r="T112" s="5">
        <f>T113+Params!$B$7*Adds!T222</f>
        <v/>
      </c>
      <c r="U112" s="5">
        <f>U113+Params!$B$7*Adds!U222</f>
        <v/>
      </c>
      <c r="V112" s="5">
        <f>V113+Params!$B$7*Adds!V222</f>
        <v/>
      </c>
      <c r="W112" s="5">
        <f>W113+Params!$B$7*Adds!W222</f>
        <v/>
      </c>
      <c r="X112" s="5">
        <f>X113+Params!$B$7*Adds!X222</f>
        <v/>
      </c>
      <c r="Y112" s="5">
        <f>Y113+Params!$B$7*Adds!Y222</f>
        <v/>
      </c>
      <c r="Z112" s="5">
        <f>Z113+Params!$B$7*Adds!Z222</f>
        <v/>
      </c>
      <c r="AA112" s="5">
        <f>AA113+Params!$B$7*Adds!AA222</f>
        <v/>
      </c>
      <c r="AB112" s="5">
        <f>AB113+Params!$B$7*Adds!AB222</f>
        <v/>
      </c>
      <c r="AC112" s="5">
        <f>AC113+Params!$B$7*Adds!AC222</f>
        <v/>
      </c>
      <c r="AD112" s="5">
        <f>AD113+Params!$B$7*Adds!AD222</f>
        <v/>
      </c>
      <c r="AE112" s="5">
        <f>AE113+Params!$B$7*Adds!AE222</f>
        <v/>
      </c>
      <c r="AF112" s="5">
        <f>AF113+Params!$B$7*Adds!AF222</f>
        <v/>
      </c>
      <c r="AG112" s="5">
        <f>AG113+Params!$B$7*Adds!AG222</f>
        <v/>
      </c>
      <c r="AH112" s="5">
        <f>AH113+Params!$B$7*Adds!AH222</f>
        <v/>
      </c>
      <c r="AI112" s="5">
        <f>AI113+Params!$B$7*Adds!AI222</f>
        <v/>
      </c>
      <c r="AJ112" s="5">
        <f>AJ113+Params!$B$7*Adds!AJ222</f>
        <v/>
      </c>
      <c r="AK112" s="5">
        <f>AK113+Params!$B$7*Adds!AK222</f>
        <v/>
      </c>
      <c r="AL112" s="5">
        <f>AL113+Params!$B$7*Adds!AL222</f>
        <v/>
      </c>
      <c r="AM112" s="5">
        <f>AM113+Params!$B$7*Adds!AM222</f>
        <v/>
      </c>
      <c r="AN112" s="5">
        <f>AN113+Params!$B$7*Adds!AN222</f>
        <v/>
      </c>
      <c r="AO112" s="5">
        <f>AO113+Params!$B$7*Adds!AO222</f>
        <v/>
      </c>
      <c r="AP112" s="5">
        <f>AP113+Params!$B$7*Adds!AP222</f>
        <v/>
      </c>
      <c r="AQ112" s="5">
        <f>AQ113+Params!$B$7*Adds!AQ222</f>
        <v/>
      </c>
      <c r="AR112" s="5">
        <f>AR113+Params!$B$7*Adds!AR222</f>
        <v/>
      </c>
      <c r="AS112" s="5">
        <f>AS113+Params!$B$7*Adds!AS222</f>
        <v/>
      </c>
      <c r="AT112" s="5">
        <f>AT113+Params!$B$7*Adds!AT222</f>
        <v/>
      </c>
      <c r="AU112" s="5">
        <f>AU113+Params!$B$7*Adds!AU222</f>
        <v/>
      </c>
      <c r="AV112" s="5">
        <f>AV113+Params!$B$7*Adds!AV222</f>
        <v/>
      </c>
      <c r="AW112" s="5">
        <f>AW113+Params!$B$7*Adds!AW222</f>
        <v/>
      </c>
      <c r="AX112" s="5">
        <f>AX113+Params!$B$7*Adds!AX222</f>
        <v/>
      </c>
      <c r="AY112" s="5">
        <f>AY113+Params!$B$7*Adds!AY222</f>
        <v/>
      </c>
      <c r="AZ112" s="5">
        <f>AZ113+Params!$B$7*Adds!AZ222</f>
        <v/>
      </c>
      <c r="BA112" s="5">
        <f>BA113+Params!$B$7*Adds!BA222</f>
        <v/>
      </c>
      <c r="BB112" s="5">
        <f>BB113+Params!$B$7*Adds!BB222</f>
        <v/>
      </c>
      <c r="BC112" s="5">
        <f>BC113+Params!$B$7*Adds!BC222</f>
        <v/>
      </c>
      <c r="BD112" s="5">
        <f>BD113+Params!$B$7*Adds!BD222</f>
        <v/>
      </c>
      <c r="BE112" s="5">
        <f>BE113+Params!$B$7*Adds!BE222</f>
        <v/>
      </c>
      <c r="BF112" s="5">
        <f>BF113+Params!$B$7*Adds!BF222</f>
        <v/>
      </c>
      <c r="BG112" s="5">
        <f>BG113+Params!$B$7*Adds!BG222</f>
        <v/>
      </c>
      <c r="BH112" s="5">
        <f>BH113+Params!$B$7*Adds!BH222</f>
        <v/>
      </c>
      <c r="BI112" s="5">
        <f>BI113+Params!$B$7*Adds!BI222</f>
        <v/>
      </c>
      <c r="BJ112" s="5">
        <f>BJ113+Params!$B$7*Adds!BJ222</f>
        <v/>
      </c>
      <c r="BK112" s="5">
        <f>BK113+Params!$B$7*Adds!BK222</f>
        <v/>
      </c>
      <c r="BL112" s="5">
        <f>BL113+Params!$B$7*Adds!BL222</f>
        <v/>
      </c>
      <c r="BM112" s="5">
        <f>BM113+Params!$B$7*Adds!BM222</f>
        <v/>
      </c>
      <c r="BN112" s="5">
        <f>BN113+Params!$B$7*Adds!BN222</f>
        <v/>
      </c>
      <c r="BO112" s="5">
        <f>BO113+Params!$B$7*Adds!BO222</f>
        <v/>
      </c>
      <c r="BP112" s="5">
        <f>BP113+Params!$B$7*Adds!BP222</f>
        <v/>
      </c>
      <c r="BQ112" s="5">
        <f>BQ113+Params!$B$7*Adds!BQ222</f>
        <v/>
      </c>
      <c r="BR112" s="5">
        <f>BR113+Params!$B$7*Adds!BR222</f>
        <v/>
      </c>
      <c r="BS112" s="5">
        <f>BS113+Params!$B$7*Adds!BS222</f>
        <v/>
      </c>
      <c r="BT112" s="5">
        <f>BT113+Params!$B$7*Adds!BT222</f>
        <v/>
      </c>
      <c r="BU112" s="5">
        <f>BU113+Params!$B$7*Adds!BU222</f>
        <v/>
      </c>
      <c r="BV112" s="5">
        <f>BV113+Params!$B$7*Adds!BV222</f>
        <v/>
      </c>
    </row>
    <row r="113">
      <c r="A113" t="inlineStr">
        <is>
          <t>paying</t>
        </is>
      </c>
      <c r="B113" t="inlineStr">
        <is>
          <t>APAC|BASIC_M</t>
        </is>
      </c>
      <c r="C113" s="5">
        <f>Legacy!C62+Paid!C59+React!C194</f>
        <v/>
      </c>
      <c r="D113" s="5">
        <f>Legacy!D62+Paid!D59+React!D194</f>
        <v/>
      </c>
      <c r="E113" s="5">
        <f>Legacy!E62+Paid!E59+React!E194</f>
        <v/>
      </c>
      <c r="F113" s="5">
        <f>Legacy!F62+Paid!F59+React!F194</f>
        <v/>
      </c>
      <c r="G113" s="5">
        <f>Legacy!G62+Paid!G59+React!G194</f>
        <v/>
      </c>
      <c r="H113" s="5">
        <f>Legacy!H62+Paid!H59+React!H194</f>
        <v/>
      </c>
      <c r="I113" s="5">
        <f>Legacy!I62+Paid!I59+React!I194</f>
        <v/>
      </c>
      <c r="J113" s="5">
        <f>Legacy!J62+Paid!J59+React!J194</f>
        <v/>
      </c>
      <c r="K113" s="5">
        <f>Legacy!K62+Paid!K59+React!K194</f>
        <v/>
      </c>
      <c r="L113" s="5">
        <f>Legacy!L62+Paid!L59+React!L194</f>
        <v/>
      </c>
      <c r="M113" s="5">
        <f>Legacy!M62+Paid!M59+React!M194</f>
        <v/>
      </c>
      <c r="N113" s="5">
        <f>Legacy!N62+Paid!N59+React!N194</f>
        <v/>
      </c>
      <c r="O113" s="5">
        <f>Legacy!O62+Paid!O59+React!O194</f>
        <v/>
      </c>
      <c r="P113" s="5">
        <f>Legacy!P62+Paid!P59+React!P194</f>
        <v/>
      </c>
      <c r="Q113" s="5">
        <f>Legacy!Q62+Paid!Q59+React!Q194</f>
        <v/>
      </c>
      <c r="R113" s="5">
        <f>Legacy!R62+Paid!R59+React!R194</f>
        <v/>
      </c>
      <c r="S113" s="5">
        <f>Legacy!S62+Paid!S59+React!S194</f>
        <v/>
      </c>
      <c r="T113" s="5">
        <f>Legacy!T62+Paid!T59+React!T194</f>
        <v/>
      </c>
      <c r="U113" s="5">
        <f>Legacy!U62+Paid!U59+React!U194</f>
        <v/>
      </c>
      <c r="V113" s="5">
        <f>Legacy!V62+Paid!V59+React!V194</f>
        <v/>
      </c>
      <c r="W113" s="5">
        <f>Legacy!W62+Paid!W59+React!W194</f>
        <v/>
      </c>
      <c r="X113" s="5">
        <f>Legacy!X62+Paid!X59+React!X194</f>
        <v/>
      </c>
      <c r="Y113" s="5">
        <f>Legacy!Y62+Paid!Y59+React!Y194</f>
        <v/>
      </c>
      <c r="Z113" s="5">
        <f>Legacy!Z62+Paid!Z59+React!Z194</f>
        <v/>
      </c>
      <c r="AA113" s="5">
        <f>Legacy!AA62+Paid!AA59+React!AA194</f>
        <v/>
      </c>
      <c r="AB113" s="5">
        <f>Legacy!AB62+Paid!AB59+React!AB194</f>
        <v/>
      </c>
      <c r="AC113" s="5">
        <f>Legacy!AC62+Paid!AC59+React!AC194</f>
        <v/>
      </c>
      <c r="AD113" s="5">
        <f>Legacy!AD62+Paid!AD59+React!AD194</f>
        <v/>
      </c>
      <c r="AE113" s="5">
        <f>Legacy!AE62+Paid!AE59+React!AE194</f>
        <v/>
      </c>
      <c r="AF113" s="5">
        <f>Legacy!AF62+Paid!AF59+React!AF194</f>
        <v/>
      </c>
      <c r="AG113" s="5">
        <f>Legacy!AG62+Paid!AG59+React!AG194</f>
        <v/>
      </c>
      <c r="AH113" s="5">
        <f>Legacy!AH62+Paid!AH59+React!AH194</f>
        <v/>
      </c>
      <c r="AI113" s="5">
        <f>Legacy!AI62+Paid!AI59+React!AI194</f>
        <v/>
      </c>
      <c r="AJ113" s="5">
        <f>Legacy!AJ62+Paid!AJ59+React!AJ194</f>
        <v/>
      </c>
      <c r="AK113" s="5">
        <f>Legacy!AK62+Paid!AK59+React!AK194</f>
        <v/>
      </c>
      <c r="AL113" s="5">
        <f>Legacy!AL62+Paid!AL59+React!AL194</f>
        <v/>
      </c>
      <c r="AM113" s="5">
        <f>Legacy!AM62+Paid!AM59+React!AM194</f>
        <v/>
      </c>
      <c r="AN113" s="5">
        <f>Legacy!AN62+Paid!AN59+React!AN194</f>
        <v/>
      </c>
      <c r="AO113" s="5">
        <f>Legacy!AO62+Paid!AO59+React!AO194</f>
        <v/>
      </c>
      <c r="AP113" s="5">
        <f>Legacy!AP62+Paid!AP59+React!AP194</f>
        <v/>
      </c>
      <c r="AQ113" s="5">
        <f>Legacy!AQ62+Paid!AQ59+React!AQ194</f>
        <v/>
      </c>
      <c r="AR113" s="5">
        <f>Legacy!AR62+Paid!AR59+React!AR194</f>
        <v/>
      </c>
      <c r="AS113" s="5">
        <f>Legacy!AS62+Paid!AS59+React!AS194</f>
        <v/>
      </c>
      <c r="AT113" s="5">
        <f>Legacy!AT62+Paid!AT59+React!AT194</f>
        <v/>
      </c>
      <c r="AU113" s="5">
        <f>Legacy!AU62+Paid!AU59+React!AU194</f>
        <v/>
      </c>
      <c r="AV113" s="5">
        <f>Legacy!AV62+Paid!AV59+React!AV194</f>
        <v/>
      </c>
      <c r="AW113" s="5">
        <f>Legacy!AW62+Paid!AW59+React!AW194</f>
        <v/>
      </c>
      <c r="AX113" s="5">
        <f>Legacy!AX62+Paid!AX59+React!AX194</f>
        <v/>
      </c>
      <c r="AY113" s="5">
        <f>Legacy!AY62+Paid!AY59+React!AY194</f>
        <v/>
      </c>
      <c r="AZ113" s="5">
        <f>Legacy!AZ62+Paid!AZ59+React!AZ194</f>
        <v/>
      </c>
      <c r="BA113" s="5">
        <f>Legacy!BA62+Paid!BA59+React!BA194</f>
        <v/>
      </c>
      <c r="BB113" s="5">
        <f>Legacy!BB62+Paid!BB59+React!BB194</f>
        <v/>
      </c>
      <c r="BC113" s="5">
        <f>Legacy!BC62+Paid!BC59+React!BC194</f>
        <v/>
      </c>
      <c r="BD113" s="5">
        <f>Legacy!BD62+Paid!BD59+React!BD194</f>
        <v/>
      </c>
      <c r="BE113" s="5">
        <f>Legacy!BE62+Paid!BE59+React!BE194</f>
        <v/>
      </c>
      <c r="BF113" s="5">
        <f>Legacy!BF62+Paid!BF59+React!BF194</f>
        <v/>
      </c>
      <c r="BG113" s="5">
        <f>Legacy!BG62+Paid!BG59+React!BG194</f>
        <v/>
      </c>
      <c r="BH113" s="5">
        <f>Legacy!BH62+Paid!BH59+React!BH194</f>
        <v/>
      </c>
      <c r="BI113" s="5">
        <f>Legacy!BI62+Paid!BI59+React!BI194</f>
        <v/>
      </c>
      <c r="BJ113" s="5">
        <f>Legacy!BJ62+Paid!BJ59+React!BJ194</f>
        <v/>
      </c>
      <c r="BK113" s="5">
        <f>Legacy!BK62+Paid!BK59+React!BK194</f>
        <v/>
      </c>
      <c r="BL113" s="5">
        <f>Legacy!BL62+Paid!BL59+React!BL194</f>
        <v/>
      </c>
      <c r="BM113" s="5">
        <f>Legacy!BM62+Paid!BM59+React!BM194</f>
        <v/>
      </c>
      <c r="BN113" s="5">
        <f>Legacy!BN62+Paid!BN59+React!BN194</f>
        <v/>
      </c>
      <c r="BO113" s="5">
        <f>Legacy!BO62+Paid!BO59+React!BO194</f>
        <v/>
      </c>
      <c r="BP113" s="5">
        <f>Legacy!BP62+Paid!BP59+React!BP194</f>
        <v/>
      </c>
      <c r="BQ113" s="5">
        <f>Legacy!BQ62+Paid!BQ59+React!BQ194</f>
        <v/>
      </c>
      <c r="BR113" s="5">
        <f>Legacy!BR62+Paid!BR59+React!BR194</f>
        <v/>
      </c>
      <c r="BS113" s="5">
        <f>Legacy!BS62+Paid!BS59+React!BS194</f>
        <v/>
      </c>
      <c r="BT113" s="5">
        <f>Legacy!BT62+Paid!BT59+React!BT194</f>
        <v/>
      </c>
      <c r="BU113" s="5">
        <f>Legacy!BU62+Paid!BU59+React!BU194</f>
        <v/>
      </c>
      <c r="BV113" s="5">
        <f>Legacy!BV62+Paid!BV59+React!BV194</f>
        <v/>
      </c>
    </row>
    <row r="115">
      <c r="A115" t="inlineStr">
        <is>
          <t>opening</t>
        </is>
      </c>
      <c r="B115" t="inlineStr">
        <is>
          <t>APAC|BASIC_A</t>
        </is>
      </c>
      <c r="C115" s="5">
        <f>Legacy!$C$65</f>
        <v/>
      </c>
      <c r="D115" s="5">
        <f>C119</f>
        <v/>
      </c>
      <c r="E115" s="5">
        <f>D119</f>
        <v/>
      </c>
      <c r="F115" s="5">
        <f>E119</f>
        <v/>
      </c>
      <c r="G115" s="5">
        <f>F119</f>
        <v/>
      </c>
      <c r="H115" s="5">
        <f>G119</f>
        <v/>
      </c>
      <c r="I115" s="5">
        <f>H119</f>
        <v/>
      </c>
      <c r="J115" s="5">
        <f>I119</f>
        <v/>
      </c>
      <c r="K115" s="5">
        <f>J119</f>
        <v/>
      </c>
      <c r="L115" s="5">
        <f>K119</f>
        <v/>
      </c>
      <c r="M115" s="5">
        <f>L119</f>
        <v/>
      </c>
      <c r="N115" s="5">
        <f>M119</f>
        <v/>
      </c>
      <c r="O115" s="5">
        <f>N119</f>
        <v/>
      </c>
      <c r="P115" s="5">
        <f>O119</f>
        <v/>
      </c>
      <c r="Q115" s="5">
        <f>P119</f>
        <v/>
      </c>
      <c r="R115" s="5">
        <f>Q119</f>
        <v/>
      </c>
      <c r="S115" s="5">
        <f>R119</f>
        <v/>
      </c>
      <c r="T115" s="5">
        <f>S119</f>
        <v/>
      </c>
      <c r="U115" s="5">
        <f>T119</f>
        <v/>
      </c>
      <c r="V115" s="5">
        <f>U119</f>
        <v/>
      </c>
      <c r="W115" s="5">
        <f>V119</f>
        <v/>
      </c>
      <c r="X115" s="5">
        <f>W119</f>
        <v/>
      </c>
      <c r="Y115" s="5">
        <f>X119</f>
        <v/>
      </c>
      <c r="Z115" s="5">
        <f>Y119</f>
        <v/>
      </c>
      <c r="AA115" s="5">
        <f>Z119</f>
        <v/>
      </c>
      <c r="AB115" s="5">
        <f>AA119</f>
        <v/>
      </c>
      <c r="AC115" s="5">
        <f>AB119</f>
        <v/>
      </c>
      <c r="AD115" s="5">
        <f>AC119</f>
        <v/>
      </c>
      <c r="AE115" s="5">
        <f>AD119</f>
        <v/>
      </c>
      <c r="AF115" s="5">
        <f>AE119</f>
        <v/>
      </c>
      <c r="AG115" s="5">
        <f>AF119</f>
        <v/>
      </c>
      <c r="AH115" s="5">
        <f>AG119</f>
        <v/>
      </c>
      <c r="AI115" s="5">
        <f>AH119</f>
        <v/>
      </c>
      <c r="AJ115" s="5">
        <f>AI119</f>
        <v/>
      </c>
      <c r="AK115" s="5">
        <f>AJ119</f>
        <v/>
      </c>
      <c r="AL115" s="5">
        <f>AK119</f>
        <v/>
      </c>
      <c r="AM115" s="5">
        <f>AL119</f>
        <v/>
      </c>
      <c r="AN115" s="5">
        <f>AM119</f>
        <v/>
      </c>
      <c r="AO115" s="5">
        <f>AN119</f>
        <v/>
      </c>
      <c r="AP115" s="5">
        <f>AO119</f>
        <v/>
      </c>
      <c r="AQ115" s="5">
        <f>AP119</f>
        <v/>
      </c>
      <c r="AR115" s="5">
        <f>AQ119</f>
        <v/>
      </c>
      <c r="AS115" s="5">
        <f>AR119</f>
        <v/>
      </c>
      <c r="AT115" s="5">
        <f>AS119</f>
        <v/>
      </c>
      <c r="AU115" s="5">
        <f>AT119</f>
        <v/>
      </c>
      <c r="AV115" s="5">
        <f>AU119</f>
        <v/>
      </c>
      <c r="AW115" s="5">
        <f>AV119</f>
        <v/>
      </c>
      <c r="AX115" s="5">
        <f>AW119</f>
        <v/>
      </c>
      <c r="AY115" s="5">
        <f>AX119</f>
        <v/>
      </c>
      <c r="AZ115" s="5">
        <f>AY119</f>
        <v/>
      </c>
      <c r="BA115" s="5">
        <f>AZ119</f>
        <v/>
      </c>
      <c r="BB115" s="5">
        <f>BA119</f>
        <v/>
      </c>
      <c r="BC115" s="5">
        <f>BB119</f>
        <v/>
      </c>
      <c r="BD115" s="5">
        <f>BC119</f>
        <v/>
      </c>
      <c r="BE115" s="5">
        <f>BD119</f>
        <v/>
      </c>
      <c r="BF115" s="5">
        <f>BE119</f>
        <v/>
      </c>
      <c r="BG115" s="5">
        <f>BF119</f>
        <v/>
      </c>
      <c r="BH115" s="5">
        <f>BG119</f>
        <v/>
      </c>
      <c r="BI115" s="5">
        <f>BH119</f>
        <v/>
      </c>
      <c r="BJ115" s="5">
        <f>BI119</f>
        <v/>
      </c>
      <c r="BK115" s="5">
        <f>BJ119</f>
        <v/>
      </c>
      <c r="BL115" s="5">
        <f>BK119</f>
        <v/>
      </c>
      <c r="BM115" s="5">
        <f>BL119</f>
        <v/>
      </c>
      <c r="BN115" s="5">
        <f>BM119</f>
        <v/>
      </c>
      <c r="BO115" s="5">
        <f>BN119</f>
        <v/>
      </c>
      <c r="BP115" s="5">
        <f>BO119</f>
        <v/>
      </c>
      <c r="BQ115" s="5">
        <f>BP119</f>
        <v/>
      </c>
      <c r="BR115" s="5">
        <f>BQ119</f>
        <v/>
      </c>
      <c r="BS115" s="5">
        <f>BR119</f>
        <v/>
      </c>
      <c r="BT115" s="5">
        <f>BS119</f>
        <v/>
      </c>
      <c r="BU115" s="5">
        <f>BT119</f>
        <v/>
      </c>
      <c r="BV115" s="5">
        <f>BU119</f>
        <v/>
      </c>
    </row>
    <row r="116">
      <c r="A116" t="inlineStr">
        <is>
          <t>new</t>
        </is>
      </c>
      <c r="B116" t="inlineStr">
        <is>
          <t>APAC|BASIC_A</t>
        </is>
      </c>
      <c r="C116" s="5">
        <f>Adds!C230+IF(Params!$B$7=1,Adds!C229,Adds!C233)</f>
        <v/>
      </c>
      <c r="D116" s="5">
        <f>Adds!D230+IF(Params!$B$7=1,Adds!D229,Adds!D233)</f>
        <v/>
      </c>
      <c r="E116" s="5">
        <f>Adds!E230+IF(Params!$B$7=1,Adds!E229,Adds!E233)</f>
        <v/>
      </c>
      <c r="F116" s="5">
        <f>Adds!F230+IF(Params!$B$7=1,Adds!F229,Adds!F233)</f>
        <v/>
      </c>
      <c r="G116" s="5">
        <f>Adds!G230+IF(Params!$B$7=1,Adds!G229,Adds!G233)</f>
        <v/>
      </c>
      <c r="H116" s="5">
        <f>Adds!H230+IF(Params!$B$7=1,Adds!H229,Adds!H233)</f>
        <v/>
      </c>
      <c r="I116" s="5">
        <f>Adds!I230+IF(Params!$B$7=1,Adds!I229,Adds!I233)</f>
        <v/>
      </c>
      <c r="J116" s="5">
        <f>Adds!J230+IF(Params!$B$7=1,Adds!J229,Adds!J233)</f>
        <v/>
      </c>
      <c r="K116" s="5">
        <f>Adds!K230+IF(Params!$B$7=1,Adds!K229,Adds!K233)</f>
        <v/>
      </c>
      <c r="L116" s="5">
        <f>Adds!L230+IF(Params!$B$7=1,Adds!L229,Adds!L233)</f>
        <v/>
      </c>
      <c r="M116" s="5">
        <f>Adds!M230+IF(Params!$B$7=1,Adds!M229,Adds!M233)</f>
        <v/>
      </c>
      <c r="N116" s="5">
        <f>Adds!N230+IF(Params!$B$7=1,Adds!N229,Adds!N233)</f>
        <v/>
      </c>
      <c r="O116" s="5">
        <f>Adds!O230+IF(Params!$B$7=1,Adds!O229,Adds!O233)</f>
        <v/>
      </c>
      <c r="P116" s="5">
        <f>Adds!P230+IF(Params!$B$7=1,Adds!P229,Adds!P233)</f>
        <v/>
      </c>
      <c r="Q116" s="5">
        <f>Adds!Q230+IF(Params!$B$7=1,Adds!Q229,Adds!Q233)</f>
        <v/>
      </c>
      <c r="R116" s="5">
        <f>Adds!R230+IF(Params!$B$7=1,Adds!R229,Adds!R233)</f>
        <v/>
      </c>
      <c r="S116" s="5">
        <f>Adds!S230+IF(Params!$B$7=1,Adds!S229,Adds!S233)</f>
        <v/>
      </c>
      <c r="T116" s="5">
        <f>Adds!T230+IF(Params!$B$7=1,Adds!T229,Adds!T233)</f>
        <v/>
      </c>
      <c r="U116" s="5">
        <f>Adds!U230+IF(Params!$B$7=1,Adds!U229,Adds!U233)</f>
        <v/>
      </c>
      <c r="V116" s="5">
        <f>Adds!V230+IF(Params!$B$7=1,Adds!V229,Adds!V233)</f>
        <v/>
      </c>
      <c r="W116" s="5">
        <f>Adds!W230+IF(Params!$B$7=1,Adds!W229,Adds!W233)</f>
        <v/>
      </c>
      <c r="X116" s="5">
        <f>Adds!X230+IF(Params!$B$7=1,Adds!X229,Adds!X233)</f>
        <v/>
      </c>
      <c r="Y116" s="5">
        <f>Adds!Y230+IF(Params!$B$7=1,Adds!Y229,Adds!Y233)</f>
        <v/>
      </c>
      <c r="Z116" s="5">
        <f>Adds!Z230+IF(Params!$B$7=1,Adds!Z229,Adds!Z233)</f>
        <v/>
      </c>
      <c r="AA116" s="5">
        <f>Adds!AA230+IF(Params!$B$7=1,Adds!AA229,Adds!AA233)</f>
        <v/>
      </c>
      <c r="AB116" s="5">
        <f>Adds!AB230+IF(Params!$B$7=1,Adds!AB229,Adds!AB233)</f>
        <v/>
      </c>
      <c r="AC116" s="5">
        <f>Adds!AC230+IF(Params!$B$7=1,Adds!AC229,Adds!AC233)</f>
        <v/>
      </c>
      <c r="AD116" s="5">
        <f>Adds!AD230+IF(Params!$B$7=1,Adds!AD229,Adds!AD233)</f>
        <v/>
      </c>
      <c r="AE116" s="5">
        <f>Adds!AE230+IF(Params!$B$7=1,Adds!AE229,Adds!AE233)</f>
        <v/>
      </c>
      <c r="AF116" s="5">
        <f>Adds!AF230+IF(Params!$B$7=1,Adds!AF229,Adds!AF233)</f>
        <v/>
      </c>
      <c r="AG116" s="5">
        <f>Adds!AG230+IF(Params!$B$7=1,Adds!AG229,Adds!AG233)</f>
        <v/>
      </c>
      <c r="AH116" s="5">
        <f>Adds!AH230+IF(Params!$B$7=1,Adds!AH229,Adds!AH233)</f>
        <v/>
      </c>
      <c r="AI116" s="5">
        <f>Adds!AI230+IF(Params!$B$7=1,Adds!AI229,Adds!AI233)</f>
        <v/>
      </c>
      <c r="AJ116" s="5">
        <f>Adds!AJ230+IF(Params!$B$7=1,Adds!AJ229,Adds!AJ233)</f>
        <v/>
      </c>
      <c r="AK116" s="5">
        <f>Adds!AK230+IF(Params!$B$7=1,Adds!AK229,Adds!AK233)</f>
        <v/>
      </c>
      <c r="AL116" s="5">
        <f>Adds!AL230+IF(Params!$B$7=1,Adds!AL229,Adds!AL233)</f>
        <v/>
      </c>
      <c r="AM116" s="5">
        <f>Adds!AM230+IF(Params!$B$7=1,Adds!AM229,Adds!AM233)</f>
        <v/>
      </c>
      <c r="AN116" s="5">
        <f>Adds!AN230+IF(Params!$B$7=1,Adds!AN229,Adds!AN233)</f>
        <v/>
      </c>
      <c r="AO116" s="5">
        <f>Adds!AO230+IF(Params!$B$7=1,Adds!AO229,Adds!AO233)</f>
        <v/>
      </c>
      <c r="AP116" s="5">
        <f>Adds!AP230+IF(Params!$B$7=1,Adds!AP229,Adds!AP233)</f>
        <v/>
      </c>
      <c r="AQ116" s="5">
        <f>Adds!AQ230+IF(Params!$B$7=1,Adds!AQ229,Adds!AQ233)</f>
        <v/>
      </c>
      <c r="AR116" s="5">
        <f>Adds!AR230+IF(Params!$B$7=1,Adds!AR229,Adds!AR233)</f>
        <v/>
      </c>
      <c r="AS116" s="5">
        <f>Adds!AS230+IF(Params!$B$7=1,Adds!AS229,Adds!AS233)</f>
        <v/>
      </c>
      <c r="AT116" s="5">
        <f>Adds!AT230+IF(Params!$B$7=1,Adds!AT229,Adds!AT233)</f>
        <v/>
      </c>
      <c r="AU116" s="5">
        <f>Adds!AU230+IF(Params!$B$7=1,Adds!AU229,Adds!AU233)</f>
        <v/>
      </c>
      <c r="AV116" s="5">
        <f>Adds!AV230+IF(Params!$B$7=1,Adds!AV229,Adds!AV233)</f>
        <v/>
      </c>
      <c r="AW116" s="5">
        <f>Adds!AW230+IF(Params!$B$7=1,Adds!AW229,Adds!AW233)</f>
        <v/>
      </c>
      <c r="AX116" s="5">
        <f>Adds!AX230+IF(Params!$B$7=1,Adds!AX229,Adds!AX233)</f>
        <v/>
      </c>
      <c r="AY116" s="5">
        <f>Adds!AY230+IF(Params!$B$7=1,Adds!AY229,Adds!AY233)</f>
        <v/>
      </c>
      <c r="AZ116" s="5">
        <f>Adds!AZ230+IF(Params!$B$7=1,Adds!AZ229,Adds!AZ233)</f>
        <v/>
      </c>
      <c r="BA116" s="5">
        <f>Adds!BA230+IF(Params!$B$7=1,Adds!BA229,Adds!BA233)</f>
        <v/>
      </c>
      <c r="BB116" s="5">
        <f>Adds!BB230+IF(Params!$B$7=1,Adds!BB229,Adds!BB233)</f>
        <v/>
      </c>
      <c r="BC116" s="5">
        <f>Adds!BC230+IF(Params!$B$7=1,Adds!BC229,Adds!BC233)</f>
        <v/>
      </c>
      <c r="BD116" s="5">
        <f>Adds!BD230+IF(Params!$B$7=1,Adds!BD229,Adds!BD233)</f>
        <v/>
      </c>
      <c r="BE116" s="5">
        <f>Adds!BE230+IF(Params!$B$7=1,Adds!BE229,Adds!BE233)</f>
        <v/>
      </c>
      <c r="BF116" s="5">
        <f>Adds!BF230+IF(Params!$B$7=1,Adds!BF229,Adds!BF233)</f>
        <v/>
      </c>
      <c r="BG116" s="5">
        <f>Adds!BG230+IF(Params!$B$7=1,Adds!BG229,Adds!BG233)</f>
        <v/>
      </c>
      <c r="BH116" s="5">
        <f>Adds!BH230+IF(Params!$B$7=1,Adds!BH229,Adds!BH233)</f>
        <v/>
      </c>
      <c r="BI116" s="5">
        <f>Adds!BI230+IF(Params!$B$7=1,Adds!BI229,Adds!BI233)</f>
        <v/>
      </c>
      <c r="BJ116" s="5">
        <f>Adds!BJ230+IF(Params!$B$7=1,Adds!BJ229,Adds!BJ233)</f>
        <v/>
      </c>
      <c r="BK116" s="5">
        <f>Adds!BK230+IF(Params!$B$7=1,Adds!BK229,Adds!BK233)</f>
        <v/>
      </c>
      <c r="BL116" s="5">
        <f>Adds!BL230+IF(Params!$B$7=1,Adds!BL229,Adds!BL233)</f>
        <v/>
      </c>
      <c r="BM116" s="5">
        <f>Adds!BM230+IF(Params!$B$7=1,Adds!BM229,Adds!BM233)</f>
        <v/>
      </c>
      <c r="BN116" s="5">
        <f>Adds!BN230+IF(Params!$B$7=1,Adds!BN229,Adds!BN233)</f>
        <v/>
      </c>
      <c r="BO116" s="5">
        <f>Adds!BO230+IF(Params!$B$7=1,Adds!BO229,Adds!BO233)</f>
        <v/>
      </c>
      <c r="BP116" s="5">
        <f>Adds!BP230+IF(Params!$B$7=1,Adds!BP229,Adds!BP233)</f>
        <v/>
      </c>
      <c r="BQ116" s="5">
        <f>Adds!BQ230+IF(Params!$B$7=1,Adds!BQ229,Adds!BQ233)</f>
        <v/>
      </c>
      <c r="BR116" s="5">
        <f>Adds!BR230+IF(Params!$B$7=1,Adds!BR229,Adds!BR233)</f>
        <v/>
      </c>
      <c r="BS116" s="5">
        <f>Adds!BS230+IF(Params!$B$7=1,Adds!BS229,Adds!BS233)</f>
        <v/>
      </c>
      <c r="BT116" s="5">
        <f>Adds!BT230+IF(Params!$B$7=1,Adds!BT229,Adds!BT233)</f>
        <v/>
      </c>
      <c r="BU116" s="5">
        <f>Adds!BU230+IF(Params!$B$7=1,Adds!BU229,Adds!BU233)</f>
        <v/>
      </c>
      <c r="BV116" s="5">
        <f>Adds!BV230+IF(Params!$B$7=1,Adds!BV229,Adds!BV233)</f>
        <v/>
      </c>
    </row>
    <row r="117">
      <c r="A117" t="inlineStr">
        <is>
          <t>reactivated</t>
        </is>
      </c>
      <c r="B117" t="inlineStr">
        <is>
          <t>APAC|BASIC_A</t>
        </is>
      </c>
      <c r="C117" s="5">
        <f>React!C203</f>
        <v/>
      </c>
      <c r="D117" s="5">
        <f>React!D203</f>
        <v/>
      </c>
      <c r="E117" s="5">
        <f>React!E203</f>
        <v/>
      </c>
      <c r="F117" s="5">
        <f>React!F203</f>
        <v/>
      </c>
      <c r="G117" s="5">
        <f>React!G203</f>
        <v/>
      </c>
      <c r="H117" s="5">
        <f>React!H203</f>
        <v/>
      </c>
      <c r="I117" s="5">
        <f>React!I203</f>
        <v/>
      </c>
      <c r="J117" s="5">
        <f>React!J203</f>
        <v/>
      </c>
      <c r="K117" s="5">
        <f>React!K203</f>
        <v/>
      </c>
      <c r="L117" s="5">
        <f>React!L203</f>
        <v/>
      </c>
      <c r="M117" s="5">
        <f>React!M203</f>
        <v/>
      </c>
      <c r="N117" s="5">
        <f>React!N203</f>
        <v/>
      </c>
      <c r="O117" s="5">
        <f>React!O203</f>
        <v/>
      </c>
      <c r="P117" s="5">
        <f>React!P203</f>
        <v/>
      </c>
      <c r="Q117" s="5">
        <f>React!Q203</f>
        <v/>
      </c>
      <c r="R117" s="5">
        <f>React!R203</f>
        <v/>
      </c>
      <c r="S117" s="5">
        <f>React!S203</f>
        <v/>
      </c>
      <c r="T117" s="5">
        <f>React!T203</f>
        <v/>
      </c>
      <c r="U117" s="5">
        <f>React!U203</f>
        <v/>
      </c>
      <c r="V117" s="5">
        <f>React!V203</f>
        <v/>
      </c>
      <c r="W117" s="5">
        <f>React!W203</f>
        <v/>
      </c>
      <c r="X117" s="5">
        <f>React!X203</f>
        <v/>
      </c>
      <c r="Y117" s="5">
        <f>React!Y203</f>
        <v/>
      </c>
      <c r="Z117" s="5">
        <f>React!Z203</f>
        <v/>
      </c>
      <c r="AA117" s="5">
        <f>React!AA203</f>
        <v/>
      </c>
      <c r="AB117" s="5">
        <f>React!AB203</f>
        <v/>
      </c>
      <c r="AC117" s="5">
        <f>React!AC203</f>
        <v/>
      </c>
      <c r="AD117" s="5">
        <f>React!AD203</f>
        <v/>
      </c>
      <c r="AE117" s="5">
        <f>React!AE203</f>
        <v/>
      </c>
      <c r="AF117" s="5">
        <f>React!AF203</f>
        <v/>
      </c>
      <c r="AG117" s="5">
        <f>React!AG203</f>
        <v/>
      </c>
      <c r="AH117" s="5">
        <f>React!AH203</f>
        <v/>
      </c>
      <c r="AI117" s="5">
        <f>React!AI203</f>
        <v/>
      </c>
      <c r="AJ117" s="5">
        <f>React!AJ203</f>
        <v/>
      </c>
      <c r="AK117" s="5">
        <f>React!AK203</f>
        <v/>
      </c>
      <c r="AL117" s="5">
        <f>React!AL203</f>
        <v/>
      </c>
      <c r="AM117" s="5">
        <f>React!AM203</f>
        <v/>
      </c>
      <c r="AN117" s="5">
        <f>React!AN203</f>
        <v/>
      </c>
      <c r="AO117" s="5">
        <f>React!AO203</f>
        <v/>
      </c>
      <c r="AP117" s="5">
        <f>React!AP203</f>
        <v/>
      </c>
      <c r="AQ117" s="5">
        <f>React!AQ203</f>
        <v/>
      </c>
      <c r="AR117" s="5">
        <f>React!AR203</f>
        <v/>
      </c>
      <c r="AS117" s="5">
        <f>React!AS203</f>
        <v/>
      </c>
      <c r="AT117" s="5">
        <f>React!AT203</f>
        <v/>
      </c>
      <c r="AU117" s="5">
        <f>React!AU203</f>
        <v/>
      </c>
      <c r="AV117" s="5">
        <f>React!AV203</f>
        <v/>
      </c>
      <c r="AW117" s="5">
        <f>React!AW203</f>
        <v/>
      </c>
      <c r="AX117" s="5">
        <f>React!AX203</f>
        <v/>
      </c>
      <c r="AY117" s="5">
        <f>React!AY203</f>
        <v/>
      </c>
      <c r="AZ117" s="5">
        <f>React!AZ203</f>
        <v/>
      </c>
      <c r="BA117" s="5">
        <f>React!BA203</f>
        <v/>
      </c>
      <c r="BB117" s="5">
        <f>React!BB203</f>
        <v/>
      </c>
      <c r="BC117" s="5">
        <f>React!BC203</f>
        <v/>
      </c>
      <c r="BD117" s="5">
        <f>React!BD203</f>
        <v/>
      </c>
      <c r="BE117" s="5">
        <f>React!BE203</f>
        <v/>
      </c>
      <c r="BF117" s="5">
        <f>React!BF203</f>
        <v/>
      </c>
      <c r="BG117" s="5">
        <f>React!BG203</f>
        <v/>
      </c>
      <c r="BH117" s="5">
        <f>React!BH203</f>
        <v/>
      </c>
      <c r="BI117" s="5">
        <f>React!BI203</f>
        <v/>
      </c>
      <c r="BJ117" s="5">
        <f>React!BJ203</f>
        <v/>
      </c>
      <c r="BK117" s="5">
        <f>React!BK203</f>
        <v/>
      </c>
      <c r="BL117" s="5">
        <f>React!BL203</f>
        <v/>
      </c>
      <c r="BM117" s="5">
        <f>React!BM203</f>
        <v/>
      </c>
      <c r="BN117" s="5">
        <f>React!BN203</f>
        <v/>
      </c>
      <c r="BO117" s="5">
        <f>React!BO203</f>
        <v/>
      </c>
      <c r="BP117" s="5">
        <f>React!BP203</f>
        <v/>
      </c>
      <c r="BQ117" s="5">
        <f>React!BQ203</f>
        <v/>
      </c>
      <c r="BR117" s="5">
        <f>React!BR203</f>
        <v/>
      </c>
      <c r="BS117" s="5">
        <f>React!BS203</f>
        <v/>
      </c>
      <c r="BT117" s="5">
        <f>React!BT203</f>
        <v/>
      </c>
      <c r="BU117" s="5">
        <f>React!BU203</f>
        <v/>
      </c>
      <c r="BV117" s="5">
        <f>React!BV203</f>
        <v/>
      </c>
    </row>
    <row r="118">
      <c r="A118" t="inlineStr">
        <is>
          <t>churned</t>
        </is>
      </c>
      <c r="B118" t="inlineStr">
        <is>
          <t>APAC|BASIC_A</t>
        </is>
      </c>
      <c r="C118" s="5">
        <f>Legacy!C67+Paid!C65+React!C209+Params!$B$7*Adds!C234</f>
        <v/>
      </c>
      <c r="D118" s="5">
        <f>Legacy!D67+Paid!D65+React!D209+Params!$B$7*Adds!D234</f>
        <v/>
      </c>
      <c r="E118" s="5">
        <f>Legacy!E67+Paid!E65+React!E209+Params!$B$7*Adds!E234</f>
        <v/>
      </c>
      <c r="F118" s="5">
        <f>Legacy!F67+Paid!F65+React!F209+Params!$B$7*Adds!F234</f>
        <v/>
      </c>
      <c r="G118" s="5">
        <f>Legacy!G67+Paid!G65+React!G209+Params!$B$7*Adds!G234</f>
        <v/>
      </c>
      <c r="H118" s="5">
        <f>Legacy!H67+Paid!H65+React!H209+Params!$B$7*Adds!H234</f>
        <v/>
      </c>
      <c r="I118" s="5">
        <f>Legacy!I67+Paid!I65+React!I209+Params!$B$7*Adds!I234</f>
        <v/>
      </c>
      <c r="J118" s="5">
        <f>Legacy!J67+Paid!J65+React!J209+Params!$B$7*Adds!J234</f>
        <v/>
      </c>
      <c r="K118" s="5">
        <f>Legacy!K67+Paid!K65+React!K209+Params!$B$7*Adds!K234</f>
        <v/>
      </c>
      <c r="L118" s="5">
        <f>Legacy!L67+Paid!L65+React!L209+Params!$B$7*Adds!L234</f>
        <v/>
      </c>
      <c r="M118" s="5">
        <f>Legacy!M67+Paid!M65+React!M209+Params!$B$7*Adds!M234</f>
        <v/>
      </c>
      <c r="N118" s="5">
        <f>Legacy!N67+Paid!N65+React!N209+Params!$B$7*Adds!N234</f>
        <v/>
      </c>
      <c r="O118" s="5">
        <f>Legacy!O67+Paid!O65+React!O209+Params!$B$7*Adds!O234</f>
        <v/>
      </c>
      <c r="P118" s="5">
        <f>Legacy!P67+Paid!P65+React!P209+Params!$B$7*Adds!P234</f>
        <v/>
      </c>
      <c r="Q118" s="5">
        <f>Legacy!Q67+Paid!Q65+React!Q209+Params!$B$7*Adds!Q234</f>
        <v/>
      </c>
      <c r="R118" s="5">
        <f>Legacy!R67+Paid!R65+React!R209+Params!$B$7*Adds!R234</f>
        <v/>
      </c>
      <c r="S118" s="5">
        <f>Legacy!S67+Paid!S65+React!S209+Params!$B$7*Adds!S234</f>
        <v/>
      </c>
      <c r="T118" s="5">
        <f>Legacy!T67+Paid!T65+React!T209+Params!$B$7*Adds!T234</f>
        <v/>
      </c>
      <c r="U118" s="5">
        <f>Legacy!U67+Paid!U65+React!U209+Params!$B$7*Adds!U234</f>
        <v/>
      </c>
      <c r="V118" s="5">
        <f>Legacy!V67+Paid!V65+React!V209+Params!$B$7*Adds!V234</f>
        <v/>
      </c>
      <c r="W118" s="5">
        <f>Legacy!W67+Paid!W65+React!W209+Params!$B$7*Adds!W234</f>
        <v/>
      </c>
      <c r="X118" s="5">
        <f>Legacy!X67+Paid!X65+React!X209+Params!$B$7*Adds!X234</f>
        <v/>
      </c>
      <c r="Y118" s="5">
        <f>Legacy!Y67+Paid!Y65+React!Y209+Params!$B$7*Adds!Y234</f>
        <v/>
      </c>
      <c r="Z118" s="5">
        <f>Legacy!Z67+Paid!Z65+React!Z209+Params!$B$7*Adds!Z234</f>
        <v/>
      </c>
      <c r="AA118" s="5">
        <f>Legacy!AA67+Paid!AA65+React!AA209+Params!$B$7*Adds!AA234</f>
        <v/>
      </c>
      <c r="AB118" s="5">
        <f>Legacy!AB67+Paid!AB65+React!AB209+Params!$B$7*Adds!AB234</f>
        <v/>
      </c>
      <c r="AC118" s="5">
        <f>Legacy!AC67+Paid!AC65+React!AC209+Params!$B$7*Adds!AC234</f>
        <v/>
      </c>
      <c r="AD118" s="5">
        <f>Legacy!AD67+Paid!AD65+React!AD209+Params!$B$7*Adds!AD234</f>
        <v/>
      </c>
      <c r="AE118" s="5">
        <f>Legacy!AE67+Paid!AE65+React!AE209+Params!$B$7*Adds!AE234</f>
        <v/>
      </c>
      <c r="AF118" s="5">
        <f>Legacy!AF67+Paid!AF65+React!AF209+Params!$B$7*Adds!AF234</f>
        <v/>
      </c>
      <c r="AG118" s="5">
        <f>Legacy!AG67+Paid!AG65+React!AG209+Params!$B$7*Adds!AG234</f>
        <v/>
      </c>
      <c r="AH118" s="5">
        <f>Legacy!AH67+Paid!AH65+React!AH209+Params!$B$7*Adds!AH234</f>
        <v/>
      </c>
      <c r="AI118" s="5">
        <f>Legacy!AI67+Paid!AI65+React!AI209+Params!$B$7*Adds!AI234</f>
        <v/>
      </c>
      <c r="AJ118" s="5">
        <f>Legacy!AJ67+Paid!AJ65+React!AJ209+Params!$B$7*Adds!AJ234</f>
        <v/>
      </c>
      <c r="AK118" s="5">
        <f>Legacy!AK67+Paid!AK65+React!AK209+Params!$B$7*Adds!AK234</f>
        <v/>
      </c>
      <c r="AL118" s="5">
        <f>Legacy!AL67+Paid!AL65+React!AL209+Params!$B$7*Adds!AL234</f>
        <v/>
      </c>
      <c r="AM118" s="5">
        <f>Legacy!AM67+Paid!AM65+React!AM209+Params!$B$7*Adds!AM234</f>
        <v/>
      </c>
      <c r="AN118" s="5">
        <f>Legacy!AN67+Paid!AN65+React!AN209+Params!$B$7*Adds!AN234</f>
        <v/>
      </c>
      <c r="AO118" s="5">
        <f>Legacy!AO67+Paid!AO65+React!AO209+Params!$B$7*Adds!AO234</f>
        <v/>
      </c>
      <c r="AP118" s="5">
        <f>Legacy!AP67+Paid!AP65+React!AP209+Params!$B$7*Adds!AP234</f>
        <v/>
      </c>
      <c r="AQ118" s="5">
        <f>Legacy!AQ67+Paid!AQ65+React!AQ209+Params!$B$7*Adds!AQ234</f>
        <v/>
      </c>
      <c r="AR118" s="5">
        <f>Legacy!AR67+Paid!AR65+React!AR209+Params!$B$7*Adds!AR234</f>
        <v/>
      </c>
      <c r="AS118" s="5">
        <f>Legacy!AS67+Paid!AS65+React!AS209+Params!$B$7*Adds!AS234</f>
        <v/>
      </c>
      <c r="AT118" s="5">
        <f>Legacy!AT67+Paid!AT65+React!AT209+Params!$B$7*Adds!AT234</f>
        <v/>
      </c>
      <c r="AU118" s="5">
        <f>Legacy!AU67+Paid!AU65+React!AU209+Params!$B$7*Adds!AU234</f>
        <v/>
      </c>
      <c r="AV118" s="5">
        <f>Legacy!AV67+Paid!AV65+React!AV209+Params!$B$7*Adds!AV234</f>
        <v/>
      </c>
      <c r="AW118" s="5">
        <f>Legacy!AW67+Paid!AW65+React!AW209+Params!$B$7*Adds!AW234</f>
        <v/>
      </c>
      <c r="AX118" s="5">
        <f>Legacy!AX67+Paid!AX65+React!AX209+Params!$B$7*Adds!AX234</f>
        <v/>
      </c>
      <c r="AY118" s="5">
        <f>Legacy!AY67+Paid!AY65+React!AY209+Params!$B$7*Adds!AY234</f>
        <v/>
      </c>
      <c r="AZ118" s="5">
        <f>Legacy!AZ67+Paid!AZ65+React!AZ209+Params!$B$7*Adds!AZ234</f>
        <v/>
      </c>
      <c r="BA118" s="5">
        <f>Legacy!BA67+Paid!BA65+React!BA209+Params!$B$7*Adds!BA234</f>
        <v/>
      </c>
      <c r="BB118" s="5">
        <f>Legacy!BB67+Paid!BB65+React!BB209+Params!$B$7*Adds!BB234</f>
        <v/>
      </c>
      <c r="BC118" s="5">
        <f>Legacy!BC67+Paid!BC65+React!BC209+Params!$B$7*Adds!BC234</f>
        <v/>
      </c>
      <c r="BD118" s="5">
        <f>Legacy!BD67+Paid!BD65+React!BD209+Params!$B$7*Adds!BD234</f>
        <v/>
      </c>
      <c r="BE118" s="5">
        <f>Legacy!BE67+Paid!BE65+React!BE209+Params!$B$7*Adds!BE234</f>
        <v/>
      </c>
      <c r="BF118" s="5">
        <f>Legacy!BF67+Paid!BF65+React!BF209+Params!$B$7*Adds!BF234</f>
        <v/>
      </c>
      <c r="BG118" s="5">
        <f>Legacy!BG67+Paid!BG65+React!BG209+Params!$B$7*Adds!BG234</f>
        <v/>
      </c>
      <c r="BH118" s="5">
        <f>Legacy!BH67+Paid!BH65+React!BH209+Params!$B$7*Adds!BH234</f>
        <v/>
      </c>
      <c r="BI118" s="5">
        <f>Legacy!BI67+Paid!BI65+React!BI209+Params!$B$7*Adds!BI234</f>
        <v/>
      </c>
      <c r="BJ118" s="5">
        <f>Legacy!BJ67+Paid!BJ65+React!BJ209+Params!$B$7*Adds!BJ234</f>
        <v/>
      </c>
      <c r="BK118" s="5">
        <f>Legacy!BK67+Paid!BK65+React!BK209+Params!$B$7*Adds!BK234</f>
        <v/>
      </c>
      <c r="BL118" s="5">
        <f>Legacy!BL67+Paid!BL65+React!BL209+Params!$B$7*Adds!BL234</f>
        <v/>
      </c>
      <c r="BM118" s="5">
        <f>Legacy!BM67+Paid!BM65+React!BM209+Params!$B$7*Adds!BM234</f>
        <v/>
      </c>
      <c r="BN118" s="5">
        <f>Legacy!BN67+Paid!BN65+React!BN209+Params!$B$7*Adds!BN234</f>
        <v/>
      </c>
      <c r="BO118" s="5">
        <f>Legacy!BO67+Paid!BO65+React!BO209+Params!$B$7*Adds!BO234</f>
        <v/>
      </c>
      <c r="BP118" s="5">
        <f>Legacy!BP67+Paid!BP65+React!BP209+Params!$B$7*Adds!BP234</f>
        <v/>
      </c>
      <c r="BQ118" s="5">
        <f>Legacy!BQ67+Paid!BQ65+React!BQ209+Params!$B$7*Adds!BQ234</f>
        <v/>
      </c>
      <c r="BR118" s="5">
        <f>Legacy!BR67+Paid!BR65+React!BR209+Params!$B$7*Adds!BR234</f>
        <v/>
      </c>
      <c r="BS118" s="5">
        <f>Legacy!BS67+Paid!BS65+React!BS209+Params!$B$7*Adds!BS234</f>
        <v/>
      </c>
      <c r="BT118" s="5">
        <f>Legacy!BT67+Paid!BT65+React!BT209+Params!$B$7*Adds!BT234</f>
        <v/>
      </c>
      <c r="BU118" s="5">
        <f>Legacy!BU67+Paid!BU65+React!BU209+Params!$B$7*Adds!BU234</f>
        <v/>
      </c>
      <c r="BV118" s="5">
        <f>Legacy!BV67+Paid!BV65+React!BV209+Params!$B$7*Adds!BV234</f>
        <v/>
      </c>
    </row>
    <row r="119">
      <c r="A119" t="inlineStr">
        <is>
          <t>closing</t>
        </is>
      </c>
      <c r="B119" t="inlineStr">
        <is>
          <t>APAC|BASIC_A</t>
        </is>
      </c>
      <c r="C119" s="5">
        <f>C120+Params!$B$7*Adds!C237</f>
        <v/>
      </c>
      <c r="D119" s="5">
        <f>D120+Params!$B$7*Adds!D237</f>
        <v/>
      </c>
      <c r="E119" s="5">
        <f>E120+Params!$B$7*Adds!E237</f>
        <v/>
      </c>
      <c r="F119" s="5">
        <f>F120+Params!$B$7*Adds!F237</f>
        <v/>
      </c>
      <c r="G119" s="5">
        <f>G120+Params!$B$7*Adds!G237</f>
        <v/>
      </c>
      <c r="H119" s="5">
        <f>H120+Params!$B$7*Adds!H237</f>
        <v/>
      </c>
      <c r="I119" s="5">
        <f>I120+Params!$B$7*Adds!I237</f>
        <v/>
      </c>
      <c r="J119" s="5">
        <f>J120+Params!$B$7*Adds!J237</f>
        <v/>
      </c>
      <c r="K119" s="5">
        <f>K120+Params!$B$7*Adds!K237</f>
        <v/>
      </c>
      <c r="L119" s="5">
        <f>L120+Params!$B$7*Adds!L237</f>
        <v/>
      </c>
      <c r="M119" s="5">
        <f>M120+Params!$B$7*Adds!M237</f>
        <v/>
      </c>
      <c r="N119" s="5">
        <f>N120+Params!$B$7*Adds!N237</f>
        <v/>
      </c>
      <c r="O119" s="5">
        <f>O120+Params!$B$7*Adds!O237</f>
        <v/>
      </c>
      <c r="P119" s="5">
        <f>P120+Params!$B$7*Adds!P237</f>
        <v/>
      </c>
      <c r="Q119" s="5">
        <f>Q120+Params!$B$7*Adds!Q237</f>
        <v/>
      </c>
      <c r="R119" s="5">
        <f>R120+Params!$B$7*Adds!R237</f>
        <v/>
      </c>
      <c r="S119" s="5">
        <f>S120+Params!$B$7*Adds!S237</f>
        <v/>
      </c>
      <c r="T119" s="5">
        <f>T120+Params!$B$7*Adds!T237</f>
        <v/>
      </c>
      <c r="U119" s="5">
        <f>U120+Params!$B$7*Adds!U237</f>
        <v/>
      </c>
      <c r="V119" s="5">
        <f>V120+Params!$B$7*Adds!V237</f>
        <v/>
      </c>
      <c r="W119" s="5">
        <f>W120+Params!$B$7*Adds!W237</f>
        <v/>
      </c>
      <c r="X119" s="5">
        <f>X120+Params!$B$7*Adds!X237</f>
        <v/>
      </c>
      <c r="Y119" s="5">
        <f>Y120+Params!$B$7*Adds!Y237</f>
        <v/>
      </c>
      <c r="Z119" s="5">
        <f>Z120+Params!$B$7*Adds!Z237</f>
        <v/>
      </c>
      <c r="AA119" s="5">
        <f>AA120+Params!$B$7*Adds!AA237</f>
        <v/>
      </c>
      <c r="AB119" s="5">
        <f>AB120+Params!$B$7*Adds!AB237</f>
        <v/>
      </c>
      <c r="AC119" s="5">
        <f>AC120+Params!$B$7*Adds!AC237</f>
        <v/>
      </c>
      <c r="AD119" s="5">
        <f>AD120+Params!$B$7*Adds!AD237</f>
        <v/>
      </c>
      <c r="AE119" s="5">
        <f>AE120+Params!$B$7*Adds!AE237</f>
        <v/>
      </c>
      <c r="AF119" s="5">
        <f>AF120+Params!$B$7*Adds!AF237</f>
        <v/>
      </c>
      <c r="AG119" s="5">
        <f>AG120+Params!$B$7*Adds!AG237</f>
        <v/>
      </c>
      <c r="AH119" s="5">
        <f>AH120+Params!$B$7*Adds!AH237</f>
        <v/>
      </c>
      <c r="AI119" s="5">
        <f>AI120+Params!$B$7*Adds!AI237</f>
        <v/>
      </c>
      <c r="AJ119" s="5">
        <f>AJ120+Params!$B$7*Adds!AJ237</f>
        <v/>
      </c>
      <c r="AK119" s="5">
        <f>AK120+Params!$B$7*Adds!AK237</f>
        <v/>
      </c>
      <c r="AL119" s="5">
        <f>AL120+Params!$B$7*Adds!AL237</f>
        <v/>
      </c>
      <c r="AM119" s="5">
        <f>AM120+Params!$B$7*Adds!AM237</f>
        <v/>
      </c>
      <c r="AN119" s="5">
        <f>AN120+Params!$B$7*Adds!AN237</f>
        <v/>
      </c>
      <c r="AO119" s="5">
        <f>AO120+Params!$B$7*Adds!AO237</f>
        <v/>
      </c>
      <c r="AP119" s="5">
        <f>AP120+Params!$B$7*Adds!AP237</f>
        <v/>
      </c>
      <c r="AQ119" s="5">
        <f>AQ120+Params!$B$7*Adds!AQ237</f>
        <v/>
      </c>
      <c r="AR119" s="5">
        <f>AR120+Params!$B$7*Adds!AR237</f>
        <v/>
      </c>
      <c r="AS119" s="5">
        <f>AS120+Params!$B$7*Adds!AS237</f>
        <v/>
      </c>
      <c r="AT119" s="5">
        <f>AT120+Params!$B$7*Adds!AT237</f>
        <v/>
      </c>
      <c r="AU119" s="5">
        <f>AU120+Params!$B$7*Adds!AU237</f>
        <v/>
      </c>
      <c r="AV119" s="5">
        <f>AV120+Params!$B$7*Adds!AV237</f>
        <v/>
      </c>
      <c r="AW119" s="5">
        <f>AW120+Params!$B$7*Adds!AW237</f>
        <v/>
      </c>
      <c r="AX119" s="5">
        <f>AX120+Params!$B$7*Adds!AX237</f>
        <v/>
      </c>
      <c r="AY119" s="5">
        <f>AY120+Params!$B$7*Adds!AY237</f>
        <v/>
      </c>
      <c r="AZ119" s="5">
        <f>AZ120+Params!$B$7*Adds!AZ237</f>
        <v/>
      </c>
      <c r="BA119" s="5">
        <f>BA120+Params!$B$7*Adds!BA237</f>
        <v/>
      </c>
      <c r="BB119" s="5">
        <f>BB120+Params!$B$7*Adds!BB237</f>
        <v/>
      </c>
      <c r="BC119" s="5">
        <f>BC120+Params!$B$7*Adds!BC237</f>
        <v/>
      </c>
      <c r="BD119" s="5">
        <f>BD120+Params!$B$7*Adds!BD237</f>
        <v/>
      </c>
      <c r="BE119" s="5">
        <f>BE120+Params!$B$7*Adds!BE237</f>
        <v/>
      </c>
      <c r="BF119" s="5">
        <f>BF120+Params!$B$7*Adds!BF237</f>
        <v/>
      </c>
      <c r="BG119" s="5">
        <f>BG120+Params!$B$7*Adds!BG237</f>
        <v/>
      </c>
      <c r="BH119" s="5">
        <f>BH120+Params!$B$7*Adds!BH237</f>
        <v/>
      </c>
      <c r="BI119" s="5">
        <f>BI120+Params!$B$7*Adds!BI237</f>
        <v/>
      </c>
      <c r="BJ119" s="5">
        <f>BJ120+Params!$B$7*Adds!BJ237</f>
        <v/>
      </c>
      <c r="BK119" s="5">
        <f>BK120+Params!$B$7*Adds!BK237</f>
        <v/>
      </c>
      <c r="BL119" s="5">
        <f>BL120+Params!$B$7*Adds!BL237</f>
        <v/>
      </c>
      <c r="BM119" s="5">
        <f>BM120+Params!$B$7*Adds!BM237</f>
        <v/>
      </c>
      <c r="BN119" s="5">
        <f>BN120+Params!$B$7*Adds!BN237</f>
        <v/>
      </c>
      <c r="BO119" s="5">
        <f>BO120+Params!$B$7*Adds!BO237</f>
        <v/>
      </c>
      <c r="BP119" s="5">
        <f>BP120+Params!$B$7*Adds!BP237</f>
        <v/>
      </c>
      <c r="BQ119" s="5">
        <f>BQ120+Params!$B$7*Adds!BQ237</f>
        <v/>
      </c>
      <c r="BR119" s="5">
        <f>BR120+Params!$B$7*Adds!BR237</f>
        <v/>
      </c>
      <c r="BS119" s="5">
        <f>BS120+Params!$B$7*Adds!BS237</f>
        <v/>
      </c>
      <c r="BT119" s="5">
        <f>BT120+Params!$B$7*Adds!BT237</f>
        <v/>
      </c>
      <c r="BU119" s="5">
        <f>BU120+Params!$B$7*Adds!BU237</f>
        <v/>
      </c>
      <c r="BV119" s="5">
        <f>BV120+Params!$B$7*Adds!BV237</f>
        <v/>
      </c>
    </row>
    <row r="120">
      <c r="A120" t="inlineStr">
        <is>
          <t>paying</t>
        </is>
      </c>
      <c r="B120" t="inlineStr">
        <is>
          <t>APAC|BASIC_A</t>
        </is>
      </c>
      <c r="C120" s="5">
        <f>Legacy!C66+Paid!C63+React!C207</f>
        <v/>
      </c>
      <c r="D120" s="5">
        <f>Legacy!D66+Paid!D63+React!D207</f>
        <v/>
      </c>
      <c r="E120" s="5">
        <f>Legacy!E66+Paid!E63+React!E207</f>
        <v/>
      </c>
      <c r="F120" s="5">
        <f>Legacy!F66+Paid!F63+React!F207</f>
        <v/>
      </c>
      <c r="G120" s="5">
        <f>Legacy!G66+Paid!G63+React!G207</f>
        <v/>
      </c>
      <c r="H120" s="5">
        <f>Legacy!H66+Paid!H63+React!H207</f>
        <v/>
      </c>
      <c r="I120" s="5">
        <f>Legacy!I66+Paid!I63+React!I207</f>
        <v/>
      </c>
      <c r="J120" s="5">
        <f>Legacy!J66+Paid!J63+React!J207</f>
        <v/>
      </c>
      <c r="K120" s="5">
        <f>Legacy!K66+Paid!K63+React!K207</f>
        <v/>
      </c>
      <c r="L120" s="5">
        <f>Legacy!L66+Paid!L63+React!L207</f>
        <v/>
      </c>
      <c r="M120" s="5">
        <f>Legacy!M66+Paid!M63+React!M207</f>
        <v/>
      </c>
      <c r="N120" s="5">
        <f>Legacy!N66+Paid!N63+React!N207</f>
        <v/>
      </c>
      <c r="O120" s="5">
        <f>Legacy!O66+Paid!O63+React!O207</f>
        <v/>
      </c>
      <c r="P120" s="5">
        <f>Legacy!P66+Paid!P63+React!P207</f>
        <v/>
      </c>
      <c r="Q120" s="5">
        <f>Legacy!Q66+Paid!Q63+React!Q207</f>
        <v/>
      </c>
      <c r="R120" s="5">
        <f>Legacy!R66+Paid!R63+React!R207</f>
        <v/>
      </c>
      <c r="S120" s="5">
        <f>Legacy!S66+Paid!S63+React!S207</f>
        <v/>
      </c>
      <c r="T120" s="5">
        <f>Legacy!T66+Paid!T63+React!T207</f>
        <v/>
      </c>
      <c r="U120" s="5">
        <f>Legacy!U66+Paid!U63+React!U207</f>
        <v/>
      </c>
      <c r="V120" s="5">
        <f>Legacy!V66+Paid!V63+React!V207</f>
        <v/>
      </c>
      <c r="W120" s="5">
        <f>Legacy!W66+Paid!W63+React!W207</f>
        <v/>
      </c>
      <c r="X120" s="5">
        <f>Legacy!X66+Paid!X63+React!X207</f>
        <v/>
      </c>
      <c r="Y120" s="5">
        <f>Legacy!Y66+Paid!Y63+React!Y207</f>
        <v/>
      </c>
      <c r="Z120" s="5">
        <f>Legacy!Z66+Paid!Z63+React!Z207</f>
        <v/>
      </c>
      <c r="AA120" s="5">
        <f>Legacy!AA66+Paid!AA63+React!AA207</f>
        <v/>
      </c>
      <c r="AB120" s="5">
        <f>Legacy!AB66+Paid!AB63+React!AB207</f>
        <v/>
      </c>
      <c r="AC120" s="5">
        <f>Legacy!AC66+Paid!AC63+React!AC207</f>
        <v/>
      </c>
      <c r="AD120" s="5">
        <f>Legacy!AD66+Paid!AD63+React!AD207</f>
        <v/>
      </c>
      <c r="AE120" s="5">
        <f>Legacy!AE66+Paid!AE63+React!AE207</f>
        <v/>
      </c>
      <c r="AF120" s="5">
        <f>Legacy!AF66+Paid!AF63+React!AF207</f>
        <v/>
      </c>
      <c r="AG120" s="5">
        <f>Legacy!AG66+Paid!AG63+React!AG207</f>
        <v/>
      </c>
      <c r="AH120" s="5">
        <f>Legacy!AH66+Paid!AH63+React!AH207</f>
        <v/>
      </c>
      <c r="AI120" s="5">
        <f>Legacy!AI66+Paid!AI63+React!AI207</f>
        <v/>
      </c>
      <c r="AJ120" s="5">
        <f>Legacy!AJ66+Paid!AJ63+React!AJ207</f>
        <v/>
      </c>
      <c r="AK120" s="5">
        <f>Legacy!AK66+Paid!AK63+React!AK207</f>
        <v/>
      </c>
      <c r="AL120" s="5">
        <f>Legacy!AL66+Paid!AL63+React!AL207</f>
        <v/>
      </c>
      <c r="AM120" s="5">
        <f>Legacy!AM66+Paid!AM63+React!AM207</f>
        <v/>
      </c>
      <c r="AN120" s="5">
        <f>Legacy!AN66+Paid!AN63+React!AN207</f>
        <v/>
      </c>
      <c r="AO120" s="5">
        <f>Legacy!AO66+Paid!AO63+React!AO207</f>
        <v/>
      </c>
      <c r="AP120" s="5">
        <f>Legacy!AP66+Paid!AP63+React!AP207</f>
        <v/>
      </c>
      <c r="AQ120" s="5">
        <f>Legacy!AQ66+Paid!AQ63+React!AQ207</f>
        <v/>
      </c>
      <c r="AR120" s="5">
        <f>Legacy!AR66+Paid!AR63+React!AR207</f>
        <v/>
      </c>
      <c r="AS120" s="5">
        <f>Legacy!AS66+Paid!AS63+React!AS207</f>
        <v/>
      </c>
      <c r="AT120" s="5">
        <f>Legacy!AT66+Paid!AT63+React!AT207</f>
        <v/>
      </c>
      <c r="AU120" s="5">
        <f>Legacy!AU66+Paid!AU63+React!AU207</f>
        <v/>
      </c>
      <c r="AV120" s="5">
        <f>Legacy!AV66+Paid!AV63+React!AV207</f>
        <v/>
      </c>
      <c r="AW120" s="5">
        <f>Legacy!AW66+Paid!AW63+React!AW207</f>
        <v/>
      </c>
      <c r="AX120" s="5">
        <f>Legacy!AX66+Paid!AX63+React!AX207</f>
        <v/>
      </c>
      <c r="AY120" s="5">
        <f>Legacy!AY66+Paid!AY63+React!AY207</f>
        <v/>
      </c>
      <c r="AZ120" s="5">
        <f>Legacy!AZ66+Paid!AZ63+React!AZ207</f>
        <v/>
      </c>
      <c r="BA120" s="5">
        <f>Legacy!BA66+Paid!BA63+React!BA207</f>
        <v/>
      </c>
      <c r="BB120" s="5">
        <f>Legacy!BB66+Paid!BB63+React!BB207</f>
        <v/>
      </c>
      <c r="BC120" s="5">
        <f>Legacy!BC66+Paid!BC63+React!BC207</f>
        <v/>
      </c>
      <c r="BD120" s="5">
        <f>Legacy!BD66+Paid!BD63+React!BD207</f>
        <v/>
      </c>
      <c r="BE120" s="5">
        <f>Legacy!BE66+Paid!BE63+React!BE207</f>
        <v/>
      </c>
      <c r="BF120" s="5">
        <f>Legacy!BF66+Paid!BF63+React!BF207</f>
        <v/>
      </c>
      <c r="BG120" s="5">
        <f>Legacy!BG66+Paid!BG63+React!BG207</f>
        <v/>
      </c>
      <c r="BH120" s="5">
        <f>Legacy!BH66+Paid!BH63+React!BH207</f>
        <v/>
      </c>
      <c r="BI120" s="5">
        <f>Legacy!BI66+Paid!BI63+React!BI207</f>
        <v/>
      </c>
      <c r="BJ120" s="5">
        <f>Legacy!BJ66+Paid!BJ63+React!BJ207</f>
        <v/>
      </c>
      <c r="BK120" s="5">
        <f>Legacy!BK66+Paid!BK63+React!BK207</f>
        <v/>
      </c>
      <c r="BL120" s="5">
        <f>Legacy!BL66+Paid!BL63+React!BL207</f>
        <v/>
      </c>
      <c r="BM120" s="5">
        <f>Legacy!BM66+Paid!BM63+React!BM207</f>
        <v/>
      </c>
      <c r="BN120" s="5">
        <f>Legacy!BN66+Paid!BN63+React!BN207</f>
        <v/>
      </c>
      <c r="BO120" s="5">
        <f>Legacy!BO66+Paid!BO63+React!BO207</f>
        <v/>
      </c>
      <c r="BP120" s="5">
        <f>Legacy!BP66+Paid!BP63+React!BP207</f>
        <v/>
      </c>
      <c r="BQ120" s="5">
        <f>Legacy!BQ66+Paid!BQ63+React!BQ207</f>
        <v/>
      </c>
      <c r="BR120" s="5">
        <f>Legacy!BR66+Paid!BR63+React!BR207</f>
        <v/>
      </c>
      <c r="BS120" s="5">
        <f>Legacy!BS66+Paid!BS63+React!BS207</f>
        <v/>
      </c>
      <c r="BT120" s="5">
        <f>Legacy!BT66+Paid!BT63+React!BT207</f>
        <v/>
      </c>
      <c r="BU120" s="5">
        <f>Legacy!BU66+Paid!BU63+React!BU207</f>
        <v/>
      </c>
      <c r="BV120" s="5">
        <f>Legacy!BV66+Paid!BV63+React!BV207</f>
        <v/>
      </c>
    </row>
    <row r="122">
      <c r="A122" t="inlineStr">
        <is>
          <t>opening</t>
        </is>
      </c>
      <c r="B122" t="inlineStr">
        <is>
          <t>ROW|NITRO_M</t>
        </is>
      </c>
      <c r="C122" s="5">
        <f>Legacy!$C$69</f>
        <v/>
      </c>
      <c r="D122" s="5">
        <f>C126</f>
        <v/>
      </c>
      <c r="E122" s="5">
        <f>D126</f>
        <v/>
      </c>
      <c r="F122" s="5">
        <f>E126</f>
        <v/>
      </c>
      <c r="G122" s="5">
        <f>F126</f>
        <v/>
      </c>
      <c r="H122" s="5">
        <f>G126</f>
        <v/>
      </c>
      <c r="I122" s="5">
        <f>H126</f>
        <v/>
      </c>
      <c r="J122" s="5">
        <f>I126</f>
        <v/>
      </c>
      <c r="K122" s="5">
        <f>J126</f>
        <v/>
      </c>
      <c r="L122" s="5">
        <f>K126</f>
        <v/>
      </c>
      <c r="M122" s="5">
        <f>L126</f>
        <v/>
      </c>
      <c r="N122" s="5">
        <f>M126</f>
        <v/>
      </c>
      <c r="O122" s="5">
        <f>N126</f>
        <v/>
      </c>
      <c r="P122" s="5">
        <f>O126</f>
        <v/>
      </c>
      <c r="Q122" s="5">
        <f>P126</f>
        <v/>
      </c>
      <c r="R122" s="5">
        <f>Q126</f>
        <v/>
      </c>
      <c r="S122" s="5">
        <f>R126</f>
        <v/>
      </c>
      <c r="T122" s="5">
        <f>S126</f>
        <v/>
      </c>
      <c r="U122" s="5">
        <f>T126</f>
        <v/>
      </c>
      <c r="V122" s="5">
        <f>U126</f>
        <v/>
      </c>
      <c r="W122" s="5">
        <f>V126</f>
        <v/>
      </c>
      <c r="X122" s="5">
        <f>W126</f>
        <v/>
      </c>
      <c r="Y122" s="5">
        <f>X126</f>
        <v/>
      </c>
      <c r="Z122" s="5">
        <f>Y126</f>
        <v/>
      </c>
      <c r="AA122" s="5">
        <f>Z126</f>
        <v/>
      </c>
      <c r="AB122" s="5">
        <f>AA126</f>
        <v/>
      </c>
      <c r="AC122" s="5">
        <f>AB126</f>
        <v/>
      </c>
      <c r="AD122" s="5">
        <f>AC126</f>
        <v/>
      </c>
      <c r="AE122" s="5">
        <f>AD126</f>
        <v/>
      </c>
      <c r="AF122" s="5">
        <f>AE126</f>
        <v/>
      </c>
      <c r="AG122" s="5">
        <f>AF126</f>
        <v/>
      </c>
      <c r="AH122" s="5">
        <f>AG126</f>
        <v/>
      </c>
      <c r="AI122" s="5">
        <f>AH126</f>
        <v/>
      </c>
      <c r="AJ122" s="5">
        <f>AI126</f>
        <v/>
      </c>
      <c r="AK122" s="5">
        <f>AJ126</f>
        <v/>
      </c>
      <c r="AL122" s="5">
        <f>AK126</f>
        <v/>
      </c>
      <c r="AM122" s="5">
        <f>AL126</f>
        <v/>
      </c>
      <c r="AN122" s="5">
        <f>AM126</f>
        <v/>
      </c>
      <c r="AO122" s="5">
        <f>AN126</f>
        <v/>
      </c>
      <c r="AP122" s="5">
        <f>AO126</f>
        <v/>
      </c>
      <c r="AQ122" s="5">
        <f>AP126</f>
        <v/>
      </c>
      <c r="AR122" s="5">
        <f>AQ126</f>
        <v/>
      </c>
      <c r="AS122" s="5">
        <f>AR126</f>
        <v/>
      </c>
      <c r="AT122" s="5">
        <f>AS126</f>
        <v/>
      </c>
      <c r="AU122" s="5">
        <f>AT126</f>
        <v/>
      </c>
      <c r="AV122" s="5">
        <f>AU126</f>
        <v/>
      </c>
      <c r="AW122" s="5">
        <f>AV126</f>
        <v/>
      </c>
      <c r="AX122" s="5">
        <f>AW126</f>
        <v/>
      </c>
      <c r="AY122" s="5">
        <f>AX126</f>
        <v/>
      </c>
      <c r="AZ122" s="5">
        <f>AY126</f>
        <v/>
      </c>
      <c r="BA122" s="5">
        <f>AZ126</f>
        <v/>
      </c>
      <c r="BB122" s="5">
        <f>BA126</f>
        <v/>
      </c>
      <c r="BC122" s="5">
        <f>BB126</f>
        <v/>
      </c>
      <c r="BD122" s="5">
        <f>BC126</f>
        <v/>
      </c>
      <c r="BE122" s="5">
        <f>BD126</f>
        <v/>
      </c>
      <c r="BF122" s="5">
        <f>BE126</f>
        <v/>
      </c>
      <c r="BG122" s="5">
        <f>BF126</f>
        <v/>
      </c>
      <c r="BH122" s="5">
        <f>BG126</f>
        <v/>
      </c>
      <c r="BI122" s="5">
        <f>BH126</f>
        <v/>
      </c>
      <c r="BJ122" s="5">
        <f>BI126</f>
        <v/>
      </c>
      <c r="BK122" s="5">
        <f>BJ126</f>
        <v/>
      </c>
      <c r="BL122" s="5">
        <f>BK126</f>
        <v/>
      </c>
      <c r="BM122" s="5">
        <f>BL126</f>
        <v/>
      </c>
      <c r="BN122" s="5">
        <f>BM126</f>
        <v/>
      </c>
      <c r="BO122" s="5">
        <f>BN126</f>
        <v/>
      </c>
      <c r="BP122" s="5">
        <f>BO126</f>
        <v/>
      </c>
      <c r="BQ122" s="5">
        <f>BP126</f>
        <v/>
      </c>
      <c r="BR122" s="5">
        <f>BQ126</f>
        <v/>
      </c>
      <c r="BS122" s="5">
        <f>BR126</f>
        <v/>
      </c>
      <c r="BT122" s="5">
        <f>BS126</f>
        <v/>
      </c>
      <c r="BU122" s="5">
        <f>BT126</f>
        <v/>
      </c>
      <c r="BV122" s="5">
        <f>BU126</f>
        <v/>
      </c>
    </row>
    <row r="123">
      <c r="A123" t="inlineStr">
        <is>
          <t>new</t>
        </is>
      </c>
      <c r="B123" t="inlineStr">
        <is>
          <t>ROW|NITRO_M</t>
        </is>
      </c>
      <c r="C123" s="5">
        <f>Adds!C245+IF(Params!$B$7=1,Adds!C244,Adds!C248)</f>
        <v/>
      </c>
      <c r="D123" s="5">
        <f>Adds!D245+IF(Params!$B$7=1,Adds!D244,Adds!D248)</f>
        <v/>
      </c>
      <c r="E123" s="5">
        <f>Adds!E245+IF(Params!$B$7=1,Adds!E244,Adds!E248)</f>
        <v/>
      </c>
      <c r="F123" s="5">
        <f>Adds!F245+IF(Params!$B$7=1,Adds!F244,Adds!F248)</f>
        <v/>
      </c>
      <c r="G123" s="5">
        <f>Adds!G245+IF(Params!$B$7=1,Adds!G244,Adds!G248)</f>
        <v/>
      </c>
      <c r="H123" s="5">
        <f>Adds!H245+IF(Params!$B$7=1,Adds!H244,Adds!H248)</f>
        <v/>
      </c>
      <c r="I123" s="5">
        <f>Adds!I245+IF(Params!$B$7=1,Adds!I244,Adds!I248)</f>
        <v/>
      </c>
      <c r="J123" s="5">
        <f>Adds!J245+IF(Params!$B$7=1,Adds!J244,Adds!J248)</f>
        <v/>
      </c>
      <c r="K123" s="5">
        <f>Adds!K245+IF(Params!$B$7=1,Adds!K244,Adds!K248)</f>
        <v/>
      </c>
      <c r="L123" s="5">
        <f>Adds!L245+IF(Params!$B$7=1,Adds!L244,Adds!L248)</f>
        <v/>
      </c>
      <c r="M123" s="5">
        <f>Adds!M245+IF(Params!$B$7=1,Adds!M244,Adds!M248)</f>
        <v/>
      </c>
      <c r="N123" s="5">
        <f>Adds!N245+IF(Params!$B$7=1,Adds!N244,Adds!N248)</f>
        <v/>
      </c>
      <c r="O123" s="5">
        <f>Adds!O245+IF(Params!$B$7=1,Adds!O244,Adds!O248)</f>
        <v/>
      </c>
      <c r="P123" s="5">
        <f>Adds!P245+IF(Params!$B$7=1,Adds!P244,Adds!P248)</f>
        <v/>
      </c>
      <c r="Q123" s="5">
        <f>Adds!Q245+IF(Params!$B$7=1,Adds!Q244,Adds!Q248)</f>
        <v/>
      </c>
      <c r="R123" s="5">
        <f>Adds!R245+IF(Params!$B$7=1,Adds!R244,Adds!R248)</f>
        <v/>
      </c>
      <c r="S123" s="5">
        <f>Adds!S245+IF(Params!$B$7=1,Adds!S244,Adds!S248)</f>
        <v/>
      </c>
      <c r="T123" s="5">
        <f>Adds!T245+IF(Params!$B$7=1,Adds!T244,Adds!T248)</f>
        <v/>
      </c>
      <c r="U123" s="5">
        <f>Adds!U245+IF(Params!$B$7=1,Adds!U244,Adds!U248)</f>
        <v/>
      </c>
      <c r="V123" s="5">
        <f>Adds!V245+IF(Params!$B$7=1,Adds!V244,Adds!V248)</f>
        <v/>
      </c>
      <c r="W123" s="5">
        <f>Adds!W245+IF(Params!$B$7=1,Adds!W244,Adds!W248)</f>
        <v/>
      </c>
      <c r="X123" s="5">
        <f>Adds!X245+IF(Params!$B$7=1,Adds!X244,Adds!X248)</f>
        <v/>
      </c>
      <c r="Y123" s="5">
        <f>Adds!Y245+IF(Params!$B$7=1,Adds!Y244,Adds!Y248)</f>
        <v/>
      </c>
      <c r="Z123" s="5">
        <f>Adds!Z245+IF(Params!$B$7=1,Adds!Z244,Adds!Z248)</f>
        <v/>
      </c>
      <c r="AA123" s="5">
        <f>Adds!AA245+IF(Params!$B$7=1,Adds!AA244,Adds!AA248)</f>
        <v/>
      </c>
      <c r="AB123" s="5">
        <f>Adds!AB245+IF(Params!$B$7=1,Adds!AB244,Adds!AB248)</f>
        <v/>
      </c>
      <c r="AC123" s="5">
        <f>Adds!AC245+IF(Params!$B$7=1,Adds!AC244,Adds!AC248)</f>
        <v/>
      </c>
      <c r="AD123" s="5">
        <f>Adds!AD245+IF(Params!$B$7=1,Adds!AD244,Adds!AD248)</f>
        <v/>
      </c>
      <c r="AE123" s="5">
        <f>Adds!AE245+IF(Params!$B$7=1,Adds!AE244,Adds!AE248)</f>
        <v/>
      </c>
      <c r="AF123" s="5">
        <f>Adds!AF245+IF(Params!$B$7=1,Adds!AF244,Adds!AF248)</f>
        <v/>
      </c>
      <c r="AG123" s="5">
        <f>Adds!AG245+IF(Params!$B$7=1,Adds!AG244,Adds!AG248)</f>
        <v/>
      </c>
      <c r="AH123" s="5">
        <f>Adds!AH245+IF(Params!$B$7=1,Adds!AH244,Adds!AH248)</f>
        <v/>
      </c>
      <c r="AI123" s="5">
        <f>Adds!AI245+IF(Params!$B$7=1,Adds!AI244,Adds!AI248)</f>
        <v/>
      </c>
      <c r="AJ123" s="5">
        <f>Adds!AJ245+IF(Params!$B$7=1,Adds!AJ244,Adds!AJ248)</f>
        <v/>
      </c>
      <c r="AK123" s="5">
        <f>Adds!AK245+IF(Params!$B$7=1,Adds!AK244,Adds!AK248)</f>
        <v/>
      </c>
      <c r="AL123" s="5">
        <f>Adds!AL245+IF(Params!$B$7=1,Adds!AL244,Adds!AL248)</f>
        <v/>
      </c>
      <c r="AM123" s="5">
        <f>Adds!AM245+IF(Params!$B$7=1,Adds!AM244,Adds!AM248)</f>
        <v/>
      </c>
      <c r="AN123" s="5">
        <f>Adds!AN245+IF(Params!$B$7=1,Adds!AN244,Adds!AN248)</f>
        <v/>
      </c>
      <c r="AO123" s="5">
        <f>Adds!AO245+IF(Params!$B$7=1,Adds!AO244,Adds!AO248)</f>
        <v/>
      </c>
      <c r="AP123" s="5">
        <f>Adds!AP245+IF(Params!$B$7=1,Adds!AP244,Adds!AP248)</f>
        <v/>
      </c>
      <c r="AQ123" s="5">
        <f>Adds!AQ245+IF(Params!$B$7=1,Adds!AQ244,Adds!AQ248)</f>
        <v/>
      </c>
      <c r="AR123" s="5">
        <f>Adds!AR245+IF(Params!$B$7=1,Adds!AR244,Adds!AR248)</f>
        <v/>
      </c>
      <c r="AS123" s="5">
        <f>Adds!AS245+IF(Params!$B$7=1,Adds!AS244,Adds!AS248)</f>
        <v/>
      </c>
      <c r="AT123" s="5">
        <f>Adds!AT245+IF(Params!$B$7=1,Adds!AT244,Adds!AT248)</f>
        <v/>
      </c>
      <c r="AU123" s="5">
        <f>Adds!AU245+IF(Params!$B$7=1,Adds!AU244,Adds!AU248)</f>
        <v/>
      </c>
      <c r="AV123" s="5">
        <f>Adds!AV245+IF(Params!$B$7=1,Adds!AV244,Adds!AV248)</f>
        <v/>
      </c>
      <c r="AW123" s="5">
        <f>Adds!AW245+IF(Params!$B$7=1,Adds!AW244,Adds!AW248)</f>
        <v/>
      </c>
      <c r="AX123" s="5">
        <f>Adds!AX245+IF(Params!$B$7=1,Adds!AX244,Adds!AX248)</f>
        <v/>
      </c>
      <c r="AY123" s="5">
        <f>Adds!AY245+IF(Params!$B$7=1,Adds!AY244,Adds!AY248)</f>
        <v/>
      </c>
      <c r="AZ123" s="5">
        <f>Adds!AZ245+IF(Params!$B$7=1,Adds!AZ244,Adds!AZ248)</f>
        <v/>
      </c>
      <c r="BA123" s="5">
        <f>Adds!BA245+IF(Params!$B$7=1,Adds!BA244,Adds!BA248)</f>
        <v/>
      </c>
      <c r="BB123" s="5">
        <f>Adds!BB245+IF(Params!$B$7=1,Adds!BB244,Adds!BB248)</f>
        <v/>
      </c>
      <c r="BC123" s="5">
        <f>Adds!BC245+IF(Params!$B$7=1,Adds!BC244,Adds!BC248)</f>
        <v/>
      </c>
      <c r="BD123" s="5">
        <f>Adds!BD245+IF(Params!$B$7=1,Adds!BD244,Adds!BD248)</f>
        <v/>
      </c>
      <c r="BE123" s="5">
        <f>Adds!BE245+IF(Params!$B$7=1,Adds!BE244,Adds!BE248)</f>
        <v/>
      </c>
      <c r="BF123" s="5">
        <f>Adds!BF245+IF(Params!$B$7=1,Adds!BF244,Adds!BF248)</f>
        <v/>
      </c>
      <c r="BG123" s="5">
        <f>Adds!BG245+IF(Params!$B$7=1,Adds!BG244,Adds!BG248)</f>
        <v/>
      </c>
      <c r="BH123" s="5">
        <f>Adds!BH245+IF(Params!$B$7=1,Adds!BH244,Adds!BH248)</f>
        <v/>
      </c>
      <c r="BI123" s="5">
        <f>Adds!BI245+IF(Params!$B$7=1,Adds!BI244,Adds!BI248)</f>
        <v/>
      </c>
      <c r="BJ123" s="5">
        <f>Adds!BJ245+IF(Params!$B$7=1,Adds!BJ244,Adds!BJ248)</f>
        <v/>
      </c>
      <c r="BK123" s="5">
        <f>Adds!BK245+IF(Params!$B$7=1,Adds!BK244,Adds!BK248)</f>
        <v/>
      </c>
      <c r="BL123" s="5">
        <f>Adds!BL245+IF(Params!$B$7=1,Adds!BL244,Adds!BL248)</f>
        <v/>
      </c>
      <c r="BM123" s="5">
        <f>Adds!BM245+IF(Params!$B$7=1,Adds!BM244,Adds!BM248)</f>
        <v/>
      </c>
      <c r="BN123" s="5">
        <f>Adds!BN245+IF(Params!$B$7=1,Adds!BN244,Adds!BN248)</f>
        <v/>
      </c>
      <c r="BO123" s="5">
        <f>Adds!BO245+IF(Params!$B$7=1,Adds!BO244,Adds!BO248)</f>
        <v/>
      </c>
      <c r="BP123" s="5">
        <f>Adds!BP245+IF(Params!$B$7=1,Adds!BP244,Adds!BP248)</f>
        <v/>
      </c>
      <c r="BQ123" s="5">
        <f>Adds!BQ245+IF(Params!$B$7=1,Adds!BQ244,Adds!BQ248)</f>
        <v/>
      </c>
      <c r="BR123" s="5">
        <f>Adds!BR245+IF(Params!$B$7=1,Adds!BR244,Adds!BR248)</f>
        <v/>
      </c>
      <c r="BS123" s="5">
        <f>Adds!BS245+IF(Params!$B$7=1,Adds!BS244,Adds!BS248)</f>
        <v/>
      </c>
      <c r="BT123" s="5">
        <f>Adds!BT245+IF(Params!$B$7=1,Adds!BT244,Adds!BT248)</f>
        <v/>
      </c>
      <c r="BU123" s="5">
        <f>Adds!BU245+IF(Params!$B$7=1,Adds!BU244,Adds!BU248)</f>
        <v/>
      </c>
      <c r="BV123" s="5">
        <f>Adds!BV245+IF(Params!$B$7=1,Adds!BV244,Adds!BV248)</f>
        <v/>
      </c>
    </row>
    <row r="124">
      <c r="A124" t="inlineStr">
        <is>
          <t>reactivated</t>
        </is>
      </c>
      <c r="B124" t="inlineStr">
        <is>
          <t>ROW|NITRO_M</t>
        </is>
      </c>
      <c r="C124" s="5">
        <f>React!C216</f>
        <v/>
      </c>
      <c r="D124" s="5">
        <f>React!D216</f>
        <v/>
      </c>
      <c r="E124" s="5">
        <f>React!E216</f>
        <v/>
      </c>
      <c r="F124" s="5">
        <f>React!F216</f>
        <v/>
      </c>
      <c r="G124" s="5">
        <f>React!G216</f>
        <v/>
      </c>
      <c r="H124" s="5">
        <f>React!H216</f>
        <v/>
      </c>
      <c r="I124" s="5">
        <f>React!I216</f>
        <v/>
      </c>
      <c r="J124" s="5">
        <f>React!J216</f>
        <v/>
      </c>
      <c r="K124" s="5">
        <f>React!K216</f>
        <v/>
      </c>
      <c r="L124" s="5">
        <f>React!L216</f>
        <v/>
      </c>
      <c r="M124" s="5">
        <f>React!M216</f>
        <v/>
      </c>
      <c r="N124" s="5">
        <f>React!N216</f>
        <v/>
      </c>
      <c r="O124" s="5">
        <f>React!O216</f>
        <v/>
      </c>
      <c r="P124" s="5">
        <f>React!P216</f>
        <v/>
      </c>
      <c r="Q124" s="5">
        <f>React!Q216</f>
        <v/>
      </c>
      <c r="R124" s="5">
        <f>React!R216</f>
        <v/>
      </c>
      <c r="S124" s="5">
        <f>React!S216</f>
        <v/>
      </c>
      <c r="T124" s="5">
        <f>React!T216</f>
        <v/>
      </c>
      <c r="U124" s="5">
        <f>React!U216</f>
        <v/>
      </c>
      <c r="V124" s="5">
        <f>React!V216</f>
        <v/>
      </c>
      <c r="W124" s="5">
        <f>React!W216</f>
        <v/>
      </c>
      <c r="X124" s="5">
        <f>React!X216</f>
        <v/>
      </c>
      <c r="Y124" s="5">
        <f>React!Y216</f>
        <v/>
      </c>
      <c r="Z124" s="5">
        <f>React!Z216</f>
        <v/>
      </c>
      <c r="AA124" s="5">
        <f>React!AA216</f>
        <v/>
      </c>
      <c r="AB124" s="5">
        <f>React!AB216</f>
        <v/>
      </c>
      <c r="AC124" s="5">
        <f>React!AC216</f>
        <v/>
      </c>
      <c r="AD124" s="5">
        <f>React!AD216</f>
        <v/>
      </c>
      <c r="AE124" s="5">
        <f>React!AE216</f>
        <v/>
      </c>
      <c r="AF124" s="5">
        <f>React!AF216</f>
        <v/>
      </c>
      <c r="AG124" s="5">
        <f>React!AG216</f>
        <v/>
      </c>
      <c r="AH124" s="5">
        <f>React!AH216</f>
        <v/>
      </c>
      <c r="AI124" s="5">
        <f>React!AI216</f>
        <v/>
      </c>
      <c r="AJ124" s="5">
        <f>React!AJ216</f>
        <v/>
      </c>
      <c r="AK124" s="5">
        <f>React!AK216</f>
        <v/>
      </c>
      <c r="AL124" s="5">
        <f>React!AL216</f>
        <v/>
      </c>
      <c r="AM124" s="5">
        <f>React!AM216</f>
        <v/>
      </c>
      <c r="AN124" s="5">
        <f>React!AN216</f>
        <v/>
      </c>
      <c r="AO124" s="5">
        <f>React!AO216</f>
        <v/>
      </c>
      <c r="AP124" s="5">
        <f>React!AP216</f>
        <v/>
      </c>
      <c r="AQ124" s="5">
        <f>React!AQ216</f>
        <v/>
      </c>
      <c r="AR124" s="5">
        <f>React!AR216</f>
        <v/>
      </c>
      <c r="AS124" s="5">
        <f>React!AS216</f>
        <v/>
      </c>
      <c r="AT124" s="5">
        <f>React!AT216</f>
        <v/>
      </c>
      <c r="AU124" s="5">
        <f>React!AU216</f>
        <v/>
      </c>
      <c r="AV124" s="5">
        <f>React!AV216</f>
        <v/>
      </c>
      <c r="AW124" s="5">
        <f>React!AW216</f>
        <v/>
      </c>
      <c r="AX124" s="5">
        <f>React!AX216</f>
        <v/>
      </c>
      <c r="AY124" s="5">
        <f>React!AY216</f>
        <v/>
      </c>
      <c r="AZ124" s="5">
        <f>React!AZ216</f>
        <v/>
      </c>
      <c r="BA124" s="5">
        <f>React!BA216</f>
        <v/>
      </c>
      <c r="BB124" s="5">
        <f>React!BB216</f>
        <v/>
      </c>
      <c r="BC124" s="5">
        <f>React!BC216</f>
        <v/>
      </c>
      <c r="BD124" s="5">
        <f>React!BD216</f>
        <v/>
      </c>
      <c r="BE124" s="5">
        <f>React!BE216</f>
        <v/>
      </c>
      <c r="BF124" s="5">
        <f>React!BF216</f>
        <v/>
      </c>
      <c r="BG124" s="5">
        <f>React!BG216</f>
        <v/>
      </c>
      <c r="BH124" s="5">
        <f>React!BH216</f>
        <v/>
      </c>
      <c r="BI124" s="5">
        <f>React!BI216</f>
        <v/>
      </c>
      <c r="BJ124" s="5">
        <f>React!BJ216</f>
        <v/>
      </c>
      <c r="BK124" s="5">
        <f>React!BK216</f>
        <v/>
      </c>
      <c r="BL124" s="5">
        <f>React!BL216</f>
        <v/>
      </c>
      <c r="BM124" s="5">
        <f>React!BM216</f>
        <v/>
      </c>
      <c r="BN124" s="5">
        <f>React!BN216</f>
        <v/>
      </c>
      <c r="BO124" s="5">
        <f>React!BO216</f>
        <v/>
      </c>
      <c r="BP124" s="5">
        <f>React!BP216</f>
        <v/>
      </c>
      <c r="BQ124" s="5">
        <f>React!BQ216</f>
        <v/>
      </c>
      <c r="BR124" s="5">
        <f>React!BR216</f>
        <v/>
      </c>
      <c r="BS124" s="5">
        <f>React!BS216</f>
        <v/>
      </c>
      <c r="BT124" s="5">
        <f>React!BT216</f>
        <v/>
      </c>
      <c r="BU124" s="5">
        <f>React!BU216</f>
        <v/>
      </c>
      <c r="BV124" s="5">
        <f>React!BV216</f>
        <v/>
      </c>
    </row>
    <row r="125">
      <c r="A125" t="inlineStr">
        <is>
          <t>churned</t>
        </is>
      </c>
      <c r="B125" t="inlineStr">
        <is>
          <t>ROW|NITRO_M</t>
        </is>
      </c>
      <c r="C125" s="5">
        <f>Legacy!C71+Paid!C69+React!C222+Params!$B$7*Adds!C249</f>
        <v/>
      </c>
      <c r="D125" s="5">
        <f>Legacy!D71+Paid!D69+React!D222+Params!$B$7*Adds!D249</f>
        <v/>
      </c>
      <c r="E125" s="5">
        <f>Legacy!E71+Paid!E69+React!E222+Params!$B$7*Adds!E249</f>
        <v/>
      </c>
      <c r="F125" s="5">
        <f>Legacy!F71+Paid!F69+React!F222+Params!$B$7*Adds!F249</f>
        <v/>
      </c>
      <c r="G125" s="5">
        <f>Legacy!G71+Paid!G69+React!G222+Params!$B$7*Adds!G249</f>
        <v/>
      </c>
      <c r="H125" s="5">
        <f>Legacy!H71+Paid!H69+React!H222+Params!$B$7*Adds!H249</f>
        <v/>
      </c>
      <c r="I125" s="5">
        <f>Legacy!I71+Paid!I69+React!I222+Params!$B$7*Adds!I249</f>
        <v/>
      </c>
      <c r="J125" s="5">
        <f>Legacy!J71+Paid!J69+React!J222+Params!$B$7*Adds!J249</f>
        <v/>
      </c>
      <c r="K125" s="5">
        <f>Legacy!K71+Paid!K69+React!K222+Params!$B$7*Adds!K249</f>
        <v/>
      </c>
      <c r="L125" s="5">
        <f>Legacy!L71+Paid!L69+React!L222+Params!$B$7*Adds!L249</f>
        <v/>
      </c>
      <c r="M125" s="5">
        <f>Legacy!M71+Paid!M69+React!M222+Params!$B$7*Adds!M249</f>
        <v/>
      </c>
      <c r="N125" s="5">
        <f>Legacy!N71+Paid!N69+React!N222+Params!$B$7*Adds!N249</f>
        <v/>
      </c>
      <c r="O125" s="5">
        <f>Legacy!O71+Paid!O69+React!O222+Params!$B$7*Adds!O249</f>
        <v/>
      </c>
      <c r="P125" s="5">
        <f>Legacy!P71+Paid!P69+React!P222+Params!$B$7*Adds!P249</f>
        <v/>
      </c>
      <c r="Q125" s="5">
        <f>Legacy!Q71+Paid!Q69+React!Q222+Params!$B$7*Adds!Q249</f>
        <v/>
      </c>
      <c r="R125" s="5">
        <f>Legacy!R71+Paid!R69+React!R222+Params!$B$7*Adds!R249</f>
        <v/>
      </c>
      <c r="S125" s="5">
        <f>Legacy!S71+Paid!S69+React!S222+Params!$B$7*Adds!S249</f>
        <v/>
      </c>
      <c r="T125" s="5">
        <f>Legacy!T71+Paid!T69+React!T222+Params!$B$7*Adds!T249</f>
        <v/>
      </c>
      <c r="U125" s="5">
        <f>Legacy!U71+Paid!U69+React!U222+Params!$B$7*Adds!U249</f>
        <v/>
      </c>
      <c r="V125" s="5">
        <f>Legacy!V71+Paid!V69+React!V222+Params!$B$7*Adds!V249</f>
        <v/>
      </c>
      <c r="W125" s="5">
        <f>Legacy!W71+Paid!W69+React!W222+Params!$B$7*Adds!W249</f>
        <v/>
      </c>
      <c r="X125" s="5">
        <f>Legacy!X71+Paid!X69+React!X222+Params!$B$7*Adds!X249</f>
        <v/>
      </c>
      <c r="Y125" s="5">
        <f>Legacy!Y71+Paid!Y69+React!Y222+Params!$B$7*Adds!Y249</f>
        <v/>
      </c>
      <c r="Z125" s="5">
        <f>Legacy!Z71+Paid!Z69+React!Z222+Params!$B$7*Adds!Z249</f>
        <v/>
      </c>
      <c r="AA125" s="5">
        <f>Legacy!AA71+Paid!AA69+React!AA222+Params!$B$7*Adds!AA249</f>
        <v/>
      </c>
      <c r="AB125" s="5">
        <f>Legacy!AB71+Paid!AB69+React!AB222+Params!$B$7*Adds!AB249</f>
        <v/>
      </c>
      <c r="AC125" s="5">
        <f>Legacy!AC71+Paid!AC69+React!AC222+Params!$B$7*Adds!AC249</f>
        <v/>
      </c>
      <c r="AD125" s="5">
        <f>Legacy!AD71+Paid!AD69+React!AD222+Params!$B$7*Adds!AD249</f>
        <v/>
      </c>
      <c r="AE125" s="5">
        <f>Legacy!AE71+Paid!AE69+React!AE222+Params!$B$7*Adds!AE249</f>
        <v/>
      </c>
      <c r="AF125" s="5">
        <f>Legacy!AF71+Paid!AF69+React!AF222+Params!$B$7*Adds!AF249</f>
        <v/>
      </c>
      <c r="AG125" s="5">
        <f>Legacy!AG71+Paid!AG69+React!AG222+Params!$B$7*Adds!AG249</f>
        <v/>
      </c>
      <c r="AH125" s="5">
        <f>Legacy!AH71+Paid!AH69+React!AH222+Params!$B$7*Adds!AH249</f>
        <v/>
      </c>
      <c r="AI125" s="5">
        <f>Legacy!AI71+Paid!AI69+React!AI222+Params!$B$7*Adds!AI249</f>
        <v/>
      </c>
      <c r="AJ125" s="5">
        <f>Legacy!AJ71+Paid!AJ69+React!AJ222+Params!$B$7*Adds!AJ249</f>
        <v/>
      </c>
      <c r="AK125" s="5">
        <f>Legacy!AK71+Paid!AK69+React!AK222+Params!$B$7*Adds!AK249</f>
        <v/>
      </c>
      <c r="AL125" s="5">
        <f>Legacy!AL71+Paid!AL69+React!AL222+Params!$B$7*Adds!AL249</f>
        <v/>
      </c>
      <c r="AM125" s="5">
        <f>Legacy!AM71+Paid!AM69+React!AM222+Params!$B$7*Adds!AM249</f>
        <v/>
      </c>
      <c r="AN125" s="5">
        <f>Legacy!AN71+Paid!AN69+React!AN222+Params!$B$7*Adds!AN249</f>
        <v/>
      </c>
      <c r="AO125" s="5">
        <f>Legacy!AO71+Paid!AO69+React!AO222+Params!$B$7*Adds!AO249</f>
        <v/>
      </c>
      <c r="AP125" s="5">
        <f>Legacy!AP71+Paid!AP69+React!AP222+Params!$B$7*Adds!AP249</f>
        <v/>
      </c>
      <c r="AQ125" s="5">
        <f>Legacy!AQ71+Paid!AQ69+React!AQ222+Params!$B$7*Adds!AQ249</f>
        <v/>
      </c>
      <c r="AR125" s="5">
        <f>Legacy!AR71+Paid!AR69+React!AR222+Params!$B$7*Adds!AR249</f>
        <v/>
      </c>
      <c r="AS125" s="5">
        <f>Legacy!AS71+Paid!AS69+React!AS222+Params!$B$7*Adds!AS249</f>
        <v/>
      </c>
      <c r="AT125" s="5">
        <f>Legacy!AT71+Paid!AT69+React!AT222+Params!$B$7*Adds!AT249</f>
        <v/>
      </c>
      <c r="AU125" s="5">
        <f>Legacy!AU71+Paid!AU69+React!AU222+Params!$B$7*Adds!AU249</f>
        <v/>
      </c>
      <c r="AV125" s="5">
        <f>Legacy!AV71+Paid!AV69+React!AV222+Params!$B$7*Adds!AV249</f>
        <v/>
      </c>
      <c r="AW125" s="5">
        <f>Legacy!AW71+Paid!AW69+React!AW222+Params!$B$7*Adds!AW249</f>
        <v/>
      </c>
      <c r="AX125" s="5">
        <f>Legacy!AX71+Paid!AX69+React!AX222+Params!$B$7*Adds!AX249</f>
        <v/>
      </c>
      <c r="AY125" s="5">
        <f>Legacy!AY71+Paid!AY69+React!AY222+Params!$B$7*Adds!AY249</f>
        <v/>
      </c>
      <c r="AZ125" s="5">
        <f>Legacy!AZ71+Paid!AZ69+React!AZ222+Params!$B$7*Adds!AZ249</f>
        <v/>
      </c>
      <c r="BA125" s="5">
        <f>Legacy!BA71+Paid!BA69+React!BA222+Params!$B$7*Adds!BA249</f>
        <v/>
      </c>
      <c r="BB125" s="5">
        <f>Legacy!BB71+Paid!BB69+React!BB222+Params!$B$7*Adds!BB249</f>
        <v/>
      </c>
      <c r="BC125" s="5">
        <f>Legacy!BC71+Paid!BC69+React!BC222+Params!$B$7*Adds!BC249</f>
        <v/>
      </c>
      <c r="BD125" s="5">
        <f>Legacy!BD71+Paid!BD69+React!BD222+Params!$B$7*Adds!BD249</f>
        <v/>
      </c>
      <c r="BE125" s="5">
        <f>Legacy!BE71+Paid!BE69+React!BE222+Params!$B$7*Adds!BE249</f>
        <v/>
      </c>
      <c r="BF125" s="5">
        <f>Legacy!BF71+Paid!BF69+React!BF222+Params!$B$7*Adds!BF249</f>
        <v/>
      </c>
      <c r="BG125" s="5">
        <f>Legacy!BG71+Paid!BG69+React!BG222+Params!$B$7*Adds!BG249</f>
        <v/>
      </c>
      <c r="BH125" s="5">
        <f>Legacy!BH71+Paid!BH69+React!BH222+Params!$B$7*Adds!BH249</f>
        <v/>
      </c>
      <c r="BI125" s="5">
        <f>Legacy!BI71+Paid!BI69+React!BI222+Params!$B$7*Adds!BI249</f>
        <v/>
      </c>
      <c r="BJ125" s="5">
        <f>Legacy!BJ71+Paid!BJ69+React!BJ222+Params!$B$7*Adds!BJ249</f>
        <v/>
      </c>
      <c r="BK125" s="5">
        <f>Legacy!BK71+Paid!BK69+React!BK222+Params!$B$7*Adds!BK249</f>
        <v/>
      </c>
      <c r="BL125" s="5">
        <f>Legacy!BL71+Paid!BL69+React!BL222+Params!$B$7*Adds!BL249</f>
        <v/>
      </c>
      <c r="BM125" s="5">
        <f>Legacy!BM71+Paid!BM69+React!BM222+Params!$B$7*Adds!BM249</f>
        <v/>
      </c>
      <c r="BN125" s="5">
        <f>Legacy!BN71+Paid!BN69+React!BN222+Params!$B$7*Adds!BN249</f>
        <v/>
      </c>
      <c r="BO125" s="5">
        <f>Legacy!BO71+Paid!BO69+React!BO222+Params!$B$7*Adds!BO249</f>
        <v/>
      </c>
      <c r="BP125" s="5">
        <f>Legacy!BP71+Paid!BP69+React!BP222+Params!$B$7*Adds!BP249</f>
        <v/>
      </c>
      <c r="BQ125" s="5">
        <f>Legacy!BQ71+Paid!BQ69+React!BQ222+Params!$B$7*Adds!BQ249</f>
        <v/>
      </c>
      <c r="BR125" s="5">
        <f>Legacy!BR71+Paid!BR69+React!BR222+Params!$B$7*Adds!BR249</f>
        <v/>
      </c>
      <c r="BS125" s="5">
        <f>Legacy!BS71+Paid!BS69+React!BS222+Params!$B$7*Adds!BS249</f>
        <v/>
      </c>
      <c r="BT125" s="5">
        <f>Legacy!BT71+Paid!BT69+React!BT222+Params!$B$7*Adds!BT249</f>
        <v/>
      </c>
      <c r="BU125" s="5">
        <f>Legacy!BU71+Paid!BU69+React!BU222+Params!$B$7*Adds!BU249</f>
        <v/>
      </c>
      <c r="BV125" s="5">
        <f>Legacy!BV71+Paid!BV69+React!BV222+Params!$B$7*Adds!BV249</f>
        <v/>
      </c>
    </row>
    <row r="126">
      <c r="A126" t="inlineStr">
        <is>
          <t>closing</t>
        </is>
      </c>
      <c r="B126" t="inlineStr">
        <is>
          <t>ROW|NITRO_M</t>
        </is>
      </c>
      <c r="C126" s="5">
        <f>C127+Params!$B$7*Adds!C252</f>
        <v/>
      </c>
      <c r="D126" s="5">
        <f>D127+Params!$B$7*Adds!D252</f>
        <v/>
      </c>
      <c r="E126" s="5">
        <f>E127+Params!$B$7*Adds!E252</f>
        <v/>
      </c>
      <c r="F126" s="5">
        <f>F127+Params!$B$7*Adds!F252</f>
        <v/>
      </c>
      <c r="G126" s="5">
        <f>G127+Params!$B$7*Adds!G252</f>
        <v/>
      </c>
      <c r="H126" s="5">
        <f>H127+Params!$B$7*Adds!H252</f>
        <v/>
      </c>
      <c r="I126" s="5">
        <f>I127+Params!$B$7*Adds!I252</f>
        <v/>
      </c>
      <c r="J126" s="5">
        <f>J127+Params!$B$7*Adds!J252</f>
        <v/>
      </c>
      <c r="K126" s="5">
        <f>K127+Params!$B$7*Adds!K252</f>
        <v/>
      </c>
      <c r="L126" s="5">
        <f>L127+Params!$B$7*Adds!L252</f>
        <v/>
      </c>
      <c r="M126" s="5">
        <f>M127+Params!$B$7*Adds!M252</f>
        <v/>
      </c>
      <c r="N126" s="5">
        <f>N127+Params!$B$7*Adds!N252</f>
        <v/>
      </c>
      <c r="O126" s="5">
        <f>O127+Params!$B$7*Adds!O252</f>
        <v/>
      </c>
      <c r="P126" s="5">
        <f>P127+Params!$B$7*Adds!P252</f>
        <v/>
      </c>
      <c r="Q126" s="5">
        <f>Q127+Params!$B$7*Adds!Q252</f>
        <v/>
      </c>
      <c r="R126" s="5">
        <f>R127+Params!$B$7*Adds!R252</f>
        <v/>
      </c>
      <c r="S126" s="5">
        <f>S127+Params!$B$7*Adds!S252</f>
        <v/>
      </c>
      <c r="T126" s="5">
        <f>T127+Params!$B$7*Adds!T252</f>
        <v/>
      </c>
      <c r="U126" s="5">
        <f>U127+Params!$B$7*Adds!U252</f>
        <v/>
      </c>
      <c r="V126" s="5">
        <f>V127+Params!$B$7*Adds!V252</f>
        <v/>
      </c>
      <c r="W126" s="5">
        <f>W127+Params!$B$7*Adds!W252</f>
        <v/>
      </c>
      <c r="X126" s="5">
        <f>X127+Params!$B$7*Adds!X252</f>
        <v/>
      </c>
      <c r="Y126" s="5">
        <f>Y127+Params!$B$7*Adds!Y252</f>
        <v/>
      </c>
      <c r="Z126" s="5">
        <f>Z127+Params!$B$7*Adds!Z252</f>
        <v/>
      </c>
      <c r="AA126" s="5">
        <f>AA127+Params!$B$7*Adds!AA252</f>
        <v/>
      </c>
      <c r="AB126" s="5">
        <f>AB127+Params!$B$7*Adds!AB252</f>
        <v/>
      </c>
      <c r="AC126" s="5">
        <f>AC127+Params!$B$7*Adds!AC252</f>
        <v/>
      </c>
      <c r="AD126" s="5">
        <f>AD127+Params!$B$7*Adds!AD252</f>
        <v/>
      </c>
      <c r="AE126" s="5">
        <f>AE127+Params!$B$7*Adds!AE252</f>
        <v/>
      </c>
      <c r="AF126" s="5">
        <f>AF127+Params!$B$7*Adds!AF252</f>
        <v/>
      </c>
      <c r="AG126" s="5">
        <f>AG127+Params!$B$7*Adds!AG252</f>
        <v/>
      </c>
      <c r="AH126" s="5">
        <f>AH127+Params!$B$7*Adds!AH252</f>
        <v/>
      </c>
      <c r="AI126" s="5">
        <f>AI127+Params!$B$7*Adds!AI252</f>
        <v/>
      </c>
      <c r="AJ126" s="5">
        <f>AJ127+Params!$B$7*Adds!AJ252</f>
        <v/>
      </c>
      <c r="AK126" s="5">
        <f>AK127+Params!$B$7*Adds!AK252</f>
        <v/>
      </c>
      <c r="AL126" s="5">
        <f>AL127+Params!$B$7*Adds!AL252</f>
        <v/>
      </c>
      <c r="AM126" s="5">
        <f>AM127+Params!$B$7*Adds!AM252</f>
        <v/>
      </c>
      <c r="AN126" s="5">
        <f>AN127+Params!$B$7*Adds!AN252</f>
        <v/>
      </c>
      <c r="AO126" s="5">
        <f>AO127+Params!$B$7*Adds!AO252</f>
        <v/>
      </c>
      <c r="AP126" s="5">
        <f>AP127+Params!$B$7*Adds!AP252</f>
        <v/>
      </c>
      <c r="AQ126" s="5">
        <f>AQ127+Params!$B$7*Adds!AQ252</f>
        <v/>
      </c>
      <c r="AR126" s="5">
        <f>AR127+Params!$B$7*Adds!AR252</f>
        <v/>
      </c>
      <c r="AS126" s="5">
        <f>AS127+Params!$B$7*Adds!AS252</f>
        <v/>
      </c>
      <c r="AT126" s="5">
        <f>AT127+Params!$B$7*Adds!AT252</f>
        <v/>
      </c>
      <c r="AU126" s="5">
        <f>AU127+Params!$B$7*Adds!AU252</f>
        <v/>
      </c>
      <c r="AV126" s="5">
        <f>AV127+Params!$B$7*Adds!AV252</f>
        <v/>
      </c>
      <c r="AW126" s="5">
        <f>AW127+Params!$B$7*Adds!AW252</f>
        <v/>
      </c>
      <c r="AX126" s="5">
        <f>AX127+Params!$B$7*Adds!AX252</f>
        <v/>
      </c>
      <c r="AY126" s="5">
        <f>AY127+Params!$B$7*Adds!AY252</f>
        <v/>
      </c>
      <c r="AZ126" s="5">
        <f>AZ127+Params!$B$7*Adds!AZ252</f>
        <v/>
      </c>
      <c r="BA126" s="5">
        <f>BA127+Params!$B$7*Adds!BA252</f>
        <v/>
      </c>
      <c r="BB126" s="5">
        <f>BB127+Params!$B$7*Adds!BB252</f>
        <v/>
      </c>
      <c r="BC126" s="5">
        <f>BC127+Params!$B$7*Adds!BC252</f>
        <v/>
      </c>
      <c r="BD126" s="5">
        <f>BD127+Params!$B$7*Adds!BD252</f>
        <v/>
      </c>
      <c r="BE126" s="5">
        <f>BE127+Params!$B$7*Adds!BE252</f>
        <v/>
      </c>
      <c r="BF126" s="5">
        <f>BF127+Params!$B$7*Adds!BF252</f>
        <v/>
      </c>
      <c r="BG126" s="5">
        <f>BG127+Params!$B$7*Adds!BG252</f>
        <v/>
      </c>
      <c r="BH126" s="5">
        <f>BH127+Params!$B$7*Adds!BH252</f>
        <v/>
      </c>
      <c r="BI126" s="5">
        <f>BI127+Params!$B$7*Adds!BI252</f>
        <v/>
      </c>
      <c r="BJ126" s="5">
        <f>BJ127+Params!$B$7*Adds!BJ252</f>
        <v/>
      </c>
      <c r="BK126" s="5">
        <f>BK127+Params!$B$7*Adds!BK252</f>
        <v/>
      </c>
      <c r="BL126" s="5">
        <f>BL127+Params!$B$7*Adds!BL252</f>
        <v/>
      </c>
      <c r="BM126" s="5">
        <f>BM127+Params!$B$7*Adds!BM252</f>
        <v/>
      </c>
      <c r="BN126" s="5">
        <f>BN127+Params!$B$7*Adds!BN252</f>
        <v/>
      </c>
      <c r="BO126" s="5">
        <f>BO127+Params!$B$7*Adds!BO252</f>
        <v/>
      </c>
      <c r="BP126" s="5">
        <f>BP127+Params!$B$7*Adds!BP252</f>
        <v/>
      </c>
      <c r="BQ126" s="5">
        <f>BQ127+Params!$B$7*Adds!BQ252</f>
        <v/>
      </c>
      <c r="BR126" s="5">
        <f>BR127+Params!$B$7*Adds!BR252</f>
        <v/>
      </c>
      <c r="BS126" s="5">
        <f>BS127+Params!$B$7*Adds!BS252</f>
        <v/>
      </c>
      <c r="BT126" s="5">
        <f>BT127+Params!$B$7*Adds!BT252</f>
        <v/>
      </c>
      <c r="BU126" s="5">
        <f>BU127+Params!$B$7*Adds!BU252</f>
        <v/>
      </c>
      <c r="BV126" s="5">
        <f>BV127+Params!$B$7*Adds!BV252</f>
        <v/>
      </c>
    </row>
    <row r="127">
      <c r="A127" t="inlineStr">
        <is>
          <t>paying</t>
        </is>
      </c>
      <c r="B127" t="inlineStr">
        <is>
          <t>ROW|NITRO_M</t>
        </is>
      </c>
      <c r="C127" s="5">
        <f>Legacy!C70+Paid!C67+React!C220</f>
        <v/>
      </c>
      <c r="D127" s="5">
        <f>Legacy!D70+Paid!D67+React!D220</f>
        <v/>
      </c>
      <c r="E127" s="5">
        <f>Legacy!E70+Paid!E67+React!E220</f>
        <v/>
      </c>
      <c r="F127" s="5">
        <f>Legacy!F70+Paid!F67+React!F220</f>
        <v/>
      </c>
      <c r="G127" s="5">
        <f>Legacy!G70+Paid!G67+React!G220</f>
        <v/>
      </c>
      <c r="H127" s="5">
        <f>Legacy!H70+Paid!H67+React!H220</f>
        <v/>
      </c>
      <c r="I127" s="5">
        <f>Legacy!I70+Paid!I67+React!I220</f>
        <v/>
      </c>
      <c r="J127" s="5">
        <f>Legacy!J70+Paid!J67+React!J220</f>
        <v/>
      </c>
      <c r="K127" s="5">
        <f>Legacy!K70+Paid!K67+React!K220</f>
        <v/>
      </c>
      <c r="L127" s="5">
        <f>Legacy!L70+Paid!L67+React!L220</f>
        <v/>
      </c>
      <c r="M127" s="5">
        <f>Legacy!M70+Paid!M67+React!M220</f>
        <v/>
      </c>
      <c r="N127" s="5">
        <f>Legacy!N70+Paid!N67+React!N220</f>
        <v/>
      </c>
      <c r="O127" s="5">
        <f>Legacy!O70+Paid!O67+React!O220</f>
        <v/>
      </c>
      <c r="P127" s="5">
        <f>Legacy!P70+Paid!P67+React!P220</f>
        <v/>
      </c>
      <c r="Q127" s="5">
        <f>Legacy!Q70+Paid!Q67+React!Q220</f>
        <v/>
      </c>
      <c r="R127" s="5">
        <f>Legacy!R70+Paid!R67+React!R220</f>
        <v/>
      </c>
      <c r="S127" s="5">
        <f>Legacy!S70+Paid!S67+React!S220</f>
        <v/>
      </c>
      <c r="T127" s="5">
        <f>Legacy!T70+Paid!T67+React!T220</f>
        <v/>
      </c>
      <c r="U127" s="5">
        <f>Legacy!U70+Paid!U67+React!U220</f>
        <v/>
      </c>
      <c r="V127" s="5">
        <f>Legacy!V70+Paid!V67+React!V220</f>
        <v/>
      </c>
      <c r="W127" s="5">
        <f>Legacy!W70+Paid!W67+React!W220</f>
        <v/>
      </c>
      <c r="X127" s="5">
        <f>Legacy!X70+Paid!X67+React!X220</f>
        <v/>
      </c>
      <c r="Y127" s="5">
        <f>Legacy!Y70+Paid!Y67+React!Y220</f>
        <v/>
      </c>
      <c r="Z127" s="5">
        <f>Legacy!Z70+Paid!Z67+React!Z220</f>
        <v/>
      </c>
      <c r="AA127" s="5">
        <f>Legacy!AA70+Paid!AA67+React!AA220</f>
        <v/>
      </c>
      <c r="AB127" s="5">
        <f>Legacy!AB70+Paid!AB67+React!AB220</f>
        <v/>
      </c>
      <c r="AC127" s="5">
        <f>Legacy!AC70+Paid!AC67+React!AC220</f>
        <v/>
      </c>
      <c r="AD127" s="5">
        <f>Legacy!AD70+Paid!AD67+React!AD220</f>
        <v/>
      </c>
      <c r="AE127" s="5">
        <f>Legacy!AE70+Paid!AE67+React!AE220</f>
        <v/>
      </c>
      <c r="AF127" s="5">
        <f>Legacy!AF70+Paid!AF67+React!AF220</f>
        <v/>
      </c>
      <c r="AG127" s="5">
        <f>Legacy!AG70+Paid!AG67+React!AG220</f>
        <v/>
      </c>
      <c r="AH127" s="5">
        <f>Legacy!AH70+Paid!AH67+React!AH220</f>
        <v/>
      </c>
      <c r="AI127" s="5">
        <f>Legacy!AI70+Paid!AI67+React!AI220</f>
        <v/>
      </c>
      <c r="AJ127" s="5">
        <f>Legacy!AJ70+Paid!AJ67+React!AJ220</f>
        <v/>
      </c>
      <c r="AK127" s="5">
        <f>Legacy!AK70+Paid!AK67+React!AK220</f>
        <v/>
      </c>
      <c r="AL127" s="5">
        <f>Legacy!AL70+Paid!AL67+React!AL220</f>
        <v/>
      </c>
      <c r="AM127" s="5">
        <f>Legacy!AM70+Paid!AM67+React!AM220</f>
        <v/>
      </c>
      <c r="AN127" s="5">
        <f>Legacy!AN70+Paid!AN67+React!AN220</f>
        <v/>
      </c>
      <c r="AO127" s="5">
        <f>Legacy!AO70+Paid!AO67+React!AO220</f>
        <v/>
      </c>
      <c r="AP127" s="5">
        <f>Legacy!AP70+Paid!AP67+React!AP220</f>
        <v/>
      </c>
      <c r="AQ127" s="5">
        <f>Legacy!AQ70+Paid!AQ67+React!AQ220</f>
        <v/>
      </c>
      <c r="AR127" s="5">
        <f>Legacy!AR70+Paid!AR67+React!AR220</f>
        <v/>
      </c>
      <c r="AS127" s="5">
        <f>Legacy!AS70+Paid!AS67+React!AS220</f>
        <v/>
      </c>
      <c r="AT127" s="5">
        <f>Legacy!AT70+Paid!AT67+React!AT220</f>
        <v/>
      </c>
      <c r="AU127" s="5">
        <f>Legacy!AU70+Paid!AU67+React!AU220</f>
        <v/>
      </c>
      <c r="AV127" s="5">
        <f>Legacy!AV70+Paid!AV67+React!AV220</f>
        <v/>
      </c>
      <c r="AW127" s="5">
        <f>Legacy!AW70+Paid!AW67+React!AW220</f>
        <v/>
      </c>
      <c r="AX127" s="5">
        <f>Legacy!AX70+Paid!AX67+React!AX220</f>
        <v/>
      </c>
      <c r="AY127" s="5">
        <f>Legacy!AY70+Paid!AY67+React!AY220</f>
        <v/>
      </c>
      <c r="AZ127" s="5">
        <f>Legacy!AZ70+Paid!AZ67+React!AZ220</f>
        <v/>
      </c>
      <c r="BA127" s="5">
        <f>Legacy!BA70+Paid!BA67+React!BA220</f>
        <v/>
      </c>
      <c r="BB127" s="5">
        <f>Legacy!BB70+Paid!BB67+React!BB220</f>
        <v/>
      </c>
      <c r="BC127" s="5">
        <f>Legacy!BC70+Paid!BC67+React!BC220</f>
        <v/>
      </c>
      <c r="BD127" s="5">
        <f>Legacy!BD70+Paid!BD67+React!BD220</f>
        <v/>
      </c>
      <c r="BE127" s="5">
        <f>Legacy!BE70+Paid!BE67+React!BE220</f>
        <v/>
      </c>
      <c r="BF127" s="5">
        <f>Legacy!BF70+Paid!BF67+React!BF220</f>
        <v/>
      </c>
      <c r="BG127" s="5">
        <f>Legacy!BG70+Paid!BG67+React!BG220</f>
        <v/>
      </c>
      <c r="BH127" s="5">
        <f>Legacy!BH70+Paid!BH67+React!BH220</f>
        <v/>
      </c>
      <c r="BI127" s="5">
        <f>Legacy!BI70+Paid!BI67+React!BI220</f>
        <v/>
      </c>
      <c r="BJ127" s="5">
        <f>Legacy!BJ70+Paid!BJ67+React!BJ220</f>
        <v/>
      </c>
      <c r="BK127" s="5">
        <f>Legacy!BK70+Paid!BK67+React!BK220</f>
        <v/>
      </c>
      <c r="BL127" s="5">
        <f>Legacy!BL70+Paid!BL67+React!BL220</f>
        <v/>
      </c>
      <c r="BM127" s="5">
        <f>Legacy!BM70+Paid!BM67+React!BM220</f>
        <v/>
      </c>
      <c r="BN127" s="5">
        <f>Legacy!BN70+Paid!BN67+React!BN220</f>
        <v/>
      </c>
      <c r="BO127" s="5">
        <f>Legacy!BO70+Paid!BO67+React!BO220</f>
        <v/>
      </c>
      <c r="BP127" s="5">
        <f>Legacy!BP70+Paid!BP67+React!BP220</f>
        <v/>
      </c>
      <c r="BQ127" s="5">
        <f>Legacy!BQ70+Paid!BQ67+React!BQ220</f>
        <v/>
      </c>
      <c r="BR127" s="5">
        <f>Legacy!BR70+Paid!BR67+React!BR220</f>
        <v/>
      </c>
      <c r="BS127" s="5">
        <f>Legacy!BS70+Paid!BS67+React!BS220</f>
        <v/>
      </c>
      <c r="BT127" s="5">
        <f>Legacy!BT70+Paid!BT67+React!BT220</f>
        <v/>
      </c>
      <c r="BU127" s="5">
        <f>Legacy!BU70+Paid!BU67+React!BU220</f>
        <v/>
      </c>
      <c r="BV127" s="5">
        <f>Legacy!BV70+Paid!BV67+React!BV220</f>
        <v/>
      </c>
    </row>
    <row r="129">
      <c r="A129" t="inlineStr">
        <is>
          <t>opening</t>
        </is>
      </c>
      <c r="B129" t="inlineStr">
        <is>
          <t>ROW|NITRO_A</t>
        </is>
      </c>
      <c r="C129" s="5">
        <f>Legacy!$C$73</f>
        <v/>
      </c>
      <c r="D129" s="5">
        <f>C133</f>
        <v/>
      </c>
      <c r="E129" s="5">
        <f>D133</f>
        <v/>
      </c>
      <c r="F129" s="5">
        <f>E133</f>
        <v/>
      </c>
      <c r="G129" s="5">
        <f>F133</f>
        <v/>
      </c>
      <c r="H129" s="5">
        <f>G133</f>
        <v/>
      </c>
      <c r="I129" s="5">
        <f>H133</f>
        <v/>
      </c>
      <c r="J129" s="5">
        <f>I133</f>
        <v/>
      </c>
      <c r="K129" s="5">
        <f>J133</f>
        <v/>
      </c>
      <c r="L129" s="5">
        <f>K133</f>
        <v/>
      </c>
      <c r="M129" s="5">
        <f>L133</f>
        <v/>
      </c>
      <c r="N129" s="5">
        <f>M133</f>
        <v/>
      </c>
      <c r="O129" s="5">
        <f>N133</f>
        <v/>
      </c>
      <c r="P129" s="5">
        <f>O133</f>
        <v/>
      </c>
      <c r="Q129" s="5">
        <f>P133</f>
        <v/>
      </c>
      <c r="R129" s="5">
        <f>Q133</f>
        <v/>
      </c>
      <c r="S129" s="5">
        <f>R133</f>
        <v/>
      </c>
      <c r="T129" s="5">
        <f>S133</f>
        <v/>
      </c>
      <c r="U129" s="5">
        <f>T133</f>
        <v/>
      </c>
      <c r="V129" s="5">
        <f>U133</f>
        <v/>
      </c>
      <c r="W129" s="5">
        <f>V133</f>
        <v/>
      </c>
      <c r="X129" s="5">
        <f>W133</f>
        <v/>
      </c>
      <c r="Y129" s="5">
        <f>X133</f>
        <v/>
      </c>
      <c r="Z129" s="5">
        <f>Y133</f>
        <v/>
      </c>
      <c r="AA129" s="5">
        <f>Z133</f>
        <v/>
      </c>
      <c r="AB129" s="5">
        <f>AA133</f>
        <v/>
      </c>
      <c r="AC129" s="5">
        <f>AB133</f>
        <v/>
      </c>
      <c r="AD129" s="5">
        <f>AC133</f>
        <v/>
      </c>
      <c r="AE129" s="5">
        <f>AD133</f>
        <v/>
      </c>
      <c r="AF129" s="5">
        <f>AE133</f>
        <v/>
      </c>
      <c r="AG129" s="5">
        <f>AF133</f>
        <v/>
      </c>
      <c r="AH129" s="5">
        <f>AG133</f>
        <v/>
      </c>
      <c r="AI129" s="5">
        <f>AH133</f>
        <v/>
      </c>
      <c r="AJ129" s="5">
        <f>AI133</f>
        <v/>
      </c>
      <c r="AK129" s="5">
        <f>AJ133</f>
        <v/>
      </c>
      <c r="AL129" s="5">
        <f>AK133</f>
        <v/>
      </c>
      <c r="AM129" s="5">
        <f>AL133</f>
        <v/>
      </c>
      <c r="AN129" s="5">
        <f>AM133</f>
        <v/>
      </c>
      <c r="AO129" s="5">
        <f>AN133</f>
        <v/>
      </c>
      <c r="AP129" s="5">
        <f>AO133</f>
        <v/>
      </c>
      <c r="AQ129" s="5">
        <f>AP133</f>
        <v/>
      </c>
      <c r="AR129" s="5">
        <f>AQ133</f>
        <v/>
      </c>
      <c r="AS129" s="5">
        <f>AR133</f>
        <v/>
      </c>
      <c r="AT129" s="5">
        <f>AS133</f>
        <v/>
      </c>
      <c r="AU129" s="5">
        <f>AT133</f>
        <v/>
      </c>
      <c r="AV129" s="5">
        <f>AU133</f>
        <v/>
      </c>
      <c r="AW129" s="5">
        <f>AV133</f>
        <v/>
      </c>
      <c r="AX129" s="5">
        <f>AW133</f>
        <v/>
      </c>
      <c r="AY129" s="5">
        <f>AX133</f>
        <v/>
      </c>
      <c r="AZ129" s="5">
        <f>AY133</f>
        <v/>
      </c>
      <c r="BA129" s="5">
        <f>AZ133</f>
        <v/>
      </c>
      <c r="BB129" s="5">
        <f>BA133</f>
        <v/>
      </c>
      <c r="BC129" s="5">
        <f>BB133</f>
        <v/>
      </c>
      <c r="BD129" s="5">
        <f>BC133</f>
        <v/>
      </c>
      <c r="BE129" s="5">
        <f>BD133</f>
        <v/>
      </c>
      <c r="BF129" s="5">
        <f>BE133</f>
        <v/>
      </c>
      <c r="BG129" s="5">
        <f>BF133</f>
        <v/>
      </c>
      <c r="BH129" s="5">
        <f>BG133</f>
        <v/>
      </c>
      <c r="BI129" s="5">
        <f>BH133</f>
        <v/>
      </c>
      <c r="BJ129" s="5">
        <f>BI133</f>
        <v/>
      </c>
      <c r="BK129" s="5">
        <f>BJ133</f>
        <v/>
      </c>
      <c r="BL129" s="5">
        <f>BK133</f>
        <v/>
      </c>
      <c r="BM129" s="5">
        <f>BL133</f>
        <v/>
      </c>
      <c r="BN129" s="5">
        <f>BM133</f>
        <v/>
      </c>
      <c r="BO129" s="5">
        <f>BN133</f>
        <v/>
      </c>
      <c r="BP129" s="5">
        <f>BO133</f>
        <v/>
      </c>
      <c r="BQ129" s="5">
        <f>BP133</f>
        <v/>
      </c>
      <c r="BR129" s="5">
        <f>BQ133</f>
        <v/>
      </c>
      <c r="BS129" s="5">
        <f>BR133</f>
        <v/>
      </c>
      <c r="BT129" s="5">
        <f>BS133</f>
        <v/>
      </c>
      <c r="BU129" s="5">
        <f>BT133</f>
        <v/>
      </c>
      <c r="BV129" s="5">
        <f>BU133</f>
        <v/>
      </c>
    </row>
    <row r="130">
      <c r="A130" t="inlineStr">
        <is>
          <t>new</t>
        </is>
      </c>
      <c r="B130" t="inlineStr">
        <is>
          <t>ROW|NITRO_A</t>
        </is>
      </c>
      <c r="C130" s="5">
        <f>Adds!C260+IF(Params!$B$7=1,Adds!C259,Adds!C263)</f>
        <v/>
      </c>
      <c r="D130" s="5">
        <f>Adds!D260+IF(Params!$B$7=1,Adds!D259,Adds!D263)</f>
        <v/>
      </c>
      <c r="E130" s="5">
        <f>Adds!E260+IF(Params!$B$7=1,Adds!E259,Adds!E263)</f>
        <v/>
      </c>
      <c r="F130" s="5">
        <f>Adds!F260+IF(Params!$B$7=1,Adds!F259,Adds!F263)</f>
        <v/>
      </c>
      <c r="G130" s="5">
        <f>Adds!G260+IF(Params!$B$7=1,Adds!G259,Adds!G263)</f>
        <v/>
      </c>
      <c r="H130" s="5">
        <f>Adds!H260+IF(Params!$B$7=1,Adds!H259,Adds!H263)</f>
        <v/>
      </c>
      <c r="I130" s="5">
        <f>Adds!I260+IF(Params!$B$7=1,Adds!I259,Adds!I263)</f>
        <v/>
      </c>
      <c r="J130" s="5">
        <f>Adds!J260+IF(Params!$B$7=1,Adds!J259,Adds!J263)</f>
        <v/>
      </c>
      <c r="K130" s="5">
        <f>Adds!K260+IF(Params!$B$7=1,Adds!K259,Adds!K263)</f>
        <v/>
      </c>
      <c r="L130" s="5">
        <f>Adds!L260+IF(Params!$B$7=1,Adds!L259,Adds!L263)</f>
        <v/>
      </c>
      <c r="M130" s="5">
        <f>Adds!M260+IF(Params!$B$7=1,Adds!M259,Adds!M263)</f>
        <v/>
      </c>
      <c r="N130" s="5">
        <f>Adds!N260+IF(Params!$B$7=1,Adds!N259,Adds!N263)</f>
        <v/>
      </c>
      <c r="O130" s="5">
        <f>Adds!O260+IF(Params!$B$7=1,Adds!O259,Adds!O263)</f>
        <v/>
      </c>
      <c r="P130" s="5">
        <f>Adds!P260+IF(Params!$B$7=1,Adds!P259,Adds!P263)</f>
        <v/>
      </c>
      <c r="Q130" s="5">
        <f>Adds!Q260+IF(Params!$B$7=1,Adds!Q259,Adds!Q263)</f>
        <v/>
      </c>
      <c r="R130" s="5">
        <f>Adds!R260+IF(Params!$B$7=1,Adds!R259,Adds!R263)</f>
        <v/>
      </c>
      <c r="S130" s="5">
        <f>Adds!S260+IF(Params!$B$7=1,Adds!S259,Adds!S263)</f>
        <v/>
      </c>
      <c r="T130" s="5">
        <f>Adds!T260+IF(Params!$B$7=1,Adds!T259,Adds!T263)</f>
        <v/>
      </c>
      <c r="U130" s="5">
        <f>Adds!U260+IF(Params!$B$7=1,Adds!U259,Adds!U263)</f>
        <v/>
      </c>
      <c r="V130" s="5">
        <f>Adds!V260+IF(Params!$B$7=1,Adds!V259,Adds!V263)</f>
        <v/>
      </c>
      <c r="W130" s="5">
        <f>Adds!W260+IF(Params!$B$7=1,Adds!W259,Adds!W263)</f>
        <v/>
      </c>
      <c r="X130" s="5">
        <f>Adds!X260+IF(Params!$B$7=1,Adds!X259,Adds!X263)</f>
        <v/>
      </c>
      <c r="Y130" s="5">
        <f>Adds!Y260+IF(Params!$B$7=1,Adds!Y259,Adds!Y263)</f>
        <v/>
      </c>
      <c r="Z130" s="5">
        <f>Adds!Z260+IF(Params!$B$7=1,Adds!Z259,Adds!Z263)</f>
        <v/>
      </c>
      <c r="AA130" s="5">
        <f>Adds!AA260+IF(Params!$B$7=1,Adds!AA259,Adds!AA263)</f>
        <v/>
      </c>
      <c r="AB130" s="5">
        <f>Adds!AB260+IF(Params!$B$7=1,Adds!AB259,Adds!AB263)</f>
        <v/>
      </c>
      <c r="AC130" s="5">
        <f>Adds!AC260+IF(Params!$B$7=1,Adds!AC259,Adds!AC263)</f>
        <v/>
      </c>
      <c r="AD130" s="5">
        <f>Adds!AD260+IF(Params!$B$7=1,Adds!AD259,Adds!AD263)</f>
        <v/>
      </c>
      <c r="AE130" s="5">
        <f>Adds!AE260+IF(Params!$B$7=1,Adds!AE259,Adds!AE263)</f>
        <v/>
      </c>
      <c r="AF130" s="5">
        <f>Adds!AF260+IF(Params!$B$7=1,Adds!AF259,Adds!AF263)</f>
        <v/>
      </c>
      <c r="AG130" s="5">
        <f>Adds!AG260+IF(Params!$B$7=1,Adds!AG259,Adds!AG263)</f>
        <v/>
      </c>
      <c r="AH130" s="5">
        <f>Adds!AH260+IF(Params!$B$7=1,Adds!AH259,Adds!AH263)</f>
        <v/>
      </c>
      <c r="AI130" s="5">
        <f>Adds!AI260+IF(Params!$B$7=1,Adds!AI259,Adds!AI263)</f>
        <v/>
      </c>
      <c r="AJ130" s="5">
        <f>Adds!AJ260+IF(Params!$B$7=1,Adds!AJ259,Adds!AJ263)</f>
        <v/>
      </c>
      <c r="AK130" s="5">
        <f>Adds!AK260+IF(Params!$B$7=1,Adds!AK259,Adds!AK263)</f>
        <v/>
      </c>
      <c r="AL130" s="5">
        <f>Adds!AL260+IF(Params!$B$7=1,Adds!AL259,Adds!AL263)</f>
        <v/>
      </c>
      <c r="AM130" s="5">
        <f>Adds!AM260+IF(Params!$B$7=1,Adds!AM259,Adds!AM263)</f>
        <v/>
      </c>
      <c r="AN130" s="5">
        <f>Adds!AN260+IF(Params!$B$7=1,Adds!AN259,Adds!AN263)</f>
        <v/>
      </c>
      <c r="AO130" s="5">
        <f>Adds!AO260+IF(Params!$B$7=1,Adds!AO259,Adds!AO263)</f>
        <v/>
      </c>
      <c r="AP130" s="5">
        <f>Adds!AP260+IF(Params!$B$7=1,Adds!AP259,Adds!AP263)</f>
        <v/>
      </c>
      <c r="AQ130" s="5">
        <f>Adds!AQ260+IF(Params!$B$7=1,Adds!AQ259,Adds!AQ263)</f>
        <v/>
      </c>
      <c r="AR130" s="5">
        <f>Adds!AR260+IF(Params!$B$7=1,Adds!AR259,Adds!AR263)</f>
        <v/>
      </c>
      <c r="AS130" s="5">
        <f>Adds!AS260+IF(Params!$B$7=1,Adds!AS259,Adds!AS263)</f>
        <v/>
      </c>
      <c r="AT130" s="5">
        <f>Adds!AT260+IF(Params!$B$7=1,Adds!AT259,Adds!AT263)</f>
        <v/>
      </c>
      <c r="AU130" s="5">
        <f>Adds!AU260+IF(Params!$B$7=1,Adds!AU259,Adds!AU263)</f>
        <v/>
      </c>
      <c r="AV130" s="5">
        <f>Adds!AV260+IF(Params!$B$7=1,Adds!AV259,Adds!AV263)</f>
        <v/>
      </c>
      <c r="AW130" s="5">
        <f>Adds!AW260+IF(Params!$B$7=1,Adds!AW259,Adds!AW263)</f>
        <v/>
      </c>
      <c r="AX130" s="5">
        <f>Adds!AX260+IF(Params!$B$7=1,Adds!AX259,Adds!AX263)</f>
        <v/>
      </c>
      <c r="AY130" s="5">
        <f>Adds!AY260+IF(Params!$B$7=1,Adds!AY259,Adds!AY263)</f>
        <v/>
      </c>
      <c r="AZ130" s="5">
        <f>Adds!AZ260+IF(Params!$B$7=1,Adds!AZ259,Adds!AZ263)</f>
        <v/>
      </c>
      <c r="BA130" s="5">
        <f>Adds!BA260+IF(Params!$B$7=1,Adds!BA259,Adds!BA263)</f>
        <v/>
      </c>
      <c r="BB130" s="5">
        <f>Adds!BB260+IF(Params!$B$7=1,Adds!BB259,Adds!BB263)</f>
        <v/>
      </c>
      <c r="BC130" s="5">
        <f>Adds!BC260+IF(Params!$B$7=1,Adds!BC259,Adds!BC263)</f>
        <v/>
      </c>
      <c r="BD130" s="5">
        <f>Adds!BD260+IF(Params!$B$7=1,Adds!BD259,Adds!BD263)</f>
        <v/>
      </c>
      <c r="BE130" s="5">
        <f>Adds!BE260+IF(Params!$B$7=1,Adds!BE259,Adds!BE263)</f>
        <v/>
      </c>
      <c r="BF130" s="5">
        <f>Adds!BF260+IF(Params!$B$7=1,Adds!BF259,Adds!BF263)</f>
        <v/>
      </c>
      <c r="BG130" s="5">
        <f>Adds!BG260+IF(Params!$B$7=1,Adds!BG259,Adds!BG263)</f>
        <v/>
      </c>
      <c r="BH130" s="5">
        <f>Adds!BH260+IF(Params!$B$7=1,Adds!BH259,Adds!BH263)</f>
        <v/>
      </c>
      <c r="BI130" s="5">
        <f>Adds!BI260+IF(Params!$B$7=1,Adds!BI259,Adds!BI263)</f>
        <v/>
      </c>
      <c r="BJ130" s="5">
        <f>Adds!BJ260+IF(Params!$B$7=1,Adds!BJ259,Adds!BJ263)</f>
        <v/>
      </c>
      <c r="BK130" s="5">
        <f>Adds!BK260+IF(Params!$B$7=1,Adds!BK259,Adds!BK263)</f>
        <v/>
      </c>
      <c r="BL130" s="5">
        <f>Adds!BL260+IF(Params!$B$7=1,Adds!BL259,Adds!BL263)</f>
        <v/>
      </c>
      <c r="BM130" s="5">
        <f>Adds!BM260+IF(Params!$B$7=1,Adds!BM259,Adds!BM263)</f>
        <v/>
      </c>
      <c r="BN130" s="5">
        <f>Adds!BN260+IF(Params!$B$7=1,Adds!BN259,Adds!BN263)</f>
        <v/>
      </c>
      <c r="BO130" s="5">
        <f>Adds!BO260+IF(Params!$B$7=1,Adds!BO259,Adds!BO263)</f>
        <v/>
      </c>
      <c r="BP130" s="5">
        <f>Adds!BP260+IF(Params!$B$7=1,Adds!BP259,Adds!BP263)</f>
        <v/>
      </c>
      <c r="BQ130" s="5">
        <f>Adds!BQ260+IF(Params!$B$7=1,Adds!BQ259,Adds!BQ263)</f>
        <v/>
      </c>
      <c r="BR130" s="5">
        <f>Adds!BR260+IF(Params!$B$7=1,Adds!BR259,Adds!BR263)</f>
        <v/>
      </c>
      <c r="BS130" s="5">
        <f>Adds!BS260+IF(Params!$B$7=1,Adds!BS259,Adds!BS263)</f>
        <v/>
      </c>
      <c r="BT130" s="5">
        <f>Adds!BT260+IF(Params!$B$7=1,Adds!BT259,Adds!BT263)</f>
        <v/>
      </c>
      <c r="BU130" s="5">
        <f>Adds!BU260+IF(Params!$B$7=1,Adds!BU259,Adds!BU263)</f>
        <v/>
      </c>
      <c r="BV130" s="5">
        <f>Adds!BV260+IF(Params!$B$7=1,Adds!BV259,Adds!BV263)</f>
        <v/>
      </c>
    </row>
    <row r="131">
      <c r="A131" t="inlineStr">
        <is>
          <t>reactivated</t>
        </is>
      </c>
      <c r="B131" t="inlineStr">
        <is>
          <t>ROW|NITRO_A</t>
        </is>
      </c>
      <c r="C131" s="5">
        <f>React!C229</f>
        <v/>
      </c>
      <c r="D131" s="5">
        <f>React!D229</f>
        <v/>
      </c>
      <c r="E131" s="5">
        <f>React!E229</f>
        <v/>
      </c>
      <c r="F131" s="5">
        <f>React!F229</f>
        <v/>
      </c>
      <c r="G131" s="5">
        <f>React!G229</f>
        <v/>
      </c>
      <c r="H131" s="5">
        <f>React!H229</f>
        <v/>
      </c>
      <c r="I131" s="5">
        <f>React!I229</f>
        <v/>
      </c>
      <c r="J131" s="5">
        <f>React!J229</f>
        <v/>
      </c>
      <c r="K131" s="5">
        <f>React!K229</f>
        <v/>
      </c>
      <c r="L131" s="5">
        <f>React!L229</f>
        <v/>
      </c>
      <c r="M131" s="5">
        <f>React!M229</f>
        <v/>
      </c>
      <c r="N131" s="5">
        <f>React!N229</f>
        <v/>
      </c>
      <c r="O131" s="5">
        <f>React!O229</f>
        <v/>
      </c>
      <c r="P131" s="5">
        <f>React!P229</f>
        <v/>
      </c>
      <c r="Q131" s="5">
        <f>React!Q229</f>
        <v/>
      </c>
      <c r="R131" s="5">
        <f>React!R229</f>
        <v/>
      </c>
      <c r="S131" s="5">
        <f>React!S229</f>
        <v/>
      </c>
      <c r="T131" s="5">
        <f>React!T229</f>
        <v/>
      </c>
      <c r="U131" s="5">
        <f>React!U229</f>
        <v/>
      </c>
      <c r="V131" s="5">
        <f>React!V229</f>
        <v/>
      </c>
      <c r="W131" s="5">
        <f>React!W229</f>
        <v/>
      </c>
      <c r="X131" s="5">
        <f>React!X229</f>
        <v/>
      </c>
      <c r="Y131" s="5">
        <f>React!Y229</f>
        <v/>
      </c>
      <c r="Z131" s="5">
        <f>React!Z229</f>
        <v/>
      </c>
      <c r="AA131" s="5">
        <f>React!AA229</f>
        <v/>
      </c>
      <c r="AB131" s="5">
        <f>React!AB229</f>
        <v/>
      </c>
      <c r="AC131" s="5">
        <f>React!AC229</f>
        <v/>
      </c>
      <c r="AD131" s="5">
        <f>React!AD229</f>
        <v/>
      </c>
      <c r="AE131" s="5">
        <f>React!AE229</f>
        <v/>
      </c>
      <c r="AF131" s="5">
        <f>React!AF229</f>
        <v/>
      </c>
      <c r="AG131" s="5">
        <f>React!AG229</f>
        <v/>
      </c>
      <c r="AH131" s="5">
        <f>React!AH229</f>
        <v/>
      </c>
      <c r="AI131" s="5">
        <f>React!AI229</f>
        <v/>
      </c>
      <c r="AJ131" s="5">
        <f>React!AJ229</f>
        <v/>
      </c>
      <c r="AK131" s="5">
        <f>React!AK229</f>
        <v/>
      </c>
      <c r="AL131" s="5">
        <f>React!AL229</f>
        <v/>
      </c>
      <c r="AM131" s="5">
        <f>React!AM229</f>
        <v/>
      </c>
      <c r="AN131" s="5">
        <f>React!AN229</f>
        <v/>
      </c>
      <c r="AO131" s="5">
        <f>React!AO229</f>
        <v/>
      </c>
      <c r="AP131" s="5">
        <f>React!AP229</f>
        <v/>
      </c>
      <c r="AQ131" s="5">
        <f>React!AQ229</f>
        <v/>
      </c>
      <c r="AR131" s="5">
        <f>React!AR229</f>
        <v/>
      </c>
      <c r="AS131" s="5">
        <f>React!AS229</f>
        <v/>
      </c>
      <c r="AT131" s="5">
        <f>React!AT229</f>
        <v/>
      </c>
      <c r="AU131" s="5">
        <f>React!AU229</f>
        <v/>
      </c>
      <c r="AV131" s="5">
        <f>React!AV229</f>
        <v/>
      </c>
      <c r="AW131" s="5">
        <f>React!AW229</f>
        <v/>
      </c>
      <c r="AX131" s="5">
        <f>React!AX229</f>
        <v/>
      </c>
      <c r="AY131" s="5">
        <f>React!AY229</f>
        <v/>
      </c>
      <c r="AZ131" s="5">
        <f>React!AZ229</f>
        <v/>
      </c>
      <c r="BA131" s="5">
        <f>React!BA229</f>
        <v/>
      </c>
      <c r="BB131" s="5">
        <f>React!BB229</f>
        <v/>
      </c>
      <c r="BC131" s="5">
        <f>React!BC229</f>
        <v/>
      </c>
      <c r="BD131" s="5">
        <f>React!BD229</f>
        <v/>
      </c>
      <c r="BE131" s="5">
        <f>React!BE229</f>
        <v/>
      </c>
      <c r="BF131" s="5">
        <f>React!BF229</f>
        <v/>
      </c>
      <c r="BG131" s="5">
        <f>React!BG229</f>
        <v/>
      </c>
      <c r="BH131" s="5">
        <f>React!BH229</f>
        <v/>
      </c>
      <c r="BI131" s="5">
        <f>React!BI229</f>
        <v/>
      </c>
      <c r="BJ131" s="5">
        <f>React!BJ229</f>
        <v/>
      </c>
      <c r="BK131" s="5">
        <f>React!BK229</f>
        <v/>
      </c>
      <c r="BL131" s="5">
        <f>React!BL229</f>
        <v/>
      </c>
      <c r="BM131" s="5">
        <f>React!BM229</f>
        <v/>
      </c>
      <c r="BN131" s="5">
        <f>React!BN229</f>
        <v/>
      </c>
      <c r="BO131" s="5">
        <f>React!BO229</f>
        <v/>
      </c>
      <c r="BP131" s="5">
        <f>React!BP229</f>
        <v/>
      </c>
      <c r="BQ131" s="5">
        <f>React!BQ229</f>
        <v/>
      </c>
      <c r="BR131" s="5">
        <f>React!BR229</f>
        <v/>
      </c>
      <c r="BS131" s="5">
        <f>React!BS229</f>
        <v/>
      </c>
      <c r="BT131" s="5">
        <f>React!BT229</f>
        <v/>
      </c>
      <c r="BU131" s="5">
        <f>React!BU229</f>
        <v/>
      </c>
      <c r="BV131" s="5">
        <f>React!BV229</f>
        <v/>
      </c>
    </row>
    <row r="132">
      <c r="A132" t="inlineStr">
        <is>
          <t>churned</t>
        </is>
      </c>
      <c r="B132" t="inlineStr">
        <is>
          <t>ROW|NITRO_A</t>
        </is>
      </c>
      <c r="C132" s="5">
        <f>Legacy!C75+Paid!C73+React!C235+Params!$B$7*Adds!C264</f>
        <v/>
      </c>
      <c r="D132" s="5">
        <f>Legacy!D75+Paid!D73+React!D235+Params!$B$7*Adds!D264</f>
        <v/>
      </c>
      <c r="E132" s="5">
        <f>Legacy!E75+Paid!E73+React!E235+Params!$B$7*Adds!E264</f>
        <v/>
      </c>
      <c r="F132" s="5">
        <f>Legacy!F75+Paid!F73+React!F235+Params!$B$7*Adds!F264</f>
        <v/>
      </c>
      <c r="G132" s="5">
        <f>Legacy!G75+Paid!G73+React!G235+Params!$B$7*Adds!G264</f>
        <v/>
      </c>
      <c r="H132" s="5">
        <f>Legacy!H75+Paid!H73+React!H235+Params!$B$7*Adds!H264</f>
        <v/>
      </c>
      <c r="I132" s="5">
        <f>Legacy!I75+Paid!I73+React!I235+Params!$B$7*Adds!I264</f>
        <v/>
      </c>
      <c r="J132" s="5">
        <f>Legacy!J75+Paid!J73+React!J235+Params!$B$7*Adds!J264</f>
        <v/>
      </c>
      <c r="K132" s="5">
        <f>Legacy!K75+Paid!K73+React!K235+Params!$B$7*Adds!K264</f>
        <v/>
      </c>
      <c r="L132" s="5">
        <f>Legacy!L75+Paid!L73+React!L235+Params!$B$7*Adds!L264</f>
        <v/>
      </c>
      <c r="M132" s="5">
        <f>Legacy!M75+Paid!M73+React!M235+Params!$B$7*Adds!M264</f>
        <v/>
      </c>
      <c r="N132" s="5">
        <f>Legacy!N75+Paid!N73+React!N235+Params!$B$7*Adds!N264</f>
        <v/>
      </c>
      <c r="O132" s="5">
        <f>Legacy!O75+Paid!O73+React!O235+Params!$B$7*Adds!O264</f>
        <v/>
      </c>
      <c r="P132" s="5">
        <f>Legacy!P75+Paid!P73+React!P235+Params!$B$7*Adds!P264</f>
        <v/>
      </c>
      <c r="Q132" s="5">
        <f>Legacy!Q75+Paid!Q73+React!Q235+Params!$B$7*Adds!Q264</f>
        <v/>
      </c>
      <c r="R132" s="5">
        <f>Legacy!R75+Paid!R73+React!R235+Params!$B$7*Adds!R264</f>
        <v/>
      </c>
      <c r="S132" s="5">
        <f>Legacy!S75+Paid!S73+React!S235+Params!$B$7*Adds!S264</f>
        <v/>
      </c>
      <c r="T132" s="5">
        <f>Legacy!T75+Paid!T73+React!T235+Params!$B$7*Adds!T264</f>
        <v/>
      </c>
      <c r="U132" s="5">
        <f>Legacy!U75+Paid!U73+React!U235+Params!$B$7*Adds!U264</f>
        <v/>
      </c>
      <c r="V132" s="5">
        <f>Legacy!V75+Paid!V73+React!V235+Params!$B$7*Adds!V264</f>
        <v/>
      </c>
      <c r="W132" s="5">
        <f>Legacy!W75+Paid!W73+React!W235+Params!$B$7*Adds!W264</f>
        <v/>
      </c>
      <c r="X132" s="5">
        <f>Legacy!X75+Paid!X73+React!X235+Params!$B$7*Adds!X264</f>
        <v/>
      </c>
      <c r="Y132" s="5">
        <f>Legacy!Y75+Paid!Y73+React!Y235+Params!$B$7*Adds!Y264</f>
        <v/>
      </c>
      <c r="Z132" s="5">
        <f>Legacy!Z75+Paid!Z73+React!Z235+Params!$B$7*Adds!Z264</f>
        <v/>
      </c>
      <c r="AA132" s="5">
        <f>Legacy!AA75+Paid!AA73+React!AA235+Params!$B$7*Adds!AA264</f>
        <v/>
      </c>
      <c r="AB132" s="5">
        <f>Legacy!AB75+Paid!AB73+React!AB235+Params!$B$7*Adds!AB264</f>
        <v/>
      </c>
      <c r="AC132" s="5">
        <f>Legacy!AC75+Paid!AC73+React!AC235+Params!$B$7*Adds!AC264</f>
        <v/>
      </c>
      <c r="AD132" s="5">
        <f>Legacy!AD75+Paid!AD73+React!AD235+Params!$B$7*Adds!AD264</f>
        <v/>
      </c>
      <c r="AE132" s="5">
        <f>Legacy!AE75+Paid!AE73+React!AE235+Params!$B$7*Adds!AE264</f>
        <v/>
      </c>
      <c r="AF132" s="5">
        <f>Legacy!AF75+Paid!AF73+React!AF235+Params!$B$7*Adds!AF264</f>
        <v/>
      </c>
      <c r="AG132" s="5">
        <f>Legacy!AG75+Paid!AG73+React!AG235+Params!$B$7*Adds!AG264</f>
        <v/>
      </c>
      <c r="AH132" s="5">
        <f>Legacy!AH75+Paid!AH73+React!AH235+Params!$B$7*Adds!AH264</f>
        <v/>
      </c>
      <c r="AI132" s="5">
        <f>Legacy!AI75+Paid!AI73+React!AI235+Params!$B$7*Adds!AI264</f>
        <v/>
      </c>
      <c r="AJ132" s="5">
        <f>Legacy!AJ75+Paid!AJ73+React!AJ235+Params!$B$7*Adds!AJ264</f>
        <v/>
      </c>
      <c r="AK132" s="5">
        <f>Legacy!AK75+Paid!AK73+React!AK235+Params!$B$7*Adds!AK264</f>
        <v/>
      </c>
      <c r="AL132" s="5">
        <f>Legacy!AL75+Paid!AL73+React!AL235+Params!$B$7*Adds!AL264</f>
        <v/>
      </c>
      <c r="AM132" s="5">
        <f>Legacy!AM75+Paid!AM73+React!AM235+Params!$B$7*Adds!AM264</f>
        <v/>
      </c>
      <c r="AN132" s="5">
        <f>Legacy!AN75+Paid!AN73+React!AN235+Params!$B$7*Adds!AN264</f>
        <v/>
      </c>
      <c r="AO132" s="5">
        <f>Legacy!AO75+Paid!AO73+React!AO235+Params!$B$7*Adds!AO264</f>
        <v/>
      </c>
      <c r="AP132" s="5">
        <f>Legacy!AP75+Paid!AP73+React!AP235+Params!$B$7*Adds!AP264</f>
        <v/>
      </c>
      <c r="AQ132" s="5">
        <f>Legacy!AQ75+Paid!AQ73+React!AQ235+Params!$B$7*Adds!AQ264</f>
        <v/>
      </c>
      <c r="AR132" s="5">
        <f>Legacy!AR75+Paid!AR73+React!AR235+Params!$B$7*Adds!AR264</f>
        <v/>
      </c>
      <c r="AS132" s="5">
        <f>Legacy!AS75+Paid!AS73+React!AS235+Params!$B$7*Adds!AS264</f>
        <v/>
      </c>
      <c r="AT132" s="5">
        <f>Legacy!AT75+Paid!AT73+React!AT235+Params!$B$7*Adds!AT264</f>
        <v/>
      </c>
      <c r="AU132" s="5">
        <f>Legacy!AU75+Paid!AU73+React!AU235+Params!$B$7*Adds!AU264</f>
        <v/>
      </c>
      <c r="AV132" s="5">
        <f>Legacy!AV75+Paid!AV73+React!AV235+Params!$B$7*Adds!AV264</f>
        <v/>
      </c>
      <c r="AW132" s="5">
        <f>Legacy!AW75+Paid!AW73+React!AW235+Params!$B$7*Adds!AW264</f>
        <v/>
      </c>
      <c r="AX132" s="5">
        <f>Legacy!AX75+Paid!AX73+React!AX235+Params!$B$7*Adds!AX264</f>
        <v/>
      </c>
      <c r="AY132" s="5">
        <f>Legacy!AY75+Paid!AY73+React!AY235+Params!$B$7*Adds!AY264</f>
        <v/>
      </c>
      <c r="AZ132" s="5">
        <f>Legacy!AZ75+Paid!AZ73+React!AZ235+Params!$B$7*Adds!AZ264</f>
        <v/>
      </c>
      <c r="BA132" s="5">
        <f>Legacy!BA75+Paid!BA73+React!BA235+Params!$B$7*Adds!BA264</f>
        <v/>
      </c>
      <c r="BB132" s="5">
        <f>Legacy!BB75+Paid!BB73+React!BB235+Params!$B$7*Adds!BB264</f>
        <v/>
      </c>
      <c r="BC132" s="5">
        <f>Legacy!BC75+Paid!BC73+React!BC235+Params!$B$7*Adds!BC264</f>
        <v/>
      </c>
      <c r="BD132" s="5">
        <f>Legacy!BD75+Paid!BD73+React!BD235+Params!$B$7*Adds!BD264</f>
        <v/>
      </c>
      <c r="BE132" s="5">
        <f>Legacy!BE75+Paid!BE73+React!BE235+Params!$B$7*Adds!BE264</f>
        <v/>
      </c>
      <c r="BF132" s="5">
        <f>Legacy!BF75+Paid!BF73+React!BF235+Params!$B$7*Adds!BF264</f>
        <v/>
      </c>
      <c r="BG132" s="5">
        <f>Legacy!BG75+Paid!BG73+React!BG235+Params!$B$7*Adds!BG264</f>
        <v/>
      </c>
      <c r="BH132" s="5">
        <f>Legacy!BH75+Paid!BH73+React!BH235+Params!$B$7*Adds!BH264</f>
        <v/>
      </c>
      <c r="BI132" s="5">
        <f>Legacy!BI75+Paid!BI73+React!BI235+Params!$B$7*Adds!BI264</f>
        <v/>
      </c>
      <c r="BJ132" s="5">
        <f>Legacy!BJ75+Paid!BJ73+React!BJ235+Params!$B$7*Adds!BJ264</f>
        <v/>
      </c>
      <c r="BK132" s="5">
        <f>Legacy!BK75+Paid!BK73+React!BK235+Params!$B$7*Adds!BK264</f>
        <v/>
      </c>
      <c r="BL132" s="5">
        <f>Legacy!BL75+Paid!BL73+React!BL235+Params!$B$7*Adds!BL264</f>
        <v/>
      </c>
      <c r="BM132" s="5">
        <f>Legacy!BM75+Paid!BM73+React!BM235+Params!$B$7*Adds!BM264</f>
        <v/>
      </c>
      <c r="BN132" s="5">
        <f>Legacy!BN75+Paid!BN73+React!BN235+Params!$B$7*Adds!BN264</f>
        <v/>
      </c>
      <c r="BO132" s="5">
        <f>Legacy!BO75+Paid!BO73+React!BO235+Params!$B$7*Adds!BO264</f>
        <v/>
      </c>
      <c r="BP132" s="5">
        <f>Legacy!BP75+Paid!BP73+React!BP235+Params!$B$7*Adds!BP264</f>
        <v/>
      </c>
      <c r="BQ132" s="5">
        <f>Legacy!BQ75+Paid!BQ73+React!BQ235+Params!$B$7*Adds!BQ264</f>
        <v/>
      </c>
      <c r="BR132" s="5">
        <f>Legacy!BR75+Paid!BR73+React!BR235+Params!$B$7*Adds!BR264</f>
        <v/>
      </c>
      <c r="BS132" s="5">
        <f>Legacy!BS75+Paid!BS73+React!BS235+Params!$B$7*Adds!BS264</f>
        <v/>
      </c>
      <c r="BT132" s="5">
        <f>Legacy!BT75+Paid!BT73+React!BT235+Params!$B$7*Adds!BT264</f>
        <v/>
      </c>
      <c r="BU132" s="5">
        <f>Legacy!BU75+Paid!BU73+React!BU235+Params!$B$7*Adds!BU264</f>
        <v/>
      </c>
      <c r="BV132" s="5">
        <f>Legacy!BV75+Paid!BV73+React!BV235+Params!$B$7*Adds!BV264</f>
        <v/>
      </c>
    </row>
    <row r="133">
      <c r="A133" t="inlineStr">
        <is>
          <t>closing</t>
        </is>
      </c>
      <c r="B133" t="inlineStr">
        <is>
          <t>ROW|NITRO_A</t>
        </is>
      </c>
      <c r="C133" s="5">
        <f>C134+Params!$B$7*Adds!C267</f>
        <v/>
      </c>
      <c r="D133" s="5">
        <f>D134+Params!$B$7*Adds!D267</f>
        <v/>
      </c>
      <c r="E133" s="5">
        <f>E134+Params!$B$7*Adds!E267</f>
        <v/>
      </c>
      <c r="F133" s="5">
        <f>F134+Params!$B$7*Adds!F267</f>
        <v/>
      </c>
      <c r="G133" s="5">
        <f>G134+Params!$B$7*Adds!G267</f>
        <v/>
      </c>
      <c r="H133" s="5">
        <f>H134+Params!$B$7*Adds!H267</f>
        <v/>
      </c>
      <c r="I133" s="5">
        <f>I134+Params!$B$7*Adds!I267</f>
        <v/>
      </c>
      <c r="J133" s="5">
        <f>J134+Params!$B$7*Adds!J267</f>
        <v/>
      </c>
      <c r="K133" s="5">
        <f>K134+Params!$B$7*Adds!K267</f>
        <v/>
      </c>
      <c r="L133" s="5">
        <f>L134+Params!$B$7*Adds!L267</f>
        <v/>
      </c>
      <c r="M133" s="5">
        <f>M134+Params!$B$7*Adds!M267</f>
        <v/>
      </c>
      <c r="N133" s="5">
        <f>N134+Params!$B$7*Adds!N267</f>
        <v/>
      </c>
      <c r="O133" s="5">
        <f>O134+Params!$B$7*Adds!O267</f>
        <v/>
      </c>
      <c r="P133" s="5">
        <f>P134+Params!$B$7*Adds!P267</f>
        <v/>
      </c>
      <c r="Q133" s="5">
        <f>Q134+Params!$B$7*Adds!Q267</f>
        <v/>
      </c>
      <c r="R133" s="5">
        <f>R134+Params!$B$7*Adds!R267</f>
        <v/>
      </c>
      <c r="S133" s="5">
        <f>S134+Params!$B$7*Adds!S267</f>
        <v/>
      </c>
      <c r="T133" s="5">
        <f>T134+Params!$B$7*Adds!T267</f>
        <v/>
      </c>
      <c r="U133" s="5">
        <f>U134+Params!$B$7*Adds!U267</f>
        <v/>
      </c>
      <c r="V133" s="5">
        <f>V134+Params!$B$7*Adds!V267</f>
        <v/>
      </c>
      <c r="W133" s="5">
        <f>W134+Params!$B$7*Adds!W267</f>
        <v/>
      </c>
      <c r="X133" s="5">
        <f>X134+Params!$B$7*Adds!X267</f>
        <v/>
      </c>
      <c r="Y133" s="5">
        <f>Y134+Params!$B$7*Adds!Y267</f>
        <v/>
      </c>
      <c r="Z133" s="5">
        <f>Z134+Params!$B$7*Adds!Z267</f>
        <v/>
      </c>
      <c r="AA133" s="5">
        <f>AA134+Params!$B$7*Adds!AA267</f>
        <v/>
      </c>
      <c r="AB133" s="5">
        <f>AB134+Params!$B$7*Adds!AB267</f>
        <v/>
      </c>
      <c r="AC133" s="5">
        <f>AC134+Params!$B$7*Adds!AC267</f>
        <v/>
      </c>
      <c r="AD133" s="5">
        <f>AD134+Params!$B$7*Adds!AD267</f>
        <v/>
      </c>
      <c r="AE133" s="5">
        <f>AE134+Params!$B$7*Adds!AE267</f>
        <v/>
      </c>
      <c r="AF133" s="5">
        <f>AF134+Params!$B$7*Adds!AF267</f>
        <v/>
      </c>
      <c r="AG133" s="5">
        <f>AG134+Params!$B$7*Adds!AG267</f>
        <v/>
      </c>
      <c r="AH133" s="5">
        <f>AH134+Params!$B$7*Adds!AH267</f>
        <v/>
      </c>
      <c r="AI133" s="5">
        <f>AI134+Params!$B$7*Adds!AI267</f>
        <v/>
      </c>
      <c r="AJ133" s="5">
        <f>AJ134+Params!$B$7*Adds!AJ267</f>
        <v/>
      </c>
      <c r="AK133" s="5">
        <f>AK134+Params!$B$7*Adds!AK267</f>
        <v/>
      </c>
      <c r="AL133" s="5">
        <f>AL134+Params!$B$7*Adds!AL267</f>
        <v/>
      </c>
      <c r="AM133" s="5">
        <f>AM134+Params!$B$7*Adds!AM267</f>
        <v/>
      </c>
      <c r="AN133" s="5">
        <f>AN134+Params!$B$7*Adds!AN267</f>
        <v/>
      </c>
      <c r="AO133" s="5">
        <f>AO134+Params!$B$7*Adds!AO267</f>
        <v/>
      </c>
      <c r="AP133" s="5">
        <f>AP134+Params!$B$7*Adds!AP267</f>
        <v/>
      </c>
      <c r="AQ133" s="5">
        <f>AQ134+Params!$B$7*Adds!AQ267</f>
        <v/>
      </c>
      <c r="AR133" s="5">
        <f>AR134+Params!$B$7*Adds!AR267</f>
        <v/>
      </c>
      <c r="AS133" s="5">
        <f>AS134+Params!$B$7*Adds!AS267</f>
        <v/>
      </c>
      <c r="AT133" s="5">
        <f>AT134+Params!$B$7*Adds!AT267</f>
        <v/>
      </c>
      <c r="AU133" s="5">
        <f>AU134+Params!$B$7*Adds!AU267</f>
        <v/>
      </c>
      <c r="AV133" s="5">
        <f>AV134+Params!$B$7*Adds!AV267</f>
        <v/>
      </c>
      <c r="AW133" s="5">
        <f>AW134+Params!$B$7*Adds!AW267</f>
        <v/>
      </c>
      <c r="AX133" s="5">
        <f>AX134+Params!$B$7*Adds!AX267</f>
        <v/>
      </c>
      <c r="AY133" s="5">
        <f>AY134+Params!$B$7*Adds!AY267</f>
        <v/>
      </c>
      <c r="AZ133" s="5">
        <f>AZ134+Params!$B$7*Adds!AZ267</f>
        <v/>
      </c>
      <c r="BA133" s="5">
        <f>BA134+Params!$B$7*Adds!BA267</f>
        <v/>
      </c>
      <c r="BB133" s="5">
        <f>BB134+Params!$B$7*Adds!BB267</f>
        <v/>
      </c>
      <c r="BC133" s="5">
        <f>BC134+Params!$B$7*Adds!BC267</f>
        <v/>
      </c>
      <c r="BD133" s="5">
        <f>BD134+Params!$B$7*Adds!BD267</f>
        <v/>
      </c>
      <c r="BE133" s="5">
        <f>BE134+Params!$B$7*Adds!BE267</f>
        <v/>
      </c>
      <c r="BF133" s="5">
        <f>BF134+Params!$B$7*Adds!BF267</f>
        <v/>
      </c>
      <c r="BG133" s="5">
        <f>BG134+Params!$B$7*Adds!BG267</f>
        <v/>
      </c>
      <c r="BH133" s="5">
        <f>BH134+Params!$B$7*Adds!BH267</f>
        <v/>
      </c>
      <c r="BI133" s="5">
        <f>BI134+Params!$B$7*Adds!BI267</f>
        <v/>
      </c>
      <c r="BJ133" s="5">
        <f>BJ134+Params!$B$7*Adds!BJ267</f>
        <v/>
      </c>
      <c r="BK133" s="5">
        <f>BK134+Params!$B$7*Adds!BK267</f>
        <v/>
      </c>
      <c r="BL133" s="5">
        <f>BL134+Params!$B$7*Adds!BL267</f>
        <v/>
      </c>
      <c r="BM133" s="5">
        <f>BM134+Params!$B$7*Adds!BM267</f>
        <v/>
      </c>
      <c r="BN133" s="5">
        <f>BN134+Params!$B$7*Adds!BN267</f>
        <v/>
      </c>
      <c r="BO133" s="5">
        <f>BO134+Params!$B$7*Adds!BO267</f>
        <v/>
      </c>
      <c r="BP133" s="5">
        <f>BP134+Params!$B$7*Adds!BP267</f>
        <v/>
      </c>
      <c r="BQ133" s="5">
        <f>BQ134+Params!$B$7*Adds!BQ267</f>
        <v/>
      </c>
      <c r="BR133" s="5">
        <f>BR134+Params!$B$7*Adds!BR267</f>
        <v/>
      </c>
      <c r="BS133" s="5">
        <f>BS134+Params!$B$7*Adds!BS267</f>
        <v/>
      </c>
      <c r="BT133" s="5">
        <f>BT134+Params!$B$7*Adds!BT267</f>
        <v/>
      </c>
      <c r="BU133" s="5">
        <f>BU134+Params!$B$7*Adds!BU267</f>
        <v/>
      </c>
      <c r="BV133" s="5">
        <f>BV134+Params!$B$7*Adds!BV267</f>
        <v/>
      </c>
    </row>
    <row r="134">
      <c r="A134" t="inlineStr">
        <is>
          <t>paying</t>
        </is>
      </c>
      <c r="B134" t="inlineStr">
        <is>
          <t>ROW|NITRO_A</t>
        </is>
      </c>
      <c r="C134" s="5">
        <f>Legacy!C74+Paid!C71+React!C233</f>
        <v/>
      </c>
      <c r="D134" s="5">
        <f>Legacy!D74+Paid!D71+React!D233</f>
        <v/>
      </c>
      <c r="E134" s="5">
        <f>Legacy!E74+Paid!E71+React!E233</f>
        <v/>
      </c>
      <c r="F134" s="5">
        <f>Legacy!F74+Paid!F71+React!F233</f>
        <v/>
      </c>
      <c r="G134" s="5">
        <f>Legacy!G74+Paid!G71+React!G233</f>
        <v/>
      </c>
      <c r="H134" s="5">
        <f>Legacy!H74+Paid!H71+React!H233</f>
        <v/>
      </c>
      <c r="I134" s="5">
        <f>Legacy!I74+Paid!I71+React!I233</f>
        <v/>
      </c>
      <c r="J134" s="5">
        <f>Legacy!J74+Paid!J71+React!J233</f>
        <v/>
      </c>
      <c r="K134" s="5">
        <f>Legacy!K74+Paid!K71+React!K233</f>
        <v/>
      </c>
      <c r="L134" s="5">
        <f>Legacy!L74+Paid!L71+React!L233</f>
        <v/>
      </c>
      <c r="M134" s="5">
        <f>Legacy!M74+Paid!M71+React!M233</f>
        <v/>
      </c>
      <c r="N134" s="5">
        <f>Legacy!N74+Paid!N71+React!N233</f>
        <v/>
      </c>
      <c r="O134" s="5">
        <f>Legacy!O74+Paid!O71+React!O233</f>
        <v/>
      </c>
      <c r="P134" s="5">
        <f>Legacy!P74+Paid!P71+React!P233</f>
        <v/>
      </c>
      <c r="Q134" s="5">
        <f>Legacy!Q74+Paid!Q71+React!Q233</f>
        <v/>
      </c>
      <c r="R134" s="5">
        <f>Legacy!R74+Paid!R71+React!R233</f>
        <v/>
      </c>
      <c r="S134" s="5">
        <f>Legacy!S74+Paid!S71+React!S233</f>
        <v/>
      </c>
      <c r="T134" s="5">
        <f>Legacy!T74+Paid!T71+React!T233</f>
        <v/>
      </c>
      <c r="U134" s="5">
        <f>Legacy!U74+Paid!U71+React!U233</f>
        <v/>
      </c>
      <c r="V134" s="5">
        <f>Legacy!V74+Paid!V71+React!V233</f>
        <v/>
      </c>
      <c r="W134" s="5">
        <f>Legacy!W74+Paid!W71+React!W233</f>
        <v/>
      </c>
      <c r="X134" s="5">
        <f>Legacy!X74+Paid!X71+React!X233</f>
        <v/>
      </c>
      <c r="Y134" s="5">
        <f>Legacy!Y74+Paid!Y71+React!Y233</f>
        <v/>
      </c>
      <c r="Z134" s="5">
        <f>Legacy!Z74+Paid!Z71+React!Z233</f>
        <v/>
      </c>
      <c r="AA134" s="5">
        <f>Legacy!AA74+Paid!AA71+React!AA233</f>
        <v/>
      </c>
      <c r="AB134" s="5">
        <f>Legacy!AB74+Paid!AB71+React!AB233</f>
        <v/>
      </c>
      <c r="AC134" s="5">
        <f>Legacy!AC74+Paid!AC71+React!AC233</f>
        <v/>
      </c>
      <c r="AD134" s="5">
        <f>Legacy!AD74+Paid!AD71+React!AD233</f>
        <v/>
      </c>
      <c r="AE134" s="5">
        <f>Legacy!AE74+Paid!AE71+React!AE233</f>
        <v/>
      </c>
      <c r="AF134" s="5">
        <f>Legacy!AF74+Paid!AF71+React!AF233</f>
        <v/>
      </c>
      <c r="AG134" s="5">
        <f>Legacy!AG74+Paid!AG71+React!AG233</f>
        <v/>
      </c>
      <c r="AH134" s="5">
        <f>Legacy!AH74+Paid!AH71+React!AH233</f>
        <v/>
      </c>
      <c r="AI134" s="5">
        <f>Legacy!AI74+Paid!AI71+React!AI233</f>
        <v/>
      </c>
      <c r="AJ134" s="5">
        <f>Legacy!AJ74+Paid!AJ71+React!AJ233</f>
        <v/>
      </c>
      <c r="AK134" s="5">
        <f>Legacy!AK74+Paid!AK71+React!AK233</f>
        <v/>
      </c>
      <c r="AL134" s="5">
        <f>Legacy!AL74+Paid!AL71+React!AL233</f>
        <v/>
      </c>
      <c r="AM134" s="5">
        <f>Legacy!AM74+Paid!AM71+React!AM233</f>
        <v/>
      </c>
      <c r="AN134" s="5">
        <f>Legacy!AN74+Paid!AN71+React!AN233</f>
        <v/>
      </c>
      <c r="AO134" s="5">
        <f>Legacy!AO74+Paid!AO71+React!AO233</f>
        <v/>
      </c>
      <c r="AP134" s="5">
        <f>Legacy!AP74+Paid!AP71+React!AP233</f>
        <v/>
      </c>
      <c r="AQ134" s="5">
        <f>Legacy!AQ74+Paid!AQ71+React!AQ233</f>
        <v/>
      </c>
      <c r="AR134" s="5">
        <f>Legacy!AR74+Paid!AR71+React!AR233</f>
        <v/>
      </c>
      <c r="AS134" s="5">
        <f>Legacy!AS74+Paid!AS71+React!AS233</f>
        <v/>
      </c>
      <c r="AT134" s="5">
        <f>Legacy!AT74+Paid!AT71+React!AT233</f>
        <v/>
      </c>
      <c r="AU134" s="5">
        <f>Legacy!AU74+Paid!AU71+React!AU233</f>
        <v/>
      </c>
      <c r="AV134" s="5">
        <f>Legacy!AV74+Paid!AV71+React!AV233</f>
        <v/>
      </c>
      <c r="AW134" s="5">
        <f>Legacy!AW74+Paid!AW71+React!AW233</f>
        <v/>
      </c>
      <c r="AX134" s="5">
        <f>Legacy!AX74+Paid!AX71+React!AX233</f>
        <v/>
      </c>
      <c r="AY134" s="5">
        <f>Legacy!AY74+Paid!AY71+React!AY233</f>
        <v/>
      </c>
      <c r="AZ134" s="5">
        <f>Legacy!AZ74+Paid!AZ71+React!AZ233</f>
        <v/>
      </c>
      <c r="BA134" s="5">
        <f>Legacy!BA74+Paid!BA71+React!BA233</f>
        <v/>
      </c>
      <c r="BB134" s="5">
        <f>Legacy!BB74+Paid!BB71+React!BB233</f>
        <v/>
      </c>
      <c r="BC134" s="5">
        <f>Legacy!BC74+Paid!BC71+React!BC233</f>
        <v/>
      </c>
      <c r="BD134" s="5">
        <f>Legacy!BD74+Paid!BD71+React!BD233</f>
        <v/>
      </c>
      <c r="BE134" s="5">
        <f>Legacy!BE74+Paid!BE71+React!BE233</f>
        <v/>
      </c>
      <c r="BF134" s="5">
        <f>Legacy!BF74+Paid!BF71+React!BF233</f>
        <v/>
      </c>
      <c r="BG134" s="5">
        <f>Legacy!BG74+Paid!BG71+React!BG233</f>
        <v/>
      </c>
      <c r="BH134" s="5">
        <f>Legacy!BH74+Paid!BH71+React!BH233</f>
        <v/>
      </c>
      <c r="BI134" s="5">
        <f>Legacy!BI74+Paid!BI71+React!BI233</f>
        <v/>
      </c>
      <c r="BJ134" s="5">
        <f>Legacy!BJ74+Paid!BJ71+React!BJ233</f>
        <v/>
      </c>
      <c r="BK134" s="5">
        <f>Legacy!BK74+Paid!BK71+React!BK233</f>
        <v/>
      </c>
      <c r="BL134" s="5">
        <f>Legacy!BL74+Paid!BL71+React!BL233</f>
        <v/>
      </c>
      <c r="BM134" s="5">
        <f>Legacy!BM74+Paid!BM71+React!BM233</f>
        <v/>
      </c>
      <c r="BN134" s="5">
        <f>Legacy!BN74+Paid!BN71+React!BN233</f>
        <v/>
      </c>
      <c r="BO134" s="5">
        <f>Legacy!BO74+Paid!BO71+React!BO233</f>
        <v/>
      </c>
      <c r="BP134" s="5">
        <f>Legacy!BP74+Paid!BP71+React!BP233</f>
        <v/>
      </c>
      <c r="BQ134" s="5">
        <f>Legacy!BQ74+Paid!BQ71+React!BQ233</f>
        <v/>
      </c>
      <c r="BR134" s="5">
        <f>Legacy!BR74+Paid!BR71+React!BR233</f>
        <v/>
      </c>
      <c r="BS134" s="5">
        <f>Legacy!BS74+Paid!BS71+React!BS233</f>
        <v/>
      </c>
      <c r="BT134" s="5">
        <f>Legacy!BT74+Paid!BT71+React!BT233</f>
        <v/>
      </c>
      <c r="BU134" s="5">
        <f>Legacy!BU74+Paid!BU71+React!BU233</f>
        <v/>
      </c>
      <c r="BV134" s="5">
        <f>Legacy!BV74+Paid!BV71+React!BV233</f>
        <v/>
      </c>
    </row>
    <row r="136">
      <c r="A136" t="inlineStr">
        <is>
          <t>opening</t>
        </is>
      </c>
      <c r="B136" t="inlineStr">
        <is>
          <t>ROW|BASIC_M</t>
        </is>
      </c>
      <c r="C136" s="5">
        <f>Legacy!$C$77</f>
        <v/>
      </c>
      <c r="D136" s="5">
        <f>C140</f>
        <v/>
      </c>
      <c r="E136" s="5">
        <f>D140</f>
        <v/>
      </c>
      <c r="F136" s="5">
        <f>E140</f>
        <v/>
      </c>
      <c r="G136" s="5">
        <f>F140</f>
        <v/>
      </c>
      <c r="H136" s="5">
        <f>G140</f>
        <v/>
      </c>
      <c r="I136" s="5">
        <f>H140</f>
        <v/>
      </c>
      <c r="J136" s="5">
        <f>I140</f>
        <v/>
      </c>
      <c r="K136" s="5">
        <f>J140</f>
        <v/>
      </c>
      <c r="L136" s="5">
        <f>K140</f>
        <v/>
      </c>
      <c r="M136" s="5">
        <f>L140</f>
        <v/>
      </c>
      <c r="N136" s="5">
        <f>M140</f>
        <v/>
      </c>
      <c r="O136" s="5">
        <f>N140</f>
        <v/>
      </c>
      <c r="P136" s="5">
        <f>O140</f>
        <v/>
      </c>
      <c r="Q136" s="5">
        <f>P140</f>
        <v/>
      </c>
      <c r="R136" s="5">
        <f>Q140</f>
        <v/>
      </c>
      <c r="S136" s="5">
        <f>R140</f>
        <v/>
      </c>
      <c r="T136" s="5">
        <f>S140</f>
        <v/>
      </c>
      <c r="U136" s="5">
        <f>T140</f>
        <v/>
      </c>
      <c r="V136" s="5">
        <f>U140</f>
        <v/>
      </c>
      <c r="W136" s="5">
        <f>V140</f>
        <v/>
      </c>
      <c r="X136" s="5">
        <f>W140</f>
        <v/>
      </c>
      <c r="Y136" s="5">
        <f>X140</f>
        <v/>
      </c>
      <c r="Z136" s="5">
        <f>Y140</f>
        <v/>
      </c>
      <c r="AA136" s="5">
        <f>Z140</f>
        <v/>
      </c>
      <c r="AB136" s="5">
        <f>AA140</f>
        <v/>
      </c>
      <c r="AC136" s="5">
        <f>AB140</f>
        <v/>
      </c>
      <c r="AD136" s="5">
        <f>AC140</f>
        <v/>
      </c>
      <c r="AE136" s="5">
        <f>AD140</f>
        <v/>
      </c>
      <c r="AF136" s="5">
        <f>AE140</f>
        <v/>
      </c>
      <c r="AG136" s="5">
        <f>AF140</f>
        <v/>
      </c>
      <c r="AH136" s="5">
        <f>AG140</f>
        <v/>
      </c>
      <c r="AI136" s="5">
        <f>AH140</f>
        <v/>
      </c>
      <c r="AJ136" s="5">
        <f>AI140</f>
        <v/>
      </c>
      <c r="AK136" s="5">
        <f>AJ140</f>
        <v/>
      </c>
      <c r="AL136" s="5">
        <f>AK140</f>
        <v/>
      </c>
      <c r="AM136" s="5">
        <f>AL140</f>
        <v/>
      </c>
      <c r="AN136" s="5">
        <f>AM140</f>
        <v/>
      </c>
      <c r="AO136" s="5">
        <f>AN140</f>
        <v/>
      </c>
      <c r="AP136" s="5">
        <f>AO140</f>
        <v/>
      </c>
      <c r="AQ136" s="5">
        <f>AP140</f>
        <v/>
      </c>
      <c r="AR136" s="5">
        <f>AQ140</f>
        <v/>
      </c>
      <c r="AS136" s="5">
        <f>AR140</f>
        <v/>
      </c>
      <c r="AT136" s="5">
        <f>AS140</f>
        <v/>
      </c>
      <c r="AU136" s="5">
        <f>AT140</f>
        <v/>
      </c>
      <c r="AV136" s="5">
        <f>AU140</f>
        <v/>
      </c>
      <c r="AW136" s="5">
        <f>AV140</f>
        <v/>
      </c>
      <c r="AX136" s="5">
        <f>AW140</f>
        <v/>
      </c>
      <c r="AY136" s="5">
        <f>AX140</f>
        <v/>
      </c>
      <c r="AZ136" s="5">
        <f>AY140</f>
        <v/>
      </c>
      <c r="BA136" s="5">
        <f>AZ140</f>
        <v/>
      </c>
      <c r="BB136" s="5">
        <f>BA140</f>
        <v/>
      </c>
      <c r="BC136" s="5">
        <f>BB140</f>
        <v/>
      </c>
      <c r="BD136" s="5">
        <f>BC140</f>
        <v/>
      </c>
      <c r="BE136" s="5">
        <f>BD140</f>
        <v/>
      </c>
      <c r="BF136" s="5">
        <f>BE140</f>
        <v/>
      </c>
      <c r="BG136" s="5">
        <f>BF140</f>
        <v/>
      </c>
      <c r="BH136" s="5">
        <f>BG140</f>
        <v/>
      </c>
      <c r="BI136" s="5">
        <f>BH140</f>
        <v/>
      </c>
      <c r="BJ136" s="5">
        <f>BI140</f>
        <v/>
      </c>
      <c r="BK136" s="5">
        <f>BJ140</f>
        <v/>
      </c>
      <c r="BL136" s="5">
        <f>BK140</f>
        <v/>
      </c>
      <c r="BM136" s="5">
        <f>BL140</f>
        <v/>
      </c>
      <c r="BN136" s="5">
        <f>BM140</f>
        <v/>
      </c>
      <c r="BO136" s="5">
        <f>BN140</f>
        <v/>
      </c>
      <c r="BP136" s="5">
        <f>BO140</f>
        <v/>
      </c>
      <c r="BQ136" s="5">
        <f>BP140</f>
        <v/>
      </c>
      <c r="BR136" s="5">
        <f>BQ140</f>
        <v/>
      </c>
      <c r="BS136" s="5">
        <f>BR140</f>
        <v/>
      </c>
      <c r="BT136" s="5">
        <f>BS140</f>
        <v/>
      </c>
      <c r="BU136" s="5">
        <f>BT140</f>
        <v/>
      </c>
      <c r="BV136" s="5">
        <f>BU140</f>
        <v/>
      </c>
    </row>
    <row r="137">
      <c r="A137" t="inlineStr">
        <is>
          <t>new</t>
        </is>
      </c>
      <c r="B137" t="inlineStr">
        <is>
          <t>ROW|BASIC_M</t>
        </is>
      </c>
      <c r="C137" s="5">
        <f>Adds!C275+IF(Params!$B$7=1,Adds!C274,Adds!C278)</f>
        <v/>
      </c>
      <c r="D137" s="5">
        <f>Adds!D275+IF(Params!$B$7=1,Adds!D274,Adds!D278)</f>
        <v/>
      </c>
      <c r="E137" s="5">
        <f>Adds!E275+IF(Params!$B$7=1,Adds!E274,Adds!E278)</f>
        <v/>
      </c>
      <c r="F137" s="5">
        <f>Adds!F275+IF(Params!$B$7=1,Adds!F274,Adds!F278)</f>
        <v/>
      </c>
      <c r="G137" s="5">
        <f>Adds!G275+IF(Params!$B$7=1,Adds!G274,Adds!G278)</f>
        <v/>
      </c>
      <c r="H137" s="5">
        <f>Adds!H275+IF(Params!$B$7=1,Adds!H274,Adds!H278)</f>
        <v/>
      </c>
      <c r="I137" s="5">
        <f>Adds!I275+IF(Params!$B$7=1,Adds!I274,Adds!I278)</f>
        <v/>
      </c>
      <c r="J137" s="5">
        <f>Adds!J275+IF(Params!$B$7=1,Adds!J274,Adds!J278)</f>
        <v/>
      </c>
      <c r="K137" s="5">
        <f>Adds!K275+IF(Params!$B$7=1,Adds!K274,Adds!K278)</f>
        <v/>
      </c>
      <c r="L137" s="5">
        <f>Adds!L275+IF(Params!$B$7=1,Adds!L274,Adds!L278)</f>
        <v/>
      </c>
      <c r="M137" s="5">
        <f>Adds!M275+IF(Params!$B$7=1,Adds!M274,Adds!M278)</f>
        <v/>
      </c>
      <c r="N137" s="5">
        <f>Adds!N275+IF(Params!$B$7=1,Adds!N274,Adds!N278)</f>
        <v/>
      </c>
      <c r="O137" s="5">
        <f>Adds!O275+IF(Params!$B$7=1,Adds!O274,Adds!O278)</f>
        <v/>
      </c>
      <c r="P137" s="5">
        <f>Adds!P275+IF(Params!$B$7=1,Adds!P274,Adds!P278)</f>
        <v/>
      </c>
      <c r="Q137" s="5">
        <f>Adds!Q275+IF(Params!$B$7=1,Adds!Q274,Adds!Q278)</f>
        <v/>
      </c>
      <c r="R137" s="5">
        <f>Adds!R275+IF(Params!$B$7=1,Adds!R274,Adds!R278)</f>
        <v/>
      </c>
      <c r="S137" s="5">
        <f>Adds!S275+IF(Params!$B$7=1,Adds!S274,Adds!S278)</f>
        <v/>
      </c>
      <c r="T137" s="5">
        <f>Adds!T275+IF(Params!$B$7=1,Adds!T274,Adds!T278)</f>
        <v/>
      </c>
      <c r="U137" s="5">
        <f>Adds!U275+IF(Params!$B$7=1,Adds!U274,Adds!U278)</f>
        <v/>
      </c>
      <c r="V137" s="5">
        <f>Adds!V275+IF(Params!$B$7=1,Adds!V274,Adds!V278)</f>
        <v/>
      </c>
      <c r="W137" s="5">
        <f>Adds!W275+IF(Params!$B$7=1,Adds!W274,Adds!W278)</f>
        <v/>
      </c>
      <c r="X137" s="5">
        <f>Adds!X275+IF(Params!$B$7=1,Adds!X274,Adds!X278)</f>
        <v/>
      </c>
      <c r="Y137" s="5">
        <f>Adds!Y275+IF(Params!$B$7=1,Adds!Y274,Adds!Y278)</f>
        <v/>
      </c>
      <c r="Z137" s="5">
        <f>Adds!Z275+IF(Params!$B$7=1,Adds!Z274,Adds!Z278)</f>
        <v/>
      </c>
      <c r="AA137" s="5">
        <f>Adds!AA275+IF(Params!$B$7=1,Adds!AA274,Adds!AA278)</f>
        <v/>
      </c>
      <c r="AB137" s="5">
        <f>Adds!AB275+IF(Params!$B$7=1,Adds!AB274,Adds!AB278)</f>
        <v/>
      </c>
      <c r="AC137" s="5">
        <f>Adds!AC275+IF(Params!$B$7=1,Adds!AC274,Adds!AC278)</f>
        <v/>
      </c>
      <c r="AD137" s="5">
        <f>Adds!AD275+IF(Params!$B$7=1,Adds!AD274,Adds!AD278)</f>
        <v/>
      </c>
      <c r="AE137" s="5">
        <f>Adds!AE275+IF(Params!$B$7=1,Adds!AE274,Adds!AE278)</f>
        <v/>
      </c>
      <c r="AF137" s="5">
        <f>Adds!AF275+IF(Params!$B$7=1,Adds!AF274,Adds!AF278)</f>
        <v/>
      </c>
      <c r="AG137" s="5">
        <f>Adds!AG275+IF(Params!$B$7=1,Adds!AG274,Adds!AG278)</f>
        <v/>
      </c>
      <c r="AH137" s="5">
        <f>Adds!AH275+IF(Params!$B$7=1,Adds!AH274,Adds!AH278)</f>
        <v/>
      </c>
      <c r="AI137" s="5">
        <f>Adds!AI275+IF(Params!$B$7=1,Adds!AI274,Adds!AI278)</f>
        <v/>
      </c>
      <c r="AJ137" s="5">
        <f>Adds!AJ275+IF(Params!$B$7=1,Adds!AJ274,Adds!AJ278)</f>
        <v/>
      </c>
      <c r="AK137" s="5">
        <f>Adds!AK275+IF(Params!$B$7=1,Adds!AK274,Adds!AK278)</f>
        <v/>
      </c>
      <c r="AL137" s="5">
        <f>Adds!AL275+IF(Params!$B$7=1,Adds!AL274,Adds!AL278)</f>
        <v/>
      </c>
      <c r="AM137" s="5">
        <f>Adds!AM275+IF(Params!$B$7=1,Adds!AM274,Adds!AM278)</f>
        <v/>
      </c>
      <c r="AN137" s="5">
        <f>Adds!AN275+IF(Params!$B$7=1,Adds!AN274,Adds!AN278)</f>
        <v/>
      </c>
      <c r="AO137" s="5">
        <f>Adds!AO275+IF(Params!$B$7=1,Adds!AO274,Adds!AO278)</f>
        <v/>
      </c>
      <c r="AP137" s="5">
        <f>Adds!AP275+IF(Params!$B$7=1,Adds!AP274,Adds!AP278)</f>
        <v/>
      </c>
      <c r="AQ137" s="5">
        <f>Adds!AQ275+IF(Params!$B$7=1,Adds!AQ274,Adds!AQ278)</f>
        <v/>
      </c>
      <c r="AR137" s="5">
        <f>Adds!AR275+IF(Params!$B$7=1,Adds!AR274,Adds!AR278)</f>
        <v/>
      </c>
      <c r="AS137" s="5">
        <f>Adds!AS275+IF(Params!$B$7=1,Adds!AS274,Adds!AS278)</f>
        <v/>
      </c>
      <c r="AT137" s="5">
        <f>Adds!AT275+IF(Params!$B$7=1,Adds!AT274,Adds!AT278)</f>
        <v/>
      </c>
      <c r="AU137" s="5">
        <f>Adds!AU275+IF(Params!$B$7=1,Adds!AU274,Adds!AU278)</f>
        <v/>
      </c>
      <c r="AV137" s="5">
        <f>Adds!AV275+IF(Params!$B$7=1,Adds!AV274,Adds!AV278)</f>
        <v/>
      </c>
      <c r="AW137" s="5">
        <f>Adds!AW275+IF(Params!$B$7=1,Adds!AW274,Adds!AW278)</f>
        <v/>
      </c>
      <c r="AX137" s="5">
        <f>Adds!AX275+IF(Params!$B$7=1,Adds!AX274,Adds!AX278)</f>
        <v/>
      </c>
      <c r="AY137" s="5">
        <f>Adds!AY275+IF(Params!$B$7=1,Adds!AY274,Adds!AY278)</f>
        <v/>
      </c>
      <c r="AZ137" s="5">
        <f>Adds!AZ275+IF(Params!$B$7=1,Adds!AZ274,Adds!AZ278)</f>
        <v/>
      </c>
      <c r="BA137" s="5">
        <f>Adds!BA275+IF(Params!$B$7=1,Adds!BA274,Adds!BA278)</f>
        <v/>
      </c>
      <c r="BB137" s="5">
        <f>Adds!BB275+IF(Params!$B$7=1,Adds!BB274,Adds!BB278)</f>
        <v/>
      </c>
      <c r="BC137" s="5">
        <f>Adds!BC275+IF(Params!$B$7=1,Adds!BC274,Adds!BC278)</f>
        <v/>
      </c>
      <c r="BD137" s="5">
        <f>Adds!BD275+IF(Params!$B$7=1,Adds!BD274,Adds!BD278)</f>
        <v/>
      </c>
      <c r="BE137" s="5">
        <f>Adds!BE275+IF(Params!$B$7=1,Adds!BE274,Adds!BE278)</f>
        <v/>
      </c>
      <c r="BF137" s="5">
        <f>Adds!BF275+IF(Params!$B$7=1,Adds!BF274,Adds!BF278)</f>
        <v/>
      </c>
      <c r="BG137" s="5">
        <f>Adds!BG275+IF(Params!$B$7=1,Adds!BG274,Adds!BG278)</f>
        <v/>
      </c>
      <c r="BH137" s="5">
        <f>Adds!BH275+IF(Params!$B$7=1,Adds!BH274,Adds!BH278)</f>
        <v/>
      </c>
      <c r="BI137" s="5">
        <f>Adds!BI275+IF(Params!$B$7=1,Adds!BI274,Adds!BI278)</f>
        <v/>
      </c>
      <c r="BJ137" s="5">
        <f>Adds!BJ275+IF(Params!$B$7=1,Adds!BJ274,Adds!BJ278)</f>
        <v/>
      </c>
      <c r="BK137" s="5">
        <f>Adds!BK275+IF(Params!$B$7=1,Adds!BK274,Adds!BK278)</f>
        <v/>
      </c>
      <c r="BL137" s="5">
        <f>Adds!BL275+IF(Params!$B$7=1,Adds!BL274,Adds!BL278)</f>
        <v/>
      </c>
      <c r="BM137" s="5">
        <f>Adds!BM275+IF(Params!$B$7=1,Adds!BM274,Adds!BM278)</f>
        <v/>
      </c>
      <c r="BN137" s="5">
        <f>Adds!BN275+IF(Params!$B$7=1,Adds!BN274,Adds!BN278)</f>
        <v/>
      </c>
      <c r="BO137" s="5">
        <f>Adds!BO275+IF(Params!$B$7=1,Adds!BO274,Adds!BO278)</f>
        <v/>
      </c>
      <c r="BP137" s="5">
        <f>Adds!BP275+IF(Params!$B$7=1,Adds!BP274,Adds!BP278)</f>
        <v/>
      </c>
      <c r="BQ137" s="5">
        <f>Adds!BQ275+IF(Params!$B$7=1,Adds!BQ274,Adds!BQ278)</f>
        <v/>
      </c>
      <c r="BR137" s="5">
        <f>Adds!BR275+IF(Params!$B$7=1,Adds!BR274,Adds!BR278)</f>
        <v/>
      </c>
      <c r="BS137" s="5">
        <f>Adds!BS275+IF(Params!$B$7=1,Adds!BS274,Adds!BS278)</f>
        <v/>
      </c>
      <c r="BT137" s="5">
        <f>Adds!BT275+IF(Params!$B$7=1,Adds!BT274,Adds!BT278)</f>
        <v/>
      </c>
      <c r="BU137" s="5">
        <f>Adds!BU275+IF(Params!$B$7=1,Adds!BU274,Adds!BU278)</f>
        <v/>
      </c>
      <c r="BV137" s="5">
        <f>Adds!BV275+IF(Params!$B$7=1,Adds!BV274,Adds!BV278)</f>
        <v/>
      </c>
    </row>
    <row r="138">
      <c r="A138" t="inlineStr">
        <is>
          <t>reactivated</t>
        </is>
      </c>
      <c r="B138" t="inlineStr">
        <is>
          <t>ROW|BASIC_M</t>
        </is>
      </c>
      <c r="C138" s="5">
        <f>React!C242</f>
        <v/>
      </c>
      <c r="D138" s="5">
        <f>React!D242</f>
        <v/>
      </c>
      <c r="E138" s="5">
        <f>React!E242</f>
        <v/>
      </c>
      <c r="F138" s="5">
        <f>React!F242</f>
        <v/>
      </c>
      <c r="G138" s="5">
        <f>React!G242</f>
        <v/>
      </c>
      <c r="H138" s="5">
        <f>React!H242</f>
        <v/>
      </c>
      <c r="I138" s="5">
        <f>React!I242</f>
        <v/>
      </c>
      <c r="J138" s="5">
        <f>React!J242</f>
        <v/>
      </c>
      <c r="K138" s="5">
        <f>React!K242</f>
        <v/>
      </c>
      <c r="L138" s="5">
        <f>React!L242</f>
        <v/>
      </c>
      <c r="M138" s="5">
        <f>React!M242</f>
        <v/>
      </c>
      <c r="N138" s="5">
        <f>React!N242</f>
        <v/>
      </c>
      <c r="O138" s="5">
        <f>React!O242</f>
        <v/>
      </c>
      <c r="P138" s="5">
        <f>React!P242</f>
        <v/>
      </c>
      <c r="Q138" s="5">
        <f>React!Q242</f>
        <v/>
      </c>
      <c r="R138" s="5">
        <f>React!R242</f>
        <v/>
      </c>
      <c r="S138" s="5">
        <f>React!S242</f>
        <v/>
      </c>
      <c r="T138" s="5">
        <f>React!T242</f>
        <v/>
      </c>
      <c r="U138" s="5">
        <f>React!U242</f>
        <v/>
      </c>
      <c r="V138" s="5">
        <f>React!V242</f>
        <v/>
      </c>
      <c r="W138" s="5">
        <f>React!W242</f>
        <v/>
      </c>
      <c r="X138" s="5">
        <f>React!X242</f>
        <v/>
      </c>
      <c r="Y138" s="5">
        <f>React!Y242</f>
        <v/>
      </c>
      <c r="Z138" s="5">
        <f>React!Z242</f>
        <v/>
      </c>
      <c r="AA138" s="5">
        <f>React!AA242</f>
        <v/>
      </c>
      <c r="AB138" s="5">
        <f>React!AB242</f>
        <v/>
      </c>
      <c r="AC138" s="5">
        <f>React!AC242</f>
        <v/>
      </c>
      <c r="AD138" s="5">
        <f>React!AD242</f>
        <v/>
      </c>
      <c r="AE138" s="5">
        <f>React!AE242</f>
        <v/>
      </c>
      <c r="AF138" s="5">
        <f>React!AF242</f>
        <v/>
      </c>
      <c r="AG138" s="5">
        <f>React!AG242</f>
        <v/>
      </c>
      <c r="AH138" s="5">
        <f>React!AH242</f>
        <v/>
      </c>
      <c r="AI138" s="5">
        <f>React!AI242</f>
        <v/>
      </c>
      <c r="AJ138" s="5">
        <f>React!AJ242</f>
        <v/>
      </c>
      <c r="AK138" s="5">
        <f>React!AK242</f>
        <v/>
      </c>
      <c r="AL138" s="5">
        <f>React!AL242</f>
        <v/>
      </c>
      <c r="AM138" s="5">
        <f>React!AM242</f>
        <v/>
      </c>
      <c r="AN138" s="5">
        <f>React!AN242</f>
        <v/>
      </c>
      <c r="AO138" s="5">
        <f>React!AO242</f>
        <v/>
      </c>
      <c r="AP138" s="5">
        <f>React!AP242</f>
        <v/>
      </c>
      <c r="AQ138" s="5">
        <f>React!AQ242</f>
        <v/>
      </c>
      <c r="AR138" s="5">
        <f>React!AR242</f>
        <v/>
      </c>
      <c r="AS138" s="5">
        <f>React!AS242</f>
        <v/>
      </c>
      <c r="AT138" s="5">
        <f>React!AT242</f>
        <v/>
      </c>
      <c r="AU138" s="5">
        <f>React!AU242</f>
        <v/>
      </c>
      <c r="AV138" s="5">
        <f>React!AV242</f>
        <v/>
      </c>
      <c r="AW138" s="5">
        <f>React!AW242</f>
        <v/>
      </c>
      <c r="AX138" s="5">
        <f>React!AX242</f>
        <v/>
      </c>
      <c r="AY138" s="5">
        <f>React!AY242</f>
        <v/>
      </c>
      <c r="AZ138" s="5">
        <f>React!AZ242</f>
        <v/>
      </c>
      <c r="BA138" s="5">
        <f>React!BA242</f>
        <v/>
      </c>
      <c r="BB138" s="5">
        <f>React!BB242</f>
        <v/>
      </c>
      <c r="BC138" s="5">
        <f>React!BC242</f>
        <v/>
      </c>
      <c r="BD138" s="5">
        <f>React!BD242</f>
        <v/>
      </c>
      <c r="BE138" s="5">
        <f>React!BE242</f>
        <v/>
      </c>
      <c r="BF138" s="5">
        <f>React!BF242</f>
        <v/>
      </c>
      <c r="BG138" s="5">
        <f>React!BG242</f>
        <v/>
      </c>
      <c r="BH138" s="5">
        <f>React!BH242</f>
        <v/>
      </c>
      <c r="BI138" s="5">
        <f>React!BI242</f>
        <v/>
      </c>
      <c r="BJ138" s="5">
        <f>React!BJ242</f>
        <v/>
      </c>
      <c r="BK138" s="5">
        <f>React!BK242</f>
        <v/>
      </c>
      <c r="BL138" s="5">
        <f>React!BL242</f>
        <v/>
      </c>
      <c r="BM138" s="5">
        <f>React!BM242</f>
        <v/>
      </c>
      <c r="BN138" s="5">
        <f>React!BN242</f>
        <v/>
      </c>
      <c r="BO138" s="5">
        <f>React!BO242</f>
        <v/>
      </c>
      <c r="BP138" s="5">
        <f>React!BP242</f>
        <v/>
      </c>
      <c r="BQ138" s="5">
        <f>React!BQ242</f>
        <v/>
      </c>
      <c r="BR138" s="5">
        <f>React!BR242</f>
        <v/>
      </c>
      <c r="BS138" s="5">
        <f>React!BS242</f>
        <v/>
      </c>
      <c r="BT138" s="5">
        <f>React!BT242</f>
        <v/>
      </c>
      <c r="BU138" s="5">
        <f>React!BU242</f>
        <v/>
      </c>
      <c r="BV138" s="5">
        <f>React!BV242</f>
        <v/>
      </c>
    </row>
    <row r="139">
      <c r="A139" t="inlineStr">
        <is>
          <t>churned</t>
        </is>
      </c>
      <c r="B139" t="inlineStr">
        <is>
          <t>ROW|BASIC_M</t>
        </is>
      </c>
      <c r="C139" s="5">
        <f>Legacy!C79+Paid!C77+React!C248+Params!$B$7*Adds!C279</f>
        <v/>
      </c>
      <c r="D139" s="5">
        <f>Legacy!D79+Paid!D77+React!D248+Params!$B$7*Adds!D279</f>
        <v/>
      </c>
      <c r="E139" s="5">
        <f>Legacy!E79+Paid!E77+React!E248+Params!$B$7*Adds!E279</f>
        <v/>
      </c>
      <c r="F139" s="5">
        <f>Legacy!F79+Paid!F77+React!F248+Params!$B$7*Adds!F279</f>
        <v/>
      </c>
      <c r="G139" s="5">
        <f>Legacy!G79+Paid!G77+React!G248+Params!$B$7*Adds!G279</f>
        <v/>
      </c>
      <c r="H139" s="5">
        <f>Legacy!H79+Paid!H77+React!H248+Params!$B$7*Adds!H279</f>
        <v/>
      </c>
      <c r="I139" s="5">
        <f>Legacy!I79+Paid!I77+React!I248+Params!$B$7*Adds!I279</f>
        <v/>
      </c>
      <c r="J139" s="5">
        <f>Legacy!J79+Paid!J77+React!J248+Params!$B$7*Adds!J279</f>
        <v/>
      </c>
      <c r="K139" s="5">
        <f>Legacy!K79+Paid!K77+React!K248+Params!$B$7*Adds!K279</f>
        <v/>
      </c>
      <c r="L139" s="5">
        <f>Legacy!L79+Paid!L77+React!L248+Params!$B$7*Adds!L279</f>
        <v/>
      </c>
      <c r="M139" s="5">
        <f>Legacy!M79+Paid!M77+React!M248+Params!$B$7*Adds!M279</f>
        <v/>
      </c>
      <c r="N139" s="5">
        <f>Legacy!N79+Paid!N77+React!N248+Params!$B$7*Adds!N279</f>
        <v/>
      </c>
      <c r="O139" s="5">
        <f>Legacy!O79+Paid!O77+React!O248+Params!$B$7*Adds!O279</f>
        <v/>
      </c>
      <c r="P139" s="5">
        <f>Legacy!P79+Paid!P77+React!P248+Params!$B$7*Adds!P279</f>
        <v/>
      </c>
      <c r="Q139" s="5">
        <f>Legacy!Q79+Paid!Q77+React!Q248+Params!$B$7*Adds!Q279</f>
        <v/>
      </c>
      <c r="R139" s="5">
        <f>Legacy!R79+Paid!R77+React!R248+Params!$B$7*Adds!R279</f>
        <v/>
      </c>
      <c r="S139" s="5">
        <f>Legacy!S79+Paid!S77+React!S248+Params!$B$7*Adds!S279</f>
        <v/>
      </c>
      <c r="T139" s="5">
        <f>Legacy!T79+Paid!T77+React!T248+Params!$B$7*Adds!T279</f>
        <v/>
      </c>
      <c r="U139" s="5">
        <f>Legacy!U79+Paid!U77+React!U248+Params!$B$7*Adds!U279</f>
        <v/>
      </c>
      <c r="V139" s="5">
        <f>Legacy!V79+Paid!V77+React!V248+Params!$B$7*Adds!V279</f>
        <v/>
      </c>
      <c r="W139" s="5">
        <f>Legacy!W79+Paid!W77+React!W248+Params!$B$7*Adds!W279</f>
        <v/>
      </c>
      <c r="X139" s="5">
        <f>Legacy!X79+Paid!X77+React!X248+Params!$B$7*Adds!X279</f>
        <v/>
      </c>
      <c r="Y139" s="5">
        <f>Legacy!Y79+Paid!Y77+React!Y248+Params!$B$7*Adds!Y279</f>
        <v/>
      </c>
      <c r="Z139" s="5">
        <f>Legacy!Z79+Paid!Z77+React!Z248+Params!$B$7*Adds!Z279</f>
        <v/>
      </c>
      <c r="AA139" s="5">
        <f>Legacy!AA79+Paid!AA77+React!AA248+Params!$B$7*Adds!AA279</f>
        <v/>
      </c>
      <c r="AB139" s="5">
        <f>Legacy!AB79+Paid!AB77+React!AB248+Params!$B$7*Adds!AB279</f>
        <v/>
      </c>
      <c r="AC139" s="5">
        <f>Legacy!AC79+Paid!AC77+React!AC248+Params!$B$7*Adds!AC279</f>
        <v/>
      </c>
      <c r="AD139" s="5">
        <f>Legacy!AD79+Paid!AD77+React!AD248+Params!$B$7*Adds!AD279</f>
        <v/>
      </c>
      <c r="AE139" s="5">
        <f>Legacy!AE79+Paid!AE77+React!AE248+Params!$B$7*Adds!AE279</f>
        <v/>
      </c>
      <c r="AF139" s="5">
        <f>Legacy!AF79+Paid!AF77+React!AF248+Params!$B$7*Adds!AF279</f>
        <v/>
      </c>
      <c r="AG139" s="5">
        <f>Legacy!AG79+Paid!AG77+React!AG248+Params!$B$7*Adds!AG279</f>
        <v/>
      </c>
      <c r="AH139" s="5">
        <f>Legacy!AH79+Paid!AH77+React!AH248+Params!$B$7*Adds!AH279</f>
        <v/>
      </c>
      <c r="AI139" s="5">
        <f>Legacy!AI79+Paid!AI77+React!AI248+Params!$B$7*Adds!AI279</f>
        <v/>
      </c>
      <c r="AJ139" s="5">
        <f>Legacy!AJ79+Paid!AJ77+React!AJ248+Params!$B$7*Adds!AJ279</f>
        <v/>
      </c>
      <c r="AK139" s="5">
        <f>Legacy!AK79+Paid!AK77+React!AK248+Params!$B$7*Adds!AK279</f>
        <v/>
      </c>
      <c r="AL139" s="5">
        <f>Legacy!AL79+Paid!AL77+React!AL248+Params!$B$7*Adds!AL279</f>
        <v/>
      </c>
      <c r="AM139" s="5">
        <f>Legacy!AM79+Paid!AM77+React!AM248+Params!$B$7*Adds!AM279</f>
        <v/>
      </c>
      <c r="AN139" s="5">
        <f>Legacy!AN79+Paid!AN77+React!AN248+Params!$B$7*Adds!AN279</f>
        <v/>
      </c>
      <c r="AO139" s="5">
        <f>Legacy!AO79+Paid!AO77+React!AO248+Params!$B$7*Adds!AO279</f>
        <v/>
      </c>
      <c r="AP139" s="5">
        <f>Legacy!AP79+Paid!AP77+React!AP248+Params!$B$7*Adds!AP279</f>
        <v/>
      </c>
      <c r="AQ139" s="5">
        <f>Legacy!AQ79+Paid!AQ77+React!AQ248+Params!$B$7*Adds!AQ279</f>
        <v/>
      </c>
      <c r="AR139" s="5">
        <f>Legacy!AR79+Paid!AR77+React!AR248+Params!$B$7*Adds!AR279</f>
        <v/>
      </c>
      <c r="AS139" s="5">
        <f>Legacy!AS79+Paid!AS77+React!AS248+Params!$B$7*Adds!AS279</f>
        <v/>
      </c>
      <c r="AT139" s="5">
        <f>Legacy!AT79+Paid!AT77+React!AT248+Params!$B$7*Adds!AT279</f>
        <v/>
      </c>
      <c r="AU139" s="5">
        <f>Legacy!AU79+Paid!AU77+React!AU248+Params!$B$7*Adds!AU279</f>
        <v/>
      </c>
      <c r="AV139" s="5">
        <f>Legacy!AV79+Paid!AV77+React!AV248+Params!$B$7*Adds!AV279</f>
        <v/>
      </c>
      <c r="AW139" s="5">
        <f>Legacy!AW79+Paid!AW77+React!AW248+Params!$B$7*Adds!AW279</f>
        <v/>
      </c>
      <c r="AX139" s="5">
        <f>Legacy!AX79+Paid!AX77+React!AX248+Params!$B$7*Adds!AX279</f>
        <v/>
      </c>
      <c r="AY139" s="5">
        <f>Legacy!AY79+Paid!AY77+React!AY248+Params!$B$7*Adds!AY279</f>
        <v/>
      </c>
      <c r="AZ139" s="5">
        <f>Legacy!AZ79+Paid!AZ77+React!AZ248+Params!$B$7*Adds!AZ279</f>
        <v/>
      </c>
      <c r="BA139" s="5">
        <f>Legacy!BA79+Paid!BA77+React!BA248+Params!$B$7*Adds!BA279</f>
        <v/>
      </c>
      <c r="BB139" s="5">
        <f>Legacy!BB79+Paid!BB77+React!BB248+Params!$B$7*Adds!BB279</f>
        <v/>
      </c>
      <c r="BC139" s="5">
        <f>Legacy!BC79+Paid!BC77+React!BC248+Params!$B$7*Adds!BC279</f>
        <v/>
      </c>
      <c r="BD139" s="5">
        <f>Legacy!BD79+Paid!BD77+React!BD248+Params!$B$7*Adds!BD279</f>
        <v/>
      </c>
      <c r="BE139" s="5">
        <f>Legacy!BE79+Paid!BE77+React!BE248+Params!$B$7*Adds!BE279</f>
        <v/>
      </c>
      <c r="BF139" s="5">
        <f>Legacy!BF79+Paid!BF77+React!BF248+Params!$B$7*Adds!BF279</f>
        <v/>
      </c>
      <c r="BG139" s="5">
        <f>Legacy!BG79+Paid!BG77+React!BG248+Params!$B$7*Adds!BG279</f>
        <v/>
      </c>
      <c r="BH139" s="5">
        <f>Legacy!BH79+Paid!BH77+React!BH248+Params!$B$7*Adds!BH279</f>
        <v/>
      </c>
      <c r="BI139" s="5">
        <f>Legacy!BI79+Paid!BI77+React!BI248+Params!$B$7*Adds!BI279</f>
        <v/>
      </c>
      <c r="BJ139" s="5">
        <f>Legacy!BJ79+Paid!BJ77+React!BJ248+Params!$B$7*Adds!BJ279</f>
        <v/>
      </c>
      <c r="BK139" s="5">
        <f>Legacy!BK79+Paid!BK77+React!BK248+Params!$B$7*Adds!BK279</f>
        <v/>
      </c>
      <c r="BL139" s="5">
        <f>Legacy!BL79+Paid!BL77+React!BL248+Params!$B$7*Adds!BL279</f>
        <v/>
      </c>
      <c r="BM139" s="5">
        <f>Legacy!BM79+Paid!BM77+React!BM248+Params!$B$7*Adds!BM279</f>
        <v/>
      </c>
      <c r="BN139" s="5">
        <f>Legacy!BN79+Paid!BN77+React!BN248+Params!$B$7*Adds!BN279</f>
        <v/>
      </c>
      <c r="BO139" s="5">
        <f>Legacy!BO79+Paid!BO77+React!BO248+Params!$B$7*Adds!BO279</f>
        <v/>
      </c>
      <c r="BP139" s="5">
        <f>Legacy!BP79+Paid!BP77+React!BP248+Params!$B$7*Adds!BP279</f>
        <v/>
      </c>
      <c r="BQ139" s="5">
        <f>Legacy!BQ79+Paid!BQ77+React!BQ248+Params!$B$7*Adds!BQ279</f>
        <v/>
      </c>
      <c r="BR139" s="5">
        <f>Legacy!BR79+Paid!BR77+React!BR248+Params!$B$7*Adds!BR279</f>
        <v/>
      </c>
      <c r="BS139" s="5">
        <f>Legacy!BS79+Paid!BS77+React!BS248+Params!$B$7*Adds!BS279</f>
        <v/>
      </c>
      <c r="BT139" s="5">
        <f>Legacy!BT79+Paid!BT77+React!BT248+Params!$B$7*Adds!BT279</f>
        <v/>
      </c>
      <c r="BU139" s="5">
        <f>Legacy!BU79+Paid!BU77+React!BU248+Params!$B$7*Adds!BU279</f>
        <v/>
      </c>
      <c r="BV139" s="5">
        <f>Legacy!BV79+Paid!BV77+React!BV248+Params!$B$7*Adds!BV279</f>
        <v/>
      </c>
    </row>
    <row r="140">
      <c r="A140" t="inlineStr">
        <is>
          <t>closing</t>
        </is>
      </c>
      <c r="B140" t="inlineStr">
        <is>
          <t>ROW|BASIC_M</t>
        </is>
      </c>
      <c r="C140" s="5">
        <f>C141+Params!$B$7*Adds!C282</f>
        <v/>
      </c>
      <c r="D140" s="5">
        <f>D141+Params!$B$7*Adds!D282</f>
        <v/>
      </c>
      <c r="E140" s="5">
        <f>E141+Params!$B$7*Adds!E282</f>
        <v/>
      </c>
      <c r="F140" s="5">
        <f>F141+Params!$B$7*Adds!F282</f>
        <v/>
      </c>
      <c r="G140" s="5">
        <f>G141+Params!$B$7*Adds!G282</f>
        <v/>
      </c>
      <c r="H140" s="5">
        <f>H141+Params!$B$7*Adds!H282</f>
        <v/>
      </c>
      <c r="I140" s="5">
        <f>I141+Params!$B$7*Adds!I282</f>
        <v/>
      </c>
      <c r="J140" s="5">
        <f>J141+Params!$B$7*Adds!J282</f>
        <v/>
      </c>
      <c r="K140" s="5">
        <f>K141+Params!$B$7*Adds!K282</f>
        <v/>
      </c>
      <c r="L140" s="5">
        <f>L141+Params!$B$7*Adds!L282</f>
        <v/>
      </c>
      <c r="M140" s="5">
        <f>M141+Params!$B$7*Adds!M282</f>
        <v/>
      </c>
      <c r="N140" s="5">
        <f>N141+Params!$B$7*Adds!N282</f>
        <v/>
      </c>
      <c r="O140" s="5">
        <f>O141+Params!$B$7*Adds!O282</f>
        <v/>
      </c>
      <c r="P140" s="5">
        <f>P141+Params!$B$7*Adds!P282</f>
        <v/>
      </c>
      <c r="Q140" s="5">
        <f>Q141+Params!$B$7*Adds!Q282</f>
        <v/>
      </c>
      <c r="R140" s="5">
        <f>R141+Params!$B$7*Adds!R282</f>
        <v/>
      </c>
      <c r="S140" s="5">
        <f>S141+Params!$B$7*Adds!S282</f>
        <v/>
      </c>
      <c r="T140" s="5">
        <f>T141+Params!$B$7*Adds!T282</f>
        <v/>
      </c>
      <c r="U140" s="5">
        <f>U141+Params!$B$7*Adds!U282</f>
        <v/>
      </c>
      <c r="V140" s="5">
        <f>V141+Params!$B$7*Adds!V282</f>
        <v/>
      </c>
      <c r="W140" s="5">
        <f>W141+Params!$B$7*Adds!W282</f>
        <v/>
      </c>
      <c r="X140" s="5">
        <f>X141+Params!$B$7*Adds!X282</f>
        <v/>
      </c>
      <c r="Y140" s="5">
        <f>Y141+Params!$B$7*Adds!Y282</f>
        <v/>
      </c>
      <c r="Z140" s="5">
        <f>Z141+Params!$B$7*Adds!Z282</f>
        <v/>
      </c>
      <c r="AA140" s="5">
        <f>AA141+Params!$B$7*Adds!AA282</f>
        <v/>
      </c>
      <c r="AB140" s="5">
        <f>AB141+Params!$B$7*Adds!AB282</f>
        <v/>
      </c>
      <c r="AC140" s="5">
        <f>AC141+Params!$B$7*Adds!AC282</f>
        <v/>
      </c>
      <c r="AD140" s="5">
        <f>AD141+Params!$B$7*Adds!AD282</f>
        <v/>
      </c>
      <c r="AE140" s="5">
        <f>AE141+Params!$B$7*Adds!AE282</f>
        <v/>
      </c>
      <c r="AF140" s="5">
        <f>AF141+Params!$B$7*Adds!AF282</f>
        <v/>
      </c>
      <c r="AG140" s="5">
        <f>AG141+Params!$B$7*Adds!AG282</f>
        <v/>
      </c>
      <c r="AH140" s="5">
        <f>AH141+Params!$B$7*Adds!AH282</f>
        <v/>
      </c>
      <c r="AI140" s="5">
        <f>AI141+Params!$B$7*Adds!AI282</f>
        <v/>
      </c>
      <c r="AJ140" s="5">
        <f>AJ141+Params!$B$7*Adds!AJ282</f>
        <v/>
      </c>
      <c r="AK140" s="5">
        <f>AK141+Params!$B$7*Adds!AK282</f>
        <v/>
      </c>
      <c r="AL140" s="5">
        <f>AL141+Params!$B$7*Adds!AL282</f>
        <v/>
      </c>
      <c r="AM140" s="5">
        <f>AM141+Params!$B$7*Adds!AM282</f>
        <v/>
      </c>
      <c r="AN140" s="5">
        <f>AN141+Params!$B$7*Adds!AN282</f>
        <v/>
      </c>
      <c r="AO140" s="5">
        <f>AO141+Params!$B$7*Adds!AO282</f>
        <v/>
      </c>
      <c r="AP140" s="5">
        <f>AP141+Params!$B$7*Adds!AP282</f>
        <v/>
      </c>
      <c r="AQ140" s="5">
        <f>AQ141+Params!$B$7*Adds!AQ282</f>
        <v/>
      </c>
      <c r="AR140" s="5">
        <f>AR141+Params!$B$7*Adds!AR282</f>
        <v/>
      </c>
      <c r="AS140" s="5">
        <f>AS141+Params!$B$7*Adds!AS282</f>
        <v/>
      </c>
      <c r="AT140" s="5">
        <f>AT141+Params!$B$7*Adds!AT282</f>
        <v/>
      </c>
      <c r="AU140" s="5">
        <f>AU141+Params!$B$7*Adds!AU282</f>
        <v/>
      </c>
      <c r="AV140" s="5">
        <f>AV141+Params!$B$7*Adds!AV282</f>
        <v/>
      </c>
      <c r="AW140" s="5">
        <f>AW141+Params!$B$7*Adds!AW282</f>
        <v/>
      </c>
      <c r="AX140" s="5">
        <f>AX141+Params!$B$7*Adds!AX282</f>
        <v/>
      </c>
      <c r="AY140" s="5">
        <f>AY141+Params!$B$7*Adds!AY282</f>
        <v/>
      </c>
      <c r="AZ140" s="5">
        <f>AZ141+Params!$B$7*Adds!AZ282</f>
        <v/>
      </c>
      <c r="BA140" s="5">
        <f>BA141+Params!$B$7*Adds!BA282</f>
        <v/>
      </c>
      <c r="BB140" s="5">
        <f>BB141+Params!$B$7*Adds!BB282</f>
        <v/>
      </c>
      <c r="BC140" s="5">
        <f>BC141+Params!$B$7*Adds!BC282</f>
        <v/>
      </c>
      <c r="BD140" s="5">
        <f>BD141+Params!$B$7*Adds!BD282</f>
        <v/>
      </c>
      <c r="BE140" s="5">
        <f>BE141+Params!$B$7*Adds!BE282</f>
        <v/>
      </c>
      <c r="BF140" s="5">
        <f>BF141+Params!$B$7*Adds!BF282</f>
        <v/>
      </c>
      <c r="BG140" s="5">
        <f>BG141+Params!$B$7*Adds!BG282</f>
        <v/>
      </c>
      <c r="BH140" s="5">
        <f>BH141+Params!$B$7*Adds!BH282</f>
        <v/>
      </c>
      <c r="BI140" s="5">
        <f>BI141+Params!$B$7*Adds!BI282</f>
        <v/>
      </c>
      <c r="BJ140" s="5">
        <f>BJ141+Params!$B$7*Adds!BJ282</f>
        <v/>
      </c>
      <c r="BK140" s="5">
        <f>BK141+Params!$B$7*Adds!BK282</f>
        <v/>
      </c>
      <c r="BL140" s="5">
        <f>BL141+Params!$B$7*Adds!BL282</f>
        <v/>
      </c>
      <c r="BM140" s="5">
        <f>BM141+Params!$B$7*Adds!BM282</f>
        <v/>
      </c>
      <c r="BN140" s="5">
        <f>BN141+Params!$B$7*Adds!BN282</f>
        <v/>
      </c>
      <c r="BO140" s="5">
        <f>BO141+Params!$B$7*Adds!BO282</f>
        <v/>
      </c>
      <c r="BP140" s="5">
        <f>BP141+Params!$B$7*Adds!BP282</f>
        <v/>
      </c>
      <c r="BQ140" s="5">
        <f>BQ141+Params!$B$7*Adds!BQ282</f>
        <v/>
      </c>
      <c r="BR140" s="5">
        <f>BR141+Params!$B$7*Adds!BR282</f>
        <v/>
      </c>
      <c r="BS140" s="5">
        <f>BS141+Params!$B$7*Adds!BS282</f>
        <v/>
      </c>
      <c r="BT140" s="5">
        <f>BT141+Params!$B$7*Adds!BT282</f>
        <v/>
      </c>
      <c r="BU140" s="5">
        <f>BU141+Params!$B$7*Adds!BU282</f>
        <v/>
      </c>
      <c r="BV140" s="5">
        <f>BV141+Params!$B$7*Adds!BV282</f>
        <v/>
      </c>
    </row>
    <row r="141">
      <c r="A141" t="inlineStr">
        <is>
          <t>paying</t>
        </is>
      </c>
      <c r="B141" t="inlineStr">
        <is>
          <t>ROW|BASIC_M</t>
        </is>
      </c>
      <c r="C141" s="5">
        <f>Legacy!C78+Paid!C75+React!C246</f>
        <v/>
      </c>
      <c r="D141" s="5">
        <f>Legacy!D78+Paid!D75+React!D246</f>
        <v/>
      </c>
      <c r="E141" s="5">
        <f>Legacy!E78+Paid!E75+React!E246</f>
        <v/>
      </c>
      <c r="F141" s="5">
        <f>Legacy!F78+Paid!F75+React!F246</f>
        <v/>
      </c>
      <c r="G141" s="5">
        <f>Legacy!G78+Paid!G75+React!G246</f>
        <v/>
      </c>
      <c r="H141" s="5">
        <f>Legacy!H78+Paid!H75+React!H246</f>
        <v/>
      </c>
      <c r="I141" s="5">
        <f>Legacy!I78+Paid!I75+React!I246</f>
        <v/>
      </c>
      <c r="J141" s="5">
        <f>Legacy!J78+Paid!J75+React!J246</f>
        <v/>
      </c>
      <c r="K141" s="5">
        <f>Legacy!K78+Paid!K75+React!K246</f>
        <v/>
      </c>
      <c r="L141" s="5">
        <f>Legacy!L78+Paid!L75+React!L246</f>
        <v/>
      </c>
      <c r="M141" s="5">
        <f>Legacy!M78+Paid!M75+React!M246</f>
        <v/>
      </c>
      <c r="N141" s="5">
        <f>Legacy!N78+Paid!N75+React!N246</f>
        <v/>
      </c>
      <c r="O141" s="5">
        <f>Legacy!O78+Paid!O75+React!O246</f>
        <v/>
      </c>
      <c r="P141" s="5">
        <f>Legacy!P78+Paid!P75+React!P246</f>
        <v/>
      </c>
      <c r="Q141" s="5">
        <f>Legacy!Q78+Paid!Q75+React!Q246</f>
        <v/>
      </c>
      <c r="R141" s="5">
        <f>Legacy!R78+Paid!R75+React!R246</f>
        <v/>
      </c>
      <c r="S141" s="5">
        <f>Legacy!S78+Paid!S75+React!S246</f>
        <v/>
      </c>
      <c r="T141" s="5">
        <f>Legacy!T78+Paid!T75+React!T246</f>
        <v/>
      </c>
      <c r="U141" s="5">
        <f>Legacy!U78+Paid!U75+React!U246</f>
        <v/>
      </c>
      <c r="V141" s="5">
        <f>Legacy!V78+Paid!V75+React!V246</f>
        <v/>
      </c>
      <c r="W141" s="5">
        <f>Legacy!W78+Paid!W75+React!W246</f>
        <v/>
      </c>
      <c r="X141" s="5">
        <f>Legacy!X78+Paid!X75+React!X246</f>
        <v/>
      </c>
      <c r="Y141" s="5">
        <f>Legacy!Y78+Paid!Y75+React!Y246</f>
        <v/>
      </c>
      <c r="Z141" s="5">
        <f>Legacy!Z78+Paid!Z75+React!Z246</f>
        <v/>
      </c>
      <c r="AA141" s="5">
        <f>Legacy!AA78+Paid!AA75+React!AA246</f>
        <v/>
      </c>
      <c r="AB141" s="5">
        <f>Legacy!AB78+Paid!AB75+React!AB246</f>
        <v/>
      </c>
      <c r="AC141" s="5">
        <f>Legacy!AC78+Paid!AC75+React!AC246</f>
        <v/>
      </c>
      <c r="AD141" s="5">
        <f>Legacy!AD78+Paid!AD75+React!AD246</f>
        <v/>
      </c>
      <c r="AE141" s="5">
        <f>Legacy!AE78+Paid!AE75+React!AE246</f>
        <v/>
      </c>
      <c r="AF141" s="5">
        <f>Legacy!AF78+Paid!AF75+React!AF246</f>
        <v/>
      </c>
      <c r="AG141" s="5">
        <f>Legacy!AG78+Paid!AG75+React!AG246</f>
        <v/>
      </c>
      <c r="AH141" s="5">
        <f>Legacy!AH78+Paid!AH75+React!AH246</f>
        <v/>
      </c>
      <c r="AI141" s="5">
        <f>Legacy!AI78+Paid!AI75+React!AI246</f>
        <v/>
      </c>
      <c r="AJ141" s="5">
        <f>Legacy!AJ78+Paid!AJ75+React!AJ246</f>
        <v/>
      </c>
      <c r="AK141" s="5">
        <f>Legacy!AK78+Paid!AK75+React!AK246</f>
        <v/>
      </c>
      <c r="AL141" s="5">
        <f>Legacy!AL78+Paid!AL75+React!AL246</f>
        <v/>
      </c>
      <c r="AM141" s="5">
        <f>Legacy!AM78+Paid!AM75+React!AM246</f>
        <v/>
      </c>
      <c r="AN141" s="5">
        <f>Legacy!AN78+Paid!AN75+React!AN246</f>
        <v/>
      </c>
      <c r="AO141" s="5">
        <f>Legacy!AO78+Paid!AO75+React!AO246</f>
        <v/>
      </c>
      <c r="AP141" s="5">
        <f>Legacy!AP78+Paid!AP75+React!AP246</f>
        <v/>
      </c>
      <c r="AQ141" s="5">
        <f>Legacy!AQ78+Paid!AQ75+React!AQ246</f>
        <v/>
      </c>
      <c r="AR141" s="5">
        <f>Legacy!AR78+Paid!AR75+React!AR246</f>
        <v/>
      </c>
      <c r="AS141" s="5">
        <f>Legacy!AS78+Paid!AS75+React!AS246</f>
        <v/>
      </c>
      <c r="AT141" s="5">
        <f>Legacy!AT78+Paid!AT75+React!AT246</f>
        <v/>
      </c>
      <c r="AU141" s="5">
        <f>Legacy!AU78+Paid!AU75+React!AU246</f>
        <v/>
      </c>
      <c r="AV141" s="5">
        <f>Legacy!AV78+Paid!AV75+React!AV246</f>
        <v/>
      </c>
      <c r="AW141" s="5">
        <f>Legacy!AW78+Paid!AW75+React!AW246</f>
        <v/>
      </c>
      <c r="AX141" s="5">
        <f>Legacy!AX78+Paid!AX75+React!AX246</f>
        <v/>
      </c>
      <c r="AY141" s="5">
        <f>Legacy!AY78+Paid!AY75+React!AY246</f>
        <v/>
      </c>
      <c r="AZ141" s="5">
        <f>Legacy!AZ78+Paid!AZ75+React!AZ246</f>
        <v/>
      </c>
      <c r="BA141" s="5">
        <f>Legacy!BA78+Paid!BA75+React!BA246</f>
        <v/>
      </c>
      <c r="BB141" s="5">
        <f>Legacy!BB78+Paid!BB75+React!BB246</f>
        <v/>
      </c>
      <c r="BC141" s="5">
        <f>Legacy!BC78+Paid!BC75+React!BC246</f>
        <v/>
      </c>
      <c r="BD141" s="5">
        <f>Legacy!BD78+Paid!BD75+React!BD246</f>
        <v/>
      </c>
      <c r="BE141" s="5">
        <f>Legacy!BE78+Paid!BE75+React!BE246</f>
        <v/>
      </c>
      <c r="BF141" s="5">
        <f>Legacy!BF78+Paid!BF75+React!BF246</f>
        <v/>
      </c>
      <c r="BG141" s="5">
        <f>Legacy!BG78+Paid!BG75+React!BG246</f>
        <v/>
      </c>
      <c r="BH141" s="5">
        <f>Legacy!BH78+Paid!BH75+React!BH246</f>
        <v/>
      </c>
      <c r="BI141" s="5">
        <f>Legacy!BI78+Paid!BI75+React!BI246</f>
        <v/>
      </c>
      <c r="BJ141" s="5">
        <f>Legacy!BJ78+Paid!BJ75+React!BJ246</f>
        <v/>
      </c>
      <c r="BK141" s="5">
        <f>Legacy!BK78+Paid!BK75+React!BK246</f>
        <v/>
      </c>
      <c r="BL141" s="5">
        <f>Legacy!BL78+Paid!BL75+React!BL246</f>
        <v/>
      </c>
      <c r="BM141" s="5">
        <f>Legacy!BM78+Paid!BM75+React!BM246</f>
        <v/>
      </c>
      <c r="BN141" s="5">
        <f>Legacy!BN78+Paid!BN75+React!BN246</f>
        <v/>
      </c>
      <c r="BO141" s="5">
        <f>Legacy!BO78+Paid!BO75+React!BO246</f>
        <v/>
      </c>
      <c r="BP141" s="5">
        <f>Legacy!BP78+Paid!BP75+React!BP246</f>
        <v/>
      </c>
      <c r="BQ141" s="5">
        <f>Legacy!BQ78+Paid!BQ75+React!BQ246</f>
        <v/>
      </c>
      <c r="BR141" s="5">
        <f>Legacy!BR78+Paid!BR75+React!BR246</f>
        <v/>
      </c>
      <c r="BS141" s="5">
        <f>Legacy!BS78+Paid!BS75+React!BS246</f>
        <v/>
      </c>
      <c r="BT141" s="5">
        <f>Legacy!BT78+Paid!BT75+React!BT246</f>
        <v/>
      </c>
      <c r="BU141" s="5">
        <f>Legacy!BU78+Paid!BU75+React!BU246</f>
        <v/>
      </c>
      <c r="BV141" s="5">
        <f>Legacy!BV78+Paid!BV75+React!BV246</f>
        <v/>
      </c>
    </row>
    <row r="143">
      <c r="A143" t="inlineStr">
        <is>
          <t>opening</t>
        </is>
      </c>
      <c r="B143" t="inlineStr">
        <is>
          <t>ROW|BASIC_A</t>
        </is>
      </c>
      <c r="C143" s="5">
        <f>Legacy!$C$81</f>
        <v/>
      </c>
      <c r="D143" s="5">
        <f>C147</f>
        <v/>
      </c>
      <c r="E143" s="5">
        <f>D147</f>
        <v/>
      </c>
      <c r="F143" s="5">
        <f>E147</f>
        <v/>
      </c>
      <c r="G143" s="5">
        <f>F147</f>
        <v/>
      </c>
      <c r="H143" s="5">
        <f>G147</f>
        <v/>
      </c>
      <c r="I143" s="5">
        <f>H147</f>
        <v/>
      </c>
      <c r="J143" s="5">
        <f>I147</f>
        <v/>
      </c>
      <c r="K143" s="5">
        <f>J147</f>
        <v/>
      </c>
      <c r="L143" s="5">
        <f>K147</f>
        <v/>
      </c>
      <c r="M143" s="5">
        <f>L147</f>
        <v/>
      </c>
      <c r="N143" s="5">
        <f>M147</f>
        <v/>
      </c>
      <c r="O143" s="5">
        <f>N147</f>
        <v/>
      </c>
      <c r="P143" s="5">
        <f>O147</f>
        <v/>
      </c>
      <c r="Q143" s="5">
        <f>P147</f>
        <v/>
      </c>
      <c r="R143" s="5">
        <f>Q147</f>
        <v/>
      </c>
      <c r="S143" s="5">
        <f>R147</f>
        <v/>
      </c>
      <c r="T143" s="5">
        <f>S147</f>
        <v/>
      </c>
      <c r="U143" s="5">
        <f>T147</f>
        <v/>
      </c>
      <c r="V143" s="5">
        <f>U147</f>
        <v/>
      </c>
      <c r="W143" s="5">
        <f>V147</f>
        <v/>
      </c>
      <c r="X143" s="5">
        <f>W147</f>
        <v/>
      </c>
      <c r="Y143" s="5">
        <f>X147</f>
        <v/>
      </c>
      <c r="Z143" s="5">
        <f>Y147</f>
        <v/>
      </c>
      <c r="AA143" s="5">
        <f>Z147</f>
        <v/>
      </c>
      <c r="AB143" s="5">
        <f>AA147</f>
        <v/>
      </c>
      <c r="AC143" s="5">
        <f>AB147</f>
        <v/>
      </c>
      <c r="AD143" s="5">
        <f>AC147</f>
        <v/>
      </c>
      <c r="AE143" s="5">
        <f>AD147</f>
        <v/>
      </c>
      <c r="AF143" s="5">
        <f>AE147</f>
        <v/>
      </c>
      <c r="AG143" s="5">
        <f>AF147</f>
        <v/>
      </c>
      <c r="AH143" s="5">
        <f>AG147</f>
        <v/>
      </c>
      <c r="AI143" s="5">
        <f>AH147</f>
        <v/>
      </c>
      <c r="AJ143" s="5">
        <f>AI147</f>
        <v/>
      </c>
      <c r="AK143" s="5">
        <f>AJ147</f>
        <v/>
      </c>
      <c r="AL143" s="5">
        <f>AK147</f>
        <v/>
      </c>
      <c r="AM143" s="5">
        <f>AL147</f>
        <v/>
      </c>
      <c r="AN143" s="5">
        <f>AM147</f>
        <v/>
      </c>
      <c r="AO143" s="5">
        <f>AN147</f>
        <v/>
      </c>
      <c r="AP143" s="5">
        <f>AO147</f>
        <v/>
      </c>
      <c r="AQ143" s="5">
        <f>AP147</f>
        <v/>
      </c>
      <c r="AR143" s="5">
        <f>AQ147</f>
        <v/>
      </c>
      <c r="AS143" s="5">
        <f>AR147</f>
        <v/>
      </c>
      <c r="AT143" s="5">
        <f>AS147</f>
        <v/>
      </c>
      <c r="AU143" s="5">
        <f>AT147</f>
        <v/>
      </c>
      <c r="AV143" s="5">
        <f>AU147</f>
        <v/>
      </c>
      <c r="AW143" s="5">
        <f>AV147</f>
        <v/>
      </c>
      <c r="AX143" s="5">
        <f>AW147</f>
        <v/>
      </c>
      <c r="AY143" s="5">
        <f>AX147</f>
        <v/>
      </c>
      <c r="AZ143" s="5">
        <f>AY147</f>
        <v/>
      </c>
      <c r="BA143" s="5">
        <f>AZ147</f>
        <v/>
      </c>
      <c r="BB143" s="5">
        <f>BA147</f>
        <v/>
      </c>
      <c r="BC143" s="5">
        <f>BB147</f>
        <v/>
      </c>
      <c r="BD143" s="5">
        <f>BC147</f>
        <v/>
      </c>
      <c r="BE143" s="5">
        <f>BD147</f>
        <v/>
      </c>
      <c r="BF143" s="5">
        <f>BE147</f>
        <v/>
      </c>
      <c r="BG143" s="5">
        <f>BF147</f>
        <v/>
      </c>
      <c r="BH143" s="5">
        <f>BG147</f>
        <v/>
      </c>
      <c r="BI143" s="5">
        <f>BH147</f>
        <v/>
      </c>
      <c r="BJ143" s="5">
        <f>BI147</f>
        <v/>
      </c>
      <c r="BK143" s="5">
        <f>BJ147</f>
        <v/>
      </c>
      <c r="BL143" s="5">
        <f>BK147</f>
        <v/>
      </c>
      <c r="BM143" s="5">
        <f>BL147</f>
        <v/>
      </c>
      <c r="BN143" s="5">
        <f>BM147</f>
        <v/>
      </c>
      <c r="BO143" s="5">
        <f>BN147</f>
        <v/>
      </c>
      <c r="BP143" s="5">
        <f>BO147</f>
        <v/>
      </c>
      <c r="BQ143" s="5">
        <f>BP147</f>
        <v/>
      </c>
      <c r="BR143" s="5">
        <f>BQ147</f>
        <v/>
      </c>
      <c r="BS143" s="5">
        <f>BR147</f>
        <v/>
      </c>
      <c r="BT143" s="5">
        <f>BS147</f>
        <v/>
      </c>
      <c r="BU143" s="5">
        <f>BT147</f>
        <v/>
      </c>
      <c r="BV143" s="5">
        <f>BU147</f>
        <v/>
      </c>
    </row>
    <row r="144">
      <c r="A144" t="inlineStr">
        <is>
          <t>new</t>
        </is>
      </c>
      <c r="B144" t="inlineStr">
        <is>
          <t>ROW|BASIC_A</t>
        </is>
      </c>
      <c r="C144" s="5">
        <f>Adds!C290+IF(Params!$B$7=1,Adds!C289,Adds!C293)</f>
        <v/>
      </c>
      <c r="D144" s="5">
        <f>Adds!D290+IF(Params!$B$7=1,Adds!D289,Adds!D293)</f>
        <v/>
      </c>
      <c r="E144" s="5">
        <f>Adds!E290+IF(Params!$B$7=1,Adds!E289,Adds!E293)</f>
        <v/>
      </c>
      <c r="F144" s="5">
        <f>Adds!F290+IF(Params!$B$7=1,Adds!F289,Adds!F293)</f>
        <v/>
      </c>
      <c r="G144" s="5">
        <f>Adds!G290+IF(Params!$B$7=1,Adds!G289,Adds!G293)</f>
        <v/>
      </c>
      <c r="H144" s="5">
        <f>Adds!H290+IF(Params!$B$7=1,Adds!H289,Adds!H293)</f>
        <v/>
      </c>
      <c r="I144" s="5">
        <f>Adds!I290+IF(Params!$B$7=1,Adds!I289,Adds!I293)</f>
        <v/>
      </c>
      <c r="J144" s="5">
        <f>Adds!J290+IF(Params!$B$7=1,Adds!J289,Adds!J293)</f>
        <v/>
      </c>
      <c r="K144" s="5">
        <f>Adds!K290+IF(Params!$B$7=1,Adds!K289,Adds!K293)</f>
        <v/>
      </c>
      <c r="L144" s="5">
        <f>Adds!L290+IF(Params!$B$7=1,Adds!L289,Adds!L293)</f>
        <v/>
      </c>
      <c r="M144" s="5">
        <f>Adds!M290+IF(Params!$B$7=1,Adds!M289,Adds!M293)</f>
        <v/>
      </c>
      <c r="N144" s="5">
        <f>Adds!N290+IF(Params!$B$7=1,Adds!N289,Adds!N293)</f>
        <v/>
      </c>
      <c r="O144" s="5">
        <f>Adds!O290+IF(Params!$B$7=1,Adds!O289,Adds!O293)</f>
        <v/>
      </c>
      <c r="P144" s="5">
        <f>Adds!P290+IF(Params!$B$7=1,Adds!P289,Adds!P293)</f>
        <v/>
      </c>
      <c r="Q144" s="5">
        <f>Adds!Q290+IF(Params!$B$7=1,Adds!Q289,Adds!Q293)</f>
        <v/>
      </c>
      <c r="R144" s="5">
        <f>Adds!R290+IF(Params!$B$7=1,Adds!R289,Adds!R293)</f>
        <v/>
      </c>
      <c r="S144" s="5">
        <f>Adds!S290+IF(Params!$B$7=1,Adds!S289,Adds!S293)</f>
        <v/>
      </c>
      <c r="T144" s="5">
        <f>Adds!T290+IF(Params!$B$7=1,Adds!T289,Adds!T293)</f>
        <v/>
      </c>
      <c r="U144" s="5">
        <f>Adds!U290+IF(Params!$B$7=1,Adds!U289,Adds!U293)</f>
        <v/>
      </c>
      <c r="V144" s="5">
        <f>Adds!V290+IF(Params!$B$7=1,Adds!V289,Adds!V293)</f>
        <v/>
      </c>
      <c r="W144" s="5">
        <f>Adds!W290+IF(Params!$B$7=1,Adds!W289,Adds!W293)</f>
        <v/>
      </c>
      <c r="X144" s="5">
        <f>Adds!X290+IF(Params!$B$7=1,Adds!X289,Adds!X293)</f>
        <v/>
      </c>
      <c r="Y144" s="5">
        <f>Adds!Y290+IF(Params!$B$7=1,Adds!Y289,Adds!Y293)</f>
        <v/>
      </c>
      <c r="Z144" s="5">
        <f>Adds!Z290+IF(Params!$B$7=1,Adds!Z289,Adds!Z293)</f>
        <v/>
      </c>
      <c r="AA144" s="5">
        <f>Adds!AA290+IF(Params!$B$7=1,Adds!AA289,Adds!AA293)</f>
        <v/>
      </c>
      <c r="AB144" s="5">
        <f>Adds!AB290+IF(Params!$B$7=1,Adds!AB289,Adds!AB293)</f>
        <v/>
      </c>
      <c r="AC144" s="5">
        <f>Adds!AC290+IF(Params!$B$7=1,Adds!AC289,Adds!AC293)</f>
        <v/>
      </c>
      <c r="AD144" s="5">
        <f>Adds!AD290+IF(Params!$B$7=1,Adds!AD289,Adds!AD293)</f>
        <v/>
      </c>
      <c r="AE144" s="5">
        <f>Adds!AE290+IF(Params!$B$7=1,Adds!AE289,Adds!AE293)</f>
        <v/>
      </c>
      <c r="AF144" s="5">
        <f>Adds!AF290+IF(Params!$B$7=1,Adds!AF289,Adds!AF293)</f>
        <v/>
      </c>
      <c r="AG144" s="5">
        <f>Adds!AG290+IF(Params!$B$7=1,Adds!AG289,Adds!AG293)</f>
        <v/>
      </c>
      <c r="AH144" s="5">
        <f>Adds!AH290+IF(Params!$B$7=1,Adds!AH289,Adds!AH293)</f>
        <v/>
      </c>
      <c r="AI144" s="5">
        <f>Adds!AI290+IF(Params!$B$7=1,Adds!AI289,Adds!AI293)</f>
        <v/>
      </c>
      <c r="AJ144" s="5">
        <f>Adds!AJ290+IF(Params!$B$7=1,Adds!AJ289,Adds!AJ293)</f>
        <v/>
      </c>
      <c r="AK144" s="5">
        <f>Adds!AK290+IF(Params!$B$7=1,Adds!AK289,Adds!AK293)</f>
        <v/>
      </c>
      <c r="AL144" s="5">
        <f>Adds!AL290+IF(Params!$B$7=1,Adds!AL289,Adds!AL293)</f>
        <v/>
      </c>
      <c r="AM144" s="5">
        <f>Adds!AM290+IF(Params!$B$7=1,Adds!AM289,Adds!AM293)</f>
        <v/>
      </c>
      <c r="AN144" s="5">
        <f>Adds!AN290+IF(Params!$B$7=1,Adds!AN289,Adds!AN293)</f>
        <v/>
      </c>
      <c r="AO144" s="5">
        <f>Adds!AO290+IF(Params!$B$7=1,Adds!AO289,Adds!AO293)</f>
        <v/>
      </c>
      <c r="AP144" s="5">
        <f>Adds!AP290+IF(Params!$B$7=1,Adds!AP289,Adds!AP293)</f>
        <v/>
      </c>
      <c r="AQ144" s="5">
        <f>Adds!AQ290+IF(Params!$B$7=1,Adds!AQ289,Adds!AQ293)</f>
        <v/>
      </c>
      <c r="AR144" s="5">
        <f>Adds!AR290+IF(Params!$B$7=1,Adds!AR289,Adds!AR293)</f>
        <v/>
      </c>
      <c r="AS144" s="5">
        <f>Adds!AS290+IF(Params!$B$7=1,Adds!AS289,Adds!AS293)</f>
        <v/>
      </c>
      <c r="AT144" s="5">
        <f>Adds!AT290+IF(Params!$B$7=1,Adds!AT289,Adds!AT293)</f>
        <v/>
      </c>
      <c r="AU144" s="5">
        <f>Adds!AU290+IF(Params!$B$7=1,Adds!AU289,Adds!AU293)</f>
        <v/>
      </c>
      <c r="AV144" s="5">
        <f>Adds!AV290+IF(Params!$B$7=1,Adds!AV289,Adds!AV293)</f>
        <v/>
      </c>
      <c r="AW144" s="5">
        <f>Adds!AW290+IF(Params!$B$7=1,Adds!AW289,Adds!AW293)</f>
        <v/>
      </c>
      <c r="AX144" s="5">
        <f>Adds!AX290+IF(Params!$B$7=1,Adds!AX289,Adds!AX293)</f>
        <v/>
      </c>
      <c r="AY144" s="5">
        <f>Adds!AY290+IF(Params!$B$7=1,Adds!AY289,Adds!AY293)</f>
        <v/>
      </c>
      <c r="AZ144" s="5">
        <f>Adds!AZ290+IF(Params!$B$7=1,Adds!AZ289,Adds!AZ293)</f>
        <v/>
      </c>
      <c r="BA144" s="5">
        <f>Adds!BA290+IF(Params!$B$7=1,Adds!BA289,Adds!BA293)</f>
        <v/>
      </c>
      <c r="BB144" s="5">
        <f>Adds!BB290+IF(Params!$B$7=1,Adds!BB289,Adds!BB293)</f>
        <v/>
      </c>
      <c r="BC144" s="5">
        <f>Adds!BC290+IF(Params!$B$7=1,Adds!BC289,Adds!BC293)</f>
        <v/>
      </c>
      <c r="BD144" s="5">
        <f>Adds!BD290+IF(Params!$B$7=1,Adds!BD289,Adds!BD293)</f>
        <v/>
      </c>
      <c r="BE144" s="5">
        <f>Adds!BE290+IF(Params!$B$7=1,Adds!BE289,Adds!BE293)</f>
        <v/>
      </c>
      <c r="BF144" s="5">
        <f>Adds!BF290+IF(Params!$B$7=1,Adds!BF289,Adds!BF293)</f>
        <v/>
      </c>
      <c r="BG144" s="5">
        <f>Adds!BG290+IF(Params!$B$7=1,Adds!BG289,Adds!BG293)</f>
        <v/>
      </c>
      <c r="BH144" s="5">
        <f>Adds!BH290+IF(Params!$B$7=1,Adds!BH289,Adds!BH293)</f>
        <v/>
      </c>
      <c r="BI144" s="5">
        <f>Adds!BI290+IF(Params!$B$7=1,Adds!BI289,Adds!BI293)</f>
        <v/>
      </c>
      <c r="BJ144" s="5">
        <f>Adds!BJ290+IF(Params!$B$7=1,Adds!BJ289,Adds!BJ293)</f>
        <v/>
      </c>
      <c r="BK144" s="5">
        <f>Adds!BK290+IF(Params!$B$7=1,Adds!BK289,Adds!BK293)</f>
        <v/>
      </c>
      <c r="BL144" s="5">
        <f>Adds!BL290+IF(Params!$B$7=1,Adds!BL289,Adds!BL293)</f>
        <v/>
      </c>
      <c r="BM144" s="5">
        <f>Adds!BM290+IF(Params!$B$7=1,Adds!BM289,Adds!BM293)</f>
        <v/>
      </c>
      <c r="BN144" s="5">
        <f>Adds!BN290+IF(Params!$B$7=1,Adds!BN289,Adds!BN293)</f>
        <v/>
      </c>
      <c r="BO144" s="5">
        <f>Adds!BO290+IF(Params!$B$7=1,Adds!BO289,Adds!BO293)</f>
        <v/>
      </c>
      <c r="BP144" s="5">
        <f>Adds!BP290+IF(Params!$B$7=1,Adds!BP289,Adds!BP293)</f>
        <v/>
      </c>
      <c r="BQ144" s="5">
        <f>Adds!BQ290+IF(Params!$B$7=1,Adds!BQ289,Adds!BQ293)</f>
        <v/>
      </c>
      <c r="BR144" s="5">
        <f>Adds!BR290+IF(Params!$B$7=1,Adds!BR289,Adds!BR293)</f>
        <v/>
      </c>
      <c r="BS144" s="5">
        <f>Adds!BS290+IF(Params!$B$7=1,Adds!BS289,Adds!BS293)</f>
        <v/>
      </c>
      <c r="BT144" s="5">
        <f>Adds!BT290+IF(Params!$B$7=1,Adds!BT289,Adds!BT293)</f>
        <v/>
      </c>
      <c r="BU144" s="5">
        <f>Adds!BU290+IF(Params!$B$7=1,Adds!BU289,Adds!BU293)</f>
        <v/>
      </c>
      <c r="BV144" s="5">
        <f>Adds!BV290+IF(Params!$B$7=1,Adds!BV289,Adds!BV293)</f>
        <v/>
      </c>
    </row>
    <row r="145">
      <c r="A145" t="inlineStr">
        <is>
          <t>reactivated</t>
        </is>
      </c>
      <c r="B145" t="inlineStr">
        <is>
          <t>ROW|BASIC_A</t>
        </is>
      </c>
      <c r="C145" s="5">
        <f>React!C255</f>
        <v/>
      </c>
      <c r="D145" s="5">
        <f>React!D255</f>
        <v/>
      </c>
      <c r="E145" s="5">
        <f>React!E255</f>
        <v/>
      </c>
      <c r="F145" s="5">
        <f>React!F255</f>
        <v/>
      </c>
      <c r="G145" s="5">
        <f>React!G255</f>
        <v/>
      </c>
      <c r="H145" s="5">
        <f>React!H255</f>
        <v/>
      </c>
      <c r="I145" s="5">
        <f>React!I255</f>
        <v/>
      </c>
      <c r="J145" s="5">
        <f>React!J255</f>
        <v/>
      </c>
      <c r="K145" s="5">
        <f>React!K255</f>
        <v/>
      </c>
      <c r="L145" s="5">
        <f>React!L255</f>
        <v/>
      </c>
      <c r="M145" s="5">
        <f>React!M255</f>
        <v/>
      </c>
      <c r="N145" s="5">
        <f>React!N255</f>
        <v/>
      </c>
      <c r="O145" s="5">
        <f>React!O255</f>
        <v/>
      </c>
      <c r="P145" s="5">
        <f>React!P255</f>
        <v/>
      </c>
      <c r="Q145" s="5">
        <f>React!Q255</f>
        <v/>
      </c>
      <c r="R145" s="5">
        <f>React!R255</f>
        <v/>
      </c>
      <c r="S145" s="5">
        <f>React!S255</f>
        <v/>
      </c>
      <c r="T145" s="5">
        <f>React!T255</f>
        <v/>
      </c>
      <c r="U145" s="5">
        <f>React!U255</f>
        <v/>
      </c>
      <c r="V145" s="5">
        <f>React!V255</f>
        <v/>
      </c>
      <c r="W145" s="5">
        <f>React!W255</f>
        <v/>
      </c>
      <c r="X145" s="5">
        <f>React!X255</f>
        <v/>
      </c>
      <c r="Y145" s="5">
        <f>React!Y255</f>
        <v/>
      </c>
      <c r="Z145" s="5">
        <f>React!Z255</f>
        <v/>
      </c>
      <c r="AA145" s="5">
        <f>React!AA255</f>
        <v/>
      </c>
      <c r="AB145" s="5">
        <f>React!AB255</f>
        <v/>
      </c>
      <c r="AC145" s="5">
        <f>React!AC255</f>
        <v/>
      </c>
      <c r="AD145" s="5">
        <f>React!AD255</f>
        <v/>
      </c>
      <c r="AE145" s="5">
        <f>React!AE255</f>
        <v/>
      </c>
      <c r="AF145" s="5">
        <f>React!AF255</f>
        <v/>
      </c>
      <c r="AG145" s="5">
        <f>React!AG255</f>
        <v/>
      </c>
      <c r="AH145" s="5">
        <f>React!AH255</f>
        <v/>
      </c>
      <c r="AI145" s="5">
        <f>React!AI255</f>
        <v/>
      </c>
      <c r="AJ145" s="5">
        <f>React!AJ255</f>
        <v/>
      </c>
      <c r="AK145" s="5">
        <f>React!AK255</f>
        <v/>
      </c>
      <c r="AL145" s="5">
        <f>React!AL255</f>
        <v/>
      </c>
      <c r="AM145" s="5">
        <f>React!AM255</f>
        <v/>
      </c>
      <c r="AN145" s="5">
        <f>React!AN255</f>
        <v/>
      </c>
      <c r="AO145" s="5">
        <f>React!AO255</f>
        <v/>
      </c>
      <c r="AP145" s="5">
        <f>React!AP255</f>
        <v/>
      </c>
      <c r="AQ145" s="5">
        <f>React!AQ255</f>
        <v/>
      </c>
      <c r="AR145" s="5">
        <f>React!AR255</f>
        <v/>
      </c>
      <c r="AS145" s="5">
        <f>React!AS255</f>
        <v/>
      </c>
      <c r="AT145" s="5">
        <f>React!AT255</f>
        <v/>
      </c>
      <c r="AU145" s="5">
        <f>React!AU255</f>
        <v/>
      </c>
      <c r="AV145" s="5">
        <f>React!AV255</f>
        <v/>
      </c>
      <c r="AW145" s="5">
        <f>React!AW255</f>
        <v/>
      </c>
      <c r="AX145" s="5">
        <f>React!AX255</f>
        <v/>
      </c>
      <c r="AY145" s="5">
        <f>React!AY255</f>
        <v/>
      </c>
      <c r="AZ145" s="5">
        <f>React!AZ255</f>
        <v/>
      </c>
      <c r="BA145" s="5">
        <f>React!BA255</f>
        <v/>
      </c>
      <c r="BB145" s="5">
        <f>React!BB255</f>
        <v/>
      </c>
      <c r="BC145" s="5">
        <f>React!BC255</f>
        <v/>
      </c>
      <c r="BD145" s="5">
        <f>React!BD255</f>
        <v/>
      </c>
      <c r="BE145" s="5">
        <f>React!BE255</f>
        <v/>
      </c>
      <c r="BF145" s="5">
        <f>React!BF255</f>
        <v/>
      </c>
      <c r="BG145" s="5">
        <f>React!BG255</f>
        <v/>
      </c>
      <c r="BH145" s="5">
        <f>React!BH255</f>
        <v/>
      </c>
      <c r="BI145" s="5">
        <f>React!BI255</f>
        <v/>
      </c>
      <c r="BJ145" s="5">
        <f>React!BJ255</f>
        <v/>
      </c>
      <c r="BK145" s="5">
        <f>React!BK255</f>
        <v/>
      </c>
      <c r="BL145" s="5">
        <f>React!BL255</f>
        <v/>
      </c>
      <c r="BM145" s="5">
        <f>React!BM255</f>
        <v/>
      </c>
      <c r="BN145" s="5">
        <f>React!BN255</f>
        <v/>
      </c>
      <c r="BO145" s="5">
        <f>React!BO255</f>
        <v/>
      </c>
      <c r="BP145" s="5">
        <f>React!BP255</f>
        <v/>
      </c>
      <c r="BQ145" s="5">
        <f>React!BQ255</f>
        <v/>
      </c>
      <c r="BR145" s="5">
        <f>React!BR255</f>
        <v/>
      </c>
      <c r="BS145" s="5">
        <f>React!BS255</f>
        <v/>
      </c>
      <c r="BT145" s="5">
        <f>React!BT255</f>
        <v/>
      </c>
      <c r="BU145" s="5">
        <f>React!BU255</f>
        <v/>
      </c>
      <c r="BV145" s="5">
        <f>React!BV255</f>
        <v/>
      </c>
    </row>
    <row r="146">
      <c r="A146" t="inlineStr">
        <is>
          <t>churned</t>
        </is>
      </c>
      <c r="B146" t="inlineStr">
        <is>
          <t>ROW|BASIC_A</t>
        </is>
      </c>
      <c r="C146" s="5">
        <f>Legacy!C83+Paid!C81+React!C261+Params!$B$7*Adds!C294</f>
        <v/>
      </c>
      <c r="D146" s="5">
        <f>Legacy!D83+Paid!D81+React!D261+Params!$B$7*Adds!D294</f>
        <v/>
      </c>
      <c r="E146" s="5">
        <f>Legacy!E83+Paid!E81+React!E261+Params!$B$7*Adds!E294</f>
        <v/>
      </c>
      <c r="F146" s="5">
        <f>Legacy!F83+Paid!F81+React!F261+Params!$B$7*Adds!F294</f>
        <v/>
      </c>
      <c r="G146" s="5">
        <f>Legacy!G83+Paid!G81+React!G261+Params!$B$7*Adds!G294</f>
        <v/>
      </c>
      <c r="H146" s="5">
        <f>Legacy!H83+Paid!H81+React!H261+Params!$B$7*Adds!H294</f>
        <v/>
      </c>
      <c r="I146" s="5">
        <f>Legacy!I83+Paid!I81+React!I261+Params!$B$7*Adds!I294</f>
        <v/>
      </c>
      <c r="J146" s="5">
        <f>Legacy!J83+Paid!J81+React!J261+Params!$B$7*Adds!J294</f>
        <v/>
      </c>
      <c r="K146" s="5">
        <f>Legacy!K83+Paid!K81+React!K261+Params!$B$7*Adds!K294</f>
        <v/>
      </c>
      <c r="L146" s="5">
        <f>Legacy!L83+Paid!L81+React!L261+Params!$B$7*Adds!L294</f>
        <v/>
      </c>
      <c r="M146" s="5">
        <f>Legacy!M83+Paid!M81+React!M261+Params!$B$7*Adds!M294</f>
        <v/>
      </c>
      <c r="N146" s="5">
        <f>Legacy!N83+Paid!N81+React!N261+Params!$B$7*Adds!N294</f>
        <v/>
      </c>
      <c r="O146" s="5">
        <f>Legacy!O83+Paid!O81+React!O261+Params!$B$7*Adds!O294</f>
        <v/>
      </c>
      <c r="P146" s="5">
        <f>Legacy!P83+Paid!P81+React!P261+Params!$B$7*Adds!P294</f>
        <v/>
      </c>
      <c r="Q146" s="5">
        <f>Legacy!Q83+Paid!Q81+React!Q261+Params!$B$7*Adds!Q294</f>
        <v/>
      </c>
      <c r="R146" s="5">
        <f>Legacy!R83+Paid!R81+React!R261+Params!$B$7*Adds!R294</f>
        <v/>
      </c>
      <c r="S146" s="5">
        <f>Legacy!S83+Paid!S81+React!S261+Params!$B$7*Adds!S294</f>
        <v/>
      </c>
      <c r="T146" s="5">
        <f>Legacy!T83+Paid!T81+React!T261+Params!$B$7*Adds!T294</f>
        <v/>
      </c>
      <c r="U146" s="5">
        <f>Legacy!U83+Paid!U81+React!U261+Params!$B$7*Adds!U294</f>
        <v/>
      </c>
      <c r="V146" s="5">
        <f>Legacy!V83+Paid!V81+React!V261+Params!$B$7*Adds!V294</f>
        <v/>
      </c>
      <c r="W146" s="5">
        <f>Legacy!W83+Paid!W81+React!W261+Params!$B$7*Adds!W294</f>
        <v/>
      </c>
      <c r="X146" s="5">
        <f>Legacy!X83+Paid!X81+React!X261+Params!$B$7*Adds!X294</f>
        <v/>
      </c>
      <c r="Y146" s="5">
        <f>Legacy!Y83+Paid!Y81+React!Y261+Params!$B$7*Adds!Y294</f>
        <v/>
      </c>
      <c r="Z146" s="5">
        <f>Legacy!Z83+Paid!Z81+React!Z261+Params!$B$7*Adds!Z294</f>
        <v/>
      </c>
      <c r="AA146" s="5">
        <f>Legacy!AA83+Paid!AA81+React!AA261+Params!$B$7*Adds!AA294</f>
        <v/>
      </c>
      <c r="AB146" s="5">
        <f>Legacy!AB83+Paid!AB81+React!AB261+Params!$B$7*Adds!AB294</f>
        <v/>
      </c>
      <c r="AC146" s="5">
        <f>Legacy!AC83+Paid!AC81+React!AC261+Params!$B$7*Adds!AC294</f>
        <v/>
      </c>
      <c r="AD146" s="5">
        <f>Legacy!AD83+Paid!AD81+React!AD261+Params!$B$7*Adds!AD294</f>
        <v/>
      </c>
      <c r="AE146" s="5">
        <f>Legacy!AE83+Paid!AE81+React!AE261+Params!$B$7*Adds!AE294</f>
        <v/>
      </c>
      <c r="AF146" s="5">
        <f>Legacy!AF83+Paid!AF81+React!AF261+Params!$B$7*Adds!AF294</f>
        <v/>
      </c>
      <c r="AG146" s="5">
        <f>Legacy!AG83+Paid!AG81+React!AG261+Params!$B$7*Adds!AG294</f>
        <v/>
      </c>
      <c r="AH146" s="5">
        <f>Legacy!AH83+Paid!AH81+React!AH261+Params!$B$7*Adds!AH294</f>
        <v/>
      </c>
      <c r="AI146" s="5">
        <f>Legacy!AI83+Paid!AI81+React!AI261+Params!$B$7*Adds!AI294</f>
        <v/>
      </c>
      <c r="AJ146" s="5">
        <f>Legacy!AJ83+Paid!AJ81+React!AJ261+Params!$B$7*Adds!AJ294</f>
        <v/>
      </c>
      <c r="AK146" s="5">
        <f>Legacy!AK83+Paid!AK81+React!AK261+Params!$B$7*Adds!AK294</f>
        <v/>
      </c>
      <c r="AL146" s="5">
        <f>Legacy!AL83+Paid!AL81+React!AL261+Params!$B$7*Adds!AL294</f>
        <v/>
      </c>
      <c r="AM146" s="5">
        <f>Legacy!AM83+Paid!AM81+React!AM261+Params!$B$7*Adds!AM294</f>
        <v/>
      </c>
      <c r="AN146" s="5">
        <f>Legacy!AN83+Paid!AN81+React!AN261+Params!$B$7*Adds!AN294</f>
        <v/>
      </c>
      <c r="AO146" s="5">
        <f>Legacy!AO83+Paid!AO81+React!AO261+Params!$B$7*Adds!AO294</f>
        <v/>
      </c>
      <c r="AP146" s="5">
        <f>Legacy!AP83+Paid!AP81+React!AP261+Params!$B$7*Adds!AP294</f>
        <v/>
      </c>
      <c r="AQ146" s="5">
        <f>Legacy!AQ83+Paid!AQ81+React!AQ261+Params!$B$7*Adds!AQ294</f>
        <v/>
      </c>
      <c r="AR146" s="5">
        <f>Legacy!AR83+Paid!AR81+React!AR261+Params!$B$7*Adds!AR294</f>
        <v/>
      </c>
      <c r="AS146" s="5">
        <f>Legacy!AS83+Paid!AS81+React!AS261+Params!$B$7*Adds!AS294</f>
        <v/>
      </c>
      <c r="AT146" s="5">
        <f>Legacy!AT83+Paid!AT81+React!AT261+Params!$B$7*Adds!AT294</f>
        <v/>
      </c>
      <c r="AU146" s="5">
        <f>Legacy!AU83+Paid!AU81+React!AU261+Params!$B$7*Adds!AU294</f>
        <v/>
      </c>
      <c r="AV146" s="5">
        <f>Legacy!AV83+Paid!AV81+React!AV261+Params!$B$7*Adds!AV294</f>
        <v/>
      </c>
      <c r="AW146" s="5">
        <f>Legacy!AW83+Paid!AW81+React!AW261+Params!$B$7*Adds!AW294</f>
        <v/>
      </c>
      <c r="AX146" s="5">
        <f>Legacy!AX83+Paid!AX81+React!AX261+Params!$B$7*Adds!AX294</f>
        <v/>
      </c>
      <c r="AY146" s="5">
        <f>Legacy!AY83+Paid!AY81+React!AY261+Params!$B$7*Adds!AY294</f>
        <v/>
      </c>
      <c r="AZ146" s="5">
        <f>Legacy!AZ83+Paid!AZ81+React!AZ261+Params!$B$7*Adds!AZ294</f>
        <v/>
      </c>
      <c r="BA146" s="5">
        <f>Legacy!BA83+Paid!BA81+React!BA261+Params!$B$7*Adds!BA294</f>
        <v/>
      </c>
      <c r="BB146" s="5">
        <f>Legacy!BB83+Paid!BB81+React!BB261+Params!$B$7*Adds!BB294</f>
        <v/>
      </c>
      <c r="BC146" s="5">
        <f>Legacy!BC83+Paid!BC81+React!BC261+Params!$B$7*Adds!BC294</f>
        <v/>
      </c>
      <c r="BD146" s="5">
        <f>Legacy!BD83+Paid!BD81+React!BD261+Params!$B$7*Adds!BD294</f>
        <v/>
      </c>
      <c r="BE146" s="5">
        <f>Legacy!BE83+Paid!BE81+React!BE261+Params!$B$7*Adds!BE294</f>
        <v/>
      </c>
      <c r="BF146" s="5">
        <f>Legacy!BF83+Paid!BF81+React!BF261+Params!$B$7*Adds!BF294</f>
        <v/>
      </c>
      <c r="BG146" s="5">
        <f>Legacy!BG83+Paid!BG81+React!BG261+Params!$B$7*Adds!BG294</f>
        <v/>
      </c>
      <c r="BH146" s="5">
        <f>Legacy!BH83+Paid!BH81+React!BH261+Params!$B$7*Adds!BH294</f>
        <v/>
      </c>
      <c r="BI146" s="5">
        <f>Legacy!BI83+Paid!BI81+React!BI261+Params!$B$7*Adds!BI294</f>
        <v/>
      </c>
      <c r="BJ146" s="5">
        <f>Legacy!BJ83+Paid!BJ81+React!BJ261+Params!$B$7*Adds!BJ294</f>
        <v/>
      </c>
      <c r="BK146" s="5">
        <f>Legacy!BK83+Paid!BK81+React!BK261+Params!$B$7*Adds!BK294</f>
        <v/>
      </c>
      <c r="BL146" s="5">
        <f>Legacy!BL83+Paid!BL81+React!BL261+Params!$B$7*Adds!BL294</f>
        <v/>
      </c>
      <c r="BM146" s="5">
        <f>Legacy!BM83+Paid!BM81+React!BM261+Params!$B$7*Adds!BM294</f>
        <v/>
      </c>
      <c r="BN146" s="5">
        <f>Legacy!BN83+Paid!BN81+React!BN261+Params!$B$7*Adds!BN294</f>
        <v/>
      </c>
      <c r="BO146" s="5">
        <f>Legacy!BO83+Paid!BO81+React!BO261+Params!$B$7*Adds!BO294</f>
        <v/>
      </c>
      <c r="BP146" s="5">
        <f>Legacy!BP83+Paid!BP81+React!BP261+Params!$B$7*Adds!BP294</f>
        <v/>
      </c>
      <c r="BQ146" s="5">
        <f>Legacy!BQ83+Paid!BQ81+React!BQ261+Params!$B$7*Adds!BQ294</f>
        <v/>
      </c>
      <c r="BR146" s="5">
        <f>Legacy!BR83+Paid!BR81+React!BR261+Params!$B$7*Adds!BR294</f>
        <v/>
      </c>
      <c r="BS146" s="5">
        <f>Legacy!BS83+Paid!BS81+React!BS261+Params!$B$7*Adds!BS294</f>
        <v/>
      </c>
      <c r="BT146" s="5">
        <f>Legacy!BT83+Paid!BT81+React!BT261+Params!$B$7*Adds!BT294</f>
        <v/>
      </c>
      <c r="BU146" s="5">
        <f>Legacy!BU83+Paid!BU81+React!BU261+Params!$B$7*Adds!BU294</f>
        <v/>
      </c>
      <c r="BV146" s="5">
        <f>Legacy!BV83+Paid!BV81+React!BV261+Params!$B$7*Adds!BV294</f>
        <v/>
      </c>
    </row>
    <row r="147">
      <c r="A147" t="inlineStr">
        <is>
          <t>closing</t>
        </is>
      </c>
      <c r="B147" t="inlineStr">
        <is>
          <t>ROW|BASIC_A</t>
        </is>
      </c>
      <c r="C147" s="5">
        <f>C148+Params!$B$7*Adds!C297</f>
        <v/>
      </c>
      <c r="D147" s="5">
        <f>D148+Params!$B$7*Adds!D297</f>
        <v/>
      </c>
      <c r="E147" s="5">
        <f>E148+Params!$B$7*Adds!E297</f>
        <v/>
      </c>
      <c r="F147" s="5">
        <f>F148+Params!$B$7*Adds!F297</f>
        <v/>
      </c>
      <c r="G147" s="5">
        <f>G148+Params!$B$7*Adds!G297</f>
        <v/>
      </c>
      <c r="H147" s="5">
        <f>H148+Params!$B$7*Adds!H297</f>
        <v/>
      </c>
      <c r="I147" s="5">
        <f>I148+Params!$B$7*Adds!I297</f>
        <v/>
      </c>
      <c r="J147" s="5">
        <f>J148+Params!$B$7*Adds!J297</f>
        <v/>
      </c>
      <c r="K147" s="5">
        <f>K148+Params!$B$7*Adds!K297</f>
        <v/>
      </c>
      <c r="L147" s="5">
        <f>L148+Params!$B$7*Adds!L297</f>
        <v/>
      </c>
      <c r="M147" s="5">
        <f>M148+Params!$B$7*Adds!M297</f>
        <v/>
      </c>
      <c r="N147" s="5">
        <f>N148+Params!$B$7*Adds!N297</f>
        <v/>
      </c>
      <c r="O147" s="5">
        <f>O148+Params!$B$7*Adds!O297</f>
        <v/>
      </c>
      <c r="P147" s="5">
        <f>P148+Params!$B$7*Adds!P297</f>
        <v/>
      </c>
      <c r="Q147" s="5">
        <f>Q148+Params!$B$7*Adds!Q297</f>
        <v/>
      </c>
      <c r="R147" s="5">
        <f>R148+Params!$B$7*Adds!R297</f>
        <v/>
      </c>
      <c r="S147" s="5">
        <f>S148+Params!$B$7*Adds!S297</f>
        <v/>
      </c>
      <c r="T147" s="5">
        <f>T148+Params!$B$7*Adds!T297</f>
        <v/>
      </c>
      <c r="U147" s="5">
        <f>U148+Params!$B$7*Adds!U297</f>
        <v/>
      </c>
      <c r="V147" s="5">
        <f>V148+Params!$B$7*Adds!V297</f>
        <v/>
      </c>
      <c r="W147" s="5">
        <f>W148+Params!$B$7*Adds!W297</f>
        <v/>
      </c>
      <c r="X147" s="5">
        <f>X148+Params!$B$7*Adds!X297</f>
        <v/>
      </c>
      <c r="Y147" s="5">
        <f>Y148+Params!$B$7*Adds!Y297</f>
        <v/>
      </c>
      <c r="Z147" s="5">
        <f>Z148+Params!$B$7*Adds!Z297</f>
        <v/>
      </c>
      <c r="AA147" s="5">
        <f>AA148+Params!$B$7*Adds!AA297</f>
        <v/>
      </c>
      <c r="AB147" s="5">
        <f>AB148+Params!$B$7*Adds!AB297</f>
        <v/>
      </c>
      <c r="AC147" s="5">
        <f>AC148+Params!$B$7*Adds!AC297</f>
        <v/>
      </c>
      <c r="AD147" s="5">
        <f>AD148+Params!$B$7*Adds!AD297</f>
        <v/>
      </c>
      <c r="AE147" s="5">
        <f>AE148+Params!$B$7*Adds!AE297</f>
        <v/>
      </c>
      <c r="AF147" s="5">
        <f>AF148+Params!$B$7*Adds!AF297</f>
        <v/>
      </c>
      <c r="AG147" s="5">
        <f>AG148+Params!$B$7*Adds!AG297</f>
        <v/>
      </c>
      <c r="AH147" s="5">
        <f>AH148+Params!$B$7*Adds!AH297</f>
        <v/>
      </c>
      <c r="AI147" s="5">
        <f>AI148+Params!$B$7*Adds!AI297</f>
        <v/>
      </c>
      <c r="AJ147" s="5">
        <f>AJ148+Params!$B$7*Adds!AJ297</f>
        <v/>
      </c>
      <c r="AK147" s="5">
        <f>AK148+Params!$B$7*Adds!AK297</f>
        <v/>
      </c>
      <c r="AL147" s="5">
        <f>AL148+Params!$B$7*Adds!AL297</f>
        <v/>
      </c>
      <c r="AM147" s="5">
        <f>AM148+Params!$B$7*Adds!AM297</f>
        <v/>
      </c>
      <c r="AN147" s="5">
        <f>AN148+Params!$B$7*Adds!AN297</f>
        <v/>
      </c>
      <c r="AO147" s="5">
        <f>AO148+Params!$B$7*Adds!AO297</f>
        <v/>
      </c>
      <c r="AP147" s="5">
        <f>AP148+Params!$B$7*Adds!AP297</f>
        <v/>
      </c>
      <c r="AQ147" s="5">
        <f>AQ148+Params!$B$7*Adds!AQ297</f>
        <v/>
      </c>
      <c r="AR147" s="5">
        <f>AR148+Params!$B$7*Adds!AR297</f>
        <v/>
      </c>
      <c r="AS147" s="5">
        <f>AS148+Params!$B$7*Adds!AS297</f>
        <v/>
      </c>
      <c r="AT147" s="5">
        <f>AT148+Params!$B$7*Adds!AT297</f>
        <v/>
      </c>
      <c r="AU147" s="5">
        <f>AU148+Params!$B$7*Adds!AU297</f>
        <v/>
      </c>
      <c r="AV147" s="5">
        <f>AV148+Params!$B$7*Adds!AV297</f>
        <v/>
      </c>
      <c r="AW147" s="5">
        <f>AW148+Params!$B$7*Adds!AW297</f>
        <v/>
      </c>
      <c r="AX147" s="5">
        <f>AX148+Params!$B$7*Adds!AX297</f>
        <v/>
      </c>
      <c r="AY147" s="5">
        <f>AY148+Params!$B$7*Adds!AY297</f>
        <v/>
      </c>
      <c r="AZ147" s="5">
        <f>AZ148+Params!$B$7*Adds!AZ297</f>
        <v/>
      </c>
      <c r="BA147" s="5">
        <f>BA148+Params!$B$7*Adds!BA297</f>
        <v/>
      </c>
      <c r="BB147" s="5">
        <f>BB148+Params!$B$7*Adds!BB297</f>
        <v/>
      </c>
      <c r="BC147" s="5">
        <f>BC148+Params!$B$7*Adds!BC297</f>
        <v/>
      </c>
      <c r="BD147" s="5">
        <f>BD148+Params!$B$7*Adds!BD297</f>
        <v/>
      </c>
      <c r="BE147" s="5">
        <f>BE148+Params!$B$7*Adds!BE297</f>
        <v/>
      </c>
      <c r="BF147" s="5">
        <f>BF148+Params!$B$7*Adds!BF297</f>
        <v/>
      </c>
      <c r="BG147" s="5">
        <f>BG148+Params!$B$7*Adds!BG297</f>
        <v/>
      </c>
      <c r="BH147" s="5">
        <f>BH148+Params!$B$7*Adds!BH297</f>
        <v/>
      </c>
      <c r="BI147" s="5">
        <f>BI148+Params!$B$7*Adds!BI297</f>
        <v/>
      </c>
      <c r="BJ147" s="5">
        <f>BJ148+Params!$B$7*Adds!BJ297</f>
        <v/>
      </c>
      <c r="BK147" s="5">
        <f>BK148+Params!$B$7*Adds!BK297</f>
        <v/>
      </c>
      <c r="BL147" s="5">
        <f>BL148+Params!$B$7*Adds!BL297</f>
        <v/>
      </c>
      <c r="BM147" s="5">
        <f>BM148+Params!$B$7*Adds!BM297</f>
        <v/>
      </c>
      <c r="BN147" s="5">
        <f>BN148+Params!$B$7*Adds!BN297</f>
        <v/>
      </c>
      <c r="BO147" s="5">
        <f>BO148+Params!$B$7*Adds!BO297</f>
        <v/>
      </c>
      <c r="BP147" s="5">
        <f>BP148+Params!$B$7*Adds!BP297</f>
        <v/>
      </c>
      <c r="BQ147" s="5">
        <f>BQ148+Params!$B$7*Adds!BQ297</f>
        <v/>
      </c>
      <c r="BR147" s="5">
        <f>BR148+Params!$B$7*Adds!BR297</f>
        <v/>
      </c>
      <c r="BS147" s="5">
        <f>BS148+Params!$B$7*Adds!BS297</f>
        <v/>
      </c>
      <c r="BT147" s="5">
        <f>BT148+Params!$B$7*Adds!BT297</f>
        <v/>
      </c>
      <c r="BU147" s="5">
        <f>BU148+Params!$B$7*Adds!BU297</f>
        <v/>
      </c>
      <c r="BV147" s="5">
        <f>BV148+Params!$B$7*Adds!BV297</f>
        <v/>
      </c>
    </row>
    <row r="148">
      <c r="A148" t="inlineStr">
        <is>
          <t>paying</t>
        </is>
      </c>
      <c r="B148" t="inlineStr">
        <is>
          <t>ROW|BASIC_A</t>
        </is>
      </c>
      <c r="C148" s="5">
        <f>Legacy!C82+Paid!C79+React!C259</f>
        <v/>
      </c>
      <c r="D148" s="5">
        <f>Legacy!D82+Paid!D79+React!D259</f>
        <v/>
      </c>
      <c r="E148" s="5">
        <f>Legacy!E82+Paid!E79+React!E259</f>
        <v/>
      </c>
      <c r="F148" s="5">
        <f>Legacy!F82+Paid!F79+React!F259</f>
        <v/>
      </c>
      <c r="G148" s="5">
        <f>Legacy!G82+Paid!G79+React!G259</f>
        <v/>
      </c>
      <c r="H148" s="5">
        <f>Legacy!H82+Paid!H79+React!H259</f>
        <v/>
      </c>
      <c r="I148" s="5">
        <f>Legacy!I82+Paid!I79+React!I259</f>
        <v/>
      </c>
      <c r="J148" s="5">
        <f>Legacy!J82+Paid!J79+React!J259</f>
        <v/>
      </c>
      <c r="K148" s="5">
        <f>Legacy!K82+Paid!K79+React!K259</f>
        <v/>
      </c>
      <c r="L148" s="5">
        <f>Legacy!L82+Paid!L79+React!L259</f>
        <v/>
      </c>
      <c r="M148" s="5">
        <f>Legacy!M82+Paid!M79+React!M259</f>
        <v/>
      </c>
      <c r="N148" s="5">
        <f>Legacy!N82+Paid!N79+React!N259</f>
        <v/>
      </c>
      <c r="O148" s="5">
        <f>Legacy!O82+Paid!O79+React!O259</f>
        <v/>
      </c>
      <c r="P148" s="5">
        <f>Legacy!P82+Paid!P79+React!P259</f>
        <v/>
      </c>
      <c r="Q148" s="5">
        <f>Legacy!Q82+Paid!Q79+React!Q259</f>
        <v/>
      </c>
      <c r="R148" s="5">
        <f>Legacy!R82+Paid!R79+React!R259</f>
        <v/>
      </c>
      <c r="S148" s="5">
        <f>Legacy!S82+Paid!S79+React!S259</f>
        <v/>
      </c>
      <c r="T148" s="5">
        <f>Legacy!T82+Paid!T79+React!T259</f>
        <v/>
      </c>
      <c r="U148" s="5">
        <f>Legacy!U82+Paid!U79+React!U259</f>
        <v/>
      </c>
      <c r="V148" s="5">
        <f>Legacy!V82+Paid!V79+React!V259</f>
        <v/>
      </c>
      <c r="W148" s="5">
        <f>Legacy!W82+Paid!W79+React!W259</f>
        <v/>
      </c>
      <c r="X148" s="5">
        <f>Legacy!X82+Paid!X79+React!X259</f>
        <v/>
      </c>
      <c r="Y148" s="5">
        <f>Legacy!Y82+Paid!Y79+React!Y259</f>
        <v/>
      </c>
      <c r="Z148" s="5">
        <f>Legacy!Z82+Paid!Z79+React!Z259</f>
        <v/>
      </c>
      <c r="AA148" s="5">
        <f>Legacy!AA82+Paid!AA79+React!AA259</f>
        <v/>
      </c>
      <c r="AB148" s="5">
        <f>Legacy!AB82+Paid!AB79+React!AB259</f>
        <v/>
      </c>
      <c r="AC148" s="5">
        <f>Legacy!AC82+Paid!AC79+React!AC259</f>
        <v/>
      </c>
      <c r="AD148" s="5">
        <f>Legacy!AD82+Paid!AD79+React!AD259</f>
        <v/>
      </c>
      <c r="AE148" s="5">
        <f>Legacy!AE82+Paid!AE79+React!AE259</f>
        <v/>
      </c>
      <c r="AF148" s="5">
        <f>Legacy!AF82+Paid!AF79+React!AF259</f>
        <v/>
      </c>
      <c r="AG148" s="5">
        <f>Legacy!AG82+Paid!AG79+React!AG259</f>
        <v/>
      </c>
      <c r="AH148" s="5">
        <f>Legacy!AH82+Paid!AH79+React!AH259</f>
        <v/>
      </c>
      <c r="AI148" s="5">
        <f>Legacy!AI82+Paid!AI79+React!AI259</f>
        <v/>
      </c>
      <c r="AJ148" s="5">
        <f>Legacy!AJ82+Paid!AJ79+React!AJ259</f>
        <v/>
      </c>
      <c r="AK148" s="5">
        <f>Legacy!AK82+Paid!AK79+React!AK259</f>
        <v/>
      </c>
      <c r="AL148" s="5">
        <f>Legacy!AL82+Paid!AL79+React!AL259</f>
        <v/>
      </c>
      <c r="AM148" s="5">
        <f>Legacy!AM82+Paid!AM79+React!AM259</f>
        <v/>
      </c>
      <c r="AN148" s="5">
        <f>Legacy!AN82+Paid!AN79+React!AN259</f>
        <v/>
      </c>
      <c r="AO148" s="5">
        <f>Legacy!AO82+Paid!AO79+React!AO259</f>
        <v/>
      </c>
      <c r="AP148" s="5">
        <f>Legacy!AP82+Paid!AP79+React!AP259</f>
        <v/>
      </c>
      <c r="AQ148" s="5">
        <f>Legacy!AQ82+Paid!AQ79+React!AQ259</f>
        <v/>
      </c>
      <c r="AR148" s="5">
        <f>Legacy!AR82+Paid!AR79+React!AR259</f>
        <v/>
      </c>
      <c r="AS148" s="5">
        <f>Legacy!AS82+Paid!AS79+React!AS259</f>
        <v/>
      </c>
      <c r="AT148" s="5">
        <f>Legacy!AT82+Paid!AT79+React!AT259</f>
        <v/>
      </c>
      <c r="AU148" s="5">
        <f>Legacy!AU82+Paid!AU79+React!AU259</f>
        <v/>
      </c>
      <c r="AV148" s="5">
        <f>Legacy!AV82+Paid!AV79+React!AV259</f>
        <v/>
      </c>
      <c r="AW148" s="5">
        <f>Legacy!AW82+Paid!AW79+React!AW259</f>
        <v/>
      </c>
      <c r="AX148" s="5">
        <f>Legacy!AX82+Paid!AX79+React!AX259</f>
        <v/>
      </c>
      <c r="AY148" s="5">
        <f>Legacy!AY82+Paid!AY79+React!AY259</f>
        <v/>
      </c>
      <c r="AZ148" s="5">
        <f>Legacy!AZ82+Paid!AZ79+React!AZ259</f>
        <v/>
      </c>
      <c r="BA148" s="5">
        <f>Legacy!BA82+Paid!BA79+React!BA259</f>
        <v/>
      </c>
      <c r="BB148" s="5">
        <f>Legacy!BB82+Paid!BB79+React!BB259</f>
        <v/>
      </c>
      <c r="BC148" s="5">
        <f>Legacy!BC82+Paid!BC79+React!BC259</f>
        <v/>
      </c>
      <c r="BD148" s="5">
        <f>Legacy!BD82+Paid!BD79+React!BD259</f>
        <v/>
      </c>
      <c r="BE148" s="5">
        <f>Legacy!BE82+Paid!BE79+React!BE259</f>
        <v/>
      </c>
      <c r="BF148" s="5">
        <f>Legacy!BF82+Paid!BF79+React!BF259</f>
        <v/>
      </c>
      <c r="BG148" s="5">
        <f>Legacy!BG82+Paid!BG79+React!BG259</f>
        <v/>
      </c>
      <c r="BH148" s="5">
        <f>Legacy!BH82+Paid!BH79+React!BH259</f>
        <v/>
      </c>
      <c r="BI148" s="5">
        <f>Legacy!BI82+Paid!BI79+React!BI259</f>
        <v/>
      </c>
      <c r="BJ148" s="5">
        <f>Legacy!BJ82+Paid!BJ79+React!BJ259</f>
        <v/>
      </c>
      <c r="BK148" s="5">
        <f>Legacy!BK82+Paid!BK79+React!BK259</f>
        <v/>
      </c>
      <c r="BL148" s="5">
        <f>Legacy!BL82+Paid!BL79+React!BL259</f>
        <v/>
      </c>
      <c r="BM148" s="5">
        <f>Legacy!BM82+Paid!BM79+React!BM259</f>
        <v/>
      </c>
      <c r="BN148" s="5">
        <f>Legacy!BN82+Paid!BN79+React!BN259</f>
        <v/>
      </c>
      <c r="BO148" s="5">
        <f>Legacy!BO82+Paid!BO79+React!BO259</f>
        <v/>
      </c>
      <c r="BP148" s="5">
        <f>Legacy!BP82+Paid!BP79+React!BP259</f>
        <v/>
      </c>
      <c r="BQ148" s="5">
        <f>Legacy!BQ82+Paid!BQ79+React!BQ259</f>
        <v/>
      </c>
      <c r="BR148" s="5">
        <f>Legacy!BR82+Paid!BR79+React!BR259</f>
        <v/>
      </c>
      <c r="BS148" s="5">
        <f>Legacy!BS82+Paid!BS79+React!BS259</f>
        <v/>
      </c>
      <c r="BT148" s="5">
        <f>Legacy!BT82+Paid!BT79+React!BT259</f>
        <v/>
      </c>
      <c r="BU148" s="5">
        <f>Legacy!BU82+Paid!BU79+React!BU259</f>
        <v/>
      </c>
      <c r="BV148" s="5">
        <f>Legacy!BV82+Paid!BV79+React!BV259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V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s="1" t="inlineStr">
        <is>
          <t>net revenue $</t>
        </is>
      </c>
      <c r="B3" s="1" t="inlineStr">
        <is>
          <t>TOTAL</t>
        </is>
      </c>
      <c r="C3" s="10">
        <f>SUM(C5,C6,C7,C8,C9,C10,C11,C12,C13,C14,C15,C16,C17,C18,C19,C20,C21,C22,C23,C24)</f>
        <v/>
      </c>
      <c r="D3" s="10">
        <f>SUM(D5,D6,D7,D8,D9,D10,D11,D12,D13,D14,D15,D16,D17,D18,D19,D20,D21,D22,D23,D24)</f>
        <v/>
      </c>
      <c r="E3" s="10">
        <f>SUM(E5,E6,E7,E8,E9,E10,E11,E12,E13,E14,E15,E16,E17,E18,E19,E20,E21,E22,E23,E24)</f>
        <v/>
      </c>
      <c r="F3" s="10">
        <f>SUM(F5,F6,F7,F8,F9,F10,F11,F12,F13,F14,F15,F16,F17,F18,F19,F20,F21,F22,F23,F24)</f>
        <v/>
      </c>
      <c r="G3" s="10">
        <f>SUM(G5,G6,G7,G8,G9,G10,G11,G12,G13,G14,G15,G16,G17,G18,G19,G20,G21,G22,G23,G24)</f>
        <v/>
      </c>
      <c r="H3" s="10">
        <f>SUM(H5,H6,H7,H8,H9,H10,H11,H12,H13,H14,H15,H16,H17,H18,H19,H20,H21,H22,H23,H24)</f>
        <v/>
      </c>
      <c r="I3" s="10">
        <f>SUM(I5,I6,I7,I8,I9,I10,I11,I12,I13,I14,I15,I16,I17,I18,I19,I20,I21,I22,I23,I24)</f>
        <v/>
      </c>
      <c r="J3" s="10">
        <f>SUM(J5,J6,J7,J8,J9,J10,J11,J12,J13,J14,J15,J16,J17,J18,J19,J20,J21,J22,J23,J24)</f>
        <v/>
      </c>
      <c r="K3" s="10">
        <f>SUM(K5,K6,K7,K8,K9,K10,K11,K12,K13,K14,K15,K16,K17,K18,K19,K20,K21,K22,K23,K24)</f>
        <v/>
      </c>
      <c r="L3" s="10">
        <f>SUM(L5,L6,L7,L8,L9,L10,L11,L12,L13,L14,L15,L16,L17,L18,L19,L20,L21,L22,L23,L24)</f>
        <v/>
      </c>
      <c r="M3" s="10">
        <f>SUM(M5,M6,M7,M8,M9,M10,M11,M12,M13,M14,M15,M16,M17,M18,M19,M20,M21,M22,M23,M24)</f>
        <v/>
      </c>
      <c r="N3" s="10">
        <f>SUM(N5,N6,N7,N8,N9,N10,N11,N12,N13,N14,N15,N16,N17,N18,N19,N20,N21,N22,N23,N24)</f>
        <v/>
      </c>
      <c r="O3" s="10">
        <f>SUM(O5,O6,O7,O8,O9,O10,O11,O12,O13,O14,O15,O16,O17,O18,O19,O20,O21,O22,O23,O24)</f>
        <v/>
      </c>
      <c r="P3" s="10">
        <f>SUM(P5,P6,P7,P8,P9,P10,P11,P12,P13,P14,P15,P16,P17,P18,P19,P20,P21,P22,P23,P24)</f>
        <v/>
      </c>
      <c r="Q3" s="10">
        <f>SUM(Q5,Q6,Q7,Q8,Q9,Q10,Q11,Q12,Q13,Q14,Q15,Q16,Q17,Q18,Q19,Q20,Q21,Q22,Q23,Q24)</f>
        <v/>
      </c>
      <c r="R3" s="10">
        <f>SUM(R5,R6,R7,R8,R9,R10,R11,R12,R13,R14,R15,R16,R17,R18,R19,R20,R21,R22,R23,R24)</f>
        <v/>
      </c>
      <c r="S3" s="10">
        <f>SUM(S5,S6,S7,S8,S9,S10,S11,S12,S13,S14,S15,S16,S17,S18,S19,S20,S21,S22,S23,S24)</f>
        <v/>
      </c>
      <c r="T3" s="10">
        <f>SUM(T5,T6,T7,T8,T9,T10,T11,T12,T13,T14,T15,T16,T17,T18,T19,T20,T21,T22,T23,T24)</f>
        <v/>
      </c>
      <c r="U3" s="10">
        <f>SUM(U5,U6,U7,U8,U9,U10,U11,U12,U13,U14,U15,U16,U17,U18,U19,U20,U21,U22,U23,U24)</f>
        <v/>
      </c>
      <c r="V3" s="10">
        <f>SUM(V5,V6,V7,V8,V9,V10,V11,V12,V13,V14,V15,V16,V17,V18,V19,V20,V21,V22,V23,V24)</f>
        <v/>
      </c>
      <c r="W3" s="10">
        <f>SUM(W5,W6,W7,W8,W9,W10,W11,W12,W13,W14,W15,W16,W17,W18,W19,W20,W21,W22,W23,W24)</f>
        <v/>
      </c>
      <c r="X3" s="10">
        <f>SUM(X5,X6,X7,X8,X9,X10,X11,X12,X13,X14,X15,X16,X17,X18,X19,X20,X21,X22,X23,X24)</f>
        <v/>
      </c>
      <c r="Y3" s="10">
        <f>SUM(Y5,Y6,Y7,Y8,Y9,Y10,Y11,Y12,Y13,Y14,Y15,Y16,Y17,Y18,Y19,Y20,Y21,Y22,Y23,Y24)</f>
        <v/>
      </c>
      <c r="Z3" s="10">
        <f>SUM(Z5,Z6,Z7,Z8,Z9,Z10,Z11,Z12,Z13,Z14,Z15,Z16,Z17,Z18,Z19,Z20,Z21,Z22,Z23,Z24)</f>
        <v/>
      </c>
      <c r="AA3" s="10">
        <f>SUM(AA5,AA6,AA7,AA8,AA9,AA10,AA11,AA12,AA13,AA14,AA15,AA16,AA17,AA18,AA19,AA20,AA21,AA22,AA23,AA24)</f>
        <v/>
      </c>
      <c r="AB3" s="10">
        <f>SUM(AB5,AB6,AB7,AB8,AB9,AB10,AB11,AB12,AB13,AB14,AB15,AB16,AB17,AB18,AB19,AB20,AB21,AB22,AB23,AB24)</f>
        <v/>
      </c>
      <c r="AC3" s="10">
        <f>SUM(AC5,AC6,AC7,AC8,AC9,AC10,AC11,AC12,AC13,AC14,AC15,AC16,AC17,AC18,AC19,AC20,AC21,AC22,AC23,AC24)</f>
        <v/>
      </c>
      <c r="AD3" s="10">
        <f>SUM(AD5,AD6,AD7,AD8,AD9,AD10,AD11,AD12,AD13,AD14,AD15,AD16,AD17,AD18,AD19,AD20,AD21,AD22,AD23,AD24)</f>
        <v/>
      </c>
      <c r="AE3" s="10">
        <f>SUM(AE5,AE6,AE7,AE8,AE9,AE10,AE11,AE12,AE13,AE14,AE15,AE16,AE17,AE18,AE19,AE20,AE21,AE22,AE23,AE24)</f>
        <v/>
      </c>
      <c r="AF3" s="10">
        <f>SUM(AF5,AF6,AF7,AF8,AF9,AF10,AF11,AF12,AF13,AF14,AF15,AF16,AF17,AF18,AF19,AF20,AF21,AF22,AF23,AF24)</f>
        <v/>
      </c>
      <c r="AG3" s="10">
        <f>SUM(AG5,AG6,AG7,AG8,AG9,AG10,AG11,AG12,AG13,AG14,AG15,AG16,AG17,AG18,AG19,AG20,AG21,AG22,AG23,AG24)</f>
        <v/>
      </c>
      <c r="AH3" s="10">
        <f>SUM(AH5,AH6,AH7,AH8,AH9,AH10,AH11,AH12,AH13,AH14,AH15,AH16,AH17,AH18,AH19,AH20,AH21,AH22,AH23,AH24)</f>
        <v/>
      </c>
      <c r="AI3" s="10">
        <f>SUM(AI5,AI6,AI7,AI8,AI9,AI10,AI11,AI12,AI13,AI14,AI15,AI16,AI17,AI18,AI19,AI20,AI21,AI22,AI23,AI24)</f>
        <v/>
      </c>
      <c r="AJ3" s="10">
        <f>SUM(AJ5,AJ6,AJ7,AJ8,AJ9,AJ10,AJ11,AJ12,AJ13,AJ14,AJ15,AJ16,AJ17,AJ18,AJ19,AJ20,AJ21,AJ22,AJ23,AJ24)</f>
        <v/>
      </c>
      <c r="AK3" s="10">
        <f>SUM(AK5,AK6,AK7,AK8,AK9,AK10,AK11,AK12,AK13,AK14,AK15,AK16,AK17,AK18,AK19,AK20,AK21,AK22,AK23,AK24)</f>
        <v/>
      </c>
      <c r="AL3" s="10">
        <f>SUM(AL5,AL6,AL7,AL8,AL9,AL10,AL11,AL12,AL13,AL14,AL15,AL16,AL17,AL18,AL19,AL20,AL21,AL22,AL23,AL24)</f>
        <v/>
      </c>
      <c r="AM3" s="10">
        <f>SUM(AM5,AM6,AM7,AM8,AM9,AM10,AM11,AM12,AM13,AM14,AM15,AM16,AM17,AM18,AM19,AM20,AM21,AM22,AM23,AM24)</f>
        <v/>
      </c>
      <c r="AN3" s="10">
        <f>SUM(AN5,AN6,AN7,AN8,AN9,AN10,AN11,AN12,AN13,AN14,AN15,AN16,AN17,AN18,AN19,AN20,AN21,AN22,AN23,AN24)</f>
        <v/>
      </c>
      <c r="AO3" s="10">
        <f>SUM(AO5,AO6,AO7,AO8,AO9,AO10,AO11,AO12,AO13,AO14,AO15,AO16,AO17,AO18,AO19,AO20,AO21,AO22,AO23,AO24)</f>
        <v/>
      </c>
      <c r="AP3" s="10">
        <f>SUM(AP5,AP6,AP7,AP8,AP9,AP10,AP11,AP12,AP13,AP14,AP15,AP16,AP17,AP18,AP19,AP20,AP21,AP22,AP23,AP24)</f>
        <v/>
      </c>
      <c r="AQ3" s="10">
        <f>SUM(AQ5,AQ6,AQ7,AQ8,AQ9,AQ10,AQ11,AQ12,AQ13,AQ14,AQ15,AQ16,AQ17,AQ18,AQ19,AQ20,AQ21,AQ22,AQ23,AQ24)</f>
        <v/>
      </c>
      <c r="AR3" s="10">
        <f>SUM(AR5,AR6,AR7,AR8,AR9,AR10,AR11,AR12,AR13,AR14,AR15,AR16,AR17,AR18,AR19,AR20,AR21,AR22,AR23,AR24)</f>
        <v/>
      </c>
      <c r="AS3" s="10">
        <f>SUM(AS5,AS6,AS7,AS8,AS9,AS10,AS11,AS12,AS13,AS14,AS15,AS16,AS17,AS18,AS19,AS20,AS21,AS22,AS23,AS24)</f>
        <v/>
      </c>
      <c r="AT3" s="10">
        <f>SUM(AT5,AT6,AT7,AT8,AT9,AT10,AT11,AT12,AT13,AT14,AT15,AT16,AT17,AT18,AT19,AT20,AT21,AT22,AT23,AT24)</f>
        <v/>
      </c>
      <c r="AU3" s="10">
        <f>SUM(AU5,AU6,AU7,AU8,AU9,AU10,AU11,AU12,AU13,AU14,AU15,AU16,AU17,AU18,AU19,AU20,AU21,AU22,AU23,AU24)</f>
        <v/>
      </c>
      <c r="AV3" s="10">
        <f>SUM(AV5,AV6,AV7,AV8,AV9,AV10,AV11,AV12,AV13,AV14,AV15,AV16,AV17,AV18,AV19,AV20,AV21,AV22,AV23,AV24)</f>
        <v/>
      </c>
      <c r="AW3" s="10">
        <f>SUM(AW5,AW6,AW7,AW8,AW9,AW10,AW11,AW12,AW13,AW14,AW15,AW16,AW17,AW18,AW19,AW20,AW21,AW22,AW23,AW24)</f>
        <v/>
      </c>
      <c r="AX3" s="10">
        <f>SUM(AX5,AX6,AX7,AX8,AX9,AX10,AX11,AX12,AX13,AX14,AX15,AX16,AX17,AX18,AX19,AX20,AX21,AX22,AX23,AX24)</f>
        <v/>
      </c>
      <c r="AY3" s="10">
        <f>SUM(AY5,AY6,AY7,AY8,AY9,AY10,AY11,AY12,AY13,AY14,AY15,AY16,AY17,AY18,AY19,AY20,AY21,AY22,AY23,AY24)</f>
        <v/>
      </c>
      <c r="AZ3" s="10">
        <f>SUM(AZ5,AZ6,AZ7,AZ8,AZ9,AZ10,AZ11,AZ12,AZ13,AZ14,AZ15,AZ16,AZ17,AZ18,AZ19,AZ20,AZ21,AZ22,AZ23,AZ24)</f>
        <v/>
      </c>
      <c r="BA3" s="10">
        <f>SUM(BA5,BA6,BA7,BA8,BA9,BA10,BA11,BA12,BA13,BA14,BA15,BA16,BA17,BA18,BA19,BA20,BA21,BA22,BA23,BA24)</f>
        <v/>
      </c>
      <c r="BB3" s="10">
        <f>SUM(BB5,BB6,BB7,BB8,BB9,BB10,BB11,BB12,BB13,BB14,BB15,BB16,BB17,BB18,BB19,BB20,BB21,BB22,BB23,BB24)</f>
        <v/>
      </c>
      <c r="BC3" s="10">
        <f>SUM(BC5,BC6,BC7,BC8,BC9,BC10,BC11,BC12,BC13,BC14,BC15,BC16,BC17,BC18,BC19,BC20,BC21,BC22,BC23,BC24)</f>
        <v/>
      </c>
      <c r="BD3" s="10">
        <f>SUM(BD5,BD6,BD7,BD8,BD9,BD10,BD11,BD12,BD13,BD14,BD15,BD16,BD17,BD18,BD19,BD20,BD21,BD22,BD23,BD24)</f>
        <v/>
      </c>
      <c r="BE3" s="10">
        <f>SUM(BE5,BE6,BE7,BE8,BE9,BE10,BE11,BE12,BE13,BE14,BE15,BE16,BE17,BE18,BE19,BE20,BE21,BE22,BE23,BE24)</f>
        <v/>
      </c>
      <c r="BF3" s="10">
        <f>SUM(BF5,BF6,BF7,BF8,BF9,BF10,BF11,BF12,BF13,BF14,BF15,BF16,BF17,BF18,BF19,BF20,BF21,BF22,BF23,BF24)</f>
        <v/>
      </c>
      <c r="BG3" s="10">
        <f>SUM(BG5,BG6,BG7,BG8,BG9,BG10,BG11,BG12,BG13,BG14,BG15,BG16,BG17,BG18,BG19,BG20,BG21,BG22,BG23,BG24)</f>
        <v/>
      </c>
      <c r="BH3" s="10">
        <f>SUM(BH5,BH6,BH7,BH8,BH9,BH10,BH11,BH12,BH13,BH14,BH15,BH16,BH17,BH18,BH19,BH20,BH21,BH22,BH23,BH24)</f>
        <v/>
      </c>
      <c r="BI3" s="10">
        <f>SUM(BI5,BI6,BI7,BI8,BI9,BI10,BI11,BI12,BI13,BI14,BI15,BI16,BI17,BI18,BI19,BI20,BI21,BI22,BI23,BI24)</f>
        <v/>
      </c>
      <c r="BJ3" s="10">
        <f>SUM(BJ5,BJ6,BJ7,BJ8,BJ9,BJ10,BJ11,BJ12,BJ13,BJ14,BJ15,BJ16,BJ17,BJ18,BJ19,BJ20,BJ21,BJ22,BJ23,BJ24)</f>
        <v/>
      </c>
      <c r="BK3" s="10">
        <f>SUM(BK5,BK6,BK7,BK8,BK9,BK10,BK11,BK12,BK13,BK14,BK15,BK16,BK17,BK18,BK19,BK20,BK21,BK22,BK23,BK24)</f>
        <v/>
      </c>
      <c r="BL3" s="10">
        <f>SUM(BL5,BL6,BL7,BL8,BL9,BL10,BL11,BL12,BL13,BL14,BL15,BL16,BL17,BL18,BL19,BL20,BL21,BL22,BL23,BL24)</f>
        <v/>
      </c>
      <c r="BM3" s="10">
        <f>SUM(BM5,BM6,BM7,BM8,BM9,BM10,BM11,BM12,BM13,BM14,BM15,BM16,BM17,BM18,BM19,BM20,BM21,BM22,BM23,BM24)</f>
        <v/>
      </c>
      <c r="BN3" s="10">
        <f>SUM(BN5,BN6,BN7,BN8,BN9,BN10,BN11,BN12,BN13,BN14,BN15,BN16,BN17,BN18,BN19,BN20,BN21,BN22,BN23,BN24)</f>
        <v/>
      </c>
      <c r="BO3" s="10">
        <f>SUM(BO5,BO6,BO7,BO8,BO9,BO10,BO11,BO12,BO13,BO14,BO15,BO16,BO17,BO18,BO19,BO20,BO21,BO22,BO23,BO24)</f>
        <v/>
      </c>
      <c r="BP3" s="10">
        <f>SUM(BP5,BP6,BP7,BP8,BP9,BP10,BP11,BP12,BP13,BP14,BP15,BP16,BP17,BP18,BP19,BP20,BP21,BP22,BP23,BP24)</f>
        <v/>
      </c>
      <c r="BQ3" s="10">
        <f>SUM(BQ5,BQ6,BQ7,BQ8,BQ9,BQ10,BQ11,BQ12,BQ13,BQ14,BQ15,BQ16,BQ17,BQ18,BQ19,BQ20,BQ21,BQ22,BQ23,BQ24)</f>
        <v/>
      </c>
      <c r="BR3" s="10">
        <f>SUM(BR5,BR6,BR7,BR8,BR9,BR10,BR11,BR12,BR13,BR14,BR15,BR16,BR17,BR18,BR19,BR20,BR21,BR22,BR23,BR24)</f>
        <v/>
      </c>
      <c r="BS3" s="10">
        <f>SUM(BS5,BS6,BS7,BS8,BS9,BS10,BS11,BS12,BS13,BS14,BS15,BS16,BS17,BS18,BS19,BS20,BS21,BS22,BS23,BS24)</f>
        <v/>
      </c>
      <c r="BT3" s="10">
        <f>SUM(BT5,BT6,BT7,BT8,BT9,BT10,BT11,BT12,BT13,BT14,BT15,BT16,BT17,BT18,BT19,BT20,BT21,BT22,BT23,BT24)</f>
        <v/>
      </c>
      <c r="BU3" s="10">
        <f>SUM(BU5,BU6,BU7,BU8,BU9,BU10,BU11,BU12,BU13,BU14,BU15,BU16,BU17,BU18,BU19,BU20,BU21,BU22,BU23,BU24)</f>
        <v/>
      </c>
      <c r="BV3" s="10">
        <f>SUM(BV5,BV6,BV7,BV8,BV9,BV10,BV11,BV12,BV13,BV14,BV15,BV16,BV17,BV18,BV19,BV20,BV21,BV22,BV23,BV24)</f>
        <v/>
      </c>
    </row>
    <row r="5">
      <c r="A5" t="inlineStr">
        <is>
          <t>net revenue $</t>
        </is>
      </c>
      <c r="B5" t="inlineStr">
        <is>
          <t>US_CA|NITRO_M</t>
        </is>
      </c>
      <c r="C5" s="11">
        <f>((Paid!C4+React!C13+Legacy!C6*Legacy!C$3)*Prices!$H$2+(Subs!C15-(Paid!C4+React!C13+Legacy!C6*Legacy!C$3))*Prices!$I$2)*FX!C12*Eras!C$10</f>
        <v/>
      </c>
      <c r="D5" s="11">
        <f>((Paid!D4+React!D13+Legacy!D6*Legacy!D$3)*Prices!$H$2+(Subs!D15-(Paid!D4+React!D13+Legacy!D6*Legacy!D$3))*Prices!$I$2)*FX!D12*Eras!D$10</f>
        <v/>
      </c>
      <c r="E5" s="11">
        <f>((Paid!E4+React!E13+Legacy!E6*Legacy!E$3)*Prices!$H$2+(Subs!E15-(Paid!E4+React!E13+Legacy!E6*Legacy!E$3))*Prices!$I$2)*FX!E12*Eras!E$10</f>
        <v/>
      </c>
      <c r="F5" s="11">
        <f>((Paid!F4+React!F13+Legacy!F6*Legacy!F$3)*Prices!$H$2+(Subs!F15-(Paid!F4+React!F13+Legacy!F6*Legacy!F$3))*Prices!$I$2)*FX!F12*Eras!F$10</f>
        <v/>
      </c>
      <c r="G5" s="11">
        <f>((Paid!G4+React!G13+Legacy!G6*Legacy!G$3)*Prices!$H$2+(Subs!G15-(Paid!G4+React!G13+Legacy!G6*Legacy!G$3))*Prices!$I$2)*FX!G12*Eras!G$10</f>
        <v/>
      </c>
      <c r="H5" s="11">
        <f>((Paid!H4+React!H13+Legacy!H6*Legacy!H$3)*Prices!$H$2+(Subs!H15-(Paid!H4+React!H13+Legacy!H6*Legacy!H$3))*Prices!$I$2)*FX!H12*Eras!H$10</f>
        <v/>
      </c>
      <c r="I5" s="11">
        <f>((Paid!I4+React!I13+Legacy!I6*Legacy!I$3)*Prices!$H$2+(Subs!I15-(Paid!I4+React!I13+Legacy!I6*Legacy!I$3))*Prices!$I$2)*FX!I12*Eras!I$10</f>
        <v/>
      </c>
      <c r="J5" s="11">
        <f>((Paid!J4+React!J13+Legacy!J6*Legacy!J$3)*Prices!$H$2+(Subs!J15-(Paid!J4+React!J13+Legacy!J6*Legacy!J$3))*Prices!$I$2)*FX!J12*Eras!J$10</f>
        <v/>
      </c>
      <c r="K5" s="11">
        <f>((Paid!K4+React!K13+Legacy!K6*Legacy!K$3)*Prices!$H$2+(Subs!K15-(Paid!K4+React!K13+Legacy!K6*Legacy!K$3))*Prices!$I$2)*FX!K12*Eras!K$10</f>
        <v/>
      </c>
      <c r="L5" s="11">
        <f>((Paid!L4+React!L13+Legacy!L6*Legacy!L$3)*Prices!$H$2+(Subs!L15-(Paid!L4+React!L13+Legacy!L6*Legacy!L$3))*Prices!$I$2)*FX!L12*Eras!L$10</f>
        <v/>
      </c>
      <c r="M5" s="11">
        <f>((Paid!M4+React!M13+Legacy!M6*Legacy!M$3)*Prices!$H$2+(Subs!M15-(Paid!M4+React!M13+Legacy!M6*Legacy!M$3))*Prices!$I$2)*FX!M12*Eras!M$10</f>
        <v/>
      </c>
      <c r="N5" s="11">
        <f>((Paid!N4+React!N13+Legacy!N6*Legacy!N$3)*Prices!$H$2+(Subs!N15-(Paid!N4+React!N13+Legacy!N6*Legacy!N$3))*Prices!$I$2)*FX!N12*Eras!N$10</f>
        <v/>
      </c>
      <c r="O5" s="11">
        <f>((Paid!O4+React!O13+Legacy!O6*Legacy!O$3)*Prices!$H$2+(Subs!O15-(Paid!O4+React!O13+Legacy!O6*Legacy!O$3))*Prices!$I$2)*FX!O12*Eras!O$10</f>
        <v/>
      </c>
      <c r="P5" s="11">
        <f>((Paid!P4+React!P13+Legacy!P6*Legacy!P$3)*Prices!$H$2+(Subs!P15-(Paid!P4+React!P13+Legacy!P6*Legacy!P$3))*Prices!$I$2)*FX!P12*Eras!P$10</f>
        <v/>
      </c>
      <c r="Q5" s="11">
        <f>((Paid!Q4+React!Q13+Legacy!Q6*Legacy!Q$3)*Prices!$H$2+(Subs!Q15-(Paid!Q4+React!Q13+Legacy!Q6*Legacy!Q$3))*Prices!$I$2)*FX!Q12*Eras!Q$10</f>
        <v/>
      </c>
      <c r="R5" s="11">
        <f>((Paid!R4+React!R13+Legacy!R6*Legacy!R$3)*Prices!$H$2+(Subs!R15-(Paid!R4+React!R13+Legacy!R6*Legacy!R$3))*Prices!$I$2)*FX!R12*Eras!R$10</f>
        <v/>
      </c>
      <c r="S5" s="11">
        <f>((Paid!S4+React!S13+Legacy!S6*Legacy!S$3)*Prices!$H$2+(Subs!S15-(Paid!S4+React!S13+Legacy!S6*Legacy!S$3))*Prices!$I$2)*FX!S12*Eras!S$10</f>
        <v/>
      </c>
      <c r="T5" s="11">
        <f>((Paid!T4+React!T13+Legacy!T6*Legacy!T$3)*Prices!$H$2+(Subs!T15-(Paid!T4+React!T13+Legacy!T6*Legacy!T$3))*Prices!$I$2)*FX!T12*Eras!T$10</f>
        <v/>
      </c>
      <c r="U5" s="11">
        <f>((Paid!U4+React!U13+Legacy!U6*Legacy!U$3)*Prices!$H$2+(Subs!U15-(Paid!U4+React!U13+Legacy!U6*Legacy!U$3))*Prices!$I$2)*FX!U12*Eras!U$10</f>
        <v/>
      </c>
      <c r="V5" s="11">
        <f>((Paid!V4+React!V13+Legacy!V6*Legacy!V$3)*Prices!$H$2+(Subs!V15-(Paid!V4+React!V13+Legacy!V6*Legacy!V$3))*Prices!$I$2)*FX!V12*Eras!V$10</f>
        <v/>
      </c>
      <c r="W5" s="11">
        <f>((Paid!W4+React!W13+Legacy!W6*Legacy!W$3)*Prices!$H$2+(Subs!W15-(Paid!W4+React!W13+Legacy!W6*Legacy!W$3))*Prices!$I$2)*FX!W12*Eras!W$10</f>
        <v/>
      </c>
      <c r="X5" s="11">
        <f>((Paid!X4+React!X13+Legacy!X6*Legacy!X$3)*Prices!$H$2+(Subs!X15-(Paid!X4+React!X13+Legacy!X6*Legacy!X$3))*Prices!$I$2)*FX!X12*Eras!X$10</f>
        <v/>
      </c>
      <c r="Y5" s="11">
        <f>((Paid!Y4+React!Y13+Legacy!Y6*Legacy!Y$3)*Prices!$H$2+(Subs!Y15-(Paid!Y4+React!Y13+Legacy!Y6*Legacy!Y$3))*Prices!$I$2)*FX!Y12*Eras!Y$10</f>
        <v/>
      </c>
      <c r="Z5" s="11">
        <f>((Paid!Z4+React!Z13+Legacy!Z6*Legacy!Z$3)*Prices!$H$2+(Subs!Z15-(Paid!Z4+React!Z13+Legacy!Z6*Legacy!Z$3))*Prices!$I$2)*FX!Z12*Eras!Z$10</f>
        <v/>
      </c>
      <c r="AA5" s="11">
        <f>((Paid!AA4+React!AA13+Legacy!AA6*Legacy!AA$3)*Prices!$H$2+(Subs!AA15-(Paid!AA4+React!AA13+Legacy!AA6*Legacy!AA$3))*Prices!$I$2)*FX!AA12*Eras!AA$10</f>
        <v/>
      </c>
      <c r="AB5" s="11">
        <f>((Paid!AB4+React!AB13+Legacy!AB6*Legacy!AB$3)*Prices!$H$2+(Subs!AB15-(Paid!AB4+React!AB13+Legacy!AB6*Legacy!AB$3))*Prices!$I$2)*FX!AB12*Eras!AB$10</f>
        <v/>
      </c>
      <c r="AC5" s="11">
        <f>((Paid!AC4+React!AC13+Legacy!AC6*Legacy!AC$3)*Prices!$H$2+(Subs!AC15-(Paid!AC4+React!AC13+Legacy!AC6*Legacy!AC$3))*Prices!$I$2)*FX!AC12*Eras!AC$10</f>
        <v/>
      </c>
      <c r="AD5" s="11">
        <f>((Paid!AD4+React!AD13+Legacy!AD6*Legacy!AD$3)*Prices!$H$2+(Subs!AD15-(Paid!AD4+React!AD13+Legacy!AD6*Legacy!AD$3))*Prices!$I$2)*FX!AD12*Eras!AD$10</f>
        <v/>
      </c>
      <c r="AE5" s="11">
        <f>((Paid!AE4+React!AE13+Legacy!AE6*Legacy!AE$3)*Prices!$H$2+(Subs!AE15-(Paid!AE4+React!AE13+Legacy!AE6*Legacy!AE$3))*Prices!$I$2)*FX!AE12*Eras!AE$10</f>
        <v/>
      </c>
      <c r="AF5" s="11">
        <f>((Paid!AF4+React!AF13+Legacy!AF6*Legacy!AF$3)*Prices!$H$2+(Subs!AF15-(Paid!AF4+React!AF13+Legacy!AF6*Legacy!AF$3))*Prices!$I$2)*FX!AF12*Eras!AF$10</f>
        <v/>
      </c>
      <c r="AG5" s="11">
        <f>((Paid!AG4+React!AG13+Legacy!AG6*Legacy!AG$3)*Prices!$H$2+(Subs!AG15-(Paid!AG4+React!AG13+Legacy!AG6*Legacy!AG$3))*Prices!$I$2)*FX!AG12*Eras!AG$10</f>
        <v/>
      </c>
      <c r="AH5" s="11">
        <f>((Paid!AH4+React!AH13+Legacy!AH6*Legacy!AH$3)*Prices!$H$2+(Subs!AH15-(Paid!AH4+React!AH13+Legacy!AH6*Legacy!AH$3))*Prices!$I$2)*FX!AH12*Eras!AH$10</f>
        <v/>
      </c>
      <c r="AI5" s="11">
        <f>((Paid!AI4+React!AI13+Legacy!AI6*Legacy!AI$3)*Prices!$H$2+(Subs!AI15-(Paid!AI4+React!AI13+Legacy!AI6*Legacy!AI$3))*Prices!$I$2)*FX!AI12*Eras!AI$10</f>
        <v/>
      </c>
      <c r="AJ5" s="11">
        <f>((Paid!AJ4+React!AJ13+Legacy!AJ6*Legacy!AJ$3)*Prices!$H$2+(Subs!AJ15-(Paid!AJ4+React!AJ13+Legacy!AJ6*Legacy!AJ$3))*Prices!$I$2)*FX!AJ12*Eras!AJ$10</f>
        <v/>
      </c>
      <c r="AK5" s="11">
        <f>((Paid!AK4+React!AK13+Legacy!AK6*Legacy!AK$3)*Prices!$H$2+(Subs!AK15-(Paid!AK4+React!AK13+Legacy!AK6*Legacy!AK$3))*Prices!$I$2)*FX!AK12*Eras!AK$10</f>
        <v/>
      </c>
      <c r="AL5" s="11">
        <f>((Paid!AL4+React!AL13+Legacy!AL6*Legacy!AL$3)*Prices!$H$2+(Subs!AL15-(Paid!AL4+React!AL13+Legacy!AL6*Legacy!AL$3))*Prices!$I$2)*FX!AL12*Eras!AL$10</f>
        <v/>
      </c>
      <c r="AM5" s="11">
        <f>((Paid!AM4+React!AM13+Legacy!AM6*Legacy!AM$3)*Prices!$H$2+(Subs!AM15-(Paid!AM4+React!AM13+Legacy!AM6*Legacy!AM$3))*Prices!$I$2)*FX!AM12*Eras!AM$10</f>
        <v/>
      </c>
      <c r="AN5" s="11">
        <f>((Paid!AN4+React!AN13+Legacy!AN6*Legacy!AN$3)*Prices!$H$2+(Subs!AN15-(Paid!AN4+React!AN13+Legacy!AN6*Legacy!AN$3))*Prices!$I$2)*FX!AN12*Eras!AN$10</f>
        <v/>
      </c>
      <c r="AO5" s="11">
        <f>((Paid!AO4+React!AO13+Legacy!AO6*Legacy!AO$3)*Prices!$H$2+(Subs!AO15-(Paid!AO4+React!AO13+Legacy!AO6*Legacy!AO$3))*Prices!$I$2)*FX!AO12*Eras!AO$10</f>
        <v/>
      </c>
      <c r="AP5" s="11">
        <f>((Paid!AP4+React!AP13+Legacy!AP6*Legacy!AP$3)*Prices!$H$2+(Subs!AP15-(Paid!AP4+React!AP13+Legacy!AP6*Legacy!AP$3))*Prices!$I$2)*FX!AP12*Eras!AP$10</f>
        <v/>
      </c>
      <c r="AQ5" s="11">
        <f>((Paid!AQ4+React!AQ13+Legacy!AQ6*Legacy!AQ$3)*Prices!$H$2+(Subs!AQ15-(Paid!AQ4+React!AQ13+Legacy!AQ6*Legacy!AQ$3))*Prices!$I$2)*FX!AQ12*Eras!AQ$10</f>
        <v/>
      </c>
      <c r="AR5" s="11">
        <f>((Paid!AR4+React!AR13+Legacy!AR6*Legacy!AR$3)*Prices!$H$2+(Subs!AR15-(Paid!AR4+React!AR13+Legacy!AR6*Legacy!AR$3))*Prices!$I$2)*FX!AR12*Eras!AR$10</f>
        <v/>
      </c>
      <c r="AS5" s="11">
        <f>((Paid!AS4+React!AS13+Legacy!AS6*Legacy!AS$3)*Prices!$H$2+(Subs!AS15-(Paid!AS4+React!AS13+Legacy!AS6*Legacy!AS$3))*Prices!$I$2)*FX!AS12*Eras!AS$10</f>
        <v/>
      </c>
      <c r="AT5" s="11">
        <f>((Paid!AT4+React!AT13+Legacy!AT6*Legacy!AT$3)*Prices!$H$2+(Subs!AT15-(Paid!AT4+React!AT13+Legacy!AT6*Legacy!AT$3))*Prices!$I$2)*FX!AT12*Eras!AT$10</f>
        <v/>
      </c>
      <c r="AU5" s="11">
        <f>((Paid!AU4+React!AU13+Legacy!AU6*Legacy!AU$3)*Prices!$H$2+(Subs!AU15-(Paid!AU4+React!AU13+Legacy!AU6*Legacy!AU$3))*Prices!$I$2)*FX!AU12*Eras!AU$10</f>
        <v/>
      </c>
      <c r="AV5" s="11">
        <f>((Paid!AV4+React!AV13+Legacy!AV6*Legacy!AV$3)*Prices!$H$2+(Subs!AV15-(Paid!AV4+React!AV13+Legacy!AV6*Legacy!AV$3))*Prices!$I$2)*FX!AV12*Eras!AV$10</f>
        <v/>
      </c>
      <c r="AW5" s="11">
        <f>((Paid!AW4+React!AW13+Legacy!AW6*Legacy!AW$3)*Prices!$H$2+(Subs!AW15-(Paid!AW4+React!AW13+Legacy!AW6*Legacy!AW$3))*Prices!$I$2)*FX!AW12*Eras!AW$10</f>
        <v/>
      </c>
      <c r="AX5" s="11">
        <f>((Paid!AX4+React!AX13+Legacy!AX6*Legacy!AX$3)*Prices!$H$2+(Subs!AX15-(Paid!AX4+React!AX13+Legacy!AX6*Legacy!AX$3))*Prices!$I$2)*FX!AX12*Eras!AX$10</f>
        <v/>
      </c>
      <c r="AY5" s="11">
        <f>((Paid!AY4+React!AY13+Legacy!AY6*Legacy!AY$3)*Prices!$H$2+(Subs!AY15-(Paid!AY4+React!AY13+Legacy!AY6*Legacy!AY$3))*Prices!$I$2)*FX!AY12*Eras!AY$10</f>
        <v/>
      </c>
      <c r="AZ5" s="11">
        <f>((Paid!AZ4+React!AZ13+Legacy!AZ6*Legacy!AZ$3)*Prices!$H$2+(Subs!AZ15-(Paid!AZ4+React!AZ13+Legacy!AZ6*Legacy!AZ$3))*Prices!$I$2)*FX!AZ12*Eras!AZ$10</f>
        <v/>
      </c>
      <c r="BA5" s="11">
        <f>((Paid!BA4+React!BA13+Legacy!BA6*Legacy!BA$3)*Prices!$H$2+(Subs!BA15-(Paid!BA4+React!BA13+Legacy!BA6*Legacy!BA$3))*Prices!$I$2)*FX!BA12*Eras!BA$10</f>
        <v/>
      </c>
      <c r="BB5" s="11">
        <f>((Paid!BB4+React!BB13+Legacy!BB6*Legacy!BB$3)*Prices!$H$2+(Subs!BB15-(Paid!BB4+React!BB13+Legacy!BB6*Legacy!BB$3))*Prices!$I$2)*FX!BB12*Eras!BB$10</f>
        <v/>
      </c>
      <c r="BC5" s="11">
        <f>((Paid!BC4+React!BC13+Legacy!BC6*Legacy!BC$3)*Prices!$H$2+(Subs!BC15-(Paid!BC4+React!BC13+Legacy!BC6*Legacy!BC$3))*Prices!$I$2)*FX!BC12*Eras!BC$10</f>
        <v/>
      </c>
      <c r="BD5" s="11">
        <f>((Paid!BD4+React!BD13+Legacy!BD6*Legacy!BD$3)*Prices!$H$2+(Subs!BD15-(Paid!BD4+React!BD13+Legacy!BD6*Legacy!BD$3))*Prices!$I$2)*FX!BD12*Eras!BD$10</f>
        <v/>
      </c>
      <c r="BE5" s="11">
        <f>((Paid!BE4+React!BE13+Legacy!BE6*Legacy!BE$3)*Prices!$H$2+(Subs!BE15-(Paid!BE4+React!BE13+Legacy!BE6*Legacy!BE$3))*Prices!$I$2)*FX!BE12*Eras!BE$10</f>
        <v/>
      </c>
      <c r="BF5" s="11">
        <f>((Paid!BF4+React!BF13+Legacy!BF6*Legacy!BF$3)*Prices!$H$2+(Subs!BF15-(Paid!BF4+React!BF13+Legacy!BF6*Legacy!BF$3))*Prices!$I$2)*FX!BF12*Eras!BF$10</f>
        <v/>
      </c>
      <c r="BG5" s="11">
        <f>((Paid!BG4+React!BG13+Legacy!BG6*Legacy!BG$3)*Prices!$H$2+(Subs!BG15-(Paid!BG4+React!BG13+Legacy!BG6*Legacy!BG$3))*Prices!$I$2)*FX!BG12*Eras!BG$10</f>
        <v/>
      </c>
      <c r="BH5" s="11">
        <f>((Paid!BH4+React!BH13+Legacy!BH6*Legacy!BH$3)*Prices!$H$2+(Subs!BH15-(Paid!BH4+React!BH13+Legacy!BH6*Legacy!BH$3))*Prices!$I$2)*FX!BH12*Eras!BH$10</f>
        <v/>
      </c>
      <c r="BI5" s="11">
        <f>((Paid!BI4+React!BI13+Legacy!BI6*Legacy!BI$3)*Prices!$H$2+(Subs!BI15-(Paid!BI4+React!BI13+Legacy!BI6*Legacy!BI$3))*Prices!$I$2)*FX!BI12*Eras!BI$10</f>
        <v/>
      </c>
      <c r="BJ5" s="11">
        <f>((Paid!BJ4+React!BJ13+Legacy!BJ6*Legacy!BJ$3)*Prices!$H$2+(Subs!BJ15-(Paid!BJ4+React!BJ13+Legacy!BJ6*Legacy!BJ$3))*Prices!$I$2)*FX!BJ12*Eras!BJ$10</f>
        <v/>
      </c>
      <c r="BK5" s="11">
        <f>((Paid!BK4+React!BK13+Legacy!BK6*Legacy!BK$3)*Prices!$H$2+(Subs!BK15-(Paid!BK4+React!BK13+Legacy!BK6*Legacy!BK$3))*Prices!$I$2)*FX!BK12*Eras!BK$10</f>
        <v/>
      </c>
      <c r="BL5" s="11">
        <f>((Paid!BL4+React!BL13+Legacy!BL6*Legacy!BL$3)*Prices!$H$2+(Subs!BL15-(Paid!BL4+React!BL13+Legacy!BL6*Legacy!BL$3))*Prices!$I$2)*FX!BL12*Eras!BL$10</f>
        <v/>
      </c>
      <c r="BM5" s="11">
        <f>((Paid!BM4+React!BM13+Legacy!BM6*Legacy!BM$3)*Prices!$H$2+(Subs!BM15-(Paid!BM4+React!BM13+Legacy!BM6*Legacy!BM$3))*Prices!$I$2)*FX!BM12*Eras!BM$10</f>
        <v/>
      </c>
      <c r="BN5" s="11">
        <f>((Paid!BN4+React!BN13+Legacy!BN6*Legacy!BN$3)*Prices!$H$2+(Subs!BN15-(Paid!BN4+React!BN13+Legacy!BN6*Legacy!BN$3))*Prices!$I$2)*FX!BN12*Eras!BN$10</f>
        <v/>
      </c>
      <c r="BO5" s="11">
        <f>((Paid!BO4+React!BO13+Legacy!BO6*Legacy!BO$3)*Prices!$H$2+(Subs!BO15-(Paid!BO4+React!BO13+Legacy!BO6*Legacy!BO$3))*Prices!$I$2)*FX!BO12*Eras!BO$10</f>
        <v/>
      </c>
      <c r="BP5" s="11">
        <f>((Paid!BP4+React!BP13+Legacy!BP6*Legacy!BP$3)*Prices!$H$2+(Subs!BP15-(Paid!BP4+React!BP13+Legacy!BP6*Legacy!BP$3))*Prices!$I$2)*FX!BP12*Eras!BP$10</f>
        <v/>
      </c>
      <c r="BQ5" s="11">
        <f>((Paid!BQ4+React!BQ13+Legacy!BQ6*Legacy!BQ$3)*Prices!$H$2+(Subs!BQ15-(Paid!BQ4+React!BQ13+Legacy!BQ6*Legacy!BQ$3))*Prices!$I$2)*FX!BQ12*Eras!BQ$10</f>
        <v/>
      </c>
      <c r="BR5" s="11">
        <f>((Paid!BR4+React!BR13+Legacy!BR6*Legacy!BR$3)*Prices!$H$2+(Subs!BR15-(Paid!BR4+React!BR13+Legacy!BR6*Legacy!BR$3))*Prices!$I$2)*FX!BR12*Eras!BR$10</f>
        <v/>
      </c>
      <c r="BS5" s="11">
        <f>((Paid!BS4+React!BS13+Legacy!BS6*Legacy!BS$3)*Prices!$H$2+(Subs!BS15-(Paid!BS4+React!BS13+Legacy!BS6*Legacy!BS$3))*Prices!$I$2)*FX!BS12*Eras!BS$10</f>
        <v/>
      </c>
      <c r="BT5" s="11">
        <f>((Paid!BT4+React!BT13+Legacy!BT6*Legacy!BT$3)*Prices!$H$2+(Subs!BT15-(Paid!BT4+React!BT13+Legacy!BT6*Legacy!BT$3))*Prices!$I$2)*FX!BT12*Eras!BT$10</f>
        <v/>
      </c>
      <c r="BU5" s="11">
        <f>((Paid!BU4+React!BU13+Legacy!BU6*Legacy!BU$3)*Prices!$H$2+(Subs!BU15-(Paid!BU4+React!BU13+Legacy!BU6*Legacy!BU$3))*Prices!$I$2)*FX!BU12*Eras!BU$10</f>
        <v/>
      </c>
      <c r="BV5" s="11">
        <f>((Paid!BV4+React!BV13+Legacy!BV6*Legacy!BV$3)*Prices!$H$2+(Subs!BV15-(Paid!BV4+React!BV13+Legacy!BV6*Legacy!BV$3))*Prices!$I$2)*FX!BV12*Eras!BV$10</f>
        <v/>
      </c>
    </row>
    <row r="6">
      <c r="A6" t="inlineStr">
        <is>
          <t>net revenue $</t>
        </is>
      </c>
      <c r="B6" t="inlineStr">
        <is>
          <t>US_CA|NITRO_A</t>
        </is>
      </c>
      <c r="C6" s="11">
        <f>((Paid!C8+React!C26+Legacy!C10*Legacy!C$3)*Prices!$H$3+(Subs!C22-(Paid!C8+React!C26+Legacy!C10*Legacy!C$3))*Prices!$I$3)*FX!C12*Eras!C$10</f>
        <v/>
      </c>
      <c r="D6" s="11">
        <f>((Paid!D8+React!D26+Legacy!D10*Legacy!D$3)*Prices!$H$3+(Subs!D22-(Paid!D8+React!D26+Legacy!D10*Legacy!D$3))*Prices!$I$3)*FX!D12*Eras!D$10</f>
        <v/>
      </c>
      <c r="E6" s="11">
        <f>((Paid!E8+React!E26+Legacy!E10*Legacy!E$3)*Prices!$H$3+(Subs!E22-(Paid!E8+React!E26+Legacy!E10*Legacy!E$3))*Prices!$I$3)*FX!E12*Eras!E$10</f>
        <v/>
      </c>
      <c r="F6" s="11">
        <f>((Paid!F8+React!F26+Legacy!F10*Legacy!F$3)*Prices!$H$3+(Subs!F22-(Paid!F8+React!F26+Legacy!F10*Legacy!F$3))*Prices!$I$3)*FX!F12*Eras!F$10</f>
        <v/>
      </c>
      <c r="G6" s="11">
        <f>((Paid!G8+React!G26+Legacy!G10*Legacy!G$3)*Prices!$H$3+(Subs!G22-(Paid!G8+React!G26+Legacy!G10*Legacy!G$3))*Prices!$I$3)*FX!G12*Eras!G$10</f>
        <v/>
      </c>
      <c r="H6" s="11">
        <f>((Paid!H8+React!H26+Legacy!H10*Legacy!H$3)*Prices!$H$3+(Subs!H22-(Paid!H8+React!H26+Legacy!H10*Legacy!H$3))*Prices!$I$3)*FX!H12*Eras!H$10</f>
        <v/>
      </c>
      <c r="I6" s="11">
        <f>((Paid!I8+React!I26+Legacy!I10*Legacy!I$3)*Prices!$H$3+(Subs!I22-(Paid!I8+React!I26+Legacy!I10*Legacy!I$3))*Prices!$I$3)*FX!I12*Eras!I$10</f>
        <v/>
      </c>
      <c r="J6" s="11">
        <f>((Paid!J8+React!J26+Legacy!J10*Legacy!J$3)*Prices!$H$3+(Subs!J22-(Paid!J8+React!J26+Legacy!J10*Legacy!J$3))*Prices!$I$3)*FX!J12*Eras!J$10</f>
        <v/>
      </c>
      <c r="K6" s="11">
        <f>((Paid!K8+React!K26+Legacy!K10*Legacy!K$3)*Prices!$H$3+(Subs!K22-(Paid!K8+React!K26+Legacy!K10*Legacy!K$3))*Prices!$I$3)*FX!K12*Eras!K$10</f>
        <v/>
      </c>
      <c r="L6" s="11">
        <f>((Paid!L8+React!L26+Legacy!L10*Legacy!L$3)*Prices!$H$3+(Subs!L22-(Paid!L8+React!L26+Legacy!L10*Legacy!L$3))*Prices!$I$3)*FX!L12*Eras!L$10</f>
        <v/>
      </c>
      <c r="M6" s="11">
        <f>((Paid!M8+React!M26+Legacy!M10*Legacy!M$3)*Prices!$H$3+(Subs!M22-(Paid!M8+React!M26+Legacy!M10*Legacy!M$3))*Prices!$I$3)*FX!M12*Eras!M$10</f>
        <v/>
      </c>
      <c r="N6" s="11">
        <f>((Paid!N8+React!N26+Legacy!N10*Legacy!N$3)*Prices!$H$3+(Subs!N22-(Paid!N8+React!N26+Legacy!N10*Legacy!N$3))*Prices!$I$3)*FX!N12*Eras!N$10</f>
        <v/>
      </c>
      <c r="O6" s="11">
        <f>((Paid!O8+React!O26+Legacy!O10*Legacy!O$3)*Prices!$H$3+(Subs!O22-(Paid!O8+React!O26+Legacy!O10*Legacy!O$3))*Prices!$I$3)*FX!O12*Eras!O$10</f>
        <v/>
      </c>
      <c r="P6" s="11">
        <f>((Paid!P8+React!P26+Legacy!P10*Legacy!P$3)*Prices!$H$3+(Subs!P22-(Paid!P8+React!P26+Legacy!P10*Legacy!P$3))*Prices!$I$3)*FX!P12*Eras!P$10</f>
        <v/>
      </c>
      <c r="Q6" s="11">
        <f>((Paid!Q8+React!Q26+Legacy!Q10*Legacy!Q$3)*Prices!$H$3+(Subs!Q22-(Paid!Q8+React!Q26+Legacy!Q10*Legacy!Q$3))*Prices!$I$3)*FX!Q12*Eras!Q$10</f>
        <v/>
      </c>
      <c r="R6" s="11">
        <f>((Paid!R8+React!R26+Legacy!R10*Legacy!R$3)*Prices!$H$3+(Subs!R22-(Paid!R8+React!R26+Legacy!R10*Legacy!R$3))*Prices!$I$3)*FX!R12*Eras!R$10</f>
        <v/>
      </c>
      <c r="S6" s="11">
        <f>((Paid!S8+React!S26+Legacy!S10*Legacy!S$3)*Prices!$H$3+(Subs!S22-(Paid!S8+React!S26+Legacy!S10*Legacy!S$3))*Prices!$I$3)*FX!S12*Eras!S$10</f>
        <v/>
      </c>
      <c r="T6" s="11">
        <f>((Paid!T8+React!T26+Legacy!T10*Legacy!T$3)*Prices!$H$3+(Subs!T22-(Paid!T8+React!T26+Legacy!T10*Legacy!T$3))*Prices!$I$3)*FX!T12*Eras!T$10</f>
        <v/>
      </c>
      <c r="U6" s="11">
        <f>((Paid!U8+React!U26+Legacy!U10*Legacy!U$3)*Prices!$H$3+(Subs!U22-(Paid!U8+React!U26+Legacy!U10*Legacy!U$3))*Prices!$I$3)*FX!U12*Eras!U$10</f>
        <v/>
      </c>
      <c r="V6" s="11">
        <f>((Paid!V8+React!V26+Legacy!V10*Legacy!V$3)*Prices!$H$3+(Subs!V22-(Paid!V8+React!V26+Legacy!V10*Legacy!V$3))*Prices!$I$3)*FX!V12*Eras!V$10</f>
        <v/>
      </c>
      <c r="W6" s="11">
        <f>((Paid!W8+React!W26+Legacy!W10*Legacy!W$3)*Prices!$H$3+(Subs!W22-(Paid!W8+React!W26+Legacy!W10*Legacy!W$3))*Prices!$I$3)*FX!W12*Eras!W$10</f>
        <v/>
      </c>
      <c r="X6" s="11">
        <f>((Paid!X8+React!X26+Legacy!X10*Legacy!X$3)*Prices!$H$3+(Subs!X22-(Paid!X8+React!X26+Legacy!X10*Legacy!X$3))*Prices!$I$3)*FX!X12*Eras!X$10</f>
        <v/>
      </c>
      <c r="Y6" s="11">
        <f>((Paid!Y8+React!Y26+Legacy!Y10*Legacy!Y$3)*Prices!$H$3+(Subs!Y22-(Paid!Y8+React!Y26+Legacy!Y10*Legacy!Y$3))*Prices!$I$3)*FX!Y12*Eras!Y$10</f>
        <v/>
      </c>
      <c r="Z6" s="11">
        <f>((Paid!Z8+React!Z26+Legacy!Z10*Legacy!Z$3)*Prices!$H$3+(Subs!Z22-(Paid!Z8+React!Z26+Legacy!Z10*Legacy!Z$3))*Prices!$I$3)*FX!Z12*Eras!Z$10</f>
        <v/>
      </c>
      <c r="AA6" s="11">
        <f>((Paid!AA8+React!AA26+Legacy!AA10*Legacy!AA$3)*Prices!$H$3+(Subs!AA22-(Paid!AA8+React!AA26+Legacy!AA10*Legacy!AA$3))*Prices!$I$3)*FX!AA12*Eras!AA$10</f>
        <v/>
      </c>
      <c r="AB6" s="11">
        <f>((Paid!AB8+React!AB26+Legacy!AB10*Legacy!AB$3)*Prices!$H$3+(Subs!AB22-(Paid!AB8+React!AB26+Legacy!AB10*Legacy!AB$3))*Prices!$I$3)*FX!AB12*Eras!AB$10</f>
        <v/>
      </c>
      <c r="AC6" s="11">
        <f>((Paid!AC8+React!AC26+Legacy!AC10*Legacy!AC$3)*Prices!$H$3+(Subs!AC22-(Paid!AC8+React!AC26+Legacy!AC10*Legacy!AC$3))*Prices!$I$3)*FX!AC12*Eras!AC$10</f>
        <v/>
      </c>
      <c r="AD6" s="11">
        <f>((Paid!AD8+React!AD26+Legacy!AD10*Legacy!AD$3)*Prices!$H$3+(Subs!AD22-(Paid!AD8+React!AD26+Legacy!AD10*Legacy!AD$3))*Prices!$I$3)*FX!AD12*Eras!AD$10</f>
        <v/>
      </c>
      <c r="AE6" s="11">
        <f>((Paid!AE8+React!AE26+Legacy!AE10*Legacy!AE$3)*Prices!$H$3+(Subs!AE22-(Paid!AE8+React!AE26+Legacy!AE10*Legacy!AE$3))*Prices!$I$3)*FX!AE12*Eras!AE$10</f>
        <v/>
      </c>
      <c r="AF6" s="11">
        <f>((Paid!AF8+React!AF26+Legacy!AF10*Legacy!AF$3)*Prices!$H$3+(Subs!AF22-(Paid!AF8+React!AF26+Legacy!AF10*Legacy!AF$3))*Prices!$I$3)*FX!AF12*Eras!AF$10</f>
        <v/>
      </c>
      <c r="AG6" s="11">
        <f>((Paid!AG8+React!AG26+Legacy!AG10*Legacy!AG$3)*Prices!$H$3+(Subs!AG22-(Paid!AG8+React!AG26+Legacy!AG10*Legacy!AG$3))*Prices!$I$3)*FX!AG12*Eras!AG$10</f>
        <v/>
      </c>
      <c r="AH6" s="11">
        <f>((Paid!AH8+React!AH26+Legacy!AH10*Legacy!AH$3)*Prices!$H$3+(Subs!AH22-(Paid!AH8+React!AH26+Legacy!AH10*Legacy!AH$3))*Prices!$I$3)*FX!AH12*Eras!AH$10</f>
        <v/>
      </c>
      <c r="AI6" s="11">
        <f>((Paid!AI8+React!AI26+Legacy!AI10*Legacy!AI$3)*Prices!$H$3+(Subs!AI22-(Paid!AI8+React!AI26+Legacy!AI10*Legacy!AI$3))*Prices!$I$3)*FX!AI12*Eras!AI$10</f>
        <v/>
      </c>
      <c r="AJ6" s="11">
        <f>((Paid!AJ8+React!AJ26+Legacy!AJ10*Legacy!AJ$3)*Prices!$H$3+(Subs!AJ22-(Paid!AJ8+React!AJ26+Legacy!AJ10*Legacy!AJ$3))*Prices!$I$3)*FX!AJ12*Eras!AJ$10</f>
        <v/>
      </c>
      <c r="AK6" s="11">
        <f>((Paid!AK8+React!AK26+Legacy!AK10*Legacy!AK$3)*Prices!$H$3+(Subs!AK22-(Paid!AK8+React!AK26+Legacy!AK10*Legacy!AK$3))*Prices!$I$3)*FX!AK12*Eras!AK$10</f>
        <v/>
      </c>
      <c r="AL6" s="11">
        <f>((Paid!AL8+React!AL26+Legacy!AL10*Legacy!AL$3)*Prices!$H$3+(Subs!AL22-(Paid!AL8+React!AL26+Legacy!AL10*Legacy!AL$3))*Prices!$I$3)*FX!AL12*Eras!AL$10</f>
        <v/>
      </c>
      <c r="AM6" s="11">
        <f>((Paid!AM8+React!AM26+Legacy!AM10*Legacy!AM$3)*Prices!$H$3+(Subs!AM22-(Paid!AM8+React!AM26+Legacy!AM10*Legacy!AM$3))*Prices!$I$3)*FX!AM12*Eras!AM$10</f>
        <v/>
      </c>
      <c r="AN6" s="11">
        <f>((Paid!AN8+React!AN26+Legacy!AN10*Legacy!AN$3)*Prices!$H$3+(Subs!AN22-(Paid!AN8+React!AN26+Legacy!AN10*Legacy!AN$3))*Prices!$I$3)*FX!AN12*Eras!AN$10</f>
        <v/>
      </c>
      <c r="AO6" s="11">
        <f>((Paid!AO8+React!AO26+Legacy!AO10*Legacy!AO$3)*Prices!$H$3+(Subs!AO22-(Paid!AO8+React!AO26+Legacy!AO10*Legacy!AO$3))*Prices!$I$3)*FX!AO12*Eras!AO$10</f>
        <v/>
      </c>
      <c r="AP6" s="11">
        <f>((Paid!AP8+React!AP26+Legacy!AP10*Legacy!AP$3)*Prices!$H$3+(Subs!AP22-(Paid!AP8+React!AP26+Legacy!AP10*Legacy!AP$3))*Prices!$I$3)*FX!AP12*Eras!AP$10</f>
        <v/>
      </c>
      <c r="AQ6" s="11">
        <f>((Paid!AQ8+React!AQ26+Legacy!AQ10*Legacy!AQ$3)*Prices!$H$3+(Subs!AQ22-(Paid!AQ8+React!AQ26+Legacy!AQ10*Legacy!AQ$3))*Prices!$I$3)*FX!AQ12*Eras!AQ$10</f>
        <v/>
      </c>
      <c r="AR6" s="11">
        <f>((Paid!AR8+React!AR26+Legacy!AR10*Legacy!AR$3)*Prices!$H$3+(Subs!AR22-(Paid!AR8+React!AR26+Legacy!AR10*Legacy!AR$3))*Prices!$I$3)*FX!AR12*Eras!AR$10</f>
        <v/>
      </c>
      <c r="AS6" s="11">
        <f>((Paid!AS8+React!AS26+Legacy!AS10*Legacy!AS$3)*Prices!$H$3+(Subs!AS22-(Paid!AS8+React!AS26+Legacy!AS10*Legacy!AS$3))*Prices!$I$3)*FX!AS12*Eras!AS$10</f>
        <v/>
      </c>
      <c r="AT6" s="11">
        <f>((Paid!AT8+React!AT26+Legacy!AT10*Legacy!AT$3)*Prices!$H$3+(Subs!AT22-(Paid!AT8+React!AT26+Legacy!AT10*Legacy!AT$3))*Prices!$I$3)*FX!AT12*Eras!AT$10</f>
        <v/>
      </c>
      <c r="AU6" s="11">
        <f>((Paid!AU8+React!AU26+Legacy!AU10*Legacy!AU$3)*Prices!$H$3+(Subs!AU22-(Paid!AU8+React!AU26+Legacy!AU10*Legacy!AU$3))*Prices!$I$3)*FX!AU12*Eras!AU$10</f>
        <v/>
      </c>
      <c r="AV6" s="11">
        <f>((Paid!AV8+React!AV26+Legacy!AV10*Legacy!AV$3)*Prices!$H$3+(Subs!AV22-(Paid!AV8+React!AV26+Legacy!AV10*Legacy!AV$3))*Prices!$I$3)*FX!AV12*Eras!AV$10</f>
        <v/>
      </c>
      <c r="AW6" s="11">
        <f>((Paid!AW8+React!AW26+Legacy!AW10*Legacy!AW$3)*Prices!$H$3+(Subs!AW22-(Paid!AW8+React!AW26+Legacy!AW10*Legacy!AW$3))*Prices!$I$3)*FX!AW12*Eras!AW$10</f>
        <v/>
      </c>
      <c r="AX6" s="11">
        <f>((Paid!AX8+React!AX26+Legacy!AX10*Legacy!AX$3)*Prices!$H$3+(Subs!AX22-(Paid!AX8+React!AX26+Legacy!AX10*Legacy!AX$3))*Prices!$I$3)*FX!AX12*Eras!AX$10</f>
        <v/>
      </c>
      <c r="AY6" s="11">
        <f>((Paid!AY8+React!AY26+Legacy!AY10*Legacy!AY$3)*Prices!$H$3+(Subs!AY22-(Paid!AY8+React!AY26+Legacy!AY10*Legacy!AY$3))*Prices!$I$3)*FX!AY12*Eras!AY$10</f>
        <v/>
      </c>
      <c r="AZ6" s="11">
        <f>((Paid!AZ8+React!AZ26+Legacy!AZ10*Legacy!AZ$3)*Prices!$H$3+(Subs!AZ22-(Paid!AZ8+React!AZ26+Legacy!AZ10*Legacy!AZ$3))*Prices!$I$3)*FX!AZ12*Eras!AZ$10</f>
        <v/>
      </c>
      <c r="BA6" s="11">
        <f>((Paid!BA8+React!BA26+Legacy!BA10*Legacy!BA$3)*Prices!$H$3+(Subs!BA22-(Paid!BA8+React!BA26+Legacy!BA10*Legacy!BA$3))*Prices!$I$3)*FX!BA12*Eras!BA$10</f>
        <v/>
      </c>
      <c r="BB6" s="11">
        <f>((Paid!BB8+React!BB26+Legacy!BB10*Legacy!BB$3)*Prices!$H$3+(Subs!BB22-(Paid!BB8+React!BB26+Legacy!BB10*Legacy!BB$3))*Prices!$I$3)*FX!BB12*Eras!BB$10</f>
        <v/>
      </c>
      <c r="BC6" s="11">
        <f>((Paid!BC8+React!BC26+Legacy!BC10*Legacy!BC$3)*Prices!$H$3+(Subs!BC22-(Paid!BC8+React!BC26+Legacy!BC10*Legacy!BC$3))*Prices!$I$3)*FX!BC12*Eras!BC$10</f>
        <v/>
      </c>
      <c r="BD6" s="11">
        <f>((Paid!BD8+React!BD26+Legacy!BD10*Legacy!BD$3)*Prices!$H$3+(Subs!BD22-(Paid!BD8+React!BD26+Legacy!BD10*Legacy!BD$3))*Prices!$I$3)*FX!BD12*Eras!BD$10</f>
        <v/>
      </c>
      <c r="BE6" s="11">
        <f>((Paid!BE8+React!BE26+Legacy!BE10*Legacy!BE$3)*Prices!$H$3+(Subs!BE22-(Paid!BE8+React!BE26+Legacy!BE10*Legacy!BE$3))*Prices!$I$3)*FX!BE12*Eras!BE$10</f>
        <v/>
      </c>
      <c r="BF6" s="11">
        <f>((Paid!BF8+React!BF26+Legacy!BF10*Legacy!BF$3)*Prices!$H$3+(Subs!BF22-(Paid!BF8+React!BF26+Legacy!BF10*Legacy!BF$3))*Prices!$I$3)*FX!BF12*Eras!BF$10</f>
        <v/>
      </c>
      <c r="BG6" s="11">
        <f>((Paid!BG8+React!BG26+Legacy!BG10*Legacy!BG$3)*Prices!$H$3+(Subs!BG22-(Paid!BG8+React!BG26+Legacy!BG10*Legacy!BG$3))*Prices!$I$3)*FX!BG12*Eras!BG$10</f>
        <v/>
      </c>
      <c r="BH6" s="11">
        <f>((Paid!BH8+React!BH26+Legacy!BH10*Legacy!BH$3)*Prices!$H$3+(Subs!BH22-(Paid!BH8+React!BH26+Legacy!BH10*Legacy!BH$3))*Prices!$I$3)*FX!BH12*Eras!BH$10</f>
        <v/>
      </c>
      <c r="BI6" s="11">
        <f>((Paid!BI8+React!BI26+Legacy!BI10*Legacy!BI$3)*Prices!$H$3+(Subs!BI22-(Paid!BI8+React!BI26+Legacy!BI10*Legacy!BI$3))*Prices!$I$3)*FX!BI12*Eras!BI$10</f>
        <v/>
      </c>
      <c r="BJ6" s="11">
        <f>((Paid!BJ8+React!BJ26+Legacy!BJ10*Legacy!BJ$3)*Prices!$H$3+(Subs!BJ22-(Paid!BJ8+React!BJ26+Legacy!BJ10*Legacy!BJ$3))*Prices!$I$3)*FX!BJ12*Eras!BJ$10</f>
        <v/>
      </c>
      <c r="BK6" s="11">
        <f>((Paid!BK8+React!BK26+Legacy!BK10*Legacy!BK$3)*Prices!$H$3+(Subs!BK22-(Paid!BK8+React!BK26+Legacy!BK10*Legacy!BK$3))*Prices!$I$3)*FX!BK12*Eras!BK$10</f>
        <v/>
      </c>
      <c r="BL6" s="11">
        <f>((Paid!BL8+React!BL26+Legacy!BL10*Legacy!BL$3)*Prices!$H$3+(Subs!BL22-(Paid!BL8+React!BL26+Legacy!BL10*Legacy!BL$3))*Prices!$I$3)*FX!BL12*Eras!BL$10</f>
        <v/>
      </c>
      <c r="BM6" s="11">
        <f>((Paid!BM8+React!BM26+Legacy!BM10*Legacy!BM$3)*Prices!$H$3+(Subs!BM22-(Paid!BM8+React!BM26+Legacy!BM10*Legacy!BM$3))*Prices!$I$3)*FX!BM12*Eras!BM$10</f>
        <v/>
      </c>
      <c r="BN6" s="11">
        <f>((Paid!BN8+React!BN26+Legacy!BN10*Legacy!BN$3)*Prices!$H$3+(Subs!BN22-(Paid!BN8+React!BN26+Legacy!BN10*Legacy!BN$3))*Prices!$I$3)*FX!BN12*Eras!BN$10</f>
        <v/>
      </c>
      <c r="BO6" s="11">
        <f>((Paid!BO8+React!BO26+Legacy!BO10*Legacy!BO$3)*Prices!$H$3+(Subs!BO22-(Paid!BO8+React!BO26+Legacy!BO10*Legacy!BO$3))*Prices!$I$3)*FX!BO12*Eras!BO$10</f>
        <v/>
      </c>
      <c r="BP6" s="11">
        <f>((Paid!BP8+React!BP26+Legacy!BP10*Legacy!BP$3)*Prices!$H$3+(Subs!BP22-(Paid!BP8+React!BP26+Legacy!BP10*Legacy!BP$3))*Prices!$I$3)*FX!BP12*Eras!BP$10</f>
        <v/>
      </c>
      <c r="BQ6" s="11">
        <f>((Paid!BQ8+React!BQ26+Legacy!BQ10*Legacy!BQ$3)*Prices!$H$3+(Subs!BQ22-(Paid!BQ8+React!BQ26+Legacy!BQ10*Legacy!BQ$3))*Prices!$I$3)*FX!BQ12*Eras!BQ$10</f>
        <v/>
      </c>
      <c r="BR6" s="11">
        <f>((Paid!BR8+React!BR26+Legacy!BR10*Legacy!BR$3)*Prices!$H$3+(Subs!BR22-(Paid!BR8+React!BR26+Legacy!BR10*Legacy!BR$3))*Prices!$I$3)*FX!BR12*Eras!BR$10</f>
        <v/>
      </c>
      <c r="BS6" s="11">
        <f>((Paid!BS8+React!BS26+Legacy!BS10*Legacy!BS$3)*Prices!$H$3+(Subs!BS22-(Paid!BS8+React!BS26+Legacy!BS10*Legacy!BS$3))*Prices!$I$3)*FX!BS12*Eras!BS$10</f>
        <v/>
      </c>
      <c r="BT6" s="11">
        <f>((Paid!BT8+React!BT26+Legacy!BT10*Legacy!BT$3)*Prices!$H$3+(Subs!BT22-(Paid!BT8+React!BT26+Legacy!BT10*Legacy!BT$3))*Prices!$I$3)*FX!BT12*Eras!BT$10</f>
        <v/>
      </c>
      <c r="BU6" s="11">
        <f>((Paid!BU8+React!BU26+Legacy!BU10*Legacy!BU$3)*Prices!$H$3+(Subs!BU22-(Paid!BU8+React!BU26+Legacy!BU10*Legacy!BU$3))*Prices!$I$3)*FX!BU12*Eras!BU$10</f>
        <v/>
      </c>
      <c r="BV6" s="11">
        <f>((Paid!BV8+React!BV26+Legacy!BV10*Legacy!BV$3)*Prices!$H$3+(Subs!BV22-(Paid!BV8+React!BV26+Legacy!BV10*Legacy!BV$3))*Prices!$I$3)*FX!BV12*Eras!BV$10</f>
        <v/>
      </c>
    </row>
    <row r="7">
      <c r="A7" t="inlineStr">
        <is>
          <t>net revenue $</t>
        </is>
      </c>
      <c r="B7" t="inlineStr">
        <is>
          <t>US_CA|BASIC_M</t>
        </is>
      </c>
      <c r="C7" s="11">
        <f>((Paid!C12+React!C39+Legacy!C14*Legacy!C$3)*Prices!$H$4+(Subs!C29-(Paid!C12+React!C39+Legacy!C14*Legacy!C$3))*Prices!$I$4)*FX!C12*Eras!C$10</f>
        <v/>
      </c>
      <c r="D7" s="11">
        <f>((Paid!D12+React!D39+Legacy!D14*Legacy!D$3)*Prices!$H$4+(Subs!D29-(Paid!D12+React!D39+Legacy!D14*Legacy!D$3))*Prices!$I$4)*FX!D12*Eras!D$10</f>
        <v/>
      </c>
      <c r="E7" s="11">
        <f>((Paid!E12+React!E39+Legacy!E14*Legacy!E$3)*Prices!$H$4+(Subs!E29-(Paid!E12+React!E39+Legacy!E14*Legacy!E$3))*Prices!$I$4)*FX!E12*Eras!E$10</f>
        <v/>
      </c>
      <c r="F7" s="11">
        <f>((Paid!F12+React!F39+Legacy!F14*Legacy!F$3)*Prices!$H$4+(Subs!F29-(Paid!F12+React!F39+Legacy!F14*Legacy!F$3))*Prices!$I$4)*FX!F12*Eras!F$10</f>
        <v/>
      </c>
      <c r="G7" s="11">
        <f>((Paid!G12+React!G39+Legacy!G14*Legacy!G$3)*Prices!$H$4+(Subs!G29-(Paid!G12+React!G39+Legacy!G14*Legacy!G$3))*Prices!$I$4)*FX!G12*Eras!G$10</f>
        <v/>
      </c>
      <c r="H7" s="11">
        <f>((Paid!H12+React!H39+Legacy!H14*Legacy!H$3)*Prices!$H$4+(Subs!H29-(Paid!H12+React!H39+Legacy!H14*Legacy!H$3))*Prices!$I$4)*FX!H12*Eras!H$10</f>
        <v/>
      </c>
      <c r="I7" s="11">
        <f>((Paid!I12+React!I39+Legacy!I14*Legacy!I$3)*Prices!$H$4+(Subs!I29-(Paid!I12+React!I39+Legacy!I14*Legacy!I$3))*Prices!$I$4)*FX!I12*Eras!I$10</f>
        <v/>
      </c>
      <c r="J7" s="11">
        <f>((Paid!J12+React!J39+Legacy!J14*Legacy!J$3)*Prices!$H$4+(Subs!J29-(Paid!J12+React!J39+Legacy!J14*Legacy!J$3))*Prices!$I$4)*FX!J12*Eras!J$10</f>
        <v/>
      </c>
      <c r="K7" s="11">
        <f>((Paid!K12+React!K39+Legacy!K14*Legacy!K$3)*Prices!$H$4+(Subs!K29-(Paid!K12+React!K39+Legacy!K14*Legacy!K$3))*Prices!$I$4)*FX!K12*Eras!K$10</f>
        <v/>
      </c>
      <c r="L7" s="11">
        <f>((Paid!L12+React!L39+Legacy!L14*Legacy!L$3)*Prices!$H$4+(Subs!L29-(Paid!L12+React!L39+Legacy!L14*Legacy!L$3))*Prices!$I$4)*FX!L12*Eras!L$10</f>
        <v/>
      </c>
      <c r="M7" s="11">
        <f>((Paid!M12+React!M39+Legacy!M14*Legacy!M$3)*Prices!$H$4+(Subs!M29-(Paid!M12+React!M39+Legacy!M14*Legacy!M$3))*Prices!$I$4)*FX!M12*Eras!M$10</f>
        <v/>
      </c>
      <c r="N7" s="11">
        <f>((Paid!N12+React!N39+Legacy!N14*Legacy!N$3)*Prices!$H$4+(Subs!N29-(Paid!N12+React!N39+Legacy!N14*Legacy!N$3))*Prices!$I$4)*FX!N12*Eras!N$10</f>
        <v/>
      </c>
      <c r="O7" s="11">
        <f>((Paid!O12+React!O39+Legacy!O14*Legacy!O$3)*Prices!$H$4+(Subs!O29-(Paid!O12+React!O39+Legacy!O14*Legacy!O$3))*Prices!$I$4)*FX!O12*Eras!O$10</f>
        <v/>
      </c>
      <c r="P7" s="11">
        <f>((Paid!P12+React!P39+Legacy!P14*Legacy!P$3)*Prices!$H$4+(Subs!P29-(Paid!P12+React!P39+Legacy!P14*Legacy!P$3))*Prices!$I$4)*FX!P12*Eras!P$10</f>
        <v/>
      </c>
      <c r="Q7" s="11">
        <f>((Paid!Q12+React!Q39+Legacy!Q14*Legacy!Q$3)*Prices!$H$4+(Subs!Q29-(Paid!Q12+React!Q39+Legacy!Q14*Legacy!Q$3))*Prices!$I$4)*FX!Q12*Eras!Q$10</f>
        <v/>
      </c>
      <c r="R7" s="11">
        <f>((Paid!R12+React!R39+Legacy!R14*Legacy!R$3)*Prices!$H$4+(Subs!R29-(Paid!R12+React!R39+Legacy!R14*Legacy!R$3))*Prices!$I$4)*FX!R12*Eras!R$10</f>
        <v/>
      </c>
      <c r="S7" s="11">
        <f>((Paid!S12+React!S39+Legacy!S14*Legacy!S$3)*Prices!$H$4+(Subs!S29-(Paid!S12+React!S39+Legacy!S14*Legacy!S$3))*Prices!$I$4)*FX!S12*Eras!S$10</f>
        <v/>
      </c>
      <c r="T7" s="11">
        <f>((Paid!T12+React!T39+Legacy!T14*Legacy!T$3)*Prices!$H$4+(Subs!T29-(Paid!T12+React!T39+Legacy!T14*Legacy!T$3))*Prices!$I$4)*FX!T12*Eras!T$10</f>
        <v/>
      </c>
      <c r="U7" s="11">
        <f>((Paid!U12+React!U39+Legacy!U14*Legacy!U$3)*Prices!$H$4+(Subs!U29-(Paid!U12+React!U39+Legacy!U14*Legacy!U$3))*Prices!$I$4)*FX!U12*Eras!U$10</f>
        <v/>
      </c>
      <c r="V7" s="11">
        <f>((Paid!V12+React!V39+Legacy!V14*Legacy!V$3)*Prices!$H$4+(Subs!V29-(Paid!V12+React!V39+Legacy!V14*Legacy!V$3))*Prices!$I$4)*FX!V12*Eras!V$10</f>
        <v/>
      </c>
      <c r="W7" s="11">
        <f>((Paid!W12+React!W39+Legacy!W14*Legacy!W$3)*Prices!$H$4+(Subs!W29-(Paid!W12+React!W39+Legacy!W14*Legacy!W$3))*Prices!$I$4)*FX!W12*Eras!W$10</f>
        <v/>
      </c>
      <c r="X7" s="11">
        <f>((Paid!X12+React!X39+Legacy!X14*Legacy!X$3)*Prices!$H$4+(Subs!X29-(Paid!X12+React!X39+Legacy!X14*Legacy!X$3))*Prices!$I$4)*FX!X12*Eras!X$10</f>
        <v/>
      </c>
      <c r="Y7" s="11">
        <f>((Paid!Y12+React!Y39+Legacy!Y14*Legacy!Y$3)*Prices!$H$4+(Subs!Y29-(Paid!Y12+React!Y39+Legacy!Y14*Legacy!Y$3))*Prices!$I$4)*FX!Y12*Eras!Y$10</f>
        <v/>
      </c>
      <c r="Z7" s="11">
        <f>((Paid!Z12+React!Z39+Legacy!Z14*Legacy!Z$3)*Prices!$H$4+(Subs!Z29-(Paid!Z12+React!Z39+Legacy!Z14*Legacy!Z$3))*Prices!$I$4)*FX!Z12*Eras!Z$10</f>
        <v/>
      </c>
      <c r="AA7" s="11">
        <f>((Paid!AA12+React!AA39+Legacy!AA14*Legacy!AA$3)*Prices!$H$4+(Subs!AA29-(Paid!AA12+React!AA39+Legacy!AA14*Legacy!AA$3))*Prices!$I$4)*FX!AA12*Eras!AA$10</f>
        <v/>
      </c>
      <c r="AB7" s="11">
        <f>((Paid!AB12+React!AB39+Legacy!AB14*Legacy!AB$3)*Prices!$H$4+(Subs!AB29-(Paid!AB12+React!AB39+Legacy!AB14*Legacy!AB$3))*Prices!$I$4)*FX!AB12*Eras!AB$10</f>
        <v/>
      </c>
      <c r="AC7" s="11">
        <f>((Paid!AC12+React!AC39+Legacy!AC14*Legacy!AC$3)*Prices!$H$4+(Subs!AC29-(Paid!AC12+React!AC39+Legacy!AC14*Legacy!AC$3))*Prices!$I$4)*FX!AC12*Eras!AC$10</f>
        <v/>
      </c>
      <c r="AD7" s="11">
        <f>((Paid!AD12+React!AD39+Legacy!AD14*Legacy!AD$3)*Prices!$H$4+(Subs!AD29-(Paid!AD12+React!AD39+Legacy!AD14*Legacy!AD$3))*Prices!$I$4)*FX!AD12*Eras!AD$10</f>
        <v/>
      </c>
      <c r="AE7" s="11">
        <f>((Paid!AE12+React!AE39+Legacy!AE14*Legacy!AE$3)*Prices!$H$4+(Subs!AE29-(Paid!AE12+React!AE39+Legacy!AE14*Legacy!AE$3))*Prices!$I$4)*FX!AE12*Eras!AE$10</f>
        <v/>
      </c>
      <c r="AF7" s="11">
        <f>((Paid!AF12+React!AF39+Legacy!AF14*Legacy!AF$3)*Prices!$H$4+(Subs!AF29-(Paid!AF12+React!AF39+Legacy!AF14*Legacy!AF$3))*Prices!$I$4)*FX!AF12*Eras!AF$10</f>
        <v/>
      </c>
      <c r="AG7" s="11">
        <f>((Paid!AG12+React!AG39+Legacy!AG14*Legacy!AG$3)*Prices!$H$4+(Subs!AG29-(Paid!AG12+React!AG39+Legacy!AG14*Legacy!AG$3))*Prices!$I$4)*FX!AG12*Eras!AG$10</f>
        <v/>
      </c>
      <c r="AH7" s="11">
        <f>((Paid!AH12+React!AH39+Legacy!AH14*Legacy!AH$3)*Prices!$H$4+(Subs!AH29-(Paid!AH12+React!AH39+Legacy!AH14*Legacy!AH$3))*Prices!$I$4)*FX!AH12*Eras!AH$10</f>
        <v/>
      </c>
      <c r="AI7" s="11">
        <f>((Paid!AI12+React!AI39+Legacy!AI14*Legacy!AI$3)*Prices!$H$4+(Subs!AI29-(Paid!AI12+React!AI39+Legacy!AI14*Legacy!AI$3))*Prices!$I$4)*FX!AI12*Eras!AI$10</f>
        <v/>
      </c>
      <c r="AJ7" s="11">
        <f>((Paid!AJ12+React!AJ39+Legacy!AJ14*Legacy!AJ$3)*Prices!$H$4+(Subs!AJ29-(Paid!AJ12+React!AJ39+Legacy!AJ14*Legacy!AJ$3))*Prices!$I$4)*FX!AJ12*Eras!AJ$10</f>
        <v/>
      </c>
      <c r="AK7" s="11">
        <f>((Paid!AK12+React!AK39+Legacy!AK14*Legacy!AK$3)*Prices!$H$4+(Subs!AK29-(Paid!AK12+React!AK39+Legacy!AK14*Legacy!AK$3))*Prices!$I$4)*FX!AK12*Eras!AK$10</f>
        <v/>
      </c>
      <c r="AL7" s="11">
        <f>((Paid!AL12+React!AL39+Legacy!AL14*Legacy!AL$3)*Prices!$H$4+(Subs!AL29-(Paid!AL12+React!AL39+Legacy!AL14*Legacy!AL$3))*Prices!$I$4)*FX!AL12*Eras!AL$10</f>
        <v/>
      </c>
      <c r="AM7" s="11">
        <f>((Paid!AM12+React!AM39+Legacy!AM14*Legacy!AM$3)*Prices!$H$4+(Subs!AM29-(Paid!AM12+React!AM39+Legacy!AM14*Legacy!AM$3))*Prices!$I$4)*FX!AM12*Eras!AM$10</f>
        <v/>
      </c>
      <c r="AN7" s="11">
        <f>((Paid!AN12+React!AN39+Legacy!AN14*Legacy!AN$3)*Prices!$H$4+(Subs!AN29-(Paid!AN12+React!AN39+Legacy!AN14*Legacy!AN$3))*Prices!$I$4)*FX!AN12*Eras!AN$10</f>
        <v/>
      </c>
      <c r="AO7" s="11">
        <f>((Paid!AO12+React!AO39+Legacy!AO14*Legacy!AO$3)*Prices!$H$4+(Subs!AO29-(Paid!AO12+React!AO39+Legacy!AO14*Legacy!AO$3))*Prices!$I$4)*FX!AO12*Eras!AO$10</f>
        <v/>
      </c>
      <c r="AP7" s="11">
        <f>((Paid!AP12+React!AP39+Legacy!AP14*Legacy!AP$3)*Prices!$H$4+(Subs!AP29-(Paid!AP12+React!AP39+Legacy!AP14*Legacy!AP$3))*Prices!$I$4)*FX!AP12*Eras!AP$10</f>
        <v/>
      </c>
      <c r="AQ7" s="11">
        <f>((Paid!AQ12+React!AQ39+Legacy!AQ14*Legacy!AQ$3)*Prices!$H$4+(Subs!AQ29-(Paid!AQ12+React!AQ39+Legacy!AQ14*Legacy!AQ$3))*Prices!$I$4)*FX!AQ12*Eras!AQ$10</f>
        <v/>
      </c>
      <c r="AR7" s="11">
        <f>((Paid!AR12+React!AR39+Legacy!AR14*Legacy!AR$3)*Prices!$H$4+(Subs!AR29-(Paid!AR12+React!AR39+Legacy!AR14*Legacy!AR$3))*Prices!$I$4)*FX!AR12*Eras!AR$10</f>
        <v/>
      </c>
      <c r="AS7" s="11">
        <f>((Paid!AS12+React!AS39+Legacy!AS14*Legacy!AS$3)*Prices!$H$4+(Subs!AS29-(Paid!AS12+React!AS39+Legacy!AS14*Legacy!AS$3))*Prices!$I$4)*FX!AS12*Eras!AS$10</f>
        <v/>
      </c>
      <c r="AT7" s="11">
        <f>((Paid!AT12+React!AT39+Legacy!AT14*Legacy!AT$3)*Prices!$H$4+(Subs!AT29-(Paid!AT12+React!AT39+Legacy!AT14*Legacy!AT$3))*Prices!$I$4)*FX!AT12*Eras!AT$10</f>
        <v/>
      </c>
      <c r="AU7" s="11">
        <f>((Paid!AU12+React!AU39+Legacy!AU14*Legacy!AU$3)*Prices!$H$4+(Subs!AU29-(Paid!AU12+React!AU39+Legacy!AU14*Legacy!AU$3))*Prices!$I$4)*FX!AU12*Eras!AU$10</f>
        <v/>
      </c>
      <c r="AV7" s="11">
        <f>((Paid!AV12+React!AV39+Legacy!AV14*Legacy!AV$3)*Prices!$H$4+(Subs!AV29-(Paid!AV12+React!AV39+Legacy!AV14*Legacy!AV$3))*Prices!$I$4)*FX!AV12*Eras!AV$10</f>
        <v/>
      </c>
      <c r="AW7" s="11">
        <f>((Paid!AW12+React!AW39+Legacy!AW14*Legacy!AW$3)*Prices!$H$4+(Subs!AW29-(Paid!AW12+React!AW39+Legacy!AW14*Legacy!AW$3))*Prices!$I$4)*FX!AW12*Eras!AW$10</f>
        <v/>
      </c>
      <c r="AX7" s="11">
        <f>((Paid!AX12+React!AX39+Legacy!AX14*Legacy!AX$3)*Prices!$H$4+(Subs!AX29-(Paid!AX12+React!AX39+Legacy!AX14*Legacy!AX$3))*Prices!$I$4)*FX!AX12*Eras!AX$10</f>
        <v/>
      </c>
      <c r="AY7" s="11">
        <f>((Paid!AY12+React!AY39+Legacy!AY14*Legacy!AY$3)*Prices!$H$4+(Subs!AY29-(Paid!AY12+React!AY39+Legacy!AY14*Legacy!AY$3))*Prices!$I$4)*FX!AY12*Eras!AY$10</f>
        <v/>
      </c>
      <c r="AZ7" s="11">
        <f>((Paid!AZ12+React!AZ39+Legacy!AZ14*Legacy!AZ$3)*Prices!$H$4+(Subs!AZ29-(Paid!AZ12+React!AZ39+Legacy!AZ14*Legacy!AZ$3))*Prices!$I$4)*FX!AZ12*Eras!AZ$10</f>
        <v/>
      </c>
      <c r="BA7" s="11">
        <f>((Paid!BA12+React!BA39+Legacy!BA14*Legacy!BA$3)*Prices!$H$4+(Subs!BA29-(Paid!BA12+React!BA39+Legacy!BA14*Legacy!BA$3))*Prices!$I$4)*FX!BA12*Eras!BA$10</f>
        <v/>
      </c>
      <c r="BB7" s="11">
        <f>((Paid!BB12+React!BB39+Legacy!BB14*Legacy!BB$3)*Prices!$H$4+(Subs!BB29-(Paid!BB12+React!BB39+Legacy!BB14*Legacy!BB$3))*Prices!$I$4)*FX!BB12*Eras!BB$10</f>
        <v/>
      </c>
      <c r="BC7" s="11">
        <f>((Paid!BC12+React!BC39+Legacy!BC14*Legacy!BC$3)*Prices!$H$4+(Subs!BC29-(Paid!BC12+React!BC39+Legacy!BC14*Legacy!BC$3))*Prices!$I$4)*FX!BC12*Eras!BC$10</f>
        <v/>
      </c>
      <c r="BD7" s="11">
        <f>((Paid!BD12+React!BD39+Legacy!BD14*Legacy!BD$3)*Prices!$H$4+(Subs!BD29-(Paid!BD12+React!BD39+Legacy!BD14*Legacy!BD$3))*Prices!$I$4)*FX!BD12*Eras!BD$10</f>
        <v/>
      </c>
      <c r="BE7" s="11">
        <f>((Paid!BE12+React!BE39+Legacy!BE14*Legacy!BE$3)*Prices!$H$4+(Subs!BE29-(Paid!BE12+React!BE39+Legacy!BE14*Legacy!BE$3))*Prices!$I$4)*FX!BE12*Eras!BE$10</f>
        <v/>
      </c>
      <c r="BF7" s="11">
        <f>((Paid!BF12+React!BF39+Legacy!BF14*Legacy!BF$3)*Prices!$H$4+(Subs!BF29-(Paid!BF12+React!BF39+Legacy!BF14*Legacy!BF$3))*Prices!$I$4)*FX!BF12*Eras!BF$10</f>
        <v/>
      </c>
      <c r="BG7" s="11">
        <f>((Paid!BG12+React!BG39+Legacy!BG14*Legacy!BG$3)*Prices!$H$4+(Subs!BG29-(Paid!BG12+React!BG39+Legacy!BG14*Legacy!BG$3))*Prices!$I$4)*FX!BG12*Eras!BG$10</f>
        <v/>
      </c>
      <c r="BH7" s="11">
        <f>((Paid!BH12+React!BH39+Legacy!BH14*Legacy!BH$3)*Prices!$H$4+(Subs!BH29-(Paid!BH12+React!BH39+Legacy!BH14*Legacy!BH$3))*Prices!$I$4)*FX!BH12*Eras!BH$10</f>
        <v/>
      </c>
      <c r="BI7" s="11">
        <f>((Paid!BI12+React!BI39+Legacy!BI14*Legacy!BI$3)*Prices!$H$4+(Subs!BI29-(Paid!BI12+React!BI39+Legacy!BI14*Legacy!BI$3))*Prices!$I$4)*FX!BI12*Eras!BI$10</f>
        <v/>
      </c>
      <c r="BJ7" s="11">
        <f>((Paid!BJ12+React!BJ39+Legacy!BJ14*Legacy!BJ$3)*Prices!$H$4+(Subs!BJ29-(Paid!BJ12+React!BJ39+Legacy!BJ14*Legacy!BJ$3))*Prices!$I$4)*FX!BJ12*Eras!BJ$10</f>
        <v/>
      </c>
      <c r="BK7" s="11">
        <f>((Paid!BK12+React!BK39+Legacy!BK14*Legacy!BK$3)*Prices!$H$4+(Subs!BK29-(Paid!BK12+React!BK39+Legacy!BK14*Legacy!BK$3))*Prices!$I$4)*FX!BK12*Eras!BK$10</f>
        <v/>
      </c>
      <c r="BL7" s="11">
        <f>((Paid!BL12+React!BL39+Legacy!BL14*Legacy!BL$3)*Prices!$H$4+(Subs!BL29-(Paid!BL12+React!BL39+Legacy!BL14*Legacy!BL$3))*Prices!$I$4)*FX!BL12*Eras!BL$10</f>
        <v/>
      </c>
      <c r="BM7" s="11">
        <f>((Paid!BM12+React!BM39+Legacy!BM14*Legacy!BM$3)*Prices!$H$4+(Subs!BM29-(Paid!BM12+React!BM39+Legacy!BM14*Legacy!BM$3))*Prices!$I$4)*FX!BM12*Eras!BM$10</f>
        <v/>
      </c>
      <c r="BN7" s="11">
        <f>((Paid!BN12+React!BN39+Legacy!BN14*Legacy!BN$3)*Prices!$H$4+(Subs!BN29-(Paid!BN12+React!BN39+Legacy!BN14*Legacy!BN$3))*Prices!$I$4)*FX!BN12*Eras!BN$10</f>
        <v/>
      </c>
      <c r="BO7" s="11">
        <f>((Paid!BO12+React!BO39+Legacy!BO14*Legacy!BO$3)*Prices!$H$4+(Subs!BO29-(Paid!BO12+React!BO39+Legacy!BO14*Legacy!BO$3))*Prices!$I$4)*FX!BO12*Eras!BO$10</f>
        <v/>
      </c>
      <c r="BP7" s="11">
        <f>((Paid!BP12+React!BP39+Legacy!BP14*Legacy!BP$3)*Prices!$H$4+(Subs!BP29-(Paid!BP12+React!BP39+Legacy!BP14*Legacy!BP$3))*Prices!$I$4)*FX!BP12*Eras!BP$10</f>
        <v/>
      </c>
      <c r="BQ7" s="11">
        <f>((Paid!BQ12+React!BQ39+Legacy!BQ14*Legacy!BQ$3)*Prices!$H$4+(Subs!BQ29-(Paid!BQ12+React!BQ39+Legacy!BQ14*Legacy!BQ$3))*Prices!$I$4)*FX!BQ12*Eras!BQ$10</f>
        <v/>
      </c>
      <c r="BR7" s="11">
        <f>((Paid!BR12+React!BR39+Legacy!BR14*Legacy!BR$3)*Prices!$H$4+(Subs!BR29-(Paid!BR12+React!BR39+Legacy!BR14*Legacy!BR$3))*Prices!$I$4)*FX!BR12*Eras!BR$10</f>
        <v/>
      </c>
      <c r="BS7" s="11">
        <f>((Paid!BS12+React!BS39+Legacy!BS14*Legacy!BS$3)*Prices!$H$4+(Subs!BS29-(Paid!BS12+React!BS39+Legacy!BS14*Legacy!BS$3))*Prices!$I$4)*FX!BS12*Eras!BS$10</f>
        <v/>
      </c>
      <c r="BT7" s="11">
        <f>((Paid!BT12+React!BT39+Legacy!BT14*Legacy!BT$3)*Prices!$H$4+(Subs!BT29-(Paid!BT12+React!BT39+Legacy!BT14*Legacy!BT$3))*Prices!$I$4)*FX!BT12*Eras!BT$10</f>
        <v/>
      </c>
      <c r="BU7" s="11">
        <f>((Paid!BU12+React!BU39+Legacy!BU14*Legacy!BU$3)*Prices!$H$4+(Subs!BU29-(Paid!BU12+React!BU39+Legacy!BU14*Legacy!BU$3))*Prices!$I$4)*FX!BU12*Eras!BU$10</f>
        <v/>
      </c>
      <c r="BV7" s="11">
        <f>((Paid!BV12+React!BV39+Legacy!BV14*Legacy!BV$3)*Prices!$H$4+(Subs!BV29-(Paid!BV12+React!BV39+Legacy!BV14*Legacy!BV$3))*Prices!$I$4)*FX!BV12*Eras!BV$10</f>
        <v/>
      </c>
    </row>
    <row r="8">
      <c r="A8" t="inlineStr">
        <is>
          <t>net revenue $</t>
        </is>
      </c>
      <c r="B8" t="inlineStr">
        <is>
          <t>US_CA|BASIC_A</t>
        </is>
      </c>
      <c r="C8" s="11">
        <f>((Paid!C16+React!C52+Legacy!C18*Legacy!C$3)*Prices!$H$5+(Subs!C36-(Paid!C16+React!C52+Legacy!C18*Legacy!C$3))*Prices!$I$5)*FX!C12*Eras!C$10</f>
        <v/>
      </c>
      <c r="D8" s="11">
        <f>((Paid!D16+React!D52+Legacy!D18*Legacy!D$3)*Prices!$H$5+(Subs!D36-(Paid!D16+React!D52+Legacy!D18*Legacy!D$3))*Prices!$I$5)*FX!D12*Eras!D$10</f>
        <v/>
      </c>
      <c r="E8" s="11">
        <f>((Paid!E16+React!E52+Legacy!E18*Legacy!E$3)*Prices!$H$5+(Subs!E36-(Paid!E16+React!E52+Legacy!E18*Legacy!E$3))*Prices!$I$5)*FX!E12*Eras!E$10</f>
        <v/>
      </c>
      <c r="F8" s="11">
        <f>((Paid!F16+React!F52+Legacy!F18*Legacy!F$3)*Prices!$H$5+(Subs!F36-(Paid!F16+React!F52+Legacy!F18*Legacy!F$3))*Prices!$I$5)*FX!F12*Eras!F$10</f>
        <v/>
      </c>
      <c r="G8" s="11">
        <f>((Paid!G16+React!G52+Legacy!G18*Legacy!G$3)*Prices!$H$5+(Subs!G36-(Paid!G16+React!G52+Legacy!G18*Legacy!G$3))*Prices!$I$5)*FX!G12*Eras!G$10</f>
        <v/>
      </c>
      <c r="H8" s="11">
        <f>((Paid!H16+React!H52+Legacy!H18*Legacy!H$3)*Prices!$H$5+(Subs!H36-(Paid!H16+React!H52+Legacy!H18*Legacy!H$3))*Prices!$I$5)*FX!H12*Eras!H$10</f>
        <v/>
      </c>
      <c r="I8" s="11">
        <f>((Paid!I16+React!I52+Legacy!I18*Legacy!I$3)*Prices!$H$5+(Subs!I36-(Paid!I16+React!I52+Legacy!I18*Legacy!I$3))*Prices!$I$5)*FX!I12*Eras!I$10</f>
        <v/>
      </c>
      <c r="J8" s="11">
        <f>((Paid!J16+React!J52+Legacy!J18*Legacy!J$3)*Prices!$H$5+(Subs!J36-(Paid!J16+React!J52+Legacy!J18*Legacy!J$3))*Prices!$I$5)*FX!J12*Eras!J$10</f>
        <v/>
      </c>
      <c r="K8" s="11">
        <f>((Paid!K16+React!K52+Legacy!K18*Legacy!K$3)*Prices!$H$5+(Subs!K36-(Paid!K16+React!K52+Legacy!K18*Legacy!K$3))*Prices!$I$5)*FX!K12*Eras!K$10</f>
        <v/>
      </c>
      <c r="L8" s="11">
        <f>((Paid!L16+React!L52+Legacy!L18*Legacy!L$3)*Prices!$H$5+(Subs!L36-(Paid!L16+React!L52+Legacy!L18*Legacy!L$3))*Prices!$I$5)*FX!L12*Eras!L$10</f>
        <v/>
      </c>
      <c r="M8" s="11">
        <f>((Paid!M16+React!M52+Legacy!M18*Legacy!M$3)*Prices!$H$5+(Subs!M36-(Paid!M16+React!M52+Legacy!M18*Legacy!M$3))*Prices!$I$5)*FX!M12*Eras!M$10</f>
        <v/>
      </c>
      <c r="N8" s="11">
        <f>((Paid!N16+React!N52+Legacy!N18*Legacy!N$3)*Prices!$H$5+(Subs!N36-(Paid!N16+React!N52+Legacy!N18*Legacy!N$3))*Prices!$I$5)*FX!N12*Eras!N$10</f>
        <v/>
      </c>
      <c r="O8" s="11">
        <f>((Paid!O16+React!O52+Legacy!O18*Legacy!O$3)*Prices!$H$5+(Subs!O36-(Paid!O16+React!O52+Legacy!O18*Legacy!O$3))*Prices!$I$5)*FX!O12*Eras!O$10</f>
        <v/>
      </c>
      <c r="P8" s="11">
        <f>((Paid!P16+React!P52+Legacy!P18*Legacy!P$3)*Prices!$H$5+(Subs!P36-(Paid!P16+React!P52+Legacy!P18*Legacy!P$3))*Prices!$I$5)*FX!P12*Eras!P$10</f>
        <v/>
      </c>
      <c r="Q8" s="11">
        <f>((Paid!Q16+React!Q52+Legacy!Q18*Legacy!Q$3)*Prices!$H$5+(Subs!Q36-(Paid!Q16+React!Q52+Legacy!Q18*Legacy!Q$3))*Prices!$I$5)*FX!Q12*Eras!Q$10</f>
        <v/>
      </c>
      <c r="R8" s="11">
        <f>((Paid!R16+React!R52+Legacy!R18*Legacy!R$3)*Prices!$H$5+(Subs!R36-(Paid!R16+React!R52+Legacy!R18*Legacy!R$3))*Prices!$I$5)*FX!R12*Eras!R$10</f>
        <v/>
      </c>
      <c r="S8" s="11">
        <f>((Paid!S16+React!S52+Legacy!S18*Legacy!S$3)*Prices!$H$5+(Subs!S36-(Paid!S16+React!S52+Legacy!S18*Legacy!S$3))*Prices!$I$5)*FX!S12*Eras!S$10</f>
        <v/>
      </c>
      <c r="T8" s="11">
        <f>((Paid!T16+React!T52+Legacy!T18*Legacy!T$3)*Prices!$H$5+(Subs!T36-(Paid!T16+React!T52+Legacy!T18*Legacy!T$3))*Prices!$I$5)*FX!T12*Eras!T$10</f>
        <v/>
      </c>
      <c r="U8" s="11">
        <f>((Paid!U16+React!U52+Legacy!U18*Legacy!U$3)*Prices!$H$5+(Subs!U36-(Paid!U16+React!U52+Legacy!U18*Legacy!U$3))*Prices!$I$5)*FX!U12*Eras!U$10</f>
        <v/>
      </c>
      <c r="V8" s="11">
        <f>((Paid!V16+React!V52+Legacy!V18*Legacy!V$3)*Prices!$H$5+(Subs!V36-(Paid!V16+React!V52+Legacy!V18*Legacy!V$3))*Prices!$I$5)*FX!V12*Eras!V$10</f>
        <v/>
      </c>
      <c r="W8" s="11">
        <f>((Paid!W16+React!W52+Legacy!W18*Legacy!W$3)*Prices!$H$5+(Subs!W36-(Paid!W16+React!W52+Legacy!W18*Legacy!W$3))*Prices!$I$5)*FX!W12*Eras!W$10</f>
        <v/>
      </c>
      <c r="X8" s="11">
        <f>((Paid!X16+React!X52+Legacy!X18*Legacy!X$3)*Prices!$H$5+(Subs!X36-(Paid!X16+React!X52+Legacy!X18*Legacy!X$3))*Prices!$I$5)*FX!X12*Eras!X$10</f>
        <v/>
      </c>
      <c r="Y8" s="11">
        <f>((Paid!Y16+React!Y52+Legacy!Y18*Legacy!Y$3)*Prices!$H$5+(Subs!Y36-(Paid!Y16+React!Y52+Legacy!Y18*Legacy!Y$3))*Prices!$I$5)*FX!Y12*Eras!Y$10</f>
        <v/>
      </c>
      <c r="Z8" s="11">
        <f>((Paid!Z16+React!Z52+Legacy!Z18*Legacy!Z$3)*Prices!$H$5+(Subs!Z36-(Paid!Z16+React!Z52+Legacy!Z18*Legacy!Z$3))*Prices!$I$5)*FX!Z12*Eras!Z$10</f>
        <v/>
      </c>
      <c r="AA8" s="11">
        <f>((Paid!AA16+React!AA52+Legacy!AA18*Legacy!AA$3)*Prices!$H$5+(Subs!AA36-(Paid!AA16+React!AA52+Legacy!AA18*Legacy!AA$3))*Prices!$I$5)*FX!AA12*Eras!AA$10</f>
        <v/>
      </c>
      <c r="AB8" s="11">
        <f>((Paid!AB16+React!AB52+Legacy!AB18*Legacy!AB$3)*Prices!$H$5+(Subs!AB36-(Paid!AB16+React!AB52+Legacy!AB18*Legacy!AB$3))*Prices!$I$5)*FX!AB12*Eras!AB$10</f>
        <v/>
      </c>
      <c r="AC8" s="11">
        <f>((Paid!AC16+React!AC52+Legacy!AC18*Legacy!AC$3)*Prices!$H$5+(Subs!AC36-(Paid!AC16+React!AC52+Legacy!AC18*Legacy!AC$3))*Prices!$I$5)*FX!AC12*Eras!AC$10</f>
        <v/>
      </c>
      <c r="AD8" s="11">
        <f>((Paid!AD16+React!AD52+Legacy!AD18*Legacy!AD$3)*Prices!$H$5+(Subs!AD36-(Paid!AD16+React!AD52+Legacy!AD18*Legacy!AD$3))*Prices!$I$5)*FX!AD12*Eras!AD$10</f>
        <v/>
      </c>
      <c r="AE8" s="11">
        <f>((Paid!AE16+React!AE52+Legacy!AE18*Legacy!AE$3)*Prices!$H$5+(Subs!AE36-(Paid!AE16+React!AE52+Legacy!AE18*Legacy!AE$3))*Prices!$I$5)*FX!AE12*Eras!AE$10</f>
        <v/>
      </c>
      <c r="AF8" s="11">
        <f>((Paid!AF16+React!AF52+Legacy!AF18*Legacy!AF$3)*Prices!$H$5+(Subs!AF36-(Paid!AF16+React!AF52+Legacy!AF18*Legacy!AF$3))*Prices!$I$5)*FX!AF12*Eras!AF$10</f>
        <v/>
      </c>
      <c r="AG8" s="11">
        <f>((Paid!AG16+React!AG52+Legacy!AG18*Legacy!AG$3)*Prices!$H$5+(Subs!AG36-(Paid!AG16+React!AG52+Legacy!AG18*Legacy!AG$3))*Prices!$I$5)*FX!AG12*Eras!AG$10</f>
        <v/>
      </c>
      <c r="AH8" s="11">
        <f>((Paid!AH16+React!AH52+Legacy!AH18*Legacy!AH$3)*Prices!$H$5+(Subs!AH36-(Paid!AH16+React!AH52+Legacy!AH18*Legacy!AH$3))*Prices!$I$5)*FX!AH12*Eras!AH$10</f>
        <v/>
      </c>
      <c r="AI8" s="11">
        <f>((Paid!AI16+React!AI52+Legacy!AI18*Legacy!AI$3)*Prices!$H$5+(Subs!AI36-(Paid!AI16+React!AI52+Legacy!AI18*Legacy!AI$3))*Prices!$I$5)*FX!AI12*Eras!AI$10</f>
        <v/>
      </c>
      <c r="AJ8" s="11">
        <f>((Paid!AJ16+React!AJ52+Legacy!AJ18*Legacy!AJ$3)*Prices!$H$5+(Subs!AJ36-(Paid!AJ16+React!AJ52+Legacy!AJ18*Legacy!AJ$3))*Prices!$I$5)*FX!AJ12*Eras!AJ$10</f>
        <v/>
      </c>
      <c r="AK8" s="11">
        <f>((Paid!AK16+React!AK52+Legacy!AK18*Legacy!AK$3)*Prices!$H$5+(Subs!AK36-(Paid!AK16+React!AK52+Legacy!AK18*Legacy!AK$3))*Prices!$I$5)*FX!AK12*Eras!AK$10</f>
        <v/>
      </c>
      <c r="AL8" s="11">
        <f>((Paid!AL16+React!AL52+Legacy!AL18*Legacy!AL$3)*Prices!$H$5+(Subs!AL36-(Paid!AL16+React!AL52+Legacy!AL18*Legacy!AL$3))*Prices!$I$5)*FX!AL12*Eras!AL$10</f>
        <v/>
      </c>
      <c r="AM8" s="11">
        <f>((Paid!AM16+React!AM52+Legacy!AM18*Legacy!AM$3)*Prices!$H$5+(Subs!AM36-(Paid!AM16+React!AM52+Legacy!AM18*Legacy!AM$3))*Prices!$I$5)*FX!AM12*Eras!AM$10</f>
        <v/>
      </c>
      <c r="AN8" s="11">
        <f>((Paid!AN16+React!AN52+Legacy!AN18*Legacy!AN$3)*Prices!$H$5+(Subs!AN36-(Paid!AN16+React!AN52+Legacy!AN18*Legacy!AN$3))*Prices!$I$5)*FX!AN12*Eras!AN$10</f>
        <v/>
      </c>
      <c r="AO8" s="11">
        <f>((Paid!AO16+React!AO52+Legacy!AO18*Legacy!AO$3)*Prices!$H$5+(Subs!AO36-(Paid!AO16+React!AO52+Legacy!AO18*Legacy!AO$3))*Prices!$I$5)*FX!AO12*Eras!AO$10</f>
        <v/>
      </c>
      <c r="AP8" s="11">
        <f>((Paid!AP16+React!AP52+Legacy!AP18*Legacy!AP$3)*Prices!$H$5+(Subs!AP36-(Paid!AP16+React!AP52+Legacy!AP18*Legacy!AP$3))*Prices!$I$5)*FX!AP12*Eras!AP$10</f>
        <v/>
      </c>
      <c r="AQ8" s="11">
        <f>((Paid!AQ16+React!AQ52+Legacy!AQ18*Legacy!AQ$3)*Prices!$H$5+(Subs!AQ36-(Paid!AQ16+React!AQ52+Legacy!AQ18*Legacy!AQ$3))*Prices!$I$5)*FX!AQ12*Eras!AQ$10</f>
        <v/>
      </c>
      <c r="AR8" s="11">
        <f>((Paid!AR16+React!AR52+Legacy!AR18*Legacy!AR$3)*Prices!$H$5+(Subs!AR36-(Paid!AR16+React!AR52+Legacy!AR18*Legacy!AR$3))*Prices!$I$5)*FX!AR12*Eras!AR$10</f>
        <v/>
      </c>
      <c r="AS8" s="11">
        <f>((Paid!AS16+React!AS52+Legacy!AS18*Legacy!AS$3)*Prices!$H$5+(Subs!AS36-(Paid!AS16+React!AS52+Legacy!AS18*Legacy!AS$3))*Prices!$I$5)*FX!AS12*Eras!AS$10</f>
        <v/>
      </c>
      <c r="AT8" s="11">
        <f>((Paid!AT16+React!AT52+Legacy!AT18*Legacy!AT$3)*Prices!$H$5+(Subs!AT36-(Paid!AT16+React!AT52+Legacy!AT18*Legacy!AT$3))*Prices!$I$5)*FX!AT12*Eras!AT$10</f>
        <v/>
      </c>
      <c r="AU8" s="11">
        <f>((Paid!AU16+React!AU52+Legacy!AU18*Legacy!AU$3)*Prices!$H$5+(Subs!AU36-(Paid!AU16+React!AU52+Legacy!AU18*Legacy!AU$3))*Prices!$I$5)*FX!AU12*Eras!AU$10</f>
        <v/>
      </c>
      <c r="AV8" s="11">
        <f>((Paid!AV16+React!AV52+Legacy!AV18*Legacy!AV$3)*Prices!$H$5+(Subs!AV36-(Paid!AV16+React!AV52+Legacy!AV18*Legacy!AV$3))*Prices!$I$5)*FX!AV12*Eras!AV$10</f>
        <v/>
      </c>
      <c r="AW8" s="11">
        <f>((Paid!AW16+React!AW52+Legacy!AW18*Legacy!AW$3)*Prices!$H$5+(Subs!AW36-(Paid!AW16+React!AW52+Legacy!AW18*Legacy!AW$3))*Prices!$I$5)*FX!AW12*Eras!AW$10</f>
        <v/>
      </c>
      <c r="AX8" s="11">
        <f>((Paid!AX16+React!AX52+Legacy!AX18*Legacy!AX$3)*Prices!$H$5+(Subs!AX36-(Paid!AX16+React!AX52+Legacy!AX18*Legacy!AX$3))*Prices!$I$5)*FX!AX12*Eras!AX$10</f>
        <v/>
      </c>
      <c r="AY8" s="11">
        <f>((Paid!AY16+React!AY52+Legacy!AY18*Legacy!AY$3)*Prices!$H$5+(Subs!AY36-(Paid!AY16+React!AY52+Legacy!AY18*Legacy!AY$3))*Prices!$I$5)*FX!AY12*Eras!AY$10</f>
        <v/>
      </c>
      <c r="AZ8" s="11">
        <f>((Paid!AZ16+React!AZ52+Legacy!AZ18*Legacy!AZ$3)*Prices!$H$5+(Subs!AZ36-(Paid!AZ16+React!AZ52+Legacy!AZ18*Legacy!AZ$3))*Prices!$I$5)*FX!AZ12*Eras!AZ$10</f>
        <v/>
      </c>
      <c r="BA8" s="11">
        <f>((Paid!BA16+React!BA52+Legacy!BA18*Legacy!BA$3)*Prices!$H$5+(Subs!BA36-(Paid!BA16+React!BA52+Legacy!BA18*Legacy!BA$3))*Prices!$I$5)*FX!BA12*Eras!BA$10</f>
        <v/>
      </c>
      <c r="BB8" s="11">
        <f>((Paid!BB16+React!BB52+Legacy!BB18*Legacy!BB$3)*Prices!$H$5+(Subs!BB36-(Paid!BB16+React!BB52+Legacy!BB18*Legacy!BB$3))*Prices!$I$5)*FX!BB12*Eras!BB$10</f>
        <v/>
      </c>
      <c r="BC8" s="11">
        <f>((Paid!BC16+React!BC52+Legacy!BC18*Legacy!BC$3)*Prices!$H$5+(Subs!BC36-(Paid!BC16+React!BC52+Legacy!BC18*Legacy!BC$3))*Prices!$I$5)*FX!BC12*Eras!BC$10</f>
        <v/>
      </c>
      <c r="BD8" s="11">
        <f>((Paid!BD16+React!BD52+Legacy!BD18*Legacy!BD$3)*Prices!$H$5+(Subs!BD36-(Paid!BD16+React!BD52+Legacy!BD18*Legacy!BD$3))*Prices!$I$5)*FX!BD12*Eras!BD$10</f>
        <v/>
      </c>
      <c r="BE8" s="11">
        <f>((Paid!BE16+React!BE52+Legacy!BE18*Legacy!BE$3)*Prices!$H$5+(Subs!BE36-(Paid!BE16+React!BE52+Legacy!BE18*Legacy!BE$3))*Prices!$I$5)*FX!BE12*Eras!BE$10</f>
        <v/>
      </c>
      <c r="BF8" s="11">
        <f>((Paid!BF16+React!BF52+Legacy!BF18*Legacy!BF$3)*Prices!$H$5+(Subs!BF36-(Paid!BF16+React!BF52+Legacy!BF18*Legacy!BF$3))*Prices!$I$5)*FX!BF12*Eras!BF$10</f>
        <v/>
      </c>
      <c r="BG8" s="11">
        <f>((Paid!BG16+React!BG52+Legacy!BG18*Legacy!BG$3)*Prices!$H$5+(Subs!BG36-(Paid!BG16+React!BG52+Legacy!BG18*Legacy!BG$3))*Prices!$I$5)*FX!BG12*Eras!BG$10</f>
        <v/>
      </c>
      <c r="BH8" s="11">
        <f>((Paid!BH16+React!BH52+Legacy!BH18*Legacy!BH$3)*Prices!$H$5+(Subs!BH36-(Paid!BH16+React!BH52+Legacy!BH18*Legacy!BH$3))*Prices!$I$5)*FX!BH12*Eras!BH$10</f>
        <v/>
      </c>
      <c r="BI8" s="11">
        <f>((Paid!BI16+React!BI52+Legacy!BI18*Legacy!BI$3)*Prices!$H$5+(Subs!BI36-(Paid!BI16+React!BI52+Legacy!BI18*Legacy!BI$3))*Prices!$I$5)*FX!BI12*Eras!BI$10</f>
        <v/>
      </c>
      <c r="BJ8" s="11">
        <f>((Paid!BJ16+React!BJ52+Legacy!BJ18*Legacy!BJ$3)*Prices!$H$5+(Subs!BJ36-(Paid!BJ16+React!BJ52+Legacy!BJ18*Legacy!BJ$3))*Prices!$I$5)*FX!BJ12*Eras!BJ$10</f>
        <v/>
      </c>
      <c r="BK8" s="11">
        <f>((Paid!BK16+React!BK52+Legacy!BK18*Legacy!BK$3)*Prices!$H$5+(Subs!BK36-(Paid!BK16+React!BK52+Legacy!BK18*Legacy!BK$3))*Prices!$I$5)*FX!BK12*Eras!BK$10</f>
        <v/>
      </c>
      <c r="BL8" s="11">
        <f>((Paid!BL16+React!BL52+Legacy!BL18*Legacy!BL$3)*Prices!$H$5+(Subs!BL36-(Paid!BL16+React!BL52+Legacy!BL18*Legacy!BL$3))*Prices!$I$5)*FX!BL12*Eras!BL$10</f>
        <v/>
      </c>
      <c r="BM8" s="11">
        <f>((Paid!BM16+React!BM52+Legacy!BM18*Legacy!BM$3)*Prices!$H$5+(Subs!BM36-(Paid!BM16+React!BM52+Legacy!BM18*Legacy!BM$3))*Prices!$I$5)*FX!BM12*Eras!BM$10</f>
        <v/>
      </c>
      <c r="BN8" s="11">
        <f>((Paid!BN16+React!BN52+Legacy!BN18*Legacy!BN$3)*Prices!$H$5+(Subs!BN36-(Paid!BN16+React!BN52+Legacy!BN18*Legacy!BN$3))*Prices!$I$5)*FX!BN12*Eras!BN$10</f>
        <v/>
      </c>
      <c r="BO8" s="11">
        <f>((Paid!BO16+React!BO52+Legacy!BO18*Legacy!BO$3)*Prices!$H$5+(Subs!BO36-(Paid!BO16+React!BO52+Legacy!BO18*Legacy!BO$3))*Prices!$I$5)*FX!BO12*Eras!BO$10</f>
        <v/>
      </c>
      <c r="BP8" s="11">
        <f>((Paid!BP16+React!BP52+Legacy!BP18*Legacy!BP$3)*Prices!$H$5+(Subs!BP36-(Paid!BP16+React!BP52+Legacy!BP18*Legacy!BP$3))*Prices!$I$5)*FX!BP12*Eras!BP$10</f>
        <v/>
      </c>
      <c r="BQ8" s="11">
        <f>((Paid!BQ16+React!BQ52+Legacy!BQ18*Legacy!BQ$3)*Prices!$H$5+(Subs!BQ36-(Paid!BQ16+React!BQ52+Legacy!BQ18*Legacy!BQ$3))*Prices!$I$5)*FX!BQ12*Eras!BQ$10</f>
        <v/>
      </c>
      <c r="BR8" s="11">
        <f>((Paid!BR16+React!BR52+Legacy!BR18*Legacy!BR$3)*Prices!$H$5+(Subs!BR36-(Paid!BR16+React!BR52+Legacy!BR18*Legacy!BR$3))*Prices!$I$5)*FX!BR12*Eras!BR$10</f>
        <v/>
      </c>
      <c r="BS8" s="11">
        <f>((Paid!BS16+React!BS52+Legacy!BS18*Legacy!BS$3)*Prices!$H$5+(Subs!BS36-(Paid!BS16+React!BS52+Legacy!BS18*Legacy!BS$3))*Prices!$I$5)*FX!BS12*Eras!BS$10</f>
        <v/>
      </c>
      <c r="BT8" s="11">
        <f>((Paid!BT16+React!BT52+Legacy!BT18*Legacy!BT$3)*Prices!$H$5+(Subs!BT36-(Paid!BT16+React!BT52+Legacy!BT18*Legacy!BT$3))*Prices!$I$5)*FX!BT12*Eras!BT$10</f>
        <v/>
      </c>
      <c r="BU8" s="11">
        <f>((Paid!BU16+React!BU52+Legacy!BU18*Legacy!BU$3)*Prices!$H$5+(Subs!BU36-(Paid!BU16+React!BU52+Legacy!BU18*Legacy!BU$3))*Prices!$I$5)*FX!BU12*Eras!BU$10</f>
        <v/>
      </c>
      <c r="BV8" s="11">
        <f>((Paid!BV16+React!BV52+Legacy!BV18*Legacy!BV$3)*Prices!$H$5+(Subs!BV36-(Paid!BV16+React!BV52+Legacy!BV18*Legacy!BV$3))*Prices!$I$5)*FX!BV12*Eras!BV$10</f>
        <v/>
      </c>
    </row>
    <row r="9">
      <c r="A9" t="inlineStr">
        <is>
          <t>net revenue $</t>
        </is>
      </c>
      <c r="B9" t="inlineStr">
        <is>
          <t>EUROPE|NITRO_M</t>
        </is>
      </c>
      <c r="C9" s="11">
        <f>((Paid!C20+React!C65+Legacy!C22*Legacy!C$3)*Prices!$H$6+(Subs!C43-(Paid!C20+React!C65+Legacy!C22*Legacy!C$3))*Prices!$I$6)*FX!C13*Eras!C$10</f>
        <v/>
      </c>
      <c r="D9" s="11">
        <f>((Paid!D20+React!D65+Legacy!D22*Legacy!D$3)*Prices!$H$6+(Subs!D43-(Paid!D20+React!D65+Legacy!D22*Legacy!D$3))*Prices!$I$6)*FX!D13*Eras!D$10</f>
        <v/>
      </c>
      <c r="E9" s="11">
        <f>((Paid!E20+React!E65+Legacy!E22*Legacy!E$3)*Prices!$H$6+(Subs!E43-(Paid!E20+React!E65+Legacy!E22*Legacy!E$3))*Prices!$I$6)*FX!E13*Eras!E$10</f>
        <v/>
      </c>
      <c r="F9" s="11">
        <f>((Paid!F20+React!F65+Legacy!F22*Legacy!F$3)*Prices!$H$6+(Subs!F43-(Paid!F20+React!F65+Legacy!F22*Legacy!F$3))*Prices!$I$6)*FX!F13*Eras!F$10</f>
        <v/>
      </c>
      <c r="G9" s="11">
        <f>((Paid!G20+React!G65+Legacy!G22*Legacy!G$3)*Prices!$H$6+(Subs!G43-(Paid!G20+React!G65+Legacy!G22*Legacy!G$3))*Prices!$I$6)*FX!G13*Eras!G$10</f>
        <v/>
      </c>
      <c r="H9" s="11">
        <f>((Paid!H20+React!H65+Legacy!H22*Legacy!H$3)*Prices!$H$6+(Subs!H43-(Paid!H20+React!H65+Legacy!H22*Legacy!H$3))*Prices!$I$6)*FX!H13*Eras!H$10</f>
        <v/>
      </c>
      <c r="I9" s="11">
        <f>((Paid!I20+React!I65+Legacy!I22*Legacy!I$3)*Prices!$H$6+(Subs!I43-(Paid!I20+React!I65+Legacy!I22*Legacy!I$3))*Prices!$I$6)*FX!I13*Eras!I$10</f>
        <v/>
      </c>
      <c r="J9" s="11">
        <f>((Paid!J20+React!J65+Legacy!J22*Legacy!J$3)*Prices!$H$6+(Subs!J43-(Paid!J20+React!J65+Legacy!J22*Legacy!J$3))*Prices!$I$6)*FX!J13*Eras!J$10</f>
        <v/>
      </c>
      <c r="K9" s="11">
        <f>((Paid!K20+React!K65+Legacy!K22*Legacy!K$3)*Prices!$H$6+(Subs!K43-(Paid!K20+React!K65+Legacy!K22*Legacy!K$3))*Prices!$I$6)*FX!K13*Eras!K$10</f>
        <v/>
      </c>
      <c r="L9" s="11">
        <f>((Paid!L20+React!L65+Legacy!L22*Legacy!L$3)*Prices!$H$6+(Subs!L43-(Paid!L20+React!L65+Legacy!L22*Legacy!L$3))*Prices!$I$6)*FX!L13*Eras!L$10</f>
        <v/>
      </c>
      <c r="M9" s="11">
        <f>((Paid!M20+React!M65+Legacy!M22*Legacy!M$3)*Prices!$H$6+(Subs!M43-(Paid!M20+React!M65+Legacy!M22*Legacy!M$3))*Prices!$I$6)*FX!M13*Eras!M$10</f>
        <v/>
      </c>
      <c r="N9" s="11">
        <f>((Paid!N20+React!N65+Legacy!N22*Legacy!N$3)*Prices!$H$6+(Subs!N43-(Paid!N20+React!N65+Legacy!N22*Legacy!N$3))*Prices!$I$6)*FX!N13*Eras!N$10</f>
        <v/>
      </c>
      <c r="O9" s="11">
        <f>((Paid!O20+React!O65+Legacy!O22*Legacy!O$3)*Prices!$H$6+(Subs!O43-(Paid!O20+React!O65+Legacy!O22*Legacy!O$3))*Prices!$I$6)*FX!O13*Eras!O$10</f>
        <v/>
      </c>
      <c r="P9" s="11">
        <f>((Paid!P20+React!P65+Legacy!P22*Legacy!P$3)*Prices!$H$6+(Subs!P43-(Paid!P20+React!P65+Legacy!P22*Legacy!P$3))*Prices!$I$6)*FX!P13*Eras!P$10</f>
        <v/>
      </c>
      <c r="Q9" s="11">
        <f>((Paid!Q20+React!Q65+Legacy!Q22*Legacy!Q$3)*Prices!$H$6+(Subs!Q43-(Paid!Q20+React!Q65+Legacy!Q22*Legacy!Q$3))*Prices!$I$6)*FX!Q13*Eras!Q$10</f>
        <v/>
      </c>
      <c r="R9" s="11">
        <f>((Paid!R20+React!R65+Legacy!R22*Legacy!R$3)*Prices!$H$6+(Subs!R43-(Paid!R20+React!R65+Legacy!R22*Legacy!R$3))*Prices!$I$6)*FX!R13*Eras!R$10</f>
        <v/>
      </c>
      <c r="S9" s="11">
        <f>((Paid!S20+React!S65+Legacy!S22*Legacy!S$3)*Prices!$H$6+(Subs!S43-(Paid!S20+React!S65+Legacy!S22*Legacy!S$3))*Prices!$I$6)*FX!S13*Eras!S$10</f>
        <v/>
      </c>
      <c r="T9" s="11">
        <f>((Paid!T20+React!T65+Legacy!T22*Legacy!T$3)*Prices!$H$6+(Subs!T43-(Paid!T20+React!T65+Legacy!T22*Legacy!T$3))*Prices!$I$6)*FX!T13*Eras!T$10</f>
        <v/>
      </c>
      <c r="U9" s="11">
        <f>((Paid!U20+React!U65+Legacy!U22*Legacy!U$3)*Prices!$H$6+(Subs!U43-(Paid!U20+React!U65+Legacy!U22*Legacy!U$3))*Prices!$I$6)*FX!U13*Eras!U$10</f>
        <v/>
      </c>
      <c r="V9" s="11">
        <f>((Paid!V20+React!V65+Legacy!V22*Legacy!V$3)*Prices!$H$6+(Subs!V43-(Paid!V20+React!V65+Legacy!V22*Legacy!V$3))*Prices!$I$6)*FX!V13*Eras!V$10</f>
        <v/>
      </c>
      <c r="W9" s="11">
        <f>((Paid!W20+React!W65+Legacy!W22*Legacy!W$3)*Prices!$H$6+(Subs!W43-(Paid!W20+React!W65+Legacy!W22*Legacy!W$3))*Prices!$I$6)*FX!W13*Eras!W$10</f>
        <v/>
      </c>
      <c r="X9" s="11">
        <f>((Paid!X20+React!X65+Legacy!X22*Legacy!X$3)*Prices!$H$6+(Subs!X43-(Paid!X20+React!X65+Legacy!X22*Legacy!X$3))*Prices!$I$6)*FX!X13*Eras!X$10</f>
        <v/>
      </c>
      <c r="Y9" s="11">
        <f>((Paid!Y20+React!Y65+Legacy!Y22*Legacy!Y$3)*Prices!$H$6+(Subs!Y43-(Paid!Y20+React!Y65+Legacy!Y22*Legacy!Y$3))*Prices!$I$6)*FX!Y13*Eras!Y$10</f>
        <v/>
      </c>
      <c r="Z9" s="11">
        <f>((Paid!Z20+React!Z65+Legacy!Z22*Legacy!Z$3)*Prices!$H$6+(Subs!Z43-(Paid!Z20+React!Z65+Legacy!Z22*Legacy!Z$3))*Prices!$I$6)*FX!Z13*Eras!Z$10</f>
        <v/>
      </c>
      <c r="AA9" s="11">
        <f>((Paid!AA20+React!AA65+Legacy!AA22*Legacy!AA$3)*Prices!$H$6+(Subs!AA43-(Paid!AA20+React!AA65+Legacy!AA22*Legacy!AA$3))*Prices!$I$6)*FX!AA13*Eras!AA$10</f>
        <v/>
      </c>
      <c r="AB9" s="11">
        <f>((Paid!AB20+React!AB65+Legacy!AB22*Legacy!AB$3)*Prices!$H$6+(Subs!AB43-(Paid!AB20+React!AB65+Legacy!AB22*Legacy!AB$3))*Prices!$I$6)*FX!AB13*Eras!AB$10</f>
        <v/>
      </c>
      <c r="AC9" s="11">
        <f>((Paid!AC20+React!AC65+Legacy!AC22*Legacy!AC$3)*Prices!$H$6+(Subs!AC43-(Paid!AC20+React!AC65+Legacy!AC22*Legacy!AC$3))*Prices!$I$6)*FX!AC13*Eras!AC$10</f>
        <v/>
      </c>
      <c r="AD9" s="11">
        <f>((Paid!AD20+React!AD65+Legacy!AD22*Legacy!AD$3)*Prices!$H$6+(Subs!AD43-(Paid!AD20+React!AD65+Legacy!AD22*Legacy!AD$3))*Prices!$I$6)*FX!AD13*Eras!AD$10</f>
        <v/>
      </c>
      <c r="AE9" s="11">
        <f>((Paid!AE20+React!AE65+Legacy!AE22*Legacy!AE$3)*Prices!$H$6+(Subs!AE43-(Paid!AE20+React!AE65+Legacy!AE22*Legacy!AE$3))*Prices!$I$6)*FX!AE13*Eras!AE$10</f>
        <v/>
      </c>
      <c r="AF9" s="11">
        <f>((Paid!AF20+React!AF65+Legacy!AF22*Legacy!AF$3)*Prices!$H$6+(Subs!AF43-(Paid!AF20+React!AF65+Legacy!AF22*Legacy!AF$3))*Prices!$I$6)*FX!AF13*Eras!AF$10</f>
        <v/>
      </c>
      <c r="AG9" s="11">
        <f>((Paid!AG20+React!AG65+Legacy!AG22*Legacy!AG$3)*Prices!$H$6+(Subs!AG43-(Paid!AG20+React!AG65+Legacy!AG22*Legacy!AG$3))*Prices!$I$6)*FX!AG13*Eras!AG$10</f>
        <v/>
      </c>
      <c r="AH9" s="11">
        <f>((Paid!AH20+React!AH65+Legacy!AH22*Legacy!AH$3)*Prices!$H$6+(Subs!AH43-(Paid!AH20+React!AH65+Legacy!AH22*Legacy!AH$3))*Prices!$I$6)*FX!AH13*Eras!AH$10</f>
        <v/>
      </c>
      <c r="AI9" s="11">
        <f>((Paid!AI20+React!AI65+Legacy!AI22*Legacy!AI$3)*Prices!$H$6+(Subs!AI43-(Paid!AI20+React!AI65+Legacy!AI22*Legacy!AI$3))*Prices!$I$6)*FX!AI13*Eras!AI$10</f>
        <v/>
      </c>
      <c r="AJ9" s="11">
        <f>((Paid!AJ20+React!AJ65+Legacy!AJ22*Legacy!AJ$3)*Prices!$H$6+(Subs!AJ43-(Paid!AJ20+React!AJ65+Legacy!AJ22*Legacy!AJ$3))*Prices!$I$6)*FX!AJ13*Eras!AJ$10</f>
        <v/>
      </c>
      <c r="AK9" s="11">
        <f>((Paid!AK20+React!AK65+Legacy!AK22*Legacy!AK$3)*Prices!$H$6+(Subs!AK43-(Paid!AK20+React!AK65+Legacy!AK22*Legacy!AK$3))*Prices!$I$6)*FX!AK13*Eras!AK$10</f>
        <v/>
      </c>
      <c r="AL9" s="11">
        <f>((Paid!AL20+React!AL65+Legacy!AL22*Legacy!AL$3)*Prices!$H$6+(Subs!AL43-(Paid!AL20+React!AL65+Legacy!AL22*Legacy!AL$3))*Prices!$I$6)*FX!AL13*Eras!AL$10</f>
        <v/>
      </c>
      <c r="AM9" s="11">
        <f>((Paid!AM20+React!AM65+Legacy!AM22*Legacy!AM$3)*Prices!$H$6+(Subs!AM43-(Paid!AM20+React!AM65+Legacy!AM22*Legacy!AM$3))*Prices!$I$6)*FX!AM13*Eras!AM$10</f>
        <v/>
      </c>
      <c r="AN9" s="11">
        <f>((Paid!AN20+React!AN65+Legacy!AN22*Legacy!AN$3)*Prices!$H$6+(Subs!AN43-(Paid!AN20+React!AN65+Legacy!AN22*Legacy!AN$3))*Prices!$I$6)*FX!AN13*Eras!AN$10</f>
        <v/>
      </c>
      <c r="AO9" s="11">
        <f>((Paid!AO20+React!AO65+Legacy!AO22*Legacy!AO$3)*Prices!$H$6+(Subs!AO43-(Paid!AO20+React!AO65+Legacy!AO22*Legacy!AO$3))*Prices!$I$6)*FX!AO13*Eras!AO$10</f>
        <v/>
      </c>
      <c r="AP9" s="11">
        <f>((Paid!AP20+React!AP65+Legacy!AP22*Legacy!AP$3)*Prices!$H$6+(Subs!AP43-(Paid!AP20+React!AP65+Legacy!AP22*Legacy!AP$3))*Prices!$I$6)*FX!AP13*Eras!AP$10</f>
        <v/>
      </c>
      <c r="AQ9" s="11">
        <f>((Paid!AQ20+React!AQ65+Legacy!AQ22*Legacy!AQ$3)*Prices!$H$6+(Subs!AQ43-(Paid!AQ20+React!AQ65+Legacy!AQ22*Legacy!AQ$3))*Prices!$I$6)*FX!AQ13*Eras!AQ$10</f>
        <v/>
      </c>
      <c r="AR9" s="11">
        <f>((Paid!AR20+React!AR65+Legacy!AR22*Legacy!AR$3)*Prices!$H$6+(Subs!AR43-(Paid!AR20+React!AR65+Legacy!AR22*Legacy!AR$3))*Prices!$I$6)*FX!AR13*Eras!AR$10</f>
        <v/>
      </c>
      <c r="AS9" s="11">
        <f>((Paid!AS20+React!AS65+Legacy!AS22*Legacy!AS$3)*Prices!$H$6+(Subs!AS43-(Paid!AS20+React!AS65+Legacy!AS22*Legacy!AS$3))*Prices!$I$6)*FX!AS13*Eras!AS$10</f>
        <v/>
      </c>
      <c r="AT9" s="11">
        <f>((Paid!AT20+React!AT65+Legacy!AT22*Legacy!AT$3)*Prices!$H$6+(Subs!AT43-(Paid!AT20+React!AT65+Legacy!AT22*Legacy!AT$3))*Prices!$I$6)*FX!AT13*Eras!AT$10</f>
        <v/>
      </c>
      <c r="AU9" s="11">
        <f>((Paid!AU20+React!AU65+Legacy!AU22*Legacy!AU$3)*Prices!$H$6+(Subs!AU43-(Paid!AU20+React!AU65+Legacy!AU22*Legacy!AU$3))*Prices!$I$6)*FX!AU13*Eras!AU$10</f>
        <v/>
      </c>
      <c r="AV9" s="11">
        <f>((Paid!AV20+React!AV65+Legacy!AV22*Legacy!AV$3)*Prices!$H$6+(Subs!AV43-(Paid!AV20+React!AV65+Legacy!AV22*Legacy!AV$3))*Prices!$I$6)*FX!AV13*Eras!AV$10</f>
        <v/>
      </c>
      <c r="AW9" s="11">
        <f>((Paid!AW20+React!AW65+Legacy!AW22*Legacy!AW$3)*Prices!$H$6+(Subs!AW43-(Paid!AW20+React!AW65+Legacy!AW22*Legacy!AW$3))*Prices!$I$6)*FX!AW13*Eras!AW$10</f>
        <v/>
      </c>
      <c r="AX9" s="11">
        <f>((Paid!AX20+React!AX65+Legacy!AX22*Legacy!AX$3)*Prices!$H$6+(Subs!AX43-(Paid!AX20+React!AX65+Legacy!AX22*Legacy!AX$3))*Prices!$I$6)*FX!AX13*Eras!AX$10</f>
        <v/>
      </c>
      <c r="AY9" s="11">
        <f>((Paid!AY20+React!AY65+Legacy!AY22*Legacy!AY$3)*Prices!$H$6+(Subs!AY43-(Paid!AY20+React!AY65+Legacy!AY22*Legacy!AY$3))*Prices!$I$6)*FX!AY13*Eras!AY$10</f>
        <v/>
      </c>
      <c r="AZ9" s="11">
        <f>((Paid!AZ20+React!AZ65+Legacy!AZ22*Legacy!AZ$3)*Prices!$H$6+(Subs!AZ43-(Paid!AZ20+React!AZ65+Legacy!AZ22*Legacy!AZ$3))*Prices!$I$6)*FX!AZ13*Eras!AZ$10</f>
        <v/>
      </c>
      <c r="BA9" s="11">
        <f>((Paid!BA20+React!BA65+Legacy!BA22*Legacy!BA$3)*Prices!$H$6+(Subs!BA43-(Paid!BA20+React!BA65+Legacy!BA22*Legacy!BA$3))*Prices!$I$6)*FX!BA13*Eras!BA$10</f>
        <v/>
      </c>
      <c r="BB9" s="11">
        <f>((Paid!BB20+React!BB65+Legacy!BB22*Legacy!BB$3)*Prices!$H$6+(Subs!BB43-(Paid!BB20+React!BB65+Legacy!BB22*Legacy!BB$3))*Prices!$I$6)*FX!BB13*Eras!BB$10</f>
        <v/>
      </c>
      <c r="BC9" s="11">
        <f>((Paid!BC20+React!BC65+Legacy!BC22*Legacy!BC$3)*Prices!$H$6+(Subs!BC43-(Paid!BC20+React!BC65+Legacy!BC22*Legacy!BC$3))*Prices!$I$6)*FX!BC13*Eras!BC$10</f>
        <v/>
      </c>
      <c r="BD9" s="11">
        <f>((Paid!BD20+React!BD65+Legacy!BD22*Legacy!BD$3)*Prices!$H$6+(Subs!BD43-(Paid!BD20+React!BD65+Legacy!BD22*Legacy!BD$3))*Prices!$I$6)*FX!BD13*Eras!BD$10</f>
        <v/>
      </c>
      <c r="BE9" s="11">
        <f>((Paid!BE20+React!BE65+Legacy!BE22*Legacy!BE$3)*Prices!$H$6+(Subs!BE43-(Paid!BE20+React!BE65+Legacy!BE22*Legacy!BE$3))*Prices!$I$6)*FX!BE13*Eras!BE$10</f>
        <v/>
      </c>
      <c r="BF9" s="11">
        <f>((Paid!BF20+React!BF65+Legacy!BF22*Legacy!BF$3)*Prices!$H$6+(Subs!BF43-(Paid!BF20+React!BF65+Legacy!BF22*Legacy!BF$3))*Prices!$I$6)*FX!BF13*Eras!BF$10</f>
        <v/>
      </c>
      <c r="BG9" s="11">
        <f>((Paid!BG20+React!BG65+Legacy!BG22*Legacy!BG$3)*Prices!$H$6+(Subs!BG43-(Paid!BG20+React!BG65+Legacy!BG22*Legacy!BG$3))*Prices!$I$6)*FX!BG13*Eras!BG$10</f>
        <v/>
      </c>
      <c r="BH9" s="11">
        <f>((Paid!BH20+React!BH65+Legacy!BH22*Legacy!BH$3)*Prices!$H$6+(Subs!BH43-(Paid!BH20+React!BH65+Legacy!BH22*Legacy!BH$3))*Prices!$I$6)*FX!BH13*Eras!BH$10</f>
        <v/>
      </c>
      <c r="BI9" s="11">
        <f>((Paid!BI20+React!BI65+Legacy!BI22*Legacy!BI$3)*Prices!$H$6+(Subs!BI43-(Paid!BI20+React!BI65+Legacy!BI22*Legacy!BI$3))*Prices!$I$6)*FX!BI13*Eras!BI$10</f>
        <v/>
      </c>
      <c r="BJ9" s="11">
        <f>((Paid!BJ20+React!BJ65+Legacy!BJ22*Legacy!BJ$3)*Prices!$H$6+(Subs!BJ43-(Paid!BJ20+React!BJ65+Legacy!BJ22*Legacy!BJ$3))*Prices!$I$6)*FX!BJ13*Eras!BJ$10</f>
        <v/>
      </c>
      <c r="BK9" s="11">
        <f>((Paid!BK20+React!BK65+Legacy!BK22*Legacy!BK$3)*Prices!$H$6+(Subs!BK43-(Paid!BK20+React!BK65+Legacy!BK22*Legacy!BK$3))*Prices!$I$6)*FX!BK13*Eras!BK$10</f>
        <v/>
      </c>
      <c r="BL9" s="11">
        <f>((Paid!BL20+React!BL65+Legacy!BL22*Legacy!BL$3)*Prices!$H$6+(Subs!BL43-(Paid!BL20+React!BL65+Legacy!BL22*Legacy!BL$3))*Prices!$I$6)*FX!BL13*Eras!BL$10</f>
        <v/>
      </c>
      <c r="BM9" s="11">
        <f>((Paid!BM20+React!BM65+Legacy!BM22*Legacy!BM$3)*Prices!$H$6+(Subs!BM43-(Paid!BM20+React!BM65+Legacy!BM22*Legacy!BM$3))*Prices!$I$6)*FX!BM13*Eras!BM$10</f>
        <v/>
      </c>
      <c r="BN9" s="11">
        <f>((Paid!BN20+React!BN65+Legacy!BN22*Legacy!BN$3)*Prices!$H$6+(Subs!BN43-(Paid!BN20+React!BN65+Legacy!BN22*Legacy!BN$3))*Prices!$I$6)*FX!BN13*Eras!BN$10</f>
        <v/>
      </c>
      <c r="BO9" s="11">
        <f>((Paid!BO20+React!BO65+Legacy!BO22*Legacy!BO$3)*Prices!$H$6+(Subs!BO43-(Paid!BO20+React!BO65+Legacy!BO22*Legacy!BO$3))*Prices!$I$6)*FX!BO13*Eras!BO$10</f>
        <v/>
      </c>
      <c r="BP9" s="11">
        <f>((Paid!BP20+React!BP65+Legacy!BP22*Legacy!BP$3)*Prices!$H$6+(Subs!BP43-(Paid!BP20+React!BP65+Legacy!BP22*Legacy!BP$3))*Prices!$I$6)*FX!BP13*Eras!BP$10</f>
        <v/>
      </c>
      <c r="BQ9" s="11">
        <f>((Paid!BQ20+React!BQ65+Legacy!BQ22*Legacy!BQ$3)*Prices!$H$6+(Subs!BQ43-(Paid!BQ20+React!BQ65+Legacy!BQ22*Legacy!BQ$3))*Prices!$I$6)*FX!BQ13*Eras!BQ$10</f>
        <v/>
      </c>
      <c r="BR9" s="11">
        <f>((Paid!BR20+React!BR65+Legacy!BR22*Legacy!BR$3)*Prices!$H$6+(Subs!BR43-(Paid!BR20+React!BR65+Legacy!BR22*Legacy!BR$3))*Prices!$I$6)*FX!BR13*Eras!BR$10</f>
        <v/>
      </c>
      <c r="BS9" s="11">
        <f>((Paid!BS20+React!BS65+Legacy!BS22*Legacy!BS$3)*Prices!$H$6+(Subs!BS43-(Paid!BS20+React!BS65+Legacy!BS22*Legacy!BS$3))*Prices!$I$6)*FX!BS13*Eras!BS$10</f>
        <v/>
      </c>
      <c r="BT9" s="11">
        <f>((Paid!BT20+React!BT65+Legacy!BT22*Legacy!BT$3)*Prices!$H$6+(Subs!BT43-(Paid!BT20+React!BT65+Legacy!BT22*Legacy!BT$3))*Prices!$I$6)*FX!BT13*Eras!BT$10</f>
        <v/>
      </c>
      <c r="BU9" s="11">
        <f>((Paid!BU20+React!BU65+Legacy!BU22*Legacy!BU$3)*Prices!$H$6+(Subs!BU43-(Paid!BU20+React!BU65+Legacy!BU22*Legacy!BU$3))*Prices!$I$6)*FX!BU13*Eras!BU$10</f>
        <v/>
      </c>
      <c r="BV9" s="11">
        <f>((Paid!BV20+React!BV65+Legacy!BV22*Legacy!BV$3)*Prices!$H$6+(Subs!BV43-(Paid!BV20+React!BV65+Legacy!BV22*Legacy!BV$3))*Prices!$I$6)*FX!BV13*Eras!BV$10</f>
        <v/>
      </c>
    </row>
    <row r="10">
      <c r="A10" t="inlineStr">
        <is>
          <t>net revenue $</t>
        </is>
      </c>
      <c r="B10" t="inlineStr">
        <is>
          <t>EUROPE|NITRO_A</t>
        </is>
      </c>
      <c r="C10" s="11">
        <f>((Paid!C24+React!C78+Legacy!C26*Legacy!C$3)*Prices!$H$7+(Subs!C50-(Paid!C24+React!C78+Legacy!C26*Legacy!C$3))*Prices!$I$7)*FX!C13*Eras!C$10</f>
        <v/>
      </c>
      <c r="D10" s="11">
        <f>((Paid!D24+React!D78+Legacy!D26*Legacy!D$3)*Prices!$H$7+(Subs!D50-(Paid!D24+React!D78+Legacy!D26*Legacy!D$3))*Prices!$I$7)*FX!D13*Eras!D$10</f>
        <v/>
      </c>
      <c r="E10" s="11">
        <f>((Paid!E24+React!E78+Legacy!E26*Legacy!E$3)*Prices!$H$7+(Subs!E50-(Paid!E24+React!E78+Legacy!E26*Legacy!E$3))*Prices!$I$7)*FX!E13*Eras!E$10</f>
        <v/>
      </c>
      <c r="F10" s="11">
        <f>((Paid!F24+React!F78+Legacy!F26*Legacy!F$3)*Prices!$H$7+(Subs!F50-(Paid!F24+React!F78+Legacy!F26*Legacy!F$3))*Prices!$I$7)*FX!F13*Eras!F$10</f>
        <v/>
      </c>
      <c r="G10" s="11">
        <f>((Paid!G24+React!G78+Legacy!G26*Legacy!G$3)*Prices!$H$7+(Subs!G50-(Paid!G24+React!G78+Legacy!G26*Legacy!G$3))*Prices!$I$7)*FX!G13*Eras!G$10</f>
        <v/>
      </c>
      <c r="H10" s="11">
        <f>((Paid!H24+React!H78+Legacy!H26*Legacy!H$3)*Prices!$H$7+(Subs!H50-(Paid!H24+React!H78+Legacy!H26*Legacy!H$3))*Prices!$I$7)*FX!H13*Eras!H$10</f>
        <v/>
      </c>
      <c r="I10" s="11">
        <f>((Paid!I24+React!I78+Legacy!I26*Legacy!I$3)*Prices!$H$7+(Subs!I50-(Paid!I24+React!I78+Legacy!I26*Legacy!I$3))*Prices!$I$7)*FX!I13*Eras!I$10</f>
        <v/>
      </c>
      <c r="J10" s="11">
        <f>((Paid!J24+React!J78+Legacy!J26*Legacy!J$3)*Prices!$H$7+(Subs!J50-(Paid!J24+React!J78+Legacy!J26*Legacy!J$3))*Prices!$I$7)*FX!J13*Eras!J$10</f>
        <v/>
      </c>
      <c r="K10" s="11">
        <f>((Paid!K24+React!K78+Legacy!K26*Legacy!K$3)*Prices!$H$7+(Subs!K50-(Paid!K24+React!K78+Legacy!K26*Legacy!K$3))*Prices!$I$7)*FX!K13*Eras!K$10</f>
        <v/>
      </c>
      <c r="L10" s="11">
        <f>((Paid!L24+React!L78+Legacy!L26*Legacy!L$3)*Prices!$H$7+(Subs!L50-(Paid!L24+React!L78+Legacy!L26*Legacy!L$3))*Prices!$I$7)*FX!L13*Eras!L$10</f>
        <v/>
      </c>
      <c r="M10" s="11">
        <f>((Paid!M24+React!M78+Legacy!M26*Legacy!M$3)*Prices!$H$7+(Subs!M50-(Paid!M24+React!M78+Legacy!M26*Legacy!M$3))*Prices!$I$7)*FX!M13*Eras!M$10</f>
        <v/>
      </c>
      <c r="N10" s="11">
        <f>((Paid!N24+React!N78+Legacy!N26*Legacy!N$3)*Prices!$H$7+(Subs!N50-(Paid!N24+React!N78+Legacy!N26*Legacy!N$3))*Prices!$I$7)*FX!N13*Eras!N$10</f>
        <v/>
      </c>
      <c r="O10" s="11">
        <f>((Paid!O24+React!O78+Legacy!O26*Legacy!O$3)*Prices!$H$7+(Subs!O50-(Paid!O24+React!O78+Legacy!O26*Legacy!O$3))*Prices!$I$7)*FX!O13*Eras!O$10</f>
        <v/>
      </c>
      <c r="P10" s="11">
        <f>((Paid!P24+React!P78+Legacy!P26*Legacy!P$3)*Prices!$H$7+(Subs!P50-(Paid!P24+React!P78+Legacy!P26*Legacy!P$3))*Prices!$I$7)*FX!P13*Eras!P$10</f>
        <v/>
      </c>
      <c r="Q10" s="11">
        <f>((Paid!Q24+React!Q78+Legacy!Q26*Legacy!Q$3)*Prices!$H$7+(Subs!Q50-(Paid!Q24+React!Q78+Legacy!Q26*Legacy!Q$3))*Prices!$I$7)*FX!Q13*Eras!Q$10</f>
        <v/>
      </c>
      <c r="R10" s="11">
        <f>((Paid!R24+React!R78+Legacy!R26*Legacy!R$3)*Prices!$H$7+(Subs!R50-(Paid!R24+React!R78+Legacy!R26*Legacy!R$3))*Prices!$I$7)*FX!R13*Eras!R$10</f>
        <v/>
      </c>
      <c r="S10" s="11">
        <f>((Paid!S24+React!S78+Legacy!S26*Legacy!S$3)*Prices!$H$7+(Subs!S50-(Paid!S24+React!S78+Legacy!S26*Legacy!S$3))*Prices!$I$7)*FX!S13*Eras!S$10</f>
        <v/>
      </c>
      <c r="T10" s="11">
        <f>((Paid!T24+React!T78+Legacy!T26*Legacy!T$3)*Prices!$H$7+(Subs!T50-(Paid!T24+React!T78+Legacy!T26*Legacy!T$3))*Prices!$I$7)*FX!T13*Eras!T$10</f>
        <v/>
      </c>
      <c r="U10" s="11">
        <f>((Paid!U24+React!U78+Legacy!U26*Legacy!U$3)*Prices!$H$7+(Subs!U50-(Paid!U24+React!U78+Legacy!U26*Legacy!U$3))*Prices!$I$7)*FX!U13*Eras!U$10</f>
        <v/>
      </c>
      <c r="V10" s="11">
        <f>((Paid!V24+React!V78+Legacy!V26*Legacy!V$3)*Prices!$H$7+(Subs!V50-(Paid!V24+React!V78+Legacy!V26*Legacy!V$3))*Prices!$I$7)*FX!V13*Eras!V$10</f>
        <v/>
      </c>
      <c r="W10" s="11">
        <f>((Paid!W24+React!W78+Legacy!W26*Legacy!W$3)*Prices!$H$7+(Subs!W50-(Paid!W24+React!W78+Legacy!W26*Legacy!W$3))*Prices!$I$7)*FX!W13*Eras!W$10</f>
        <v/>
      </c>
      <c r="X10" s="11">
        <f>((Paid!X24+React!X78+Legacy!X26*Legacy!X$3)*Prices!$H$7+(Subs!X50-(Paid!X24+React!X78+Legacy!X26*Legacy!X$3))*Prices!$I$7)*FX!X13*Eras!X$10</f>
        <v/>
      </c>
      <c r="Y10" s="11">
        <f>((Paid!Y24+React!Y78+Legacy!Y26*Legacy!Y$3)*Prices!$H$7+(Subs!Y50-(Paid!Y24+React!Y78+Legacy!Y26*Legacy!Y$3))*Prices!$I$7)*FX!Y13*Eras!Y$10</f>
        <v/>
      </c>
      <c r="Z10" s="11">
        <f>((Paid!Z24+React!Z78+Legacy!Z26*Legacy!Z$3)*Prices!$H$7+(Subs!Z50-(Paid!Z24+React!Z78+Legacy!Z26*Legacy!Z$3))*Prices!$I$7)*FX!Z13*Eras!Z$10</f>
        <v/>
      </c>
      <c r="AA10" s="11">
        <f>((Paid!AA24+React!AA78+Legacy!AA26*Legacy!AA$3)*Prices!$H$7+(Subs!AA50-(Paid!AA24+React!AA78+Legacy!AA26*Legacy!AA$3))*Prices!$I$7)*FX!AA13*Eras!AA$10</f>
        <v/>
      </c>
      <c r="AB10" s="11">
        <f>((Paid!AB24+React!AB78+Legacy!AB26*Legacy!AB$3)*Prices!$H$7+(Subs!AB50-(Paid!AB24+React!AB78+Legacy!AB26*Legacy!AB$3))*Prices!$I$7)*FX!AB13*Eras!AB$10</f>
        <v/>
      </c>
      <c r="AC10" s="11">
        <f>((Paid!AC24+React!AC78+Legacy!AC26*Legacy!AC$3)*Prices!$H$7+(Subs!AC50-(Paid!AC24+React!AC78+Legacy!AC26*Legacy!AC$3))*Prices!$I$7)*FX!AC13*Eras!AC$10</f>
        <v/>
      </c>
      <c r="AD10" s="11">
        <f>((Paid!AD24+React!AD78+Legacy!AD26*Legacy!AD$3)*Prices!$H$7+(Subs!AD50-(Paid!AD24+React!AD78+Legacy!AD26*Legacy!AD$3))*Prices!$I$7)*FX!AD13*Eras!AD$10</f>
        <v/>
      </c>
      <c r="AE10" s="11">
        <f>((Paid!AE24+React!AE78+Legacy!AE26*Legacy!AE$3)*Prices!$H$7+(Subs!AE50-(Paid!AE24+React!AE78+Legacy!AE26*Legacy!AE$3))*Prices!$I$7)*FX!AE13*Eras!AE$10</f>
        <v/>
      </c>
      <c r="AF10" s="11">
        <f>((Paid!AF24+React!AF78+Legacy!AF26*Legacy!AF$3)*Prices!$H$7+(Subs!AF50-(Paid!AF24+React!AF78+Legacy!AF26*Legacy!AF$3))*Prices!$I$7)*FX!AF13*Eras!AF$10</f>
        <v/>
      </c>
      <c r="AG10" s="11">
        <f>((Paid!AG24+React!AG78+Legacy!AG26*Legacy!AG$3)*Prices!$H$7+(Subs!AG50-(Paid!AG24+React!AG78+Legacy!AG26*Legacy!AG$3))*Prices!$I$7)*FX!AG13*Eras!AG$10</f>
        <v/>
      </c>
      <c r="AH10" s="11">
        <f>((Paid!AH24+React!AH78+Legacy!AH26*Legacy!AH$3)*Prices!$H$7+(Subs!AH50-(Paid!AH24+React!AH78+Legacy!AH26*Legacy!AH$3))*Prices!$I$7)*FX!AH13*Eras!AH$10</f>
        <v/>
      </c>
      <c r="AI10" s="11">
        <f>((Paid!AI24+React!AI78+Legacy!AI26*Legacy!AI$3)*Prices!$H$7+(Subs!AI50-(Paid!AI24+React!AI78+Legacy!AI26*Legacy!AI$3))*Prices!$I$7)*FX!AI13*Eras!AI$10</f>
        <v/>
      </c>
      <c r="AJ10" s="11">
        <f>((Paid!AJ24+React!AJ78+Legacy!AJ26*Legacy!AJ$3)*Prices!$H$7+(Subs!AJ50-(Paid!AJ24+React!AJ78+Legacy!AJ26*Legacy!AJ$3))*Prices!$I$7)*FX!AJ13*Eras!AJ$10</f>
        <v/>
      </c>
      <c r="AK10" s="11">
        <f>((Paid!AK24+React!AK78+Legacy!AK26*Legacy!AK$3)*Prices!$H$7+(Subs!AK50-(Paid!AK24+React!AK78+Legacy!AK26*Legacy!AK$3))*Prices!$I$7)*FX!AK13*Eras!AK$10</f>
        <v/>
      </c>
      <c r="AL10" s="11">
        <f>((Paid!AL24+React!AL78+Legacy!AL26*Legacy!AL$3)*Prices!$H$7+(Subs!AL50-(Paid!AL24+React!AL78+Legacy!AL26*Legacy!AL$3))*Prices!$I$7)*FX!AL13*Eras!AL$10</f>
        <v/>
      </c>
      <c r="AM10" s="11">
        <f>((Paid!AM24+React!AM78+Legacy!AM26*Legacy!AM$3)*Prices!$H$7+(Subs!AM50-(Paid!AM24+React!AM78+Legacy!AM26*Legacy!AM$3))*Prices!$I$7)*FX!AM13*Eras!AM$10</f>
        <v/>
      </c>
      <c r="AN10" s="11">
        <f>((Paid!AN24+React!AN78+Legacy!AN26*Legacy!AN$3)*Prices!$H$7+(Subs!AN50-(Paid!AN24+React!AN78+Legacy!AN26*Legacy!AN$3))*Prices!$I$7)*FX!AN13*Eras!AN$10</f>
        <v/>
      </c>
      <c r="AO10" s="11">
        <f>((Paid!AO24+React!AO78+Legacy!AO26*Legacy!AO$3)*Prices!$H$7+(Subs!AO50-(Paid!AO24+React!AO78+Legacy!AO26*Legacy!AO$3))*Prices!$I$7)*FX!AO13*Eras!AO$10</f>
        <v/>
      </c>
      <c r="AP10" s="11">
        <f>((Paid!AP24+React!AP78+Legacy!AP26*Legacy!AP$3)*Prices!$H$7+(Subs!AP50-(Paid!AP24+React!AP78+Legacy!AP26*Legacy!AP$3))*Prices!$I$7)*FX!AP13*Eras!AP$10</f>
        <v/>
      </c>
      <c r="AQ10" s="11">
        <f>((Paid!AQ24+React!AQ78+Legacy!AQ26*Legacy!AQ$3)*Prices!$H$7+(Subs!AQ50-(Paid!AQ24+React!AQ78+Legacy!AQ26*Legacy!AQ$3))*Prices!$I$7)*FX!AQ13*Eras!AQ$10</f>
        <v/>
      </c>
      <c r="AR10" s="11">
        <f>((Paid!AR24+React!AR78+Legacy!AR26*Legacy!AR$3)*Prices!$H$7+(Subs!AR50-(Paid!AR24+React!AR78+Legacy!AR26*Legacy!AR$3))*Prices!$I$7)*FX!AR13*Eras!AR$10</f>
        <v/>
      </c>
      <c r="AS10" s="11">
        <f>((Paid!AS24+React!AS78+Legacy!AS26*Legacy!AS$3)*Prices!$H$7+(Subs!AS50-(Paid!AS24+React!AS78+Legacy!AS26*Legacy!AS$3))*Prices!$I$7)*FX!AS13*Eras!AS$10</f>
        <v/>
      </c>
      <c r="AT10" s="11">
        <f>((Paid!AT24+React!AT78+Legacy!AT26*Legacy!AT$3)*Prices!$H$7+(Subs!AT50-(Paid!AT24+React!AT78+Legacy!AT26*Legacy!AT$3))*Prices!$I$7)*FX!AT13*Eras!AT$10</f>
        <v/>
      </c>
      <c r="AU10" s="11">
        <f>((Paid!AU24+React!AU78+Legacy!AU26*Legacy!AU$3)*Prices!$H$7+(Subs!AU50-(Paid!AU24+React!AU78+Legacy!AU26*Legacy!AU$3))*Prices!$I$7)*FX!AU13*Eras!AU$10</f>
        <v/>
      </c>
      <c r="AV10" s="11">
        <f>((Paid!AV24+React!AV78+Legacy!AV26*Legacy!AV$3)*Prices!$H$7+(Subs!AV50-(Paid!AV24+React!AV78+Legacy!AV26*Legacy!AV$3))*Prices!$I$7)*FX!AV13*Eras!AV$10</f>
        <v/>
      </c>
      <c r="AW10" s="11">
        <f>((Paid!AW24+React!AW78+Legacy!AW26*Legacy!AW$3)*Prices!$H$7+(Subs!AW50-(Paid!AW24+React!AW78+Legacy!AW26*Legacy!AW$3))*Prices!$I$7)*FX!AW13*Eras!AW$10</f>
        <v/>
      </c>
      <c r="AX10" s="11">
        <f>((Paid!AX24+React!AX78+Legacy!AX26*Legacy!AX$3)*Prices!$H$7+(Subs!AX50-(Paid!AX24+React!AX78+Legacy!AX26*Legacy!AX$3))*Prices!$I$7)*FX!AX13*Eras!AX$10</f>
        <v/>
      </c>
      <c r="AY10" s="11">
        <f>((Paid!AY24+React!AY78+Legacy!AY26*Legacy!AY$3)*Prices!$H$7+(Subs!AY50-(Paid!AY24+React!AY78+Legacy!AY26*Legacy!AY$3))*Prices!$I$7)*FX!AY13*Eras!AY$10</f>
        <v/>
      </c>
      <c r="AZ10" s="11">
        <f>((Paid!AZ24+React!AZ78+Legacy!AZ26*Legacy!AZ$3)*Prices!$H$7+(Subs!AZ50-(Paid!AZ24+React!AZ78+Legacy!AZ26*Legacy!AZ$3))*Prices!$I$7)*FX!AZ13*Eras!AZ$10</f>
        <v/>
      </c>
      <c r="BA10" s="11">
        <f>((Paid!BA24+React!BA78+Legacy!BA26*Legacy!BA$3)*Prices!$H$7+(Subs!BA50-(Paid!BA24+React!BA78+Legacy!BA26*Legacy!BA$3))*Prices!$I$7)*FX!BA13*Eras!BA$10</f>
        <v/>
      </c>
      <c r="BB10" s="11">
        <f>((Paid!BB24+React!BB78+Legacy!BB26*Legacy!BB$3)*Prices!$H$7+(Subs!BB50-(Paid!BB24+React!BB78+Legacy!BB26*Legacy!BB$3))*Prices!$I$7)*FX!BB13*Eras!BB$10</f>
        <v/>
      </c>
      <c r="BC10" s="11">
        <f>((Paid!BC24+React!BC78+Legacy!BC26*Legacy!BC$3)*Prices!$H$7+(Subs!BC50-(Paid!BC24+React!BC78+Legacy!BC26*Legacy!BC$3))*Prices!$I$7)*FX!BC13*Eras!BC$10</f>
        <v/>
      </c>
      <c r="BD10" s="11">
        <f>((Paid!BD24+React!BD78+Legacy!BD26*Legacy!BD$3)*Prices!$H$7+(Subs!BD50-(Paid!BD24+React!BD78+Legacy!BD26*Legacy!BD$3))*Prices!$I$7)*FX!BD13*Eras!BD$10</f>
        <v/>
      </c>
      <c r="BE10" s="11">
        <f>((Paid!BE24+React!BE78+Legacy!BE26*Legacy!BE$3)*Prices!$H$7+(Subs!BE50-(Paid!BE24+React!BE78+Legacy!BE26*Legacy!BE$3))*Prices!$I$7)*FX!BE13*Eras!BE$10</f>
        <v/>
      </c>
      <c r="BF10" s="11">
        <f>((Paid!BF24+React!BF78+Legacy!BF26*Legacy!BF$3)*Prices!$H$7+(Subs!BF50-(Paid!BF24+React!BF78+Legacy!BF26*Legacy!BF$3))*Prices!$I$7)*FX!BF13*Eras!BF$10</f>
        <v/>
      </c>
      <c r="BG10" s="11">
        <f>((Paid!BG24+React!BG78+Legacy!BG26*Legacy!BG$3)*Prices!$H$7+(Subs!BG50-(Paid!BG24+React!BG78+Legacy!BG26*Legacy!BG$3))*Prices!$I$7)*FX!BG13*Eras!BG$10</f>
        <v/>
      </c>
      <c r="BH10" s="11">
        <f>((Paid!BH24+React!BH78+Legacy!BH26*Legacy!BH$3)*Prices!$H$7+(Subs!BH50-(Paid!BH24+React!BH78+Legacy!BH26*Legacy!BH$3))*Prices!$I$7)*FX!BH13*Eras!BH$10</f>
        <v/>
      </c>
      <c r="BI10" s="11">
        <f>((Paid!BI24+React!BI78+Legacy!BI26*Legacy!BI$3)*Prices!$H$7+(Subs!BI50-(Paid!BI24+React!BI78+Legacy!BI26*Legacy!BI$3))*Prices!$I$7)*FX!BI13*Eras!BI$10</f>
        <v/>
      </c>
      <c r="BJ10" s="11">
        <f>((Paid!BJ24+React!BJ78+Legacy!BJ26*Legacy!BJ$3)*Prices!$H$7+(Subs!BJ50-(Paid!BJ24+React!BJ78+Legacy!BJ26*Legacy!BJ$3))*Prices!$I$7)*FX!BJ13*Eras!BJ$10</f>
        <v/>
      </c>
      <c r="BK10" s="11">
        <f>((Paid!BK24+React!BK78+Legacy!BK26*Legacy!BK$3)*Prices!$H$7+(Subs!BK50-(Paid!BK24+React!BK78+Legacy!BK26*Legacy!BK$3))*Prices!$I$7)*FX!BK13*Eras!BK$10</f>
        <v/>
      </c>
      <c r="BL10" s="11">
        <f>((Paid!BL24+React!BL78+Legacy!BL26*Legacy!BL$3)*Prices!$H$7+(Subs!BL50-(Paid!BL24+React!BL78+Legacy!BL26*Legacy!BL$3))*Prices!$I$7)*FX!BL13*Eras!BL$10</f>
        <v/>
      </c>
      <c r="BM10" s="11">
        <f>((Paid!BM24+React!BM78+Legacy!BM26*Legacy!BM$3)*Prices!$H$7+(Subs!BM50-(Paid!BM24+React!BM78+Legacy!BM26*Legacy!BM$3))*Prices!$I$7)*FX!BM13*Eras!BM$10</f>
        <v/>
      </c>
      <c r="BN10" s="11">
        <f>((Paid!BN24+React!BN78+Legacy!BN26*Legacy!BN$3)*Prices!$H$7+(Subs!BN50-(Paid!BN24+React!BN78+Legacy!BN26*Legacy!BN$3))*Prices!$I$7)*FX!BN13*Eras!BN$10</f>
        <v/>
      </c>
      <c r="BO10" s="11">
        <f>((Paid!BO24+React!BO78+Legacy!BO26*Legacy!BO$3)*Prices!$H$7+(Subs!BO50-(Paid!BO24+React!BO78+Legacy!BO26*Legacy!BO$3))*Prices!$I$7)*FX!BO13*Eras!BO$10</f>
        <v/>
      </c>
      <c r="BP10" s="11">
        <f>((Paid!BP24+React!BP78+Legacy!BP26*Legacy!BP$3)*Prices!$H$7+(Subs!BP50-(Paid!BP24+React!BP78+Legacy!BP26*Legacy!BP$3))*Prices!$I$7)*FX!BP13*Eras!BP$10</f>
        <v/>
      </c>
      <c r="BQ10" s="11">
        <f>((Paid!BQ24+React!BQ78+Legacy!BQ26*Legacy!BQ$3)*Prices!$H$7+(Subs!BQ50-(Paid!BQ24+React!BQ78+Legacy!BQ26*Legacy!BQ$3))*Prices!$I$7)*FX!BQ13*Eras!BQ$10</f>
        <v/>
      </c>
      <c r="BR10" s="11">
        <f>((Paid!BR24+React!BR78+Legacy!BR26*Legacy!BR$3)*Prices!$H$7+(Subs!BR50-(Paid!BR24+React!BR78+Legacy!BR26*Legacy!BR$3))*Prices!$I$7)*FX!BR13*Eras!BR$10</f>
        <v/>
      </c>
      <c r="BS10" s="11">
        <f>((Paid!BS24+React!BS78+Legacy!BS26*Legacy!BS$3)*Prices!$H$7+(Subs!BS50-(Paid!BS24+React!BS78+Legacy!BS26*Legacy!BS$3))*Prices!$I$7)*FX!BS13*Eras!BS$10</f>
        <v/>
      </c>
      <c r="BT10" s="11">
        <f>((Paid!BT24+React!BT78+Legacy!BT26*Legacy!BT$3)*Prices!$H$7+(Subs!BT50-(Paid!BT24+React!BT78+Legacy!BT26*Legacy!BT$3))*Prices!$I$7)*FX!BT13*Eras!BT$10</f>
        <v/>
      </c>
      <c r="BU10" s="11">
        <f>((Paid!BU24+React!BU78+Legacy!BU26*Legacy!BU$3)*Prices!$H$7+(Subs!BU50-(Paid!BU24+React!BU78+Legacy!BU26*Legacy!BU$3))*Prices!$I$7)*FX!BU13*Eras!BU$10</f>
        <v/>
      </c>
      <c r="BV10" s="11">
        <f>((Paid!BV24+React!BV78+Legacy!BV26*Legacy!BV$3)*Prices!$H$7+(Subs!BV50-(Paid!BV24+React!BV78+Legacy!BV26*Legacy!BV$3))*Prices!$I$7)*FX!BV13*Eras!BV$10</f>
        <v/>
      </c>
    </row>
    <row r="11">
      <c r="A11" t="inlineStr">
        <is>
          <t>net revenue $</t>
        </is>
      </c>
      <c r="B11" t="inlineStr">
        <is>
          <t>EUROPE|BASIC_M</t>
        </is>
      </c>
      <c r="C11" s="11">
        <f>((Paid!C28+React!C91+Legacy!C30*Legacy!C$3)*Prices!$H$8+(Subs!C57-(Paid!C28+React!C91+Legacy!C30*Legacy!C$3))*Prices!$I$8)*FX!C13*Eras!C$10</f>
        <v/>
      </c>
      <c r="D11" s="11">
        <f>((Paid!D28+React!D91+Legacy!D30*Legacy!D$3)*Prices!$H$8+(Subs!D57-(Paid!D28+React!D91+Legacy!D30*Legacy!D$3))*Prices!$I$8)*FX!D13*Eras!D$10</f>
        <v/>
      </c>
      <c r="E11" s="11">
        <f>((Paid!E28+React!E91+Legacy!E30*Legacy!E$3)*Prices!$H$8+(Subs!E57-(Paid!E28+React!E91+Legacy!E30*Legacy!E$3))*Prices!$I$8)*FX!E13*Eras!E$10</f>
        <v/>
      </c>
      <c r="F11" s="11">
        <f>((Paid!F28+React!F91+Legacy!F30*Legacy!F$3)*Prices!$H$8+(Subs!F57-(Paid!F28+React!F91+Legacy!F30*Legacy!F$3))*Prices!$I$8)*FX!F13*Eras!F$10</f>
        <v/>
      </c>
      <c r="G11" s="11">
        <f>((Paid!G28+React!G91+Legacy!G30*Legacy!G$3)*Prices!$H$8+(Subs!G57-(Paid!G28+React!G91+Legacy!G30*Legacy!G$3))*Prices!$I$8)*FX!G13*Eras!G$10</f>
        <v/>
      </c>
      <c r="H11" s="11">
        <f>((Paid!H28+React!H91+Legacy!H30*Legacy!H$3)*Prices!$H$8+(Subs!H57-(Paid!H28+React!H91+Legacy!H30*Legacy!H$3))*Prices!$I$8)*FX!H13*Eras!H$10</f>
        <v/>
      </c>
      <c r="I11" s="11">
        <f>((Paid!I28+React!I91+Legacy!I30*Legacy!I$3)*Prices!$H$8+(Subs!I57-(Paid!I28+React!I91+Legacy!I30*Legacy!I$3))*Prices!$I$8)*FX!I13*Eras!I$10</f>
        <v/>
      </c>
      <c r="J11" s="11">
        <f>((Paid!J28+React!J91+Legacy!J30*Legacy!J$3)*Prices!$H$8+(Subs!J57-(Paid!J28+React!J91+Legacy!J30*Legacy!J$3))*Prices!$I$8)*FX!J13*Eras!J$10</f>
        <v/>
      </c>
      <c r="K11" s="11">
        <f>((Paid!K28+React!K91+Legacy!K30*Legacy!K$3)*Prices!$H$8+(Subs!K57-(Paid!K28+React!K91+Legacy!K30*Legacy!K$3))*Prices!$I$8)*FX!K13*Eras!K$10</f>
        <v/>
      </c>
      <c r="L11" s="11">
        <f>((Paid!L28+React!L91+Legacy!L30*Legacy!L$3)*Prices!$H$8+(Subs!L57-(Paid!L28+React!L91+Legacy!L30*Legacy!L$3))*Prices!$I$8)*FX!L13*Eras!L$10</f>
        <v/>
      </c>
      <c r="M11" s="11">
        <f>((Paid!M28+React!M91+Legacy!M30*Legacy!M$3)*Prices!$H$8+(Subs!M57-(Paid!M28+React!M91+Legacy!M30*Legacy!M$3))*Prices!$I$8)*FX!M13*Eras!M$10</f>
        <v/>
      </c>
      <c r="N11" s="11">
        <f>((Paid!N28+React!N91+Legacy!N30*Legacy!N$3)*Prices!$H$8+(Subs!N57-(Paid!N28+React!N91+Legacy!N30*Legacy!N$3))*Prices!$I$8)*FX!N13*Eras!N$10</f>
        <v/>
      </c>
      <c r="O11" s="11">
        <f>((Paid!O28+React!O91+Legacy!O30*Legacy!O$3)*Prices!$H$8+(Subs!O57-(Paid!O28+React!O91+Legacy!O30*Legacy!O$3))*Prices!$I$8)*FX!O13*Eras!O$10</f>
        <v/>
      </c>
      <c r="P11" s="11">
        <f>((Paid!P28+React!P91+Legacy!P30*Legacy!P$3)*Prices!$H$8+(Subs!P57-(Paid!P28+React!P91+Legacy!P30*Legacy!P$3))*Prices!$I$8)*FX!P13*Eras!P$10</f>
        <v/>
      </c>
      <c r="Q11" s="11">
        <f>((Paid!Q28+React!Q91+Legacy!Q30*Legacy!Q$3)*Prices!$H$8+(Subs!Q57-(Paid!Q28+React!Q91+Legacy!Q30*Legacy!Q$3))*Prices!$I$8)*FX!Q13*Eras!Q$10</f>
        <v/>
      </c>
      <c r="R11" s="11">
        <f>((Paid!R28+React!R91+Legacy!R30*Legacy!R$3)*Prices!$H$8+(Subs!R57-(Paid!R28+React!R91+Legacy!R30*Legacy!R$3))*Prices!$I$8)*FX!R13*Eras!R$10</f>
        <v/>
      </c>
      <c r="S11" s="11">
        <f>((Paid!S28+React!S91+Legacy!S30*Legacy!S$3)*Prices!$H$8+(Subs!S57-(Paid!S28+React!S91+Legacy!S30*Legacy!S$3))*Prices!$I$8)*FX!S13*Eras!S$10</f>
        <v/>
      </c>
      <c r="T11" s="11">
        <f>((Paid!T28+React!T91+Legacy!T30*Legacy!T$3)*Prices!$H$8+(Subs!T57-(Paid!T28+React!T91+Legacy!T30*Legacy!T$3))*Prices!$I$8)*FX!T13*Eras!T$10</f>
        <v/>
      </c>
      <c r="U11" s="11">
        <f>((Paid!U28+React!U91+Legacy!U30*Legacy!U$3)*Prices!$H$8+(Subs!U57-(Paid!U28+React!U91+Legacy!U30*Legacy!U$3))*Prices!$I$8)*FX!U13*Eras!U$10</f>
        <v/>
      </c>
      <c r="V11" s="11">
        <f>((Paid!V28+React!V91+Legacy!V30*Legacy!V$3)*Prices!$H$8+(Subs!V57-(Paid!V28+React!V91+Legacy!V30*Legacy!V$3))*Prices!$I$8)*FX!V13*Eras!V$10</f>
        <v/>
      </c>
      <c r="W11" s="11">
        <f>((Paid!W28+React!W91+Legacy!W30*Legacy!W$3)*Prices!$H$8+(Subs!W57-(Paid!W28+React!W91+Legacy!W30*Legacy!W$3))*Prices!$I$8)*FX!W13*Eras!W$10</f>
        <v/>
      </c>
      <c r="X11" s="11">
        <f>((Paid!X28+React!X91+Legacy!X30*Legacy!X$3)*Prices!$H$8+(Subs!X57-(Paid!X28+React!X91+Legacy!X30*Legacy!X$3))*Prices!$I$8)*FX!X13*Eras!X$10</f>
        <v/>
      </c>
      <c r="Y11" s="11">
        <f>((Paid!Y28+React!Y91+Legacy!Y30*Legacy!Y$3)*Prices!$H$8+(Subs!Y57-(Paid!Y28+React!Y91+Legacy!Y30*Legacy!Y$3))*Prices!$I$8)*FX!Y13*Eras!Y$10</f>
        <v/>
      </c>
      <c r="Z11" s="11">
        <f>((Paid!Z28+React!Z91+Legacy!Z30*Legacy!Z$3)*Prices!$H$8+(Subs!Z57-(Paid!Z28+React!Z91+Legacy!Z30*Legacy!Z$3))*Prices!$I$8)*FX!Z13*Eras!Z$10</f>
        <v/>
      </c>
      <c r="AA11" s="11">
        <f>((Paid!AA28+React!AA91+Legacy!AA30*Legacy!AA$3)*Prices!$H$8+(Subs!AA57-(Paid!AA28+React!AA91+Legacy!AA30*Legacy!AA$3))*Prices!$I$8)*FX!AA13*Eras!AA$10</f>
        <v/>
      </c>
      <c r="AB11" s="11">
        <f>((Paid!AB28+React!AB91+Legacy!AB30*Legacy!AB$3)*Prices!$H$8+(Subs!AB57-(Paid!AB28+React!AB91+Legacy!AB30*Legacy!AB$3))*Prices!$I$8)*FX!AB13*Eras!AB$10</f>
        <v/>
      </c>
      <c r="AC11" s="11">
        <f>((Paid!AC28+React!AC91+Legacy!AC30*Legacy!AC$3)*Prices!$H$8+(Subs!AC57-(Paid!AC28+React!AC91+Legacy!AC30*Legacy!AC$3))*Prices!$I$8)*FX!AC13*Eras!AC$10</f>
        <v/>
      </c>
      <c r="AD11" s="11">
        <f>((Paid!AD28+React!AD91+Legacy!AD30*Legacy!AD$3)*Prices!$H$8+(Subs!AD57-(Paid!AD28+React!AD91+Legacy!AD30*Legacy!AD$3))*Prices!$I$8)*FX!AD13*Eras!AD$10</f>
        <v/>
      </c>
      <c r="AE11" s="11">
        <f>((Paid!AE28+React!AE91+Legacy!AE30*Legacy!AE$3)*Prices!$H$8+(Subs!AE57-(Paid!AE28+React!AE91+Legacy!AE30*Legacy!AE$3))*Prices!$I$8)*FX!AE13*Eras!AE$10</f>
        <v/>
      </c>
      <c r="AF11" s="11">
        <f>((Paid!AF28+React!AF91+Legacy!AF30*Legacy!AF$3)*Prices!$H$8+(Subs!AF57-(Paid!AF28+React!AF91+Legacy!AF30*Legacy!AF$3))*Prices!$I$8)*FX!AF13*Eras!AF$10</f>
        <v/>
      </c>
      <c r="AG11" s="11">
        <f>((Paid!AG28+React!AG91+Legacy!AG30*Legacy!AG$3)*Prices!$H$8+(Subs!AG57-(Paid!AG28+React!AG91+Legacy!AG30*Legacy!AG$3))*Prices!$I$8)*FX!AG13*Eras!AG$10</f>
        <v/>
      </c>
      <c r="AH11" s="11">
        <f>((Paid!AH28+React!AH91+Legacy!AH30*Legacy!AH$3)*Prices!$H$8+(Subs!AH57-(Paid!AH28+React!AH91+Legacy!AH30*Legacy!AH$3))*Prices!$I$8)*FX!AH13*Eras!AH$10</f>
        <v/>
      </c>
      <c r="AI11" s="11">
        <f>((Paid!AI28+React!AI91+Legacy!AI30*Legacy!AI$3)*Prices!$H$8+(Subs!AI57-(Paid!AI28+React!AI91+Legacy!AI30*Legacy!AI$3))*Prices!$I$8)*FX!AI13*Eras!AI$10</f>
        <v/>
      </c>
      <c r="AJ11" s="11">
        <f>((Paid!AJ28+React!AJ91+Legacy!AJ30*Legacy!AJ$3)*Prices!$H$8+(Subs!AJ57-(Paid!AJ28+React!AJ91+Legacy!AJ30*Legacy!AJ$3))*Prices!$I$8)*FX!AJ13*Eras!AJ$10</f>
        <v/>
      </c>
      <c r="AK11" s="11">
        <f>((Paid!AK28+React!AK91+Legacy!AK30*Legacy!AK$3)*Prices!$H$8+(Subs!AK57-(Paid!AK28+React!AK91+Legacy!AK30*Legacy!AK$3))*Prices!$I$8)*FX!AK13*Eras!AK$10</f>
        <v/>
      </c>
      <c r="AL11" s="11">
        <f>((Paid!AL28+React!AL91+Legacy!AL30*Legacy!AL$3)*Prices!$H$8+(Subs!AL57-(Paid!AL28+React!AL91+Legacy!AL30*Legacy!AL$3))*Prices!$I$8)*FX!AL13*Eras!AL$10</f>
        <v/>
      </c>
      <c r="AM11" s="11">
        <f>((Paid!AM28+React!AM91+Legacy!AM30*Legacy!AM$3)*Prices!$H$8+(Subs!AM57-(Paid!AM28+React!AM91+Legacy!AM30*Legacy!AM$3))*Prices!$I$8)*FX!AM13*Eras!AM$10</f>
        <v/>
      </c>
      <c r="AN11" s="11">
        <f>((Paid!AN28+React!AN91+Legacy!AN30*Legacy!AN$3)*Prices!$H$8+(Subs!AN57-(Paid!AN28+React!AN91+Legacy!AN30*Legacy!AN$3))*Prices!$I$8)*FX!AN13*Eras!AN$10</f>
        <v/>
      </c>
      <c r="AO11" s="11">
        <f>((Paid!AO28+React!AO91+Legacy!AO30*Legacy!AO$3)*Prices!$H$8+(Subs!AO57-(Paid!AO28+React!AO91+Legacy!AO30*Legacy!AO$3))*Prices!$I$8)*FX!AO13*Eras!AO$10</f>
        <v/>
      </c>
      <c r="AP11" s="11">
        <f>((Paid!AP28+React!AP91+Legacy!AP30*Legacy!AP$3)*Prices!$H$8+(Subs!AP57-(Paid!AP28+React!AP91+Legacy!AP30*Legacy!AP$3))*Prices!$I$8)*FX!AP13*Eras!AP$10</f>
        <v/>
      </c>
      <c r="AQ11" s="11">
        <f>((Paid!AQ28+React!AQ91+Legacy!AQ30*Legacy!AQ$3)*Prices!$H$8+(Subs!AQ57-(Paid!AQ28+React!AQ91+Legacy!AQ30*Legacy!AQ$3))*Prices!$I$8)*FX!AQ13*Eras!AQ$10</f>
        <v/>
      </c>
      <c r="AR11" s="11">
        <f>((Paid!AR28+React!AR91+Legacy!AR30*Legacy!AR$3)*Prices!$H$8+(Subs!AR57-(Paid!AR28+React!AR91+Legacy!AR30*Legacy!AR$3))*Prices!$I$8)*FX!AR13*Eras!AR$10</f>
        <v/>
      </c>
      <c r="AS11" s="11">
        <f>((Paid!AS28+React!AS91+Legacy!AS30*Legacy!AS$3)*Prices!$H$8+(Subs!AS57-(Paid!AS28+React!AS91+Legacy!AS30*Legacy!AS$3))*Prices!$I$8)*FX!AS13*Eras!AS$10</f>
        <v/>
      </c>
      <c r="AT11" s="11">
        <f>((Paid!AT28+React!AT91+Legacy!AT30*Legacy!AT$3)*Prices!$H$8+(Subs!AT57-(Paid!AT28+React!AT91+Legacy!AT30*Legacy!AT$3))*Prices!$I$8)*FX!AT13*Eras!AT$10</f>
        <v/>
      </c>
      <c r="AU11" s="11">
        <f>((Paid!AU28+React!AU91+Legacy!AU30*Legacy!AU$3)*Prices!$H$8+(Subs!AU57-(Paid!AU28+React!AU91+Legacy!AU30*Legacy!AU$3))*Prices!$I$8)*FX!AU13*Eras!AU$10</f>
        <v/>
      </c>
      <c r="AV11" s="11">
        <f>((Paid!AV28+React!AV91+Legacy!AV30*Legacy!AV$3)*Prices!$H$8+(Subs!AV57-(Paid!AV28+React!AV91+Legacy!AV30*Legacy!AV$3))*Prices!$I$8)*FX!AV13*Eras!AV$10</f>
        <v/>
      </c>
      <c r="AW11" s="11">
        <f>((Paid!AW28+React!AW91+Legacy!AW30*Legacy!AW$3)*Prices!$H$8+(Subs!AW57-(Paid!AW28+React!AW91+Legacy!AW30*Legacy!AW$3))*Prices!$I$8)*FX!AW13*Eras!AW$10</f>
        <v/>
      </c>
      <c r="AX11" s="11">
        <f>((Paid!AX28+React!AX91+Legacy!AX30*Legacy!AX$3)*Prices!$H$8+(Subs!AX57-(Paid!AX28+React!AX91+Legacy!AX30*Legacy!AX$3))*Prices!$I$8)*FX!AX13*Eras!AX$10</f>
        <v/>
      </c>
      <c r="AY11" s="11">
        <f>((Paid!AY28+React!AY91+Legacy!AY30*Legacy!AY$3)*Prices!$H$8+(Subs!AY57-(Paid!AY28+React!AY91+Legacy!AY30*Legacy!AY$3))*Prices!$I$8)*FX!AY13*Eras!AY$10</f>
        <v/>
      </c>
      <c r="AZ11" s="11">
        <f>((Paid!AZ28+React!AZ91+Legacy!AZ30*Legacy!AZ$3)*Prices!$H$8+(Subs!AZ57-(Paid!AZ28+React!AZ91+Legacy!AZ30*Legacy!AZ$3))*Prices!$I$8)*FX!AZ13*Eras!AZ$10</f>
        <v/>
      </c>
      <c r="BA11" s="11">
        <f>((Paid!BA28+React!BA91+Legacy!BA30*Legacy!BA$3)*Prices!$H$8+(Subs!BA57-(Paid!BA28+React!BA91+Legacy!BA30*Legacy!BA$3))*Prices!$I$8)*FX!BA13*Eras!BA$10</f>
        <v/>
      </c>
      <c r="BB11" s="11">
        <f>((Paid!BB28+React!BB91+Legacy!BB30*Legacy!BB$3)*Prices!$H$8+(Subs!BB57-(Paid!BB28+React!BB91+Legacy!BB30*Legacy!BB$3))*Prices!$I$8)*FX!BB13*Eras!BB$10</f>
        <v/>
      </c>
      <c r="BC11" s="11">
        <f>((Paid!BC28+React!BC91+Legacy!BC30*Legacy!BC$3)*Prices!$H$8+(Subs!BC57-(Paid!BC28+React!BC91+Legacy!BC30*Legacy!BC$3))*Prices!$I$8)*FX!BC13*Eras!BC$10</f>
        <v/>
      </c>
      <c r="BD11" s="11">
        <f>((Paid!BD28+React!BD91+Legacy!BD30*Legacy!BD$3)*Prices!$H$8+(Subs!BD57-(Paid!BD28+React!BD91+Legacy!BD30*Legacy!BD$3))*Prices!$I$8)*FX!BD13*Eras!BD$10</f>
        <v/>
      </c>
      <c r="BE11" s="11">
        <f>((Paid!BE28+React!BE91+Legacy!BE30*Legacy!BE$3)*Prices!$H$8+(Subs!BE57-(Paid!BE28+React!BE91+Legacy!BE30*Legacy!BE$3))*Prices!$I$8)*FX!BE13*Eras!BE$10</f>
        <v/>
      </c>
      <c r="BF11" s="11">
        <f>((Paid!BF28+React!BF91+Legacy!BF30*Legacy!BF$3)*Prices!$H$8+(Subs!BF57-(Paid!BF28+React!BF91+Legacy!BF30*Legacy!BF$3))*Prices!$I$8)*FX!BF13*Eras!BF$10</f>
        <v/>
      </c>
      <c r="BG11" s="11">
        <f>((Paid!BG28+React!BG91+Legacy!BG30*Legacy!BG$3)*Prices!$H$8+(Subs!BG57-(Paid!BG28+React!BG91+Legacy!BG30*Legacy!BG$3))*Prices!$I$8)*FX!BG13*Eras!BG$10</f>
        <v/>
      </c>
      <c r="BH11" s="11">
        <f>((Paid!BH28+React!BH91+Legacy!BH30*Legacy!BH$3)*Prices!$H$8+(Subs!BH57-(Paid!BH28+React!BH91+Legacy!BH30*Legacy!BH$3))*Prices!$I$8)*FX!BH13*Eras!BH$10</f>
        <v/>
      </c>
      <c r="BI11" s="11">
        <f>((Paid!BI28+React!BI91+Legacy!BI30*Legacy!BI$3)*Prices!$H$8+(Subs!BI57-(Paid!BI28+React!BI91+Legacy!BI30*Legacy!BI$3))*Prices!$I$8)*FX!BI13*Eras!BI$10</f>
        <v/>
      </c>
      <c r="BJ11" s="11">
        <f>((Paid!BJ28+React!BJ91+Legacy!BJ30*Legacy!BJ$3)*Prices!$H$8+(Subs!BJ57-(Paid!BJ28+React!BJ91+Legacy!BJ30*Legacy!BJ$3))*Prices!$I$8)*FX!BJ13*Eras!BJ$10</f>
        <v/>
      </c>
      <c r="BK11" s="11">
        <f>((Paid!BK28+React!BK91+Legacy!BK30*Legacy!BK$3)*Prices!$H$8+(Subs!BK57-(Paid!BK28+React!BK91+Legacy!BK30*Legacy!BK$3))*Prices!$I$8)*FX!BK13*Eras!BK$10</f>
        <v/>
      </c>
      <c r="BL11" s="11">
        <f>((Paid!BL28+React!BL91+Legacy!BL30*Legacy!BL$3)*Prices!$H$8+(Subs!BL57-(Paid!BL28+React!BL91+Legacy!BL30*Legacy!BL$3))*Prices!$I$8)*FX!BL13*Eras!BL$10</f>
        <v/>
      </c>
      <c r="BM11" s="11">
        <f>((Paid!BM28+React!BM91+Legacy!BM30*Legacy!BM$3)*Prices!$H$8+(Subs!BM57-(Paid!BM28+React!BM91+Legacy!BM30*Legacy!BM$3))*Prices!$I$8)*FX!BM13*Eras!BM$10</f>
        <v/>
      </c>
      <c r="BN11" s="11">
        <f>((Paid!BN28+React!BN91+Legacy!BN30*Legacy!BN$3)*Prices!$H$8+(Subs!BN57-(Paid!BN28+React!BN91+Legacy!BN30*Legacy!BN$3))*Prices!$I$8)*FX!BN13*Eras!BN$10</f>
        <v/>
      </c>
      <c r="BO11" s="11">
        <f>((Paid!BO28+React!BO91+Legacy!BO30*Legacy!BO$3)*Prices!$H$8+(Subs!BO57-(Paid!BO28+React!BO91+Legacy!BO30*Legacy!BO$3))*Prices!$I$8)*FX!BO13*Eras!BO$10</f>
        <v/>
      </c>
      <c r="BP11" s="11">
        <f>((Paid!BP28+React!BP91+Legacy!BP30*Legacy!BP$3)*Prices!$H$8+(Subs!BP57-(Paid!BP28+React!BP91+Legacy!BP30*Legacy!BP$3))*Prices!$I$8)*FX!BP13*Eras!BP$10</f>
        <v/>
      </c>
      <c r="BQ11" s="11">
        <f>((Paid!BQ28+React!BQ91+Legacy!BQ30*Legacy!BQ$3)*Prices!$H$8+(Subs!BQ57-(Paid!BQ28+React!BQ91+Legacy!BQ30*Legacy!BQ$3))*Prices!$I$8)*FX!BQ13*Eras!BQ$10</f>
        <v/>
      </c>
      <c r="BR11" s="11">
        <f>((Paid!BR28+React!BR91+Legacy!BR30*Legacy!BR$3)*Prices!$H$8+(Subs!BR57-(Paid!BR28+React!BR91+Legacy!BR30*Legacy!BR$3))*Prices!$I$8)*FX!BR13*Eras!BR$10</f>
        <v/>
      </c>
      <c r="BS11" s="11">
        <f>((Paid!BS28+React!BS91+Legacy!BS30*Legacy!BS$3)*Prices!$H$8+(Subs!BS57-(Paid!BS28+React!BS91+Legacy!BS30*Legacy!BS$3))*Prices!$I$8)*FX!BS13*Eras!BS$10</f>
        <v/>
      </c>
      <c r="BT11" s="11">
        <f>((Paid!BT28+React!BT91+Legacy!BT30*Legacy!BT$3)*Prices!$H$8+(Subs!BT57-(Paid!BT28+React!BT91+Legacy!BT30*Legacy!BT$3))*Prices!$I$8)*FX!BT13*Eras!BT$10</f>
        <v/>
      </c>
      <c r="BU11" s="11">
        <f>((Paid!BU28+React!BU91+Legacy!BU30*Legacy!BU$3)*Prices!$H$8+(Subs!BU57-(Paid!BU28+React!BU91+Legacy!BU30*Legacy!BU$3))*Prices!$I$8)*FX!BU13*Eras!BU$10</f>
        <v/>
      </c>
      <c r="BV11" s="11">
        <f>((Paid!BV28+React!BV91+Legacy!BV30*Legacy!BV$3)*Prices!$H$8+(Subs!BV57-(Paid!BV28+React!BV91+Legacy!BV30*Legacy!BV$3))*Prices!$I$8)*FX!BV13*Eras!BV$10</f>
        <v/>
      </c>
    </row>
    <row r="12">
      <c r="A12" t="inlineStr">
        <is>
          <t>net revenue $</t>
        </is>
      </c>
      <c r="B12" t="inlineStr">
        <is>
          <t>EUROPE|BASIC_A</t>
        </is>
      </c>
      <c r="C12" s="11">
        <f>((Paid!C32+React!C104+Legacy!C34*Legacy!C$3)*Prices!$H$9+(Subs!C64-(Paid!C32+React!C104+Legacy!C34*Legacy!C$3))*Prices!$I$9)*FX!C13*Eras!C$10</f>
        <v/>
      </c>
      <c r="D12" s="11">
        <f>((Paid!D32+React!D104+Legacy!D34*Legacy!D$3)*Prices!$H$9+(Subs!D64-(Paid!D32+React!D104+Legacy!D34*Legacy!D$3))*Prices!$I$9)*FX!D13*Eras!D$10</f>
        <v/>
      </c>
      <c r="E12" s="11">
        <f>((Paid!E32+React!E104+Legacy!E34*Legacy!E$3)*Prices!$H$9+(Subs!E64-(Paid!E32+React!E104+Legacy!E34*Legacy!E$3))*Prices!$I$9)*FX!E13*Eras!E$10</f>
        <v/>
      </c>
      <c r="F12" s="11">
        <f>((Paid!F32+React!F104+Legacy!F34*Legacy!F$3)*Prices!$H$9+(Subs!F64-(Paid!F32+React!F104+Legacy!F34*Legacy!F$3))*Prices!$I$9)*FX!F13*Eras!F$10</f>
        <v/>
      </c>
      <c r="G12" s="11">
        <f>((Paid!G32+React!G104+Legacy!G34*Legacy!G$3)*Prices!$H$9+(Subs!G64-(Paid!G32+React!G104+Legacy!G34*Legacy!G$3))*Prices!$I$9)*FX!G13*Eras!G$10</f>
        <v/>
      </c>
      <c r="H12" s="11">
        <f>((Paid!H32+React!H104+Legacy!H34*Legacy!H$3)*Prices!$H$9+(Subs!H64-(Paid!H32+React!H104+Legacy!H34*Legacy!H$3))*Prices!$I$9)*FX!H13*Eras!H$10</f>
        <v/>
      </c>
      <c r="I12" s="11">
        <f>((Paid!I32+React!I104+Legacy!I34*Legacy!I$3)*Prices!$H$9+(Subs!I64-(Paid!I32+React!I104+Legacy!I34*Legacy!I$3))*Prices!$I$9)*FX!I13*Eras!I$10</f>
        <v/>
      </c>
      <c r="J12" s="11">
        <f>((Paid!J32+React!J104+Legacy!J34*Legacy!J$3)*Prices!$H$9+(Subs!J64-(Paid!J32+React!J104+Legacy!J34*Legacy!J$3))*Prices!$I$9)*FX!J13*Eras!J$10</f>
        <v/>
      </c>
      <c r="K12" s="11">
        <f>((Paid!K32+React!K104+Legacy!K34*Legacy!K$3)*Prices!$H$9+(Subs!K64-(Paid!K32+React!K104+Legacy!K34*Legacy!K$3))*Prices!$I$9)*FX!K13*Eras!K$10</f>
        <v/>
      </c>
      <c r="L12" s="11">
        <f>((Paid!L32+React!L104+Legacy!L34*Legacy!L$3)*Prices!$H$9+(Subs!L64-(Paid!L32+React!L104+Legacy!L34*Legacy!L$3))*Prices!$I$9)*FX!L13*Eras!L$10</f>
        <v/>
      </c>
      <c r="M12" s="11">
        <f>((Paid!M32+React!M104+Legacy!M34*Legacy!M$3)*Prices!$H$9+(Subs!M64-(Paid!M32+React!M104+Legacy!M34*Legacy!M$3))*Prices!$I$9)*FX!M13*Eras!M$10</f>
        <v/>
      </c>
      <c r="N12" s="11">
        <f>((Paid!N32+React!N104+Legacy!N34*Legacy!N$3)*Prices!$H$9+(Subs!N64-(Paid!N32+React!N104+Legacy!N34*Legacy!N$3))*Prices!$I$9)*FX!N13*Eras!N$10</f>
        <v/>
      </c>
      <c r="O12" s="11">
        <f>((Paid!O32+React!O104+Legacy!O34*Legacy!O$3)*Prices!$H$9+(Subs!O64-(Paid!O32+React!O104+Legacy!O34*Legacy!O$3))*Prices!$I$9)*FX!O13*Eras!O$10</f>
        <v/>
      </c>
      <c r="P12" s="11">
        <f>((Paid!P32+React!P104+Legacy!P34*Legacy!P$3)*Prices!$H$9+(Subs!P64-(Paid!P32+React!P104+Legacy!P34*Legacy!P$3))*Prices!$I$9)*FX!P13*Eras!P$10</f>
        <v/>
      </c>
      <c r="Q12" s="11">
        <f>((Paid!Q32+React!Q104+Legacy!Q34*Legacy!Q$3)*Prices!$H$9+(Subs!Q64-(Paid!Q32+React!Q104+Legacy!Q34*Legacy!Q$3))*Prices!$I$9)*FX!Q13*Eras!Q$10</f>
        <v/>
      </c>
      <c r="R12" s="11">
        <f>((Paid!R32+React!R104+Legacy!R34*Legacy!R$3)*Prices!$H$9+(Subs!R64-(Paid!R32+React!R104+Legacy!R34*Legacy!R$3))*Prices!$I$9)*FX!R13*Eras!R$10</f>
        <v/>
      </c>
      <c r="S12" s="11">
        <f>((Paid!S32+React!S104+Legacy!S34*Legacy!S$3)*Prices!$H$9+(Subs!S64-(Paid!S32+React!S104+Legacy!S34*Legacy!S$3))*Prices!$I$9)*FX!S13*Eras!S$10</f>
        <v/>
      </c>
      <c r="T12" s="11">
        <f>((Paid!T32+React!T104+Legacy!T34*Legacy!T$3)*Prices!$H$9+(Subs!T64-(Paid!T32+React!T104+Legacy!T34*Legacy!T$3))*Prices!$I$9)*FX!T13*Eras!T$10</f>
        <v/>
      </c>
      <c r="U12" s="11">
        <f>((Paid!U32+React!U104+Legacy!U34*Legacy!U$3)*Prices!$H$9+(Subs!U64-(Paid!U32+React!U104+Legacy!U34*Legacy!U$3))*Prices!$I$9)*FX!U13*Eras!U$10</f>
        <v/>
      </c>
      <c r="V12" s="11">
        <f>((Paid!V32+React!V104+Legacy!V34*Legacy!V$3)*Prices!$H$9+(Subs!V64-(Paid!V32+React!V104+Legacy!V34*Legacy!V$3))*Prices!$I$9)*FX!V13*Eras!V$10</f>
        <v/>
      </c>
      <c r="W12" s="11">
        <f>((Paid!W32+React!W104+Legacy!W34*Legacy!W$3)*Prices!$H$9+(Subs!W64-(Paid!W32+React!W104+Legacy!W34*Legacy!W$3))*Prices!$I$9)*FX!W13*Eras!W$10</f>
        <v/>
      </c>
      <c r="X12" s="11">
        <f>((Paid!X32+React!X104+Legacy!X34*Legacy!X$3)*Prices!$H$9+(Subs!X64-(Paid!X32+React!X104+Legacy!X34*Legacy!X$3))*Prices!$I$9)*FX!X13*Eras!X$10</f>
        <v/>
      </c>
      <c r="Y12" s="11">
        <f>((Paid!Y32+React!Y104+Legacy!Y34*Legacy!Y$3)*Prices!$H$9+(Subs!Y64-(Paid!Y32+React!Y104+Legacy!Y34*Legacy!Y$3))*Prices!$I$9)*FX!Y13*Eras!Y$10</f>
        <v/>
      </c>
      <c r="Z12" s="11">
        <f>((Paid!Z32+React!Z104+Legacy!Z34*Legacy!Z$3)*Prices!$H$9+(Subs!Z64-(Paid!Z32+React!Z104+Legacy!Z34*Legacy!Z$3))*Prices!$I$9)*FX!Z13*Eras!Z$10</f>
        <v/>
      </c>
      <c r="AA12" s="11">
        <f>((Paid!AA32+React!AA104+Legacy!AA34*Legacy!AA$3)*Prices!$H$9+(Subs!AA64-(Paid!AA32+React!AA104+Legacy!AA34*Legacy!AA$3))*Prices!$I$9)*FX!AA13*Eras!AA$10</f>
        <v/>
      </c>
      <c r="AB12" s="11">
        <f>((Paid!AB32+React!AB104+Legacy!AB34*Legacy!AB$3)*Prices!$H$9+(Subs!AB64-(Paid!AB32+React!AB104+Legacy!AB34*Legacy!AB$3))*Prices!$I$9)*FX!AB13*Eras!AB$10</f>
        <v/>
      </c>
      <c r="AC12" s="11">
        <f>((Paid!AC32+React!AC104+Legacy!AC34*Legacy!AC$3)*Prices!$H$9+(Subs!AC64-(Paid!AC32+React!AC104+Legacy!AC34*Legacy!AC$3))*Prices!$I$9)*FX!AC13*Eras!AC$10</f>
        <v/>
      </c>
      <c r="AD12" s="11">
        <f>((Paid!AD32+React!AD104+Legacy!AD34*Legacy!AD$3)*Prices!$H$9+(Subs!AD64-(Paid!AD32+React!AD104+Legacy!AD34*Legacy!AD$3))*Prices!$I$9)*FX!AD13*Eras!AD$10</f>
        <v/>
      </c>
      <c r="AE12" s="11">
        <f>((Paid!AE32+React!AE104+Legacy!AE34*Legacy!AE$3)*Prices!$H$9+(Subs!AE64-(Paid!AE32+React!AE104+Legacy!AE34*Legacy!AE$3))*Prices!$I$9)*FX!AE13*Eras!AE$10</f>
        <v/>
      </c>
      <c r="AF12" s="11">
        <f>((Paid!AF32+React!AF104+Legacy!AF34*Legacy!AF$3)*Prices!$H$9+(Subs!AF64-(Paid!AF32+React!AF104+Legacy!AF34*Legacy!AF$3))*Prices!$I$9)*FX!AF13*Eras!AF$10</f>
        <v/>
      </c>
      <c r="AG12" s="11">
        <f>((Paid!AG32+React!AG104+Legacy!AG34*Legacy!AG$3)*Prices!$H$9+(Subs!AG64-(Paid!AG32+React!AG104+Legacy!AG34*Legacy!AG$3))*Prices!$I$9)*FX!AG13*Eras!AG$10</f>
        <v/>
      </c>
      <c r="AH12" s="11">
        <f>((Paid!AH32+React!AH104+Legacy!AH34*Legacy!AH$3)*Prices!$H$9+(Subs!AH64-(Paid!AH32+React!AH104+Legacy!AH34*Legacy!AH$3))*Prices!$I$9)*FX!AH13*Eras!AH$10</f>
        <v/>
      </c>
      <c r="AI12" s="11">
        <f>((Paid!AI32+React!AI104+Legacy!AI34*Legacy!AI$3)*Prices!$H$9+(Subs!AI64-(Paid!AI32+React!AI104+Legacy!AI34*Legacy!AI$3))*Prices!$I$9)*FX!AI13*Eras!AI$10</f>
        <v/>
      </c>
      <c r="AJ12" s="11">
        <f>((Paid!AJ32+React!AJ104+Legacy!AJ34*Legacy!AJ$3)*Prices!$H$9+(Subs!AJ64-(Paid!AJ32+React!AJ104+Legacy!AJ34*Legacy!AJ$3))*Prices!$I$9)*FX!AJ13*Eras!AJ$10</f>
        <v/>
      </c>
      <c r="AK12" s="11">
        <f>((Paid!AK32+React!AK104+Legacy!AK34*Legacy!AK$3)*Prices!$H$9+(Subs!AK64-(Paid!AK32+React!AK104+Legacy!AK34*Legacy!AK$3))*Prices!$I$9)*FX!AK13*Eras!AK$10</f>
        <v/>
      </c>
      <c r="AL12" s="11">
        <f>((Paid!AL32+React!AL104+Legacy!AL34*Legacy!AL$3)*Prices!$H$9+(Subs!AL64-(Paid!AL32+React!AL104+Legacy!AL34*Legacy!AL$3))*Prices!$I$9)*FX!AL13*Eras!AL$10</f>
        <v/>
      </c>
      <c r="AM12" s="11">
        <f>((Paid!AM32+React!AM104+Legacy!AM34*Legacy!AM$3)*Prices!$H$9+(Subs!AM64-(Paid!AM32+React!AM104+Legacy!AM34*Legacy!AM$3))*Prices!$I$9)*FX!AM13*Eras!AM$10</f>
        <v/>
      </c>
      <c r="AN12" s="11">
        <f>((Paid!AN32+React!AN104+Legacy!AN34*Legacy!AN$3)*Prices!$H$9+(Subs!AN64-(Paid!AN32+React!AN104+Legacy!AN34*Legacy!AN$3))*Prices!$I$9)*FX!AN13*Eras!AN$10</f>
        <v/>
      </c>
      <c r="AO12" s="11">
        <f>((Paid!AO32+React!AO104+Legacy!AO34*Legacy!AO$3)*Prices!$H$9+(Subs!AO64-(Paid!AO32+React!AO104+Legacy!AO34*Legacy!AO$3))*Prices!$I$9)*FX!AO13*Eras!AO$10</f>
        <v/>
      </c>
      <c r="AP12" s="11">
        <f>((Paid!AP32+React!AP104+Legacy!AP34*Legacy!AP$3)*Prices!$H$9+(Subs!AP64-(Paid!AP32+React!AP104+Legacy!AP34*Legacy!AP$3))*Prices!$I$9)*FX!AP13*Eras!AP$10</f>
        <v/>
      </c>
      <c r="AQ12" s="11">
        <f>((Paid!AQ32+React!AQ104+Legacy!AQ34*Legacy!AQ$3)*Prices!$H$9+(Subs!AQ64-(Paid!AQ32+React!AQ104+Legacy!AQ34*Legacy!AQ$3))*Prices!$I$9)*FX!AQ13*Eras!AQ$10</f>
        <v/>
      </c>
      <c r="AR12" s="11">
        <f>((Paid!AR32+React!AR104+Legacy!AR34*Legacy!AR$3)*Prices!$H$9+(Subs!AR64-(Paid!AR32+React!AR104+Legacy!AR34*Legacy!AR$3))*Prices!$I$9)*FX!AR13*Eras!AR$10</f>
        <v/>
      </c>
      <c r="AS12" s="11">
        <f>((Paid!AS32+React!AS104+Legacy!AS34*Legacy!AS$3)*Prices!$H$9+(Subs!AS64-(Paid!AS32+React!AS104+Legacy!AS34*Legacy!AS$3))*Prices!$I$9)*FX!AS13*Eras!AS$10</f>
        <v/>
      </c>
      <c r="AT12" s="11">
        <f>((Paid!AT32+React!AT104+Legacy!AT34*Legacy!AT$3)*Prices!$H$9+(Subs!AT64-(Paid!AT32+React!AT104+Legacy!AT34*Legacy!AT$3))*Prices!$I$9)*FX!AT13*Eras!AT$10</f>
        <v/>
      </c>
      <c r="AU12" s="11">
        <f>((Paid!AU32+React!AU104+Legacy!AU34*Legacy!AU$3)*Prices!$H$9+(Subs!AU64-(Paid!AU32+React!AU104+Legacy!AU34*Legacy!AU$3))*Prices!$I$9)*FX!AU13*Eras!AU$10</f>
        <v/>
      </c>
      <c r="AV12" s="11">
        <f>((Paid!AV32+React!AV104+Legacy!AV34*Legacy!AV$3)*Prices!$H$9+(Subs!AV64-(Paid!AV32+React!AV104+Legacy!AV34*Legacy!AV$3))*Prices!$I$9)*FX!AV13*Eras!AV$10</f>
        <v/>
      </c>
      <c r="AW12" s="11">
        <f>((Paid!AW32+React!AW104+Legacy!AW34*Legacy!AW$3)*Prices!$H$9+(Subs!AW64-(Paid!AW32+React!AW104+Legacy!AW34*Legacy!AW$3))*Prices!$I$9)*FX!AW13*Eras!AW$10</f>
        <v/>
      </c>
      <c r="AX12" s="11">
        <f>((Paid!AX32+React!AX104+Legacy!AX34*Legacy!AX$3)*Prices!$H$9+(Subs!AX64-(Paid!AX32+React!AX104+Legacy!AX34*Legacy!AX$3))*Prices!$I$9)*FX!AX13*Eras!AX$10</f>
        <v/>
      </c>
      <c r="AY12" s="11">
        <f>((Paid!AY32+React!AY104+Legacy!AY34*Legacy!AY$3)*Prices!$H$9+(Subs!AY64-(Paid!AY32+React!AY104+Legacy!AY34*Legacy!AY$3))*Prices!$I$9)*FX!AY13*Eras!AY$10</f>
        <v/>
      </c>
      <c r="AZ12" s="11">
        <f>((Paid!AZ32+React!AZ104+Legacy!AZ34*Legacy!AZ$3)*Prices!$H$9+(Subs!AZ64-(Paid!AZ32+React!AZ104+Legacy!AZ34*Legacy!AZ$3))*Prices!$I$9)*FX!AZ13*Eras!AZ$10</f>
        <v/>
      </c>
      <c r="BA12" s="11">
        <f>((Paid!BA32+React!BA104+Legacy!BA34*Legacy!BA$3)*Prices!$H$9+(Subs!BA64-(Paid!BA32+React!BA104+Legacy!BA34*Legacy!BA$3))*Prices!$I$9)*FX!BA13*Eras!BA$10</f>
        <v/>
      </c>
      <c r="BB12" s="11">
        <f>((Paid!BB32+React!BB104+Legacy!BB34*Legacy!BB$3)*Prices!$H$9+(Subs!BB64-(Paid!BB32+React!BB104+Legacy!BB34*Legacy!BB$3))*Prices!$I$9)*FX!BB13*Eras!BB$10</f>
        <v/>
      </c>
      <c r="BC12" s="11">
        <f>((Paid!BC32+React!BC104+Legacy!BC34*Legacy!BC$3)*Prices!$H$9+(Subs!BC64-(Paid!BC32+React!BC104+Legacy!BC34*Legacy!BC$3))*Prices!$I$9)*FX!BC13*Eras!BC$10</f>
        <v/>
      </c>
      <c r="BD12" s="11">
        <f>((Paid!BD32+React!BD104+Legacy!BD34*Legacy!BD$3)*Prices!$H$9+(Subs!BD64-(Paid!BD32+React!BD104+Legacy!BD34*Legacy!BD$3))*Prices!$I$9)*FX!BD13*Eras!BD$10</f>
        <v/>
      </c>
      <c r="BE12" s="11">
        <f>((Paid!BE32+React!BE104+Legacy!BE34*Legacy!BE$3)*Prices!$H$9+(Subs!BE64-(Paid!BE32+React!BE104+Legacy!BE34*Legacy!BE$3))*Prices!$I$9)*FX!BE13*Eras!BE$10</f>
        <v/>
      </c>
      <c r="BF12" s="11">
        <f>((Paid!BF32+React!BF104+Legacy!BF34*Legacy!BF$3)*Prices!$H$9+(Subs!BF64-(Paid!BF32+React!BF104+Legacy!BF34*Legacy!BF$3))*Prices!$I$9)*FX!BF13*Eras!BF$10</f>
        <v/>
      </c>
      <c r="BG12" s="11">
        <f>((Paid!BG32+React!BG104+Legacy!BG34*Legacy!BG$3)*Prices!$H$9+(Subs!BG64-(Paid!BG32+React!BG104+Legacy!BG34*Legacy!BG$3))*Prices!$I$9)*FX!BG13*Eras!BG$10</f>
        <v/>
      </c>
      <c r="BH12" s="11">
        <f>((Paid!BH32+React!BH104+Legacy!BH34*Legacy!BH$3)*Prices!$H$9+(Subs!BH64-(Paid!BH32+React!BH104+Legacy!BH34*Legacy!BH$3))*Prices!$I$9)*FX!BH13*Eras!BH$10</f>
        <v/>
      </c>
      <c r="BI12" s="11">
        <f>((Paid!BI32+React!BI104+Legacy!BI34*Legacy!BI$3)*Prices!$H$9+(Subs!BI64-(Paid!BI32+React!BI104+Legacy!BI34*Legacy!BI$3))*Prices!$I$9)*FX!BI13*Eras!BI$10</f>
        <v/>
      </c>
      <c r="BJ12" s="11">
        <f>((Paid!BJ32+React!BJ104+Legacy!BJ34*Legacy!BJ$3)*Prices!$H$9+(Subs!BJ64-(Paid!BJ32+React!BJ104+Legacy!BJ34*Legacy!BJ$3))*Prices!$I$9)*FX!BJ13*Eras!BJ$10</f>
        <v/>
      </c>
      <c r="BK12" s="11">
        <f>((Paid!BK32+React!BK104+Legacy!BK34*Legacy!BK$3)*Prices!$H$9+(Subs!BK64-(Paid!BK32+React!BK104+Legacy!BK34*Legacy!BK$3))*Prices!$I$9)*FX!BK13*Eras!BK$10</f>
        <v/>
      </c>
      <c r="BL12" s="11">
        <f>((Paid!BL32+React!BL104+Legacy!BL34*Legacy!BL$3)*Prices!$H$9+(Subs!BL64-(Paid!BL32+React!BL104+Legacy!BL34*Legacy!BL$3))*Prices!$I$9)*FX!BL13*Eras!BL$10</f>
        <v/>
      </c>
      <c r="BM12" s="11">
        <f>((Paid!BM32+React!BM104+Legacy!BM34*Legacy!BM$3)*Prices!$H$9+(Subs!BM64-(Paid!BM32+React!BM104+Legacy!BM34*Legacy!BM$3))*Prices!$I$9)*FX!BM13*Eras!BM$10</f>
        <v/>
      </c>
      <c r="BN12" s="11">
        <f>((Paid!BN32+React!BN104+Legacy!BN34*Legacy!BN$3)*Prices!$H$9+(Subs!BN64-(Paid!BN32+React!BN104+Legacy!BN34*Legacy!BN$3))*Prices!$I$9)*FX!BN13*Eras!BN$10</f>
        <v/>
      </c>
      <c r="BO12" s="11">
        <f>((Paid!BO32+React!BO104+Legacy!BO34*Legacy!BO$3)*Prices!$H$9+(Subs!BO64-(Paid!BO32+React!BO104+Legacy!BO34*Legacy!BO$3))*Prices!$I$9)*FX!BO13*Eras!BO$10</f>
        <v/>
      </c>
      <c r="BP12" s="11">
        <f>((Paid!BP32+React!BP104+Legacy!BP34*Legacy!BP$3)*Prices!$H$9+(Subs!BP64-(Paid!BP32+React!BP104+Legacy!BP34*Legacy!BP$3))*Prices!$I$9)*FX!BP13*Eras!BP$10</f>
        <v/>
      </c>
      <c r="BQ12" s="11">
        <f>((Paid!BQ32+React!BQ104+Legacy!BQ34*Legacy!BQ$3)*Prices!$H$9+(Subs!BQ64-(Paid!BQ32+React!BQ104+Legacy!BQ34*Legacy!BQ$3))*Prices!$I$9)*FX!BQ13*Eras!BQ$10</f>
        <v/>
      </c>
      <c r="BR12" s="11">
        <f>((Paid!BR32+React!BR104+Legacy!BR34*Legacy!BR$3)*Prices!$H$9+(Subs!BR64-(Paid!BR32+React!BR104+Legacy!BR34*Legacy!BR$3))*Prices!$I$9)*FX!BR13*Eras!BR$10</f>
        <v/>
      </c>
      <c r="BS12" s="11">
        <f>((Paid!BS32+React!BS104+Legacy!BS34*Legacy!BS$3)*Prices!$H$9+(Subs!BS64-(Paid!BS32+React!BS104+Legacy!BS34*Legacy!BS$3))*Prices!$I$9)*FX!BS13*Eras!BS$10</f>
        <v/>
      </c>
      <c r="BT12" s="11">
        <f>((Paid!BT32+React!BT104+Legacy!BT34*Legacy!BT$3)*Prices!$H$9+(Subs!BT64-(Paid!BT32+React!BT104+Legacy!BT34*Legacy!BT$3))*Prices!$I$9)*FX!BT13*Eras!BT$10</f>
        <v/>
      </c>
      <c r="BU12" s="11">
        <f>((Paid!BU32+React!BU104+Legacy!BU34*Legacy!BU$3)*Prices!$H$9+(Subs!BU64-(Paid!BU32+React!BU104+Legacy!BU34*Legacy!BU$3))*Prices!$I$9)*FX!BU13*Eras!BU$10</f>
        <v/>
      </c>
      <c r="BV12" s="11">
        <f>((Paid!BV32+React!BV104+Legacy!BV34*Legacy!BV$3)*Prices!$H$9+(Subs!BV64-(Paid!BV32+React!BV104+Legacy!BV34*Legacy!BV$3))*Prices!$I$9)*FX!BV13*Eras!BV$10</f>
        <v/>
      </c>
    </row>
    <row r="13">
      <c r="A13" t="inlineStr">
        <is>
          <t>net revenue $</t>
        </is>
      </c>
      <c r="B13" t="inlineStr">
        <is>
          <t>LATAM|NITRO_M</t>
        </is>
      </c>
      <c r="C13" s="11">
        <f>((Paid!C36+React!C117+Legacy!C38*Legacy!C$3)*Prices!$H$10+(Subs!C71-(Paid!C36+React!C117+Legacy!C38*Legacy!C$3))*Prices!$I$10)*FX!C14*Eras!C$10</f>
        <v/>
      </c>
      <c r="D13" s="11">
        <f>((Paid!D36+React!D117+Legacy!D38*Legacy!D$3)*Prices!$H$10+(Subs!D71-(Paid!D36+React!D117+Legacy!D38*Legacy!D$3))*Prices!$I$10)*FX!D14*Eras!D$10</f>
        <v/>
      </c>
      <c r="E13" s="11">
        <f>((Paid!E36+React!E117+Legacy!E38*Legacy!E$3)*Prices!$H$10+(Subs!E71-(Paid!E36+React!E117+Legacy!E38*Legacy!E$3))*Prices!$I$10)*FX!E14*Eras!E$10</f>
        <v/>
      </c>
      <c r="F13" s="11">
        <f>((Paid!F36+React!F117+Legacy!F38*Legacy!F$3)*Prices!$H$10+(Subs!F71-(Paid!F36+React!F117+Legacy!F38*Legacy!F$3))*Prices!$I$10)*FX!F14*Eras!F$10</f>
        <v/>
      </c>
      <c r="G13" s="11">
        <f>((Paid!G36+React!G117+Legacy!G38*Legacy!G$3)*Prices!$H$10+(Subs!G71-(Paid!G36+React!G117+Legacy!G38*Legacy!G$3))*Prices!$I$10)*FX!G14*Eras!G$10</f>
        <v/>
      </c>
      <c r="H13" s="11">
        <f>((Paid!H36+React!H117+Legacy!H38*Legacy!H$3)*Prices!$H$10+(Subs!H71-(Paid!H36+React!H117+Legacy!H38*Legacy!H$3))*Prices!$I$10)*FX!H14*Eras!H$10</f>
        <v/>
      </c>
      <c r="I13" s="11">
        <f>((Paid!I36+React!I117+Legacy!I38*Legacy!I$3)*Prices!$H$10+(Subs!I71-(Paid!I36+React!I117+Legacy!I38*Legacy!I$3))*Prices!$I$10)*FX!I14*Eras!I$10</f>
        <v/>
      </c>
      <c r="J13" s="11">
        <f>((Paid!J36+React!J117+Legacy!J38*Legacy!J$3)*Prices!$H$10+(Subs!J71-(Paid!J36+React!J117+Legacy!J38*Legacy!J$3))*Prices!$I$10)*FX!J14*Eras!J$10</f>
        <v/>
      </c>
      <c r="K13" s="11">
        <f>((Paid!K36+React!K117+Legacy!K38*Legacy!K$3)*Prices!$H$10+(Subs!K71-(Paid!K36+React!K117+Legacy!K38*Legacy!K$3))*Prices!$I$10)*FX!K14*Eras!K$10</f>
        <v/>
      </c>
      <c r="L13" s="11">
        <f>((Paid!L36+React!L117+Legacy!L38*Legacy!L$3)*Prices!$H$10+(Subs!L71-(Paid!L36+React!L117+Legacy!L38*Legacy!L$3))*Prices!$I$10)*FX!L14*Eras!L$10</f>
        <v/>
      </c>
      <c r="M13" s="11">
        <f>((Paid!M36+React!M117+Legacy!M38*Legacy!M$3)*Prices!$H$10+(Subs!M71-(Paid!M36+React!M117+Legacy!M38*Legacy!M$3))*Prices!$I$10)*FX!M14*Eras!M$10</f>
        <v/>
      </c>
      <c r="N13" s="11">
        <f>((Paid!N36+React!N117+Legacy!N38*Legacy!N$3)*Prices!$H$10+(Subs!N71-(Paid!N36+React!N117+Legacy!N38*Legacy!N$3))*Prices!$I$10)*FX!N14*Eras!N$10</f>
        <v/>
      </c>
      <c r="O13" s="11">
        <f>((Paid!O36+React!O117+Legacy!O38*Legacy!O$3)*Prices!$H$10+(Subs!O71-(Paid!O36+React!O117+Legacy!O38*Legacy!O$3))*Prices!$I$10)*FX!O14*Eras!O$10</f>
        <v/>
      </c>
      <c r="P13" s="11">
        <f>((Paid!P36+React!P117+Legacy!P38*Legacy!P$3)*Prices!$H$10+(Subs!P71-(Paid!P36+React!P117+Legacy!P38*Legacy!P$3))*Prices!$I$10)*FX!P14*Eras!P$10</f>
        <v/>
      </c>
      <c r="Q13" s="11">
        <f>((Paid!Q36+React!Q117+Legacy!Q38*Legacy!Q$3)*Prices!$H$10+(Subs!Q71-(Paid!Q36+React!Q117+Legacy!Q38*Legacy!Q$3))*Prices!$I$10)*FX!Q14*Eras!Q$10</f>
        <v/>
      </c>
      <c r="R13" s="11">
        <f>((Paid!R36+React!R117+Legacy!R38*Legacy!R$3)*Prices!$H$10+(Subs!R71-(Paid!R36+React!R117+Legacy!R38*Legacy!R$3))*Prices!$I$10)*FX!R14*Eras!R$10</f>
        <v/>
      </c>
      <c r="S13" s="11">
        <f>((Paid!S36+React!S117+Legacy!S38*Legacy!S$3)*Prices!$H$10+(Subs!S71-(Paid!S36+React!S117+Legacy!S38*Legacy!S$3))*Prices!$I$10)*FX!S14*Eras!S$10</f>
        <v/>
      </c>
      <c r="T13" s="11">
        <f>((Paid!T36+React!T117+Legacy!T38*Legacy!T$3)*Prices!$H$10+(Subs!T71-(Paid!T36+React!T117+Legacy!T38*Legacy!T$3))*Prices!$I$10)*FX!T14*Eras!T$10</f>
        <v/>
      </c>
      <c r="U13" s="11">
        <f>((Paid!U36+React!U117+Legacy!U38*Legacy!U$3)*Prices!$H$10+(Subs!U71-(Paid!U36+React!U117+Legacy!U38*Legacy!U$3))*Prices!$I$10)*FX!U14*Eras!U$10</f>
        <v/>
      </c>
      <c r="V13" s="11">
        <f>((Paid!V36+React!V117+Legacy!V38*Legacy!V$3)*Prices!$H$10+(Subs!V71-(Paid!V36+React!V117+Legacy!V38*Legacy!V$3))*Prices!$I$10)*FX!V14*Eras!V$10</f>
        <v/>
      </c>
      <c r="W13" s="11">
        <f>((Paid!W36+React!W117+Legacy!W38*Legacy!W$3)*Prices!$H$10+(Subs!W71-(Paid!W36+React!W117+Legacy!W38*Legacy!W$3))*Prices!$I$10)*FX!W14*Eras!W$10</f>
        <v/>
      </c>
      <c r="X13" s="11">
        <f>((Paid!X36+React!X117+Legacy!X38*Legacy!X$3)*Prices!$H$10+(Subs!X71-(Paid!X36+React!X117+Legacy!X38*Legacy!X$3))*Prices!$I$10)*FX!X14*Eras!X$10</f>
        <v/>
      </c>
      <c r="Y13" s="11">
        <f>((Paid!Y36+React!Y117+Legacy!Y38*Legacy!Y$3)*Prices!$H$10+(Subs!Y71-(Paid!Y36+React!Y117+Legacy!Y38*Legacy!Y$3))*Prices!$I$10)*FX!Y14*Eras!Y$10</f>
        <v/>
      </c>
      <c r="Z13" s="11">
        <f>((Paid!Z36+React!Z117+Legacy!Z38*Legacy!Z$3)*Prices!$H$10+(Subs!Z71-(Paid!Z36+React!Z117+Legacy!Z38*Legacy!Z$3))*Prices!$I$10)*FX!Z14*Eras!Z$10</f>
        <v/>
      </c>
      <c r="AA13" s="11">
        <f>((Paid!AA36+React!AA117+Legacy!AA38*Legacy!AA$3)*Prices!$H$10+(Subs!AA71-(Paid!AA36+React!AA117+Legacy!AA38*Legacy!AA$3))*Prices!$I$10)*FX!AA14*Eras!AA$10</f>
        <v/>
      </c>
      <c r="AB13" s="11">
        <f>((Paid!AB36+React!AB117+Legacy!AB38*Legacy!AB$3)*Prices!$H$10+(Subs!AB71-(Paid!AB36+React!AB117+Legacy!AB38*Legacy!AB$3))*Prices!$I$10)*FX!AB14*Eras!AB$10</f>
        <v/>
      </c>
      <c r="AC13" s="11">
        <f>((Paid!AC36+React!AC117+Legacy!AC38*Legacy!AC$3)*Prices!$H$10+(Subs!AC71-(Paid!AC36+React!AC117+Legacy!AC38*Legacy!AC$3))*Prices!$I$10)*FX!AC14*Eras!AC$10</f>
        <v/>
      </c>
      <c r="AD13" s="11">
        <f>((Paid!AD36+React!AD117+Legacy!AD38*Legacy!AD$3)*Prices!$H$10+(Subs!AD71-(Paid!AD36+React!AD117+Legacy!AD38*Legacy!AD$3))*Prices!$I$10)*FX!AD14*Eras!AD$10</f>
        <v/>
      </c>
      <c r="AE13" s="11">
        <f>((Paid!AE36+React!AE117+Legacy!AE38*Legacy!AE$3)*Prices!$H$10+(Subs!AE71-(Paid!AE36+React!AE117+Legacy!AE38*Legacy!AE$3))*Prices!$I$10)*FX!AE14*Eras!AE$10</f>
        <v/>
      </c>
      <c r="AF13" s="11">
        <f>((Paid!AF36+React!AF117+Legacy!AF38*Legacy!AF$3)*Prices!$H$10+(Subs!AF71-(Paid!AF36+React!AF117+Legacy!AF38*Legacy!AF$3))*Prices!$I$10)*FX!AF14*Eras!AF$10</f>
        <v/>
      </c>
      <c r="AG13" s="11">
        <f>((Paid!AG36+React!AG117+Legacy!AG38*Legacy!AG$3)*Prices!$H$10+(Subs!AG71-(Paid!AG36+React!AG117+Legacy!AG38*Legacy!AG$3))*Prices!$I$10)*FX!AG14*Eras!AG$10</f>
        <v/>
      </c>
      <c r="AH13" s="11">
        <f>((Paid!AH36+React!AH117+Legacy!AH38*Legacy!AH$3)*Prices!$H$10+(Subs!AH71-(Paid!AH36+React!AH117+Legacy!AH38*Legacy!AH$3))*Prices!$I$10)*FX!AH14*Eras!AH$10</f>
        <v/>
      </c>
      <c r="AI13" s="11">
        <f>((Paid!AI36+React!AI117+Legacy!AI38*Legacy!AI$3)*Prices!$H$10+(Subs!AI71-(Paid!AI36+React!AI117+Legacy!AI38*Legacy!AI$3))*Prices!$I$10)*FX!AI14*Eras!AI$10</f>
        <v/>
      </c>
      <c r="AJ13" s="11">
        <f>((Paid!AJ36+React!AJ117+Legacy!AJ38*Legacy!AJ$3)*Prices!$H$10+(Subs!AJ71-(Paid!AJ36+React!AJ117+Legacy!AJ38*Legacy!AJ$3))*Prices!$I$10)*FX!AJ14*Eras!AJ$10</f>
        <v/>
      </c>
      <c r="AK13" s="11">
        <f>((Paid!AK36+React!AK117+Legacy!AK38*Legacy!AK$3)*Prices!$H$10+(Subs!AK71-(Paid!AK36+React!AK117+Legacy!AK38*Legacy!AK$3))*Prices!$I$10)*FX!AK14*Eras!AK$10</f>
        <v/>
      </c>
      <c r="AL13" s="11">
        <f>((Paid!AL36+React!AL117+Legacy!AL38*Legacy!AL$3)*Prices!$H$10+(Subs!AL71-(Paid!AL36+React!AL117+Legacy!AL38*Legacy!AL$3))*Prices!$I$10)*FX!AL14*Eras!AL$10</f>
        <v/>
      </c>
      <c r="AM13" s="11">
        <f>((Paid!AM36+React!AM117+Legacy!AM38*Legacy!AM$3)*Prices!$H$10+(Subs!AM71-(Paid!AM36+React!AM117+Legacy!AM38*Legacy!AM$3))*Prices!$I$10)*FX!AM14*Eras!AM$10</f>
        <v/>
      </c>
      <c r="AN13" s="11">
        <f>((Paid!AN36+React!AN117+Legacy!AN38*Legacy!AN$3)*Prices!$H$10+(Subs!AN71-(Paid!AN36+React!AN117+Legacy!AN38*Legacy!AN$3))*Prices!$I$10)*FX!AN14*Eras!AN$10</f>
        <v/>
      </c>
      <c r="AO13" s="11">
        <f>((Paid!AO36+React!AO117+Legacy!AO38*Legacy!AO$3)*Prices!$H$10+(Subs!AO71-(Paid!AO36+React!AO117+Legacy!AO38*Legacy!AO$3))*Prices!$I$10)*FX!AO14*Eras!AO$10</f>
        <v/>
      </c>
      <c r="AP13" s="11">
        <f>((Paid!AP36+React!AP117+Legacy!AP38*Legacy!AP$3)*Prices!$H$10+(Subs!AP71-(Paid!AP36+React!AP117+Legacy!AP38*Legacy!AP$3))*Prices!$I$10)*FX!AP14*Eras!AP$10</f>
        <v/>
      </c>
      <c r="AQ13" s="11">
        <f>((Paid!AQ36+React!AQ117+Legacy!AQ38*Legacy!AQ$3)*Prices!$H$10+(Subs!AQ71-(Paid!AQ36+React!AQ117+Legacy!AQ38*Legacy!AQ$3))*Prices!$I$10)*FX!AQ14*Eras!AQ$10</f>
        <v/>
      </c>
      <c r="AR13" s="11">
        <f>((Paid!AR36+React!AR117+Legacy!AR38*Legacy!AR$3)*Prices!$H$10+(Subs!AR71-(Paid!AR36+React!AR117+Legacy!AR38*Legacy!AR$3))*Prices!$I$10)*FX!AR14*Eras!AR$10</f>
        <v/>
      </c>
      <c r="AS13" s="11">
        <f>((Paid!AS36+React!AS117+Legacy!AS38*Legacy!AS$3)*Prices!$H$10+(Subs!AS71-(Paid!AS36+React!AS117+Legacy!AS38*Legacy!AS$3))*Prices!$I$10)*FX!AS14*Eras!AS$10</f>
        <v/>
      </c>
      <c r="AT13" s="11">
        <f>((Paid!AT36+React!AT117+Legacy!AT38*Legacy!AT$3)*Prices!$H$10+(Subs!AT71-(Paid!AT36+React!AT117+Legacy!AT38*Legacy!AT$3))*Prices!$I$10)*FX!AT14*Eras!AT$10</f>
        <v/>
      </c>
      <c r="AU13" s="11">
        <f>((Paid!AU36+React!AU117+Legacy!AU38*Legacy!AU$3)*Prices!$H$10+(Subs!AU71-(Paid!AU36+React!AU117+Legacy!AU38*Legacy!AU$3))*Prices!$I$10)*FX!AU14*Eras!AU$10</f>
        <v/>
      </c>
      <c r="AV13" s="11">
        <f>((Paid!AV36+React!AV117+Legacy!AV38*Legacy!AV$3)*Prices!$H$10+(Subs!AV71-(Paid!AV36+React!AV117+Legacy!AV38*Legacy!AV$3))*Prices!$I$10)*FX!AV14*Eras!AV$10</f>
        <v/>
      </c>
      <c r="AW13" s="11">
        <f>((Paid!AW36+React!AW117+Legacy!AW38*Legacy!AW$3)*Prices!$H$10+(Subs!AW71-(Paid!AW36+React!AW117+Legacy!AW38*Legacy!AW$3))*Prices!$I$10)*FX!AW14*Eras!AW$10</f>
        <v/>
      </c>
      <c r="AX13" s="11">
        <f>((Paid!AX36+React!AX117+Legacy!AX38*Legacy!AX$3)*Prices!$H$10+(Subs!AX71-(Paid!AX36+React!AX117+Legacy!AX38*Legacy!AX$3))*Prices!$I$10)*FX!AX14*Eras!AX$10</f>
        <v/>
      </c>
      <c r="AY13" s="11">
        <f>((Paid!AY36+React!AY117+Legacy!AY38*Legacy!AY$3)*Prices!$H$10+(Subs!AY71-(Paid!AY36+React!AY117+Legacy!AY38*Legacy!AY$3))*Prices!$I$10)*FX!AY14*Eras!AY$10</f>
        <v/>
      </c>
      <c r="AZ13" s="11">
        <f>((Paid!AZ36+React!AZ117+Legacy!AZ38*Legacy!AZ$3)*Prices!$H$10+(Subs!AZ71-(Paid!AZ36+React!AZ117+Legacy!AZ38*Legacy!AZ$3))*Prices!$I$10)*FX!AZ14*Eras!AZ$10</f>
        <v/>
      </c>
      <c r="BA13" s="11">
        <f>((Paid!BA36+React!BA117+Legacy!BA38*Legacy!BA$3)*Prices!$H$10+(Subs!BA71-(Paid!BA36+React!BA117+Legacy!BA38*Legacy!BA$3))*Prices!$I$10)*FX!BA14*Eras!BA$10</f>
        <v/>
      </c>
      <c r="BB13" s="11">
        <f>((Paid!BB36+React!BB117+Legacy!BB38*Legacy!BB$3)*Prices!$H$10+(Subs!BB71-(Paid!BB36+React!BB117+Legacy!BB38*Legacy!BB$3))*Prices!$I$10)*FX!BB14*Eras!BB$10</f>
        <v/>
      </c>
      <c r="BC13" s="11">
        <f>((Paid!BC36+React!BC117+Legacy!BC38*Legacy!BC$3)*Prices!$H$10+(Subs!BC71-(Paid!BC36+React!BC117+Legacy!BC38*Legacy!BC$3))*Prices!$I$10)*FX!BC14*Eras!BC$10</f>
        <v/>
      </c>
      <c r="BD13" s="11">
        <f>((Paid!BD36+React!BD117+Legacy!BD38*Legacy!BD$3)*Prices!$H$10+(Subs!BD71-(Paid!BD36+React!BD117+Legacy!BD38*Legacy!BD$3))*Prices!$I$10)*FX!BD14*Eras!BD$10</f>
        <v/>
      </c>
      <c r="BE13" s="11">
        <f>((Paid!BE36+React!BE117+Legacy!BE38*Legacy!BE$3)*Prices!$H$10+(Subs!BE71-(Paid!BE36+React!BE117+Legacy!BE38*Legacy!BE$3))*Prices!$I$10)*FX!BE14*Eras!BE$10</f>
        <v/>
      </c>
      <c r="BF13" s="11">
        <f>((Paid!BF36+React!BF117+Legacy!BF38*Legacy!BF$3)*Prices!$H$10+(Subs!BF71-(Paid!BF36+React!BF117+Legacy!BF38*Legacy!BF$3))*Prices!$I$10)*FX!BF14*Eras!BF$10</f>
        <v/>
      </c>
      <c r="BG13" s="11">
        <f>((Paid!BG36+React!BG117+Legacy!BG38*Legacy!BG$3)*Prices!$H$10+(Subs!BG71-(Paid!BG36+React!BG117+Legacy!BG38*Legacy!BG$3))*Prices!$I$10)*FX!BG14*Eras!BG$10</f>
        <v/>
      </c>
      <c r="BH13" s="11">
        <f>((Paid!BH36+React!BH117+Legacy!BH38*Legacy!BH$3)*Prices!$H$10+(Subs!BH71-(Paid!BH36+React!BH117+Legacy!BH38*Legacy!BH$3))*Prices!$I$10)*FX!BH14*Eras!BH$10</f>
        <v/>
      </c>
      <c r="BI13" s="11">
        <f>((Paid!BI36+React!BI117+Legacy!BI38*Legacy!BI$3)*Prices!$H$10+(Subs!BI71-(Paid!BI36+React!BI117+Legacy!BI38*Legacy!BI$3))*Prices!$I$10)*FX!BI14*Eras!BI$10</f>
        <v/>
      </c>
      <c r="BJ13" s="11">
        <f>((Paid!BJ36+React!BJ117+Legacy!BJ38*Legacy!BJ$3)*Prices!$H$10+(Subs!BJ71-(Paid!BJ36+React!BJ117+Legacy!BJ38*Legacy!BJ$3))*Prices!$I$10)*FX!BJ14*Eras!BJ$10</f>
        <v/>
      </c>
      <c r="BK13" s="11">
        <f>((Paid!BK36+React!BK117+Legacy!BK38*Legacy!BK$3)*Prices!$H$10+(Subs!BK71-(Paid!BK36+React!BK117+Legacy!BK38*Legacy!BK$3))*Prices!$I$10)*FX!BK14*Eras!BK$10</f>
        <v/>
      </c>
      <c r="BL13" s="11">
        <f>((Paid!BL36+React!BL117+Legacy!BL38*Legacy!BL$3)*Prices!$H$10+(Subs!BL71-(Paid!BL36+React!BL117+Legacy!BL38*Legacy!BL$3))*Prices!$I$10)*FX!BL14*Eras!BL$10</f>
        <v/>
      </c>
      <c r="BM13" s="11">
        <f>((Paid!BM36+React!BM117+Legacy!BM38*Legacy!BM$3)*Prices!$H$10+(Subs!BM71-(Paid!BM36+React!BM117+Legacy!BM38*Legacy!BM$3))*Prices!$I$10)*FX!BM14*Eras!BM$10</f>
        <v/>
      </c>
      <c r="BN13" s="11">
        <f>((Paid!BN36+React!BN117+Legacy!BN38*Legacy!BN$3)*Prices!$H$10+(Subs!BN71-(Paid!BN36+React!BN117+Legacy!BN38*Legacy!BN$3))*Prices!$I$10)*FX!BN14*Eras!BN$10</f>
        <v/>
      </c>
      <c r="BO13" s="11">
        <f>((Paid!BO36+React!BO117+Legacy!BO38*Legacy!BO$3)*Prices!$H$10+(Subs!BO71-(Paid!BO36+React!BO117+Legacy!BO38*Legacy!BO$3))*Prices!$I$10)*FX!BO14*Eras!BO$10</f>
        <v/>
      </c>
      <c r="BP13" s="11">
        <f>((Paid!BP36+React!BP117+Legacy!BP38*Legacy!BP$3)*Prices!$H$10+(Subs!BP71-(Paid!BP36+React!BP117+Legacy!BP38*Legacy!BP$3))*Prices!$I$10)*FX!BP14*Eras!BP$10</f>
        <v/>
      </c>
      <c r="BQ13" s="11">
        <f>((Paid!BQ36+React!BQ117+Legacy!BQ38*Legacy!BQ$3)*Prices!$H$10+(Subs!BQ71-(Paid!BQ36+React!BQ117+Legacy!BQ38*Legacy!BQ$3))*Prices!$I$10)*FX!BQ14*Eras!BQ$10</f>
        <v/>
      </c>
      <c r="BR13" s="11">
        <f>((Paid!BR36+React!BR117+Legacy!BR38*Legacy!BR$3)*Prices!$H$10+(Subs!BR71-(Paid!BR36+React!BR117+Legacy!BR38*Legacy!BR$3))*Prices!$I$10)*FX!BR14*Eras!BR$10</f>
        <v/>
      </c>
      <c r="BS13" s="11">
        <f>((Paid!BS36+React!BS117+Legacy!BS38*Legacy!BS$3)*Prices!$H$10+(Subs!BS71-(Paid!BS36+React!BS117+Legacy!BS38*Legacy!BS$3))*Prices!$I$10)*FX!BS14*Eras!BS$10</f>
        <v/>
      </c>
      <c r="BT13" s="11">
        <f>((Paid!BT36+React!BT117+Legacy!BT38*Legacy!BT$3)*Prices!$H$10+(Subs!BT71-(Paid!BT36+React!BT117+Legacy!BT38*Legacy!BT$3))*Prices!$I$10)*FX!BT14*Eras!BT$10</f>
        <v/>
      </c>
      <c r="BU13" s="11">
        <f>((Paid!BU36+React!BU117+Legacy!BU38*Legacy!BU$3)*Prices!$H$10+(Subs!BU71-(Paid!BU36+React!BU117+Legacy!BU38*Legacy!BU$3))*Prices!$I$10)*FX!BU14*Eras!BU$10</f>
        <v/>
      </c>
      <c r="BV13" s="11">
        <f>((Paid!BV36+React!BV117+Legacy!BV38*Legacy!BV$3)*Prices!$H$10+(Subs!BV71-(Paid!BV36+React!BV117+Legacy!BV38*Legacy!BV$3))*Prices!$I$10)*FX!BV14*Eras!BV$10</f>
        <v/>
      </c>
    </row>
    <row r="14">
      <c r="A14" t="inlineStr">
        <is>
          <t>net revenue $</t>
        </is>
      </c>
      <c r="B14" t="inlineStr">
        <is>
          <t>LATAM|NITRO_A</t>
        </is>
      </c>
      <c r="C14" s="11">
        <f>((Paid!C40+React!C130+Legacy!C42*Legacy!C$3)*Prices!$H$11+(Subs!C78-(Paid!C40+React!C130+Legacy!C42*Legacy!C$3))*Prices!$I$11)*FX!C14*Eras!C$10</f>
        <v/>
      </c>
      <c r="D14" s="11">
        <f>((Paid!D40+React!D130+Legacy!D42*Legacy!D$3)*Prices!$H$11+(Subs!D78-(Paid!D40+React!D130+Legacy!D42*Legacy!D$3))*Prices!$I$11)*FX!D14*Eras!D$10</f>
        <v/>
      </c>
      <c r="E14" s="11">
        <f>((Paid!E40+React!E130+Legacy!E42*Legacy!E$3)*Prices!$H$11+(Subs!E78-(Paid!E40+React!E130+Legacy!E42*Legacy!E$3))*Prices!$I$11)*FX!E14*Eras!E$10</f>
        <v/>
      </c>
      <c r="F14" s="11">
        <f>((Paid!F40+React!F130+Legacy!F42*Legacy!F$3)*Prices!$H$11+(Subs!F78-(Paid!F40+React!F130+Legacy!F42*Legacy!F$3))*Prices!$I$11)*FX!F14*Eras!F$10</f>
        <v/>
      </c>
      <c r="G14" s="11">
        <f>((Paid!G40+React!G130+Legacy!G42*Legacy!G$3)*Prices!$H$11+(Subs!G78-(Paid!G40+React!G130+Legacy!G42*Legacy!G$3))*Prices!$I$11)*FX!G14*Eras!G$10</f>
        <v/>
      </c>
      <c r="H14" s="11">
        <f>((Paid!H40+React!H130+Legacy!H42*Legacy!H$3)*Prices!$H$11+(Subs!H78-(Paid!H40+React!H130+Legacy!H42*Legacy!H$3))*Prices!$I$11)*FX!H14*Eras!H$10</f>
        <v/>
      </c>
      <c r="I14" s="11">
        <f>((Paid!I40+React!I130+Legacy!I42*Legacy!I$3)*Prices!$H$11+(Subs!I78-(Paid!I40+React!I130+Legacy!I42*Legacy!I$3))*Prices!$I$11)*FX!I14*Eras!I$10</f>
        <v/>
      </c>
      <c r="J14" s="11">
        <f>((Paid!J40+React!J130+Legacy!J42*Legacy!J$3)*Prices!$H$11+(Subs!J78-(Paid!J40+React!J130+Legacy!J42*Legacy!J$3))*Prices!$I$11)*FX!J14*Eras!J$10</f>
        <v/>
      </c>
      <c r="K14" s="11">
        <f>((Paid!K40+React!K130+Legacy!K42*Legacy!K$3)*Prices!$H$11+(Subs!K78-(Paid!K40+React!K130+Legacy!K42*Legacy!K$3))*Prices!$I$11)*FX!K14*Eras!K$10</f>
        <v/>
      </c>
      <c r="L14" s="11">
        <f>((Paid!L40+React!L130+Legacy!L42*Legacy!L$3)*Prices!$H$11+(Subs!L78-(Paid!L40+React!L130+Legacy!L42*Legacy!L$3))*Prices!$I$11)*FX!L14*Eras!L$10</f>
        <v/>
      </c>
      <c r="M14" s="11">
        <f>((Paid!M40+React!M130+Legacy!M42*Legacy!M$3)*Prices!$H$11+(Subs!M78-(Paid!M40+React!M130+Legacy!M42*Legacy!M$3))*Prices!$I$11)*FX!M14*Eras!M$10</f>
        <v/>
      </c>
      <c r="N14" s="11">
        <f>((Paid!N40+React!N130+Legacy!N42*Legacy!N$3)*Prices!$H$11+(Subs!N78-(Paid!N40+React!N130+Legacy!N42*Legacy!N$3))*Prices!$I$11)*FX!N14*Eras!N$10</f>
        <v/>
      </c>
      <c r="O14" s="11">
        <f>((Paid!O40+React!O130+Legacy!O42*Legacy!O$3)*Prices!$H$11+(Subs!O78-(Paid!O40+React!O130+Legacy!O42*Legacy!O$3))*Prices!$I$11)*FX!O14*Eras!O$10</f>
        <v/>
      </c>
      <c r="P14" s="11">
        <f>((Paid!P40+React!P130+Legacy!P42*Legacy!P$3)*Prices!$H$11+(Subs!P78-(Paid!P40+React!P130+Legacy!P42*Legacy!P$3))*Prices!$I$11)*FX!P14*Eras!P$10</f>
        <v/>
      </c>
      <c r="Q14" s="11">
        <f>((Paid!Q40+React!Q130+Legacy!Q42*Legacy!Q$3)*Prices!$H$11+(Subs!Q78-(Paid!Q40+React!Q130+Legacy!Q42*Legacy!Q$3))*Prices!$I$11)*FX!Q14*Eras!Q$10</f>
        <v/>
      </c>
      <c r="R14" s="11">
        <f>((Paid!R40+React!R130+Legacy!R42*Legacy!R$3)*Prices!$H$11+(Subs!R78-(Paid!R40+React!R130+Legacy!R42*Legacy!R$3))*Prices!$I$11)*FX!R14*Eras!R$10</f>
        <v/>
      </c>
      <c r="S14" s="11">
        <f>((Paid!S40+React!S130+Legacy!S42*Legacy!S$3)*Prices!$H$11+(Subs!S78-(Paid!S40+React!S130+Legacy!S42*Legacy!S$3))*Prices!$I$11)*FX!S14*Eras!S$10</f>
        <v/>
      </c>
      <c r="T14" s="11">
        <f>((Paid!T40+React!T130+Legacy!T42*Legacy!T$3)*Prices!$H$11+(Subs!T78-(Paid!T40+React!T130+Legacy!T42*Legacy!T$3))*Prices!$I$11)*FX!T14*Eras!T$10</f>
        <v/>
      </c>
      <c r="U14" s="11">
        <f>((Paid!U40+React!U130+Legacy!U42*Legacy!U$3)*Prices!$H$11+(Subs!U78-(Paid!U40+React!U130+Legacy!U42*Legacy!U$3))*Prices!$I$11)*FX!U14*Eras!U$10</f>
        <v/>
      </c>
      <c r="V14" s="11">
        <f>((Paid!V40+React!V130+Legacy!V42*Legacy!V$3)*Prices!$H$11+(Subs!V78-(Paid!V40+React!V130+Legacy!V42*Legacy!V$3))*Prices!$I$11)*FX!V14*Eras!V$10</f>
        <v/>
      </c>
      <c r="W14" s="11">
        <f>((Paid!W40+React!W130+Legacy!W42*Legacy!W$3)*Prices!$H$11+(Subs!W78-(Paid!W40+React!W130+Legacy!W42*Legacy!W$3))*Prices!$I$11)*FX!W14*Eras!W$10</f>
        <v/>
      </c>
      <c r="X14" s="11">
        <f>((Paid!X40+React!X130+Legacy!X42*Legacy!X$3)*Prices!$H$11+(Subs!X78-(Paid!X40+React!X130+Legacy!X42*Legacy!X$3))*Prices!$I$11)*FX!X14*Eras!X$10</f>
        <v/>
      </c>
      <c r="Y14" s="11">
        <f>((Paid!Y40+React!Y130+Legacy!Y42*Legacy!Y$3)*Prices!$H$11+(Subs!Y78-(Paid!Y40+React!Y130+Legacy!Y42*Legacy!Y$3))*Prices!$I$11)*FX!Y14*Eras!Y$10</f>
        <v/>
      </c>
      <c r="Z14" s="11">
        <f>((Paid!Z40+React!Z130+Legacy!Z42*Legacy!Z$3)*Prices!$H$11+(Subs!Z78-(Paid!Z40+React!Z130+Legacy!Z42*Legacy!Z$3))*Prices!$I$11)*FX!Z14*Eras!Z$10</f>
        <v/>
      </c>
      <c r="AA14" s="11">
        <f>((Paid!AA40+React!AA130+Legacy!AA42*Legacy!AA$3)*Prices!$H$11+(Subs!AA78-(Paid!AA40+React!AA130+Legacy!AA42*Legacy!AA$3))*Prices!$I$11)*FX!AA14*Eras!AA$10</f>
        <v/>
      </c>
      <c r="AB14" s="11">
        <f>((Paid!AB40+React!AB130+Legacy!AB42*Legacy!AB$3)*Prices!$H$11+(Subs!AB78-(Paid!AB40+React!AB130+Legacy!AB42*Legacy!AB$3))*Prices!$I$11)*FX!AB14*Eras!AB$10</f>
        <v/>
      </c>
      <c r="AC14" s="11">
        <f>((Paid!AC40+React!AC130+Legacy!AC42*Legacy!AC$3)*Prices!$H$11+(Subs!AC78-(Paid!AC40+React!AC130+Legacy!AC42*Legacy!AC$3))*Prices!$I$11)*FX!AC14*Eras!AC$10</f>
        <v/>
      </c>
      <c r="AD14" s="11">
        <f>((Paid!AD40+React!AD130+Legacy!AD42*Legacy!AD$3)*Prices!$H$11+(Subs!AD78-(Paid!AD40+React!AD130+Legacy!AD42*Legacy!AD$3))*Prices!$I$11)*FX!AD14*Eras!AD$10</f>
        <v/>
      </c>
      <c r="AE14" s="11">
        <f>((Paid!AE40+React!AE130+Legacy!AE42*Legacy!AE$3)*Prices!$H$11+(Subs!AE78-(Paid!AE40+React!AE130+Legacy!AE42*Legacy!AE$3))*Prices!$I$11)*FX!AE14*Eras!AE$10</f>
        <v/>
      </c>
      <c r="AF14" s="11">
        <f>((Paid!AF40+React!AF130+Legacy!AF42*Legacy!AF$3)*Prices!$H$11+(Subs!AF78-(Paid!AF40+React!AF130+Legacy!AF42*Legacy!AF$3))*Prices!$I$11)*FX!AF14*Eras!AF$10</f>
        <v/>
      </c>
      <c r="AG14" s="11">
        <f>((Paid!AG40+React!AG130+Legacy!AG42*Legacy!AG$3)*Prices!$H$11+(Subs!AG78-(Paid!AG40+React!AG130+Legacy!AG42*Legacy!AG$3))*Prices!$I$11)*FX!AG14*Eras!AG$10</f>
        <v/>
      </c>
      <c r="AH14" s="11">
        <f>((Paid!AH40+React!AH130+Legacy!AH42*Legacy!AH$3)*Prices!$H$11+(Subs!AH78-(Paid!AH40+React!AH130+Legacy!AH42*Legacy!AH$3))*Prices!$I$11)*FX!AH14*Eras!AH$10</f>
        <v/>
      </c>
      <c r="AI14" s="11">
        <f>((Paid!AI40+React!AI130+Legacy!AI42*Legacy!AI$3)*Prices!$H$11+(Subs!AI78-(Paid!AI40+React!AI130+Legacy!AI42*Legacy!AI$3))*Prices!$I$11)*FX!AI14*Eras!AI$10</f>
        <v/>
      </c>
      <c r="AJ14" s="11">
        <f>((Paid!AJ40+React!AJ130+Legacy!AJ42*Legacy!AJ$3)*Prices!$H$11+(Subs!AJ78-(Paid!AJ40+React!AJ130+Legacy!AJ42*Legacy!AJ$3))*Prices!$I$11)*FX!AJ14*Eras!AJ$10</f>
        <v/>
      </c>
      <c r="AK14" s="11">
        <f>((Paid!AK40+React!AK130+Legacy!AK42*Legacy!AK$3)*Prices!$H$11+(Subs!AK78-(Paid!AK40+React!AK130+Legacy!AK42*Legacy!AK$3))*Prices!$I$11)*FX!AK14*Eras!AK$10</f>
        <v/>
      </c>
      <c r="AL14" s="11">
        <f>((Paid!AL40+React!AL130+Legacy!AL42*Legacy!AL$3)*Prices!$H$11+(Subs!AL78-(Paid!AL40+React!AL130+Legacy!AL42*Legacy!AL$3))*Prices!$I$11)*FX!AL14*Eras!AL$10</f>
        <v/>
      </c>
      <c r="AM14" s="11">
        <f>((Paid!AM40+React!AM130+Legacy!AM42*Legacy!AM$3)*Prices!$H$11+(Subs!AM78-(Paid!AM40+React!AM130+Legacy!AM42*Legacy!AM$3))*Prices!$I$11)*FX!AM14*Eras!AM$10</f>
        <v/>
      </c>
      <c r="AN14" s="11">
        <f>((Paid!AN40+React!AN130+Legacy!AN42*Legacy!AN$3)*Prices!$H$11+(Subs!AN78-(Paid!AN40+React!AN130+Legacy!AN42*Legacy!AN$3))*Prices!$I$11)*FX!AN14*Eras!AN$10</f>
        <v/>
      </c>
      <c r="AO14" s="11">
        <f>((Paid!AO40+React!AO130+Legacy!AO42*Legacy!AO$3)*Prices!$H$11+(Subs!AO78-(Paid!AO40+React!AO130+Legacy!AO42*Legacy!AO$3))*Prices!$I$11)*FX!AO14*Eras!AO$10</f>
        <v/>
      </c>
      <c r="AP14" s="11">
        <f>((Paid!AP40+React!AP130+Legacy!AP42*Legacy!AP$3)*Prices!$H$11+(Subs!AP78-(Paid!AP40+React!AP130+Legacy!AP42*Legacy!AP$3))*Prices!$I$11)*FX!AP14*Eras!AP$10</f>
        <v/>
      </c>
      <c r="AQ14" s="11">
        <f>((Paid!AQ40+React!AQ130+Legacy!AQ42*Legacy!AQ$3)*Prices!$H$11+(Subs!AQ78-(Paid!AQ40+React!AQ130+Legacy!AQ42*Legacy!AQ$3))*Prices!$I$11)*FX!AQ14*Eras!AQ$10</f>
        <v/>
      </c>
      <c r="AR14" s="11">
        <f>((Paid!AR40+React!AR130+Legacy!AR42*Legacy!AR$3)*Prices!$H$11+(Subs!AR78-(Paid!AR40+React!AR130+Legacy!AR42*Legacy!AR$3))*Prices!$I$11)*FX!AR14*Eras!AR$10</f>
        <v/>
      </c>
      <c r="AS14" s="11">
        <f>((Paid!AS40+React!AS130+Legacy!AS42*Legacy!AS$3)*Prices!$H$11+(Subs!AS78-(Paid!AS40+React!AS130+Legacy!AS42*Legacy!AS$3))*Prices!$I$11)*FX!AS14*Eras!AS$10</f>
        <v/>
      </c>
      <c r="AT14" s="11">
        <f>((Paid!AT40+React!AT130+Legacy!AT42*Legacy!AT$3)*Prices!$H$11+(Subs!AT78-(Paid!AT40+React!AT130+Legacy!AT42*Legacy!AT$3))*Prices!$I$11)*FX!AT14*Eras!AT$10</f>
        <v/>
      </c>
      <c r="AU14" s="11">
        <f>((Paid!AU40+React!AU130+Legacy!AU42*Legacy!AU$3)*Prices!$H$11+(Subs!AU78-(Paid!AU40+React!AU130+Legacy!AU42*Legacy!AU$3))*Prices!$I$11)*FX!AU14*Eras!AU$10</f>
        <v/>
      </c>
      <c r="AV14" s="11">
        <f>((Paid!AV40+React!AV130+Legacy!AV42*Legacy!AV$3)*Prices!$H$11+(Subs!AV78-(Paid!AV40+React!AV130+Legacy!AV42*Legacy!AV$3))*Prices!$I$11)*FX!AV14*Eras!AV$10</f>
        <v/>
      </c>
      <c r="AW14" s="11">
        <f>((Paid!AW40+React!AW130+Legacy!AW42*Legacy!AW$3)*Prices!$H$11+(Subs!AW78-(Paid!AW40+React!AW130+Legacy!AW42*Legacy!AW$3))*Prices!$I$11)*FX!AW14*Eras!AW$10</f>
        <v/>
      </c>
      <c r="AX14" s="11">
        <f>((Paid!AX40+React!AX130+Legacy!AX42*Legacy!AX$3)*Prices!$H$11+(Subs!AX78-(Paid!AX40+React!AX130+Legacy!AX42*Legacy!AX$3))*Prices!$I$11)*FX!AX14*Eras!AX$10</f>
        <v/>
      </c>
      <c r="AY14" s="11">
        <f>((Paid!AY40+React!AY130+Legacy!AY42*Legacy!AY$3)*Prices!$H$11+(Subs!AY78-(Paid!AY40+React!AY130+Legacy!AY42*Legacy!AY$3))*Prices!$I$11)*FX!AY14*Eras!AY$10</f>
        <v/>
      </c>
      <c r="AZ14" s="11">
        <f>((Paid!AZ40+React!AZ130+Legacy!AZ42*Legacy!AZ$3)*Prices!$H$11+(Subs!AZ78-(Paid!AZ40+React!AZ130+Legacy!AZ42*Legacy!AZ$3))*Prices!$I$11)*FX!AZ14*Eras!AZ$10</f>
        <v/>
      </c>
      <c r="BA14" s="11">
        <f>((Paid!BA40+React!BA130+Legacy!BA42*Legacy!BA$3)*Prices!$H$11+(Subs!BA78-(Paid!BA40+React!BA130+Legacy!BA42*Legacy!BA$3))*Prices!$I$11)*FX!BA14*Eras!BA$10</f>
        <v/>
      </c>
      <c r="BB14" s="11">
        <f>((Paid!BB40+React!BB130+Legacy!BB42*Legacy!BB$3)*Prices!$H$11+(Subs!BB78-(Paid!BB40+React!BB130+Legacy!BB42*Legacy!BB$3))*Prices!$I$11)*FX!BB14*Eras!BB$10</f>
        <v/>
      </c>
      <c r="BC14" s="11">
        <f>((Paid!BC40+React!BC130+Legacy!BC42*Legacy!BC$3)*Prices!$H$11+(Subs!BC78-(Paid!BC40+React!BC130+Legacy!BC42*Legacy!BC$3))*Prices!$I$11)*FX!BC14*Eras!BC$10</f>
        <v/>
      </c>
      <c r="BD14" s="11">
        <f>((Paid!BD40+React!BD130+Legacy!BD42*Legacy!BD$3)*Prices!$H$11+(Subs!BD78-(Paid!BD40+React!BD130+Legacy!BD42*Legacy!BD$3))*Prices!$I$11)*FX!BD14*Eras!BD$10</f>
        <v/>
      </c>
      <c r="BE14" s="11">
        <f>((Paid!BE40+React!BE130+Legacy!BE42*Legacy!BE$3)*Prices!$H$11+(Subs!BE78-(Paid!BE40+React!BE130+Legacy!BE42*Legacy!BE$3))*Prices!$I$11)*FX!BE14*Eras!BE$10</f>
        <v/>
      </c>
      <c r="BF14" s="11">
        <f>((Paid!BF40+React!BF130+Legacy!BF42*Legacy!BF$3)*Prices!$H$11+(Subs!BF78-(Paid!BF40+React!BF130+Legacy!BF42*Legacy!BF$3))*Prices!$I$11)*FX!BF14*Eras!BF$10</f>
        <v/>
      </c>
      <c r="BG14" s="11">
        <f>((Paid!BG40+React!BG130+Legacy!BG42*Legacy!BG$3)*Prices!$H$11+(Subs!BG78-(Paid!BG40+React!BG130+Legacy!BG42*Legacy!BG$3))*Prices!$I$11)*FX!BG14*Eras!BG$10</f>
        <v/>
      </c>
      <c r="BH14" s="11">
        <f>((Paid!BH40+React!BH130+Legacy!BH42*Legacy!BH$3)*Prices!$H$11+(Subs!BH78-(Paid!BH40+React!BH130+Legacy!BH42*Legacy!BH$3))*Prices!$I$11)*FX!BH14*Eras!BH$10</f>
        <v/>
      </c>
      <c r="BI14" s="11">
        <f>((Paid!BI40+React!BI130+Legacy!BI42*Legacy!BI$3)*Prices!$H$11+(Subs!BI78-(Paid!BI40+React!BI130+Legacy!BI42*Legacy!BI$3))*Prices!$I$11)*FX!BI14*Eras!BI$10</f>
        <v/>
      </c>
      <c r="BJ14" s="11">
        <f>((Paid!BJ40+React!BJ130+Legacy!BJ42*Legacy!BJ$3)*Prices!$H$11+(Subs!BJ78-(Paid!BJ40+React!BJ130+Legacy!BJ42*Legacy!BJ$3))*Prices!$I$11)*FX!BJ14*Eras!BJ$10</f>
        <v/>
      </c>
      <c r="BK14" s="11">
        <f>((Paid!BK40+React!BK130+Legacy!BK42*Legacy!BK$3)*Prices!$H$11+(Subs!BK78-(Paid!BK40+React!BK130+Legacy!BK42*Legacy!BK$3))*Prices!$I$11)*FX!BK14*Eras!BK$10</f>
        <v/>
      </c>
      <c r="BL14" s="11">
        <f>((Paid!BL40+React!BL130+Legacy!BL42*Legacy!BL$3)*Prices!$H$11+(Subs!BL78-(Paid!BL40+React!BL130+Legacy!BL42*Legacy!BL$3))*Prices!$I$11)*FX!BL14*Eras!BL$10</f>
        <v/>
      </c>
      <c r="BM14" s="11">
        <f>((Paid!BM40+React!BM130+Legacy!BM42*Legacy!BM$3)*Prices!$H$11+(Subs!BM78-(Paid!BM40+React!BM130+Legacy!BM42*Legacy!BM$3))*Prices!$I$11)*FX!BM14*Eras!BM$10</f>
        <v/>
      </c>
      <c r="BN14" s="11">
        <f>((Paid!BN40+React!BN130+Legacy!BN42*Legacy!BN$3)*Prices!$H$11+(Subs!BN78-(Paid!BN40+React!BN130+Legacy!BN42*Legacy!BN$3))*Prices!$I$11)*FX!BN14*Eras!BN$10</f>
        <v/>
      </c>
      <c r="BO14" s="11">
        <f>((Paid!BO40+React!BO130+Legacy!BO42*Legacy!BO$3)*Prices!$H$11+(Subs!BO78-(Paid!BO40+React!BO130+Legacy!BO42*Legacy!BO$3))*Prices!$I$11)*FX!BO14*Eras!BO$10</f>
        <v/>
      </c>
      <c r="BP14" s="11">
        <f>((Paid!BP40+React!BP130+Legacy!BP42*Legacy!BP$3)*Prices!$H$11+(Subs!BP78-(Paid!BP40+React!BP130+Legacy!BP42*Legacy!BP$3))*Prices!$I$11)*FX!BP14*Eras!BP$10</f>
        <v/>
      </c>
      <c r="BQ14" s="11">
        <f>((Paid!BQ40+React!BQ130+Legacy!BQ42*Legacy!BQ$3)*Prices!$H$11+(Subs!BQ78-(Paid!BQ40+React!BQ130+Legacy!BQ42*Legacy!BQ$3))*Prices!$I$11)*FX!BQ14*Eras!BQ$10</f>
        <v/>
      </c>
      <c r="BR14" s="11">
        <f>((Paid!BR40+React!BR130+Legacy!BR42*Legacy!BR$3)*Prices!$H$11+(Subs!BR78-(Paid!BR40+React!BR130+Legacy!BR42*Legacy!BR$3))*Prices!$I$11)*FX!BR14*Eras!BR$10</f>
        <v/>
      </c>
      <c r="BS14" s="11">
        <f>((Paid!BS40+React!BS130+Legacy!BS42*Legacy!BS$3)*Prices!$H$11+(Subs!BS78-(Paid!BS40+React!BS130+Legacy!BS42*Legacy!BS$3))*Prices!$I$11)*FX!BS14*Eras!BS$10</f>
        <v/>
      </c>
      <c r="BT14" s="11">
        <f>((Paid!BT40+React!BT130+Legacy!BT42*Legacy!BT$3)*Prices!$H$11+(Subs!BT78-(Paid!BT40+React!BT130+Legacy!BT42*Legacy!BT$3))*Prices!$I$11)*FX!BT14*Eras!BT$10</f>
        <v/>
      </c>
      <c r="BU14" s="11">
        <f>((Paid!BU40+React!BU130+Legacy!BU42*Legacy!BU$3)*Prices!$H$11+(Subs!BU78-(Paid!BU40+React!BU130+Legacy!BU42*Legacy!BU$3))*Prices!$I$11)*FX!BU14*Eras!BU$10</f>
        <v/>
      </c>
      <c r="BV14" s="11">
        <f>((Paid!BV40+React!BV130+Legacy!BV42*Legacy!BV$3)*Prices!$H$11+(Subs!BV78-(Paid!BV40+React!BV130+Legacy!BV42*Legacy!BV$3))*Prices!$I$11)*FX!BV14*Eras!BV$10</f>
        <v/>
      </c>
    </row>
    <row r="15">
      <c r="A15" t="inlineStr">
        <is>
          <t>net revenue $</t>
        </is>
      </c>
      <c r="B15" t="inlineStr">
        <is>
          <t>LATAM|BASIC_M</t>
        </is>
      </c>
      <c r="C15" s="11">
        <f>((Paid!C44+React!C143+Legacy!C46*Legacy!C$3)*Prices!$H$12+(Subs!C85-(Paid!C44+React!C143+Legacy!C46*Legacy!C$3))*Prices!$I$12)*FX!C14*Eras!C$10</f>
        <v/>
      </c>
      <c r="D15" s="11">
        <f>((Paid!D44+React!D143+Legacy!D46*Legacy!D$3)*Prices!$H$12+(Subs!D85-(Paid!D44+React!D143+Legacy!D46*Legacy!D$3))*Prices!$I$12)*FX!D14*Eras!D$10</f>
        <v/>
      </c>
      <c r="E15" s="11">
        <f>((Paid!E44+React!E143+Legacy!E46*Legacy!E$3)*Prices!$H$12+(Subs!E85-(Paid!E44+React!E143+Legacy!E46*Legacy!E$3))*Prices!$I$12)*FX!E14*Eras!E$10</f>
        <v/>
      </c>
      <c r="F15" s="11">
        <f>((Paid!F44+React!F143+Legacy!F46*Legacy!F$3)*Prices!$H$12+(Subs!F85-(Paid!F44+React!F143+Legacy!F46*Legacy!F$3))*Prices!$I$12)*FX!F14*Eras!F$10</f>
        <v/>
      </c>
      <c r="G15" s="11">
        <f>((Paid!G44+React!G143+Legacy!G46*Legacy!G$3)*Prices!$H$12+(Subs!G85-(Paid!G44+React!G143+Legacy!G46*Legacy!G$3))*Prices!$I$12)*FX!G14*Eras!G$10</f>
        <v/>
      </c>
      <c r="H15" s="11">
        <f>((Paid!H44+React!H143+Legacy!H46*Legacy!H$3)*Prices!$H$12+(Subs!H85-(Paid!H44+React!H143+Legacy!H46*Legacy!H$3))*Prices!$I$12)*FX!H14*Eras!H$10</f>
        <v/>
      </c>
      <c r="I15" s="11">
        <f>((Paid!I44+React!I143+Legacy!I46*Legacy!I$3)*Prices!$H$12+(Subs!I85-(Paid!I44+React!I143+Legacy!I46*Legacy!I$3))*Prices!$I$12)*FX!I14*Eras!I$10</f>
        <v/>
      </c>
      <c r="J15" s="11">
        <f>((Paid!J44+React!J143+Legacy!J46*Legacy!J$3)*Prices!$H$12+(Subs!J85-(Paid!J44+React!J143+Legacy!J46*Legacy!J$3))*Prices!$I$12)*FX!J14*Eras!J$10</f>
        <v/>
      </c>
      <c r="K15" s="11">
        <f>((Paid!K44+React!K143+Legacy!K46*Legacy!K$3)*Prices!$H$12+(Subs!K85-(Paid!K44+React!K143+Legacy!K46*Legacy!K$3))*Prices!$I$12)*FX!K14*Eras!K$10</f>
        <v/>
      </c>
      <c r="L15" s="11">
        <f>((Paid!L44+React!L143+Legacy!L46*Legacy!L$3)*Prices!$H$12+(Subs!L85-(Paid!L44+React!L143+Legacy!L46*Legacy!L$3))*Prices!$I$12)*FX!L14*Eras!L$10</f>
        <v/>
      </c>
      <c r="M15" s="11">
        <f>((Paid!M44+React!M143+Legacy!M46*Legacy!M$3)*Prices!$H$12+(Subs!M85-(Paid!M44+React!M143+Legacy!M46*Legacy!M$3))*Prices!$I$12)*FX!M14*Eras!M$10</f>
        <v/>
      </c>
      <c r="N15" s="11">
        <f>((Paid!N44+React!N143+Legacy!N46*Legacy!N$3)*Prices!$H$12+(Subs!N85-(Paid!N44+React!N143+Legacy!N46*Legacy!N$3))*Prices!$I$12)*FX!N14*Eras!N$10</f>
        <v/>
      </c>
      <c r="O15" s="11">
        <f>((Paid!O44+React!O143+Legacy!O46*Legacy!O$3)*Prices!$H$12+(Subs!O85-(Paid!O44+React!O143+Legacy!O46*Legacy!O$3))*Prices!$I$12)*FX!O14*Eras!O$10</f>
        <v/>
      </c>
      <c r="P15" s="11">
        <f>((Paid!P44+React!P143+Legacy!P46*Legacy!P$3)*Prices!$H$12+(Subs!P85-(Paid!P44+React!P143+Legacy!P46*Legacy!P$3))*Prices!$I$12)*FX!P14*Eras!P$10</f>
        <v/>
      </c>
      <c r="Q15" s="11">
        <f>((Paid!Q44+React!Q143+Legacy!Q46*Legacy!Q$3)*Prices!$H$12+(Subs!Q85-(Paid!Q44+React!Q143+Legacy!Q46*Legacy!Q$3))*Prices!$I$12)*FX!Q14*Eras!Q$10</f>
        <v/>
      </c>
      <c r="R15" s="11">
        <f>((Paid!R44+React!R143+Legacy!R46*Legacy!R$3)*Prices!$H$12+(Subs!R85-(Paid!R44+React!R143+Legacy!R46*Legacy!R$3))*Prices!$I$12)*FX!R14*Eras!R$10</f>
        <v/>
      </c>
      <c r="S15" s="11">
        <f>((Paid!S44+React!S143+Legacy!S46*Legacy!S$3)*Prices!$H$12+(Subs!S85-(Paid!S44+React!S143+Legacy!S46*Legacy!S$3))*Prices!$I$12)*FX!S14*Eras!S$10</f>
        <v/>
      </c>
      <c r="T15" s="11">
        <f>((Paid!T44+React!T143+Legacy!T46*Legacy!T$3)*Prices!$H$12+(Subs!T85-(Paid!T44+React!T143+Legacy!T46*Legacy!T$3))*Prices!$I$12)*FX!T14*Eras!T$10</f>
        <v/>
      </c>
      <c r="U15" s="11">
        <f>((Paid!U44+React!U143+Legacy!U46*Legacy!U$3)*Prices!$H$12+(Subs!U85-(Paid!U44+React!U143+Legacy!U46*Legacy!U$3))*Prices!$I$12)*FX!U14*Eras!U$10</f>
        <v/>
      </c>
      <c r="V15" s="11">
        <f>((Paid!V44+React!V143+Legacy!V46*Legacy!V$3)*Prices!$H$12+(Subs!V85-(Paid!V44+React!V143+Legacy!V46*Legacy!V$3))*Prices!$I$12)*FX!V14*Eras!V$10</f>
        <v/>
      </c>
      <c r="W15" s="11">
        <f>((Paid!W44+React!W143+Legacy!W46*Legacy!W$3)*Prices!$H$12+(Subs!W85-(Paid!W44+React!W143+Legacy!W46*Legacy!W$3))*Prices!$I$12)*FX!W14*Eras!W$10</f>
        <v/>
      </c>
      <c r="X15" s="11">
        <f>((Paid!X44+React!X143+Legacy!X46*Legacy!X$3)*Prices!$H$12+(Subs!X85-(Paid!X44+React!X143+Legacy!X46*Legacy!X$3))*Prices!$I$12)*FX!X14*Eras!X$10</f>
        <v/>
      </c>
      <c r="Y15" s="11">
        <f>((Paid!Y44+React!Y143+Legacy!Y46*Legacy!Y$3)*Prices!$H$12+(Subs!Y85-(Paid!Y44+React!Y143+Legacy!Y46*Legacy!Y$3))*Prices!$I$12)*FX!Y14*Eras!Y$10</f>
        <v/>
      </c>
      <c r="Z15" s="11">
        <f>((Paid!Z44+React!Z143+Legacy!Z46*Legacy!Z$3)*Prices!$H$12+(Subs!Z85-(Paid!Z44+React!Z143+Legacy!Z46*Legacy!Z$3))*Prices!$I$12)*FX!Z14*Eras!Z$10</f>
        <v/>
      </c>
      <c r="AA15" s="11">
        <f>((Paid!AA44+React!AA143+Legacy!AA46*Legacy!AA$3)*Prices!$H$12+(Subs!AA85-(Paid!AA44+React!AA143+Legacy!AA46*Legacy!AA$3))*Prices!$I$12)*FX!AA14*Eras!AA$10</f>
        <v/>
      </c>
      <c r="AB15" s="11">
        <f>((Paid!AB44+React!AB143+Legacy!AB46*Legacy!AB$3)*Prices!$H$12+(Subs!AB85-(Paid!AB44+React!AB143+Legacy!AB46*Legacy!AB$3))*Prices!$I$12)*FX!AB14*Eras!AB$10</f>
        <v/>
      </c>
      <c r="AC15" s="11">
        <f>((Paid!AC44+React!AC143+Legacy!AC46*Legacy!AC$3)*Prices!$H$12+(Subs!AC85-(Paid!AC44+React!AC143+Legacy!AC46*Legacy!AC$3))*Prices!$I$12)*FX!AC14*Eras!AC$10</f>
        <v/>
      </c>
      <c r="AD15" s="11">
        <f>((Paid!AD44+React!AD143+Legacy!AD46*Legacy!AD$3)*Prices!$H$12+(Subs!AD85-(Paid!AD44+React!AD143+Legacy!AD46*Legacy!AD$3))*Prices!$I$12)*FX!AD14*Eras!AD$10</f>
        <v/>
      </c>
      <c r="AE15" s="11">
        <f>((Paid!AE44+React!AE143+Legacy!AE46*Legacy!AE$3)*Prices!$H$12+(Subs!AE85-(Paid!AE44+React!AE143+Legacy!AE46*Legacy!AE$3))*Prices!$I$12)*FX!AE14*Eras!AE$10</f>
        <v/>
      </c>
      <c r="AF15" s="11">
        <f>((Paid!AF44+React!AF143+Legacy!AF46*Legacy!AF$3)*Prices!$H$12+(Subs!AF85-(Paid!AF44+React!AF143+Legacy!AF46*Legacy!AF$3))*Prices!$I$12)*FX!AF14*Eras!AF$10</f>
        <v/>
      </c>
      <c r="AG15" s="11">
        <f>((Paid!AG44+React!AG143+Legacy!AG46*Legacy!AG$3)*Prices!$H$12+(Subs!AG85-(Paid!AG44+React!AG143+Legacy!AG46*Legacy!AG$3))*Prices!$I$12)*FX!AG14*Eras!AG$10</f>
        <v/>
      </c>
      <c r="AH15" s="11">
        <f>((Paid!AH44+React!AH143+Legacy!AH46*Legacy!AH$3)*Prices!$H$12+(Subs!AH85-(Paid!AH44+React!AH143+Legacy!AH46*Legacy!AH$3))*Prices!$I$12)*FX!AH14*Eras!AH$10</f>
        <v/>
      </c>
      <c r="AI15" s="11">
        <f>((Paid!AI44+React!AI143+Legacy!AI46*Legacy!AI$3)*Prices!$H$12+(Subs!AI85-(Paid!AI44+React!AI143+Legacy!AI46*Legacy!AI$3))*Prices!$I$12)*FX!AI14*Eras!AI$10</f>
        <v/>
      </c>
      <c r="AJ15" s="11">
        <f>((Paid!AJ44+React!AJ143+Legacy!AJ46*Legacy!AJ$3)*Prices!$H$12+(Subs!AJ85-(Paid!AJ44+React!AJ143+Legacy!AJ46*Legacy!AJ$3))*Prices!$I$12)*FX!AJ14*Eras!AJ$10</f>
        <v/>
      </c>
      <c r="AK15" s="11">
        <f>((Paid!AK44+React!AK143+Legacy!AK46*Legacy!AK$3)*Prices!$H$12+(Subs!AK85-(Paid!AK44+React!AK143+Legacy!AK46*Legacy!AK$3))*Prices!$I$12)*FX!AK14*Eras!AK$10</f>
        <v/>
      </c>
      <c r="AL15" s="11">
        <f>((Paid!AL44+React!AL143+Legacy!AL46*Legacy!AL$3)*Prices!$H$12+(Subs!AL85-(Paid!AL44+React!AL143+Legacy!AL46*Legacy!AL$3))*Prices!$I$12)*FX!AL14*Eras!AL$10</f>
        <v/>
      </c>
      <c r="AM15" s="11">
        <f>((Paid!AM44+React!AM143+Legacy!AM46*Legacy!AM$3)*Prices!$H$12+(Subs!AM85-(Paid!AM44+React!AM143+Legacy!AM46*Legacy!AM$3))*Prices!$I$12)*FX!AM14*Eras!AM$10</f>
        <v/>
      </c>
      <c r="AN15" s="11">
        <f>((Paid!AN44+React!AN143+Legacy!AN46*Legacy!AN$3)*Prices!$H$12+(Subs!AN85-(Paid!AN44+React!AN143+Legacy!AN46*Legacy!AN$3))*Prices!$I$12)*FX!AN14*Eras!AN$10</f>
        <v/>
      </c>
      <c r="AO15" s="11">
        <f>((Paid!AO44+React!AO143+Legacy!AO46*Legacy!AO$3)*Prices!$H$12+(Subs!AO85-(Paid!AO44+React!AO143+Legacy!AO46*Legacy!AO$3))*Prices!$I$12)*FX!AO14*Eras!AO$10</f>
        <v/>
      </c>
      <c r="AP15" s="11">
        <f>((Paid!AP44+React!AP143+Legacy!AP46*Legacy!AP$3)*Prices!$H$12+(Subs!AP85-(Paid!AP44+React!AP143+Legacy!AP46*Legacy!AP$3))*Prices!$I$12)*FX!AP14*Eras!AP$10</f>
        <v/>
      </c>
      <c r="AQ15" s="11">
        <f>((Paid!AQ44+React!AQ143+Legacy!AQ46*Legacy!AQ$3)*Prices!$H$12+(Subs!AQ85-(Paid!AQ44+React!AQ143+Legacy!AQ46*Legacy!AQ$3))*Prices!$I$12)*FX!AQ14*Eras!AQ$10</f>
        <v/>
      </c>
      <c r="AR15" s="11">
        <f>((Paid!AR44+React!AR143+Legacy!AR46*Legacy!AR$3)*Prices!$H$12+(Subs!AR85-(Paid!AR44+React!AR143+Legacy!AR46*Legacy!AR$3))*Prices!$I$12)*FX!AR14*Eras!AR$10</f>
        <v/>
      </c>
      <c r="AS15" s="11">
        <f>((Paid!AS44+React!AS143+Legacy!AS46*Legacy!AS$3)*Prices!$H$12+(Subs!AS85-(Paid!AS44+React!AS143+Legacy!AS46*Legacy!AS$3))*Prices!$I$12)*FX!AS14*Eras!AS$10</f>
        <v/>
      </c>
      <c r="AT15" s="11">
        <f>((Paid!AT44+React!AT143+Legacy!AT46*Legacy!AT$3)*Prices!$H$12+(Subs!AT85-(Paid!AT44+React!AT143+Legacy!AT46*Legacy!AT$3))*Prices!$I$12)*FX!AT14*Eras!AT$10</f>
        <v/>
      </c>
      <c r="AU15" s="11">
        <f>((Paid!AU44+React!AU143+Legacy!AU46*Legacy!AU$3)*Prices!$H$12+(Subs!AU85-(Paid!AU44+React!AU143+Legacy!AU46*Legacy!AU$3))*Prices!$I$12)*FX!AU14*Eras!AU$10</f>
        <v/>
      </c>
      <c r="AV15" s="11">
        <f>((Paid!AV44+React!AV143+Legacy!AV46*Legacy!AV$3)*Prices!$H$12+(Subs!AV85-(Paid!AV44+React!AV143+Legacy!AV46*Legacy!AV$3))*Prices!$I$12)*FX!AV14*Eras!AV$10</f>
        <v/>
      </c>
      <c r="AW15" s="11">
        <f>((Paid!AW44+React!AW143+Legacy!AW46*Legacy!AW$3)*Prices!$H$12+(Subs!AW85-(Paid!AW44+React!AW143+Legacy!AW46*Legacy!AW$3))*Prices!$I$12)*FX!AW14*Eras!AW$10</f>
        <v/>
      </c>
      <c r="AX15" s="11">
        <f>((Paid!AX44+React!AX143+Legacy!AX46*Legacy!AX$3)*Prices!$H$12+(Subs!AX85-(Paid!AX44+React!AX143+Legacy!AX46*Legacy!AX$3))*Prices!$I$12)*FX!AX14*Eras!AX$10</f>
        <v/>
      </c>
      <c r="AY15" s="11">
        <f>((Paid!AY44+React!AY143+Legacy!AY46*Legacy!AY$3)*Prices!$H$12+(Subs!AY85-(Paid!AY44+React!AY143+Legacy!AY46*Legacy!AY$3))*Prices!$I$12)*FX!AY14*Eras!AY$10</f>
        <v/>
      </c>
      <c r="AZ15" s="11">
        <f>((Paid!AZ44+React!AZ143+Legacy!AZ46*Legacy!AZ$3)*Prices!$H$12+(Subs!AZ85-(Paid!AZ44+React!AZ143+Legacy!AZ46*Legacy!AZ$3))*Prices!$I$12)*FX!AZ14*Eras!AZ$10</f>
        <v/>
      </c>
      <c r="BA15" s="11">
        <f>((Paid!BA44+React!BA143+Legacy!BA46*Legacy!BA$3)*Prices!$H$12+(Subs!BA85-(Paid!BA44+React!BA143+Legacy!BA46*Legacy!BA$3))*Prices!$I$12)*FX!BA14*Eras!BA$10</f>
        <v/>
      </c>
      <c r="BB15" s="11">
        <f>((Paid!BB44+React!BB143+Legacy!BB46*Legacy!BB$3)*Prices!$H$12+(Subs!BB85-(Paid!BB44+React!BB143+Legacy!BB46*Legacy!BB$3))*Prices!$I$12)*FX!BB14*Eras!BB$10</f>
        <v/>
      </c>
      <c r="BC15" s="11">
        <f>((Paid!BC44+React!BC143+Legacy!BC46*Legacy!BC$3)*Prices!$H$12+(Subs!BC85-(Paid!BC44+React!BC143+Legacy!BC46*Legacy!BC$3))*Prices!$I$12)*FX!BC14*Eras!BC$10</f>
        <v/>
      </c>
      <c r="BD15" s="11">
        <f>((Paid!BD44+React!BD143+Legacy!BD46*Legacy!BD$3)*Prices!$H$12+(Subs!BD85-(Paid!BD44+React!BD143+Legacy!BD46*Legacy!BD$3))*Prices!$I$12)*FX!BD14*Eras!BD$10</f>
        <v/>
      </c>
      <c r="BE15" s="11">
        <f>((Paid!BE44+React!BE143+Legacy!BE46*Legacy!BE$3)*Prices!$H$12+(Subs!BE85-(Paid!BE44+React!BE143+Legacy!BE46*Legacy!BE$3))*Prices!$I$12)*FX!BE14*Eras!BE$10</f>
        <v/>
      </c>
      <c r="BF15" s="11">
        <f>((Paid!BF44+React!BF143+Legacy!BF46*Legacy!BF$3)*Prices!$H$12+(Subs!BF85-(Paid!BF44+React!BF143+Legacy!BF46*Legacy!BF$3))*Prices!$I$12)*FX!BF14*Eras!BF$10</f>
        <v/>
      </c>
      <c r="BG15" s="11">
        <f>((Paid!BG44+React!BG143+Legacy!BG46*Legacy!BG$3)*Prices!$H$12+(Subs!BG85-(Paid!BG44+React!BG143+Legacy!BG46*Legacy!BG$3))*Prices!$I$12)*FX!BG14*Eras!BG$10</f>
        <v/>
      </c>
      <c r="BH15" s="11">
        <f>((Paid!BH44+React!BH143+Legacy!BH46*Legacy!BH$3)*Prices!$H$12+(Subs!BH85-(Paid!BH44+React!BH143+Legacy!BH46*Legacy!BH$3))*Prices!$I$12)*FX!BH14*Eras!BH$10</f>
        <v/>
      </c>
      <c r="BI15" s="11">
        <f>((Paid!BI44+React!BI143+Legacy!BI46*Legacy!BI$3)*Prices!$H$12+(Subs!BI85-(Paid!BI44+React!BI143+Legacy!BI46*Legacy!BI$3))*Prices!$I$12)*FX!BI14*Eras!BI$10</f>
        <v/>
      </c>
      <c r="BJ15" s="11">
        <f>((Paid!BJ44+React!BJ143+Legacy!BJ46*Legacy!BJ$3)*Prices!$H$12+(Subs!BJ85-(Paid!BJ44+React!BJ143+Legacy!BJ46*Legacy!BJ$3))*Prices!$I$12)*FX!BJ14*Eras!BJ$10</f>
        <v/>
      </c>
      <c r="BK15" s="11">
        <f>((Paid!BK44+React!BK143+Legacy!BK46*Legacy!BK$3)*Prices!$H$12+(Subs!BK85-(Paid!BK44+React!BK143+Legacy!BK46*Legacy!BK$3))*Prices!$I$12)*FX!BK14*Eras!BK$10</f>
        <v/>
      </c>
      <c r="BL15" s="11">
        <f>((Paid!BL44+React!BL143+Legacy!BL46*Legacy!BL$3)*Prices!$H$12+(Subs!BL85-(Paid!BL44+React!BL143+Legacy!BL46*Legacy!BL$3))*Prices!$I$12)*FX!BL14*Eras!BL$10</f>
        <v/>
      </c>
      <c r="BM15" s="11">
        <f>((Paid!BM44+React!BM143+Legacy!BM46*Legacy!BM$3)*Prices!$H$12+(Subs!BM85-(Paid!BM44+React!BM143+Legacy!BM46*Legacy!BM$3))*Prices!$I$12)*FX!BM14*Eras!BM$10</f>
        <v/>
      </c>
      <c r="BN15" s="11">
        <f>((Paid!BN44+React!BN143+Legacy!BN46*Legacy!BN$3)*Prices!$H$12+(Subs!BN85-(Paid!BN44+React!BN143+Legacy!BN46*Legacy!BN$3))*Prices!$I$12)*FX!BN14*Eras!BN$10</f>
        <v/>
      </c>
      <c r="BO15" s="11">
        <f>((Paid!BO44+React!BO143+Legacy!BO46*Legacy!BO$3)*Prices!$H$12+(Subs!BO85-(Paid!BO44+React!BO143+Legacy!BO46*Legacy!BO$3))*Prices!$I$12)*FX!BO14*Eras!BO$10</f>
        <v/>
      </c>
      <c r="BP15" s="11">
        <f>((Paid!BP44+React!BP143+Legacy!BP46*Legacy!BP$3)*Prices!$H$12+(Subs!BP85-(Paid!BP44+React!BP143+Legacy!BP46*Legacy!BP$3))*Prices!$I$12)*FX!BP14*Eras!BP$10</f>
        <v/>
      </c>
      <c r="BQ15" s="11">
        <f>((Paid!BQ44+React!BQ143+Legacy!BQ46*Legacy!BQ$3)*Prices!$H$12+(Subs!BQ85-(Paid!BQ44+React!BQ143+Legacy!BQ46*Legacy!BQ$3))*Prices!$I$12)*FX!BQ14*Eras!BQ$10</f>
        <v/>
      </c>
      <c r="BR15" s="11">
        <f>((Paid!BR44+React!BR143+Legacy!BR46*Legacy!BR$3)*Prices!$H$12+(Subs!BR85-(Paid!BR44+React!BR143+Legacy!BR46*Legacy!BR$3))*Prices!$I$12)*FX!BR14*Eras!BR$10</f>
        <v/>
      </c>
      <c r="BS15" s="11">
        <f>((Paid!BS44+React!BS143+Legacy!BS46*Legacy!BS$3)*Prices!$H$12+(Subs!BS85-(Paid!BS44+React!BS143+Legacy!BS46*Legacy!BS$3))*Prices!$I$12)*FX!BS14*Eras!BS$10</f>
        <v/>
      </c>
      <c r="BT15" s="11">
        <f>((Paid!BT44+React!BT143+Legacy!BT46*Legacy!BT$3)*Prices!$H$12+(Subs!BT85-(Paid!BT44+React!BT143+Legacy!BT46*Legacy!BT$3))*Prices!$I$12)*FX!BT14*Eras!BT$10</f>
        <v/>
      </c>
      <c r="BU15" s="11">
        <f>((Paid!BU44+React!BU143+Legacy!BU46*Legacy!BU$3)*Prices!$H$12+(Subs!BU85-(Paid!BU44+React!BU143+Legacy!BU46*Legacy!BU$3))*Prices!$I$12)*FX!BU14*Eras!BU$10</f>
        <v/>
      </c>
      <c r="BV15" s="11">
        <f>((Paid!BV44+React!BV143+Legacy!BV46*Legacy!BV$3)*Prices!$H$12+(Subs!BV85-(Paid!BV44+React!BV143+Legacy!BV46*Legacy!BV$3))*Prices!$I$12)*FX!BV14*Eras!BV$10</f>
        <v/>
      </c>
    </row>
    <row r="16">
      <c r="A16" t="inlineStr">
        <is>
          <t>net revenue $</t>
        </is>
      </c>
      <c r="B16" t="inlineStr">
        <is>
          <t>LATAM|BASIC_A</t>
        </is>
      </c>
      <c r="C16" s="11">
        <f>((Paid!C48+React!C156+Legacy!C50*Legacy!C$3)*Prices!$H$13+(Subs!C92-(Paid!C48+React!C156+Legacy!C50*Legacy!C$3))*Prices!$I$13)*FX!C14*Eras!C$10</f>
        <v/>
      </c>
      <c r="D16" s="11">
        <f>((Paid!D48+React!D156+Legacy!D50*Legacy!D$3)*Prices!$H$13+(Subs!D92-(Paid!D48+React!D156+Legacy!D50*Legacy!D$3))*Prices!$I$13)*FX!D14*Eras!D$10</f>
        <v/>
      </c>
      <c r="E16" s="11">
        <f>((Paid!E48+React!E156+Legacy!E50*Legacy!E$3)*Prices!$H$13+(Subs!E92-(Paid!E48+React!E156+Legacy!E50*Legacy!E$3))*Prices!$I$13)*FX!E14*Eras!E$10</f>
        <v/>
      </c>
      <c r="F16" s="11">
        <f>((Paid!F48+React!F156+Legacy!F50*Legacy!F$3)*Prices!$H$13+(Subs!F92-(Paid!F48+React!F156+Legacy!F50*Legacy!F$3))*Prices!$I$13)*FX!F14*Eras!F$10</f>
        <v/>
      </c>
      <c r="G16" s="11">
        <f>((Paid!G48+React!G156+Legacy!G50*Legacy!G$3)*Prices!$H$13+(Subs!G92-(Paid!G48+React!G156+Legacy!G50*Legacy!G$3))*Prices!$I$13)*FX!G14*Eras!G$10</f>
        <v/>
      </c>
      <c r="H16" s="11">
        <f>((Paid!H48+React!H156+Legacy!H50*Legacy!H$3)*Prices!$H$13+(Subs!H92-(Paid!H48+React!H156+Legacy!H50*Legacy!H$3))*Prices!$I$13)*FX!H14*Eras!H$10</f>
        <v/>
      </c>
      <c r="I16" s="11">
        <f>((Paid!I48+React!I156+Legacy!I50*Legacy!I$3)*Prices!$H$13+(Subs!I92-(Paid!I48+React!I156+Legacy!I50*Legacy!I$3))*Prices!$I$13)*FX!I14*Eras!I$10</f>
        <v/>
      </c>
      <c r="J16" s="11">
        <f>((Paid!J48+React!J156+Legacy!J50*Legacy!J$3)*Prices!$H$13+(Subs!J92-(Paid!J48+React!J156+Legacy!J50*Legacy!J$3))*Prices!$I$13)*FX!J14*Eras!J$10</f>
        <v/>
      </c>
      <c r="K16" s="11">
        <f>((Paid!K48+React!K156+Legacy!K50*Legacy!K$3)*Prices!$H$13+(Subs!K92-(Paid!K48+React!K156+Legacy!K50*Legacy!K$3))*Prices!$I$13)*FX!K14*Eras!K$10</f>
        <v/>
      </c>
      <c r="L16" s="11">
        <f>((Paid!L48+React!L156+Legacy!L50*Legacy!L$3)*Prices!$H$13+(Subs!L92-(Paid!L48+React!L156+Legacy!L50*Legacy!L$3))*Prices!$I$13)*FX!L14*Eras!L$10</f>
        <v/>
      </c>
      <c r="M16" s="11">
        <f>((Paid!M48+React!M156+Legacy!M50*Legacy!M$3)*Prices!$H$13+(Subs!M92-(Paid!M48+React!M156+Legacy!M50*Legacy!M$3))*Prices!$I$13)*FX!M14*Eras!M$10</f>
        <v/>
      </c>
      <c r="N16" s="11">
        <f>((Paid!N48+React!N156+Legacy!N50*Legacy!N$3)*Prices!$H$13+(Subs!N92-(Paid!N48+React!N156+Legacy!N50*Legacy!N$3))*Prices!$I$13)*FX!N14*Eras!N$10</f>
        <v/>
      </c>
      <c r="O16" s="11">
        <f>((Paid!O48+React!O156+Legacy!O50*Legacy!O$3)*Prices!$H$13+(Subs!O92-(Paid!O48+React!O156+Legacy!O50*Legacy!O$3))*Prices!$I$13)*FX!O14*Eras!O$10</f>
        <v/>
      </c>
      <c r="P16" s="11">
        <f>((Paid!P48+React!P156+Legacy!P50*Legacy!P$3)*Prices!$H$13+(Subs!P92-(Paid!P48+React!P156+Legacy!P50*Legacy!P$3))*Prices!$I$13)*FX!P14*Eras!P$10</f>
        <v/>
      </c>
      <c r="Q16" s="11">
        <f>((Paid!Q48+React!Q156+Legacy!Q50*Legacy!Q$3)*Prices!$H$13+(Subs!Q92-(Paid!Q48+React!Q156+Legacy!Q50*Legacy!Q$3))*Prices!$I$13)*FX!Q14*Eras!Q$10</f>
        <v/>
      </c>
      <c r="R16" s="11">
        <f>((Paid!R48+React!R156+Legacy!R50*Legacy!R$3)*Prices!$H$13+(Subs!R92-(Paid!R48+React!R156+Legacy!R50*Legacy!R$3))*Prices!$I$13)*FX!R14*Eras!R$10</f>
        <v/>
      </c>
      <c r="S16" s="11">
        <f>((Paid!S48+React!S156+Legacy!S50*Legacy!S$3)*Prices!$H$13+(Subs!S92-(Paid!S48+React!S156+Legacy!S50*Legacy!S$3))*Prices!$I$13)*FX!S14*Eras!S$10</f>
        <v/>
      </c>
      <c r="T16" s="11">
        <f>((Paid!T48+React!T156+Legacy!T50*Legacy!T$3)*Prices!$H$13+(Subs!T92-(Paid!T48+React!T156+Legacy!T50*Legacy!T$3))*Prices!$I$13)*FX!T14*Eras!T$10</f>
        <v/>
      </c>
      <c r="U16" s="11">
        <f>((Paid!U48+React!U156+Legacy!U50*Legacy!U$3)*Prices!$H$13+(Subs!U92-(Paid!U48+React!U156+Legacy!U50*Legacy!U$3))*Prices!$I$13)*FX!U14*Eras!U$10</f>
        <v/>
      </c>
      <c r="V16" s="11">
        <f>((Paid!V48+React!V156+Legacy!V50*Legacy!V$3)*Prices!$H$13+(Subs!V92-(Paid!V48+React!V156+Legacy!V50*Legacy!V$3))*Prices!$I$13)*FX!V14*Eras!V$10</f>
        <v/>
      </c>
      <c r="W16" s="11">
        <f>((Paid!W48+React!W156+Legacy!W50*Legacy!W$3)*Prices!$H$13+(Subs!W92-(Paid!W48+React!W156+Legacy!W50*Legacy!W$3))*Prices!$I$13)*FX!W14*Eras!W$10</f>
        <v/>
      </c>
      <c r="X16" s="11">
        <f>((Paid!X48+React!X156+Legacy!X50*Legacy!X$3)*Prices!$H$13+(Subs!X92-(Paid!X48+React!X156+Legacy!X50*Legacy!X$3))*Prices!$I$13)*FX!X14*Eras!X$10</f>
        <v/>
      </c>
      <c r="Y16" s="11">
        <f>((Paid!Y48+React!Y156+Legacy!Y50*Legacy!Y$3)*Prices!$H$13+(Subs!Y92-(Paid!Y48+React!Y156+Legacy!Y50*Legacy!Y$3))*Prices!$I$13)*FX!Y14*Eras!Y$10</f>
        <v/>
      </c>
      <c r="Z16" s="11">
        <f>((Paid!Z48+React!Z156+Legacy!Z50*Legacy!Z$3)*Prices!$H$13+(Subs!Z92-(Paid!Z48+React!Z156+Legacy!Z50*Legacy!Z$3))*Prices!$I$13)*FX!Z14*Eras!Z$10</f>
        <v/>
      </c>
      <c r="AA16" s="11">
        <f>((Paid!AA48+React!AA156+Legacy!AA50*Legacy!AA$3)*Prices!$H$13+(Subs!AA92-(Paid!AA48+React!AA156+Legacy!AA50*Legacy!AA$3))*Prices!$I$13)*FX!AA14*Eras!AA$10</f>
        <v/>
      </c>
      <c r="AB16" s="11">
        <f>((Paid!AB48+React!AB156+Legacy!AB50*Legacy!AB$3)*Prices!$H$13+(Subs!AB92-(Paid!AB48+React!AB156+Legacy!AB50*Legacy!AB$3))*Prices!$I$13)*FX!AB14*Eras!AB$10</f>
        <v/>
      </c>
      <c r="AC16" s="11">
        <f>((Paid!AC48+React!AC156+Legacy!AC50*Legacy!AC$3)*Prices!$H$13+(Subs!AC92-(Paid!AC48+React!AC156+Legacy!AC50*Legacy!AC$3))*Prices!$I$13)*FX!AC14*Eras!AC$10</f>
        <v/>
      </c>
      <c r="AD16" s="11">
        <f>((Paid!AD48+React!AD156+Legacy!AD50*Legacy!AD$3)*Prices!$H$13+(Subs!AD92-(Paid!AD48+React!AD156+Legacy!AD50*Legacy!AD$3))*Prices!$I$13)*FX!AD14*Eras!AD$10</f>
        <v/>
      </c>
      <c r="AE16" s="11">
        <f>((Paid!AE48+React!AE156+Legacy!AE50*Legacy!AE$3)*Prices!$H$13+(Subs!AE92-(Paid!AE48+React!AE156+Legacy!AE50*Legacy!AE$3))*Prices!$I$13)*FX!AE14*Eras!AE$10</f>
        <v/>
      </c>
      <c r="AF16" s="11">
        <f>((Paid!AF48+React!AF156+Legacy!AF50*Legacy!AF$3)*Prices!$H$13+(Subs!AF92-(Paid!AF48+React!AF156+Legacy!AF50*Legacy!AF$3))*Prices!$I$13)*FX!AF14*Eras!AF$10</f>
        <v/>
      </c>
      <c r="AG16" s="11">
        <f>((Paid!AG48+React!AG156+Legacy!AG50*Legacy!AG$3)*Prices!$H$13+(Subs!AG92-(Paid!AG48+React!AG156+Legacy!AG50*Legacy!AG$3))*Prices!$I$13)*FX!AG14*Eras!AG$10</f>
        <v/>
      </c>
      <c r="AH16" s="11">
        <f>((Paid!AH48+React!AH156+Legacy!AH50*Legacy!AH$3)*Prices!$H$13+(Subs!AH92-(Paid!AH48+React!AH156+Legacy!AH50*Legacy!AH$3))*Prices!$I$13)*FX!AH14*Eras!AH$10</f>
        <v/>
      </c>
      <c r="AI16" s="11">
        <f>((Paid!AI48+React!AI156+Legacy!AI50*Legacy!AI$3)*Prices!$H$13+(Subs!AI92-(Paid!AI48+React!AI156+Legacy!AI50*Legacy!AI$3))*Prices!$I$13)*FX!AI14*Eras!AI$10</f>
        <v/>
      </c>
      <c r="AJ16" s="11">
        <f>((Paid!AJ48+React!AJ156+Legacy!AJ50*Legacy!AJ$3)*Prices!$H$13+(Subs!AJ92-(Paid!AJ48+React!AJ156+Legacy!AJ50*Legacy!AJ$3))*Prices!$I$13)*FX!AJ14*Eras!AJ$10</f>
        <v/>
      </c>
      <c r="AK16" s="11">
        <f>((Paid!AK48+React!AK156+Legacy!AK50*Legacy!AK$3)*Prices!$H$13+(Subs!AK92-(Paid!AK48+React!AK156+Legacy!AK50*Legacy!AK$3))*Prices!$I$13)*FX!AK14*Eras!AK$10</f>
        <v/>
      </c>
      <c r="AL16" s="11">
        <f>((Paid!AL48+React!AL156+Legacy!AL50*Legacy!AL$3)*Prices!$H$13+(Subs!AL92-(Paid!AL48+React!AL156+Legacy!AL50*Legacy!AL$3))*Prices!$I$13)*FX!AL14*Eras!AL$10</f>
        <v/>
      </c>
      <c r="AM16" s="11">
        <f>((Paid!AM48+React!AM156+Legacy!AM50*Legacy!AM$3)*Prices!$H$13+(Subs!AM92-(Paid!AM48+React!AM156+Legacy!AM50*Legacy!AM$3))*Prices!$I$13)*FX!AM14*Eras!AM$10</f>
        <v/>
      </c>
      <c r="AN16" s="11">
        <f>((Paid!AN48+React!AN156+Legacy!AN50*Legacy!AN$3)*Prices!$H$13+(Subs!AN92-(Paid!AN48+React!AN156+Legacy!AN50*Legacy!AN$3))*Prices!$I$13)*FX!AN14*Eras!AN$10</f>
        <v/>
      </c>
      <c r="AO16" s="11">
        <f>((Paid!AO48+React!AO156+Legacy!AO50*Legacy!AO$3)*Prices!$H$13+(Subs!AO92-(Paid!AO48+React!AO156+Legacy!AO50*Legacy!AO$3))*Prices!$I$13)*FX!AO14*Eras!AO$10</f>
        <v/>
      </c>
      <c r="AP16" s="11">
        <f>((Paid!AP48+React!AP156+Legacy!AP50*Legacy!AP$3)*Prices!$H$13+(Subs!AP92-(Paid!AP48+React!AP156+Legacy!AP50*Legacy!AP$3))*Prices!$I$13)*FX!AP14*Eras!AP$10</f>
        <v/>
      </c>
      <c r="AQ16" s="11">
        <f>((Paid!AQ48+React!AQ156+Legacy!AQ50*Legacy!AQ$3)*Prices!$H$13+(Subs!AQ92-(Paid!AQ48+React!AQ156+Legacy!AQ50*Legacy!AQ$3))*Prices!$I$13)*FX!AQ14*Eras!AQ$10</f>
        <v/>
      </c>
      <c r="AR16" s="11">
        <f>((Paid!AR48+React!AR156+Legacy!AR50*Legacy!AR$3)*Prices!$H$13+(Subs!AR92-(Paid!AR48+React!AR156+Legacy!AR50*Legacy!AR$3))*Prices!$I$13)*FX!AR14*Eras!AR$10</f>
        <v/>
      </c>
      <c r="AS16" s="11">
        <f>((Paid!AS48+React!AS156+Legacy!AS50*Legacy!AS$3)*Prices!$H$13+(Subs!AS92-(Paid!AS48+React!AS156+Legacy!AS50*Legacy!AS$3))*Prices!$I$13)*FX!AS14*Eras!AS$10</f>
        <v/>
      </c>
      <c r="AT16" s="11">
        <f>((Paid!AT48+React!AT156+Legacy!AT50*Legacy!AT$3)*Prices!$H$13+(Subs!AT92-(Paid!AT48+React!AT156+Legacy!AT50*Legacy!AT$3))*Prices!$I$13)*FX!AT14*Eras!AT$10</f>
        <v/>
      </c>
      <c r="AU16" s="11">
        <f>((Paid!AU48+React!AU156+Legacy!AU50*Legacy!AU$3)*Prices!$H$13+(Subs!AU92-(Paid!AU48+React!AU156+Legacy!AU50*Legacy!AU$3))*Prices!$I$13)*FX!AU14*Eras!AU$10</f>
        <v/>
      </c>
      <c r="AV16" s="11">
        <f>((Paid!AV48+React!AV156+Legacy!AV50*Legacy!AV$3)*Prices!$H$13+(Subs!AV92-(Paid!AV48+React!AV156+Legacy!AV50*Legacy!AV$3))*Prices!$I$13)*FX!AV14*Eras!AV$10</f>
        <v/>
      </c>
      <c r="AW16" s="11">
        <f>((Paid!AW48+React!AW156+Legacy!AW50*Legacy!AW$3)*Prices!$H$13+(Subs!AW92-(Paid!AW48+React!AW156+Legacy!AW50*Legacy!AW$3))*Prices!$I$13)*FX!AW14*Eras!AW$10</f>
        <v/>
      </c>
      <c r="AX16" s="11">
        <f>((Paid!AX48+React!AX156+Legacy!AX50*Legacy!AX$3)*Prices!$H$13+(Subs!AX92-(Paid!AX48+React!AX156+Legacy!AX50*Legacy!AX$3))*Prices!$I$13)*FX!AX14*Eras!AX$10</f>
        <v/>
      </c>
      <c r="AY16" s="11">
        <f>((Paid!AY48+React!AY156+Legacy!AY50*Legacy!AY$3)*Prices!$H$13+(Subs!AY92-(Paid!AY48+React!AY156+Legacy!AY50*Legacy!AY$3))*Prices!$I$13)*FX!AY14*Eras!AY$10</f>
        <v/>
      </c>
      <c r="AZ16" s="11">
        <f>((Paid!AZ48+React!AZ156+Legacy!AZ50*Legacy!AZ$3)*Prices!$H$13+(Subs!AZ92-(Paid!AZ48+React!AZ156+Legacy!AZ50*Legacy!AZ$3))*Prices!$I$13)*FX!AZ14*Eras!AZ$10</f>
        <v/>
      </c>
      <c r="BA16" s="11">
        <f>((Paid!BA48+React!BA156+Legacy!BA50*Legacy!BA$3)*Prices!$H$13+(Subs!BA92-(Paid!BA48+React!BA156+Legacy!BA50*Legacy!BA$3))*Prices!$I$13)*FX!BA14*Eras!BA$10</f>
        <v/>
      </c>
      <c r="BB16" s="11">
        <f>((Paid!BB48+React!BB156+Legacy!BB50*Legacy!BB$3)*Prices!$H$13+(Subs!BB92-(Paid!BB48+React!BB156+Legacy!BB50*Legacy!BB$3))*Prices!$I$13)*FX!BB14*Eras!BB$10</f>
        <v/>
      </c>
      <c r="BC16" s="11">
        <f>((Paid!BC48+React!BC156+Legacy!BC50*Legacy!BC$3)*Prices!$H$13+(Subs!BC92-(Paid!BC48+React!BC156+Legacy!BC50*Legacy!BC$3))*Prices!$I$13)*FX!BC14*Eras!BC$10</f>
        <v/>
      </c>
      <c r="BD16" s="11">
        <f>((Paid!BD48+React!BD156+Legacy!BD50*Legacy!BD$3)*Prices!$H$13+(Subs!BD92-(Paid!BD48+React!BD156+Legacy!BD50*Legacy!BD$3))*Prices!$I$13)*FX!BD14*Eras!BD$10</f>
        <v/>
      </c>
      <c r="BE16" s="11">
        <f>((Paid!BE48+React!BE156+Legacy!BE50*Legacy!BE$3)*Prices!$H$13+(Subs!BE92-(Paid!BE48+React!BE156+Legacy!BE50*Legacy!BE$3))*Prices!$I$13)*FX!BE14*Eras!BE$10</f>
        <v/>
      </c>
      <c r="BF16" s="11">
        <f>((Paid!BF48+React!BF156+Legacy!BF50*Legacy!BF$3)*Prices!$H$13+(Subs!BF92-(Paid!BF48+React!BF156+Legacy!BF50*Legacy!BF$3))*Prices!$I$13)*FX!BF14*Eras!BF$10</f>
        <v/>
      </c>
      <c r="BG16" s="11">
        <f>((Paid!BG48+React!BG156+Legacy!BG50*Legacy!BG$3)*Prices!$H$13+(Subs!BG92-(Paid!BG48+React!BG156+Legacy!BG50*Legacy!BG$3))*Prices!$I$13)*FX!BG14*Eras!BG$10</f>
        <v/>
      </c>
      <c r="BH16" s="11">
        <f>((Paid!BH48+React!BH156+Legacy!BH50*Legacy!BH$3)*Prices!$H$13+(Subs!BH92-(Paid!BH48+React!BH156+Legacy!BH50*Legacy!BH$3))*Prices!$I$13)*FX!BH14*Eras!BH$10</f>
        <v/>
      </c>
      <c r="BI16" s="11">
        <f>((Paid!BI48+React!BI156+Legacy!BI50*Legacy!BI$3)*Prices!$H$13+(Subs!BI92-(Paid!BI48+React!BI156+Legacy!BI50*Legacy!BI$3))*Prices!$I$13)*FX!BI14*Eras!BI$10</f>
        <v/>
      </c>
      <c r="BJ16" s="11">
        <f>((Paid!BJ48+React!BJ156+Legacy!BJ50*Legacy!BJ$3)*Prices!$H$13+(Subs!BJ92-(Paid!BJ48+React!BJ156+Legacy!BJ50*Legacy!BJ$3))*Prices!$I$13)*FX!BJ14*Eras!BJ$10</f>
        <v/>
      </c>
      <c r="BK16" s="11">
        <f>((Paid!BK48+React!BK156+Legacy!BK50*Legacy!BK$3)*Prices!$H$13+(Subs!BK92-(Paid!BK48+React!BK156+Legacy!BK50*Legacy!BK$3))*Prices!$I$13)*FX!BK14*Eras!BK$10</f>
        <v/>
      </c>
      <c r="BL16" s="11">
        <f>((Paid!BL48+React!BL156+Legacy!BL50*Legacy!BL$3)*Prices!$H$13+(Subs!BL92-(Paid!BL48+React!BL156+Legacy!BL50*Legacy!BL$3))*Prices!$I$13)*FX!BL14*Eras!BL$10</f>
        <v/>
      </c>
      <c r="BM16" s="11">
        <f>((Paid!BM48+React!BM156+Legacy!BM50*Legacy!BM$3)*Prices!$H$13+(Subs!BM92-(Paid!BM48+React!BM156+Legacy!BM50*Legacy!BM$3))*Prices!$I$13)*FX!BM14*Eras!BM$10</f>
        <v/>
      </c>
      <c r="BN16" s="11">
        <f>((Paid!BN48+React!BN156+Legacy!BN50*Legacy!BN$3)*Prices!$H$13+(Subs!BN92-(Paid!BN48+React!BN156+Legacy!BN50*Legacy!BN$3))*Prices!$I$13)*FX!BN14*Eras!BN$10</f>
        <v/>
      </c>
      <c r="BO16" s="11">
        <f>((Paid!BO48+React!BO156+Legacy!BO50*Legacy!BO$3)*Prices!$H$13+(Subs!BO92-(Paid!BO48+React!BO156+Legacy!BO50*Legacy!BO$3))*Prices!$I$13)*FX!BO14*Eras!BO$10</f>
        <v/>
      </c>
      <c r="BP16" s="11">
        <f>((Paid!BP48+React!BP156+Legacy!BP50*Legacy!BP$3)*Prices!$H$13+(Subs!BP92-(Paid!BP48+React!BP156+Legacy!BP50*Legacy!BP$3))*Prices!$I$13)*FX!BP14*Eras!BP$10</f>
        <v/>
      </c>
      <c r="BQ16" s="11">
        <f>((Paid!BQ48+React!BQ156+Legacy!BQ50*Legacy!BQ$3)*Prices!$H$13+(Subs!BQ92-(Paid!BQ48+React!BQ156+Legacy!BQ50*Legacy!BQ$3))*Prices!$I$13)*FX!BQ14*Eras!BQ$10</f>
        <v/>
      </c>
      <c r="BR16" s="11">
        <f>((Paid!BR48+React!BR156+Legacy!BR50*Legacy!BR$3)*Prices!$H$13+(Subs!BR92-(Paid!BR48+React!BR156+Legacy!BR50*Legacy!BR$3))*Prices!$I$13)*FX!BR14*Eras!BR$10</f>
        <v/>
      </c>
      <c r="BS16" s="11">
        <f>((Paid!BS48+React!BS156+Legacy!BS50*Legacy!BS$3)*Prices!$H$13+(Subs!BS92-(Paid!BS48+React!BS156+Legacy!BS50*Legacy!BS$3))*Prices!$I$13)*FX!BS14*Eras!BS$10</f>
        <v/>
      </c>
      <c r="BT16" s="11">
        <f>((Paid!BT48+React!BT156+Legacy!BT50*Legacy!BT$3)*Prices!$H$13+(Subs!BT92-(Paid!BT48+React!BT156+Legacy!BT50*Legacy!BT$3))*Prices!$I$13)*FX!BT14*Eras!BT$10</f>
        <v/>
      </c>
      <c r="BU16" s="11">
        <f>((Paid!BU48+React!BU156+Legacy!BU50*Legacy!BU$3)*Prices!$H$13+(Subs!BU92-(Paid!BU48+React!BU156+Legacy!BU50*Legacy!BU$3))*Prices!$I$13)*FX!BU14*Eras!BU$10</f>
        <v/>
      </c>
      <c r="BV16" s="11">
        <f>((Paid!BV48+React!BV156+Legacy!BV50*Legacy!BV$3)*Prices!$H$13+(Subs!BV92-(Paid!BV48+React!BV156+Legacy!BV50*Legacy!BV$3))*Prices!$I$13)*FX!BV14*Eras!BV$10</f>
        <v/>
      </c>
    </row>
    <row r="17">
      <c r="A17" t="inlineStr">
        <is>
          <t>net revenue $</t>
        </is>
      </c>
      <c r="B17" t="inlineStr">
        <is>
          <t>APAC|NITRO_M</t>
        </is>
      </c>
      <c r="C17" s="11">
        <f>((Paid!C52+React!C169+Legacy!C54*Legacy!C$3)*Prices!$H$14+(Subs!C99-(Paid!C52+React!C169+Legacy!C54*Legacy!C$3))*Prices!$I$14)*FX!C15*Eras!C$10</f>
        <v/>
      </c>
      <c r="D17" s="11">
        <f>((Paid!D52+React!D169+Legacy!D54*Legacy!D$3)*Prices!$H$14+(Subs!D99-(Paid!D52+React!D169+Legacy!D54*Legacy!D$3))*Prices!$I$14)*FX!D15*Eras!D$10</f>
        <v/>
      </c>
      <c r="E17" s="11">
        <f>((Paid!E52+React!E169+Legacy!E54*Legacy!E$3)*Prices!$H$14+(Subs!E99-(Paid!E52+React!E169+Legacy!E54*Legacy!E$3))*Prices!$I$14)*FX!E15*Eras!E$10</f>
        <v/>
      </c>
      <c r="F17" s="11">
        <f>((Paid!F52+React!F169+Legacy!F54*Legacy!F$3)*Prices!$H$14+(Subs!F99-(Paid!F52+React!F169+Legacy!F54*Legacy!F$3))*Prices!$I$14)*FX!F15*Eras!F$10</f>
        <v/>
      </c>
      <c r="G17" s="11">
        <f>((Paid!G52+React!G169+Legacy!G54*Legacy!G$3)*Prices!$H$14+(Subs!G99-(Paid!G52+React!G169+Legacy!G54*Legacy!G$3))*Prices!$I$14)*FX!G15*Eras!G$10</f>
        <v/>
      </c>
      <c r="H17" s="11">
        <f>((Paid!H52+React!H169+Legacy!H54*Legacy!H$3)*Prices!$H$14+(Subs!H99-(Paid!H52+React!H169+Legacy!H54*Legacy!H$3))*Prices!$I$14)*FX!H15*Eras!H$10</f>
        <v/>
      </c>
      <c r="I17" s="11">
        <f>((Paid!I52+React!I169+Legacy!I54*Legacy!I$3)*Prices!$H$14+(Subs!I99-(Paid!I52+React!I169+Legacy!I54*Legacy!I$3))*Prices!$I$14)*FX!I15*Eras!I$10</f>
        <v/>
      </c>
      <c r="J17" s="11">
        <f>((Paid!J52+React!J169+Legacy!J54*Legacy!J$3)*Prices!$H$14+(Subs!J99-(Paid!J52+React!J169+Legacy!J54*Legacy!J$3))*Prices!$I$14)*FX!J15*Eras!J$10</f>
        <v/>
      </c>
      <c r="K17" s="11">
        <f>((Paid!K52+React!K169+Legacy!K54*Legacy!K$3)*Prices!$H$14+(Subs!K99-(Paid!K52+React!K169+Legacy!K54*Legacy!K$3))*Prices!$I$14)*FX!K15*Eras!K$10</f>
        <v/>
      </c>
      <c r="L17" s="11">
        <f>((Paid!L52+React!L169+Legacy!L54*Legacy!L$3)*Prices!$H$14+(Subs!L99-(Paid!L52+React!L169+Legacy!L54*Legacy!L$3))*Prices!$I$14)*FX!L15*Eras!L$10</f>
        <v/>
      </c>
      <c r="M17" s="11">
        <f>((Paid!M52+React!M169+Legacy!M54*Legacy!M$3)*Prices!$H$14+(Subs!M99-(Paid!M52+React!M169+Legacy!M54*Legacy!M$3))*Prices!$I$14)*FX!M15*Eras!M$10</f>
        <v/>
      </c>
      <c r="N17" s="11">
        <f>((Paid!N52+React!N169+Legacy!N54*Legacy!N$3)*Prices!$H$14+(Subs!N99-(Paid!N52+React!N169+Legacy!N54*Legacy!N$3))*Prices!$I$14)*FX!N15*Eras!N$10</f>
        <v/>
      </c>
      <c r="O17" s="11">
        <f>((Paid!O52+React!O169+Legacy!O54*Legacy!O$3)*Prices!$H$14+(Subs!O99-(Paid!O52+React!O169+Legacy!O54*Legacy!O$3))*Prices!$I$14)*FX!O15*Eras!O$10</f>
        <v/>
      </c>
      <c r="P17" s="11">
        <f>((Paid!P52+React!P169+Legacy!P54*Legacy!P$3)*Prices!$H$14+(Subs!P99-(Paid!P52+React!P169+Legacy!P54*Legacy!P$3))*Prices!$I$14)*FX!P15*Eras!P$10</f>
        <v/>
      </c>
      <c r="Q17" s="11">
        <f>((Paid!Q52+React!Q169+Legacy!Q54*Legacy!Q$3)*Prices!$H$14+(Subs!Q99-(Paid!Q52+React!Q169+Legacy!Q54*Legacy!Q$3))*Prices!$I$14)*FX!Q15*Eras!Q$10</f>
        <v/>
      </c>
      <c r="R17" s="11">
        <f>((Paid!R52+React!R169+Legacy!R54*Legacy!R$3)*Prices!$H$14+(Subs!R99-(Paid!R52+React!R169+Legacy!R54*Legacy!R$3))*Prices!$I$14)*FX!R15*Eras!R$10</f>
        <v/>
      </c>
      <c r="S17" s="11">
        <f>((Paid!S52+React!S169+Legacy!S54*Legacy!S$3)*Prices!$H$14+(Subs!S99-(Paid!S52+React!S169+Legacy!S54*Legacy!S$3))*Prices!$I$14)*FX!S15*Eras!S$10</f>
        <v/>
      </c>
      <c r="T17" s="11">
        <f>((Paid!T52+React!T169+Legacy!T54*Legacy!T$3)*Prices!$H$14+(Subs!T99-(Paid!T52+React!T169+Legacy!T54*Legacy!T$3))*Prices!$I$14)*FX!T15*Eras!T$10</f>
        <v/>
      </c>
      <c r="U17" s="11">
        <f>((Paid!U52+React!U169+Legacy!U54*Legacy!U$3)*Prices!$H$14+(Subs!U99-(Paid!U52+React!U169+Legacy!U54*Legacy!U$3))*Prices!$I$14)*FX!U15*Eras!U$10</f>
        <v/>
      </c>
      <c r="V17" s="11">
        <f>((Paid!V52+React!V169+Legacy!V54*Legacy!V$3)*Prices!$H$14+(Subs!V99-(Paid!V52+React!V169+Legacy!V54*Legacy!V$3))*Prices!$I$14)*FX!V15*Eras!V$10</f>
        <v/>
      </c>
      <c r="W17" s="11">
        <f>((Paid!W52+React!W169+Legacy!W54*Legacy!W$3)*Prices!$H$14+(Subs!W99-(Paid!W52+React!W169+Legacy!W54*Legacy!W$3))*Prices!$I$14)*FX!W15*Eras!W$10</f>
        <v/>
      </c>
      <c r="X17" s="11">
        <f>((Paid!X52+React!X169+Legacy!X54*Legacy!X$3)*Prices!$H$14+(Subs!X99-(Paid!X52+React!X169+Legacy!X54*Legacy!X$3))*Prices!$I$14)*FX!X15*Eras!X$10</f>
        <v/>
      </c>
      <c r="Y17" s="11">
        <f>((Paid!Y52+React!Y169+Legacy!Y54*Legacy!Y$3)*Prices!$H$14+(Subs!Y99-(Paid!Y52+React!Y169+Legacy!Y54*Legacy!Y$3))*Prices!$I$14)*FX!Y15*Eras!Y$10</f>
        <v/>
      </c>
      <c r="Z17" s="11">
        <f>((Paid!Z52+React!Z169+Legacy!Z54*Legacy!Z$3)*Prices!$H$14+(Subs!Z99-(Paid!Z52+React!Z169+Legacy!Z54*Legacy!Z$3))*Prices!$I$14)*FX!Z15*Eras!Z$10</f>
        <v/>
      </c>
      <c r="AA17" s="11">
        <f>((Paid!AA52+React!AA169+Legacy!AA54*Legacy!AA$3)*Prices!$H$14+(Subs!AA99-(Paid!AA52+React!AA169+Legacy!AA54*Legacy!AA$3))*Prices!$I$14)*FX!AA15*Eras!AA$10</f>
        <v/>
      </c>
      <c r="AB17" s="11">
        <f>((Paid!AB52+React!AB169+Legacy!AB54*Legacy!AB$3)*Prices!$H$14+(Subs!AB99-(Paid!AB52+React!AB169+Legacy!AB54*Legacy!AB$3))*Prices!$I$14)*FX!AB15*Eras!AB$10</f>
        <v/>
      </c>
      <c r="AC17" s="11">
        <f>((Paid!AC52+React!AC169+Legacy!AC54*Legacy!AC$3)*Prices!$H$14+(Subs!AC99-(Paid!AC52+React!AC169+Legacy!AC54*Legacy!AC$3))*Prices!$I$14)*FX!AC15*Eras!AC$10</f>
        <v/>
      </c>
      <c r="AD17" s="11">
        <f>((Paid!AD52+React!AD169+Legacy!AD54*Legacy!AD$3)*Prices!$H$14+(Subs!AD99-(Paid!AD52+React!AD169+Legacy!AD54*Legacy!AD$3))*Prices!$I$14)*FX!AD15*Eras!AD$10</f>
        <v/>
      </c>
      <c r="AE17" s="11">
        <f>((Paid!AE52+React!AE169+Legacy!AE54*Legacy!AE$3)*Prices!$H$14+(Subs!AE99-(Paid!AE52+React!AE169+Legacy!AE54*Legacy!AE$3))*Prices!$I$14)*FX!AE15*Eras!AE$10</f>
        <v/>
      </c>
      <c r="AF17" s="11">
        <f>((Paid!AF52+React!AF169+Legacy!AF54*Legacy!AF$3)*Prices!$H$14+(Subs!AF99-(Paid!AF52+React!AF169+Legacy!AF54*Legacy!AF$3))*Prices!$I$14)*FX!AF15*Eras!AF$10</f>
        <v/>
      </c>
      <c r="AG17" s="11">
        <f>((Paid!AG52+React!AG169+Legacy!AG54*Legacy!AG$3)*Prices!$H$14+(Subs!AG99-(Paid!AG52+React!AG169+Legacy!AG54*Legacy!AG$3))*Prices!$I$14)*FX!AG15*Eras!AG$10</f>
        <v/>
      </c>
      <c r="AH17" s="11">
        <f>((Paid!AH52+React!AH169+Legacy!AH54*Legacy!AH$3)*Prices!$H$14+(Subs!AH99-(Paid!AH52+React!AH169+Legacy!AH54*Legacy!AH$3))*Prices!$I$14)*FX!AH15*Eras!AH$10</f>
        <v/>
      </c>
      <c r="AI17" s="11">
        <f>((Paid!AI52+React!AI169+Legacy!AI54*Legacy!AI$3)*Prices!$H$14+(Subs!AI99-(Paid!AI52+React!AI169+Legacy!AI54*Legacy!AI$3))*Prices!$I$14)*FX!AI15*Eras!AI$10</f>
        <v/>
      </c>
      <c r="AJ17" s="11">
        <f>((Paid!AJ52+React!AJ169+Legacy!AJ54*Legacy!AJ$3)*Prices!$H$14+(Subs!AJ99-(Paid!AJ52+React!AJ169+Legacy!AJ54*Legacy!AJ$3))*Prices!$I$14)*FX!AJ15*Eras!AJ$10</f>
        <v/>
      </c>
      <c r="AK17" s="11">
        <f>((Paid!AK52+React!AK169+Legacy!AK54*Legacy!AK$3)*Prices!$H$14+(Subs!AK99-(Paid!AK52+React!AK169+Legacy!AK54*Legacy!AK$3))*Prices!$I$14)*FX!AK15*Eras!AK$10</f>
        <v/>
      </c>
      <c r="AL17" s="11">
        <f>((Paid!AL52+React!AL169+Legacy!AL54*Legacy!AL$3)*Prices!$H$14+(Subs!AL99-(Paid!AL52+React!AL169+Legacy!AL54*Legacy!AL$3))*Prices!$I$14)*FX!AL15*Eras!AL$10</f>
        <v/>
      </c>
      <c r="AM17" s="11">
        <f>((Paid!AM52+React!AM169+Legacy!AM54*Legacy!AM$3)*Prices!$H$14+(Subs!AM99-(Paid!AM52+React!AM169+Legacy!AM54*Legacy!AM$3))*Prices!$I$14)*FX!AM15*Eras!AM$10</f>
        <v/>
      </c>
      <c r="AN17" s="11">
        <f>((Paid!AN52+React!AN169+Legacy!AN54*Legacy!AN$3)*Prices!$H$14+(Subs!AN99-(Paid!AN52+React!AN169+Legacy!AN54*Legacy!AN$3))*Prices!$I$14)*FX!AN15*Eras!AN$10</f>
        <v/>
      </c>
      <c r="AO17" s="11">
        <f>((Paid!AO52+React!AO169+Legacy!AO54*Legacy!AO$3)*Prices!$H$14+(Subs!AO99-(Paid!AO52+React!AO169+Legacy!AO54*Legacy!AO$3))*Prices!$I$14)*FX!AO15*Eras!AO$10</f>
        <v/>
      </c>
      <c r="AP17" s="11">
        <f>((Paid!AP52+React!AP169+Legacy!AP54*Legacy!AP$3)*Prices!$H$14+(Subs!AP99-(Paid!AP52+React!AP169+Legacy!AP54*Legacy!AP$3))*Prices!$I$14)*FX!AP15*Eras!AP$10</f>
        <v/>
      </c>
      <c r="AQ17" s="11">
        <f>((Paid!AQ52+React!AQ169+Legacy!AQ54*Legacy!AQ$3)*Prices!$H$14+(Subs!AQ99-(Paid!AQ52+React!AQ169+Legacy!AQ54*Legacy!AQ$3))*Prices!$I$14)*FX!AQ15*Eras!AQ$10</f>
        <v/>
      </c>
      <c r="AR17" s="11">
        <f>((Paid!AR52+React!AR169+Legacy!AR54*Legacy!AR$3)*Prices!$H$14+(Subs!AR99-(Paid!AR52+React!AR169+Legacy!AR54*Legacy!AR$3))*Prices!$I$14)*FX!AR15*Eras!AR$10</f>
        <v/>
      </c>
      <c r="AS17" s="11">
        <f>((Paid!AS52+React!AS169+Legacy!AS54*Legacy!AS$3)*Prices!$H$14+(Subs!AS99-(Paid!AS52+React!AS169+Legacy!AS54*Legacy!AS$3))*Prices!$I$14)*FX!AS15*Eras!AS$10</f>
        <v/>
      </c>
      <c r="AT17" s="11">
        <f>((Paid!AT52+React!AT169+Legacy!AT54*Legacy!AT$3)*Prices!$H$14+(Subs!AT99-(Paid!AT52+React!AT169+Legacy!AT54*Legacy!AT$3))*Prices!$I$14)*FX!AT15*Eras!AT$10</f>
        <v/>
      </c>
      <c r="AU17" s="11">
        <f>((Paid!AU52+React!AU169+Legacy!AU54*Legacy!AU$3)*Prices!$H$14+(Subs!AU99-(Paid!AU52+React!AU169+Legacy!AU54*Legacy!AU$3))*Prices!$I$14)*FX!AU15*Eras!AU$10</f>
        <v/>
      </c>
      <c r="AV17" s="11">
        <f>((Paid!AV52+React!AV169+Legacy!AV54*Legacy!AV$3)*Prices!$H$14+(Subs!AV99-(Paid!AV52+React!AV169+Legacy!AV54*Legacy!AV$3))*Prices!$I$14)*FX!AV15*Eras!AV$10</f>
        <v/>
      </c>
      <c r="AW17" s="11">
        <f>((Paid!AW52+React!AW169+Legacy!AW54*Legacy!AW$3)*Prices!$H$14+(Subs!AW99-(Paid!AW52+React!AW169+Legacy!AW54*Legacy!AW$3))*Prices!$I$14)*FX!AW15*Eras!AW$10</f>
        <v/>
      </c>
      <c r="AX17" s="11">
        <f>((Paid!AX52+React!AX169+Legacy!AX54*Legacy!AX$3)*Prices!$H$14+(Subs!AX99-(Paid!AX52+React!AX169+Legacy!AX54*Legacy!AX$3))*Prices!$I$14)*FX!AX15*Eras!AX$10</f>
        <v/>
      </c>
      <c r="AY17" s="11">
        <f>((Paid!AY52+React!AY169+Legacy!AY54*Legacy!AY$3)*Prices!$H$14+(Subs!AY99-(Paid!AY52+React!AY169+Legacy!AY54*Legacy!AY$3))*Prices!$I$14)*FX!AY15*Eras!AY$10</f>
        <v/>
      </c>
      <c r="AZ17" s="11">
        <f>((Paid!AZ52+React!AZ169+Legacy!AZ54*Legacy!AZ$3)*Prices!$H$14+(Subs!AZ99-(Paid!AZ52+React!AZ169+Legacy!AZ54*Legacy!AZ$3))*Prices!$I$14)*FX!AZ15*Eras!AZ$10</f>
        <v/>
      </c>
      <c r="BA17" s="11">
        <f>((Paid!BA52+React!BA169+Legacy!BA54*Legacy!BA$3)*Prices!$H$14+(Subs!BA99-(Paid!BA52+React!BA169+Legacy!BA54*Legacy!BA$3))*Prices!$I$14)*FX!BA15*Eras!BA$10</f>
        <v/>
      </c>
      <c r="BB17" s="11">
        <f>((Paid!BB52+React!BB169+Legacy!BB54*Legacy!BB$3)*Prices!$H$14+(Subs!BB99-(Paid!BB52+React!BB169+Legacy!BB54*Legacy!BB$3))*Prices!$I$14)*FX!BB15*Eras!BB$10</f>
        <v/>
      </c>
      <c r="BC17" s="11">
        <f>((Paid!BC52+React!BC169+Legacy!BC54*Legacy!BC$3)*Prices!$H$14+(Subs!BC99-(Paid!BC52+React!BC169+Legacy!BC54*Legacy!BC$3))*Prices!$I$14)*FX!BC15*Eras!BC$10</f>
        <v/>
      </c>
      <c r="BD17" s="11">
        <f>((Paid!BD52+React!BD169+Legacy!BD54*Legacy!BD$3)*Prices!$H$14+(Subs!BD99-(Paid!BD52+React!BD169+Legacy!BD54*Legacy!BD$3))*Prices!$I$14)*FX!BD15*Eras!BD$10</f>
        <v/>
      </c>
      <c r="BE17" s="11">
        <f>((Paid!BE52+React!BE169+Legacy!BE54*Legacy!BE$3)*Prices!$H$14+(Subs!BE99-(Paid!BE52+React!BE169+Legacy!BE54*Legacy!BE$3))*Prices!$I$14)*FX!BE15*Eras!BE$10</f>
        <v/>
      </c>
      <c r="BF17" s="11">
        <f>((Paid!BF52+React!BF169+Legacy!BF54*Legacy!BF$3)*Prices!$H$14+(Subs!BF99-(Paid!BF52+React!BF169+Legacy!BF54*Legacy!BF$3))*Prices!$I$14)*FX!BF15*Eras!BF$10</f>
        <v/>
      </c>
      <c r="BG17" s="11">
        <f>((Paid!BG52+React!BG169+Legacy!BG54*Legacy!BG$3)*Prices!$H$14+(Subs!BG99-(Paid!BG52+React!BG169+Legacy!BG54*Legacy!BG$3))*Prices!$I$14)*FX!BG15*Eras!BG$10</f>
        <v/>
      </c>
      <c r="BH17" s="11">
        <f>((Paid!BH52+React!BH169+Legacy!BH54*Legacy!BH$3)*Prices!$H$14+(Subs!BH99-(Paid!BH52+React!BH169+Legacy!BH54*Legacy!BH$3))*Prices!$I$14)*FX!BH15*Eras!BH$10</f>
        <v/>
      </c>
      <c r="BI17" s="11">
        <f>((Paid!BI52+React!BI169+Legacy!BI54*Legacy!BI$3)*Prices!$H$14+(Subs!BI99-(Paid!BI52+React!BI169+Legacy!BI54*Legacy!BI$3))*Prices!$I$14)*FX!BI15*Eras!BI$10</f>
        <v/>
      </c>
      <c r="BJ17" s="11">
        <f>((Paid!BJ52+React!BJ169+Legacy!BJ54*Legacy!BJ$3)*Prices!$H$14+(Subs!BJ99-(Paid!BJ52+React!BJ169+Legacy!BJ54*Legacy!BJ$3))*Prices!$I$14)*FX!BJ15*Eras!BJ$10</f>
        <v/>
      </c>
      <c r="BK17" s="11">
        <f>((Paid!BK52+React!BK169+Legacy!BK54*Legacy!BK$3)*Prices!$H$14+(Subs!BK99-(Paid!BK52+React!BK169+Legacy!BK54*Legacy!BK$3))*Prices!$I$14)*FX!BK15*Eras!BK$10</f>
        <v/>
      </c>
      <c r="BL17" s="11">
        <f>((Paid!BL52+React!BL169+Legacy!BL54*Legacy!BL$3)*Prices!$H$14+(Subs!BL99-(Paid!BL52+React!BL169+Legacy!BL54*Legacy!BL$3))*Prices!$I$14)*FX!BL15*Eras!BL$10</f>
        <v/>
      </c>
      <c r="BM17" s="11">
        <f>((Paid!BM52+React!BM169+Legacy!BM54*Legacy!BM$3)*Prices!$H$14+(Subs!BM99-(Paid!BM52+React!BM169+Legacy!BM54*Legacy!BM$3))*Prices!$I$14)*FX!BM15*Eras!BM$10</f>
        <v/>
      </c>
      <c r="BN17" s="11">
        <f>((Paid!BN52+React!BN169+Legacy!BN54*Legacy!BN$3)*Prices!$H$14+(Subs!BN99-(Paid!BN52+React!BN169+Legacy!BN54*Legacy!BN$3))*Prices!$I$14)*FX!BN15*Eras!BN$10</f>
        <v/>
      </c>
      <c r="BO17" s="11">
        <f>((Paid!BO52+React!BO169+Legacy!BO54*Legacy!BO$3)*Prices!$H$14+(Subs!BO99-(Paid!BO52+React!BO169+Legacy!BO54*Legacy!BO$3))*Prices!$I$14)*FX!BO15*Eras!BO$10</f>
        <v/>
      </c>
      <c r="BP17" s="11">
        <f>((Paid!BP52+React!BP169+Legacy!BP54*Legacy!BP$3)*Prices!$H$14+(Subs!BP99-(Paid!BP52+React!BP169+Legacy!BP54*Legacy!BP$3))*Prices!$I$14)*FX!BP15*Eras!BP$10</f>
        <v/>
      </c>
      <c r="BQ17" s="11">
        <f>((Paid!BQ52+React!BQ169+Legacy!BQ54*Legacy!BQ$3)*Prices!$H$14+(Subs!BQ99-(Paid!BQ52+React!BQ169+Legacy!BQ54*Legacy!BQ$3))*Prices!$I$14)*FX!BQ15*Eras!BQ$10</f>
        <v/>
      </c>
      <c r="BR17" s="11">
        <f>((Paid!BR52+React!BR169+Legacy!BR54*Legacy!BR$3)*Prices!$H$14+(Subs!BR99-(Paid!BR52+React!BR169+Legacy!BR54*Legacy!BR$3))*Prices!$I$14)*FX!BR15*Eras!BR$10</f>
        <v/>
      </c>
      <c r="BS17" s="11">
        <f>((Paid!BS52+React!BS169+Legacy!BS54*Legacy!BS$3)*Prices!$H$14+(Subs!BS99-(Paid!BS52+React!BS169+Legacy!BS54*Legacy!BS$3))*Prices!$I$14)*FX!BS15*Eras!BS$10</f>
        <v/>
      </c>
      <c r="BT17" s="11">
        <f>((Paid!BT52+React!BT169+Legacy!BT54*Legacy!BT$3)*Prices!$H$14+(Subs!BT99-(Paid!BT52+React!BT169+Legacy!BT54*Legacy!BT$3))*Prices!$I$14)*FX!BT15*Eras!BT$10</f>
        <v/>
      </c>
      <c r="BU17" s="11">
        <f>((Paid!BU52+React!BU169+Legacy!BU54*Legacy!BU$3)*Prices!$H$14+(Subs!BU99-(Paid!BU52+React!BU169+Legacy!BU54*Legacy!BU$3))*Prices!$I$14)*FX!BU15*Eras!BU$10</f>
        <v/>
      </c>
      <c r="BV17" s="11">
        <f>((Paid!BV52+React!BV169+Legacy!BV54*Legacy!BV$3)*Prices!$H$14+(Subs!BV99-(Paid!BV52+React!BV169+Legacy!BV54*Legacy!BV$3))*Prices!$I$14)*FX!BV15*Eras!BV$10</f>
        <v/>
      </c>
    </row>
    <row r="18">
      <c r="A18" t="inlineStr">
        <is>
          <t>net revenue $</t>
        </is>
      </c>
      <c r="B18" t="inlineStr">
        <is>
          <t>APAC|NITRO_A</t>
        </is>
      </c>
      <c r="C18" s="11">
        <f>((Paid!C56+React!C182+Legacy!C58*Legacy!C$3)*Prices!$H$15+(Subs!C106-(Paid!C56+React!C182+Legacy!C58*Legacy!C$3))*Prices!$I$15)*FX!C15*Eras!C$10</f>
        <v/>
      </c>
      <c r="D18" s="11">
        <f>((Paid!D56+React!D182+Legacy!D58*Legacy!D$3)*Prices!$H$15+(Subs!D106-(Paid!D56+React!D182+Legacy!D58*Legacy!D$3))*Prices!$I$15)*FX!D15*Eras!D$10</f>
        <v/>
      </c>
      <c r="E18" s="11">
        <f>((Paid!E56+React!E182+Legacy!E58*Legacy!E$3)*Prices!$H$15+(Subs!E106-(Paid!E56+React!E182+Legacy!E58*Legacy!E$3))*Prices!$I$15)*FX!E15*Eras!E$10</f>
        <v/>
      </c>
      <c r="F18" s="11">
        <f>((Paid!F56+React!F182+Legacy!F58*Legacy!F$3)*Prices!$H$15+(Subs!F106-(Paid!F56+React!F182+Legacy!F58*Legacy!F$3))*Prices!$I$15)*FX!F15*Eras!F$10</f>
        <v/>
      </c>
      <c r="G18" s="11">
        <f>((Paid!G56+React!G182+Legacy!G58*Legacy!G$3)*Prices!$H$15+(Subs!G106-(Paid!G56+React!G182+Legacy!G58*Legacy!G$3))*Prices!$I$15)*FX!G15*Eras!G$10</f>
        <v/>
      </c>
      <c r="H18" s="11">
        <f>((Paid!H56+React!H182+Legacy!H58*Legacy!H$3)*Prices!$H$15+(Subs!H106-(Paid!H56+React!H182+Legacy!H58*Legacy!H$3))*Prices!$I$15)*FX!H15*Eras!H$10</f>
        <v/>
      </c>
      <c r="I18" s="11">
        <f>((Paid!I56+React!I182+Legacy!I58*Legacy!I$3)*Prices!$H$15+(Subs!I106-(Paid!I56+React!I182+Legacy!I58*Legacy!I$3))*Prices!$I$15)*FX!I15*Eras!I$10</f>
        <v/>
      </c>
      <c r="J18" s="11">
        <f>((Paid!J56+React!J182+Legacy!J58*Legacy!J$3)*Prices!$H$15+(Subs!J106-(Paid!J56+React!J182+Legacy!J58*Legacy!J$3))*Prices!$I$15)*FX!J15*Eras!J$10</f>
        <v/>
      </c>
      <c r="K18" s="11">
        <f>((Paid!K56+React!K182+Legacy!K58*Legacy!K$3)*Prices!$H$15+(Subs!K106-(Paid!K56+React!K182+Legacy!K58*Legacy!K$3))*Prices!$I$15)*FX!K15*Eras!K$10</f>
        <v/>
      </c>
      <c r="L18" s="11">
        <f>((Paid!L56+React!L182+Legacy!L58*Legacy!L$3)*Prices!$H$15+(Subs!L106-(Paid!L56+React!L182+Legacy!L58*Legacy!L$3))*Prices!$I$15)*FX!L15*Eras!L$10</f>
        <v/>
      </c>
      <c r="M18" s="11">
        <f>((Paid!M56+React!M182+Legacy!M58*Legacy!M$3)*Prices!$H$15+(Subs!M106-(Paid!M56+React!M182+Legacy!M58*Legacy!M$3))*Prices!$I$15)*FX!M15*Eras!M$10</f>
        <v/>
      </c>
      <c r="N18" s="11">
        <f>((Paid!N56+React!N182+Legacy!N58*Legacy!N$3)*Prices!$H$15+(Subs!N106-(Paid!N56+React!N182+Legacy!N58*Legacy!N$3))*Prices!$I$15)*FX!N15*Eras!N$10</f>
        <v/>
      </c>
      <c r="O18" s="11">
        <f>((Paid!O56+React!O182+Legacy!O58*Legacy!O$3)*Prices!$H$15+(Subs!O106-(Paid!O56+React!O182+Legacy!O58*Legacy!O$3))*Prices!$I$15)*FX!O15*Eras!O$10</f>
        <v/>
      </c>
      <c r="P18" s="11">
        <f>((Paid!P56+React!P182+Legacy!P58*Legacy!P$3)*Prices!$H$15+(Subs!P106-(Paid!P56+React!P182+Legacy!P58*Legacy!P$3))*Prices!$I$15)*FX!P15*Eras!P$10</f>
        <v/>
      </c>
      <c r="Q18" s="11">
        <f>((Paid!Q56+React!Q182+Legacy!Q58*Legacy!Q$3)*Prices!$H$15+(Subs!Q106-(Paid!Q56+React!Q182+Legacy!Q58*Legacy!Q$3))*Prices!$I$15)*FX!Q15*Eras!Q$10</f>
        <v/>
      </c>
      <c r="R18" s="11">
        <f>((Paid!R56+React!R182+Legacy!R58*Legacy!R$3)*Prices!$H$15+(Subs!R106-(Paid!R56+React!R182+Legacy!R58*Legacy!R$3))*Prices!$I$15)*FX!R15*Eras!R$10</f>
        <v/>
      </c>
      <c r="S18" s="11">
        <f>((Paid!S56+React!S182+Legacy!S58*Legacy!S$3)*Prices!$H$15+(Subs!S106-(Paid!S56+React!S182+Legacy!S58*Legacy!S$3))*Prices!$I$15)*FX!S15*Eras!S$10</f>
        <v/>
      </c>
      <c r="T18" s="11">
        <f>((Paid!T56+React!T182+Legacy!T58*Legacy!T$3)*Prices!$H$15+(Subs!T106-(Paid!T56+React!T182+Legacy!T58*Legacy!T$3))*Prices!$I$15)*FX!T15*Eras!T$10</f>
        <v/>
      </c>
      <c r="U18" s="11">
        <f>((Paid!U56+React!U182+Legacy!U58*Legacy!U$3)*Prices!$H$15+(Subs!U106-(Paid!U56+React!U182+Legacy!U58*Legacy!U$3))*Prices!$I$15)*FX!U15*Eras!U$10</f>
        <v/>
      </c>
      <c r="V18" s="11">
        <f>((Paid!V56+React!V182+Legacy!V58*Legacy!V$3)*Prices!$H$15+(Subs!V106-(Paid!V56+React!V182+Legacy!V58*Legacy!V$3))*Prices!$I$15)*FX!V15*Eras!V$10</f>
        <v/>
      </c>
      <c r="W18" s="11">
        <f>((Paid!W56+React!W182+Legacy!W58*Legacy!W$3)*Prices!$H$15+(Subs!W106-(Paid!W56+React!W182+Legacy!W58*Legacy!W$3))*Prices!$I$15)*FX!W15*Eras!W$10</f>
        <v/>
      </c>
      <c r="X18" s="11">
        <f>((Paid!X56+React!X182+Legacy!X58*Legacy!X$3)*Prices!$H$15+(Subs!X106-(Paid!X56+React!X182+Legacy!X58*Legacy!X$3))*Prices!$I$15)*FX!X15*Eras!X$10</f>
        <v/>
      </c>
      <c r="Y18" s="11">
        <f>((Paid!Y56+React!Y182+Legacy!Y58*Legacy!Y$3)*Prices!$H$15+(Subs!Y106-(Paid!Y56+React!Y182+Legacy!Y58*Legacy!Y$3))*Prices!$I$15)*FX!Y15*Eras!Y$10</f>
        <v/>
      </c>
      <c r="Z18" s="11">
        <f>((Paid!Z56+React!Z182+Legacy!Z58*Legacy!Z$3)*Prices!$H$15+(Subs!Z106-(Paid!Z56+React!Z182+Legacy!Z58*Legacy!Z$3))*Prices!$I$15)*FX!Z15*Eras!Z$10</f>
        <v/>
      </c>
      <c r="AA18" s="11">
        <f>((Paid!AA56+React!AA182+Legacy!AA58*Legacy!AA$3)*Prices!$H$15+(Subs!AA106-(Paid!AA56+React!AA182+Legacy!AA58*Legacy!AA$3))*Prices!$I$15)*FX!AA15*Eras!AA$10</f>
        <v/>
      </c>
      <c r="AB18" s="11">
        <f>((Paid!AB56+React!AB182+Legacy!AB58*Legacy!AB$3)*Prices!$H$15+(Subs!AB106-(Paid!AB56+React!AB182+Legacy!AB58*Legacy!AB$3))*Prices!$I$15)*FX!AB15*Eras!AB$10</f>
        <v/>
      </c>
      <c r="AC18" s="11">
        <f>((Paid!AC56+React!AC182+Legacy!AC58*Legacy!AC$3)*Prices!$H$15+(Subs!AC106-(Paid!AC56+React!AC182+Legacy!AC58*Legacy!AC$3))*Prices!$I$15)*FX!AC15*Eras!AC$10</f>
        <v/>
      </c>
      <c r="AD18" s="11">
        <f>((Paid!AD56+React!AD182+Legacy!AD58*Legacy!AD$3)*Prices!$H$15+(Subs!AD106-(Paid!AD56+React!AD182+Legacy!AD58*Legacy!AD$3))*Prices!$I$15)*FX!AD15*Eras!AD$10</f>
        <v/>
      </c>
      <c r="AE18" s="11">
        <f>((Paid!AE56+React!AE182+Legacy!AE58*Legacy!AE$3)*Prices!$H$15+(Subs!AE106-(Paid!AE56+React!AE182+Legacy!AE58*Legacy!AE$3))*Prices!$I$15)*FX!AE15*Eras!AE$10</f>
        <v/>
      </c>
      <c r="AF18" s="11">
        <f>((Paid!AF56+React!AF182+Legacy!AF58*Legacy!AF$3)*Prices!$H$15+(Subs!AF106-(Paid!AF56+React!AF182+Legacy!AF58*Legacy!AF$3))*Prices!$I$15)*FX!AF15*Eras!AF$10</f>
        <v/>
      </c>
      <c r="AG18" s="11">
        <f>((Paid!AG56+React!AG182+Legacy!AG58*Legacy!AG$3)*Prices!$H$15+(Subs!AG106-(Paid!AG56+React!AG182+Legacy!AG58*Legacy!AG$3))*Prices!$I$15)*FX!AG15*Eras!AG$10</f>
        <v/>
      </c>
      <c r="AH18" s="11">
        <f>((Paid!AH56+React!AH182+Legacy!AH58*Legacy!AH$3)*Prices!$H$15+(Subs!AH106-(Paid!AH56+React!AH182+Legacy!AH58*Legacy!AH$3))*Prices!$I$15)*FX!AH15*Eras!AH$10</f>
        <v/>
      </c>
      <c r="AI18" s="11">
        <f>((Paid!AI56+React!AI182+Legacy!AI58*Legacy!AI$3)*Prices!$H$15+(Subs!AI106-(Paid!AI56+React!AI182+Legacy!AI58*Legacy!AI$3))*Prices!$I$15)*FX!AI15*Eras!AI$10</f>
        <v/>
      </c>
      <c r="AJ18" s="11">
        <f>((Paid!AJ56+React!AJ182+Legacy!AJ58*Legacy!AJ$3)*Prices!$H$15+(Subs!AJ106-(Paid!AJ56+React!AJ182+Legacy!AJ58*Legacy!AJ$3))*Prices!$I$15)*FX!AJ15*Eras!AJ$10</f>
        <v/>
      </c>
      <c r="AK18" s="11">
        <f>((Paid!AK56+React!AK182+Legacy!AK58*Legacy!AK$3)*Prices!$H$15+(Subs!AK106-(Paid!AK56+React!AK182+Legacy!AK58*Legacy!AK$3))*Prices!$I$15)*FX!AK15*Eras!AK$10</f>
        <v/>
      </c>
      <c r="AL18" s="11">
        <f>((Paid!AL56+React!AL182+Legacy!AL58*Legacy!AL$3)*Prices!$H$15+(Subs!AL106-(Paid!AL56+React!AL182+Legacy!AL58*Legacy!AL$3))*Prices!$I$15)*FX!AL15*Eras!AL$10</f>
        <v/>
      </c>
      <c r="AM18" s="11">
        <f>((Paid!AM56+React!AM182+Legacy!AM58*Legacy!AM$3)*Prices!$H$15+(Subs!AM106-(Paid!AM56+React!AM182+Legacy!AM58*Legacy!AM$3))*Prices!$I$15)*FX!AM15*Eras!AM$10</f>
        <v/>
      </c>
      <c r="AN18" s="11">
        <f>((Paid!AN56+React!AN182+Legacy!AN58*Legacy!AN$3)*Prices!$H$15+(Subs!AN106-(Paid!AN56+React!AN182+Legacy!AN58*Legacy!AN$3))*Prices!$I$15)*FX!AN15*Eras!AN$10</f>
        <v/>
      </c>
      <c r="AO18" s="11">
        <f>((Paid!AO56+React!AO182+Legacy!AO58*Legacy!AO$3)*Prices!$H$15+(Subs!AO106-(Paid!AO56+React!AO182+Legacy!AO58*Legacy!AO$3))*Prices!$I$15)*FX!AO15*Eras!AO$10</f>
        <v/>
      </c>
      <c r="AP18" s="11">
        <f>((Paid!AP56+React!AP182+Legacy!AP58*Legacy!AP$3)*Prices!$H$15+(Subs!AP106-(Paid!AP56+React!AP182+Legacy!AP58*Legacy!AP$3))*Prices!$I$15)*FX!AP15*Eras!AP$10</f>
        <v/>
      </c>
      <c r="AQ18" s="11">
        <f>((Paid!AQ56+React!AQ182+Legacy!AQ58*Legacy!AQ$3)*Prices!$H$15+(Subs!AQ106-(Paid!AQ56+React!AQ182+Legacy!AQ58*Legacy!AQ$3))*Prices!$I$15)*FX!AQ15*Eras!AQ$10</f>
        <v/>
      </c>
      <c r="AR18" s="11">
        <f>((Paid!AR56+React!AR182+Legacy!AR58*Legacy!AR$3)*Prices!$H$15+(Subs!AR106-(Paid!AR56+React!AR182+Legacy!AR58*Legacy!AR$3))*Prices!$I$15)*FX!AR15*Eras!AR$10</f>
        <v/>
      </c>
      <c r="AS18" s="11">
        <f>((Paid!AS56+React!AS182+Legacy!AS58*Legacy!AS$3)*Prices!$H$15+(Subs!AS106-(Paid!AS56+React!AS182+Legacy!AS58*Legacy!AS$3))*Prices!$I$15)*FX!AS15*Eras!AS$10</f>
        <v/>
      </c>
      <c r="AT18" s="11">
        <f>((Paid!AT56+React!AT182+Legacy!AT58*Legacy!AT$3)*Prices!$H$15+(Subs!AT106-(Paid!AT56+React!AT182+Legacy!AT58*Legacy!AT$3))*Prices!$I$15)*FX!AT15*Eras!AT$10</f>
        <v/>
      </c>
      <c r="AU18" s="11">
        <f>((Paid!AU56+React!AU182+Legacy!AU58*Legacy!AU$3)*Prices!$H$15+(Subs!AU106-(Paid!AU56+React!AU182+Legacy!AU58*Legacy!AU$3))*Prices!$I$15)*FX!AU15*Eras!AU$10</f>
        <v/>
      </c>
      <c r="AV18" s="11">
        <f>((Paid!AV56+React!AV182+Legacy!AV58*Legacy!AV$3)*Prices!$H$15+(Subs!AV106-(Paid!AV56+React!AV182+Legacy!AV58*Legacy!AV$3))*Prices!$I$15)*FX!AV15*Eras!AV$10</f>
        <v/>
      </c>
      <c r="AW18" s="11">
        <f>((Paid!AW56+React!AW182+Legacy!AW58*Legacy!AW$3)*Prices!$H$15+(Subs!AW106-(Paid!AW56+React!AW182+Legacy!AW58*Legacy!AW$3))*Prices!$I$15)*FX!AW15*Eras!AW$10</f>
        <v/>
      </c>
      <c r="AX18" s="11">
        <f>((Paid!AX56+React!AX182+Legacy!AX58*Legacy!AX$3)*Prices!$H$15+(Subs!AX106-(Paid!AX56+React!AX182+Legacy!AX58*Legacy!AX$3))*Prices!$I$15)*FX!AX15*Eras!AX$10</f>
        <v/>
      </c>
      <c r="AY18" s="11">
        <f>((Paid!AY56+React!AY182+Legacy!AY58*Legacy!AY$3)*Prices!$H$15+(Subs!AY106-(Paid!AY56+React!AY182+Legacy!AY58*Legacy!AY$3))*Prices!$I$15)*FX!AY15*Eras!AY$10</f>
        <v/>
      </c>
      <c r="AZ18" s="11">
        <f>((Paid!AZ56+React!AZ182+Legacy!AZ58*Legacy!AZ$3)*Prices!$H$15+(Subs!AZ106-(Paid!AZ56+React!AZ182+Legacy!AZ58*Legacy!AZ$3))*Prices!$I$15)*FX!AZ15*Eras!AZ$10</f>
        <v/>
      </c>
      <c r="BA18" s="11">
        <f>((Paid!BA56+React!BA182+Legacy!BA58*Legacy!BA$3)*Prices!$H$15+(Subs!BA106-(Paid!BA56+React!BA182+Legacy!BA58*Legacy!BA$3))*Prices!$I$15)*FX!BA15*Eras!BA$10</f>
        <v/>
      </c>
      <c r="BB18" s="11">
        <f>((Paid!BB56+React!BB182+Legacy!BB58*Legacy!BB$3)*Prices!$H$15+(Subs!BB106-(Paid!BB56+React!BB182+Legacy!BB58*Legacy!BB$3))*Prices!$I$15)*FX!BB15*Eras!BB$10</f>
        <v/>
      </c>
      <c r="BC18" s="11">
        <f>((Paid!BC56+React!BC182+Legacy!BC58*Legacy!BC$3)*Prices!$H$15+(Subs!BC106-(Paid!BC56+React!BC182+Legacy!BC58*Legacy!BC$3))*Prices!$I$15)*FX!BC15*Eras!BC$10</f>
        <v/>
      </c>
      <c r="BD18" s="11">
        <f>((Paid!BD56+React!BD182+Legacy!BD58*Legacy!BD$3)*Prices!$H$15+(Subs!BD106-(Paid!BD56+React!BD182+Legacy!BD58*Legacy!BD$3))*Prices!$I$15)*FX!BD15*Eras!BD$10</f>
        <v/>
      </c>
      <c r="BE18" s="11">
        <f>((Paid!BE56+React!BE182+Legacy!BE58*Legacy!BE$3)*Prices!$H$15+(Subs!BE106-(Paid!BE56+React!BE182+Legacy!BE58*Legacy!BE$3))*Prices!$I$15)*FX!BE15*Eras!BE$10</f>
        <v/>
      </c>
      <c r="BF18" s="11">
        <f>((Paid!BF56+React!BF182+Legacy!BF58*Legacy!BF$3)*Prices!$H$15+(Subs!BF106-(Paid!BF56+React!BF182+Legacy!BF58*Legacy!BF$3))*Prices!$I$15)*FX!BF15*Eras!BF$10</f>
        <v/>
      </c>
      <c r="BG18" s="11">
        <f>((Paid!BG56+React!BG182+Legacy!BG58*Legacy!BG$3)*Prices!$H$15+(Subs!BG106-(Paid!BG56+React!BG182+Legacy!BG58*Legacy!BG$3))*Prices!$I$15)*FX!BG15*Eras!BG$10</f>
        <v/>
      </c>
      <c r="BH18" s="11">
        <f>((Paid!BH56+React!BH182+Legacy!BH58*Legacy!BH$3)*Prices!$H$15+(Subs!BH106-(Paid!BH56+React!BH182+Legacy!BH58*Legacy!BH$3))*Prices!$I$15)*FX!BH15*Eras!BH$10</f>
        <v/>
      </c>
      <c r="BI18" s="11">
        <f>((Paid!BI56+React!BI182+Legacy!BI58*Legacy!BI$3)*Prices!$H$15+(Subs!BI106-(Paid!BI56+React!BI182+Legacy!BI58*Legacy!BI$3))*Prices!$I$15)*FX!BI15*Eras!BI$10</f>
        <v/>
      </c>
      <c r="BJ18" s="11">
        <f>((Paid!BJ56+React!BJ182+Legacy!BJ58*Legacy!BJ$3)*Prices!$H$15+(Subs!BJ106-(Paid!BJ56+React!BJ182+Legacy!BJ58*Legacy!BJ$3))*Prices!$I$15)*FX!BJ15*Eras!BJ$10</f>
        <v/>
      </c>
      <c r="BK18" s="11">
        <f>((Paid!BK56+React!BK182+Legacy!BK58*Legacy!BK$3)*Prices!$H$15+(Subs!BK106-(Paid!BK56+React!BK182+Legacy!BK58*Legacy!BK$3))*Prices!$I$15)*FX!BK15*Eras!BK$10</f>
        <v/>
      </c>
      <c r="BL18" s="11">
        <f>((Paid!BL56+React!BL182+Legacy!BL58*Legacy!BL$3)*Prices!$H$15+(Subs!BL106-(Paid!BL56+React!BL182+Legacy!BL58*Legacy!BL$3))*Prices!$I$15)*FX!BL15*Eras!BL$10</f>
        <v/>
      </c>
      <c r="BM18" s="11">
        <f>((Paid!BM56+React!BM182+Legacy!BM58*Legacy!BM$3)*Prices!$H$15+(Subs!BM106-(Paid!BM56+React!BM182+Legacy!BM58*Legacy!BM$3))*Prices!$I$15)*FX!BM15*Eras!BM$10</f>
        <v/>
      </c>
      <c r="BN18" s="11">
        <f>((Paid!BN56+React!BN182+Legacy!BN58*Legacy!BN$3)*Prices!$H$15+(Subs!BN106-(Paid!BN56+React!BN182+Legacy!BN58*Legacy!BN$3))*Prices!$I$15)*FX!BN15*Eras!BN$10</f>
        <v/>
      </c>
      <c r="BO18" s="11">
        <f>((Paid!BO56+React!BO182+Legacy!BO58*Legacy!BO$3)*Prices!$H$15+(Subs!BO106-(Paid!BO56+React!BO182+Legacy!BO58*Legacy!BO$3))*Prices!$I$15)*FX!BO15*Eras!BO$10</f>
        <v/>
      </c>
      <c r="BP18" s="11">
        <f>((Paid!BP56+React!BP182+Legacy!BP58*Legacy!BP$3)*Prices!$H$15+(Subs!BP106-(Paid!BP56+React!BP182+Legacy!BP58*Legacy!BP$3))*Prices!$I$15)*FX!BP15*Eras!BP$10</f>
        <v/>
      </c>
      <c r="BQ18" s="11">
        <f>((Paid!BQ56+React!BQ182+Legacy!BQ58*Legacy!BQ$3)*Prices!$H$15+(Subs!BQ106-(Paid!BQ56+React!BQ182+Legacy!BQ58*Legacy!BQ$3))*Prices!$I$15)*FX!BQ15*Eras!BQ$10</f>
        <v/>
      </c>
      <c r="BR18" s="11">
        <f>((Paid!BR56+React!BR182+Legacy!BR58*Legacy!BR$3)*Prices!$H$15+(Subs!BR106-(Paid!BR56+React!BR182+Legacy!BR58*Legacy!BR$3))*Prices!$I$15)*FX!BR15*Eras!BR$10</f>
        <v/>
      </c>
      <c r="BS18" s="11">
        <f>((Paid!BS56+React!BS182+Legacy!BS58*Legacy!BS$3)*Prices!$H$15+(Subs!BS106-(Paid!BS56+React!BS182+Legacy!BS58*Legacy!BS$3))*Prices!$I$15)*FX!BS15*Eras!BS$10</f>
        <v/>
      </c>
      <c r="BT18" s="11">
        <f>((Paid!BT56+React!BT182+Legacy!BT58*Legacy!BT$3)*Prices!$H$15+(Subs!BT106-(Paid!BT56+React!BT182+Legacy!BT58*Legacy!BT$3))*Prices!$I$15)*FX!BT15*Eras!BT$10</f>
        <v/>
      </c>
      <c r="BU18" s="11">
        <f>((Paid!BU56+React!BU182+Legacy!BU58*Legacy!BU$3)*Prices!$H$15+(Subs!BU106-(Paid!BU56+React!BU182+Legacy!BU58*Legacy!BU$3))*Prices!$I$15)*FX!BU15*Eras!BU$10</f>
        <v/>
      </c>
      <c r="BV18" s="11">
        <f>((Paid!BV56+React!BV182+Legacy!BV58*Legacy!BV$3)*Prices!$H$15+(Subs!BV106-(Paid!BV56+React!BV182+Legacy!BV58*Legacy!BV$3))*Prices!$I$15)*FX!BV15*Eras!BV$10</f>
        <v/>
      </c>
    </row>
    <row r="19">
      <c r="A19" t="inlineStr">
        <is>
          <t>net revenue $</t>
        </is>
      </c>
      <c r="B19" t="inlineStr">
        <is>
          <t>APAC|BASIC_M</t>
        </is>
      </c>
      <c r="C19" s="11">
        <f>((Paid!C60+React!C195+Legacy!C62*Legacy!C$3)*Prices!$H$16+(Subs!C113-(Paid!C60+React!C195+Legacy!C62*Legacy!C$3))*Prices!$I$16)*FX!C15*Eras!C$10</f>
        <v/>
      </c>
      <c r="D19" s="11">
        <f>((Paid!D60+React!D195+Legacy!D62*Legacy!D$3)*Prices!$H$16+(Subs!D113-(Paid!D60+React!D195+Legacy!D62*Legacy!D$3))*Prices!$I$16)*FX!D15*Eras!D$10</f>
        <v/>
      </c>
      <c r="E19" s="11">
        <f>((Paid!E60+React!E195+Legacy!E62*Legacy!E$3)*Prices!$H$16+(Subs!E113-(Paid!E60+React!E195+Legacy!E62*Legacy!E$3))*Prices!$I$16)*FX!E15*Eras!E$10</f>
        <v/>
      </c>
      <c r="F19" s="11">
        <f>((Paid!F60+React!F195+Legacy!F62*Legacy!F$3)*Prices!$H$16+(Subs!F113-(Paid!F60+React!F195+Legacy!F62*Legacy!F$3))*Prices!$I$16)*FX!F15*Eras!F$10</f>
        <v/>
      </c>
      <c r="G19" s="11">
        <f>((Paid!G60+React!G195+Legacy!G62*Legacy!G$3)*Prices!$H$16+(Subs!G113-(Paid!G60+React!G195+Legacy!G62*Legacy!G$3))*Prices!$I$16)*FX!G15*Eras!G$10</f>
        <v/>
      </c>
      <c r="H19" s="11">
        <f>((Paid!H60+React!H195+Legacy!H62*Legacy!H$3)*Prices!$H$16+(Subs!H113-(Paid!H60+React!H195+Legacy!H62*Legacy!H$3))*Prices!$I$16)*FX!H15*Eras!H$10</f>
        <v/>
      </c>
      <c r="I19" s="11">
        <f>((Paid!I60+React!I195+Legacy!I62*Legacy!I$3)*Prices!$H$16+(Subs!I113-(Paid!I60+React!I195+Legacy!I62*Legacy!I$3))*Prices!$I$16)*FX!I15*Eras!I$10</f>
        <v/>
      </c>
      <c r="J19" s="11">
        <f>((Paid!J60+React!J195+Legacy!J62*Legacy!J$3)*Prices!$H$16+(Subs!J113-(Paid!J60+React!J195+Legacy!J62*Legacy!J$3))*Prices!$I$16)*FX!J15*Eras!J$10</f>
        <v/>
      </c>
      <c r="K19" s="11">
        <f>((Paid!K60+React!K195+Legacy!K62*Legacy!K$3)*Prices!$H$16+(Subs!K113-(Paid!K60+React!K195+Legacy!K62*Legacy!K$3))*Prices!$I$16)*FX!K15*Eras!K$10</f>
        <v/>
      </c>
      <c r="L19" s="11">
        <f>((Paid!L60+React!L195+Legacy!L62*Legacy!L$3)*Prices!$H$16+(Subs!L113-(Paid!L60+React!L195+Legacy!L62*Legacy!L$3))*Prices!$I$16)*FX!L15*Eras!L$10</f>
        <v/>
      </c>
      <c r="M19" s="11">
        <f>((Paid!M60+React!M195+Legacy!M62*Legacy!M$3)*Prices!$H$16+(Subs!M113-(Paid!M60+React!M195+Legacy!M62*Legacy!M$3))*Prices!$I$16)*FX!M15*Eras!M$10</f>
        <v/>
      </c>
      <c r="N19" s="11">
        <f>((Paid!N60+React!N195+Legacy!N62*Legacy!N$3)*Prices!$H$16+(Subs!N113-(Paid!N60+React!N195+Legacy!N62*Legacy!N$3))*Prices!$I$16)*FX!N15*Eras!N$10</f>
        <v/>
      </c>
      <c r="O19" s="11">
        <f>((Paid!O60+React!O195+Legacy!O62*Legacy!O$3)*Prices!$H$16+(Subs!O113-(Paid!O60+React!O195+Legacy!O62*Legacy!O$3))*Prices!$I$16)*FX!O15*Eras!O$10</f>
        <v/>
      </c>
      <c r="P19" s="11">
        <f>((Paid!P60+React!P195+Legacy!P62*Legacy!P$3)*Prices!$H$16+(Subs!P113-(Paid!P60+React!P195+Legacy!P62*Legacy!P$3))*Prices!$I$16)*FX!P15*Eras!P$10</f>
        <v/>
      </c>
      <c r="Q19" s="11">
        <f>((Paid!Q60+React!Q195+Legacy!Q62*Legacy!Q$3)*Prices!$H$16+(Subs!Q113-(Paid!Q60+React!Q195+Legacy!Q62*Legacy!Q$3))*Prices!$I$16)*FX!Q15*Eras!Q$10</f>
        <v/>
      </c>
      <c r="R19" s="11">
        <f>((Paid!R60+React!R195+Legacy!R62*Legacy!R$3)*Prices!$H$16+(Subs!R113-(Paid!R60+React!R195+Legacy!R62*Legacy!R$3))*Prices!$I$16)*FX!R15*Eras!R$10</f>
        <v/>
      </c>
      <c r="S19" s="11">
        <f>((Paid!S60+React!S195+Legacy!S62*Legacy!S$3)*Prices!$H$16+(Subs!S113-(Paid!S60+React!S195+Legacy!S62*Legacy!S$3))*Prices!$I$16)*FX!S15*Eras!S$10</f>
        <v/>
      </c>
      <c r="T19" s="11">
        <f>((Paid!T60+React!T195+Legacy!T62*Legacy!T$3)*Prices!$H$16+(Subs!T113-(Paid!T60+React!T195+Legacy!T62*Legacy!T$3))*Prices!$I$16)*FX!T15*Eras!T$10</f>
        <v/>
      </c>
      <c r="U19" s="11">
        <f>((Paid!U60+React!U195+Legacy!U62*Legacy!U$3)*Prices!$H$16+(Subs!U113-(Paid!U60+React!U195+Legacy!U62*Legacy!U$3))*Prices!$I$16)*FX!U15*Eras!U$10</f>
        <v/>
      </c>
      <c r="V19" s="11">
        <f>((Paid!V60+React!V195+Legacy!V62*Legacy!V$3)*Prices!$H$16+(Subs!V113-(Paid!V60+React!V195+Legacy!V62*Legacy!V$3))*Prices!$I$16)*FX!V15*Eras!V$10</f>
        <v/>
      </c>
      <c r="W19" s="11">
        <f>((Paid!W60+React!W195+Legacy!W62*Legacy!W$3)*Prices!$H$16+(Subs!W113-(Paid!W60+React!W195+Legacy!W62*Legacy!W$3))*Prices!$I$16)*FX!W15*Eras!W$10</f>
        <v/>
      </c>
      <c r="X19" s="11">
        <f>((Paid!X60+React!X195+Legacy!X62*Legacy!X$3)*Prices!$H$16+(Subs!X113-(Paid!X60+React!X195+Legacy!X62*Legacy!X$3))*Prices!$I$16)*FX!X15*Eras!X$10</f>
        <v/>
      </c>
      <c r="Y19" s="11">
        <f>((Paid!Y60+React!Y195+Legacy!Y62*Legacy!Y$3)*Prices!$H$16+(Subs!Y113-(Paid!Y60+React!Y195+Legacy!Y62*Legacy!Y$3))*Prices!$I$16)*FX!Y15*Eras!Y$10</f>
        <v/>
      </c>
      <c r="Z19" s="11">
        <f>((Paid!Z60+React!Z195+Legacy!Z62*Legacy!Z$3)*Prices!$H$16+(Subs!Z113-(Paid!Z60+React!Z195+Legacy!Z62*Legacy!Z$3))*Prices!$I$16)*FX!Z15*Eras!Z$10</f>
        <v/>
      </c>
      <c r="AA19" s="11">
        <f>((Paid!AA60+React!AA195+Legacy!AA62*Legacy!AA$3)*Prices!$H$16+(Subs!AA113-(Paid!AA60+React!AA195+Legacy!AA62*Legacy!AA$3))*Prices!$I$16)*FX!AA15*Eras!AA$10</f>
        <v/>
      </c>
      <c r="AB19" s="11">
        <f>((Paid!AB60+React!AB195+Legacy!AB62*Legacy!AB$3)*Prices!$H$16+(Subs!AB113-(Paid!AB60+React!AB195+Legacy!AB62*Legacy!AB$3))*Prices!$I$16)*FX!AB15*Eras!AB$10</f>
        <v/>
      </c>
      <c r="AC19" s="11">
        <f>((Paid!AC60+React!AC195+Legacy!AC62*Legacy!AC$3)*Prices!$H$16+(Subs!AC113-(Paid!AC60+React!AC195+Legacy!AC62*Legacy!AC$3))*Prices!$I$16)*FX!AC15*Eras!AC$10</f>
        <v/>
      </c>
      <c r="AD19" s="11">
        <f>((Paid!AD60+React!AD195+Legacy!AD62*Legacy!AD$3)*Prices!$H$16+(Subs!AD113-(Paid!AD60+React!AD195+Legacy!AD62*Legacy!AD$3))*Prices!$I$16)*FX!AD15*Eras!AD$10</f>
        <v/>
      </c>
      <c r="AE19" s="11">
        <f>((Paid!AE60+React!AE195+Legacy!AE62*Legacy!AE$3)*Prices!$H$16+(Subs!AE113-(Paid!AE60+React!AE195+Legacy!AE62*Legacy!AE$3))*Prices!$I$16)*FX!AE15*Eras!AE$10</f>
        <v/>
      </c>
      <c r="AF19" s="11">
        <f>((Paid!AF60+React!AF195+Legacy!AF62*Legacy!AF$3)*Prices!$H$16+(Subs!AF113-(Paid!AF60+React!AF195+Legacy!AF62*Legacy!AF$3))*Prices!$I$16)*FX!AF15*Eras!AF$10</f>
        <v/>
      </c>
      <c r="AG19" s="11">
        <f>((Paid!AG60+React!AG195+Legacy!AG62*Legacy!AG$3)*Prices!$H$16+(Subs!AG113-(Paid!AG60+React!AG195+Legacy!AG62*Legacy!AG$3))*Prices!$I$16)*FX!AG15*Eras!AG$10</f>
        <v/>
      </c>
      <c r="AH19" s="11">
        <f>((Paid!AH60+React!AH195+Legacy!AH62*Legacy!AH$3)*Prices!$H$16+(Subs!AH113-(Paid!AH60+React!AH195+Legacy!AH62*Legacy!AH$3))*Prices!$I$16)*FX!AH15*Eras!AH$10</f>
        <v/>
      </c>
      <c r="AI19" s="11">
        <f>((Paid!AI60+React!AI195+Legacy!AI62*Legacy!AI$3)*Prices!$H$16+(Subs!AI113-(Paid!AI60+React!AI195+Legacy!AI62*Legacy!AI$3))*Prices!$I$16)*FX!AI15*Eras!AI$10</f>
        <v/>
      </c>
      <c r="AJ19" s="11">
        <f>((Paid!AJ60+React!AJ195+Legacy!AJ62*Legacy!AJ$3)*Prices!$H$16+(Subs!AJ113-(Paid!AJ60+React!AJ195+Legacy!AJ62*Legacy!AJ$3))*Prices!$I$16)*FX!AJ15*Eras!AJ$10</f>
        <v/>
      </c>
      <c r="AK19" s="11">
        <f>((Paid!AK60+React!AK195+Legacy!AK62*Legacy!AK$3)*Prices!$H$16+(Subs!AK113-(Paid!AK60+React!AK195+Legacy!AK62*Legacy!AK$3))*Prices!$I$16)*FX!AK15*Eras!AK$10</f>
        <v/>
      </c>
      <c r="AL19" s="11">
        <f>((Paid!AL60+React!AL195+Legacy!AL62*Legacy!AL$3)*Prices!$H$16+(Subs!AL113-(Paid!AL60+React!AL195+Legacy!AL62*Legacy!AL$3))*Prices!$I$16)*FX!AL15*Eras!AL$10</f>
        <v/>
      </c>
      <c r="AM19" s="11">
        <f>((Paid!AM60+React!AM195+Legacy!AM62*Legacy!AM$3)*Prices!$H$16+(Subs!AM113-(Paid!AM60+React!AM195+Legacy!AM62*Legacy!AM$3))*Prices!$I$16)*FX!AM15*Eras!AM$10</f>
        <v/>
      </c>
      <c r="AN19" s="11">
        <f>((Paid!AN60+React!AN195+Legacy!AN62*Legacy!AN$3)*Prices!$H$16+(Subs!AN113-(Paid!AN60+React!AN195+Legacy!AN62*Legacy!AN$3))*Prices!$I$16)*FX!AN15*Eras!AN$10</f>
        <v/>
      </c>
      <c r="AO19" s="11">
        <f>((Paid!AO60+React!AO195+Legacy!AO62*Legacy!AO$3)*Prices!$H$16+(Subs!AO113-(Paid!AO60+React!AO195+Legacy!AO62*Legacy!AO$3))*Prices!$I$16)*FX!AO15*Eras!AO$10</f>
        <v/>
      </c>
      <c r="AP19" s="11">
        <f>((Paid!AP60+React!AP195+Legacy!AP62*Legacy!AP$3)*Prices!$H$16+(Subs!AP113-(Paid!AP60+React!AP195+Legacy!AP62*Legacy!AP$3))*Prices!$I$16)*FX!AP15*Eras!AP$10</f>
        <v/>
      </c>
      <c r="AQ19" s="11">
        <f>((Paid!AQ60+React!AQ195+Legacy!AQ62*Legacy!AQ$3)*Prices!$H$16+(Subs!AQ113-(Paid!AQ60+React!AQ195+Legacy!AQ62*Legacy!AQ$3))*Prices!$I$16)*FX!AQ15*Eras!AQ$10</f>
        <v/>
      </c>
      <c r="AR19" s="11">
        <f>((Paid!AR60+React!AR195+Legacy!AR62*Legacy!AR$3)*Prices!$H$16+(Subs!AR113-(Paid!AR60+React!AR195+Legacy!AR62*Legacy!AR$3))*Prices!$I$16)*FX!AR15*Eras!AR$10</f>
        <v/>
      </c>
      <c r="AS19" s="11">
        <f>((Paid!AS60+React!AS195+Legacy!AS62*Legacy!AS$3)*Prices!$H$16+(Subs!AS113-(Paid!AS60+React!AS195+Legacy!AS62*Legacy!AS$3))*Prices!$I$16)*FX!AS15*Eras!AS$10</f>
        <v/>
      </c>
      <c r="AT19" s="11">
        <f>((Paid!AT60+React!AT195+Legacy!AT62*Legacy!AT$3)*Prices!$H$16+(Subs!AT113-(Paid!AT60+React!AT195+Legacy!AT62*Legacy!AT$3))*Prices!$I$16)*FX!AT15*Eras!AT$10</f>
        <v/>
      </c>
      <c r="AU19" s="11">
        <f>((Paid!AU60+React!AU195+Legacy!AU62*Legacy!AU$3)*Prices!$H$16+(Subs!AU113-(Paid!AU60+React!AU195+Legacy!AU62*Legacy!AU$3))*Prices!$I$16)*FX!AU15*Eras!AU$10</f>
        <v/>
      </c>
      <c r="AV19" s="11">
        <f>((Paid!AV60+React!AV195+Legacy!AV62*Legacy!AV$3)*Prices!$H$16+(Subs!AV113-(Paid!AV60+React!AV195+Legacy!AV62*Legacy!AV$3))*Prices!$I$16)*FX!AV15*Eras!AV$10</f>
        <v/>
      </c>
      <c r="AW19" s="11">
        <f>((Paid!AW60+React!AW195+Legacy!AW62*Legacy!AW$3)*Prices!$H$16+(Subs!AW113-(Paid!AW60+React!AW195+Legacy!AW62*Legacy!AW$3))*Prices!$I$16)*FX!AW15*Eras!AW$10</f>
        <v/>
      </c>
      <c r="AX19" s="11">
        <f>((Paid!AX60+React!AX195+Legacy!AX62*Legacy!AX$3)*Prices!$H$16+(Subs!AX113-(Paid!AX60+React!AX195+Legacy!AX62*Legacy!AX$3))*Prices!$I$16)*FX!AX15*Eras!AX$10</f>
        <v/>
      </c>
      <c r="AY19" s="11">
        <f>((Paid!AY60+React!AY195+Legacy!AY62*Legacy!AY$3)*Prices!$H$16+(Subs!AY113-(Paid!AY60+React!AY195+Legacy!AY62*Legacy!AY$3))*Prices!$I$16)*FX!AY15*Eras!AY$10</f>
        <v/>
      </c>
      <c r="AZ19" s="11">
        <f>((Paid!AZ60+React!AZ195+Legacy!AZ62*Legacy!AZ$3)*Prices!$H$16+(Subs!AZ113-(Paid!AZ60+React!AZ195+Legacy!AZ62*Legacy!AZ$3))*Prices!$I$16)*FX!AZ15*Eras!AZ$10</f>
        <v/>
      </c>
      <c r="BA19" s="11">
        <f>((Paid!BA60+React!BA195+Legacy!BA62*Legacy!BA$3)*Prices!$H$16+(Subs!BA113-(Paid!BA60+React!BA195+Legacy!BA62*Legacy!BA$3))*Prices!$I$16)*FX!BA15*Eras!BA$10</f>
        <v/>
      </c>
      <c r="BB19" s="11">
        <f>((Paid!BB60+React!BB195+Legacy!BB62*Legacy!BB$3)*Prices!$H$16+(Subs!BB113-(Paid!BB60+React!BB195+Legacy!BB62*Legacy!BB$3))*Prices!$I$16)*FX!BB15*Eras!BB$10</f>
        <v/>
      </c>
      <c r="BC19" s="11">
        <f>((Paid!BC60+React!BC195+Legacy!BC62*Legacy!BC$3)*Prices!$H$16+(Subs!BC113-(Paid!BC60+React!BC195+Legacy!BC62*Legacy!BC$3))*Prices!$I$16)*FX!BC15*Eras!BC$10</f>
        <v/>
      </c>
      <c r="BD19" s="11">
        <f>((Paid!BD60+React!BD195+Legacy!BD62*Legacy!BD$3)*Prices!$H$16+(Subs!BD113-(Paid!BD60+React!BD195+Legacy!BD62*Legacy!BD$3))*Prices!$I$16)*FX!BD15*Eras!BD$10</f>
        <v/>
      </c>
      <c r="BE19" s="11">
        <f>((Paid!BE60+React!BE195+Legacy!BE62*Legacy!BE$3)*Prices!$H$16+(Subs!BE113-(Paid!BE60+React!BE195+Legacy!BE62*Legacy!BE$3))*Prices!$I$16)*FX!BE15*Eras!BE$10</f>
        <v/>
      </c>
      <c r="BF19" s="11">
        <f>((Paid!BF60+React!BF195+Legacy!BF62*Legacy!BF$3)*Prices!$H$16+(Subs!BF113-(Paid!BF60+React!BF195+Legacy!BF62*Legacy!BF$3))*Prices!$I$16)*FX!BF15*Eras!BF$10</f>
        <v/>
      </c>
      <c r="BG19" s="11">
        <f>((Paid!BG60+React!BG195+Legacy!BG62*Legacy!BG$3)*Prices!$H$16+(Subs!BG113-(Paid!BG60+React!BG195+Legacy!BG62*Legacy!BG$3))*Prices!$I$16)*FX!BG15*Eras!BG$10</f>
        <v/>
      </c>
      <c r="BH19" s="11">
        <f>((Paid!BH60+React!BH195+Legacy!BH62*Legacy!BH$3)*Prices!$H$16+(Subs!BH113-(Paid!BH60+React!BH195+Legacy!BH62*Legacy!BH$3))*Prices!$I$16)*FX!BH15*Eras!BH$10</f>
        <v/>
      </c>
      <c r="BI19" s="11">
        <f>((Paid!BI60+React!BI195+Legacy!BI62*Legacy!BI$3)*Prices!$H$16+(Subs!BI113-(Paid!BI60+React!BI195+Legacy!BI62*Legacy!BI$3))*Prices!$I$16)*FX!BI15*Eras!BI$10</f>
        <v/>
      </c>
      <c r="BJ19" s="11">
        <f>((Paid!BJ60+React!BJ195+Legacy!BJ62*Legacy!BJ$3)*Prices!$H$16+(Subs!BJ113-(Paid!BJ60+React!BJ195+Legacy!BJ62*Legacy!BJ$3))*Prices!$I$16)*FX!BJ15*Eras!BJ$10</f>
        <v/>
      </c>
      <c r="BK19" s="11">
        <f>((Paid!BK60+React!BK195+Legacy!BK62*Legacy!BK$3)*Prices!$H$16+(Subs!BK113-(Paid!BK60+React!BK195+Legacy!BK62*Legacy!BK$3))*Prices!$I$16)*FX!BK15*Eras!BK$10</f>
        <v/>
      </c>
      <c r="BL19" s="11">
        <f>((Paid!BL60+React!BL195+Legacy!BL62*Legacy!BL$3)*Prices!$H$16+(Subs!BL113-(Paid!BL60+React!BL195+Legacy!BL62*Legacy!BL$3))*Prices!$I$16)*FX!BL15*Eras!BL$10</f>
        <v/>
      </c>
      <c r="BM19" s="11">
        <f>((Paid!BM60+React!BM195+Legacy!BM62*Legacy!BM$3)*Prices!$H$16+(Subs!BM113-(Paid!BM60+React!BM195+Legacy!BM62*Legacy!BM$3))*Prices!$I$16)*FX!BM15*Eras!BM$10</f>
        <v/>
      </c>
      <c r="BN19" s="11">
        <f>((Paid!BN60+React!BN195+Legacy!BN62*Legacy!BN$3)*Prices!$H$16+(Subs!BN113-(Paid!BN60+React!BN195+Legacy!BN62*Legacy!BN$3))*Prices!$I$16)*FX!BN15*Eras!BN$10</f>
        <v/>
      </c>
      <c r="BO19" s="11">
        <f>((Paid!BO60+React!BO195+Legacy!BO62*Legacy!BO$3)*Prices!$H$16+(Subs!BO113-(Paid!BO60+React!BO195+Legacy!BO62*Legacy!BO$3))*Prices!$I$16)*FX!BO15*Eras!BO$10</f>
        <v/>
      </c>
      <c r="BP19" s="11">
        <f>((Paid!BP60+React!BP195+Legacy!BP62*Legacy!BP$3)*Prices!$H$16+(Subs!BP113-(Paid!BP60+React!BP195+Legacy!BP62*Legacy!BP$3))*Prices!$I$16)*FX!BP15*Eras!BP$10</f>
        <v/>
      </c>
      <c r="BQ19" s="11">
        <f>((Paid!BQ60+React!BQ195+Legacy!BQ62*Legacy!BQ$3)*Prices!$H$16+(Subs!BQ113-(Paid!BQ60+React!BQ195+Legacy!BQ62*Legacy!BQ$3))*Prices!$I$16)*FX!BQ15*Eras!BQ$10</f>
        <v/>
      </c>
      <c r="BR19" s="11">
        <f>((Paid!BR60+React!BR195+Legacy!BR62*Legacy!BR$3)*Prices!$H$16+(Subs!BR113-(Paid!BR60+React!BR195+Legacy!BR62*Legacy!BR$3))*Prices!$I$16)*FX!BR15*Eras!BR$10</f>
        <v/>
      </c>
      <c r="BS19" s="11">
        <f>((Paid!BS60+React!BS195+Legacy!BS62*Legacy!BS$3)*Prices!$H$16+(Subs!BS113-(Paid!BS60+React!BS195+Legacy!BS62*Legacy!BS$3))*Prices!$I$16)*FX!BS15*Eras!BS$10</f>
        <v/>
      </c>
      <c r="BT19" s="11">
        <f>((Paid!BT60+React!BT195+Legacy!BT62*Legacy!BT$3)*Prices!$H$16+(Subs!BT113-(Paid!BT60+React!BT195+Legacy!BT62*Legacy!BT$3))*Prices!$I$16)*FX!BT15*Eras!BT$10</f>
        <v/>
      </c>
      <c r="BU19" s="11">
        <f>((Paid!BU60+React!BU195+Legacy!BU62*Legacy!BU$3)*Prices!$H$16+(Subs!BU113-(Paid!BU60+React!BU195+Legacy!BU62*Legacy!BU$3))*Prices!$I$16)*FX!BU15*Eras!BU$10</f>
        <v/>
      </c>
      <c r="BV19" s="11">
        <f>((Paid!BV60+React!BV195+Legacy!BV62*Legacy!BV$3)*Prices!$H$16+(Subs!BV113-(Paid!BV60+React!BV195+Legacy!BV62*Legacy!BV$3))*Prices!$I$16)*FX!BV15*Eras!BV$10</f>
        <v/>
      </c>
    </row>
    <row r="20">
      <c r="A20" t="inlineStr">
        <is>
          <t>net revenue $</t>
        </is>
      </c>
      <c r="B20" t="inlineStr">
        <is>
          <t>APAC|BASIC_A</t>
        </is>
      </c>
      <c r="C20" s="11">
        <f>((Paid!C64+React!C208+Legacy!C66*Legacy!C$3)*Prices!$H$17+(Subs!C120-(Paid!C64+React!C208+Legacy!C66*Legacy!C$3))*Prices!$I$17)*FX!C15*Eras!C$10</f>
        <v/>
      </c>
      <c r="D20" s="11">
        <f>((Paid!D64+React!D208+Legacy!D66*Legacy!D$3)*Prices!$H$17+(Subs!D120-(Paid!D64+React!D208+Legacy!D66*Legacy!D$3))*Prices!$I$17)*FX!D15*Eras!D$10</f>
        <v/>
      </c>
      <c r="E20" s="11">
        <f>((Paid!E64+React!E208+Legacy!E66*Legacy!E$3)*Prices!$H$17+(Subs!E120-(Paid!E64+React!E208+Legacy!E66*Legacy!E$3))*Prices!$I$17)*FX!E15*Eras!E$10</f>
        <v/>
      </c>
      <c r="F20" s="11">
        <f>((Paid!F64+React!F208+Legacy!F66*Legacy!F$3)*Prices!$H$17+(Subs!F120-(Paid!F64+React!F208+Legacy!F66*Legacy!F$3))*Prices!$I$17)*FX!F15*Eras!F$10</f>
        <v/>
      </c>
      <c r="G20" s="11">
        <f>((Paid!G64+React!G208+Legacy!G66*Legacy!G$3)*Prices!$H$17+(Subs!G120-(Paid!G64+React!G208+Legacy!G66*Legacy!G$3))*Prices!$I$17)*FX!G15*Eras!G$10</f>
        <v/>
      </c>
      <c r="H20" s="11">
        <f>((Paid!H64+React!H208+Legacy!H66*Legacy!H$3)*Prices!$H$17+(Subs!H120-(Paid!H64+React!H208+Legacy!H66*Legacy!H$3))*Prices!$I$17)*FX!H15*Eras!H$10</f>
        <v/>
      </c>
      <c r="I20" s="11">
        <f>((Paid!I64+React!I208+Legacy!I66*Legacy!I$3)*Prices!$H$17+(Subs!I120-(Paid!I64+React!I208+Legacy!I66*Legacy!I$3))*Prices!$I$17)*FX!I15*Eras!I$10</f>
        <v/>
      </c>
      <c r="J20" s="11">
        <f>((Paid!J64+React!J208+Legacy!J66*Legacy!J$3)*Prices!$H$17+(Subs!J120-(Paid!J64+React!J208+Legacy!J66*Legacy!J$3))*Prices!$I$17)*FX!J15*Eras!J$10</f>
        <v/>
      </c>
      <c r="K20" s="11">
        <f>((Paid!K64+React!K208+Legacy!K66*Legacy!K$3)*Prices!$H$17+(Subs!K120-(Paid!K64+React!K208+Legacy!K66*Legacy!K$3))*Prices!$I$17)*FX!K15*Eras!K$10</f>
        <v/>
      </c>
      <c r="L20" s="11">
        <f>((Paid!L64+React!L208+Legacy!L66*Legacy!L$3)*Prices!$H$17+(Subs!L120-(Paid!L64+React!L208+Legacy!L66*Legacy!L$3))*Prices!$I$17)*FX!L15*Eras!L$10</f>
        <v/>
      </c>
      <c r="M20" s="11">
        <f>((Paid!M64+React!M208+Legacy!M66*Legacy!M$3)*Prices!$H$17+(Subs!M120-(Paid!M64+React!M208+Legacy!M66*Legacy!M$3))*Prices!$I$17)*FX!M15*Eras!M$10</f>
        <v/>
      </c>
      <c r="N20" s="11">
        <f>((Paid!N64+React!N208+Legacy!N66*Legacy!N$3)*Prices!$H$17+(Subs!N120-(Paid!N64+React!N208+Legacy!N66*Legacy!N$3))*Prices!$I$17)*FX!N15*Eras!N$10</f>
        <v/>
      </c>
      <c r="O20" s="11">
        <f>((Paid!O64+React!O208+Legacy!O66*Legacy!O$3)*Prices!$H$17+(Subs!O120-(Paid!O64+React!O208+Legacy!O66*Legacy!O$3))*Prices!$I$17)*FX!O15*Eras!O$10</f>
        <v/>
      </c>
      <c r="P20" s="11">
        <f>((Paid!P64+React!P208+Legacy!P66*Legacy!P$3)*Prices!$H$17+(Subs!P120-(Paid!P64+React!P208+Legacy!P66*Legacy!P$3))*Prices!$I$17)*FX!P15*Eras!P$10</f>
        <v/>
      </c>
      <c r="Q20" s="11">
        <f>((Paid!Q64+React!Q208+Legacy!Q66*Legacy!Q$3)*Prices!$H$17+(Subs!Q120-(Paid!Q64+React!Q208+Legacy!Q66*Legacy!Q$3))*Prices!$I$17)*FX!Q15*Eras!Q$10</f>
        <v/>
      </c>
      <c r="R20" s="11">
        <f>((Paid!R64+React!R208+Legacy!R66*Legacy!R$3)*Prices!$H$17+(Subs!R120-(Paid!R64+React!R208+Legacy!R66*Legacy!R$3))*Prices!$I$17)*FX!R15*Eras!R$10</f>
        <v/>
      </c>
      <c r="S20" s="11">
        <f>((Paid!S64+React!S208+Legacy!S66*Legacy!S$3)*Prices!$H$17+(Subs!S120-(Paid!S64+React!S208+Legacy!S66*Legacy!S$3))*Prices!$I$17)*FX!S15*Eras!S$10</f>
        <v/>
      </c>
      <c r="T20" s="11">
        <f>((Paid!T64+React!T208+Legacy!T66*Legacy!T$3)*Prices!$H$17+(Subs!T120-(Paid!T64+React!T208+Legacy!T66*Legacy!T$3))*Prices!$I$17)*FX!T15*Eras!T$10</f>
        <v/>
      </c>
      <c r="U20" s="11">
        <f>((Paid!U64+React!U208+Legacy!U66*Legacy!U$3)*Prices!$H$17+(Subs!U120-(Paid!U64+React!U208+Legacy!U66*Legacy!U$3))*Prices!$I$17)*FX!U15*Eras!U$10</f>
        <v/>
      </c>
      <c r="V20" s="11">
        <f>((Paid!V64+React!V208+Legacy!V66*Legacy!V$3)*Prices!$H$17+(Subs!V120-(Paid!V64+React!V208+Legacy!V66*Legacy!V$3))*Prices!$I$17)*FX!V15*Eras!V$10</f>
        <v/>
      </c>
      <c r="W20" s="11">
        <f>((Paid!W64+React!W208+Legacy!W66*Legacy!W$3)*Prices!$H$17+(Subs!W120-(Paid!W64+React!W208+Legacy!W66*Legacy!W$3))*Prices!$I$17)*FX!W15*Eras!W$10</f>
        <v/>
      </c>
      <c r="X20" s="11">
        <f>((Paid!X64+React!X208+Legacy!X66*Legacy!X$3)*Prices!$H$17+(Subs!X120-(Paid!X64+React!X208+Legacy!X66*Legacy!X$3))*Prices!$I$17)*FX!X15*Eras!X$10</f>
        <v/>
      </c>
      <c r="Y20" s="11">
        <f>((Paid!Y64+React!Y208+Legacy!Y66*Legacy!Y$3)*Prices!$H$17+(Subs!Y120-(Paid!Y64+React!Y208+Legacy!Y66*Legacy!Y$3))*Prices!$I$17)*FX!Y15*Eras!Y$10</f>
        <v/>
      </c>
      <c r="Z20" s="11">
        <f>((Paid!Z64+React!Z208+Legacy!Z66*Legacy!Z$3)*Prices!$H$17+(Subs!Z120-(Paid!Z64+React!Z208+Legacy!Z66*Legacy!Z$3))*Prices!$I$17)*FX!Z15*Eras!Z$10</f>
        <v/>
      </c>
      <c r="AA20" s="11">
        <f>((Paid!AA64+React!AA208+Legacy!AA66*Legacy!AA$3)*Prices!$H$17+(Subs!AA120-(Paid!AA64+React!AA208+Legacy!AA66*Legacy!AA$3))*Prices!$I$17)*FX!AA15*Eras!AA$10</f>
        <v/>
      </c>
      <c r="AB20" s="11">
        <f>((Paid!AB64+React!AB208+Legacy!AB66*Legacy!AB$3)*Prices!$H$17+(Subs!AB120-(Paid!AB64+React!AB208+Legacy!AB66*Legacy!AB$3))*Prices!$I$17)*FX!AB15*Eras!AB$10</f>
        <v/>
      </c>
      <c r="AC20" s="11">
        <f>((Paid!AC64+React!AC208+Legacy!AC66*Legacy!AC$3)*Prices!$H$17+(Subs!AC120-(Paid!AC64+React!AC208+Legacy!AC66*Legacy!AC$3))*Prices!$I$17)*FX!AC15*Eras!AC$10</f>
        <v/>
      </c>
      <c r="AD20" s="11">
        <f>((Paid!AD64+React!AD208+Legacy!AD66*Legacy!AD$3)*Prices!$H$17+(Subs!AD120-(Paid!AD64+React!AD208+Legacy!AD66*Legacy!AD$3))*Prices!$I$17)*FX!AD15*Eras!AD$10</f>
        <v/>
      </c>
      <c r="AE20" s="11">
        <f>((Paid!AE64+React!AE208+Legacy!AE66*Legacy!AE$3)*Prices!$H$17+(Subs!AE120-(Paid!AE64+React!AE208+Legacy!AE66*Legacy!AE$3))*Prices!$I$17)*FX!AE15*Eras!AE$10</f>
        <v/>
      </c>
      <c r="AF20" s="11">
        <f>((Paid!AF64+React!AF208+Legacy!AF66*Legacy!AF$3)*Prices!$H$17+(Subs!AF120-(Paid!AF64+React!AF208+Legacy!AF66*Legacy!AF$3))*Prices!$I$17)*FX!AF15*Eras!AF$10</f>
        <v/>
      </c>
      <c r="AG20" s="11">
        <f>((Paid!AG64+React!AG208+Legacy!AG66*Legacy!AG$3)*Prices!$H$17+(Subs!AG120-(Paid!AG64+React!AG208+Legacy!AG66*Legacy!AG$3))*Prices!$I$17)*FX!AG15*Eras!AG$10</f>
        <v/>
      </c>
      <c r="AH20" s="11">
        <f>((Paid!AH64+React!AH208+Legacy!AH66*Legacy!AH$3)*Prices!$H$17+(Subs!AH120-(Paid!AH64+React!AH208+Legacy!AH66*Legacy!AH$3))*Prices!$I$17)*FX!AH15*Eras!AH$10</f>
        <v/>
      </c>
      <c r="AI20" s="11">
        <f>((Paid!AI64+React!AI208+Legacy!AI66*Legacy!AI$3)*Prices!$H$17+(Subs!AI120-(Paid!AI64+React!AI208+Legacy!AI66*Legacy!AI$3))*Prices!$I$17)*FX!AI15*Eras!AI$10</f>
        <v/>
      </c>
      <c r="AJ20" s="11">
        <f>((Paid!AJ64+React!AJ208+Legacy!AJ66*Legacy!AJ$3)*Prices!$H$17+(Subs!AJ120-(Paid!AJ64+React!AJ208+Legacy!AJ66*Legacy!AJ$3))*Prices!$I$17)*FX!AJ15*Eras!AJ$10</f>
        <v/>
      </c>
      <c r="AK20" s="11">
        <f>((Paid!AK64+React!AK208+Legacy!AK66*Legacy!AK$3)*Prices!$H$17+(Subs!AK120-(Paid!AK64+React!AK208+Legacy!AK66*Legacy!AK$3))*Prices!$I$17)*FX!AK15*Eras!AK$10</f>
        <v/>
      </c>
      <c r="AL20" s="11">
        <f>((Paid!AL64+React!AL208+Legacy!AL66*Legacy!AL$3)*Prices!$H$17+(Subs!AL120-(Paid!AL64+React!AL208+Legacy!AL66*Legacy!AL$3))*Prices!$I$17)*FX!AL15*Eras!AL$10</f>
        <v/>
      </c>
      <c r="AM20" s="11">
        <f>((Paid!AM64+React!AM208+Legacy!AM66*Legacy!AM$3)*Prices!$H$17+(Subs!AM120-(Paid!AM64+React!AM208+Legacy!AM66*Legacy!AM$3))*Prices!$I$17)*FX!AM15*Eras!AM$10</f>
        <v/>
      </c>
      <c r="AN20" s="11">
        <f>((Paid!AN64+React!AN208+Legacy!AN66*Legacy!AN$3)*Prices!$H$17+(Subs!AN120-(Paid!AN64+React!AN208+Legacy!AN66*Legacy!AN$3))*Prices!$I$17)*FX!AN15*Eras!AN$10</f>
        <v/>
      </c>
      <c r="AO20" s="11">
        <f>((Paid!AO64+React!AO208+Legacy!AO66*Legacy!AO$3)*Prices!$H$17+(Subs!AO120-(Paid!AO64+React!AO208+Legacy!AO66*Legacy!AO$3))*Prices!$I$17)*FX!AO15*Eras!AO$10</f>
        <v/>
      </c>
      <c r="AP20" s="11">
        <f>((Paid!AP64+React!AP208+Legacy!AP66*Legacy!AP$3)*Prices!$H$17+(Subs!AP120-(Paid!AP64+React!AP208+Legacy!AP66*Legacy!AP$3))*Prices!$I$17)*FX!AP15*Eras!AP$10</f>
        <v/>
      </c>
      <c r="AQ20" s="11">
        <f>((Paid!AQ64+React!AQ208+Legacy!AQ66*Legacy!AQ$3)*Prices!$H$17+(Subs!AQ120-(Paid!AQ64+React!AQ208+Legacy!AQ66*Legacy!AQ$3))*Prices!$I$17)*FX!AQ15*Eras!AQ$10</f>
        <v/>
      </c>
      <c r="AR20" s="11">
        <f>((Paid!AR64+React!AR208+Legacy!AR66*Legacy!AR$3)*Prices!$H$17+(Subs!AR120-(Paid!AR64+React!AR208+Legacy!AR66*Legacy!AR$3))*Prices!$I$17)*FX!AR15*Eras!AR$10</f>
        <v/>
      </c>
      <c r="AS20" s="11">
        <f>((Paid!AS64+React!AS208+Legacy!AS66*Legacy!AS$3)*Prices!$H$17+(Subs!AS120-(Paid!AS64+React!AS208+Legacy!AS66*Legacy!AS$3))*Prices!$I$17)*FX!AS15*Eras!AS$10</f>
        <v/>
      </c>
      <c r="AT20" s="11">
        <f>((Paid!AT64+React!AT208+Legacy!AT66*Legacy!AT$3)*Prices!$H$17+(Subs!AT120-(Paid!AT64+React!AT208+Legacy!AT66*Legacy!AT$3))*Prices!$I$17)*FX!AT15*Eras!AT$10</f>
        <v/>
      </c>
      <c r="AU20" s="11">
        <f>((Paid!AU64+React!AU208+Legacy!AU66*Legacy!AU$3)*Prices!$H$17+(Subs!AU120-(Paid!AU64+React!AU208+Legacy!AU66*Legacy!AU$3))*Prices!$I$17)*FX!AU15*Eras!AU$10</f>
        <v/>
      </c>
      <c r="AV20" s="11">
        <f>((Paid!AV64+React!AV208+Legacy!AV66*Legacy!AV$3)*Prices!$H$17+(Subs!AV120-(Paid!AV64+React!AV208+Legacy!AV66*Legacy!AV$3))*Prices!$I$17)*FX!AV15*Eras!AV$10</f>
        <v/>
      </c>
      <c r="AW20" s="11">
        <f>((Paid!AW64+React!AW208+Legacy!AW66*Legacy!AW$3)*Prices!$H$17+(Subs!AW120-(Paid!AW64+React!AW208+Legacy!AW66*Legacy!AW$3))*Prices!$I$17)*FX!AW15*Eras!AW$10</f>
        <v/>
      </c>
      <c r="AX20" s="11">
        <f>((Paid!AX64+React!AX208+Legacy!AX66*Legacy!AX$3)*Prices!$H$17+(Subs!AX120-(Paid!AX64+React!AX208+Legacy!AX66*Legacy!AX$3))*Prices!$I$17)*FX!AX15*Eras!AX$10</f>
        <v/>
      </c>
      <c r="AY20" s="11">
        <f>((Paid!AY64+React!AY208+Legacy!AY66*Legacy!AY$3)*Prices!$H$17+(Subs!AY120-(Paid!AY64+React!AY208+Legacy!AY66*Legacy!AY$3))*Prices!$I$17)*FX!AY15*Eras!AY$10</f>
        <v/>
      </c>
      <c r="AZ20" s="11">
        <f>((Paid!AZ64+React!AZ208+Legacy!AZ66*Legacy!AZ$3)*Prices!$H$17+(Subs!AZ120-(Paid!AZ64+React!AZ208+Legacy!AZ66*Legacy!AZ$3))*Prices!$I$17)*FX!AZ15*Eras!AZ$10</f>
        <v/>
      </c>
      <c r="BA20" s="11">
        <f>((Paid!BA64+React!BA208+Legacy!BA66*Legacy!BA$3)*Prices!$H$17+(Subs!BA120-(Paid!BA64+React!BA208+Legacy!BA66*Legacy!BA$3))*Prices!$I$17)*FX!BA15*Eras!BA$10</f>
        <v/>
      </c>
      <c r="BB20" s="11">
        <f>((Paid!BB64+React!BB208+Legacy!BB66*Legacy!BB$3)*Prices!$H$17+(Subs!BB120-(Paid!BB64+React!BB208+Legacy!BB66*Legacy!BB$3))*Prices!$I$17)*FX!BB15*Eras!BB$10</f>
        <v/>
      </c>
      <c r="BC20" s="11">
        <f>((Paid!BC64+React!BC208+Legacy!BC66*Legacy!BC$3)*Prices!$H$17+(Subs!BC120-(Paid!BC64+React!BC208+Legacy!BC66*Legacy!BC$3))*Prices!$I$17)*FX!BC15*Eras!BC$10</f>
        <v/>
      </c>
      <c r="BD20" s="11">
        <f>((Paid!BD64+React!BD208+Legacy!BD66*Legacy!BD$3)*Prices!$H$17+(Subs!BD120-(Paid!BD64+React!BD208+Legacy!BD66*Legacy!BD$3))*Prices!$I$17)*FX!BD15*Eras!BD$10</f>
        <v/>
      </c>
      <c r="BE20" s="11">
        <f>((Paid!BE64+React!BE208+Legacy!BE66*Legacy!BE$3)*Prices!$H$17+(Subs!BE120-(Paid!BE64+React!BE208+Legacy!BE66*Legacy!BE$3))*Prices!$I$17)*FX!BE15*Eras!BE$10</f>
        <v/>
      </c>
      <c r="BF20" s="11">
        <f>((Paid!BF64+React!BF208+Legacy!BF66*Legacy!BF$3)*Prices!$H$17+(Subs!BF120-(Paid!BF64+React!BF208+Legacy!BF66*Legacy!BF$3))*Prices!$I$17)*FX!BF15*Eras!BF$10</f>
        <v/>
      </c>
      <c r="BG20" s="11">
        <f>((Paid!BG64+React!BG208+Legacy!BG66*Legacy!BG$3)*Prices!$H$17+(Subs!BG120-(Paid!BG64+React!BG208+Legacy!BG66*Legacy!BG$3))*Prices!$I$17)*FX!BG15*Eras!BG$10</f>
        <v/>
      </c>
      <c r="BH20" s="11">
        <f>((Paid!BH64+React!BH208+Legacy!BH66*Legacy!BH$3)*Prices!$H$17+(Subs!BH120-(Paid!BH64+React!BH208+Legacy!BH66*Legacy!BH$3))*Prices!$I$17)*FX!BH15*Eras!BH$10</f>
        <v/>
      </c>
      <c r="BI20" s="11">
        <f>((Paid!BI64+React!BI208+Legacy!BI66*Legacy!BI$3)*Prices!$H$17+(Subs!BI120-(Paid!BI64+React!BI208+Legacy!BI66*Legacy!BI$3))*Prices!$I$17)*FX!BI15*Eras!BI$10</f>
        <v/>
      </c>
      <c r="BJ20" s="11">
        <f>((Paid!BJ64+React!BJ208+Legacy!BJ66*Legacy!BJ$3)*Prices!$H$17+(Subs!BJ120-(Paid!BJ64+React!BJ208+Legacy!BJ66*Legacy!BJ$3))*Prices!$I$17)*FX!BJ15*Eras!BJ$10</f>
        <v/>
      </c>
      <c r="BK20" s="11">
        <f>((Paid!BK64+React!BK208+Legacy!BK66*Legacy!BK$3)*Prices!$H$17+(Subs!BK120-(Paid!BK64+React!BK208+Legacy!BK66*Legacy!BK$3))*Prices!$I$17)*FX!BK15*Eras!BK$10</f>
        <v/>
      </c>
      <c r="BL20" s="11">
        <f>((Paid!BL64+React!BL208+Legacy!BL66*Legacy!BL$3)*Prices!$H$17+(Subs!BL120-(Paid!BL64+React!BL208+Legacy!BL66*Legacy!BL$3))*Prices!$I$17)*FX!BL15*Eras!BL$10</f>
        <v/>
      </c>
      <c r="BM20" s="11">
        <f>((Paid!BM64+React!BM208+Legacy!BM66*Legacy!BM$3)*Prices!$H$17+(Subs!BM120-(Paid!BM64+React!BM208+Legacy!BM66*Legacy!BM$3))*Prices!$I$17)*FX!BM15*Eras!BM$10</f>
        <v/>
      </c>
      <c r="BN20" s="11">
        <f>((Paid!BN64+React!BN208+Legacy!BN66*Legacy!BN$3)*Prices!$H$17+(Subs!BN120-(Paid!BN64+React!BN208+Legacy!BN66*Legacy!BN$3))*Prices!$I$17)*FX!BN15*Eras!BN$10</f>
        <v/>
      </c>
      <c r="BO20" s="11">
        <f>((Paid!BO64+React!BO208+Legacy!BO66*Legacy!BO$3)*Prices!$H$17+(Subs!BO120-(Paid!BO64+React!BO208+Legacy!BO66*Legacy!BO$3))*Prices!$I$17)*FX!BO15*Eras!BO$10</f>
        <v/>
      </c>
      <c r="BP20" s="11">
        <f>((Paid!BP64+React!BP208+Legacy!BP66*Legacy!BP$3)*Prices!$H$17+(Subs!BP120-(Paid!BP64+React!BP208+Legacy!BP66*Legacy!BP$3))*Prices!$I$17)*FX!BP15*Eras!BP$10</f>
        <v/>
      </c>
      <c r="BQ20" s="11">
        <f>((Paid!BQ64+React!BQ208+Legacy!BQ66*Legacy!BQ$3)*Prices!$H$17+(Subs!BQ120-(Paid!BQ64+React!BQ208+Legacy!BQ66*Legacy!BQ$3))*Prices!$I$17)*FX!BQ15*Eras!BQ$10</f>
        <v/>
      </c>
      <c r="BR20" s="11">
        <f>((Paid!BR64+React!BR208+Legacy!BR66*Legacy!BR$3)*Prices!$H$17+(Subs!BR120-(Paid!BR64+React!BR208+Legacy!BR66*Legacy!BR$3))*Prices!$I$17)*FX!BR15*Eras!BR$10</f>
        <v/>
      </c>
      <c r="BS20" s="11">
        <f>((Paid!BS64+React!BS208+Legacy!BS66*Legacy!BS$3)*Prices!$H$17+(Subs!BS120-(Paid!BS64+React!BS208+Legacy!BS66*Legacy!BS$3))*Prices!$I$17)*FX!BS15*Eras!BS$10</f>
        <v/>
      </c>
      <c r="BT20" s="11">
        <f>((Paid!BT64+React!BT208+Legacy!BT66*Legacy!BT$3)*Prices!$H$17+(Subs!BT120-(Paid!BT64+React!BT208+Legacy!BT66*Legacy!BT$3))*Prices!$I$17)*FX!BT15*Eras!BT$10</f>
        <v/>
      </c>
      <c r="BU20" s="11">
        <f>((Paid!BU64+React!BU208+Legacy!BU66*Legacy!BU$3)*Prices!$H$17+(Subs!BU120-(Paid!BU64+React!BU208+Legacy!BU66*Legacy!BU$3))*Prices!$I$17)*FX!BU15*Eras!BU$10</f>
        <v/>
      </c>
      <c r="BV20" s="11">
        <f>((Paid!BV64+React!BV208+Legacy!BV66*Legacy!BV$3)*Prices!$H$17+(Subs!BV120-(Paid!BV64+React!BV208+Legacy!BV66*Legacy!BV$3))*Prices!$I$17)*FX!BV15*Eras!BV$10</f>
        <v/>
      </c>
    </row>
    <row r="21">
      <c r="A21" t="inlineStr">
        <is>
          <t>net revenue $</t>
        </is>
      </c>
      <c r="B21" t="inlineStr">
        <is>
          <t>ROW|NITRO_M</t>
        </is>
      </c>
      <c r="C21" s="11">
        <f>((Paid!C68+React!C221+Legacy!C70*Legacy!C$3)*Prices!$H$18+(Subs!C127-(Paid!C68+React!C221+Legacy!C70*Legacy!C$3))*Prices!$I$18)*FX!C16*Eras!C$10</f>
        <v/>
      </c>
      <c r="D21" s="11">
        <f>((Paid!D68+React!D221+Legacy!D70*Legacy!D$3)*Prices!$H$18+(Subs!D127-(Paid!D68+React!D221+Legacy!D70*Legacy!D$3))*Prices!$I$18)*FX!D16*Eras!D$10</f>
        <v/>
      </c>
      <c r="E21" s="11">
        <f>((Paid!E68+React!E221+Legacy!E70*Legacy!E$3)*Prices!$H$18+(Subs!E127-(Paid!E68+React!E221+Legacy!E70*Legacy!E$3))*Prices!$I$18)*FX!E16*Eras!E$10</f>
        <v/>
      </c>
      <c r="F21" s="11">
        <f>((Paid!F68+React!F221+Legacy!F70*Legacy!F$3)*Prices!$H$18+(Subs!F127-(Paid!F68+React!F221+Legacy!F70*Legacy!F$3))*Prices!$I$18)*FX!F16*Eras!F$10</f>
        <v/>
      </c>
      <c r="G21" s="11">
        <f>((Paid!G68+React!G221+Legacy!G70*Legacy!G$3)*Prices!$H$18+(Subs!G127-(Paid!G68+React!G221+Legacy!G70*Legacy!G$3))*Prices!$I$18)*FX!G16*Eras!G$10</f>
        <v/>
      </c>
      <c r="H21" s="11">
        <f>((Paid!H68+React!H221+Legacy!H70*Legacy!H$3)*Prices!$H$18+(Subs!H127-(Paid!H68+React!H221+Legacy!H70*Legacy!H$3))*Prices!$I$18)*FX!H16*Eras!H$10</f>
        <v/>
      </c>
      <c r="I21" s="11">
        <f>((Paid!I68+React!I221+Legacy!I70*Legacy!I$3)*Prices!$H$18+(Subs!I127-(Paid!I68+React!I221+Legacy!I70*Legacy!I$3))*Prices!$I$18)*FX!I16*Eras!I$10</f>
        <v/>
      </c>
      <c r="J21" s="11">
        <f>((Paid!J68+React!J221+Legacy!J70*Legacy!J$3)*Prices!$H$18+(Subs!J127-(Paid!J68+React!J221+Legacy!J70*Legacy!J$3))*Prices!$I$18)*FX!J16*Eras!J$10</f>
        <v/>
      </c>
      <c r="K21" s="11">
        <f>((Paid!K68+React!K221+Legacy!K70*Legacy!K$3)*Prices!$H$18+(Subs!K127-(Paid!K68+React!K221+Legacy!K70*Legacy!K$3))*Prices!$I$18)*FX!K16*Eras!K$10</f>
        <v/>
      </c>
      <c r="L21" s="11">
        <f>((Paid!L68+React!L221+Legacy!L70*Legacy!L$3)*Prices!$H$18+(Subs!L127-(Paid!L68+React!L221+Legacy!L70*Legacy!L$3))*Prices!$I$18)*FX!L16*Eras!L$10</f>
        <v/>
      </c>
      <c r="M21" s="11">
        <f>((Paid!M68+React!M221+Legacy!M70*Legacy!M$3)*Prices!$H$18+(Subs!M127-(Paid!M68+React!M221+Legacy!M70*Legacy!M$3))*Prices!$I$18)*FX!M16*Eras!M$10</f>
        <v/>
      </c>
      <c r="N21" s="11">
        <f>((Paid!N68+React!N221+Legacy!N70*Legacy!N$3)*Prices!$H$18+(Subs!N127-(Paid!N68+React!N221+Legacy!N70*Legacy!N$3))*Prices!$I$18)*FX!N16*Eras!N$10</f>
        <v/>
      </c>
      <c r="O21" s="11">
        <f>((Paid!O68+React!O221+Legacy!O70*Legacy!O$3)*Prices!$H$18+(Subs!O127-(Paid!O68+React!O221+Legacy!O70*Legacy!O$3))*Prices!$I$18)*FX!O16*Eras!O$10</f>
        <v/>
      </c>
      <c r="P21" s="11">
        <f>((Paid!P68+React!P221+Legacy!P70*Legacy!P$3)*Prices!$H$18+(Subs!P127-(Paid!P68+React!P221+Legacy!P70*Legacy!P$3))*Prices!$I$18)*FX!P16*Eras!P$10</f>
        <v/>
      </c>
      <c r="Q21" s="11">
        <f>((Paid!Q68+React!Q221+Legacy!Q70*Legacy!Q$3)*Prices!$H$18+(Subs!Q127-(Paid!Q68+React!Q221+Legacy!Q70*Legacy!Q$3))*Prices!$I$18)*FX!Q16*Eras!Q$10</f>
        <v/>
      </c>
      <c r="R21" s="11">
        <f>((Paid!R68+React!R221+Legacy!R70*Legacy!R$3)*Prices!$H$18+(Subs!R127-(Paid!R68+React!R221+Legacy!R70*Legacy!R$3))*Prices!$I$18)*FX!R16*Eras!R$10</f>
        <v/>
      </c>
      <c r="S21" s="11">
        <f>((Paid!S68+React!S221+Legacy!S70*Legacy!S$3)*Prices!$H$18+(Subs!S127-(Paid!S68+React!S221+Legacy!S70*Legacy!S$3))*Prices!$I$18)*FX!S16*Eras!S$10</f>
        <v/>
      </c>
      <c r="T21" s="11">
        <f>((Paid!T68+React!T221+Legacy!T70*Legacy!T$3)*Prices!$H$18+(Subs!T127-(Paid!T68+React!T221+Legacy!T70*Legacy!T$3))*Prices!$I$18)*FX!T16*Eras!T$10</f>
        <v/>
      </c>
      <c r="U21" s="11">
        <f>((Paid!U68+React!U221+Legacy!U70*Legacy!U$3)*Prices!$H$18+(Subs!U127-(Paid!U68+React!U221+Legacy!U70*Legacy!U$3))*Prices!$I$18)*FX!U16*Eras!U$10</f>
        <v/>
      </c>
      <c r="V21" s="11">
        <f>((Paid!V68+React!V221+Legacy!V70*Legacy!V$3)*Prices!$H$18+(Subs!V127-(Paid!V68+React!V221+Legacy!V70*Legacy!V$3))*Prices!$I$18)*FX!V16*Eras!V$10</f>
        <v/>
      </c>
      <c r="W21" s="11">
        <f>((Paid!W68+React!W221+Legacy!W70*Legacy!W$3)*Prices!$H$18+(Subs!W127-(Paid!W68+React!W221+Legacy!W70*Legacy!W$3))*Prices!$I$18)*FX!W16*Eras!W$10</f>
        <v/>
      </c>
      <c r="X21" s="11">
        <f>((Paid!X68+React!X221+Legacy!X70*Legacy!X$3)*Prices!$H$18+(Subs!X127-(Paid!X68+React!X221+Legacy!X70*Legacy!X$3))*Prices!$I$18)*FX!X16*Eras!X$10</f>
        <v/>
      </c>
      <c r="Y21" s="11">
        <f>((Paid!Y68+React!Y221+Legacy!Y70*Legacy!Y$3)*Prices!$H$18+(Subs!Y127-(Paid!Y68+React!Y221+Legacy!Y70*Legacy!Y$3))*Prices!$I$18)*FX!Y16*Eras!Y$10</f>
        <v/>
      </c>
      <c r="Z21" s="11">
        <f>((Paid!Z68+React!Z221+Legacy!Z70*Legacy!Z$3)*Prices!$H$18+(Subs!Z127-(Paid!Z68+React!Z221+Legacy!Z70*Legacy!Z$3))*Prices!$I$18)*FX!Z16*Eras!Z$10</f>
        <v/>
      </c>
      <c r="AA21" s="11">
        <f>((Paid!AA68+React!AA221+Legacy!AA70*Legacy!AA$3)*Prices!$H$18+(Subs!AA127-(Paid!AA68+React!AA221+Legacy!AA70*Legacy!AA$3))*Prices!$I$18)*FX!AA16*Eras!AA$10</f>
        <v/>
      </c>
      <c r="AB21" s="11">
        <f>((Paid!AB68+React!AB221+Legacy!AB70*Legacy!AB$3)*Prices!$H$18+(Subs!AB127-(Paid!AB68+React!AB221+Legacy!AB70*Legacy!AB$3))*Prices!$I$18)*FX!AB16*Eras!AB$10</f>
        <v/>
      </c>
      <c r="AC21" s="11">
        <f>((Paid!AC68+React!AC221+Legacy!AC70*Legacy!AC$3)*Prices!$H$18+(Subs!AC127-(Paid!AC68+React!AC221+Legacy!AC70*Legacy!AC$3))*Prices!$I$18)*FX!AC16*Eras!AC$10</f>
        <v/>
      </c>
      <c r="AD21" s="11">
        <f>((Paid!AD68+React!AD221+Legacy!AD70*Legacy!AD$3)*Prices!$H$18+(Subs!AD127-(Paid!AD68+React!AD221+Legacy!AD70*Legacy!AD$3))*Prices!$I$18)*FX!AD16*Eras!AD$10</f>
        <v/>
      </c>
      <c r="AE21" s="11">
        <f>((Paid!AE68+React!AE221+Legacy!AE70*Legacy!AE$3)*Prices!$H$18+(Subs!AE127-(Paid!AE68+React!AE221+Legacy!AE70*Legacy!AE$3))*Prices!$I$18)*FX!AE16*Eras!AE$10</f>
        <v/>
      </c>
      <c r="AF21" s="11">
        <f>((Paid!AF68+React!AF221+Legacy!AF70*Legacy!AF$3)*Prices!$H$18+(Subs!AF127-(Paid!AF68+React!AF221+Legacy!AF70*Legacy!AF$3))*Prices!$I$18)*FX!AF16*Eras!AF$10</f>
        <v/>
      </c>
      <c r="AG21" s="11">
        <f>((Paid!AG68+React!AG221+Legacy!AG70*Legacy!AG$3)*Prices!$H$18+(Subs!AG127-(Paid!AG68+React!AG221+Legacy!AG70*Legacy!AG$3))*Prices!$I$18)*FX!AG16*Eras!AG$10</f>
        <v/>
      </c>
      <c r="AH21" s="11">
        <f>((Paid!AH68+React!AH221+Legacy!AH70*Legacy!AH$3)*Prices!$H$18+(Subs!AH127-(Paid!AH68+React!AH221+Legacy!AH70*Legacy!AH$3))*Prices!$I$18)*FX!AH16*Eras!AH$10</f>
        <v/>
      </c>
      <c r="AI21" s="11">
        <f>((Paid!AI68+React!AI221+Legacy!AI70*Legacy!AI$3)*Prices!$H$18+(Subs!AI127-(Paid!AI68+React!AI221+Legacy!AI70*Legacy!AI$3))*Prices!$I$18)*FX!AI16*Eras!AI$10</f>
        <v/>
      </c>
      <c r="AJ21" s="11">
        <f>((Paid!AJ68+React!AJ221+Legacy!AJ70*Legacy!AJ$3)*Prices!$H$18+(Subs!AJ127-(Paid!AJ68+React!AJ221+Legacy!AJ70*Legacy!AJ$3))*Prices!$I$18)*FX!AJ16*Eras!AJ$10</f>
        <v/>
      </c>
      <c r="AK21" s="11">
        <f>((Paid!AK68+React!AK221+Legacy!AK70*Legacy!AK$3)*Prices!$H$18+(Subs!AK127-(Paid!AK68+React!AK221+Legacy!AK70*Legacy!AK$3))*Prices!$I$18)*FX!AK16*Eras!AK$10</f>
        <v/>
      </c>
      <c r="AL21" s="11">
        <f>((Paid!AL68+React!AL221+Legacy!AL70*Legacy!AL$3)*Prices!$H$18+(Subs!AL127-(Paid!AL68+React!AL221+Legacy!AL70*Legacy!AL$3))*Prices!$I$18)*FX!AL16*Eras!AL$10</f>
        <v/>
      </c>
      <c r="AM21" s="11">
        <f>((Paid!AM68+React!AM221+Legacy!AM70*Legacy!AM$3)*Prices!$H$18+(Subs!AM127-(Paid!AM68+React!AM221+Legacy!AM70*Legacy!AM$3))*Prices!$I$18)*FX!AM16*Eras!AM$10</f>
        <v/>
      </c>
      <c r="AN21" s="11">
        <f>((Paid!AN68+React!AN221+Legacy!AN70*Legacy!AN$3)*Prices!$H$18+(Subs!AN127-(Paid!AN68+React!AN221+Legacy!AN70*Legacy!AN$3))*Prices!$I$18)*FX!AN16*Eras!AN$10</f>
        <v/>
      </c>
      <c r="AO21" s="11">
        <f>((Paid!AO68+React!AO221+Legacy!AO70*Legacy!AO$3)*Prices!$H$18+(Subs!AO127-(Paid!AO68+React!AO221+Legacy!AO70*Legacy!AO$3))*Prices!$I$18)*FX!AO16*Eras!AO$10</f>
        <v/>
      </c>
      <c r="AP21" s="11">
        <f>((Paid!AP68+React!AP221+Legacy!AP70*Legacy!AP$3)*Prices!$H$18+(Subs!AP127-(Paid!AP68+React!AP221+Legacy!AP70*Legacy!AP$3))*Prices!$I$18)*FX!AP16*Eras!AP$10</f>
        <v/>
      </c>
      <c r="AQ21" s="11">
        <f>((Paid!AQ68+React!AQ221+Legacy!AQ70*Legacy!AQ$3)*Prices!$H$18+(Subs!AQ127-(Paid!AQ68+React!AQ221+Legacy!AQ70*Legacy!AQ$3))*Prices!$I$18)*FX!AQ16*Eras!AQ$10</f>
        <v/>
      </c>
      <c r="AR21" s="11">
        <f>((Paid!AR68+React!AR221+Legacy!AR70*Legacy!AR$3)*Prices!$H$18+(Subs!AR127-(Paid!AR68+React!AR221+Legacy!AR70*Legacy!AR$3))*Prices!$I$18)*FX!AR16*Eras!AR$10</f>
        <v/>
      </c>
      <c r="AS21" s="11">
        <f>((Paid!AS68+React!AS221+Legacy!AS70*Legacy!AS$3)*Prices!$H$18+(Subs!AS127-(Paid!AS68+React!AS221+Legacy!AS70*Legacy!AS$3))*Prices!$I$18)*FX!AS16*Eras!AS$10</f>
        <v/>
      </c>
      <c r="AT21" s="11">
        <f>((Paid!AT68+React!AT221+Legacy!AT70*Legacy!AT$3)*Prices!$H$18+(Subs!AT127-(Paid!AT68+React!AT221+Legacy!AT70*Legacy!AT$3))*Prices!$I$18)*FX!AT16*Eras!AT$10</f>
        <v/>
      </c>
      <c r="AU21" s="11">
        <f>((Paid!AU68+React!AU221+Legacy!AU70*Legacy!AU$3)*Prices!$H$18+(Subs!AU127-(Paid!AU68+React!AU221+Legacy!AU70*Legacy!AU$3))*Prices!$I$18)*FX!AU16*Eras!AU$10</f>
        <v/>
      </c>
      <c r="AV21" s="11">
        <f>((Paid!AV68+React!AV221+Legacy!AV70*Legacy!AV$3)*Prices!$H$18+(Subs!AV127-(Paid!AV68+React!AV221+Legacy!AV70*Legacy!AV$3))*Prices!$I$18)*FX!AV16*Eras!AV$10</f>
        <v/>
      </c>
      <c r="AW21" s="11">
        <f>((Paid!AW68+React!AW221+Legacy!AW70*Legacy!AW$3)*Prices!$H$18+(Subs!AW127-(Paid!AW68+React!AW221+Legacy!AW70*Legacy!AW$3))*Prices!$I$18)*FX!AW16*Eras!AW$10</f>
        <v/>
      </c>
      <c r="AX21" s="11">
        <f>((Paid!AX68+React!AX221+Legacy!AX70*Legacy!AX$3)*Prices!$H$18+(Subs!AX127-(Paid!AX68+React!AX221+Legacy!AX70*Legacy!AX$3))*Prices!$I$18)*FX!AX16*Eras!AX$10</f>
        <v/>
      </c>
      <c r="AY21" s="11">
        <f>((Paid!AY68+React!AY221+Legacy!AY70*Legacy!AY$3)*Prices!$H$18+(Subs!AY127-(Paid!AY68+React!AY221+Legacy!AY70*Legacy!AY$3))*Prices!$I$18)*FX!AY16*Eras!AY$10</f>
        <v/>
      </c>
      <c r="AZ21" s="11">
        <f>((Paid!AZ68+React!AZ221+Legacy!AZ70*Legacy!AZ$3)*Prices!$H$18+(Subs!AZ127-(Paid!AZ68+React!AZ221+Legacy!AZ70*Legacy!AZ$3))*Prices!$I$18)*FX!AZ16*Eras!AZ$10</f>
        <v/>
      </c>
      <c r="BA21" s="11">
        <f>((Paid!BA68+React!BA221+Legacy!BA70*Legacy!BA$3)*Prices!$H$18+(Subs!BA127-(Paid!BA68+React!BA221+Legacy!BA70*Legacy!BA$3))*Prices!$I$18)*FX!BA16*Eras!BA$10</f>
        <v/>
      </c>
      <c r="BB21" s="11">
        <f>((Paid!BB68+React!BB221+Legacy!BB70*Legacy!BB$3)*Prices!$H$18+(Subs!BB127-(Paid!BB68+React!BB221+Legacy!BB70*Legacy!BB$3))*Prices!$I$18)*FX!BB16*Eras!BB$10</f>
        <v/>
      </c>
      <c r="BC21" s="11">
        <f>((Paid!BC68+React!BC221+Legacy!BC70*Legacy!BC$3)*Prices!$H$18+(Subs!BC127-(Paid!BC68+React!BC221+Legacy!BC70*Legacy!BC$3))*Prices!$I$18)*FX!BC16*Eras!BC$10</f>
        <v/>
      </c>
      <c r="BD21" s="11">
        <f>((Paid!BD68+React!BD221+Legacy!BD70*Legacy!BD$3)*Prices!$H$18+(Subs!BD127-(Paid!BD68+React!BD221+Legacy!BD70*Legacy!BD$3))*Prices!$I$18)*FX!BD16*Eras!BD$10</f>
        <v/>
      </c>
      <c r="BE21" s="11">
        <f>((Paid!BE68+React!BE221+Legacy!BE70*Legacy!BE$3)*Prices!$H$18+(Subs!BE127-(Paid!BE68+React!BE221+Legacy!BE70*Legacy!BE$3))*Prices!$I$18)*FX!BE16*Eras!BE$10</f>
        <v/>
      </c>
      <c r="BF21" s="11">
        <f>((Paid!BF68+React!BF221+Legacy!BF70*Legacy!BF$3)*Prices!$H$18+(Subs!BF127-(Paid!BF68+React!BF221+Legacy!BF70*Legacy!BF$3))*Prices!$I$18)*FX!BF16*Eras!BF$10</f>
        <v/>
      </c>
      <c r="BG21" s="11">
        <f>((Paid!BG68+React!BG221+Legacy!BG70*Legacy!BG$3)*Prices!$H$18+(Subs!BG127-(Paid!BG68+React!BG221+Legacy!BG70*Legacy!BG$3))*Prices!$I$18)*FX!BG16*Eras!BG$10</f>
        <v/>
      </c>
      <c r="BH21" s="11">
        <f>((Paid!BH68+React!BH221+Legacy!BH70*Legacy!BH$3)*Prices!$H$18+(Subs!BH127-(Paid!BH68+React!BH221+Legacy!BH70*Legacy!BH$3))*Prices!$I$18)*FX!BH16*Eras!BH$10</f>
        <v/>
      </c>
      <c r="BI21" s="11">
        <f>((Paid!BI68+React!BI221+Legacy!BI70*Legacy!BI$3)*Prices!$H$18+(Subs!BI127-(Paid!BI68+React!BI221+Legacy!BI70*Legacy!BI$3))*Prices!$I$18)*FX!BI16*Eras!BI$10</f>
        <v/>
      </c>
      <c r="BJ21" s="11">
        <f>((Paid!BJ68+React!BJ221+Legacy!BJ70*Legacy!BJ$3)*Prices!$H$18+(Subs!BJ127-(Paid!BJ68+React!BJ221+Legacy!BJ70*Legacy!BJ$3))*Prices!$I$18)*FX!BJ16*Eras!BJ$10</f>
        <v/>
      </c>
      <c r="BK21" s="11">
        <f>((Paid!BK68+React!BK221+Legacy!BK70*Legacy!BK$3)*Prices!$H$18+(Subs!BK127-(Paid!BK68+React!BK221+Legacy!BK70*Legacy!BK$3))*Prices!$I$18)*FX!BK16*Eras!BK$10</f>
        <v/>
      </c>
      <c r="BL21" s="11">
        <f>((Paid!BL68+React!BL221+Legacy!BL70*Legacy!BL$3)*Prices!$H$18+(Subs!BL127-(Paid!BL68+React!BL221+Legacy!BL70*Legacy!BL$3))*Prices!$I$18)*FX!BL16*Eras!BL$10</f>
        <v/>
      </c>
      <c r="BM21" s="11">
        <f>((Paid!BM68+React!BM221+Legacy!BM70*Legacy!BM$3)*Prices!$H$18+(Subs!BM127-(Paid!BM68+React!BM221+Legacy!BM70*Legacy!BM$3))*Prices!$I$18)*FX!BM16*Eras!BM$10</f>
        <v/>
      </c>
      <c r="BN21" s="11">
        <f>((Paid!BN68+React!BN221+Legacy!BN70*Legacy!BN$3)*Prices!$H$18+(Subs!BN127-(Paid!BN68+React!BN221+Legacy!BN70*Legacy!BN$3))*Prices!$I$18)*FX!BN16*Eras!BN$10</f>
        <v/>
      </c>
      <c r="BO21" s="11">
        <f>((Paid!BO68+React!BO221+Legacy!BO70*Legacy!BO$3)*Prices!$H$18+(Subs!BO127-(Paid!BO68+React!BO221+Legacy!BO70*Legacy!BO$3))*Prices!$I$18)*FX!BO16*Eras!BO$10</f>
        <v/>
      </c>
      <c r="BP21" s="11">
        <f>((Paid!BP68+React!BP221+Legacy!BP70*Legacy!BP$3)*Prices!$H$18+(Subs!BP127-(Paid!BP68+React!BP221+Legacy!BP70*Legacy!BP$3))*Prices!$I$18)*FX!BP16*Eras!BP$10</f>
        <v/>
      </c>
      <c r="BQ21" s="11">
        <f>((Paid!BQ68+React!BQ221+Legacy!BQ70*Legacy!BQ$3)*Prices!$H$18+(Subs!BQ127-(Paid!BQ68+React!BQ221+Legacy!BQ70*Legacy!BQ$3))*Prices!$I$18)*FX!BQ16*Eras!BQ$10</f>
        <v/>
      </c>
      <c r="BR21" s="11">
        <f>((Paid!BR68+React!BR221+Legacy!BR70*Legacy!BR$3)*Prices!$H$18+(Subs!BR127-(Paid!BR68+React!BR221+Legacy!BR70*Legacy!BR$3))*Prices!$I$18)*FX!BR16*Eras!BR$10</f>
        <v/>
      </c>
      <c r="BS21" s="11">
        <f>((Paid!BS68+React!BS221+Legacy!BS70*Legacy!BS$3)*Prices!$H$18+(Subs!BS127-(Paid!BS68+React!BS221+Legacy!BS70*Legacy!BS$3))*Prices!$I$18)*FX!BS16*Eras!BS$10</f>
        <v/>
      </c>
      <c r="BT21" s="11">
        <f>((Paid!BT68+React!BT221+Legacy!BT70*Legacy!BT$3)*Prices!$H$18+(Subs!BT127-(Paid!BT68+React!BT221+Legacy!BT70*Legacy!BT$3))*Prices!$I$18)*FX!BT16*Eras!BT$10</f>
        <v/>
      </c>
      <c r="BU21" s="11">
        <f>((Paid!BU68+React!BU221+Legacy!BU70*Legacy!BU$3)*Prices!$H$18+(Subs!BU127-(Paid!BU68+React!BU221+Legacy!BU70*Legacy!BU$3))*Prices!$I$18)*FX!BU16*Eras!BU$10</f>
        <v/>
      </c>
      <c r="BV21" s="11">
        <f>((Paid!BV68+React!BV221+Legacy!BV70*Legacy!BV$3)*Prices!$H$18+(Subs!BV127-(Paid!BV68+React!BV221+Legacy!BV70*Legacy!BV$3))*Prices!$I$18)*FX!BV16*Eras!BV$10</f>
        <v/>
      </c>
    </row>
    <row r="22">
      <c r="A22" t="inlineStr">
        <is>
          <t>net revenue $</t>
        </is>
      </c>
      <c r="B22" t="inlineStr">
        <is>
          <t>ROW|NITRO_A</t>
        </is>
      </c>
      <c r="C22" s="11">
        <f>((Paid!C72+React!C234+Legacy!C74*Legacy!C$3)*Prices!$H$19+(Subs!C134-(Paid!C72+React!C234+Legacy!C74*Legacy!C$3))*Prices!$I$19)*FX!C16*Eras!C$10</f>
        <v/>
      </c>
      <c r="D22" s="11">
        <f>((Paid!D72+React!D234+Legacy!D74*Legacy!D$3)*Prices!$H$19+(Subs!D134-(Paid!D72+React!D234+Legacy!D74*Legacy!D$3))*Prices!$I$19)*FX!D16*Eras!D$10</f>
        <v/>
      </c>
      <c r="E22" s="11">
        <f>((Paid!E72+React!E234+Legacy!E74*Legacy!E$3)*Prices!$H$19+(Subs!E134-(Paid!E72+React!E234+Legacy!E74*Legacy!E$3))*Prices!$I$19)*FX!E16*Eras!E$10</f>
        <v/>
      </c>
      <c r="F22" s="11">
        <f>((Paid!F72+React!F234+Legacy!F74*Legacy!F$3)*Prices!$H$19+(Subs!F134-(Paid!F72+React!F234+Legacy!F74*Legacy!F$3))*Prices!$I$19)*FX!F16*Eras!F$10</f>
        <v/>
      </c>
      <c r="G22" s="11">
        <f>((Paid!G72+React!G234+Legacy!G74*Legacy!G$3)*Prices!$H$19+(Subs!G134-(Paid!G72+React!G234+Legacy!G74*Legacy!G$3))*Prices!$I$19)*FX!G16*Eras!G$10</f>
        <v/>
      </c>
      <c r="H22" s="11">
        <f>((Paid!H72+React!H234+Legacy!H74*Legacy!H$3)*Prices!$H$19+(Subs!H134-(Paid!H72+React!H234+Legacy!H74*Legacy!H$3))*Prices!$I$19)*FX!H16*Eras!H$10</f>
        <v/>
      </c>
      <c r="I22" s="11">
        <f>((Paid!I72+React!I234+Legacy!I74*Legacy!I$3)*Prices!$H$19+(Subs!I134-(Paid!I72+React!I234+Legacy!I74*Legacy!I$3))*Prices!$I$19)*FX!I16*Eras!I$10</f>
        <v/>
      </c>
      <c r="J22" s="11">
        <f>((Paid!J72+React!J234+Legacy!J74*Legacy!J$3)*Prices!$H$19+(Subs!J134-(Paid!J72+React!J234+Legacy!J74*Legacy!J$3))*Prices!$I$19)*FX!J16*Eras!J$10</f>
        <v/>
      </c>
      <c r="K22" s="11">
        <f>((Paid!K72+React!K234+Legacy!K74*Legacy!K$3)*Prices!$H$19+(Subs!K134-(Paid!K72+React!K234+Legacy!K74*Legacy!K$3))*Prices!$I$19)*FX!K16*Eras!K$10</f>
        <v/>
      </c>
      <c r="L22" s="11">
        <f>((Paid!L72+React!L234+Legacy!L74*Legacy!L$3)*Prices!$H$19+(Subs!L134-(Paid!L72+React!L234+Legacy!L74*Legacy!L$3))*Prices!$I$19)*FX!L16*Eras!L$10</f>
        <v/>
      </c>
      <c r="M22" s="11">
        <f>((Paid!M72+React!M234+Legacy!M74*Legacy!M$3)*Prices!$H$19+(Subs!M134-(Paid!M72+React!M234+Legacy!M74*Legacy!M$3))*Prices!$I$19)*FX!M16*Eras!M$10</f>
        <v/>
      </c>
      <c r="N22" s="11">
        <f>((Paid!N72+React!N234+Legacy!N74*Legacy!N$3)*Prices!$H$19+(Subs!N134-(Paid!N72+React!N234+Legacy!N74*Legacy!N$3))*Prices!$I$19)*FX!N16*Eras!N$10</f>
        <v/>
      </c>
      <c r="O22" s="11">
        <f>((Paid!O72+React!O234+Legacy!O74*Legacy!O$3)*Prices!$H$19+(Subs!O134-(Paid!O72+React!O234+Legacy!O74*Legacy!O$3))*Prices!$I$19)*FX!O16*Eras!O$10</f>
        <v/>
      </c>
      <c r="P22" s="11">
        <f>((Paid!P72+React!P234+Legacy!P74*Legacy!P$3)*Prices!$H$19+(Subs!P134-(Paid!P72+React!P234+Legacy!P74*Legacy!P$3))*Prices!$I$19)*FX!P16*Eras!P$10</f>
        <v/>
      </c>
      <c r="Q22" s="11">
        <f>((Paid!Q72+React!Q234+Legacy!Q74*Legacy!Q$3)*Prices!$H$19+(Subs!Q134-(Paid!Q72+React!Q234+Legacy!Q74*Legacy!Q$3))*Prices!$I$19)*FX!Q16*Eras!Q$10</f>
        <v/>
      </c>
      <c r="R22" s="11">
        <f>((Paid!R72+React!R234+Legacy!R74*Legacy!R$3)*Prices!$H$19+(Subs!R134-(Paid!R72+React!R234+Legacy!R74*Legacy!R$3))*Prices!$I$19)*FX!R16*Eras!R$10</f>
        <v/>
      </c>
      <c r="S22" s="11">
        <f>((Paid!S72+React!S234+Legacy!S74*Legacy!S$3)*Prices!$H$19+(Subs!S134-(Paid!S72+React!S234+Legacy!S74*Legacy!S$3))*Prices!$I$19)*FX!S16*Eras!S$10</f>
        <v/>
      </c>
      <c r="T22" s="11">
        <f>((Paid!T72+React!T234+Legacy!T74*Legacy!T$3)*Prices!$H$19+(Subs!T134-(Paid!T72+React!T234+Legacy!T74*Legacy!T$3))*Prices!$I$19)*FX!T16*Eras!T$10</f>
        <v/>
      </c>
      <c r="U22" s="11">
        <f>((Paid!U72+React!U234+Legacy!U74*Legacy!U$3)*Prices!$H$19+(Subs!U134-(Paid!U72+React!U234+Legacy!U74*Legacy!U$3))*Prices!$I$19)*FX!U16*Eras!U$10</f>
        <v/>
      </c>
      <c r="V22" s="11">
        <f>((Paid!V72+React!V234+Legacy!V74*Legacy!V$3)*Prices!$H$19+(Subs!V134-(Paid!V72+React!V234+Legacy!V74*Legacy!V$3))*Prices!$I$19)*FX!V16*Eras!V$10</f>
        <v/>
      </c>
      <c r="W22" s="11">
        <f>((Paid!W72+React!W234+Legacy!W74*Legacy!W$3)*Prices!$H$19+(Subs!W134-(Paid!W72+React!W234+Legacy!W74*Legacy!W$3))*Prices!$I$19)*FX!W16*Eras!W$10</f>
        <v/>
      </c>
      <c r="X22" s="11">
        <f>((Paid!X72+React!X234+Legacy!X74*Legacy!X$3)*Prices!$H$19+(Subs!X134-(Paid!X72+React!X234+Legacy!X74*Legacy!X$3))*Prices!$I$19)*FX!X16*Eras!X$10</f>
        <v/>
      </c>
      <c r="Y22" s="11">
        <f>((Paid!Y72+React!Y234+Legacy!Y74*Legacy!Y$3)*Prices!$H$19+(Subs!Y134-(Paid!Y72+React!Y234+Legacy!Y74*Legacy!Y$3))*Prices!$I$19)*FX!Y16*Eras!Y$10</f>
        <v/>
      </c>
      <c r="Z22" s="11">
        <f>((Paid!Z72+React!Z234+Legacy!Z74*Legacy!Z$3)*Prices!$H$19+(Subs!Z134-(Paid!Z72+React!Z234+Legacy!Z74*Legacy!Z$3))*Prices!$I$19)*FX!Z16*Eras!Z$10</f>
        <v/>
      </c>
      <c r="AA22" s="11">
        <f>((Paid!AA72+React!AA234+Legacy!AA74*Legacy!AA$3)*Prices!$H$19+(Subs!AA134-(Paid!AA72+React!AA234+Legacy!AA74*Legacy!AA$3))*Prices!$I$19)*FX!AA16*Eras!AA$10</f>
        <v/>
      </c>
      <c r="AB22" s="11">
        <f>((Paid!AB72+React!AB234+Legacy!AB74*Legacy!AB$3)*Prices!$H$19+(Subs!AB134-(Paid!AB72+React!AB234+Legacy!AB74*Legacy!AB$3))*Prices!$I$19)*FX!AB16*Eras!AB$10</f>
        <v/>
      </c>
      <c r="AC22" s="11">
        <f>((Paid!AC72+React!AC234+Legacy!AC74*Legacy!AC$3)*Prices!$H$19+(Subs!AC134-(Paid!AC72+React!AC234+Legacy!AC74*Legacy!AC$3))*Prices!$I$19)*FX!AC16*Eras!AC$10</f>
        <v/>
      </c>
      <c r="AD22" s="11">
        <f>((Paid!AD72+React!AD234+Legacy!AD74*Legacy!AD$3)*Prices!$H$19+(Subs!AD134-(Paid!AD72+React!AD234+Legacy!AD74*Legacy!AD$3))*Prices!$I$19)*FX!AD16*Eras!AD$10</f>
        <v/>
      </c>
      <c r="AE22" s="11">
        <f>((Paid!AE72+React!AE234+Legacy!AE74*Legacy!AE$3)*Prices!$H$19+(Subs!AE134-(Paid!AE72+React!AE234+Legacy!AE74*Legacy!AE$3))*Prices!$I$19)*FX!AE16*Eras!AE$10</f>
        <v/>
      </c>
      <c r="AF22" s="11">
        <f>((Paid!AF72+React!AF234+Legacy!AF74*Legacy!AF$3)*Prices!$H$19+(Subs!AF134-(Paid!AF72+React!AF234+Legacy!AF74*Legacy!AF$3))*Prices!$I$19)*FX!AF16*Eras!AF$10</f>
        <v/>
      </c>
      <c r="AG22" s="11">
        <f>((Paid!AG72+React!AG234+Legacy!AG74*Legacy!AG$3)*Prices!$H$19+(Subs!AG134-(Paid!AG72+React!AG234+Legacy!AG74*Legacy!AG$3))*Prices!$I$19)*FX!AG16*Eras!AG$10</f>
        <v/>
      </c>
      <c r="AH22" s="11">
        <f>((Paid!AH72+React!AH234+Legacy!AH74*Legacy!AH$3)*Prices!$H$19+(Subs!AH134-(Paid!AH72+React!AH234+Legacy!AH74*Legacy!AH$3))*Prices!$I$19)*FX!AH16*Eras!AH$10</f>
        <v/>
      </c>
      <c r="AI22" s="11">
        <f>((Paid!AI72+React!AI234+Legacy!AI74*Legacy!AI$3)*Prices!$H$19+(Subs!AI134-(Paid!AI72+React!AI234+Legacy!AI74*Legacy!AI$3))*Prices!$I$19)*FX!AI16*Eras!AI$10</f>
        <v/>
      </c>
      <c r="AJ22" s="11">
        <f>((Paid!AJ72+React!AJ234+Legacy!AJ74*Legacy!AJ$3)*Prices!$H$19+(Subs!AJ134-(Paid!AJ72+React!AJ234+Legacy!AJ74*Legacy!AJ$3))*Prices!$I$19)*FX!AJ16*Eras!AJ$10</f>
        <v/>
      </c>
      <c r="AK22" s="11">
        <f>((Paid!AK72+React!AK234+Legacy!AK74*Legacy!AK$3)*Prices!$H$19+(Subs!AK134-(Paid!AK72+React!AK234+Legacy!AK74*Legacy!AK$3))*Prices!$I$19)*FX!AK16*Eras!AK$10</f>
        <v/>
      </c>
      <c r="AL22" s="11">
        <f>((Paid!AL72+React!AL234+Legacy!AL74*Legacy!AL$3)*Prices!$H$19+(Subs!AL134-(Paid!AL72+React!AL234+Legacy!AL74*Legacy!AL$3))*Prices!$I$19)*FX!AL16*Eras!AL$10</f>
        <v/>
      </c>
      <c r="AM22" s="11">
        <f>((Paid!AM72+React!AM234+Legacy!AM74*Legacy!AM$3)*Prices!$H$19+(Subs!AM134-(Paid!AM72+React!AM234+Legacy!AM74*Legacy!AM$3))*Prices!$I$19)*FX!AM16*Eras!AM$10</f>
        <v/>
      </c>
      <c r="AN22" s="11">
        <f>((Paid!AN72+React!AN234+Legacy!AN74*Legacy!AN$3)*Prices!$H$19+(Subs!AN134-(Paid!AN72+React!AN234+Legacy!AN74*Legacy!AN$3))*Prices!$I$19)*FX!AN16*Eras!AN$10</f>
        <v/>
      </c>
      <c r="AO22" s="11">
        <f>((Paid!AO72+React!AO234+Legacy!AO74*Legacy!AO$3)*Prices!$H$19+(Subs!AO134-(Paid!AO72+React!AO234+Legacy!AO74*Legacy!AO$3))*Prices!$I$19)*FX!AO16*Eras!AO$10</f>
        <v/>
      </c>
      <c r="AP22" s="11">
        <f>((Paid!AP72+React!AP234+Legacy!AP74*Legacy!AP$3)*Prices!$H$19+(Subs!AP134-(Paid!AP72+React!AP234+Legacy!AP74*Legacy!AP$3))*Prices!$I$19)*FX!AP16*Eras!AP$10</f>
        <v/>
      </c>
      <c r="AQ22" s="11">
        <f>((Paid!AQ72+React!AQ234+Legacy!AQ74*Legacy!AQ$3)*Prices!$H$19+(Subs!AQ134-(Paid!AQ72+React!AQ234+Legacy!AQ74*Legacy!AQ$3))*Prices!$I$19)*FX!AQ16*Eras!AQ$10</f>
        <v/>
      </c>
      <c r="AR22" s="11">
        <f>((Paid!AR72+React!AR234+Legacy!AR74*Legacy!AR$3)*Prices!$H$19+(Subs!AR134-(Paid!AR72+React!AR234+Legacy!AR74*Legacy!AR$3))*Prices!$I$19)*FX!AR16*Eras!AR$10</f>
        <v/>
      </c>
      <c r="AS22" s="11">
        <f>((Paid!AS72+React!AS234+Legacy!AS74*Legacy!AS$3)*Prices!$H$19+(Subs!AS134-(Paid!AS72+React!AS234+Legacy!AS74*Legacy!AS$3))*Prices!$I$19)*FX!AS16*Eras!AS$10</f>
        <v/>
      </c>
      <c r="AT22" s="11">
        <f>((Paid!AT72+React!AT234+Legacy!AT74*Legacy!AT$3)*Prices!$H$19+(Subs!AT134-(Paid!AT72+React!AT234+Legacy!AT74*Legacy!AT$3))*Prices!$I$19)*FX!AT16*Eras!AT$10</f>
        <v/>
      </c>
      <c r="AU22" s="11">
        <f>((Paid!AU72+React!AU234+Legacy!AU74*Legacy!AU$3)*Prices!$H$19+(Subs!AU134-(Paid!AU72+React!AU234+Legacy!AU74*Legacy!AU$3))*Prices!$I$19)*FX!AU16*Eras!AU$10</f>
        <v/>
      </c>
      <c r="AV22" s="11">
        <f>((Paid!AV72+React!AV234+Legacy!AV74*Legacy!AV$3)*Prices!$H$19+(Subs!AV134-(Paid!AV72+React!AV234+Legacy!AV74*Legacy!AV$3))*Prices!$I$19)*FX!AV16*Eras!AV$10</f>
        <v/>
      </c>
      <c r="AW22" s="11">
        <f>((Paid!AW72+React!AW234+Legacy!AW74*Legacy!AW$3)*Prices!$H$19+(Subs!AW134-(Paid!AW72+React!AW234+Legacy!AW74*Legacy!AW$3))*Prices!$I$19)*FX!AW16*Eras!AW$10</f>
        <v/>
      </c>
      <c r="AX22" s="11">
        <f>((Paid!AX72+React!AX234+Legacy!AX74*Legacy!AX$3)*Prices!$H$19+(Subs!AX134-(Paid!AX72+React!AX234+Legacy!AX74*Legacy!AX$3))*Prices!$I$19)*FX!AX16*Eras!AX$10</f>
        <v/>
      </c>
      <c r="AY22" s="11">
        <f>((Paid!AY72+React!AY234+Legacy!AY74*Legacy!AY$3)*Prices!$H$19+(Subs!AY134-(Paid!AY72+React!AY234+Legacy!AY74*Legacy!AY$3))*Prices!$I$19)*FX!AY16*Eras!AY$10</f>
        <v/>
      </c>
      <c r="AZ22" s="11">
        <f>((Paid!AZ72+React!AZ234+Legacy!AZ74*Legacy!AZ$3)*Prices!$H$19+(Subs!AZ134-(Paid!AZ72+React!AZ234+Legacy!AZ74*Legacy!AZ$3))*Prices!$I$19)*FX!AZ16*Eras!AZ$10</f>
        <v/>
      </c>
      <c r="BA22" s="11">
        <f>((Paid!BA72+React!BA234+Legacy!BA74*Legacy!BA$3)*Prices!$H$19+(Subs!BA134-(Paid!BA72+React!BA234+Legacy!BA74*Legacy!BA$3))*Prices!$I$19)*FX!BA16*Eras!BA$10</f>
        <v/>
      </c>
      <c r="BB22" s="11">
        <f>((Paid!BB72+React!BB234+Legacy!BB74*Legacy!BB$3)*Prices!$H$19+(Subs!BB134-(Paid!BB72+React!BB234+Legacy!BB74*Legacy!BB$3))*Prices!$I$19)*FX!BB16*Eras!BB$10</f>
        <v/>
      </c>
      <c r="BC22" s="11">
        <f>((Paid!BC72+React!BC234+Legacy!BC74*Legacy!BC$3)*Prices!$H$19+(Subs!BC134-(Paid!BC72+React!BC234+Legacy!BC74*Legacy!BC$3))*Prices!$I$19)*FX!BC16*Eras!BC$10</f>
        <v/>
      </c>
      <c r="BD22" s="11">
        <f>((Paid!BD72+React!BD234+Legacy!BD74*Legacy!BD$3)*Prices!$H$19+(Subs!BD134-(Paid!BD72+React!BD234+Legacy!BD74*Legacy!BD$3))*Prices!$I$19)*FX!BD16*Eras!BD$10</f>
        <v/>
      </c>
      <c r="BE22" s="11">
        <f>((Paid!BE72+React!BE234+Legacy!BE74*Legacy!BE$3)*Prices!$H$19+(Subs!BE134-(Paid!BE72+React!BE234+Legacy!BE74*Legacy!BE$3))*Prices!$I$19)*FX!BE16*Eras!BE$10</f>
        <v/>
      </c>
      <c r="BF22" s="11">
        <f>((Paid!BF72+React!BF234+Legacy!BF74*Legacy!BF$3)*Prices!$H$19+(Subs!BF134-(Paid!BF72+React!BF234+Legacy!BF74*Legacy!BF$3))*Prices!$I$19)*FX!BF16*Eras!BF$10</f>
        <v/>
      </c>
      <c r="BG22" s="11">
        <f>((Paid!BG72+React!BG234+Legacy!BG74*Legacy!BG$3)*Prices!$H$19+(Subs!BG134-(Paid!BG72+React!BG234+Legacy!BG74*Legacy!BG$3))*Prices!$I$19)*FX!BG16*Eras!BG$10</f>
        <v/>
      </c>
      <c r="BH22" s="11">
        <f>((Paid!BH72+React!BH234+Legacy!BH74*Legacy!BH$3)*Prices!$H$19+(Subs!BH134-(Paid!BH72+React!BH234+Legacy!BH74*Legacy!BH$3))*Prices!$I$19)*FX!BH16*Eras!BH$10</f>
        <v/>
      </c>
      <c r="BI22" s="11">
        <f>((Paid!BI72+React!BI234+Legacy!BI74*Legacy!BI$3)*Prices!$H$19+(Subs!BI134-(Paid!BI72+React!BI234+Legacy!BI74*Legacy!BI$3))*Prices!$I$19)*FX!BI16*Eras!BI$10</f>
        <v/>
      </c>
      <c r="BJ22" s="11">
        <f>((Paid!BJ72+React!BJ234+Legacy!BJ74*Legacy!BJ$3)*Prices!$H$19+(Subs!BJ134-(Paid!BJ72+React!BJ234+Legacy!BJ74*Legacy!BJ$3))*Prices!$I$19)*FX!BJ16*Eras!BJ$10</f>
        <v/>
      </c>
      <c r="BK22" s="11">
        <f>((Paid!BK72+React!BK234+Legacy!BK74*Legacy!BK$3)*Prices!$H$19+(Subs!BK134-(Paid!BK72+React!BK234+Legacy!BK74*Legacy!BK$3))*Prices!$I$19)*FX!BK16*Eras!BK$10</f>
        <v/>
      </c>
      <c r="BL22" s="11">
        <f>((Paid!BL72+React!BL234+Legacy!BL74*Legacy!BL$3)*Prices!$H$19+(Subs!BL134-(Paid!BL72+React!BL234+Legacy!BL74*Legacy!BL$3))*Prices!$I$19)*FX!BL16*Eras!BL$10</f>
        <v/>
      </c>
      <c r="BM22" s="11">
        <f>((Paid!BM72+React!BM234+Legacy!BM74*Legacy!BM$3)*Prices!$H$19+(Subs!BM134-(Paid!BM72+React!BM234+Legacy!BM74*Legacy!BM$3))*Prices!$I$19)*FX!BM16*Eras!BM$10</f>
        <v/>
      </c>
      <c r="BN22" s="11">
        <f>((Paid!BN72+React!BN234+Legacy!BN74*Legacy!BN$3)*Prices!$H$19+(Subs!BN134-(Paid!BN72+React!BN234+Legacy!BN74*Legacy!BN$3))*Prices!$I$19)*FX!BN16*Eras!BN$10</f>
        <v/>
      </c>
      <c r="BO22" s="11">
        <f>((Paid!BO72+React!BO234+Legacy!BO74*Legacy!BO$3)*Prices!$H$19+(Subs!BO134-(Paid!BO72+React!BO234+Legacy!BO74*Legacy!BO$3))*Prices!$I$19)*FX!BO16*Eras!BO$10</f>
        <v/>
      </c>
      <c r="BP22" s="11">
        <f>((Paid!BP72+React!BP234+Legacy!BP74*Legacy!BP$3)*Prices!$H$19+(Subs!BP134-(Paid!BP72+React!BP234+Legacy!BP74*Legacy!BP$3))*Prices!$I$19)*FX!BP16*Eras!BP$10</f>
        <v/>
      </c>
      <c r="BQ22" s="11">
        <f>((Paid!BQ72+React!BQ234+Legacy!BQ74*Legacy!BQ$3)*Prices!$H$19+(Subs!BQ134-(Paid!BQ72+React!BQ234+Legacy!BQ74*Legacy!BQ$3))*Prices!$I$19)*FX!BQ16*Eras!BQ$10</f>
        <v/>
      </c>
      <c r="BR22" s="11">
        <f>((Paid!BR72+React!BR234+Legacy!BR74*Legacy!BR$3)*Prices!$H$19+(Subs!BR134-(Paid!BR72+React!BR234+Legacy!BR74*Legacy!BR$3))*Prices!$I$19)*FX!BR16*Eras!BR$10</f>
        <v/>
      </c>
      <c r="BS22" s="11">
        <f>((Paid!BS72+React!BS234+Legacy!BS74*Legacy!BS$3)*Prices!$H$19+(Subs!BS134-(Paid!BS72+React!BS234+Legacy!BS74*Legacy!BS$3))*Prices!$I$19)*FX!BS16*Eras!BS$10</f>
        <v/>
      </c>
      <c r="BT22" s="11">
        <f>((Paid!BT72+React!BT234+Legacy!BT74*Legacy!BT$3)*Prices!$H$19+(Subs!BT134-(Paid!BT72+React!BT234+Legacy!BT74*Legacy!BT$3))*Prices!$I$19)*FX!BT16*Eras!BT$10</f>
        <v/>
      </c>
      <c r="BU22" s="11">
        <f>((Paid!BU72+React!BU234+Legacy!BU74*Legacy!BU$3)*Prices!$H$19+(Subs!BU134-(Paid!BU72+React!BU234+Legacy!BU74*Legacy!BU$3))*Prices!$I$19)*FX!BU16*Eras!BU$10</f>
        <v/>
      </c>
      <c r="BV22" s="11">
        <f>((Paid!BV72+React!BV234+Legacy!BV74*Legacy!BV$3)*Prices!$H$19+(Subs!BV134-(Paid!BV72+React!BV234+Legacy!BV74*Legacy!BV$3))*Prices!$I$19)*FX!BV16*Eras!BV$10</f>
        <v/>
      </c>
    </row>
    <row r="23">
      <c r="A23" t="inlineStr">
        <is>
          <t>net revenue $</t>
        </is>
      </c>
      <c r="B23" t="inlineStr">
        <is>
          <t>ROW|BASIC_M</t>
        </is>
      </c>
      <c r="C23" s="11">
        <f>((Paid!C76+React!C247+Legacy!C78*Legacy!C$3)*Prices!$H$20+(Subs!C141-(Paid!C76+React!C247+Legacy!C78*Legacy!C$3))*Prices!$I$20)*FX!C16*Eras!C$10</f>
        <v/>
      </c>
      <c r="D23" s="11">
        <f>((Paid!D76+React!D247+Legacy!D78*Legacy!D$3)*Prices!$H$20+(Subs!D141-(Paid!D76+React!D247+Legacy!D78*Legacy!D$3))*Prices!$I$20)*FX!D16*Eras!D$10</f>
        <v/>
      </c>
      <c r="E23" s="11">
        <f>((Paid!E76+React!E247+Legacy!E78*Legacy!E$3)*Prices!$H$20+(Subs!E141-(Paid!E76+React!E247+Legacy!E78*Legacy!E$3))*Prices!$I$20)*FX!E16*Eras!E$10</f>
        <v/>
      </c>
      <c r="F23" s="11">
        <f>((Paid!F76+React!F247+Legacy!F78*Legacy!F$3)*Prices!$H$20+(Subs!F141-(Paid!F76+React!F247+Legacy!F78*Legacy!F$3))*Prices!$I$20)*FX!F16*Eras!F$10</f>
        <v/>
      </c>
      <c r="G23" s="11">
        <f>((Paid!G76+React!G247+Legacy!G78*Legacy!G$3)*Prices!$H$20+(Subs!G141-(Paid!G76+React!G247+Legacy!G78*Legacy!G$3))*Prices!$I$20)*FX!G16*Eras!G$10</f>
        <v/>
      </c>
      <c r="H23" s="11">
        <f>((Paid!H76+React!H247+Legacy!H78*Legacy!H$3)*Prices!$H$20+(Subs!H141-(Paid!H76+React!H247+Legacy!H78*Legacy!H$3))*Prices!$I$20)*FX!H16*Eras!H$10</f>
        <v/>
      </c>
      <c r="I23" s="11">
        <f>((Paid!I76+React!I247+Legacy!I78*Legacy!I$3)*Prices!$H$20+(Subs!I141-(Paid!I76+React!I247+Legacy!I78*Legacy!I$3))*Prices!$I$20)*FX!I16*Eras!I$10</f>
        <v/>
      </c>
      <c r="J23" s="11">
        <f>((Paid!J76+React!J247+Legacy!J78*Legacy!J$3)*Prices!$H$20+(Subs!J141-(Paid!J76+React!J247+Legacy!J78*Legacy!J$3))*Prices!$I$20)*FX!J16*Eras!J$10</f>
        <v/>
      </c>
      <c r="K23" s="11">
        <f>((Paid!K76+React!K247+Legacy!K78*Legacy!K$3)*Prices!$H$20+(Subs!K141-(Paid!K76+React!K247+Legacy!K78*Legacy!K$3))*Prices!$I$20)*FX!K16*Eras!K$10</f>
        <v/>
      </c>
      <c r="L23" s="11">
        <f>((Paid!L76+React!L247+Legacy!L78*Legacy!L$3)*Prices!$H$20+(Subs!L141-(Paid!L76+React!L247+Legacy!L78*Legacy!L$3))*Prices!$I$20)*FX!L16*Eras!L$10</f>
        <v/>
      </c>
      <c r="M23" s="11">
        <f>((Paid!M76+React!M247+Legacy!M78*Legacy!M$3)*Prices!$H$20+(Subs!M141-(Paid!M76+React!M247+Legacy!M78*Legacy!M$3))*Prices!$I$20)*FX!M16*Eras!M$10</f>
        <v/>
      </c>
      <c r="N23" s="11">
        <f>((Paid!N76+React!N247+Legacy!N78*Legacy!N$3)*Prices!$H$20+(Subs!N141-(Paid!N76+React!N247+Legacy!N78*Legacy!N$3))*Prices!$I$20)*FX!N16*Eras!N$10</f>
        <v/>
      </c>
      <c r="O23" s="11">
        <f>((Paid!O76+React!O247+Legacy!O78*Legacy!O$3)*Prices!$H$20+(Subs!O141-(Paid!O76+React!O247+Legacy!O78*Legacy!O$3))*Prices!$I$20)*FX!O16*Eras!O$10</f>
        <v/>
      </c>
      <c r="P23" s="11">
        <f>((Paid!P76+React!P247+Legacy!P78*Legacy!P$3)*Prices!$H$20+(Subs!P141-(Paid!P76+React!P247+Legacy!P78*Legacy!P$3))*Prices!$I$20)*FX!P16*Eras!P$10</f>
        <v/>
      </c>
      <c r="Q23" s="11">
        <f>((Paid!Q76+React!Q247+Legacy!Q78*Legacy!Q$3)*Prices!$H$20+(Subs!Q141-(Paid!Q76+React!Q247+Legacy!Q78*Legacy!Q$3))*Prices!$I$20)*FX!Q16*Eras!Q$10</f>
        <v/>
      </c>
      <c r="R23" s="11">
        <f>((Paid!R76+React!R247+Legacy!R78*Legacy!R$3)*Prices!$H$20+(Subs!R141-(Paid!R76+React!R247+Legacy!R78*Legacy!R$3))*Prices!$I$20)*FX!R16*Eras!R$10</f>
        <v/>
      </c>
      <c r="S23" s="11">
        <f>((Paid!S76+React!S247+Legacy!S78*Legacy!S$3)*Prices!$H$20+(Subs!S141-(Paid!S76+React!S247+Legacy!S78*Legacy!S$3))*Prices!$I$20)*FX!S16*Eras!S$10</f>
        <v/>
      </c>
      <c r="T23" s="11">
        <f>((Paid!T76+React!T247+Legacy!T78*Legacy!T$3)*Prices!$H$20+(Subs!T141-(Paid!T76+React!T247+Legacy!T78*Legacy!T$3))*Prices!$I$20)*FX!T16*Eras!T$10</f>
        <v/>
      </c>
      <c r="U23" s="11">
        <f>((Paid!U76+React!U247+Legacy!U78*Legacy!U$3)*Prices!$H$20+(Subs!U141-(Paid!U76+React!U247+Legacy!U78*Legacy!U$3))*Prices!$I$20)*FX!U16*Eras!U$10</f>
        <v/>
      </c>
      <c r="V23" s="11">
        <f>((Paid!V76+React!V247+Legacy!V78*Legacy!V$3)*Prices!$H$20+(Subs!V141-(Paid!V76+React!V247+Legacy!V78*Legacy!V$3))*Prices!$I$20)*FX!V16*Eras!V$10</f>
        <v/>
      </c>
      <c r="W23" s="11">
        <f>((Paid!W76+React!W247+Legacy!W78*Legacy!W$3)*Prices!$H$20+(Subs!W141-(Paid!W76+React!W247+Legacy!W78*Legacy!W$3))*Prices!$I$20)*FX!W16*Eras!W$10</f>
        <v/>
      </c>
      <c r="X23" s="11">
        <f>((Paid!X76+React!X247+Legacy!X78*Legacy!X$3)*Prices!$H$20+(Subs!X141-(Paid!X76+React!X247+Legacy!X78*Legacy!X$3))*Prices!$I$20)*FX!X16*Eras!X$10</f>
        <v/>
      </c>
      <c r="Y23" s="11">
        <f>((Paid!Y76+React!Y247+Legacy!Y78*Legacy!Y$3)*Prices!$H$20+(Subs!Y141-(Paid!Y76+React!Y247+Legacy!Y78*Legacy!Y$3))*Prices!$I$20)*FX!Y16*Eras!Y$10</f>
        <v/>
      </c>
      <c r="Z23" s="11">
        <f>((Paid!Z76+React!Z247+Legacy!Z78*Legacy!Z$3)*Prices!$H$20+(Subs!Z141-(Paid!Z76+React!Z247+Legacy!Z78*Legacy!Z$3))*Prices!$I$20)*FX!Z16*Eras!Z$10</f>
        <v/>
      </c>
      <c r="AA23" s="11">
        <f>((Paid!AA76+React!AA247+Legacy!AA78*Legacy!AA$3)*Prices!$H$20+(Subs!AA141-(Paid!AA76+React!AA247+Legacy!AA78*Legacy!AA$3))*Prices!$I$20)*FX!AA16*Eras!AA$10</f>
        <v/>
      </c>
      <c r="AB23" s="11">
        <f>((Paid!AB76+React!AB247+Legacy!AB78*Legacy!AB$3)*Prices!$H$20+(Subs!AB141-(Paid!AB76+React!AB247+Legacy!AB78*Legacy!AB$3))*Prices!$I$20)*FX!AB16*Eras!AB$10</f>
        <v/>
      </c>
      <c r="AC23" s="11">
        <f>((Paid!AC76+React!AC247+Legacy!AC78*Legacy!AC$3)*Prices!$H$20+(Subs!AC141-(Paid!AC76+React!AC247+Legacy!AC78*Legacy!AC$3))*Prices!$I$20)*FX!AC16*Eras!AC$10</f>
        <v/>
      </c>
      <c r="AD23" s="11">
        <f>((Paid!AD76+React!AD247+Legacy!AD78*Legacy!AD$3)*Prices!$H$20+(Subs!AD141-(Paid!AD76+React!AD247+Legacy!AD78*Legacy!AD$3))*Prices!$I$20)*FX!AD16*Eras!AD$10</f>
        <v/>
      </c>
      <c r="AE23" s="11">
        <f>((Paid!AE76+React!AE247+Legacy!AE78*Legacy!AE$3)*Prices!$H$20+(Subs!AE141-(Paid!AE76+React!AE247+Legacy!AE78*Legacy!AE$3))*Prices!$I$20)*FX!AE16*Eras!AE$10</f>
        <v/>
      </c>
      <c r="AF23" s="11">
        <f>((Paid!AF76+React!AF247+Legacy!AF78*Legacy!AF$3)*Prices!$H$20+(Subs!AF141-(Paid!AF76+React!AF247+Legacy!AF78*Legacy!AF$3))*Prices!$I$20)*FX!AF16*Eras!AF$10</f>
        <v/>
      </c>
      <c r="AG23" s="11">
        <f>((Paid!AG76+React!AG247+Legacy!AG78*Legacy!AG$3)*Prices!$H$20+(Subs!AG141-(Paid!AG76+React!AG247+Legacy!AG78*Legacy!AG$3))*Prices!$I$20)*FX!AG16*Eras!AG$10</f>
        <v/>
      </c>
      <c r="AH23" s="11">
        <f>((Paid!AH76+React!AH247+Legacy!AH78*Legacy!AH$3)*Prices!$H$20+(Subs!AH141-(Paid!AH76+React!AH247+Legacy!AH78*Legacy!AH$3))*Prices!$I$20)*FX!AH16*Eras!AH$10</f>
        <v/>
      </c>
      <c r="AI23" s="11">
        <f>((Paid!AI76+React!AI247+Legacy!AI78*Legacy!AI$3)*Prices!$H$20+(Subs!AI141-(Paid!AI76+React!AI247+Legacy!AI78*Legacy!AI$3))*Prices!$I$20)*FX!AI16*Eras!AI$10</f>
        <v/>
      </c>
      <c r="AJ23" s="11">
        <f>((Paid!AJ76+React!AJ247+Legacy!AJ78*Legacy!AJ$3)*Prices!$H$20+(Subs!AJ141-(Paid!AJ76+React!AJ247+Legacy!AJ78*Legacy!AJ$3))*Prices!$I$20)*FX!AJ16*Eras!AJ$10</f>
        <v/>
      </c>
      <c r="AK23" s="11">
        <f>((Paid!AK76+React!AK247+Legacy!AK78*Legacy!AK$3)*Prices!$H$20+(Subs!AK141-(Paid!AK76+React!AK247+Legacy!AK78*Legacy!AK$3))*Prices!$I$20)*FX!AK16*Eras!AK$10</f>
        <v/>
      </c>
      <c r="AL23" s="11">
        <f>((Paid!AL76+React!AL247+Legacy!AL78*Legacy!AL$3)*Prices!$H$20+(Subs!AL141-(Paid!AL76+React!AL247+Legacy!AL78*Legacy!AL$3))*Prices!$I$20)*FX!AL16*Eras!AL$10</f>
        <v/>
      </c>
      <c r="AM23" s="11">
        <f>((Paid!AM76+React!AM247+Legacy!AM78*Legacy!AM$3)*Prices!$H$20+(Subs!AM141-(Paid!AM76+React!AM247+Legacy!AM78*Legacy!AM$3))*Prices!$I$20)*FX!AM16*Eras!AM$10</f>
        <v/>
      </c>
      <c r="AN23" s="11">
        <f>((Paid!AN76+React!AN247+Legacy!AN78*Legacy!AN$3)*Prices!$H$20+(Subs!AN141-(Paid!AN76+React!AN247+Legacy!AN78*Legacy!AN$3))*Prices!$I$20)*FX!AN16*Eras!AN$10</f>
        <v/>
      </c>
      <c r="AO23" s="11">
        <f>((Paid!AO76+React!AO247+Legacy!AO78*Legacy!AO$3)*Prices!$H$20+(Subs!AO141-(Paid!AO76+React!AO247+Legacy!AO78*Legacy!AO$3))*Prices!$I$20)*FX!AO16*Eras!AO$10</f>
        <v/>
      </c>
      <c r="AP23" s="11">
        <f>((Paid!AP76+React!AP247+Legacy!AP78*Legacy!AP$3)*Prices!$H$20+(Subs!AP141-(Paid!AP76+React!AP247+Legacy!AP78*Legacy!AP$3))*Prices!$I$20)*FX!AP16*Eras!AP$10</f>
        <v/>
      </c>
      <c r="AQ23" s="11">
        <f>((Paid!AQ76+React!AQ247+Legacy!AQ78*Legacy!AQ$3)*Prices!$H$20+(Subs!AQ141-(Paid!AQ76+React!AQ247+Legacy!AQ78*Legacy!AQ$3))*Prices!$I$20)*FX!AQ16*Eras!AQ$10</f>
        <v/>
      </c>
      <c r="AR23" s="11">
        <f>((Paid!AR76+React!AR247+Legacy!AR78*Legacy!AR$3)*Prices!$H$20+(Subs!AR141-(Paid!AR76+React!AR247+Legacy!AR78*Legacy!AR$3))*Prices!$I$20)*FX!AR16*Eras!AR$10</f>
        <v/>
      </c>
      <c r="AS23" s="11">
        <f>((Paid!AS76+React!AS247+Legacy!AS78*Legacy!AS$3)*Prices!$H$20+(Subs!AS141-(Paid!AS76+React!AS247+Legacy!AS78*Legacy!AS$3))*Prices!$I$20)*FX!AS16*Eras!AS$10</f>
        <v/>
      </c>
      <c r="AT23" s="11">
        <f>((Paid!AT76+React!AT247+Legacy!AT78*Legacy!AT$3)*Prices!$H$20+(Subs!AT141-(Paid!AT76+React!AT247+Legacy!AT78*Legacy!AT$3))*Prices!$I$20)*FX!AT16*Eras!AT$10</f>
        <v/>
      </c>
      <c r="AU23" s="11">
        <f>((Paid!AU76+React!AU247+Legacy!AU78*Legacy!AU$3)*Prices!$H$20+(Subs!AU141-(Paid!AU76+React!AU247+Legacy!AU78*Legacy!AU$3))*Prices!$I$20)*FX!AU16*Eras!AU$10</f>
        <v/>
      </c>
      <c r="AV23" s="11">
        <f>((Paid!AV76+React!AV247+Legacy!AV78*Legacy!AV$3)*Prices!$H$20+(Subs!AV141-(Paid!AV76+React!AV247+Legacy!AV78*Legacy!AV$3))*Prices!$I$20)*FX!AV16*Eras!AV$10</f>
        <v/>
      </c>
      <c r="AW23" s="11">
        <f>((Paid!AW76+React!AW247+Legacy!AW78*Legacy!AW$3)*Prices!$H$20+(Subs!AW141-(Paid!AW76+React!AW247+Legacy!AW78*Legacy!AW$3))*Prices!$I$20)*FX!AW16*Eras!AW$10</f>
        <v/>
      </c>
      <c r="AX23" s="11">
        <f>((Paid!AX76+React!AX247+Legacy!AX78*Legacy!AX$3)*Prices!$H$20+(Subs!AX141-(Paid!AX76+React!AX247+Legacy!AX78*Legacy!AX$3))*Prices!$I$20)*FX!AX16*Eras!AX$10</f>
        <v/>
      </c>
      <c r="AY23" s="11">
        <f>((Paid!AY76+React!AY247+Legacy!AY78*Legacy!AY$3)*Prices!$H$20+(Subs!AY141-(Paid!AY76+React!AY247+Legacy!AY78*Legacy!AY$3))*Prices!$I$20)*FX!AY16*Eras!AY$10</f>
        <v/>
      </c>
      <c r="AZ23" s="11">
        <f>((Paid!AZ76+React!AZ247+Legacy!AZ78*Legacy!AZ$3)*Prices!$H$20+(Subs!AZ141-(Paid!AZ76+React!AZ247+Legacy!AZ78*Legacy!AZ$3))*Prices!$I$20)*FX!AZ16*Eras!AZ$10</f>
        <v/>
      </c>
      <c r="BA23" s="11">
        <f>((Paid!BA76+React!BA247+Legacy!BA78*Legacy!BA$3)*Prices!$H$20+(Subs!BA141-(Paid!BA76+React!BA247+Legacy!BA78*Legacy!BA$3))*Prices!$I$20)*FX!BA16*Eras!BA$10</f>
        <v/>
      </c>
      <c r="BB23" s="11">
        <f>((Paid!BB76+React!BB247+Legacy!BB78*Legacy!BB$3)*Prices!$H$20+(Subs!BB141-(Paid!BB76+React!BB247+Legacy!BB78*Legacy!BB$3))*Prices!$I$20)*FX!BB16*Eras!BB$10</f>
        <v/>
      </c>
      <c r="BC23" s="11">
        <f>((Paid!BC76+React!BC247+Legacy!BC78*Legacy!BC$3)*Prices!$H$20+(Subs!BC141-(Paid!BC76+React!BC247+Legacy!BC78*Legacy!BC$3))*Prices!$I$20)*FX!BC16*Eras!BC$10</f>
        <v/>
      </c>
      <c r="BD23" s="11">
        <f>((Paid!BD76+React!BD247+Legacy!BD78*Legacy!BD$3)*Prices!$H$20+(Subs!BD141-(Paid!BD76+React!BD247+Legacy!BD78*Legacy!BD$3))*Prices!$I$20)*FX!BD16*Eras!BD$10</f>
        <v/>
      </c>
      <c r="BE23" s="11">
        <f>((Paid!BE76+React!BE247+Legacy!BE78*Legacy!BE$3)*Prices!$H$20+(Subs!BE141-(Paid!BE76+React!BE247+Legacy!BE78*Legacy!BE$3))*Prices!$I$20)*FX!BE16*Eras!BE$10</f>
        <v/>
      </c>
      <c r="BF23" s="11">
        <f>((Paid!BF76+React!BF247+Legacy!BF78*Legacy!BF$3)*Prices!$H$20+(Subs!BF141-(Paid!BF76+React!BF247+Legacy!BF78*Legacy!BF$3))*Prices!$I$20)*FX!BF16*Eras!BF$10</f>
        <v/>
      </c>
      <c r="BG23" s="11">
        <f>((Paid!BG76+React!BG247+Legacy!BG78*Legacy!BG$3)*Prices!$H$20+(Subs!BG141-(Paid!BG76+React!BG247+Legacy!BG78*Legacy!BG$3))*Prices!$I$20)*FX!BG16*Eras!BG$10</f>
        <v/>
      </c>
      <c r="BH23" s="11">
        <f>((Paid!BH76+React!BH247+Legacy!BH78*Legacy!BH$3)*Prices!$H$20+(Subs!BH141-(Paid!BH76+React!BH247+Legacy!BH78*Legacy!BH$3))*Prices!$I$20)*FX!BH16*Eras!BH$10</f>
        <v/>
      </c>
      <c r="BI23" s="11">
        <f>((Paid!BI76+React!BI247+Legacy!BI78*Legacy!BI$3)*Prices!$H$20+(Subs!BI141-(Paid!BI76+React!BI247+Legacy!BI78*Legacy!BI$3))*Prices!$I$20)*FX!BI16*Eras!BI$10</f>
        <v/>
      </c>
      <c r="BJ23" s="11">
        <f>((Paid!BJ76+React!BJ247+Legacy!BJ78*Legacy!BJ$3)*Prices!$H$20+(Subs!BJ141-(Paid!BJ76+React!BJ247+Legacy!BJ78*Legacy!BJ$3))*Prices!$I$20)*FX!BJ16*Eras!BJ$10</f>
        <v/>
      </c>
      <c r="BK23" s="11">
        <f>((Paid!BK76+React!BK247+Legacy!BK78*Legacy!BK$3)*Prices!$H$20+(Subs!BK141-(Paid!BK76+React!BK247+Legacy!BK78*Legacy!BK$3))*Prices!$I$20)*FX!BK16*Eras!BK$10</f>
        <v/>
      </c>
      <c r="BL23" s="11">
        <f>((Paid!BL76+React!BL247+Legacy!BL78*Legacy!BL$3)*Prices!$H$20+(Subs!BL141-(Paid!BL76+React!BL247+Legacy!BL78*Legacy!BL$3))*Prices!$I$20)*FX!BL16*Eras!BL$10</f>
        <v/>
      </c>
      <c r="BM23" s="11">
        <f>((Paid!BM76+React!BM247+Legacy!BM78*Legacy!BM$3)*Prices!$H$20+(Subs!BM141-(Paid!BM76+React!BM247+Legacy!BM78*Legacy!BM$3))*Prices!$I$20)*FX!BM16*Eras!BM$10</f>
        <v/>
      </c>
      <c r="BN23" s="11">
        <f>((Paid!BN76+React!BN247+Legacy!BN78*Legacy!BN$3)*Prices!$H$20+(Subs!BN141-(Paid!BN76+React!BN247+Legacy!BN78*Legacy!BN$3))*Prices!$I$20)*FX!BN16*Eras!BN$10</f>
        <v/>
      </c>
      <c r="BO23" s="11">
        <f>((Paid!BO76+React!BO247+Legacy!BO78*Legacy!BO$3)*Prices!$H$20+(Subs!BO141-(Paid!BO76+React!BO247+Legacy!BO78*Legacy!BO$3))*Prices!$I$20)*FX!BO16*Eras!BO$10</f>
        <v/>
      </c>
      <c r="BP23" s="11">
        <f>((Paid!BP76+React!BP247+Legacy!BP78*Legacy!BP$3)*Prices!$H$20+(Subs!BP141-(Paid!BP76+React!BP247+Legacy!BP78*Legacy!BP$3))*Prices!$I$20)*FX!BP16*Eras!BP$10</f>
        <v/>
      </c>
      <c r="BQ23" s="11">
        <f>((Paid!BQ76+React!BQ247+Legacy!BQ78*Legacy!BQ$3)*Prices!$H$20+(Subs!BQ141-(Paid!BQ76+React!BQ247+Legacy!BQ78*Legacy!BQ$3))*Prices!$I$20)*FX!BQ16*Eras!BQ$10</f>
        <v/>
      </c>
      <c r="BR23" s="11">
        <f>((Paid!BR76+React!BR247+Legacy!BR78*Legacy!BR$3)*Prices!$H$20+(Subs!BR141-(Paid!BR76+React!BR247+Legacy!BR78*Legacy!BR$3))*Prices!$I$20)*FX!BR16*Eras!BR$10</f>
        <v/>
      </c>
      <c r="BS23" s="11">
        <f>((Paid!BS76+React!BS247+Legacy!BS78*Legacy!BS$3)*Prices!$H$20+(Subs!BS141-(Paid!BS76+React!BS247+Legacy!BS78*Legacy!BS$3))*Prices!$I$20)*FX!BS16*Eras!BS$10</f>
        <v/>
      </c>
      <c r="BT23" s="11">
        <f>((Paid!BT76+React!BT247+Legacy!BT78*Legacy!BT$3)*Prices!$H$20+(Subs!BT141-(Paid!BT76+React!BT247+Legacy!BT78*Legacy!BT$3))*Prices!$I$20)*FX!BT16*Eras!BT$10</f>
        <v/>
      </c>
      <c r="BU23" s="11">
        <f>((Paid!BU76+React!BU247+Legacy!BU78*Legacy!BU$3)*Prices!$H$20+(Subs!BU141-(Paid!BU76+React!BU247+Legacy!BU78*Legacy!BU$3))*Prices!$I$20)*FX!BU16*Eras!BU$10</f>
        <v/>
      </c>
      <c r="BV23" s="11">
        <f>((Paid!BV76+React!BV247+Legacy!BV78*Legacy!BV$3)*Prices!$H$20+(Subs!BV141-(Paid!BV76+React!BV247+Legacy!BV78*Legacy!BV$3))*Prices!$I$20)*FX!BV16*Eras!BV$10</f>
        <v/>
      </c>
    </row>
    <row r="24">
      <c r="A24" t="inlineStr">
        <is>
          <t>net revenue $</t>
        </is>
      </c>
      <c r="B24" t="inlineStr">
        <is>
          <t>ROW|BASIC_A</t>
        </is>
      </c>
      <c r="C24" s="11">
        <f>((Paid!C80+React!C260+Legacy!C82*Legacy!C$3)*Prices!$H$21+(Subs!C148-(Paid!C80+React!C260+Legacy!C82*Legacy!C$3))*Prices!$I$21)*FX!C16*Eras!C$10</f>
        <v/>
      </c>
      <c r="D24" s="11">
        <f>((Paid!D80+React!D260+Legacy!D82*Legacy!D$3)*Prices!$H$21+(Subs!D148-(Paid!D80+React!D260+Legacy!D82*Legacy!D$3))*Prices!$I$21)*FX!D16*Eras!D$10</f>
        <v/>
      </c>
      <c r="E24" s="11">
        <f>((Paid!E80+React!E260+Legacy!E82*Legacy!E$3)*Prices!$H$21+(Subs!E148-(Paid!E80+React!E260+Legacy!E82*Legacy!E$3))*Prices!$I$21)*FX!E16*Eras!E$10</f>
        <v/>
      </c>
      <c r="F24" s="11">
        <f>((Paid!F80+React!F260+Legacy!F82*Legacy!F$3)*Prices!$H$21+(Subs!F148-(Paid!F80+React!F260+Legacy!F82*Legacy!F$3))*Prices!$I$21)*FX!F16*Eras!F$10</f>
        <v/>
      </c>
      <c r="G24" s="11">
        <f>((Paid!G80+React!G260+Legacy!G82*Legacy!G$3)*Prices!$H$21+(Subs!G148-(Paid!G80+React!G260+Legacy!G82*Legacy!G$3))*Prices!$I$21)*FX!G16*Eras!G$10</f>
        <v/>
      </c>
      <c r="H24" s="11">
        <f>((Paid!H80+React!H260+Legacy!H82*Legacy!H$3)*Prices!$H$21+(Subs!H148-(Paid!H80+React!H260+Legacy!H82*Legacy!H$3))*Prices!$I$21)*FX!H16*Eras!H$10</f>
        <v/>
      </c>
      <c r="I24" s="11">
        <f>((Paid!I80+React!I260+Legacy!I82*Legacy!I$3)*Prices!$H$21+(Subs!I148-(Paid!I80+React!I260+Legacy!I82*Legacy!I$3))*Prices!$I$21)*FX!I16*Eras!I$10</f>
        <v/>
      </c>
      <c r="J24" s="11">
        <f>((Paid!J80+React!J260+Legacy!J82*Legacy!J$3)*Prices!$H$21+(Subs!J148-(Paid!J80+React!J260+Legacy!J82*Legacy!J$3))*Prices!$I$21)*FX!J16*Eras!J$10</f>
        <v/>
      </c>
      <c r="K24" s="11">
        <f>((Paid!K80+React!K260+Legacy!K82*Legacy!K$3)*Prices!$H$21+(Subs!K148-(Paid!K80+React!K260+Legacy!K82*Legacy!K$3))*Prices!$I$21)*FX!K16*Eras!K$10</f>
        <v/>
      </c>
      <c r="L24" s="11">
        <f>((Paid!L80+React!L260+Legacy!L82*Legacy!L$3)*Prices!$H$21+(Subs!L148-(Paid!L80+React!L260+Legacy!L82*Legacy!L$3))*Prices!$I$21)*FX!L16*Eras!L$10</f>
        <v/>
      </c>
      <c r="M24" s="11">
        <f>((Paid!M80+React!M260+Legacy!M82*Legacy!M$3)*Prices!$H$21+(Subs!M148-(Paid!M80+React!M260+Legacy!M82*Legacy!M$3))*Prices!$I$21)*FX!M16*Eras!M$10</f>
        <v/>
      </c>
      <c r="N24" s="11">
        <f>((Paid!N80+React!N260+Legacy!N82*Legacy!N$3)*Prices!$H$21+(Subs!N148-(Paid!N80+React!N260+Legacy!N82*Legacy!N$3))*Prices!$I$21)*FX!N16*Eras!N$10</f>
        <v/>
      </c>
      <c r="O24" s="11">
        <f>((Paid!O80+React!O260+Legacy!O82*Legacy!O$3)*Prices!$H$21+(Subs!O148-(Paid!O80+React!O260+Legacy!O82*Legacy!O$3))*Prices!$I$21)*FX!O16*Eras!O$10</f>
        <v/>
      </c>
      <c r="P24" s="11">
        <f>((Paid!P80+React!P260+Legacy!P82*Legacy!P$3)*Prices!$H$21+(Subs!P148-(Paid!P80+React!P260+Legacy!P82*Legacy!P$3))*Prices!$I$21)*FX!P16*Eras!P$10</f>
        <v/>
      </c>
      <c r="Q24" s="11">
        <f>((Paid!Q80+React!Q260+Legacy!Q82*Legacy!Q$3)*Prices!$H$21+(Subs!Q148-(Paid!Q80+React!Q260+Legacy!Q82*Legacy!Q$3))*Prices!$I$21)*FX!Q16*Eras!Q$10</f>
        <v/>
      </c>
      <c r="R24" s="11">
        <f>((Paid!R80+React!R260+Legacy!R82*Legacy!R$3)*Prices!$H$21+(Subs!R148-(Paid!R80+React!R260+Legacy!R82*Legacy!R$3))*Prices!$I$21)*FX!R16*Eras!R$10</f>
        <v/>
      </c>
      <c r="S24" s="11">
        <f>((Paid!S80+React!S260+Legacy!S82*Legacy!S$3)*Prices!$H$21+(Subs!S148-(Paid!S80+React!S260+Legacy!S82*Legacy!S$3))*Prices!$I$21)*FX!S16*Eras!S$10</f>
        <v/>
      </c>
      <c r="T24" s="11">
        <f>((Paid!T80+React!T260+Legacy!T82*Legacy!T$3)*Prices!$H$21+(Subs!T148-(Paid!T80+React!T260+Legacy!T82*Legacy!T$3))*Prices!$I$21)*FX!T16*Eras!T$10</f>
        <v/>
      </c>
      <c r="U24" s="11">
        <f>((Paid!U80+React!U260+Legacy!U82*Legacy!U$3)*Prices!$H$21+(Subs!U148-(Paid!U80+React!U260+Legacy!U82*Legacy!U$3))*Prices!$I$21)*FX!U16*Eras!U$10</f>
        <v/>
      </c>
      <c r="V24" s="11">
        <f>((Paid!V80+React!V260+Legacy!V82*Legacy!V$3)*Prices!$H$21+(Subs!V148-(Paid!V80+React!V260+Legacy!V82*Legacy!V$3))*Prices!$I$21)*FX!V16*Eras!V$10</f>
        <v/>
      </c>
      <c r="W24" s="11">
        <f>((Paid!W80+React!W260+Legacy!W82*Legacy!W$3)*Prices!$H$21+(Subs!W148-(Paid!W80+React!W260+Legacy!W82*Legacy!W$3))*Prices!$I$21)*FX!W16*Eras!W$10</f>
        <v/>
      </c>
      <c r="X24" s="11">
        <f>((Paid!X80+React!X260+Legacy!X82*Legacy!X$3)*Prices!$H$21+(Subs!X148-(Paid!X80+React!X260+Legacy!X82*Legacy!X$3))*Prices!$I$21)*FX!X16*Eras!X$10</f>
        <v/>
      </c>
      <c r="Y24" s="11">
        <f>((Paid!Y80+React!Y260+Legacy!Y82*Legacy!Y$3)*Prices!$H$21+(Subs!Y148-(Paid!Y80+React!Y260+Legacy!Y82*Legacy!Y$3))*Prices!$I$21)*FX!Y16*Eras!Y$10</f>
        <v/>
      </c>
      <c r="Z24" s="11">
        <f>((Paid!Z80+React!Z260+Legacy!Z82*Legacy!Z$3)*Prices!$H$21+(Subs!Z148-(Paid!Z80+React!Z260+Legacy!Z82*Legacy!Z$3))*Prices!$I$21)*FX!Z16*Eras!Z$10</f>
        <v/>
      </c>
      <c r="AA24" s="11">
        <f>((Paid!AA80+React!AA260+Legacy!AA82*Legacy!AA$3)*Prices!$H$21+(Subs!AA148-(Paid!AA80+React!AA260+Legacy!AA82*Legacy!AA$3))*Prices!$I$21)*FX!AA16*Eras!AA$10</f>
        <v/>
      </c>
      <c r="AB24" s="11">
        <f>((Paid!AB80+React!AB260+Legacy!AB82*Legacy!AB$3)*Prices!$H$21+(Subs!AB148-(Paid!AB80+React!AB260+Legacy!AB82*Legacy!AB$3))*Prices!$I$21)*FX!AB16*Eras!AB$10</f>
        <v/>
      </c>
      <c r="AC24" s="11">
        <f>((Paid!AC80+React!AC260+Legacy!AC82*Legacy!AC$3)*Prices!$H$21+(Subs!AC148-(Paid!AC80+React!AC260+Legacy!AC82*Legacy!AC$3))*Prices!$I$21)*FX!AC16*Eras!AC$10</f>
        <v/>
      </c>
      <c r="AD24" s="11">
        <f>((Paid!AD80+React!AD260+Legacy!AD82*Legacy!AD$3)*Prices!$H$21+(Subs!AD148-(Paid!AD80+React!AD260+Legacy!AD82*Legacy!AD$3))*Prices!$I$21)*FX!AD16*Eras!AD$10</f>
        <v/>
      </c>
      <c r="AE24" s="11">
        <f>((Paid!AE80+React!AE260+Legacy!AE82*Legacy!AE$3)*Prices!$H$21+(Subs!AE148-(Paid!AE80+React!AE260+Legacy!AE82*Legacy!AE$3))*Prices!$I$21)*FX!AE16*Eras!AE$10</f>
        <v/>
      </c>
      <c r="AF24" s="11">
        <f>((Paid!AF80+React!AF260+Legacy!AF82*Legacy!AF$3)*Prices!$H$21+(Subs!AF148-(Paid!AF80+React!AF260+Legacy!AF82*Legacy!AF$3))*Prices!$I$21)*FX!AF16*Eras!AF$10</f>
        <v/>
      </c>
      <c r="AG24" s="11">
        <f>((Paid!AG80+React!AG260+Legacy!AG82*Legacy!AG$3)*Prices!$H$21+(Subs!AG148-(Paid!AG80+React!AG260+Legacy!AG82*Legacy!AG$3))*Prices!$I$21)*FX!AG16*Eras!AG$10</f>
        <v/>
      </c>
      <c r="AH24" s="11">
        <f>((Paid!AH80+React!AH260+Legacy!AH82*Legacy!AH$3)*Prices!$H$21+(Subs!AH148-(Paid!AH80+React!AH260+Legacy!AH82*Legacy!AH$3))*Prices!$I$21)*FX!AH16*Eras!AH$10</f>
        <v/>
      </c>
      <c r="AI24" s="11">
        <f>((Paid!AI80+React!AI260+Legacy!AI82*Legacy!AI$3)*Prices!$H$21+(Subs!AI148-(Paid!AI80+React!AI260+Legacy!AI82*Legacy!AI$3))*Prices!$I$21)*FX!AI16*Eras!AI$10</f>
        <v/>
      </c>
      <c r="AJ24" s="11">
        <f>((Paid!AJ80+React!AJ260+Legacy!AJ82*Legacy!AJ$3)*Prices!$H$21+(Subs!AJ148-(Paid!AJ80+React!AJ260+Legacy!AJ82*Legacy!AJ$3))*Prices!$I$21)*FX!AJ16*Eras!AJ$10</f>
        <v/>
      </c>
      <c r="AK24" s="11">
        <f>((Paid!AK80+React!AK260+Legacy!AK82*Legacy!AK$3)*Prices!$H$21+(Subs!AK148-(Paid!AK80+React!AK260+Legacy!AK82*Legacy!AK$3))*Prices!$I$21)*FX!AK16*Eras!AK$10</f>
        <v/>
      </c>
      <c r="AL24" s="11">
        <f>((Paid!AL80+React!AL260+Legacy!AL82*Legacy!AL$3)*Prices!$H$21+(Subs!AL148-(Paid!AL80+React!AL260+Legacy!AL82*Legacy!AL$3))*Prices!$I$21)*FX!AL16*Eras!AL$10</f>
        <v/>
      </c>
      <c r="AM24" s="11">
        <f>((Paid!AM80+React!AM260+Legacy!AM82*Legacy!AM$3)*Prices!$H$21+(Subs!AM148-(Paid!AM80+React!AM260+Legacy!AM82*Legacy!AM$3))*Prices!$I$21)*FX!AM16*Eras!AM$10</f>
        <v/>
      </c>
      <c r="AN24" s="11">
        <f>((Paid!AN80+React!AN260+Legacy!AN82*Legacy!AN$3)*Prices!$H$21+(Subs!AN148-(Paid!AN80+React!AN260+Legacy!AN82*Legacy!AN$3))*Prices!$I$21)*FX!AN16*Eras!AN$10</f>
        <v/>
      </c>
      <c r="AO24" s="11">
        <f>((Paid!AO80+React!AO260+Legacy!AO82*Legacy!AO$3)*Prices!$H$21+(Subs!AO148-(Paid!AO80+React!AO260+Legacy!AO82*Legacy!AO$3))*Prices!$I$21)*FX!AO16*Eras!AO$10</f>
        <v/>
      </c>
      <c r="AP24" s="11">
        <f>((Paid!AP80+React!AP260+Legacy!AP82*Legacy!AP$3)*Prices!$H$21+(Subs!AP148-(Paid!AP80+React!AP260+Legacy!AP82*Legacy!AP$3))*Prices!$I$21)*FX!AP16*Eras!AP$10</f>
        <v/>
      </c>
      <c r="AQ24" s="11">
        <f>((Paid!AQ80+React!AQ260+Legacy!AQ82*Legacy!AQ$3)*Prices!$H$21+(Subs!AQ148-(Paid!AQ80+React!AQ260+Legacy!AQ82*Legacy!AQ$3))*Prices!$I$21)*FX!AQ16*Eras!AQ$10</f>
        <v/>
      </c>
      <c r="AR24" s="11">
        <f>((Paid!AR80+React!AR260+Legacy!AR82*Legacy!AR$3)*Prices!$H$21+(Subs!AR148-(Paid!AR80+React!AR260+Legacy!AR82*Legacy!AR$3))*Prices!$I$21)*FX!AR16*Eras!AR$10</f>
        <v/>
      </c>
      <c r="AS24" s="11">
        <f>((Paid!AS80+React!AS260+Legacy!AS82*Legacy!AS$3)*Prices!$H$21+(Subs!AS148-(Paid!AS80+React!AS260+Legacy!AS82*Legacy!AS$3))*Prices!$I$21)*FX!AS16*Eras!AS$10</f>
        <v/>
      </c>
      <c r="AT24" s="11">
        <f>((Paid!AT80+React!AT260+Legacy!AT82*Legacy!AT$3)*Prices!$H$21+(Subs!AT148-(Paid!AT80+React!AT260+Legacy!AT82*Legacy!AT$3))*Prices!$I$21)*FX!AT16*Eras!AT$10</f>
        <v/>
      </c>
      <c r="AU24" s="11">
        <f>((Paid!AU80+React!AU260+Legacy!AU82*Legacy!AU$3)*Prices!$H$21+(Subs!AU148-(Paid!AU80+React!AU260+Legacy!AU82*Legacy!AU$3))*Prices!$I$21)*FX!AU16*Eras!AU$10</f>
        <v/>
      </c>
      <c r="AV24" s="11">
        <f>((Paid!AV80+React!AV260+Legacy!AV82*Legacy!AV$3)*Prices!$H$21+(Subs!AV148-(Paid!AV80+React!AV260+Legacy!AV82*Legacy!AV$3))*Prices!$I$21)*FX!AV16*Eras!AV$10</f>
        <v/>
      </c>
      <c r="AW24" s="11">
        <f>((Paid!AW80+React!AW260+Legacy!AW82*Legacy!AW$3)*Prices!$H$21+(Subs!AW148-(Paid!AW80+React!AW260+Legacy!AW82*Legacy!AW$3))*Prices!$I$21)*FX!AW16*Eras!AW$10</f>
        <v/>
      </c>
      <c r="AX24" s="11">
        <f>((Paid!AX80+React!AX260+Legacy!AX82*Legacy!AX$3)*Prices!$H$21+(Subs!AX148-(Paid!AX80+React!AX260+Legacy!AX82*Legacy!AX$3))*Prices!$I$21)*FX!AX16*Eras!AX$10</f>
        <v/>
      </c>
      <c r="AY24" s="11">
        <f>((Paid!AY80+React!AY260+Legacy!AY82*Legacy!AY$3)*Prices!$H$21+(Subs!AY148-(Paid!AY80+React!AY260+Legacy!AY82*Legacy!AY$3))*Prices!$I$21)*FX!AY16*Eras!AY$10</f>
        <v/>
      </c>
      <c r="AZ24" s="11">
        <f>((Paid!AZ80+React!AZ260+Legacy!AZ82*Legacy!AZ$3)*Prices!$H$21+(Subs!AZ148-(Paid!AZ80+React!AZ260+Legacy!AZ82*Legacy!AZ$3))*Prices!$I$21)*FX!AZ16*Eras!AZ$10</f>
        <v/>
      </c>
      <c r="BA24" s="11">
        <f>((Paid!BA80+React!BA260+Legacy!BA82*Legacy!BA$3)*Prices!$H$21+(Subs!BA148-(Paid!BA80+React!BA260+Legacy!BA82*Legacy!BA$3))*Prices!$I$21)*FX!BA16*Eras!BA$10</f>
        <v/>
      </c>
      <c r="BB24" s="11">
        <f>((Paid!BB80+React!BB260+Legacy!BB82*Legacy!BB$3)*Prices!$H$21+(Subs!BB148-(Paid!BB80+React!BB260+Legacy!BB82*Legacy!BB$3))*Prices!$I$21)*FX!BB16*Eras!BB$10</f>
        <v/>
      </c>
      <c r="BC24" s="11">
        <f>((Paid!BC80+React!BC260+Legacy!BC82*Legacy!BC$3)*Prices!$H$21+(Subs!BC148-(Paid!BC80+React!BC260+Legacy!BC82*Legacy!BC$3))*Prices!$I$21)*FX!BC16*Eras!BC$10</f>
        <v/>
      </c>
      <c r="BD24" s="11">
        <f>((Paid!BD80+React!BD260+Legacy!BD82*Legacy!BD$3)*Prices!$H$21+(Subs!BD148-(Paid!BD80+React!BD260+Legacy!BD82*Legacy!BD$3))*Prices!$I$21)*FX!BD16*Eras!BD$10</f>
        <v/>
      </c>
      <c r="BE24" s="11">
        <f>((Paid!BE80+React!BE260+Legacy!BE82*Legacy!BE$3)*Prices!$H$21+(Subs!BE148-(Paid!BE80+React!BE260+Legacy!BE82*Legacy!BE$3))*Prices!$I$21)*FX!BE16*Eras!BE$10</f>
        <v/>
      </c>
      <c r="BF24" s="11">
        <f>((Paid!BF80+React!BF260+Legacy!BF82*Legacy!BF$3)*Prices!$H$21+(Subs!BF148-(Paid!BF80+React!BF260+Legacy!BF82*Legacy!BF$3))*Prices!$I$21)*FX!BF16*Eras!BF$10</f>
        <v/>
      </c>
      <c r="BG24" s="11">
        <f>((Paid!BG80+React!BG260+Legacy!BG82*Legacy!BG$3)*Prices!$H$21+(Subs!BG148-(Paid!BG80+React!BG260+Legacy!BG82*Legacy!BG$3))*Prices!$I$21)*FX!BG16*Eras!BG$10</f>
        <v/>
      </c>
      <c r="BH24" s="11">
        <f>((Paid!BH80+React!BH260+Legacy!BH82*Legacy!BH$3)*Prices!$H$21+(Subs!BH148-(Paid!BH80+React!BH260+Legacy!BH82*Legacy!BH$3))*Prices!$I$21)*FX!BH16*Eras!BH$10</f>
        <v/>
      </c>
      <c r="BI24" s="11">
        <f>((Paid!BI80+React!BI260+Legacy!BI82*Legacy!BI$3)*Prices!$H$21+(Subs!BI148-(Paid!BI80+React!BI260+Legacy!BI82*Legacy!BI$3))*Prices!$I$21)*FX!BI16*Eras!BI$10</f>
        <v/>
      </c>
      <c r="BJ24" s="11">
        <f>((Paid!BJ80+React!BJ260+Legacy!BJ82*Legacy!BJ$3)*Prices!$H$21+(Subs!BJ148-(Paid!BJ80+React!BJ260+Legacy!BJ82*Legacy!BJ$3))*Prices!$I$21)*FX!BJ16*Eras!BJ$10</f>
        <v/>
      </c>
      <c r="BK24" s="11">
        <f>((Paid!BK80+React!BK260+Legacy!BK82*Legacy!BK$3)*Prices!$H$21+(Subs!BK148-(Paid!BK80+React!BK260+Legacy!BK82*Legacy!BK$3))*Prices!$I$21)*FX!BK16*Eras!BK$10</f>
        <v/>
      </c>
      <c r="BL24" s="11">
        <f>((Paid!BL80+React!BL260+Legacy!BL82*Legacy!BL$3)*Prices!$H$21+(Subs!BL148-(Paid!BL80+React!BL260+Legacy!BL82*Legacy!BL$3))*Prices!$I$21)*FX!BL16*Eras!BL$10</f>
        <v/>
      </c>
      <c r="BM24" s="11">
        <f>((Paid!BM80+React!BM260+Legacy!BM82*Legacy!BM$3)*Prices!$H$21+(Subs!BM148-(Paid!BM80+React!BM260+Legacy!BM82*Legacy!BM$3))*Prices!$I$21)*FX!BM16*Eras!BM$10</f>
        <v/>
      </c>
      <c r="BN24" s="11">
        <f>((Paid!BN80+React!BN260+Legacy!BN82*Legacy!BN$3)*Prices!$H$21+(Subs!BN148-(Paid!BN80+React!BN260+Legacy!BN82*Legacy!BN$3))*Prices!$I$21)*FX!BN16*Eras!BN$10</f>
        <v/>
      </c>
      <c r="BO24" s="11">
        <f>((Paid!BO80+React!BO260+Legacy!BO82*Legacy!BO$3)*Prices!$H$21+(Subs!BO148-(Paid!BO80+React!BO260+Legacy!BO82*Legacy!BO$3))*Prices!$I$21)*FX!BO16*Eras!BO$10</f>
        <v/>
      </c>
      <c r="BP24" s="11">
        <f>((Paid!BP80+React!BP260+Legacy!BP82*Legacy!BP$3)*Prices!$H$21+(Subs!BP148-(Paid!BP80+React!BP260+Legacy!BP82*Legacy!BP$3))*Prices!$I$21)*FX!BP16*Eras!BP$10</f>
        <v/>
      </c>
      <c r="BQ24" s="11">
        <f>((Paid!BQ80+React!BQ260+Legacy!BQ82*Legacy!BQ$3)*Prices!$H$21+(Subs!BQ148-(Paid!BQ80+React!BQ260+Legacy!BQ82*Legacy!BQ$3))*Prices!$I$21)*FX!BQ16*Eras!BQ$10</f>
        <v/>
      </c>
      <c r="BR24" s="11">
        <f>((Paid!BR80+React!BR260+Legacy!BR82*Legacy!BR$3)*Prices!$H$21+(Subs!BR148-(Paid!BR80+React!BR260+Legacy!BR82*Legacy!BR$3))*Prices!$I$21)*FX!BR16*Eras!BR$10</f>
        <v/>
      </c>
      <c r="BS24" s="11">
        <f>((Paid!BS80+React!BS260+Legacy!BS82*Legacy!BS$3)*Prices!$H$21+(Subs!BS148-(Paid!BS80+React!BS260+Legacy!BS82*Legacy!BS$3))*Prices!$I$21)*FX!BS16*Eras!BS$10</f>
        <v/>
      </c>
      <c r="BT24" s="11">
        <f>((Paid!BT80+React!BT260+Legacy!BT82*Legacy!BT$3)*Prices!$H$21+(Subs!BT148-(Paid!BT80+React!BT260+Legacy!BT82*Legacy!BT$3))*Prices!$I$21)*FX!BT16*Eras!BT$10</f>
        <v/>
      </c>
      <c r="BU24" s="11">
        <f>((Paid!BU80+React!BU260+Legacy!BU82*Legacy!BU$3)*Prices!$H$21+(Subs!BU148-(Paid!BU80+React!BU260+Legacy!BU82*Legacy!BU$3))*Prices!$I$21)*FX!BU16*Eras!BU$10</f>
        <v/>
      </c>
      <c r="BV24" s="11">
        <f>((Paid!BV80+React!BV260+Legacy!BV82*Legacy!BV$3)*Prices!$H$21+(Subs!BV148-(Paid!BV80+React!BV260+Legacy!BV82*Legacy!BV$3))*Prices!$I$21)*FX!BV16*Eras!BV$10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V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Rows: sign-up month (cohort). Columns: calendar month. Cell = sign-ups x survival at age (month - cohort), using the survival curve of the era the cohort started in.</t>
        </is>
      </c>
    </row>
    <row r="5">
      <c r="A5" t="inlineStr">
        <is>
          <t>cohort 2025-01</t>
        </is>
      </c>
      <c r="B5" s="5">
        <f>INDEX(Adds!$C$13:$BV$13,1)</f>
        <v/>
      </c>
      <c r="C5" s="5">
        <f>$B5*(Eras!$C$3*INDEX(Curves!$C$4:$BV$4,C$2-0+1)+Eras!$C$4*INDEX(Curves!$C$27:$BV$27,C$2-0+1)+Eras!$C$5*INDEX(Curves!$C$50:$BV$50,C$2-0+1))</f>
        <v/>
      </c>
      <c r="D5" s="5">
        <f>$B5*(Eras!$C$3*INDEX(Curves!$C$4:$BV$4,D$2-0+1)+Eras!$C$4*INDEX(Curves!$C$27:$BV$27,D$2-0+1)+Eras!$C$5*INDEX(Curves!$C$50:$BV$50,D$2-0+1))</f>
        <v/>
      </c>
      <c r="E5" s="5">
        <f>$B5*(Eras!$C$3*INDEX(Curves!$C$4:$BV$4,E$2-0+1)+Eras!$C$4*INDEX(Curves!$C$27:$BV$27,E$2-0+1)+Eras!$C$5*INDEX(Curves!$C$50:$BV$50,E$2-0+1))</f>
        <v/>
      </c>
      <c r="F5" s="5">
        <f>$B5*(Eras!$C$3*INDEX(Curves!$C$4:$BV$4,F$2-0+1)+Eras!$C$4*INDEX(Curves!$C$27:$BV$27,F$2-0+1)+Eras!$C$5*INDEX(Curves!$C$50:$BV$50,F$2-0+1))</f>
        <v/>
      </c>
      <c r="G5" s="5">
        <f>$B5*(Eras!$C$3*INDEX(Curves!$C$4:$BV$4,G$2-0+1)+Eras!$C$4*INDEX(Curves!$C$27:$BV$27,G$2-0+1)+Eras!$C$5*INDEX(Curves!$C$50:$BV$50,G$2-0+1))</f>
        <v/>
      </c>
      <c r="H5" s="5">
        <f>$B5*(Eras!$C$3*INDEX(Curves!$C$4:$BV$4,H$2-0+1)+Eras!$C$4*INDEX(Curves!$C$27:$BV$27,H$2-0+1)+Eras!$C$5*INDEX(Curves!$C$50:$BV$50,H$2-0+1))</f>
        <v/>
      </c>
      <c r="I5" s="5">
        <f>$B5*(Eras!$C$3*INDEX(Curves!$C$4:$BV$4,I$2-0+1)+Eras!$C$4*INDEX(Curves!$C$27:$BV$27,I$2-0+1)+Eras!$C$5*INDEX(Curves!$C$50:$BV$50,I$2-0+1))</f>
        <v/>
      </c>
      <c r="J5" s="5">
        <f>$B5*(Eras!$C$3*INDEX(Curves!$C$4:$BV$4,J$2-0+1)+Eras!$C$4*INDEX(Curves!$C$27:$BV$27,J$2-0+1)+Eras!$C$5*INDEX(Curves!$C$50:$BV$50,J$2-0+1))</f>
        <v/>
      </c>
      <c r="K5" s="5">
        <f>$B5*(Eras!$C$3*INDEX(Curves!$C$4:$BV$4,K$2-0+1)+Eras!$C$4*INDEX(Curves!$C$27:$BV$27,K$2-0+1)+Eras!$C$5*INDEX(Curves!$C$50:$BV$50,K$2-0+1))</f>
        <v/>
      </c>
      <c r="L5" s="5">
        <f>$B5*(Eras!$C$3*INDEX(Curves!$C$4:$BV$4,L$2-0+1)+Eras!$C$4*INDEX(Curves!$C$27:$BV$27,L$2-0+1)+Eras!$C$5*INDEX(Curves!$C$50:$BV$50,L$2-0+1))</f>
        <v/>
      </c>
      <c r="M5" s="5">
        <f>$B5*(Eras!$C$3*INDEX(Curves!$C$4:$BV$4,M$2-0+1)+Eras!$C$4*INDEX(Curves!$C$27:$BV$27,M$2-0+1)+Eras!$C$5*INDEX(Curves!$C$50:$BV$50,M$2-0+1))</f>
        <v/>
      </c>
      <c r="N5" s="5">
        <f>$B5*(Eras!$C$3*INDEX(Curves!$C$4:$BV$4,N$2-0+1)+Eras!$C$4*INDEX(Curves!$C$27:$BV$27,N$2-0+1)+Eras!$C$5*INDEX(Curves!$C$50:$BV$50,N$2-0+1))</f>
        <v/>
      </c>
      <c r="O5" s="5">
        <f>$B5*(Eras!$C$3*INDEX(Curves!$C$4:$BV$4,O$2-0+1)+Eras!$C$4*INDEX(Curves!$C$27:$BV$27,O$2-0+1)+Eras!$C$5*INDEX(Curves!$C$50:$BV$50,O$2-0+1))</f>
        <v/>
      </c>
      <c r="P5" s="5">
        <f>$B5*(Eras!$C$3*INDEX(Curves!$C$4:$BV$4,P$2-0+1)+Eras!$C$4*INDEX(Curves!$C$27:$BV$27,P$2-0+1)+Eras!$C$5*INDEX(Curves!$C$50:$BV$50,P$2-0+1))</f>
        <v/>
      </c>
      <c r="Q5" s="5">
        <f>$B5*(Eras!$C$3*INDEX(Curves!$C$4:$BV$4,Q$2-0+1)+Eras!$C$4*INDEX(Curves!$C$27:$BV$27,Q$2-0+1)+Eras!$C$5*INDEX(Curves!$C$50:$BV$50,Q$2-0+1))</f>
        <v/>
      </c>
      <c r="R5" s="5">
        <f>$B5*(Eras!$C$3*INDEX(Curves!$C$4:$BV$4,R$2-0+1)+Eras!$C$4*INDEX(Curves!$C$27:$BV$27,R$2-0+1)+Eras!$C$5*INDEX(Curves!$C$50:$BV$50,R$2-0+1))</f>
        <v/>
      </c>
      <c r="S5" s="5">
        <f>$B5*(Eras!$C$3*INDEX(Curves!$C$4:$BV$4,S$2-0+1)+Eras!$C$4*INDEX(Curves!$C$27:$BV$27,S$2-0+1)+Eras!$C$5*INDEX(Curves!$C$50:$BV$50,S$2-0+1))</f>
        <v/>
      </c>
      <c r="T5" s="5">
        <f>$B5*(Eras!$C$3*INDEX(Curves!$C$4:$BV$4,T$2-0+1)+Eras!$C$4*INDEX(Curves!$C$27:$BV$27,T$2-0+1)+Eras!$C$5*INDEX(Curves!$C$50:$BV$50,T$2-0+1))</f>
        <v/>
      </c>
      <c r="U5" s="5">
        <f>$B5*(Eras!$C$3*INDEX(Curves!$C$4:$BV$4,U$2-0+1)+Eras!$C$4*INDEX(Curves!$C$27:$BV$27,U$2-0+1)+Eras!$C$5*INDEX(Curves!$C$50:$BV$50,U$2-0+1))</f>
        <v/>
      </c>
      <c r="V5" s="5">
        <f>$B5*(Eras!$C$3*INDEX(Curves!$C$4:$BV$4,V$2-0+1)+Eras!$C$4*INDEX(Curves!$C$27:$BV$27,V$2-0+1)+Eras!$C$5*INDEX(Curves!$C$50:$BV$50,V$2-0+1))</f>
        <v/>
      </c>
      <c r="W5" s="5">
        <f>$B5*(Eras!$C$3*INDEX(Curves!$C$4:$BV$4,W$2-0+1)+Eras!$C$4*INDEX(Curves!$C$27:$BV$27,W$2-0+1)+Eras!$C$5*INDEX(Curves!$C$50:$BV$50,W$2-0+1))</f>
        <v/>
      </c>
      <c r="X5" s="5">
        <f>$B5*(Eras!$C$3*INDEX(Curves!$C$4:$BV$4,X$2-0+1)+Eras!$C$4*INDEX(Curves!$C$27:$BV$27,X$2-0+1)+Eras!$C$5*INDEX(Curves!$C$50:$BV$50,X$2-0+1))</f>
        <v/>
      </c>
      <c r="Y5" s="5">
        <f>$B5*(Eras!$C$3*INDEX(Curves!$C$4:$BV$4,Y$2-0+1)+Eras!$C$4*INDEX(Curves!$C$27:$BV$27,Y$2-0+1)+Eras!$C$5*INDEX(Curves!$C$50:$BV$50,Y$2-0+1))</f>
        <v/>
      </c>
      <c r="Z5" s="5">
        <f>$B5*(Eras!$C$3*INDEX(Curves!$C$4:$BV$4,Z$2-0+1)+Eras!$C$4*INDEX(Curves!$C$27:$BV$27,Z$2-0+1)+Eras!$C$5*INDEX(Curves!$C$50:$BV$50,Z$2-0+1))</f>
        <v/>
      </c>
      <c r="AA5" s="5">
        <f>$B5*(Eras!$C$3*INDEX(Curves!$C$4:$BV$4,AA$2-0+1)+Eras!$C$4*INDEX(Curves!$C$27:$BV$27,AA$2-0+1)+Eras!$C$5*INDEX(Curves!$C$50:$BV$50,AA$2-0+1))</f>
        <v/>
      </c>
      <c r="AB5" s="5">
        <f>$B5*(Eras!$C$3*INDEX(Curves!$C$4:$BV$4,AB$2-0+1)+Eras!$C$4*INDEX(Curves!$C$27:$BV$27,AB$2-0+1)+Eras!$C$5*INDEX(Curves!$C$50:$BV$50,AB$2-0+1))</f>
        <v/>
      </c>
      <c r="AC5" s="5">
        <f>$B5*(Eras!$C$3*INDEX(Curves!$C$4:$BV$4,AC$2-0+1)+Eras!$C$4*INDEX(Curves!$C$27:$BV$27,AC$2-0+1)+Eras!$C$5*INDEX(Curves!$C$50:$BV$50,AC$2-0+1))</f>
        <v/>
      </c>
      <c r="AD5" s="5">
        <f>$B5*(Eras!$C$3*INDEX(Curves!$C$4:$BV$4,AD$2-0+1)+Eras!$C$4*INDEX(Curves!$C$27:$BV$27,AD$2-0+1)+Eras!$C$5*INDEX(Curves!$C$50:$BV$50,AD$2-0+1))</f>
        <v/>
      </c>
      <c r="AE5" s="5">
        <f>$B5*(Eras!$C$3*INDEX(Curves!$C$4:$BV$4,AE$2-0+1)+Eras!$C$4*INDEX(Curves!$C$27:$BV$27,AE$2-0+1)+Eras!$C$5*INDEX(Curves!$C$50:$BV$50,AE$2-0+1))</f>
        <v/>
      </c>
      <c r="AF5" s="5">
        <f>$B5*(Eras!$C$3*INDEX(Curves!$C$4:$BV$4,AF$2-0+1)+Eras!$C$4*INDEX(Curves!$C$27:$BV$27,AF$2-0+1)+Eras!$C$5*INDEX(Curves!$C$50:$BV$50,AF$2-0+1))</f>
        <v/>
      </c>
      <c r="AG5" s="5">
        <f>$B5*(Eras!$C$3*INDEX(Curves!$C$4:$BV$4,AG$2-0+1)+Eras!$C$4*INDEX(Curves!$C$27:$BV$27,AG$2-0+1)+Eras!$C$5*INDEX(Curves!$C$50:$BV$50,AG$2-0+1))</f>
        <v/>
      </c>
      <c r="AH5" s="5">
        <f>$B5*(Eras!$C$3*INDEX(Curves!$C$4:$BV$4,AH$2-0+1)+Eras!$C$4*INDEX(Curves!$C$27:$BV$27,AH$2-0+1)+Eras!$C$5*INDEX(Curves!$C$50:$BV$50,AH$2-0+1))</f>
        <v/>
      </c>
      <c r="AI5" s="5">
        <f>$B5*(Eras!$C$3*INDEX(Curves!$C$4:$BV$4,AI$2-0+1)+Eras!$C$4*INDEX(Curves!$C$27:$BV$27,AI$2-0+1)+Eras!$C$5*INDEX(Curves!$C$50:$BV$50,AI$2-0+1))</f>
        <v/>
      </c>
      <c r="AJ5" s="5">
        <f>$B5*(Eras!$C$3*INDEX(Curves!$C$4:$BV$4,AJ$2-0+1)+Eras!$C$4*INDEX(Curves!$C$27:$BV$27,AJ$2-0+1)+Eras!$C$5*INDEX(Curves!$C$50:$BV$50,AJ$2-0+1))</f>
        <v/>
      </c>
      <c r="AK5" s="5">
        <f>$B5*(Eras!$C$3*INDEX(Curves!$C$4:$BV$4,AK$2-0+1)+Eras!$C$4*INDEX(Curves!$C$27:$BV$27,AK$2-0+1)+Eras!$C$5*INDEX(Curves!$C$50:$BV$50,AK$2-0+1))</f>
        <v/>
      </c>
      <c r="AL5" s="5">
        <f>$B5*(Eras!$C$3*INDEX(Curves!$C$4:$BV$4,AL$2-0+1)+Eras!$C$4*INDEX(Curves!$C$27:$BV$27,AL$2-0+1)+Eras!$C$5*INDEX(Curves!$C$50:$BV$50,AL$2-0+1))</f>
        <v/>
      </c>
      <c r="AM5" s="5">
        <f>$B5*(Eras!$C$3*INDEX(Curves!$C$4:$BV$4,AM$2-0+1)+Eras!$C$4*INDEX(Curves!$C$27:$BV$27,AM$2-0+1)+Eras!$C$5*INDEX(Curves!$C$50:$BV$50,AM$2-0+1))</f>
        <v/>
      </c>
      <c r="AN5" s="5">
        <f>$B5*(Eras!$C$3*INDEX(Curves!$C$4:$BV$4,AN$2-0+1)+Eras!$C$4*INDEX(Curves!$C$27:$BV$27,AN$2-0+1)+Eras!$C$5*INDEX(Curves!$C$50:$BV$50,AN$2-0+1))</f>
        <v/>
      </c>
      <c r="AO5" s="5">
        <f>$B5*(Eras!$C$3*INDEX(Curves!$C$4:$BV$4,AO$2-0+1)+Eras!$C$4*INDEX(Curves!$C$27:$BV$27,AO$2-0+1)+Eras!$C$5*INDEX(Curves!$C$50:$BV$50,AO$2-0+1))</f>
        <v/>
      </c>
      <c r="AP5" s="5">
        <f>$B5*(Eras!$C$3*INDEX(Curves!$C$4:$BV$4,AP$2-0+1)+Eras!$C$4*INDEX(Curves!$C$27:$BV$27,AP$2-0+1)+Eras!$C$5*INDEX(Curves!$C$50:$BV$50,AP$2-0+1))</f>
        <v/>
      </c>
      <c r="AQ5" s="5">
        <f>$B5*(Eras!$C$3*INDEX(Curves!$C$4:$BV$4,AQ$2-0+1)+Eras!$C$4*INDEX(Curves!$C$27:$BV$27,AQ$2-0+1)+Eras!$C$5*INDEX(Curves!$C$50:$BV$50,AQ$2-0+1))</f>
        <v/>
      </c>
      <c r="AR5" s="5">
        <f>$B5*(Eras!$C$3*INDEX(Curves!$C$4:$BV$4,AR$2-0+1)+Eras!$C$4*INDEX(Curves!$C$27:$BV$27,AR$2-0+1)+Eras!$C$5*INDEX(Curves!$C$50:$BV$50,AR$2-0+1))</f>
        <v/>
      </c>
      <c r="AS5" s="5">
        <f>$B5*(Eras!$C$3*INDEX(Curves!$C$4:$BV$4,AS$2-0+1)+Eras!$C$4*INDEX(Curves!$C$27:$BV$27,AS$2-0+1)+Eras!$C$5*INDEX(Curves!$C$50:$BV$50,AS$2-0+1))</f>
        <v/>
      </c>
      <c r="AT5" s="5">
        <f>$B5*(Eras!$C$3*INDEX(Curves!$C$4:$BV$4,AT$2-0+1)+Eras!$C$4*INDEX(Curves!$C$27:$BV$27,AT$2-0+1)+Eras!$C$5*INDEX(Curves!$C$50:$BV$50,AT$2-0+1))</f>
        <v/>
      </c>
      <c r="AU5" s="5">
        <f>$B5*(Eras!$C$3*INDEX(Curves!$C$4:$BV$4,AU$2-0+1)+Eras!$C$4*INDEX(Curves!$C$27:$BV$27,AU$2-0+1)+Eras!$C$5*INDEX(Curves!$C$50:$BV$50,AU$2-0+1))</f>
        <v/>
      </c>
      <c r="AV5" s="5">
        <f>$B5*(Eras!$C$3*INDEX(Curves!$C$4:$BV$4,AV$2-0+1)+Eras!$C$4*INDEX(Curves!$C$27:$BV$27,AV$2-0+1)+Eras!$C$5*INDEX(Curves!$C$50:$BV$50,AV$2-0+1))</f>
        <v/>
      </c>
      <c r="AW5" s="5">
        <f>$B5*(Eras!$C$3*INDEX(Curves!$C$4:$BV$4,AW$2-0+1)+Eras!$C$4*INDEX(Curves!$C$27:$BV$27,AW$2-0+1)+Eras!$C$5*INDEX(Curves!$C$50:$BV$50,AW$2-0+1))</f>
        <v/>
      </c>
      <c r="AX5" s="5">
        <f>$B5*(Eras!$C$3*INDEX(Curves!$C$4:$BV$4,AX$2-0+1)+Eras!$C$4*INDEX(Curves!$C$27:$BV$27,AX$2-0+1)+Eras!$C$5*INDEX(Curves!$C$50:$BV$50,AX$2-0+1))</f>
        <v/>
      </c>
      <c r="AY5" s="5">
        <f>$B5*(Eras!$C$3*INDEX(Curves!$C$4:$BV$4,AY$2-0+1)+Eras!$C$4*INDEX(Curves!$C$27:$BV$27,AY$2-0+1)+Eras!$C$5*INDEX(Curves!$C$50:$BV$50,AY$2-0+1))</f>
        <v/>
      </c>
      <c r="AZ5" s="5">
        <f>$B5*(Eras!$C$3*INDEX(Curves!$C$4:$BV$4,AZ$2-0+1)+Eras!$C$4*INDEX(Curves!$C$27:$BV$27,AZ$2-0+1)+Eras!$C$5*INDEX(Curves!$C$50:$BV$50,AZ$2-0+1))</f>
        <v/>
      </c>
      <c r="BA5" s="5">
        <f>$B5*(Eras!$C$3*INDEX(Curves!$C$4:$BV$4,BA$2-0+1)+Eras!$C$4*INDEX(Curves!$C$27:$BV$27,BA$2-0+1)+Eras!$C$5*INDEX(Curves!$C$50:$BV$50,BA$2-0+1))</f>
        <v/>
      </c>
      <c r="BB5" s="5">
        <f>$B5*(Eras!$C$3*INDEX(Curves!$C$4:$BV$4,BB$2-0+1)+Eras!$C$4*INDEX(Curves!$C$27:$BV$27,BB$2-0+1)+Eras!$C$5*INDEX(Curves!$C$50:$BV$50,BB$2-0+1))</f>
        <v/>
      </c>
      <c r="BC5" s="5">
        <f>$B5*(Eras!$C$3*INDEX(Curves!$C$4:$BV$4,BC$2-0+1)+Eras!$C$4*INDEX(Curves!$C$27:$BV$27,BC$2-0+1)+Eras!$C$5*INDEX(Curves!$C$50:$BV$50,BC$2-0+1))</f>
        <v/>
      </c>
      <c r="BD5" s="5">
        <f>$B5*(Eras!$C$3*INDEX(Curves!$C$4:$BV$4,BD$2-0+1)+Eras!$C$4*INDEX(Curves!$C$27:$BV$27,BD$2-0+1)+Eras!$C$5*INDEX(Curves!$C$50:$BV$50,BD$2-0+1))</f>
        <v/>
      </c>
      <c r="BE5" s="5">
        <f>$B5*(Eras!$C$3*INDEX(Curves!$C$4:$BV$4,BE$2-0+1)+Eras!$C$4*INDEX(Curves!$C$27:$BV$27,BE$2-0+1)+Eras!$C$5*INDEX(Curves!$C$50:$BV$50,BE$2-0+1))</f>
        <v/>
      </c>
      <c r="BF5" s="5">
        <f>$B5*(Eras!$C$3*INDEX(Curves!$C$4:$BV$4,BF$2-0+1)+Eras!$C$4*INDEX(Curves!$C$27:$BV$27,BF$2-0+1)+Eras!$C$5*INDEX(Curves!$C$50:$BV$50,BF$2-0+1))</f>
        <v/>
      </c>
      <c r="BG5" s="5">
        <f>$B5*(Eras!$C$3*INDEX(Curves!$C$4:$BV$4,BG$2-0+1)+Eras!$C$4*INDEX(Curves!$C$27:$BV$27,BG$2-0+1)+Eras!$C$5*INDEX(Curves!$C$50:$BV$50,BG$2-0+1))</f>
        <v/>
      </c>
      <c r="BH5" s="5">
        <f>$B5*(Eras!$C$3*INDEX(Curves!$C$4:$BV$4,BH$2-0+1)+Eras!$C$4*INDEX(Curves!$C$27:$BV$27,BH$2-0+1)+Eras!$C$5*INDEX(Curves!$C$50:$BV$50,BH$2-0+1))</f>
        <v/>
      </c>
      <c r="BI5" s="5">
        <f>$B5*(Eras!$C$3*INDEX(Curves!$C$4:$BV$4,BI$2-0+1)+Eras!$C$4*INDEX(Curves!$C$27:$BV$27,BI$2-0+1)+Eras!$C$5*INDEX(Curves!$C$50:$BV$50,BI$2-0+1))</f>
        <v/>
      </c>
      <c r="BJ5" s="5">
        <f>$B5*(Eras!$C$3*INDEX(Curves!$C$4:$BV$4,BJ$2-0+1)+Eras!$C$4*INDEX(Curves!$C$27:$BV$27,BJ$2-0+1)+Eras!$C$5*INDEX(Curves!$C$50:$BV$50,BJ$2-0+1))</f>
        <v/>
      </c>
      <c r="BK5" s="5">
        <f>$B5*(Eras!$C$3*INDEX(Curves!$C$4:$BV$4,BK$2-0+1)+Eras!$C$4*INDEX(Curves!$C$27:$BV$27,BK$2-0+1)+Eras!$C$5*INDEX(Curves!$C$50:$BV$50,BK$2-0+1))</f>
        <v/>
      </c>
      <c r="BL5" s="5">
        <f>$B5*(Eras!$C$3*INDEX(Curves!$C$4:$BV$4,BL$2-0+1)+Eras!$C$4*INDEX(Curves!$C$27:$BV$27,BL$2-0+1)+Eras!$C$5*INDEX(Curves!$C$50:$BV$50,BL$2-0+1))</f>
        <v/>
      </c>
      <c r="BM5" s="5">
        <f>$B5*(Eras!$C$3*INDEX(Curves!$C$4:$BV$4,BM$2-0+1)+Eras!$C$4*INDEX(Curves!$C$27:$BV$27,BM$2-0+1)+Eras!$C$5*INDEX(Curves!$C$50:$BV$50,BM$2-0+1))</f>
        <v/>
      </c>
      <c r="BN5" s="5">
        <f>$B5*(Eras!$C$3*INDEX(Curves!$C$4:$BV$4,BN$2-0+1)+Eras!$C$4*INDEX(Curves!$C$27:$BV$27,BN$2-0+1)+Eras!$C$5*INDEX(Curves!$C$50:$BV$50,BN$2-0+1))</f>
        <v/>
      </c>
      <c r="BO5" s="5">
        <f>$B5*(Eras!$C$3*INDEX(Curves!$C$4:$BV$4,BO$2-0+1)+Eras!$C$4*INDEX(Curves!$C$27:$BV$27,BO$2-0+1)+Eras!$C$5*INDEX(Curves!$C$50:$BV$50,BO$2-0+1))</f>
        <v/>
      </c>
      <c r="BP5" s="5">
        <f>$B5*(Eras!$C$3*INDEX(Curves!$C$4:$BV$4,BP$2-0+1)+Eras!$C$4*INDEX(Curves!$C$27:$BV$27,BP$2-0+1)+Eras!$C$5*INDEX(Curves!$C$50:$BV$50,BP$2-0+1))</f>
        <v/>
      </c>
      <c r="BQ5" s="5">
        <f>$B5*(Eras!$C$3*INDEX(Curves!$C$4:$BV$4,BQ$2-0+1)+Eras!$C$4*INDEX(Curves!$C$27:$BV$27,BQ$2-0+1)+Eras!$C$5*INDEX(Curves!$C$50:$BV$50,BQ$2-0+1))</f>
        <v/>
      </c>
      <c r="BR5" s="5">
        <f>$B5*(Eras!$C$3*INDEX(Curves!$C$4:$BV$4,BR$2-0+1)+Eras!$C$4*INDEX(Curves!$C$27:$BV$27,BR$2-0+1)+Eras!$C$5*INDEX(Curves!$C$50:$BV$50,BR$2-0+1))</f>
        <v/>
      </c>
      <c r="BS5" s="5">
        <f>$B5*(Eras!$C$3*INDEX(Curves!$C$4:$BV$4,BS$2-0+1)+Eras!$C$4*INDEX(Curves!$C$27:$BV$27,BS$2-0+1)+Eras!$C$5*INDEX(Curves!$C$50:$BV$50,BS$2-0+1))</f>
        <v/>
      </c>
      <c r="BT5" s="5">
        <f>$B5*(Eras!$C$3*INDEX(Curves!$C$4:$BV$4,BT$2-0+1)+Eras!$C$4*INDEX(Curves!$C$27:$BV$27,BT$2-0+1)+Eras!$C$5*INDEX(Curves!$C$50:$BV$50,BT$2-0+1))</f>
        <v/>
      </c>
      <c r="BU5" s="5">
        <f>$B5*(Eras!$C$3*INDEX(Curves!$C$4:$BV$4,BU$2-0+1)+Eras!$C$4*INDEX(Curves!$C$27:$BV$27,BU$2-0+1)+Eras!$C$5*INDEX(Curves!$C$50:$BV$50,BU$2-0+1))</f>
        <v/>
      </c>
      <c r="BV5" s="5">
        <f>$B5*(Eras!$C$3*INDEX(Curves!$C$4:$BV$4,BV$2-0+1)+Eras!$C$4*INDEX(Curves!$C$27:$BV$27,BV$2-0+1)+Eras!$C$5*INDEX(Curves!$C$50:$BV$50,BV$2-0+1))</f>
        <v/>
      </c>
    </row>
    <row r="6">
      <c r="A6" t="inlineStr">
        <is>
          <t>cohort 2025-02</t>
        </is>
      </c>
      <c r="B6" s="5">
        <f>INDEX(Adds!$C$13:$BV$13,2)</f>
        <v/>
      </c>
      <c r="D6" s="5">
        <f>$B6*(Eras!$D$3*INDEX(Curves!$C$4:$BV$4,D$2-1+1)+Eras!$D$4*INDEX(Curves!$C$27:$BV$27,D$2-1+1)+Eras!$D$5*INDEX(Curves!$C$50:$BV$50,D$2-1+1))</f>
        <v/>
      </c>
      <c r="E6" s="5">
        <f>$B6*(Eras!$D$3*INDEX(Curves!$C$4:$BV$4,E$2-1+1)+Eras!$D$4*INDEX(Curves!$C$27:$BV$27,E$2-1+1)+Eras!$D$5*INDEX(Curves!$C$50:$BV$50,E$2-1+1))</f>
        <v/>
      </c>
      <c r="F6" s="5">
        <f>$B6*(Eras!$D$3*INDEX(Curves!$C$4:$BV$4,F$2-1+1)+Eras!$D$4*INDEX(Curves!$C$27:$BV$27,F$2-1+1)+Eras!$D$5*INDEX(Curves!$C$50:$BV$50,F$2-1+1))</f>
        <v/>
      </c>
      <c r="G6" s="5">
        <f>$B6*(Eras!$D$3*INDEX(Curves!$C$4:$BV$4,G$2-1+1)+Eras!$D$4*INDEX(Curves!$C$27:$BV$27,G$2-1+1)+Eras!$D$5*INDEX(Curves!$C$50:$BV$50,G$2-1+1))</f>
        <v/>
      </c>
      <c r="H6" s="5">
        <f>$B6*(Eras!$D$3*INDEX(Curves!$C$4:$BV$4,H$2-1+1)+Eras!$D$4*INDEX(Curves!$C$27:$BV$27,H$2-1+1)+Eras!$D$5*INDEX(Curves!$C$50:$BV$50,H$2-1+1))</f>
        <v/>
      </c>
      <c r="I6" s="5">
        <f>$B6*(Eras!$D$3*INDEX(Curves!$C$4:$BV$4,I$2-1+1)+Eras!$D$4*INDEX(Curves!$C$27:$BV$27,I$2-1+1)+Eras!$D$5*INDEX(Curves!$C$50:$BV$50,I$2-1+1))</f>
        <v/>
      </c>
      <c r="J6" s="5">
        <f>$B6*(Eras!$D$3*INDEX(Curves!$C$4:$BV$4,J$2-1+1)+Eras!$D$4*INDEX(Curves!$C$27:$BV$27,J$2-1+1)+Eras!$D$5*INDEX(Curves!$C$50:$BV$50,J$2-1+1))</f>
        <v/>
      </c>
      <c r="K6" s="5">
        <f>$B6*(Eras!$D$3*INDEX(Curves!$C$4:$BV$4,K$2-1+1)+Eras!$D$4*INDEX(Curves!$C$27:$BV$27,K$2-1+1)+Eras!$D$5*INDEX(Curves!$C$50:$BV$50,K$2-1+1))</f>
        <v/>
      </c>
      <c r="L6" s="5">
        <f>$B6*(Eras!$D$3*INDEX(Curves!$C$4:$BV$4,L$2-1+1)+Eras!$D$4*INDEX(Curves!$C$27:$BV$27,L$2-1+1)+Eras!$D$5*INDEX(Curves!$C$50:$BV$50,L$2-1+1))</f>
        <v/>
      </c>
      <c r="M6" s="5">
        <f>$B6*(Eras!$D$3*INDEX(Curves!$C$4:$BV$4,M$2-1+1)+Eras!$D$4*INDEX(Curves!$C$27:$BV$27,M$2-1+1)+Eras!$D$5*INDEX(Curves!$C$50:$BV$50,M$2-1+1))</f>
        <v/>
      </c>
      <c r="N6" s="5">
        <f>$B6*(Eras!$D$3*INDEX(Curves!$C$4:$BV$4,N$2-1+1)+Eras!$D$4*INDEX(Curves!$C$27:$BV$27,N$2-1+1)+Eras!$D$5*INDEX(Curves!$C$50:$BV$50,N$2-1+1))</f>
        <v/>
      </c>
      <c r="O6" s="5">
        <f>$B6*(Eras!$D$3*INDEX(Curves!$C$4:$BV$4,O$2-1+1)+Eras!$D$4*INDEX(Curves!$C$27:$BV$27,O$2-1+1)+Eras!$D$5*INDEX(Curves!$C$50:$BV$50,O$2-1+1))</f>
        <v/>
      </c>
      <c r="P6" s="5">
        <f>$B6*(Eras!$D$3*INDEX(Curves!$C$4:$BV$4,P$2-1+1)+Eras!$D$4*INDEX(Curves!$C$27:$BV$27,P$2-1+1)+Eras!$D$5*INDEX(Curves!$C$50:$BV$50,P$2-1+1))</f>
        <v/>
      </c>
      <c r="Q6" s="5">
        <f>$B6*(Eras!$D$3*INDEX(Curves!$C$4:$BV$4,Q$2-1+1)+Eras!$D$4*INDEX(Curves!$C$27:$BV$27,Q$2-1+1)+Eras!$D$5*INDEX(Curves!$C$50:$BV$50,Q$2-1+1))</f>
        <v/>
      </c>
      <c r="R6" s="5">
        <f>$B6*(Eras!$D$3*INDEX(Curves!$C$4:$BV$4,R$2-1+1)+Eras!$D$4*INDEX(Curves!$C$27:$BV$27,R$2-1+1)+Eras!$D$5*INDEX(Curves!$C$50:$BV$50,R$2-1+1))</f>
        <v/>
      </c>
      <c r="S6" s="5">
        <f>$B6*(Eras!$D$3*INDEX(Curves!$C$4:$BV$4,S$2-1+1)+Eras!$D$4*INDEX(Curves!$C$27:$BV$27,S$2-1+1)+Eras!$D$5*INDEX(Curves!$C$50:$BV$50,S$2-1+1))</f>
        <v/>
      </c>
      <c r="T6" s="5">
        <f>$B6*(Eras!$D$3*INDEX(Curves!$C$4:$BV$4,T$2-1+1)+Eras!$D$4*INDEX(Curves!$C$27:$BV$27,T$2-1+1)+Eras!$D$5*INDEX(Curves!$C$50:$BV$50,T$2-1+1))</f>
        <v/>
      </c>
      <c r="U6" s="5">
        <f>$B6*(Eras!$D$3*INDEX(Curves!$C$4:$BV$4,U$2-1+1)+Eras!$D$4*INDEX(Curves!$C$27:$BV$27,U$2-1+1)+Eras!$D$5*INDEX(Curves!$C$50:$BV$50,U$2-1+1))</f>
        <v/>
      </c>
      <c r="V6" s="5">
        <f>$B6*(Eras!$D$3*INDEX(Curves!$C$4:$BV$4,V$2-1+1)+Eras!$D$4*INDEX(Curves!$C$27:$BV$27,V$2-1+1)+Eras!$D$5*INDEX(Curves!$C$50:$BV$50,V$2-1+1))</f>
        <v/>
      </c>
      <c r="W6" s="5">
        <f>$B6*(Eras!$D$3*INDEX(Curves!$C$4:$BV$4,W$2-1+1)+Eras!$D$4*INDEX(Curves!$C$27:$BV$27,W$2-1+1)+Eras!$D$5*INDEX(Curves!$C$50:$BV$50,W$2-1+1))</f>
        <v/>
      </c>
      <c r="X6" s="5">
        <f>$B6*(Eras!$D$3*INDEX(Curves!$C$4:$BV$4,X$2-1+1)+Eras!$D$4*INDEX(Curves!$C$27:$BV$27,X$2-1+1)+Eras!$D$5*INDEX(Curves!$C$50:$BV$50,X$2-1+1))</f>
        <v/>
      </c>
      <c r="Y6" s="5">
        <f>$B6*(Eras!$D$3*INDEX(Curves!$C$4:$BV$4,Y$2-1+1)+Eras!$D$4*INDEX(Curves!$C$27:$BV$27,Y$2-1+1)+Eras!$D$5*INDEX(Curves!$C$50:$BV$50,Y$2-1+1))</f>
        <v/>
      </c>
      <c r="Z6" s="5">
        <f>$B6*(Eras!$D$3*INDEX(Curves!$C$4:$BV$4,Z$2-1+1)+Eras!$D$4*INDEX(Curves!$C$27:$BV$27,Z$2-1+1)+Eras!$D$5*INDEX(Curves!$C$50:$BV$50,Z$2-1+1))</f>
        <v/>
      </c>
      <c r="AA6" s="5">
        <f>$B6*(Eras!$D$3*INDEX(Curves!$C$4:$BV$4,AA$2-1+1)+Eras!$D$4*INDEX(Curves!$C$27:$BV$27,AA$2-1+1)+Eras!$D$5*INDEX(Curves!$C$50:$BV$50,AA$2-1+1))</f>
        <v/>
      </c>
      <c r="AB6" s="5">
        <f>$B6*(Eras!$D$3*INDEX(Curves!$C$4:$BV$4,AB$2-1+1)+Eras!$D$4*INDEX(Curves!$C$27:$BV$27,AB$2-1+1)+Eras!$D$5*INDEX(Curves!$C$50:$BV$50,AB$2-1+1))</f>
        <v/>
      </c>
      <c r="AC6" s="5">
        <f>$B6*(Eras!$D$3*INDEX(Curves!$C$4:$BV$4,AC$2-1+1)+Eras!$D$4*INDEX(Curves!$C$27:$BV$27,AC$2-1+1)+Eras!$D$5*INDEX(Curves!$C$50:$BV$50,AC$2-1+1))</f>
        <v/>
      </c>
      <c r="AD6" s="5">
        <f>$B6*(Eras!$D$3*INDEX(Curves!$C$4:$BV$4,AD$2-1+1)+Eras!$D$4*INDEX(Curves!$C$27:$BV$27,AD$2-1+1)+Eras!$D$5*INDEX(Curves!$C$50:$BV$50,AD$2-1+1))</f>
        <v/>
      </c>
      <c r="AE6" s="5">
        <f>$B6*(Eras!$D$3*INDEX(Curves!$C$4:$BV$4,AE$2-1+1)+Eras!$D$4*INDEX(Curves!$C$27:$BV$27,AE$2-1+1)+Eras!$D$5*INDEX(Curves!$C$50:$BV$50,AE$2-1+1))</f>
        <v/>
      </c>
      <c r="AF6" s="5">
        <f>$B6*(Eras!$D$3*INDEX(Curves!$C$4:$BV$4,AF$2-1+1)+Eras!$D$4*INDEX(Curves!$C$27:$BV$27,AF$2-1+1)+Eras!$D$5*INDEX(Curves!$C$50:$BV$50,AF$2-1+1))</f>
        <v/>
      </c>
      <c r="AG6" s="5">
        <f>$B6*(Eras!$D$3*INDEX(Curves!$C$4:$BV$4,AG$2-1+1)+Eras!$D$4*INDEX(Curves!$C$27:$BV$27,AG$2-1+1)+Eras!$D$5*INDEX(Curves!$C$50:$BV$50,AG$2-1+1))</f>
        <v/>
      </c>
      <c r="AH6" s="5">
        <f>$B6*(Eras!$D$3*INDEX(Curves!$C$4:$BV$4,AH$2-1+1)+Eras!$D$4*INDEX(Curves!$C$27:$BV$27,AH$2-1+1)+Eras!$D$5*INDEX(Curves!$C$50:$BV$50,AH$2-1+1))</f>
        <v/>
      </c>
      <c r="AI6" s="5">
        <f>$B6*(Eras!$D$3*INDEX(Curves!$C$4:$BV$4,AI$2-1+1)+Eras!$D$4*INDEX(Curves!$C$27:$BV$27,AI$2-1+1)+Eras!$D$5*INDEX(Curves!$C$50:$BV$50,AI$2-1+1))</f>
        <v/>
      </c>
      <c r="AJ6" s="5">
        <f>$B6*(Eras!$D$3*INDEX(Curves!$C$4:$BV$4,AJ$2-1+1)+Eras!$D$4*INDEX(Curves!$C$27:$BV$27,AJ$2-1+1)+Eras!$D$5*INDEX(Curves!$C$50:$BV$50,AJ$2-1+1))</f>
        <v/>
      </c>
      <c r="AK6" s="5">
        <f>$B6*(Eras!$D$3*INDEX(Curves!$C$4:$BV$4,AK$2-1+1)+Eras!$D$4*INDEX(Curves!$C$27:$BV$27,AK$2-1+1)+Eras!$D$5*INDEX(Curves!$C$50:$BV$50,AK$2-1+1))</f>
        <v/>
      </c>
      <c r="AL6" s="5">
        <f>$B6*(Eras!$D$3*INDEX(Curves!$C$4:$BV$4,AL$2-1+1)+Eras!$D$4*INDEX(Curves!$C$27:$BV$27,AL$2-1+1)+Eras!$D$5*INDEX(Curves!$C$50:$BV$50,AL$2-1+1))</f>
        <v/>
      </c>
      <c r="AM6" s="5">
        <f>$B6*(Eras!$D$3*INDEX(Curves!$C$4:$BV$4,AM$2-1+1)+Eras!$D$4*INDEX(Curves!$C$27:$BV$27,AM$2-1+1)+Eras!$D$5*INDEX(Curves!$C$50:$BV$50,AM$2-1+1))</f>
        <v/>
      </c>
      <c r="AN6" s="5">
        <f>$B6*(Eras!$D$3*INDEX(Curves!$C$4:$BV$4,AN$2-1+1)+Eras!$D$4*INDEX(Curves!$C$27:$BV$27,AN$2-1+1)+Eras!$D$5*INDEX(Curves!$C$50:$BV$50,AN$2-1+1))</f>
        <v/>
      </c>
      <c r="AO6" s="5">
        <f>$B6*(Eras!$D$3*INDEX(Curves!$C$4:$BV$4,AO$2-1+1)+Eras!$D$4*INDEX(Curves!$C$27:$BV$27,AO$2-1+1)+Eras!$D$5*INDEX(Curves!$C$50:$BV$50,AO$2-1+1))</f>
        <v/>
      </c>
      <c r="AP6" s="5">
        <f>$B6*(Eras!$D$3*INDEX(Curves!$C$4:$BV$4,AP$2-1+1)+Eras!$D$4*INDEX(Curves!$C$27:$BV$27,AP$2-1+1)+Eras!$D$5*INDEX(Curves!$C$50:$BV$50,AP$2-1+1))</f>
        <v/>
      </c>
      <c r="AQ6" s="5">
        <f>$B6*(Eras!$D$3*INDEX(Curves!$C$4:$BV$4,AQ$2-1+1)+Eras!$D$4*INDEX(Curves!$C$27:$BV$27,AQ$2-1+1)+Eras!$D$5*INDEX(Curves!$C$50:$BV$50,AQ$2-1+1))</f>
        <v/>
      </c>
      <c r="AR6" s="5">
        <f>$B6*(Eras!$D$3*INDEX(Curves!$C$4:$BV$4,AR$2-1+1)+Eras!$D$4*INDEX(Curves!$C$27:$BV$27,AR$2-1+1)+Eras!$D$5*INDEX(Curves!$C$50:$BV$50,AR$2-1+1))</f>
        <v/>
      </c>
      <c r="AS6" s="5">
        <f>$B6*(Eras!$D$3*INDEX(Curves!$C$4:$BV$4,AS$2-1+1)+Eras!$D$4*INDEX(Curves!$C$27:$BV$27,AS$2-1+1)+Eras!$D$5*INDEX(Curves!$C$50:$BV$50,AS$2-1+1))</f>
        <v/>
      </c>
      <c r="AT6" s="5">
        <f>$B6*(Eras!$D$3*INDEX(Curves!$C$4:$BV$4,AT$2-1+1)+Eras!$D$4*INDEX(Curves!$C$27:$BV$27,AT$2-1+1)+Eras!$D$5*INDEX(Curves!$C$50:$BV$50,AT$2-1+1))</f>
        <v/>
      </c>
      <c r="AU6" s="5">
        <f>$B6*(Eras!$D$3*INDEX(Curves!$C$4:$BV$4,AU$2-1+1)+Eras!$D$4*INDEX(Curves!$C$27:$BV$27,AU$2-1+1)+Eras!$D$5*INDEX(Curves!$C$50:$BV$50,AU$2-1+1))</f>
        <v/>
      </c>
      <c r="AV6" s="5">
        <f>$B6*(Eras!$D$3*INDEX(Curves!$C$4:$BV$4,AV$2-1+1)+Eras!$D$4*INDEX(Curves!$C$27:$BV$27,AV$2-1+1)+Eras!$D$5*INDEX(Curves!$C$50:$BV$50,AV$2-1+1))</f>
        <v/>
      </c>
      <c r="AW6" s="5">
        <f>$B6*(Eras!$D$3*INDEX(Curves!$C$4:$BV$4,AW$2-1+1)+Eras!$D$4*INDEX(Curves!$C$27:$BV$27,AW$2-1+1)+Eras!$D$5*INDEX(Curves!$C$50:$BV$50,AW$2-1+1))</f>
        <v/>
      </c>
      <c r="AX6" s="5">
        <f>$B6*(Eras!$D$3*INDEX(Curves!$C$4:$BV$4,AX$2-1+1)+Eras!$D$4*INDEX(Curves!$C$27:$BV$27,AX$2-1+1)+Eras!$D$5*INDEX(Curves!$C$50:$BV$50,AX$2-1+1))</f>
        <v/>
      </c>
      <c r="AY6" s="5">
        <f>$B6*(Eras!$D$3*INDEX(Curves!$C$4:$BV$4,AY$2-1+1)+Eras!$D$4*INDEX(Curves!$C$27:$BV$27,AY$2-1+1)+Eras!$D$5*INDEX(Curves!$C$50:$BV$50,AY$2-1+1))</f>
        <v/>
      </c>
      <c r="AZ6" s="5">
        <f>$B6*(Eras!$D$3*INDEX(Curves!$C$4:$BV$4,AZ$2-1+1)+Eras!$D$4*INDEX(Curves!$C$27:$BV$27,AZ$2-1+1)+Eras!$D$5*INDEX(Curves!$C$50:$BV$50,AZ$2-1+1))</f>
        <v/>
      </c>
      <c r="BA6" s="5">
        <f>$B6*(Eras!$D$3*INDEX(Curves!$C$4:$BV$4,BA$2-1+1)+Eras!$D$4*INDEX(Curves!$C$27:$BV$27,BA$2-1+1)+Eras!$D$5*INDEX(Curves!$C$50:$BV$50,BA$2-1+1))</f>
        <v/>
      </c>
      <c r="BB6" s="5">
        <f>$B6*(Eras!$D$3*INDEX(Curves!$C$4:$BV$4,BB$2-1+1)+Eras!$D$4*INDEX(Curves!$C$27:$BV$27,BB$2-1+1)+Eras!$D$5*INDEX(Curves!$C$50:$BV$50,BB$2-1+1))</f>
        <v/>
      </c>
      <c r="BC6" s="5">
        <f>$B6*(Eras!$D$3*INDEX(Curves!$C$4:$BV$4,BC$2-1+1)+Eras!$D$4*INDEX(Curves!$C$27:$BV$27,BC$2-1+1)+Eras!$D$5*INDEX(Curves!$C$50:$BV$50,BC$2-1+1))</f>
        <v/>
      </c>
      <c r="BD6" s="5">
        <f>$B6*(Eras!$D$3*INDEX(Curves!$C$4:$BV$4,BD$2-1+1)+Eras!$D$4*INDEX(Curves!$C$27:$BV$27,BD$2-1+1)+Eras!$D$5*INDEX(Curves!$C$50:$BV$50,BD$2-1+1))</f>
        <v/>
      </c>
      <c r="BE6" s="5">
        <f>$B6*(Eras!$D$3*INDEX(Curves!$C$4:$BV$4,BE$2-1+1)+Eras!$D$4*INDEX(Curves!$C$27:$BV$27,BE$2-1+1)+Eras!$D$5*INDEX(Curves!$C$50:$BV$50,BE$2-1+1))</f>
        <v/>
      </c>
      <c r="BF6" s="5">
        <f>$B6*(Eras!$D$3*INDEX(Curves!$C$4:$BV$4,BF$2-1+1)+Eras!$D$4*INDEX(Curves!$C$27:$BV$27,BF$2-1+1)+Eras!$D$5*INDEX(Curves!$C$50:$BV$50,BF$2-1+1))</f>
        <v/>
      </c>
      <c r="BG6" s="5">
        <f>$B6*(Eras!$D$3*INDEX(Curves!$C$4:$BV$4,BG$2-1+1)+Eras!$D$4*INDEX(Curves!$C$27:$BV$27,BG$2-1+1)+Eras!$D$5*INDEX(Curves!$C$50:$BV$50,BG$2-1+1))</f>
        <v/>
      </c>
      <c r="BH6" s="5">
        <f>$B6*(Eras!$D$3*INDEX(Curves!$C$4:$BV$4,BH$2-1+1)+Eras!$D$4*INDEX(Curves!$C$27:$BV$27,BH$2-1+1)+Eras!$D$5*INDEX(Curves!$C$50:$BV$50,BH$2-1+1))</f>
        <v/>
      </c>
      <c r="BI6" s="5">
        <f>$B6*(Eras!$D$3*INDEX(Curves!$C$4:$BV$4,BI$2-1+1)+Eras!$D$4*INDEX(Curves!$C$27:$BV$27,BI$2-1+1)+Eras!$D$5*INDEX(Curves!$C$50:$BV$50,BI$2-1+1))</f>
        <v/>
      </c>
      <c r="BJ6" s="5">
        <f>$B6*(Eras!$D$3*INDEX(Curves!$C$4:$BV$4,BJ$2-1+1)+Eras!$D$4*INDEX(Curves!$C$27:$BV$27,BJ$2-1+1)+Eras!$D$5*INDEX(Curves!$C$50:$BV$50,BJ$2-1+1))</f>
        <v/>
      </c>
      <c r="BK6" s="5">
        <f>$B6*(Eras!$D$3*INDEX(Curves!$C$4:$BV$4,BK$2-1+1)+Eras!$D$4*INDEX(Curves!$C$27:$BV$27,BK$2-1+1)+Eras!$D$5*INDEX(Curves!$C$50:$BV$50,BK$2-1+1))</f>
        <v/>
      </c>
      <c r="BL6" s="5">
        <f>$B6*(Eras!$D$3*INDEX(Curves!$C$4:$BV$4,BL$2-1+1)+Eras!$D$4*INDEX(Curves!$C$27:$BV$27,BL$2-1+1)+Eras!$D$5*INDEX(Curves!$C$50:$BV$50,BL$2-1+1))</f>
        <v/>
      </c>
      <c r="BM6" s="5">
        <f>$B6*(Eras!$D$3*INDEX(Curves!$C$4:$BV$4,BM$2-1+1)+Eras!$D$4*INDEX(Curves!$C$27:$BV$27,BM$2-1+1)+Eras!$D$5*INDEX(Curves!$C$50:$BV$50,BM$2-1+1))</f>
        <v/>
      </c>
      <c r="BN6" s="5">
        <f>$B6*(Eras!$D$3*INDEX(Curves!$C$4:$BV$4,BN$2-1+1)+Eras!$D$4*INDEX(Curves!$C$27:$BV$27,BN$2-1+1)+Eras!$D$5*INDEX(Curves!$C$50:$BV$50,BN$2-1+1))</f>
        <v/>
      </c>
      <c r="BO6" s="5">
        <f>$B6*(Eras!$D$3*INDEX(Curves!$C$4:$BV$4,BO$2-1+1)+Eras!$D$4*INDEX(Curves!$C$27:$BV$27,BO$2-1+1)+Eras!$D$5*INDEX(Curves!$C$50:$BV$50,BO$2-1+1))</f>
        <v/>
      </c>
      <c r="BP6" s="5">
        <f>$B6*(Eras!$D$3*INDEX(Curves!$C$4:$BV$4,BP$2-1+1)+Eras!$D$4*INDEX(Curves!$C$27:$BV$27,BP$2-1+1)+Eras!$D$5*INDEX(Curves!$C$50:$BV$50,BP$2-1+1))</f>
        <v/>
      </c>
      <c r="BQ6" s="5">
        <f>$B6*(Eras!$D$3*INDEX(Curves!$C$4:$BV$4,BQ$2-1+1)+Eras!$D$4*INDEX(Curves!$C$27:$BV$27,BQ$2-1+1)+Eras!$D$5*INDEX(Curves!$C$50:$BV$50,BQ$2-1+1))</f>
        <v/>
      </c>
      <c r="BR6" s="5">
        <f>$B6*(Eras!$D$3*INDEX(Curves!$C$4:$BV$4,BR$2-1+1)+Eras!$D$4*INDEX(Curves!$C$27:$BV$27,BR$2-1+1)+Eras!$D$5*INDEX(Curves!$C$50:$BV$50,BR$2-1+1))</f>
        <v/>
      </c>
      <c r="BS6" s="5">
        <f>$B6*(Eras!$D$3*INDEX(Curves!$C$4:$BV$4,BS$2-1+1)+Eras!$D$4*INDEX(Curves!$C$27:$BV$27,BS$2-1+1)+Eras!$D$5*INDEX(Curves!$C$50:$BV$50,BS$2-1+1))</f>
        <v/>
      </c>
      <c r="BT6" s="5">
        <f>$B6*(Eras!$D$3*INDEX(Curves!$C$4:$BV$4,BT$2-1+1)+Eras!$D$4*INDEX(Curves!$C$27:$BV$27,BT$2-1+1)+Eras!$D$5*INDEX(Curves!$C$50:$BV$50,BT$2-1+1))</f>
        <v/>
      </c>
      <c r="BU6" s="5">
        <f>$B6*(Eras!$D$3*INDEX(Curves!$C$4:$BV$4,BU$2-1+1)+Eras!$D$4*INDEX(Curves!$C$27:$BV$27,BU$2-1+1)+Eras!$D$5*INDEX(Curves!$C$50:$BV$50,BU$2-1+1))</f>
        <v/>
      </c>
      <c r="BV6" s="5">
        <f>$B6*(Eras!$D$3*INDEX(Curves!$C$4:$BV$4,BV$2-1+1)+Eras!$D$4*INDEX(Curves!$C$27:$BV$27,BV$2-1+1)+Eras!$D$5*INDEX(Curves!$C$50:$BV$50,BV$2-1+1))</f>
        <v/>
      </c>
    </row>
    <row r="7">
      <c r="A7" t="inlineStr">
        <is>
          <t>cohort 2025-03</t>
        </is>
      </c>
      <c r="B7" s="5">
        <f>INDEX(Adds!$C$13:$BV$13,3)</f>
        <v/>
      </c>
      <c r="E7" s="5">
        <f>$B7*(Eras!$E$3*INDEX(Curves!$C$4:$BV$4,E$2-2+1)+Eras!$E$4*INDEX(Curves!$C$27:$BV$27,E$2-2+1)+Eras!$E$5*INDEX(Curves!$C$50:$BV$50,E$2-2+1))</f>
        <v/>
      </c>
      <c r="F7" s="5">
        <f>$B7*(Eras!$E$3*INDEX(Curves!$C$4:$BV$4,F$2-2+1)+Eras!$E$4*INDEX(Curves!$C$27:$BV$27,F$2-2+1)+Eras!$E$5*INDEX(Curves!$C$50:$BV$50,F$2-2+1))</f>
        <v/>
      </c>
      <c r="G7" s="5">
        <f>$B7*(Eras!$E$3*INDEX(Curves!$C$4:$BV$4,G$2-2+1)+Eras!$E$4*INDEX(Curves!$C$27:$BV$27,G$2-2+1)+Eras!$E$5*INDEX(Curves!$C$50:$BV$50,G$2-2+1))</f>
        <v/>
      </c>
      <c r="H7" s="5">
        <f>$B7*(Eras!$E$3*INDEX(Curves!$C$4:$BV$4,H$2-2+1)+Eras!$E$4*INDEX(Curves!$C$27:$BV$27,H$2-2+1)+Eras!$E$5*INDEX(Curves!$C$50:$BV$50,H$2-2+1))</f>
        <v/>
      </c>
      <c r="I7" s="5">
        <f>$B7*(Eras!$E$3*INDEX(Curves!$C$4:$BV$4,I$2-2+1)+Eras!$E$4*INDEX(Curves!$C$27:$BV$27,I$2-2+1)+Eras!$E$5*INDEX(Curves!$C$50:$BV$50,I$2-2+1))</f>
        <v/>
      </c>
      <c r="J7" s="5">
        <f>$B7*(Eras!$E$3*INDEX(Curves!$C$4:$BV$4,J$2-2+1)+Eras!$E$4*INDEX(Curves!$C$27:$BV$27,J$2-2+1)+Eras!$E$5*INDEX(Curves!$C$50:$BV$50,J$2-2+1))</f>
        <v/>
      </c>
      <c r="K7" s="5">
        <f>$B7*(Eras!$E$3*INDEX(Curves!$C$4:$BV$4,K$2-2+1)+Eras!$E$4*INDEX(Curves!$C$27:$BV$27,K$2-2+1)+Eras!$E$5*INDEX(Curves!$C$50:$BV$50,K$2-2+1))</f>
        <v/>
      </c>
      <c r="L7" s="5">
        <f>$B7*(Eras!$E$3*INDEX(Curves!$C$4:$BV$4,L$2-2+1)+Eras!$E$4*INDEX(Curves!$C$27:$BV$27,L$2-2+1)+Eras!$E$5*INDEX(Curves!$C$50:$BV$50,L$2-2+1))</f>
        <v/>
      </c>
      <c r="M7" s="5">
        <f>$B7*(Eras!$E$3*INDEX(Curves!$C$4:$BV$4,M$2-2+1)+Eras!$E$4*INDEX(Curves!$C$27:$BV$27,M$2-2+1)+Eras!$E$5*INDEX(Curves!$C$50:$BV$50,M$2-2+1))</f>
        <v/>
      </c>
      <c r="N7" s="5">
        <f>$B7*(Eras!$E$3*INDEX(Curves!$C$4:$BV$4,N$2-2+1)+Eras!$E$4*INDEX(Curves!$C$27:$BV$27,N$2-2+1)+Eras!$E$5*INDEX(Curves!$C$50:$BV$50,N$2-2+1))</f>
        <v/>
      </c>
      <c r="O7" s="5">
        <f>$B7*(Eras!$E$3*INDEX(Curves!$C$4:$BV$4,O$2-2+1)+Eras!$E$4*INDEX(Curves!$C$27:$BV$27,O$2-2+1)+Eras!$E$5*INDEX(Curves!$C$50:$BV$50,O$2-2+1))</f>
        <v/>
      </c>
      <c r="P7" s="5">
        <f>$B7*(Eras!$E$3*INDEX(Curves!$C$4:$BV$4,P$2-2+1)+Eras!$E$4*INDEX(Curves!$C$27:$BV$27,P$2-2+1)+Eras!$E$5*INDEX(Curves!$C$50:$BV$50,P$2-2+1))</f>
        <v/>
      </c>
      <c r="Q7" s="5">
        <f>$B7*(Eras!$E$3*INDEX(Curves!$C$4:$BV$4,Q$2-2+1)+Eras!$E$4*INDEX(Curves!$C$27:$BV$27,Q$2-2+1)+Eras!$E$5*INDEX(Curves!$C$50:$BV$50,Q$2-2+1))</f>
        <v/>
      </c>
      <c r="R7" s="5">
        <f>$B7*(Eras!$E$3*INDEX(Curves!$C$4:$BV$4,R$2-2+1)+Eras!$E$4*INDEX(Curves!$C$27:$BV$27,R$2-2+1)+Eras!$E$5*INDEX(Curves!$C$50:$BV$50,R$2-2+1))</f>
        <v/>
      </c>
      <c r="S7" s="5">
        <f>$B7*(Eras!$E$3*INDEX(Curves!$C$4:$BV$4,S$2-2+1)+Eras!$E$4*INDEX(Curves!$C$27:$BV$27,S$2-2+1)+Eras!$E$5*INDEX(Curves!$C$50:$BV$50,S$2-2+1))</f>
        <v/>
      </c>
      <c r="T7" s="5">
        <f>$B7*(Eras!$E$3*INDEX(Curves!$C$4:$BV$4,T$2-2+1)+Eras!$E$4*INDEX(Curves!$C$27:$BV$27,T$2-2+1)+Eras!$E$5*INDEX(Curves!$C$50:$BV$50,T$2-2+1))</f>
        <v/>
      </c>
      <c r="U7" s="5">
        <f>$B7*(Eras!$E$3*INDEX(Curves!$C$4:$BV$4,U$2-2+1)+Eras!$E$4*INDEX(Curves!$C$27:$BV$27,U$2-2+1)+Eras!$E$5*INDEX(Curves!$C$50:$BV$50,U$2-2+1))</f>
        <v/>
      </c>
      <c r="V7" s="5">
        <f>$B7*(Eras!$E$3*INDEX(Curves!$C$4:$BV$4,V$2-2+1)+Eras!$E$4*INDEX(Curves!$C$27:$BV$27,V$2-2+1)+Eras!$E$5*INDEX(Curves!$C$50:$BV$50,V$2-2+1))</f>
        <v/>
      </c>
      <c r="W7" s="5">
        <f>$B7*(Eras!$E$3*INDEX(Curves!$C$4:$BV$4,W$2-2+1)+Eras!$E$4*INDEX(Curves!$C$27:$BV$27,W$2-2+1)+Eras!$E$5*INDEX(Curves!$C$50:$BV$50,W$2-2+1))</f>
        <v/>
      </c>
      <c r="X7" s="5">
        <f>$B7*(Eras!$E$3*INDEX(Curves!$C$4:$BV$4,X$2-2+1)+Eras!$E$4*INDEX(Curves!$C$27:$BV$27,X$2-2+1)+Eras!$E$5*INDEX(Curves!$C$50:$BV$50,X$2-2+1))</f>
        <v/>
      </c>
      <c r="Y7" s="5">
        <f>$B7*(Eras!$E$3*INDEX(Curves!$C$4:$BV$4,Y$2-2+1)+Eras!$E$4*INDEX(Curves!$C$27:$BV$27,Y$2-2+1)+Eras!$E$5*INDEX(Curves!$C$50:$BV$50,Y$2-2+1))</f>
        <v/>
      </c>
      <c r="Z7" s="5">
        <f>$B7*(Eras!$E$3*INDEX(Curves!$C$4:$BV$4,Z$2-2+1)+Eras!$E$4*INDEX(Curves!$C$27:$BV$27,Z$2-2+1)+Eras!$E$5*INDEX(Curves!$C$50:$BV$50,Z$2-2+1))</f>
        <v/>
      </c>
      <c r="AA7" s="5">
        <f>$B7*(Eras!$E$3*INDEX(Curves!$C$4:$BV$4,AA$2-2+1)+Eras!$E$4*INDEX(Curves!$C$27:$BV$27,AA$2-2+1)+Eras!$E$5*INDEX(Curves!$C$50:$BV$50,AA$2-2+1))</f>
        <v/>
      </c>
      <c r="AB7" s="5">
        <f>$B7*(Eras!$E$3*INDEX(Curves!$C$4:$BV$4,AB$2-2+1)+Eras!$E$4*INDEX(Curves!$C$27:$BV$27,AB$2-2+1)+Eras!$E$5*INDEX(Curves!$C$50:$BV$50,AB$2-2+1))</f>
        <v/>
      </c>
      <c r="AC7" s="5">
        <f>$B7*(Eras!$E$3*INDEX(Curves!$C$4:$BV$4,AC$2-2+1)+Eras!$E$4*INDEX(Curves!$C$27:$BV$27,AC$2-2+1)+Eras!$E$5*INDEX(Curves!$C$50:$BV$50,AC$2-2+1))</f>
        <v/>
      </c>
      <c r="AD7" s="5">
        <f>$B7*(Eras!$E$3*INDEX(Curves!$C$4:$BV$4,AD$2-2+1)+Eras!$E$4*INDEX(Curves!$C$27:$BV$27,AD$2-2+1)+Eras!$E$5*INDEX(Curves!$C$50:$BV$50,AD$2-2+1))</f>
        <v/>
      </c>
      <c r="AE7" s="5">
        <f>$B7*(Eras!$E$3*INDEX(Curves!$C$4:$BV$4,AE$2-2+1)+Eras!$E$4*INDEX(Curves!$C$27:$BV$27,AE$2-2+1)+Eras!$E$5*INDEX(Curves!$C$50:$BV$50,AE$2-2+1))</f>
        <v/>
      </c>
      <c r="AF7" s="5">
        <f>$B7*(Eras!$E$3*INDEX(Curves!$C$4:$BV$4,AF$2-2+1)+Eras!$E$4*INDEX(Curves!$C$27:$BV$27,AF$2-2+1)+Eras!$E$5*INDEX(Curves!$C$50:$BV$50,AF$2-2+1))</f>
        <v/>
      </c>
      <c r="AG7" s="5">
        <f>$B7*(Eras!$E$3*INDEX(Curves!$C$4:$BV$4,AG$2-2+1)+Eras!$E$4*INDEX(Curves!$C$27:$BV$27,AG$2-2+1)+Eras!$E$5*INDEX(Curves!$C$50:$BV$50,AG$2-2+1))</f>
        <v/>
      </c>
      <c r="AH7" s="5">
        <f>$B7*(Eras!$E$3*INDEX(Curves!$C$4:$BV$4,AH$2-2+1)+Eras!$E$4*INDEX(Curves!$C$27:$BV$27,AH$2-2+1)+Eras!$E$5*INDEX(Curves!$C$50:$BV$50,AH$2-2+1))</f>
        <v/>
      </c>
      <c r="AI7" s="5">
        <f>$B7*(Eras!$E$3*INDEX(Curves!$C$4:$BV$4,AI$2-2+1)+Eras!$E$4*INDEX(Curves!$C$27:$BV$27,AI$2-2+1)+Eras!$E$5*INDEX(Curves!$C$50:$BV$50,AI$2-2+1))</f>
        <v/>
      </c>
      <c r="AJ7" s="5">
        <f>$B7*(Eras!$E$3*INDEX(Curves!$C$4:$BV$4,AJ$2-2+1)+Eras!$E$4*INDEX(Curves!$C$27:$BV$27,AJ$2-2+1)+Eras!$E$5*INDEX(Curves!$C$50:$BV$50,AJ$2-2+1))</f>
        <v/>
      </c>
      <c r="AK7" s="5">
        <f>$B7*(Eras!$E$3*INDEX(Curves!$C$4:$BV$4,AK$2-2+1)+Eras!$E$4*INDEX(Curves!$C$27:$BV$27,AK$2-2+1)+Eras!$E$5*INDEX(Curves!$C$50:$BV$50,AK$2-2+1))</f>
        <v/>
      </c>
      <c r="AL7" s="5">
        <f>$B7*(Eras!$E$3*INDEX(Curves!$C$4:$BV$4,AL$2-2+1)+Eras!$E$4*INDEX(Curves!$C$27:$BV$27,AL$2-2+1)+Eras!$E$5*INDEX(Curves!$C$50:$BV$50,AL$2-2+1))</f>
        <v/>
      </c>
      <c r="AM7" s="5">
        <f>$B7*(Eras!$E$3*INDEX(Curves!$C$4:$BV$4,AM$2-2+1)+Eras!$E$4*INDEX(Curves!$C$27:$BV$27,AM$2-2+1)+Eras!$E$5*INDEX(Curves!$C$50:$BV$50,AM$2-2+1))</f>
        <v/>
      </c>
      <c r="AN7" s="5">
        <f>$B7*(Eras!$E$3*INDEX(Curves!$C$4:$BV$4,AN$2-2+1)+Eras!$E$4*INDEX(Curves!$C$27:$BV$27,AN$2-2+1)+Eras!$E$5*INDEX(Curves!$C$50:$BV$50,AN$2-2+1))</f>
        <v/>
      </c>
      <c r="AO7" s="5">
        <f>$B7*(Eras!$E$3*INDEX(Curves!$C$4:$BV$4,AO$2-2+1)+Eras!$E$4*INDEX(Curves!$C$27:$BV$27,AO$2-2+1)+Eras!$E$5*INDEX(Curves!$C$50:$BV$50,AO$2-2+1))</f>
        <v/>
      </c>
      <c r="AP7" s="5">
        <f>$B7*(Eras!$E$3*INDEX(Curves!$C$4:$BV$4,AP$2-2+1)+Eras!$E$4*INDEX(Curves!$C$27:$BV$27,AP$2-2+1)+Eras!$E$5*INDEX(Curves!$C$50:$BV$50,AP$2-2+1))</f>
        <v/>
      </c>
      <c r="AQ7" s="5">
        <f>$B7*(Eras!$E$3*INDEX(Curves!$C$4:$BV$4,AQ$2-2+1)+Eras!$E$4*INDEX(Curves!$C$27:$BV$27,AQ$2-2+1)+Eras!$E$5*INDEX(Curves!$C$50:$BV$50,AQ$2-2+1))</f>
        <v/>
      </c>
      <c r="AR7" s="5">
        <f>$B7*(Eras!$E$3*INDEX(Curves!$C$4:$BV$4,AR$2-2+1)+Eras!$E$4*INDEX(Curves!$C$27:$BV$27,AR$2-2+1)+Eras!$E$5*INDEX(Curves!$C$50:$BV$50,AR$2-2+1))</f>
        <v/>
      </c>
      <c r="AS7" s="5">
        <f>$B7*(Eras!$E$3*INDEX(Curves!$C$4:$BV$4,AS$2-2+1)+Eras!$E$4*INDEX(Curves!$C$27:$BV$27,AS$2-2+1)+Eras!$E$5*INDEX(Curves!$C$50:$BV$50,AS$2-2+1))</f>
        <v/>
      </c>
      <c r="AT7" s="5">
        <f>$B7*(Eras!$E$3*INDEX(Curves!$C$4:$BV$4,AT$2-2+1)+Eras!$E$4*INDEX(Curves!$C$27:$BV$27,AT$2-2+1)+Eras!$E$5*INDEX(Curves!$C$50:$BV$50,AT$2-2+1))</f>
        <v/>
      </c>
      <c r="AU7" s="5">
        <f>$B7*(Eras!$E$3*INDEX(Curves!$C$4:$BV$4,AU$2-2+1)+Eras!$E$4*INDEX(Curves!$C$27:$BV$27,AU$2-2+1)+Eras!$E$5*INDEX(Curves!$C$50:$BV$50,AU$2-2+1))</f>
        <v/>
      </c>
      <c r="AV7" s="5">
        <f>$B7*(Eras!$E$3*INDEX(Curves!$C$4:$BV$4,AV$2-2+1)+Eras!$E$4*INDEX(Curves!$C$27:$BV$27,AV$2-2+1)+Eras!$E$5*INDEX(Curves!$C$50:$BV$50,AV$2-2+1))</f>
        <v/>
      </c>
      <c r="AW7" s="5">
        <f>$B7*(Eras!$E$3*INDEX(Curves!$C$4:$BV$4,AW$2-2+1)+Eras!$E$4*INDEX(Curves!$C$27:$BV$27,AW$2-2+1)+Eras!$E$5*INDEX(Curves!$C$50:$BV$50,AW$2-2+1))</f>
        <v/>
      </c>
      <c r="AX7" s="5">
        <f>$B7*(Eras!$E$3*INDEX(Curves!$C$4:$BV$4,AX$2-2+1)+Eras!$E$4*INDEX(Curves!$C$27:$BV$27,AX$2-2+1)+Eras!$E$5*INDEX(Curves!$C$50:$BV$50,AX$2-2+1))</f>
        <v/>
      </c>
      <c r="AY7" s="5">
        <f>$B7*(Eras!$E$3*INDEX(Curves!$C$4:$BV$4,AY$2-2+1)+Eras!$E$4*INDEX(Curves!$C$27:$BV$27,AY$2-2+1)+Eras!$E$5*INDEX(Curves!$C$50:$BV$50,AY$2-2+1))</f>
        <v/>
      </c>
      <c r="AZ7" s="5">
        <f>$B7*(Eras!$E$3*INDEX(Curves!$C$4:$BV$4,AZ$2-2+1)+Eras!$E$4*INDEX(Curves!$C$27:$BV$27,AZ$2-2+1)+Eras!$E$5*INDEX(Curves!$C$50:$BV$50,AZ$2-2+1))</f>
        <v/>
      </c>
      <c r="BA7" s="5">
        <f>$B7*(Eras!$E$3*INDEX(Curves!$C$4:$BV$4,BA$2-2+1)+Eras!$E$4*INDEX(Curves!$C$27:$BV$27,BA$2-2+1)+Eras!$E$5*INDEX(Curves!$C$50:$BV$50,BA$2-2+1))</f>
        <v/>
      </c>
      <c r="BB7" s="5">
        <f>$B7*(Eras!$E$3*INDEX(Curves!$C$4:$BV$4,BB$2-2+1)+Eras!$E$4*INDEX(Curves!$C$27:$BV$27,BB$2-2+1)+Eras!$E$5*INDEX(Curves!$C$50:$BV$50,BB$2-2+1))</f>
        <v/>
      </c>
      <c r="BC7" s="5">
        <f>$B7*(Eras!$E$3*INDEX(Curves!$C$4:$BV$4,BC$2-2+1)+Eras!$E$4*INDEX(Curves!$C$27:$BV$27,BC$2-2+1)+Eras!$E$5*INDEX(Curves!$C$50:$BV$50,BC$2-2+1))</f>
        <v/>
      </c>
      <c r="BD7" s="5">
        <f>$B7*(Eras!$E$3*INDEX(Curves!$C$4:$BV$4,BD$2-2+1)+Eras!$E$4*INDEX(Curves!$C$27:$BV$27,BD$2-2+1)+Eras!$E$5*INDEX(Curves!$C$50:$BV$50,BD$2-2+1))</f>
        <v/>
      </c>
      <c r="BE7" s="5">
        <f>$B7*(Eras!$E$3*INDEX(Curves!$C$4:$BV$4,BE$2-2+1)+Eras!$E$4*INDEX(Curves!$C$27:$BV$27,BE$2-2+1)+Eras!$E$5*INDEX(Curves!$C$50:$BV$50,BE$2-2+1))</f>
        <v/>
      </c>
      <c r="BF7" s="5">
        <f>$B7*(Eras!$E$3*INDEX(Curves!$C$4:$BV$4,BF$2-2+1)+Eras!$E$4*INDEX(Curves!$C$27:$BV$27,BF$2-2+1)+Eras!$E$5*INDEX(Curves!$C$50:$BV$50,BF$2-2+1))</f>
        <v/>
      </c>
      <c r="BG7" s="5">
        <f>$B7*(Eras!$E$3*INDEX(Curves!$C$4:$BV$4,BG$2-2+1)+Eras!$E$4*INDEX(Curves!$C$27:$BV$27,BG$2-2+1)+Eras!$E$5*INDEX(Curves!$C$50:$BV$50,BG$2-2+1))</f>
        <v/>
      </c>
      <c r="BH7" s="5">
        <f>$B7*(Eras!$E$3*INDEX(Curves!$C$4:$BV$4,BH$2-2+1)+Eras!$E$4*INDEX(Curves!$C$27:$BV$27,BH$2-2+1)+Eras!$E$5*INDEX(Curves!$C$50:$BV$50,BH$2-2+1))</f>
        <v/>
      </c>
      <c r="BI7" s="5">
        <f>$B7*(Eras!$E$3*INDEX(Curves!$C$4:$BV$4,BI$2-2+1)+Eras!$E$4*INDEX(Curves!$C$27:$BV$27,BI$2-2+1)+Eras!$E$5*INDEX(Curves!$C$50:$BV$50,BI$2-2+1))</f>
        <v/>
      </c>
      <c r="BJ7" s="5">
        <f>$B7*(Eras!$E$3*INDEX(Curves!$C$4:$BV$4,BJ$2-2+1)+Eras!$E$4*INDEX(Curves!$C$27:$BV$27,BJ$2-2+1)+Eras!$E$5*INDEX(Curves!$C$50:$BV$50,BJ$2-2+1))</f>
        <v/>
      </c>
      <c r="BK7" s="5">
        <f>$B7*(Eras!$E$3*INDEX(Curves!$C$4:$BV$4,BK$2-2+1)+Eras!$E$4*INDEX(Curves!$C$27:$BV$27,BK$2-2+1)+Eras!$E$5*INDEX(Curves!$C$50:$BV$50,BK$2-2+1))</f>
        <v/>
      </c>
      <c r="BL7" s="5">
        <f>$B7*(Eras!$E$3*INDEX(Curves!$C$4:$BV$4,BL$2-2+1)+Eras!$E$4*INDEX(Curves!$C$27:$BV$27,BL$2-2+1)+Eras!$E$5*INDEX(Curves!$C$50:$BV$50,BL$2-2+1))</f>
        <v/>
      </c>
      <c r="BM7" s="5">
        <f>$B7*(Eras!$E$3*INDEX(Curves!$C$4:$BV$4,BM$2-2+1)+Eras!$E$4*INDEX(Curves!$C$27:$BV$27,BM$2-2+1)+Eras!$E$5*INDEX(Curves!$C$50:$BV$50,BM$2-2+1))</f>
        <v/>
      </c>
      <c r="BN7" s="5">
        <f>$B7*(Eras!$E$3*INDEX(Curves!$C$4:$BV$4,BN$2-2+1)+Eras!$E$4*INDEX(Curves!$C$27:$BV$27,BN$2-2+1)+Eras!$E$5*INDEX(Curves!$C$50:$BV$50,BN$2-2+1))</f>
        <v/>
      </c>
      <c r="BO7" s="5">
        <f>$B7*(Eras!$E$3*INDEX(Curves!$C$4:$BV$4,BO$2-2+1)+Eras!$E$4*INDEX(Curves!$C$27:$BV$27,BO$2-2+1)+Eras!$E$5*INDEX(Curves!$C$50:$BV$50,BO$2-2+1))</f>
        <v/>
      </c>
      <c r="BP7" s="5">
        <f>$B7*(Eras!$E$3*INDEX(Curves!$C$4:$BV$4,BP$2-2+1)+Eras!$E$4*INDEX(Curves!$C$27:$BV$27,BP$2-2+1)+Eras!$E$5*INDEX(Curves!$C$50:$BV$50,BP$2-2+1))</f>
        <v/>
      </c>
      <c r="BQ7" s="5">
        <f>$B7*(Eras!$E$3*INDEX(Curves!$C$4:$BV$4,BQ$2-2+1)+Eras!$E$4*INDEX(Curves!$C$27:$BV$27,BQ$2-2+1)+Eras!$E$5*INDEX(Curves!$C$50:$BV$50,BQ$2-2+1))</f>
        <v/>
      </c>
      <c r="BR7" s="5">
        <f>$B7*(Eras!$E$3*INDEX(Curves!$C$4:$BV$4,BR$2-2+1)+Eras!$E$4*INDEX(Curves!$C$27:$BV$27,BR$2-2+1)+Eras!$E$5*INDEX(Curves!$C$50:$BV$50,BR$2-2+1))</f>
        <v/>
      </c>
      <c r="BS7" s="5">
        <f>$B7*(Eras!$E$3*INDEX(Curves!$C$4:$BV$4,BS$2-2+1)+Eras!$E$4*INDEX(Curves!$C$27:$BV$27,BS$2-2+1)+Eras!$E$5*INDEX(Curves!$C$50:$BV$50,BS$2-2+1))</f>
        <v/>
      </c>
      <c r="BT7" s="5">
        <f>$B7*(Eras!$E$3*INDEX(Curves!$C$4:$BV$4,BT$2-2+1)+Eras!$E$4*INDEX(Curves!$C$27:$BV$27,BT$2-2+1)+Eras!$E$5*INDEX(Curves!$C$50:$BV$50,BT$2-2+1))</f>
        <v/>
      </c>
      <c r="BU7" s="5">
        <f>$B7*(Eras!$E$3*INDEX(Curves!$C$4:$BV$4,BU$2-2+1)+Eras!$E$4*INDEX(Curves!$C$27:$BV$27,BU$2-2+1)+Eras!$E$5*INDEX(Curves!$C$50:$BV$50,BU$2-2+1))</f>
        <v/>
      </c>
      <c r="BV7" s="5">
        <f>$B7*(Eras!$E$3*INDEX(Curves!$C$4:$BV$4,BV$2-2+1)+Eras!$E$4*INDEX(Curves!$C$27:$BV$27,BV$2-2+1)+Eras!$E$5*INDEX(Curves!$C$50:$BV$50,BV$2-2+1))</f>
        <v/>
      </c>
    </row>
    <row r="8">
      <c r="A8" t="inlineStr">
        <is>
          <t>cohort 2025-04</t>
        </is>
      </c>
      <c r="B8" s="5">
        <f>INDEX(Adds!$C$13:$BV$13,4)</f>
        <v/>
      </c>
      <c r="F8" s="5">
        <f>$B8*(Eras!$F$3*INDEX(Curves!$C$4:$BV$4,F$2-3+1)+Eras!$F$4*INDEX(Curves!$C$27:$BV$27,F$2-3+1)+Eras!$F$5*INDEX(Curves!$C$50:$BV$50,F$2-3+1))</f>
        <v/>
      </c>
      <c r="G8" s="5">
        <f>$B8*(Eras!$F$3*INDEX(Curves!$C$4:$BV$4,G$2-3+1)+Eras!$F$4*INDEX(Curves!$C$27:$BV$27,G$2-3+1)+Eras!$F$5*INDEX(Curves!$C$50:$BV$50,G$2-3+1))</f>
        <v/>
      </c>
      <c r="H8" s="5">
        <f>$B8*(Eras!$F$3*INDEX(Curves!$C$4:$BV$4,H$2-3+1)+Eras!$F$4*INDEX(Curves!$C$27:$BV$27,H$2-3+1)+Eras!$F$5*INDEX(Curves!$C$50:$BV$50,H$2-3+1))</f>
        <v/>
      </c>
      <c r="I8" s="5">
        <f>$B8*(Eras!$F$3*INDEX(Curves!$C$4:$BV$4,I$2-3+1)+Eras!$F$4*INDEX(Curves!$C$27:$BV$27,I$2-3+1)+Eras!$F$5*INDEX(Curves!$C$50:$BV$50,I$2-3+1))</f>
        <v/>
      </c>
      <c r="J8" s="5">
        <f>$B8*(Eras!$F$3*INDEX(Curves!$C$4:$BV$4,J$2-3+1)+Eras!$F$4*INDEX(Curves!$C$27:$BV$27,J$2-3+1)+Eras!$F$5*INDEX(Curves!$C$50:$BV$50,J$2-3+1))</f>
        <v/>
      </c>
      <c r="K8" s="5">
        <f>$B8*(Eras!$F$3*INDEX(Curves!$C$4:$BV$4,K$2-3+1)+Eras!$F$4*INDEX(Curves!$C$27:$BV$27,K$2-3+1)+Eras!$F$5*INDEX(Curves!$C$50:$BV$50,K$2-3+1))</f>
        <v/>
      </c>
      <c r="L8" s="5">
        <f>$B8*(Eras!$F$3*INDEX(Curves!$C$4:$BV$4,L$2-3+1)+Eras!$F$4*INDEX(Curves!$C$27:$BV$27,L$2-3+1)+Eras!$F$5*INDEX(Curves!$C$50:$BV$50,L$2-3+1))</f>
        <v/>
      </c>
      <c r="M8" s="5">
        <f>$B8*(Eras!$F$3*INDEX(Curves!$C$4:$BV$4,M$2-3+1)+Eras!$F$4*INDEX(Curves!$C$27:$BV$27,M$2-3+1)+Eras!$F$5*INDEX(Curves!$C$50:$BV$50,M$2-3+1))</f>
        <v/>
      </c>
      <c r="N8" s="5">
        <f>$B8*(Eras!$F$3*INDEX(Curves!$C$4:$BV$4,N$2-3+1)+Eras!$F$4*INDEX(Curves!$C$27:$BV$27,N$2-3+1)+Eras!$F$5*INDEX(Curves!$C$50:$BV$50,N$2-3+1))</f>
        <v/>
      </c>
      <c r="O8" s="5">
        <f>$B8*(Eras!$F$3*INDEX(Curves!$C$4:$BV$4,O$2-3+1)+Eras!$F$4*INDEX(Curves!$C$27:$BV$27,O$2-3+1)+Eras!$F$5*INDEX(Curves!$C$50:$BV$50,O$2-3+1))</f>
        <v/>
      </c>
      <c r="P8" s="5">
        <f>$B8*(Eras!$F$3*INDEX(Curves!$C$4:$BV$4,P$2-3+1)+Eras!$F$4*INDEX(Curves!$C$27:$BV$27,P$2-3+1)+Eras!$F$5*INDEX(Curves!$C$50:$BV$50,P$2-3+1))</f>
        <v/>
      </c>
      <c r="Q8" s="5">
        <f>$B8*(Eras!$F$3*INDEX(Curves!$C$4:$BV$4,Q$2-3+1)+Eras!$F$4*INDEX(Curves!$C$27:$BV$27,Q$2-3+1)+Eras!$F$5*INDEX(Curves!$C$50:$BV$50,Q$2-3+1))</f>
        <v/>
      </c>
      <c r="R8" s="5">
        <f>$B8*(Eras!$F$3*INDEX(Curves!$C$4:$BV$4,R$2-3+1)+Eras!$F$4*INDEX(Curves!$C$27:$BV$27,R$2-3+1)+Eras!$F$5*INDEX(Curves!$C$50:$BV$50,R$2-3+1))</f>
        <v/>
      </c>
      <c r="S8" s="5">
        <f>$B8*(Eras!$F$3*INDEX(Curves!$C$4:$BV$4,S$2-3+1)+Eras!$F$4*INDEX(Curves!$C$27:$BV$27,S$2-3+1)+Eras!$F$5*INDEX(Curves!$C$50:$BV$50,S$2-3+1))</f>
        <v/>
      </c>
      <c r="T8" s="5">
        <f>$B8*(Eras!$F$3*INDEX(Curves!$C$4:$BV$4,T$2-3+1)+Eras!$F$4*INDEX(Curves!$C$27:$BV$27,T$2-3+1)+Eras!$F$5*INDEX(Curves!$C$50:$BV$50,T$2-3+1))</f>
        <v/>
      </c>
      <c r="U8" s="5">
        <f>$B8*(Eras!$F$3*INDEX(Curves!$C$4:$BV$4,U$2-3+1)+Eras!$F$4*INDEX(Curves!$C$27:$BV$27,U$2-3+1)+Eras!$F$5*INDEX(Curves!$C$50:$BV$50,U$2-3+1))</f>
        <v/>
      </c>
      <c r="V8" s="5">
        <f>$B8*(Eras!$F$3*INDEX(Curves!$C$4:$BV$4,V$2-3+1)+Eras!$F$4*INDEX(Curves!$C$27:$BV$27,V$2-3+1)+Eras!$F$5*INDEX(Curves!$C$50:$BV$50,V$2-3+1))</f>
        <v/>
      </c>
      <c r="W8" s="5">
        <f>$B8*(Eras!$F$3*INDEX(Curves!$C$4:$BV$4,W$2-3+1)+Eras!$F$4*INDEX(Curves!$C$27:$BV$27,W$2-3+1)+Eras!$F$5*INDEX(Curves!$C$50:$BV$50,W$2-3+1))</f>
        <v/>
      </c>
      <c r="X8" s="5">
        <f>$B8*(Eras!$F$3*INDEX(Curves!$C$4:$BV$4,X$2-3+1)+Eras!$F$4*INDEX(Curves!$C$27:$BV$27,X$2-3+1)+Eras!$F$5*INDEX(Curves!$C$50:$BV$50,X$2-3+1))</f>
        <v/>
      </c>
      <c r="Y8" s="5">
        <f>$B8*(Eras!$F$3*INDEX(Curves!$C$4:$BV$4,Y$2-3+1)+Eras!$F$4*INDEX(Curves!$C$27:$BV$27,Y$2-3+1)+Eras!$F$5*INDEX(Curves!$C$50:$BV$50,Y$2-3+1))</f>
        <v/>
      </c>
      <c r="Z8" s="5">
        <f>$B8*(Eras!$F$3*INDEX(Curves!$C$4:$BV$4,Z$2-3+1)+Eras!$F$4*INDEX(Curves!$C$27:$BV$27,Z$2-3+1)+Eras!$F$5*INDEX(Curves!$C$50:$BV$50,Z$2-3+1))</f>
        <v/>
      </c>
      <c r="AA8" s="5">
        <f>$B8*(Eras!$F$3*INDEX(Curves!$C$4:$BV$4,AA$2-3+1)+Eras!$F$4*INDEX(Curves!$C$27:$BV$27,AA$2-3+1)+Eras!$F$5*INDEX(Curves!$C$50:$BV$50,AA$2-3+1))</f>
        <v/>
      </c>
      <c r="AB8" s="5">
        <f>$B8*(Eras!$F$3*INDEX(Curves!$C$4:$BV$4,AB$2-3+1)+Eras!$F$4*INDEX(Curves!$C$27:$BV$27,AB$2-3+1)+Eras!$F$5*INDEX(Curves!$C$50:$BV$50,AB$2-3+1))</f>
        <v/>
      </c>
      <c r="AC8" s="5">
        <f>$B8*(Eras!$F$3*INDEX(Curves!$C$4:$BV$4,AC$2-3+1)+Eras!$F$4*INDEX(Curves!$C$27:$BV$27,AC$2-3+1)+Eras!$F$5*INDEX(Curves!$C$50:$BV$50,AC$2-3+1))</f>
        <v/>
      </c>
      <c r="AD8" s="5">
        <f>$B8*(Eras!$F$3*INDEX(Curves!$C$4:$BV$4,AD$2-3+1)+Eras!$F$4*INDEX(Curves!$C$27:$BV$27,AD$2-3+1)+Eras!$F$5*INDEX(Curves!$C$50:$BV$50,AD$2-3+1))</f>
        <v/>
      </c>
      <c r="AE8" s="5">
        <f>$B8*(Eras!$F$3*INDEX(Curves!$C$4:$BV$4,AE$2-3+1)+Eras!$F$4*INDEX(Curves!$C$27:$BV$27,AE$2-3+1)+Eras!$F$5*INDEX(Curves!$C$50:$BV$50,AE$2-3+1))</f>
        <v/>
      </c>
      <c r="AF8" s="5">
        <f>$B8*(Eras!$F$3*INDEX(Curves!$C$4:$BV$4,AF$2-3+1)+Eras!$F$4*INDEX(Curves!$C$27:$BV$27,AF$2-3+1)+Eras!$F$5*INDEX(Curves!$C$50:$BV$50,AF$2-3+1))</f>
        <v/>
      </c>
      <c r="AG8" s="5">
        <f>$B8*(Eras!$F$3*INDEX(Curves!$C$4:$BV$4,AG$2-3+1)+Eras!$F$4*INDEX(Curves!$C$27:$BV$27,AG$2-3+1)+Eras!$F$5*INDEX(Curves!$C$50:$BV$50,AG$2-3+1))</f>
        <v/>
      </c>
      <c r="AH8" s="5">
        <f>$B8*(Eras!$F$3*INDEX(Curves!$C$4:$BV$4,AH$2-3+1)+Eras!$F$4*INDEX(Curves!$C$27:$BV$27,AH$2-3+1)+Eras!$F$5*INDEX(Curves!$C$50:$BV$50,AH$2-3+1))</f>
        <v/>
      </c>
      <c r="AI8" s="5">
        <f>$B8*(Eras!$F$3*INDEX(Curves!$C$4:$BV$4,AI$2-3+1)+Eras!$F$4*INDEX(Curves!$C$27:$BV$27,AI$2-3+1)+Eras!$F$5*INDEX(Curves!$C$50:$BV$50,AI$2-3+1))</f>
        <v/>
      </c>
      <c r="AJ8" s="5">
        <f>$B8*(Eras!$F$3*INDEX(Curves!$C$4:$BV$4,AJ$2-3+1)+Eras!$F$4*INDEX(Curves!$C$27:$BV$27,AJ$2-3+1)+Eras!$F$5*INDEX(Curves!$C$50:$BV$50,AJ$2-3+1))</f>
        <v/>
      </c>
      <c r="AK8" s="5">
        <f>$B8*(Eras!$F$3*INDEX(Curves!$C$4:$BV$4,AK$2-3+1)+Eras!$F$4*INDEX(Curves!$C$27:$BV$27,AK$2-3+1)+Eras!$F$5*INDEX(Curves!$C$50:$BV$50,AK$2-3+1))</f>
        <v/>
      </c>
      <c r="AL8" s="5">
        <f>$B8*(Eras!$F$3*INDEX(Curves!$C$4:$BV$4,AL$2-3+1)+Eras!$F$4*INDEX(Curves!$C$27:$BV$27,AL$2-3+1)+Eras!$F$5*INDEX(Curves!$C$50:$BV$50,AL$2-3+1))</f>
        <v/>
      </c>
      <c r="AM8" s="5">
        <f>$B8*(Eras!$F$3*INDEX(Curves!$C$4:$BV$4,AM$2-3+1)+Eras!$F$4*INDEX(Curves!$C$27:$BV$27,AM$2-3+1)+Eras!$F$5*INDEX(Curves!$C$50:$BV$50,AM$2-3+1))</f>
        <v/>
      </c>
      <c r="AN8" s="5">
        <f>$B8*(Eras!$F$3*INDEX(Curves!$C$4:$BV$4,AN$2-3+1)+Eras!$F$4*INDEX(Curves!$C$27:$BV$27,AN$2-3+1)+Eras!$F$5*INDEX(Curves!$C$50:$BV$50,AN$2-3+1))</f>
        <v/>
      </c>
      <c r="AO8" s="5">
        <f>$B8*(Eras!$F$3*INDEX(Curves!$C$4:$BV$4,AO$2-3+1)+Eras!$F$4*INDEX(Curves!$C$27:$BV$27,AO$2-3+1)+Eras!$F$5*INDEX(Curves!$C$50:$BV$50,AO$2-3+1))</f>
        <v/>
      </c>
      <c r="AP8" s="5">
        <f>$B8*(Eras!$F$3*INDEX(Curves!$C$4:$BV$4,AP$2-3+1)+Eras!$F$4*INDEX(Curves!$C$27:$BV$27,AP$2-3+1)+Eras!$F$5*INDEX(Curves!$C$50:$BV$50,AP$2-3+1))</f>
        <v/>
      </c>
      <c r="AQ8" s="5">
        <f>$B8*(Eras!$F$3*INDEX(Curves!$C$4:$BV$4,AQ$2-3+1)+Eras!$F$4*INDEX(Curves!$C$27:$BV$27,AQ$2-3+1)+Eras!$F$5*INDEX(Curves!$C$50:$BV$50,AQ$2-3+1))</f>
        <v/>
      </c>
      <c r="AR8" s="5">
        <f>$B8*(Eras!$F$3*INDEX(Curves!$C$4:$BV$4,AR$2-3+1)+Eras!$F$4*INDEX(Curves!$C$27:$BV$27,AR$2-3+1)+Eras!$F$5*INDEX(Curves!$C$50:$BV$50,AR$2-3+1))</f>
        <v/>
      </c>
      <c r="AS8" s="5">
        <f>$B8*(Eras!$F$3*INDEX(Curves!$C$4:$BV$4,AS$2-3+1)+Eras!$F$4*INDEX(Curves!$C$27:$BV$27,AS$2-3+1)+Eras!$F$5*INDEX(Curves!$C$50:$BV$50,AS$2-3+1))</f>
        <v/>
      </c>
      <c r="AT8" s="5">
        <f>$B8*(Eras!$F$3*INDEX(Curves!$C$4:$BV$4,AT$2-3+1)+Eras!$F$4*INDEX(Curves!$C$27:$BV$27,AT$2-3+1)+Eras!$F$5*INDEX(Curves!$C$50:$BV$50,AT$2-3+1))</f>
        <v/>
      </c>
      <c r="AU8" s="5">
        <f>$B8*(Eras!$F$3*INDEX(Curves!$C$4:$BV$4,AU$2-3+1)+Eras!$F$4*INDEX(Curves!$C$27:$BV$27,AU$2-3+1)+Eras!$F$5*INDEX(Curves!$C$50:$BV$50,AU$2-3+1))</f>
        <v/>
      </c>
      <c r="AV8" s="5">
        <f>$B8*(Eras!$F$3*INDEX(Curves!$C$4:$BV$4,AV$2-3+1)+Eras!$F$4*INDEX(Curves!$C$27:$BV$27,AV$2-3+1)+Eras!$F$5*INDEX(Curves!$C$50:$BV$50,AV$2-3+1))</f>
        <v/>
      </c>
      <c r="AW8" s="5">
        <f>$B8*(Eras!$F$3*INDEX(Curves!$C$4:$BV$4,AW$2-3+1)+Eras!$F$4*INDEX(Curves!$C$27:$BV$27,AW$2-3+1)+Eras!$F$5*INDEX(Curves!$C$50:$BV$50,AW$2-3+1))</f>
        <v/>
      </c>
      <c r="AX8" s="5">
        <f>$B8*(Eras!$F$3*INDEX(Curves!$C$4:$BV$4,AX$2-3+1)+Eras!$F$4*INDEX(Curves!$C$27:$BV$27,AX$2-3+1)+Eras!$F$5*INDEX(Curves!$C$50:$BV$50,AX$2-3+1))</f>
        <v/>
      </c>
      <c r="AY8" s="5">
        <f>$B8*(Eras!$F$3*INDEX(Curves!$C$4:$BV$4,AY$2-3+1)+Eras!$F$4*INDEX(Curves!$C$27:$BV$27,AY$2-3+1)+Eras!$F$5*INDEX(Curves!$C$50:$BV$50,AY$2-3+1))</f>
        <v/>
      </c>
      <c r="AZ8" s="5">
        <f>$B8*(Eras!$F$3*INDEX(Curves!$C$4:$BV$4,AZ$2-3+1)+Eras!$F$4*INDEX(Curves!$C$27:$BV$27,AZ$2-3+1)+Eras!$F$5*INDEX(Curves!$C$50:$BV$50,AZ$2-3+1))</f>
        <v/>
      </c>
      <c r="BA8" s="5">
        <f>$B8*(Eras!$F$3*INDEX(Curves!$C$4:$BV$4,BA$2-3+1)+Eras!$F$4*INDEX(Curves!$C$27:$BV$27,BA$2-3+1)+Eras!$F$5*INDEX(Curves!$C$50:$BV$50,BA$2-3+1))</f>
        <v/>
      </c>
      <c r="BB8" s="5">
        <f>$B8*(Eras!$F$3*INDEX(Curves!$C$4:$BV$4,BB$2-3+1)+Eras!$F$4*INDEX(Curves!$C$27:$BV$27,BB$2-3+1)+Eras!$F$5*INDEX(Curves!$C$50:$BV$50,BB$2-3+1))</f>
        <v/>
      </c>
      <c r="BC8" s="5">
        <f>$B8*(Eras!$F$3*INDEX(Curves!$C$4:$BV$4,BC$2-3+1)+Eras!$F$4*INDEX(Curves!$C$27:$BV$27,BC$2-3+1)+Eras!$F$5*INDEX(Curves!$C$50:$BV$50,BC$2-3+1))</f>
        <v/>
      </c>
      <c r="BD8" s="5">
        <f>$B8*(Eras!$F$3*INDEX(Curves!$C$4:$BV$4,BD$2-3+1)+Eras!$F$4*INDEX(Curves!$C$27:$BV$27,BD$2-3+1)+Eras!$F$5*INDEX(Curves!$C$50:$BV$50,BD$2-3+1))</f>
        <v/>
      </c>
      <c r="BE8" s="5">
        <f>$B8*(Eras!$F$3*INDEX(Curves!$C$4:$BV$4,BE$2-3+1)+Eras!$F$4*INDEX(Curves!$C$27:$BV$27,BE$2-3+1)+Eras!$F$5*INDEX(Curves!$C$50:$BV$50,BE$2-3+1))</f>
        <v/>
      </c>
      <c r="BF8" s="5">
        <f>$B8*(Eras!$F$3*INDEX(Curves!$C$4:$BV$4,BF$2-3+1)+Eras!$F$4*INDEX(Curves!$C$27:$BV$27,BF$2-3+1)+Eras!$F$5*INDEX(Curves!$C$50:$BV$50,BF$2-3+1))</f>
        <v/>
      </c>
      <c r="BG8" s="5">
        <f>$B8*(Eras!$F$3*INDEX(Curves!$C$4:$BV$4,BG$2-3+1)+Eras!$F$4*INDEX(Curves!$C$27:$BV$27,BG$2-3+1)+Eras!$F$5*INDEX(Curves!$C$50:$BV$50,BG$2-3+1))</f>
        <v/>
      </c>
      <c r="BH8" s="5">
        <f>$B8*(Eras!$F$3*INDEX(Curves!$C$4:$BV$4,BH$2-3+1)+Eras!$F$4*INDEX(Curves!$C$27:$BV$27,BH$2-3+1)+Eras!$F$5*INDEX(Curves!$C$50:$BV$50,BH$2-3+1))</f>
        <v/>
      </c>
      <c r="BI8" s="5">
        <f>$B8*(Eras!$F$3*INDEX(Curves!$C$4:$BV$4,BI$2-3+1)+Eras!$F$4*INDEX(Curves!$C$27:$BV$27,BI$2-3+1)+Eras!$F$5*INDEX(Curves!$C$50:$BV$50,BI$2-3+1))</f>
        <v/>
      </c>
      <c r="BJ8" s="5">
        <f>$B8*(Eras!$F$3*INDEX(Curves!$C$4:$BV$4,BJ$2-3+1)+Eras!$F$4*INDEX(Curves!$C$27:$BV$27,BJ$2-3+1)+Eras!$F$5*INDEX(Curves!$C$50:$BV$50,BJ$2-3+1))</f>
        <v/>
      </c>
      <c r="BK8" s="5">
        <f>$B8*(Eras!$F$3*INDEX(Curves!$C$4:$BV$4,BK$2-3+1)+Eras!$F$4*INDEX(Curves!$C$27:$BV$27,BK$2-3+1)+Eras!$F$5*INDEX(Curves!$C$50:$BV$50,BK$2-3+1))</f>
        <v/>
      </c>
      <c r="BL8" s="5">
        <f>$B8*(Eras!$F$3*INDEX(Curves!$C$4:$BV$4,BL$2-3+1)+Eras!$F$4*INDEX(Curves!$C$27:$BV$27,BL$2-3+1)+Eras!$F$5*INDEX(Curves!$C$50:$BV$50,BL$2-3+1))</f>
        <v/>
      </c>
      <c r="BM8" s="5">
        <f>$B8*(Eras!$F$3*INDEX(Curves!$C$4:$BV$4,BM$2-3+1)+Eras!$F$4*INDEX(Curves!$C$27:$BV$27,BM$2-3+1)+Eras!$F$5*INDEX(Curves!$C$50:$BV$50,BM$2-3+1))</f>
        <v/>
      </c>
      <c r="BN8" s="5">
        <f>$B8*(Eras!$F$3*INDEX(Curves!$C$4:$BV$4,BN$2-3+1)+Eras!$F$4*INDEX(Curves!$C$27:$BV$27,BN$2-3+1)+Eras!$F$5*INDEX(Curves!$C$50:$BV$50,BN$2-3+1))</f>
        <v/>
      </c>
      <c r="BO8" s="5">
        <f>$B8*(Eras!$F$3*INDEX(Curves!$C$4:$BV$4,BO$2-3+1)+Eras!$F$4*INDEX(Curves!$C$27:$BV$27,BO$2-3+1)+Eras!$F$5*INDEX(Curves!$C$50:$BV$50,BO$2-3+1))</f>
        <v/>
      </c>
      <c r="BP8" s="5">
        <f>$B8*(Eras!$F$3*INDEX(Curves!$C$4:$BV$4,BP$2-3+1)+Eras!$F$4*INDEX(Curves!$C$27:$BV$27,BP$2-3+1)+Eras!$F$5*INDEX(Curves!$C$50:$BV$50,BP$2-3+1))</f>
        <v/>
      </c>
      <c r="BQ8" s="5">
        <f>$B8*(Eras!$F$3*INDEX(Curves!$C$4:$BV$4,BQ$2-3+1)+Eras!$F$4*INDEX(Curves!$C$27:$BV$27,BQ$2-3+1)+Eras!$F$5*INDEX(Curves!$C$50:$BV$50,BQ$2-3+1))</f>
        <v/>
      </c>
      <c r="BR8" s="5">
        <f>$B8*(Eras!$F$3*INDEX(Curves!$C$4:$BV$4,BR$2-3+1)+Eras!$F$4*INDEX(Curves!$C$27:$BV$27,BR$2-3+1)+Eras!$F$5*INDEX(Curves!$C$50:$BV$50,BR$2-3+1))</f>
        <v/>
      </c>
      <c r="BS8" s="5">
        <f>$B8*(Eras!$F$3*INDEX(Curves!$C$4:$BV$4,BS$2-3+1)+Eras!$F$4*INDEX(Curves!$C$27:$BV$27,BS$2-3+1)+Eras!$F$5*INDEX(Curves!$C$50:$BV$50,BS$2-3+1))</f>
        <v/>
      </c>
      <c r="BT8" s="5">
        <f>$B8*(Eras!$F$3*INDEX(Curves!$C$4:$BV$4,BT$2-3+1)+Eras!$F$4*INDEX(Curves!$C$27:$BV$27,BT$2-3+1)+Eras!$F$5*INDEX(Curves!$C$50:$BV$50,BT$2-3+1))</f>
        <v/>
      </c>
      <c r="BU8" s="5">
        <f>$B8*(Eras!$F$3*INDEX(Curves!$C$4:$BV$4,BU$2-3+1)+Eras!$F$4*INDEX(Curves!$C$27:$BV$27,BU$2-3+1)+Eras!$F$5*INDEX(Curves!$C$50:$BV$50,BU$2-3+1))</f>
        <v/>
      </c>
      <c r="BV8" s="5">
        <f>$B8*(Eras!$F$3*INDEX(Curves!$C$4:$BV$4,BV$2-3+1)+Eras!$F$4*INDEX(Curves!$C$27:$BV$27,BV$2-3+1)+Eras!$F$5*INDEX(Curves!$C$50:$BV$50,BV$2-3+1))</f>
        <v/>
      </c>
    </row>
    <row r="9">
      <c r="A9" t="inlineStr">
        <is>
          <t>cohort 2025-05</t>
        </is>
      </c>
      <c r="B9" s="5">
        <f>INDEX(Adds!$C$13:$BV$13,5)</f>
        <v/>
      </c>
      <c r="G9" s="5">
        <f>$B9*(Eras!$G$3*INDEX(Curves!$C$4:$BV$4,G$2-4+1)+Eras!$G$4*INDEX(Curves!$C$27:$BV$27,G$2-4+1)+Eras!$G$5*INDEX(Curves!$C$50:$BV$50,G$2-4+1))</f>
        <v/>
      </c>
      <c r="H9" s="5">
        <f>$B9*(Eras!$G$3*INDEX(Curves!$C$4:$BV$4,H$2-4+1)+Eras!$G$4*INDEX(Curves!$C$27:$BV$27,H$2-4+1)+Eras!$G$5*INDEX(Curves!$C$50:$BV$50,H$2-4+1))</f>
        <v/>
      </c>
      <c r="I9" s="5">
        <f>$B9*(Eras!$G$3*INDEX(Curves!$C$4:$BV$4,I$2-4+1)+Eras!$G$4*INDEX(Curves!$C$27:$BV$27,I$2-4+1)+Eras!$G$5*INDEX(Curves!$C$50:$BV$50,I$2-4+1))</f>
        <v/>
      </c>
      <c r="J9" s="5">
        <f>$B9*(Eras!$G$3*INDEX(Curves!$C$4:$BV$4,J$2-4+1)+Eras!$G$4*INDEX(Curves!$C$27:$BV$27,J$2-4+1)+Eras!$G$5*INDEX(Curves!$C$50:$BV$50,J$2-4+1))</f>
        <v/>
      </c>
      <c r="K9" s="5">
        <f>$B9*(Eras!$G$3*INDEX(Curves!$C$4:$BV$4,K$2-4+1)+Eras!$G$4*INDEX(Curves!$C$27:$BV$27,K$2-4+1)+Eras!$G$5*INDEX(Curves!$C$50:$BV$50,K$2-4+1))</f>
        <v/>
      </c>
      <c r="L9" s="5">
        <f>$B9*(Eras!$G$3*INDEX(Curves!$C$4:$BV$4,L$2-4+1)+Eras!$G$4*INDEX(Curves!$C$27:$BV$27,L$2-4+1)+Eras!$G$5*INDEX(Curves!$C$50:$BV$50,L$2-4+1))</f>
        <v/>
      </c>
      <c r="M9" s="5">
        <f>$B9*(Eras!$G$3*INDEX(Curves!$C$4:$BV$4,M$2-4+1)+Eras!$G$4*INDEX(Curves!$C$27:$BV$27,M$2-4+1)+Eras!$G$5*INDEX(Curves!$C$50:$BV$50,M$2-4+1))</f>
        <v/>
      </c>
      <c r="N9" s="5">
        <f>$B9*(Eras!$G$3*INDEX(Curves!$C$4:$BV$4,N$2-4+1)+Eras!$G$4*INDEX(Curves!$C$27:$BV$27,N$2-4+1)+Eras!$G$5*INDEX(Curves!$C$50:$BV$50,N$2-4+1))</f>
        <v/>
      </c>
      <c r="O9" s="5">
        <f>$B9*(Eras!$G$3*INDEX(Curves!$C$4:$BV$4,O$2-4+1)+Eras!$G$4*INDEX(Curves!$C$27:$BV$27,O$2-4+1)+Eras!$G$5*INDEX(Curves!$C$50:$BV$50,O$2-4+1))</f>
        <v/>
      </c>
      <c r="P9" s="5">
        <f>$B9*(Eras!$G$3*INDEX(Curves!$C$4:$BV$4,P$2-4+1)+Eras!$G$4*INDEX(Curves!$C$27:$BV$27,P$2-4+1)+Eras!$G$5*INDEX(Curves!$C$50:$BV$50,P$2-4+1))</f>
        <v/>
      </c>
      <c r="Q9" s="5">
        <f>$B9*(Eras!$G$3*INDEX(Curves!$C$4:$BV$4,Q$2-4+1)+Eras!$G$4*INDEX(Curves!$C$27:$BV$27,Q$2-4+1)+Eras!$G$5*INDEX(Curves!$C$50:$BV$50,Q$2-4+1))</f>
        <v/>
      </c>
      <c r="R9" s="5">
        <f>$B9*(Eras!$G$3*INDEX(Curves!$C$4:$BV$4,R$2-4+1)+Eras!$G$4*INDEX(Curves!$C$27:$BV$27,R$2-4+1)+Eras!$G$5*INDEX(Curves!$C$50:$BV$50,R$2-4+1))</f>
        <v/>
      </c>
      <c r="S9" s="5">
        <f>$B9*(Eras!$G$3*INDEX(Curves!$C$4:$BV$4,S$2-4+1)+Eras!$G$4*INDEX(Curves!$C$27:$BV$27,S$2-4+1)+Eras!$G$5*INDEX(Curves!$C$50:$BV$50,S$2-4+1))</f>
        <v/>
      </c>
      <c r="T9" s="5">
        <f>$B9*(Eras!$G$3*INDEX(Curves!$C$4:$BV$4,T$2-4+1)+Eras!$G$4*INDEX(Curves!$C$27:$BV$27,T$2-4+1)+Eras!$G$5*INDEX(Curves!$C$50:$BV$50,T$2-4+1))</f>
        <v/>
      </c>
      <c r="U9" s="5">
        <f>$B9*(Eras!$G$3*INDEX(Curves!$C$4:$BV$4,U$2-4+1)+Eras!$G$4*INDEX(Curves!$C$27:$BV$27,U$2-4+1)+Eras!$G$5*INDEX(Curves!$C$50:$BV$50,U$2-4+1))</f>
        <v/>
      </c>
      <c r="V9" s="5">
        <f>$B9*(Eras!$G$3*INDEX(Curves!$C$4:$BV$4,V$2-4+1)+Eras!$G$4*INDEX(Curves!$C$27:$BV$27,V$2-4+1)+Eras!$G$5*INDEX(Curves!$C$50:$BV$50,V$2-4+1))</f>
        <v/>
      </c>
      <c r="W9" s="5">
        <f>$B9*(Eras!$G$3*INDEX(Curves!$C$4:$BV$4,W$2-4+1)+Eras!$G$4*INDEX(Curves!$C$27:$BV$27,W$2-4+1)+Eras!$G$5*INDEX(Curves!$C$50:$BV$50,W$2-4+1))</f>
        <v/>
      </c>
      <c r="X9" s="5">
        <f>$B9*(Eras!$G$3*INDEX(Curves!$C$4:$BV$4,X$2-4+1)+Eras!$G$4*INDEX(Curves!$C$27:$BV$27,X$2-4+1)+Eras!$G$5*INDEX(Curves!$C$50:$BV$50,X$2-4+1))</f>
        <v/>
      </c>
      <c r="Y9" s="5">
        <f>$B9*(Eras!$G$3*INDEX(Curves!$C$4:$BV$4,Y$2-4+1)+Eras!$G$4*INDEX(Curves!$C$27:$BV$27,Y$2-4+1)+Eras!$G$5*INDEX(Curves!$C$50:$BV$50,Y$2-4+1))</f>
        <v/>
      </c>
      <c r="Z9" s="5">
        <f>$B9*(Eras!$G$3*INDEX(Curves!$C$4:$BV$4,Z$2-4+1)+Eras!$G$4*INDEX(Curves!$C$27:$BV$27,Z$2-4+1)+Eras!$G$5*INDEX(Curves!$C$50:$BV$50,Z$2-4+1))</f>
        <v/>
      </c>
      <c r="AA9" s="5">
        <f>$B9*(Eras!$G$3*INDEX(Curves!$C$4:$BV$4,AA$2-4+1)+Eras!$G$4*INDEX(Curves!$C$27:$BV$27,AA$2-4+1)+Eras!$G$5*INDEX(Curves!$C$50:$BV$50,AA$2-4+1))</f>
        <v/>
      </c>
      <c r="AB9" s="5">
        <f>$B9*(Eras!$G$3*INDEX(Curves!$C$4:$BV$4,AB$2-4+1)+Eras!$G$4*INDEX(Curves!$C$27:$BV$27,AB$2-4+1)+Eras!$G$5*INDEX(Curves!$C$50:$BV$50,AB$2-4+1))</f>
        <v/>
      </c>
      <c r="AC9" s="5">
        <f>$B9*(Eras!$G$3*INDEX(Curves!$C$4:$BV$4,AC$2-4+1)+Eras!$G$4*INDEX(Curves!$C$27:$BV$27,AC$2-4+1)+Eras!$G$5*INDEX(Curves!$C$50:$BV$50,AC$2-4+1))</f>
        <v/>
      </c>
      <c r="AD9" s="5">
        <f>$B9*(Eras!$G$3*INDEX(Curves!$C$4:$BV$4,AD$2-4+1)+Eras!$G$4*INDEX(Curves!$C$27:$BV$27,AD$2-4+1)+Eras!$G$5*INDEX(Curves!$C$50:$BV$50,AD$2-4+1))</f>
        <v/>
      </c>
      <c r="AE9" s="5">
        <f>$B9*(Eras!$G$3*INDEX(Curves!$C$4:$BV$4,AE$2-4+1)+Eras!$G$4*INDEX(Curves!$C$27:$BV$27,AE$2-4+1)+Eras!$G$5*INDEX(Curves!$C$50:$BV$50,AE$2-4+1))</f>
        <v/>
      </c>
      <c r="AF9" s="5">
        <f>$B9*(Eras!$G$3*INDEX(Curves!$C$4:$BV$4,AF$2-4+1)+Eras!$G$4*INDEX(Curves!$C$27:$BV$27,AF$2-4+1)+Eras!$G$5*INDEX(Curves!$C$50:$BV$50,AF$2-4+1))</f>
        <v/>
      </c>
      <c r="AG9" s="5">
        <f>$B9*(Eras!$G$3*INDEX(Curves!$C$4:$BV$4,AG$2-4+1)+Eras!$G$4*INDEX(Curves!$C$27:$BV$27,AG$2-4+1)+Eras!$G$5*INDEX(Curves!$C$50:$BV$50,AG$2-4+1))</f>
        <v/>
      </c>
      <c r="AH9" s="5">
        <f>$B9*(Eras!$G$3*INDEX(Curves!$C$4:$BV$4,AH$2-4+1)+Eras!$G$4*INDEX(Curves!$C$27:$BV$27,AH$2-4+1)+Eras!$G$5*INDEX(Curves!$C$50:$BV$50,AH$2-4+1))</f>
        <v/>
      </c>
      <c r="AI9" s="5">
        <f>$B9*(Eras!$G$3*INDEX(Curves!$C$4:$BV$4,AI$2-4+1)+Eras!$G$4*INDEX(Curves!$C$27:$BV$27,AI$2-4+1)+Eras!$G$5*INDEX(Curves!$C$50:$BV$50,AI$2-4+1))</f>
        <v/>
      </c>
      <c r="AJ9" s="5">
        <f>$B9*(Eras!$G$3*INDEX(Curves!$C$4:$BV$4,AJ$2-4+1)+Eras!$G$4*INDEX(Curves!$C$27:$BV$27,AJ$2-4+1)+Eras!$G$5*INDEX(Curves!$C$50:$BV$50,AJ$2-4+1))</f>
        <v/>
      </c>
      <c r="AK9" s="5">
        <f>$B9*(Eras!$G$3*INDEX(Curves!$C$4:$BV$4,AK$2-4+1)+Eras!$G$4*INDEX(Curves!$C$27:$BV$27,AK$2-4+1)+Eras!$G$5*INDEX(Curves!$C$50:$BV$50,AK$2-4+1))</f>
        <v/>
      </c>
      <c r="AL9" s="5">
        <f>$B9*(Eras!$G$3*INDEX(Curves!$C$4:$BV$4,AL$2-4+1)+Eras!$G$4*INDEX(Curves!$C$27:$BV$27,AL$2-4+1)+Eras!$G$5*INDEX(Curves!$C$50:$BV$50,AL$2-4+1))</f>
        <v/>
      </c>
      <c r="AM9" s="5">
        <f>$B9*(Eras!$G$3*INDEX(Curves!$C$4:$BV$4,AM$2-4+1)+Eras!$G$4*INDEX(Curves!$C$27:$BV$27,AM$2-4+1)+Eras!$G$5*INDEX(Curves!$C$50:$BV$50,AM$2-4+1))</f>
        <v/>
      </c>
      <c r="AN9" s="5">
        <f>$B9*(Eras!$G$3*INDEX(Curves!$C$4:$BV$4,AN$2-4+1)+Eras!$G$4*INDEX(Curves!$C$27:$BV$27,AN$2-4+1)+Eras!$G$5*INDEX(Curves!$C$50:$BV$50,AN$2-4+1))</f>
        <v/>
      </c>
      <c r="AO9" s="5">
        <f>$B9*(Eras!$G$3*INDEX(Curves!$C$4:$BV$4,AO$2-4+1)+Eras!$G$4*INDEX(Curves!$C$27:$BV$27,AO$2-4+1)+Eras!$G$5*INDEX(Curves!$C$50:$BV$50,AO$2-4+1))</f>
        <v/>
      </c>
      <c r="AP9" s="5">
        <f>$B9*(Eras!$G$3*INDEX(Curves!$C$4:$BV$4,AP$2-4+1)+Eras!$G$4*INDEX(Curves!$C$27:$BV$27,AP$2-4+1)+Eras!$G$5*INDEX(Curves!$C$50:$BV$50,AP$2-4+1))</f>
        <v/>
      </c>
      <c r="AQ9" s="5">
        <f>$B9*(Eras!$G$3*INDEX(Curves!$C$4:$BV$4,AQ$2-4+1)+Eras!$G$4*INDEX(Curves!$C$27:$BV$27,AQ$2-4+1)+Eras!$G$5*INDEX(Curves!$C$50:$BV$50,AQ$2-4+1))</f>
        <v/>
      </c>
      <c r="AR9" s="5">
        <f>$B9*(Eras!$G$3*INDEX(Curves!$C$4:$BV$4,AR$2-4+1)+Eras!$G$4*INDEX(Curves!$C$27:$BV$27,AR$2-4+1)+Eras!$G$5*INDEX(Curves!$C$50:$BV$50,AR$2-4+1))</f>
        <v/>
      </c>
      <c r="AS9" s="5">
        <f>$B9*(Eras!$G$3*INDEX(Curves!$C$4:$BV$4,AS$2-4+1)+Eras!$G$4*INDEX(Curves!$C$27:$BV$27,AS$2-4+1)+Eras!$G$5*INDEX(Curves!$C$50:$BV$50,AS$2-4+1))</f>
        <v/>
      </c>
      <c r="AT9" s="5">
        <f>$B9*(Eras!$G$3*INDEX(Curves!$C$4:$BV$4,AT$2-4+1)+Eras!$G$4*INDEX(Curves!$C$27:$BV$27,AT$2-4+1)+Eras!$G$5*INDEX(Curves!$C$50:$BV$50,AT$2-4+1))</f>
        <v/>
      </c>
      <c r="AU9" s="5">
        <f>$B9*(Eras!$G$3*INDEX(Curves!$C$4:$BV$4,AU$2-4+1)+Eras!$G$4*INDEX(Curves!$C$27:$BV$27,AU$2-4+1)+Eras!$G$5*INDEX(Curves!$C$50:$BV$50,AU$2-4+1))</f>
        <v/>
      </c>
      <c r="AV9" s="5">
        <f>$B9*(Eras!$G$3*INDEX(Curves!$C$4:$BV$4,AV$2-4+1)+Eras!$G$4*INDEX(Curves!$C$27:$BV$27,AV$2-4+1)+Eras!$G$5*INDEX(Curves!$C$50:$BV$50,AV$2-4+1))</f>
        <v/>
      </c>
      <c r="AW9" s="5">
        <f>$B9*(Eras!$G$3*INDEX(Curves!$C$4:$BV$4,AW$2-4+1)+Eras!$G$4*INDEX(Curves!$C$27:$BV$27,AW$2-4+1)+Eras!$G$5*INDEX(Curves!$C$50:$BV$50,AW$2-4+1))</f>
        <v/>
      </c>
      <c r="AX9" s="5">
        <f>$B9*(Eras!$G$3*INDEX(Curves!$C$4:$BV$4,AX$2-4+1)+Eras!$G$4*INDEX(Curves!$C$27:$BV$27,AX$2-4+1)+Eras!$G$5*INDEX(Curves!$C$50:$BV$50,AX$2-4+1))</f>
        <v/>
      </c>
      <c r="AY9" s="5">
        <f>$B9*(Eras!$G$3*INDEX(Curves!$C$4:$BV$4,AY$2-4+1)+Eras!$G$4*INDEX(Curves!$C$27:$BV$27,AY$2-4+1)+Eras!$G$5*INDEX(Curves!$C$50:$BV$50,AY$2-4+1))</f>
        <v/>
      </c>
      <c r="AZ9" s="5">
        <f>$B9*(Eras!$G$3*INDEX(Curves!$C$4:$BV$4,AZ$2-4+1)+Eras!$G$4*INDEX(Curves!$C$27:$BV$27,AZ$2-4+1)+Eras!$G$5*INDEX(Curves!$C$50:$BV$50,AZ$2-4+1))</f>
        <v/>
      </c>
      <c r="BA9" s="5">
        <f>$B9*(Eras!$G$3*INDEX(Curves!$C$4:$BV$4,BA$2-4+1)+Eras!$G$4*INDEX(Curves!$C$27:$BV$27,BA$2-4+1)+Eras!$G$5*INDEX(Curves!$C$50:$BV$50,BA$2-4+1))</f>
        <v/>
      </c>
      <c r="BB9" s="5">
        <f>$B9*(Eras!$G$3*INDEX(Curves!$C$4:$BV$4,BB$2-4+1)+Eras!$G$4*INDEX(Curves!$C$27:$BV$27,BB$2-4+1)+Eras!$G$5*INDEX(Curves!$C$50:$BV$50,BB$2-4+1))</f>
        <v/>
      </c>
      <c r="BC9" s="5">
        <f>$B9*(Eras!$G$3*INDEX(Curves!$C$4:$BV$4,BC$2-4+1)+Eras!$G$4*INDEX(Curves!$C$27:$BV$27,BC$2-4+1)+Eras!$G$5*INDEX(Curves!$C$50:$BV$50,BC$2-4+1))</f>
        <v/>
      </c>
      <c r="BD9" s="5">
        <f>$B9*(Eras!$G$3*INDEX(Curves!$C$4:$BV$4,BD$2-4+1)+Eras!$G$4*INDEX(Curves!$C$27:$BV$27,BD$2-4+1)+Eras!$G$5*INDEX(Curves!$C$50:$BV$50,BD$2-4+1))</f>
        <v/>
      </c>
      <c r="BE9" s="5">
        <f>$B9*(Eras!$G$3*INDEX(Curves!$C$4:$BV$4,BE$2-4+1)+Eras!$G$4*INDEX(Curves!$C$27:$BV$27,BE$2-4+1)+Eras!$G$5*INDEX(Curves!$C$50:$BV$50,BE$2-4+1))</f>
        <v/>
      </c>
      <c r="BF9" s="5">
        <f>$B9*(Eras!$G$3*INDEX(Curves!$C$4:$BV$4,BF$2-4+1)+Eras!$G$4*INDEX(Curves!$C$27:$BV$27,BF$2-4+1)+Eras!$G$5*INDEX(Curves!$C$50:$BV$50,BF$2-4+1))</f>
        <v/>
      </c>
      <c r="BG9" s="5">
        <f>$B9*(Eras!$G$3*INDEX(Curves!$C$4:$BV$4,BG$2-4+1)+Eras!$G$4*INDEX(Curves!$C$27:$BV$27,BG$2-4+1)+Eras!$G$5*INDEX(Curves!$C$50:$BV$50,BG$2-4+1))</f>
        <v/>
      </c>
      <c r="BH9" s="5">
        <f>$B9*(Eras!$G$3*INDEX(Curves!$C$4:$BV$4,BH$2-4+1)+Eras!$G$4*INDEX(Curves!$C$27:$BV$27,BH$2-4+1)+Eras!$G$5*INDEX(Curves!$C$50:$BV$50,BH$2-4+1))</f>
        <v/>
      </c>
      <c r="BI9" s="5">
        <f>$B9*(Eras!$G$3*INDEX(Curves!$C$4:$BV$4,BI$2-4+1)+Eras!$G$4*INDEX(Curves!$C$27:$BV$27,BI$2-4+1)+Eras!$G$5*INDEX(Curves!$C$50:$BV$50,BI$2-4+1))</f>
        <v/>
      </c>
      <c r="BJ9" s="5">
        <f>$B9*(Eras!$G$3*INDEX(Curves!$C$4:$BV$4,BJ$2-4+1)+Eras!$G$4*INDEX(Curves!$C$27:$BV$27,BJ$2-4+1)+Eras!$G$5*INDEX(Curves!$C$50:$BV$50,BJ$2-4+1))</f>
        <v/>
      </c>
      <c r="BK9" s="5">
        <f>$B9*(Eras!$G$3*INDEX(Curves!$C$4:$BV$4,BK$2-4+1)+Eras!$G$4*INDEX(Curves!$C$27:$BV$27,BK$2-4+1)+Eras!$G$5*INDEX(Curves!$C$50:$BV$50,BK$2-4+1))</f>
        <v/>
      </c>
      <c r="BL9" s="5">
        <f>$B9*(Eras!$G$3*INDEX(Curves!$C$4:$BV$4,BL$2-4+1)+Eras!$G$4*INDEX(Curves!$C$27:$BV$27,BL$2-4+1)+Eras!$G$5*INDEX(Curves!$C$50:$BV$50,BL$2-4+1))</f>
        <v/>
      </c>
      <c r="BM9" s="5">
        <f>$B9*(Eras!$G$3*INDEX(Curves!$C$4:$BV$4,BM$2-4+1)+Eras!$G$4*INDEX(Curves!$C$27:$BV$27,BM$2-4+1)+Eras!$G$5*INDEX(Curves!$C$50:$BV$50,BM$2-4+1))</f>
        <v/>
      </c>
      <c r="BN9" s="5">
        <f>$B9*(Eras!$G$3*INDEX(Curves!$C$4:$BV$4,BN$2-4+1)+Eras!$G$4*INDEX(Curves!$C$27:$BV$27,BN$2-4+1)+Eras!$G$5*INDEX(Curves!$C$50:$BV$50,BN$2-4+1))</f>
        <v/>
      </c>
      <c r="BO9" s="5">
        <f>$B9*(Eras!$G$3*INDEX(Curves!$C$4:$BV$4,BO$2-4+1)+Eras!$G$4*INDEX(Curves!$C$27:$BV$27,BO$2-4+1)+Eras!$G$5*INDEX(Curves!$C$50:$BV$50,BO$2-4+1))</f>
        <v/>
      </c>
      <c r="BP9" s="5">
        <f>$B9*(Eras!$G$3*INDEX(Curves!$C$4:$BV$4,BP$2-4+1)+Eras!$G$4*INDEX(Curves!$C$27:$BV$27,BP$2-4+1)+Eras!$G$5*INDEX(Curves!$C$50:$BV$50,BP$2-4+1))</f>
        <v/>
      </c>
      <c r="BQ9" s="5">
        <f>$B9*(Eras!$G$3*INDEX(Curves!$C$4:$BV$4,BQ$2-4+1)+Eras!$G$4*INDEX(Curves!$C$27:$BV$27,BQ$2-4+1)+Eras!$G$5*INDEX(Curves!$C$50:$BV$50,BQ$2-4+1))</f>
        <v/>
      </c>
      <c r="BR9" s="5">
        <f>$B9*(Eras!$G$3*INDEX(Curves!$C$4:$BV$4,BR$2-4+1)+Eras!$G$4*INDEX(Curves!$C$27:$BV$27,BR$2-4+1)+Eras!$G$5*INDEX(Curves!$C$50:$BV$50,BR$2-4+1))</f>
        <v/>
      </c>
      <c r="BS9" s="5">
        <f>$B9*(Eras!$G$3*INDEX(Curves!$C$4:$BV$4,BS$2-4+1)+Eras!$G$4*INDEX(Curves!$C$27:$BV$27,BS$2-4+1)+Eras!$G$5*INDEX(Curves!$C$50:$BV$50,BS$2-4+1))</f>
        <v/>
      </c>
      <c r="BT9" s="5">
        <f>$B9*(Eras!$G$3*INDEX(Curves!$C$4:$BV$4,BT$2-4+1)+Eras!$G$4*INDEX(Curves!$C$27:$BV$27,BT$2-4+1)+Eras!$G$5*INDEX(Curves!$C$50:$BV$50,BT$2-4+1))</f>
        <v/>
      </c>
      <c r="BU9" s="5">
        <f>$B9*(Eras!$G$3*INDEX(Curves!$C$4:$BV$4,BU$2-4+1)+Eras!$G$4*INDEX(Curves!$C$27:$BV$27,BU$2-4+1)+Eras!$G$5*INDEX(Curves!$C$50:$BV$50,BU$2-4+1))</f>
        <v/>
      </c>
      <c r="BV9" s="5">
        <f>$B9*(Eras!$G$3*INDEX(Curves!$C$4:$BV$4,BV$2-4+1)+Eras!$G$4*INDEX(Curves!$C$27:$BV$27,BV$2-4+1)+Eras!$G$5*INDEX(Curves!$C$50:$BV$50,BV$2-4+1))</f>
        <v/>
      </c>
    </row>
    <row r="10">
      <c r="A10" t="inlineStr">
        <is>
          <t>cohort 2025-06</t>
        </is>
      </c>
      <c r="B10" s="5">
        <f>INDEX(Adds!$C$13:$BV$13,6)</f>
        <v/>
      </c>
      <c r="H10" s="5">
        <f>$B10*(Eras!$H$3*INDEX(Curves!$C$4:$BV$4,H$2-5+1)+Eras!$H$4*INDEX(Curves!$C$27:$BV$27,H$2-5+1)+Eras!$H$5*INDEX(Curves!$C$50:$BV$50,H$2-5+1))</f>
        <v/>
      </c>
      <c r="I10" s="5">
        <f>$B10*(Eras!$H$3*INDEX(Curves!$C$4:$BV$4,I$2-5+1)+Eras!$H$4*INDEX(Curves!$C$27:$BV$27,I$2-5+1)+Eras!$H$5*INDEX(Curves!$C$50:$BV$50,I$2-5+1))</f>
        <v/>
      </c>
      <c r="J10" s="5">
        <f>$B10*(Eras!$H$3*INDEX(Curves!$C$4:$BV$4,J$2-5+1)+Eras!$H$4*INDEX(Curves!$C$27:$BV$27,J$2-5+1)+Eras!$H$5*INDEX(Curves!$C$50:$BV$50,J$2-5+1))</f>
        <v/>
      </c>
      <c r="K10" s="5">
        <f>$B10*(Eras!$H$3*INDEX(Curves!$C$4:$BV$4,K$2-5+1)+Eras!$H$4*INDEX(Curves!$C$27:$BV$27,K$2-5+1)+Eras!$H$5*INDEX(Curves!$C$50:$BV$50,K$2-5+1))</f>
        <v/>
      </c>
      <c r="L10" s="5">
        <f>$B10*(Eras!$H$3*INDEX(Curves!$C$4:$BV$4,L$2-5+1)+Eras!$H$4*INDEX(Curves!$C$27:$BV$27,L$2-5+1)+Eras!$H$5*INDEX(Curves!$C$50:$BV$50,L$2-5+1))</f>
        <v/>
      </c>
      <c r="M10" s="5">
        <f>$B10*(Eras!$H$3*INDEX(Curves!$C$4:$BV$4,M$2-5+1)+Eras!$H$4*INDEX(Curves!$C$27:$BV$27,M$2-5+1)+Eras!$H$5*INDEX(Curves!$C$50:$BV$50,M$2-5+1))</f>
        <v/>
      </c>
      <c r="N10" s="5">
        <f>$B10*(Eras!$H$3*INDEX(Curves!$C$4:$BV$4,N$2-5+1)+Eras!$H$4*INDEX(Curves!$C$27:$BV$27,N$2-5+1)+Eras!$H$5*INDEX(Curves!$C$50:$BV$50,N$2-5+1))</f>
        <v/>
      </c>
      <c r="O10" s="5">
        <f>$B10*(Eras!$H$3*INDEX(Curves!$C$4:$BV$4,O$2-5+1)+Eras!$H$4*INDEX(Curves!$C$27:$BV$27,O$2-5+1)+Eras!$H$5*INDEX(Curves!$C$50:$BV$50,O$2-5+1))</f>
        <v/>
      </c>
      <c r="P10" s="5">
        <f>$B10*(Eras!$H$3*INDEX(Curves!$C$4:$BV$4,P$2-5+1)+Eras!$H$4*INDEX(Curves!$C$27:$BV$27,P$2-5+1)+Eras!$H$5*INDEX(Curves!$C$50:$BV$50,P$2-5+1))</f>
        <v/>
      </c>
      <c r="Q10" s="5">
        <f>$B10*(Eras!$H$3*INDEX(Curves!$C$4:$BV$4,Q$2-5+1)+Eras!$H$4*INDEX(Curves!$C$27:$BV$27,Q$2-5+1)+Eras!$H$5*INDEX(Curves!$C$50:$BV$50,Q$2-5+1))</f>
        <v/>
      </c>
      <c r="R10" s="5">
        <f>$B10*(Eras!$H$3*INDEX(Curves!$C$4:$BV$4,R$2-5+1)+Eras!$H$4*INDEX(Curves!$C$27:$BV$27,R$2-5+1)+Eras!$H$5*INDEX(Curves!$C$50:$BV$50,R$2-5+1))</f>
        <v/>
      </c>
      <c r="S10" s="5">
        <f>$B10*(Eras!$H$3*INDEX(Curves!$C$4:$BV$4,S$2-5+1)+Eras!$H$4*INDEX(Curves!$C$27:$BV$27,S$2-5+1)+Eras!$H$5*INDEX(Curves!$C$50:$BV$50,S$2-5+1))</f>
        <v/>
      </c>
      <c r="T10" s="5">
        <f>$B10*(Eras!$H$3*INDEX(Curves!$C$4:$BV$4,T$2-5+1)+Eras!$H$4*INDEX(Curves!$C$27:$BV$27,T$2-5+1)+Eras!$H$5*INDEX(Curves!$C$50:$BV$50,T$2-5+1))</f>
        <v/>
      </c>
      <c r="U10" s="5">
        <f>$B10*(Eras!$H$3*INDEX(Curves!$C$4:$BV$4,U$2-5+1)+Eras!$H$4*INDEX(Curves!$C$27:$BV$27,U$2-5+1)+Eras!$H$5*INDEX(Curves!$C$50:$BV$50,U$2-5+1))</f>
        <v/>
      </c>
      <c r="V10" s="5">
        <f>$B10*(Eras!$H$3*INDEX(Curves!$C$4:$BV$4,V$2-5+1)+Eras!$H$4*INDEX(Curves!$C$27:$BV$27,V$2-5+1)+Eras!$H$5*INDEX(Curves!$C$50:$BV$50,V$2-5+1))</f>
        <v/>
      </c>
      <c r="W10" s="5">
        <f>$B10*(Eras!$H$3*INDEX(Curves!$C$4:$BV$4,W$2-5+1)+Eras!$H$4*INDEX(Curves!$C$27:$BV$27,W$2-5+1)+Eras!$H$5*INDEX(Curves!$C$50:$BV$50,W$2-5+1))</f>
        <v/>
      </c>
      <c r="X10" s="5">
        <f>$B10*(Eras!$H$3*INDEX(Curves!$C$4:$BV$4,X$2-5+1)+Eras!$H$4*INDEX(Curves!$C$27:$BV$27,X$2-5+1)+Eras!$H$5*INDEX(Curves!$C$50:$BV$50,X$2-5+1))</f>
        <v/>
      </c>
      <c r="Y10" s="5">
        <f>$B10*(Eras!$H$3*INDEX(Curves!$C$4:$BV$4,Y$2-5+1)+Eras!$H$4*INDEX(Curves!$C$27:$BV$27,Y$2-5+1)+Eras!$H$5*INDEX(Curves!$C$50:$BV$50,Y$2-5+1))</f>
        <v/>
      </c>
      <c r="Z10" s="5">
        <f>$B10*(Eras!$H$3*INDEX(Curves!$C$4:$BV$4,Z$2-5+1)+Eras!$H$4*INDEX(Curves!$C$27:$BV$27,Z$2-5+1)+Eras!$H$5*INDEX(Curves!$C$50:$BV$50,Z$2-5+1))</f>
        <v/>
      </c>
      <c r="AA10" s="5">
        <f>$B10*(Eras!$H$3*INDEX(Curves!$C$4:$BV$4,AA$2-5+1)+Eras!$H$4*INDEX(Curves!$C$27:$BV$27,AA$2-5+1)+Eras!$H$5*INDEX(Curves!$C$50:$BV$50,AA$2-5+1))</f>
        <v/>
      </c>
      <c r="AB10" s="5">
        <f>$B10*(Eras!$H$3*INDEX(Curves!$C$4:$BV$4,AB$2-5+1)+Eras!$H$4*INDEX(Curves!$C$27:$BV$27,AB$2-5+1)+Eras!$H$5*INDEX(Curves!$C$50:$BV$50,AB$2-5+1))</f>
        <v/>
      </c>
      <c r="AC10" s="5">
        <f>$B10*(Eras!$H$3*INDEX(Curves!$C$4:$BV$4,AC$2-5+1)+Eras!$H$4*INDEX(Curves!$C$27:$BV$27,AC$2-5+1)+Eras!$H$5*INDEX(Curves!$C$50:$BV$50,AC$2-5+1))</f>
        <v/>
      </c>
      <c r="AD10" s="5">
        <f>$B10*(Eras!$H$3*INDEX(Curves!$C$4:$BV$4,AD$2-5+1)+Eras!$H$4*INDEX(Curves!$C$27:$BV$27,AD$2-5+1)+Eras!$H$5*INDEX(Curves!$C$50:$BV$50,AD$2-5+1))</f>
        <v/>
      </c>
      <c r="AE10" s="5">
        <f>$B10*(Eras!$H$3*INDEX(Curves!$C$4:$BV$4,AE$2-5+1)+Eras!$H$4*INDEX(Curves!$C$27:$BV$27,AE$2-5+1)+Eras!$H$5*INDEX(Curves!$C$50:$BV$50,AE$2-5+1))</f>
        <v/>
      </c>
      <c r="AF10" s="5">
        <f>$B10*(Eras!$H$3*INDEX(Curves!$C$4:$BV$4,AF$2-5+1)+Eras!$H$4*INDEX(Curves!$C$27:$BV$27,AF$2-5+1)+Eras!$H$5*INDEX(Curves!$C$50:$BV$50,AF$2-5+1))</f>
        <v/>
      </c>
      <c r="AG10" s="5">
        <f>$B10*(Eras!$H$3*INDEX(Curves!$C$4:$BV$4,AG$2-5+1)+Eras!$H$4*INDEX(Curves!$C$27:$BV$27,AG$2-5+1)+Eras!$H$5*INDEX(Curves!$C$50:$BV$50,AG$2-5+1))</f>
        <v/>
      </c>
      <c r="AH10" s="5">
        <f>$B10*(Eras!$H$3*INDEX(Curves!$C$4:$BV$4,AH$2-5+1)+Eras!$H$4*INDEX(Curves!$C$27:$BV$27,AH$2-5+1)+Eras!$H$5*INDEX(Curves!$C$50:$BV$50,AH$2-5+1))</f>
        <v/>
      </c>
      <c r="AI10" s="5">
        <f>$B10*(Eras!$H$3*INDEX(Curves!$C$4:$BV$4,AI$2-5+1)+Eras!$H$4*INDEX(Curves!$C$27:$BV$27,AI$2-5+1)+Eras!$H$5*INDEX(Curves!$C$50:$BV$50,AI$2-5+1))</f>
        <v/>
      </c>
      <c r="AJ10" s="5">
        <f>$B10*(Eras!$H$3*INDEX(Curves!$C$4:$BV$4,AJ$2-5+1)+Eras!$H$4*INDEX(Curves!$C$27:$BV$27,AJ$2-5+1)+Eras!$H$5*INDEX(Curves!$C$50:$BV$50,AJ$2-5+1))</f>
        <v/>
      </c>
      <c r="AK10" s="5">
        <f>$B10*(Eras!$H$3*INDEX(Curves!$C$4:$BV$4,AK$2-5+1)+Eras!$H$4*INDEX(Curves!$C$27:$BV$27,AK$2-5+1)+Eras!$H$5*INDEX(Curves!$C$50:$BV$50,AK$2-5+1))</f>
        <v/>
      </c>
      <c r="AL10" s="5">
        <f>$B10*(Eras!$H$3*INDEX(Curves!$C$4:$BV$4,AL$2-5+1)+Eras!$H$4*INDEX(Curves!$C$27:$BV$27,AL$2-5+1)+Eras!$H$5*INDEX(Curves!$C$50:$BV$50,AL$2-5+1))</f>
        <v/>
      </c>
      <c r="AM10" s="5">
        <f>$B10*(Eras!$H$3*INDEX(Curves!$C$4:$BV$4,AM$2-5+1)+Eras!$H$4*INDEX(Curves!$C$27:$BV$27,AM$2-5+1)+Eras!$H$5*INDEX(Curves!$C$50:$BV$50,AM$2-5+1))</f>
        <v/>
      </c>
      <c r="AN10" s="5">
        <f>$B10*(Eras!$H$3*INDEX(Curves!$C$4:$BV$4,AN$2-5+1)+Eras!$H$4*INDEX(Curves!$C$27:$BV$27,AN$2-5+1)+Eras!$H$5*INDEX(Curves!$C$50:$BV$50,AN$2-5+1))</f>
        <v/>
      </c>
      <c r="AO10" s="5">
        <f>$B10*(Eras!$H$3*INDEX(Curves!$C$4:$BV$4,AO$2-5+1)+Eras!$H$4*INDEX(Curves!$C$27:$BV$27,AO$2-5+1)+Eras!$H$5*INDEX(Curves!$C$50:$BV$50,AO$2-5+1))</f>
        <v/>
      </c>
      <c r="AP10" s="5">
        <f>$B10*(Eras!$H$3*INDEX(Curves!$C$4:$BV$4,AP$2-5+1)+Eras!$H$4*INDEX(Curves!$C$27:$BV$27,AP$2-5+1)+Eras!$H$5*INDEX(Curves!$C$50:$BV$50,AP$2-5+1))</f>
        <v/>
      </c>
      <c r="AQ10" s="5">
        <f>$B10*(Eras!$H$3*INDEX(Curves!$C$4:$BV$4,AQ$2-5+1)+Eras!$H$4*INDEX(Curves!$C$27:$BV$27,AQ$2-5+1)+Eras!$H$5*INDEX(Curves!$C$50:$BV$50,AQ$2-5+1))</f>
        <v/>
      </c>
      <c r="AR10" s="5">
        <f>$B10*(Eras!$H$3*INDEX(Curves!$C$4:$BV$4,AR$2-5+1)+Eras!$H$4*INDEX(Curves!$C$27:$BV$27,AR$2-5+1)+Eras!$H$5*INDEX(Curves!$C$50:$BV$50,AR$2-5+1))</f>
        <v/>
      </c>
      <c r="AS10" s="5">
        <f>$B10*(Eras!$H$3*INDEX(Curves!$C$4:$BV$4,AS$2-5+1)+Eras!$H$4*INDEX(Curves!$C$27:$BV$27,AS$2-5+1)+Eras!$H$5*INDEX(Curves!$C$50:$BV$50,AS$2-5+1))</f>
        <v/>
      </c>
      <c r="AT10" s="5">
        <f>$B10*(Eras!$H$3*INDEX(Curves!$C$4:$BV$4,AT$2-5+1)+Eras!$H$4*INDEX(Curves!$C$27:$BV$27,AT$2-5+1)+Eras!$H$5*INDEX(Curves!$C$50:$BV$50,AT$2-5+1))</f>
        <v/>
      </c>
      <c r="AU10" s="5">
        <f>$B10*(Eras!$H$3*INDEX(Curves!$C$4:$BV$4,AU$2-5+1)+Eras!$H$4*INDEX(Curves!$C$27:$BV$27,AU$2-5+1)+Eras!$H$5*INDEX(Curves!$C$50:$BV$50,AU$2-5+1))</f>
        <v/>
      </c>
      <c r="AV10" s="5">
        <f>$B10*(Eras!$H$3*INDEX(Curves!$C$4:$BV$4,AV$2-5+1)+Eras!$H$4*INDEX(Curves!$C$27:$BV$27,AV$2-5+1)+Eras!$H$5*INDEX(Curves!$C$50:$BV$50,AV$2-5+1))</f>
        <v/>
      </c>
      <c r="AW10" s="5">
        <f>$B10*(Eras!$H$3*INDEX(Curves!$C$4:$BV$4,AW$2-5+1)+Eras!$H$4*INDEX(Curves!$C$27:$BV$27,AW$2-5+1)+Eras!$H$5*INDEX(Curves!$C$50:$BV$50,AW$2-5+1))</f>
        <v/>
      </c>
      <c r="AX10" s="5">
        <f>$B10*(Eras!$H$3*INDEX(Curves!$C$4:$BV$4,AX$2-5+1)+Eras!$H$4*INDEX(Curves!$C$27:$BV$27,AX$2-5+1)+Eras!$H$5*INDEX(Curves!$C$50:$BV$50,AX$2-5+1))</f>
        <v/>
      </c>
      <c r="AY10" s="5">
        <f>$B10*(Eras!$H$3*INDEX(Curves!$C$4:$BV$4,AY$2-5+1)+Eras!$H$4*INDEX(Curves!$C$27:$BV$27,AY$2-5+1)+Eras!$H$5*INDEX(Curves!$C$50:$BV$50,AY$2-5+1))</f>
        <v/>
      </c>
      <c r="AZ10" s="5">
        <f>$B10*(Eras!$H$3*INDEX(Curves!$C$4:$BV$4,AZ$2-5+1)+Eras!$H$4*INDEX(Curves!$C$27:$BV$27,AZ$2-5+1)+Eras!$H$5*INDEX(Curves!$C$50:$BV$50,AZ$2-5+1))</f>
        <v/>
      </c>
      <c r="BA10" s="5">
        <f>$B10*(Eras!$H$3*INDEX(Curves!$C$4:$BV$4,BA$2-5+1)+Eras!$H$4*INDEX(Curves!$C$27:$BV$27,BA$2-5+1)+Eras!$H$5*INDEX(Curves!$C$50:$BV$50,BA$2-5+1))</f>
        <v/>
      </c>
      <c r="BB10" s="5">
        <f>$B10*(Eras!$H$3*INDEX(Curves!$C$4:$BV$4,BB$2-5+1)+Eras!$H$4*INDEX(Curves!$C$27:$BV$27,BB$2-5+1)+Eras!$H$5*INDEX(Curves!$C$50:$BV$50,BB$2-5+1))</f>
        <v/>
      </c>
      <c r="BC10" s="5">
        <f>$B10*(Eras!$H$3*INDEX(Curves!$C$4:$BV$4,BC$2-5+1)+Eras!$H$4*INDEX(Curves!$C$27:$BV$27,BC$2-5+1)+Eras!$H$5*INDEX(Curves!$C$50:$BV$50,BC$2-5+1))</f>
        <v/>
      </c>
      <c r="BD10" s="5">
        <f>$B10*(Eras!$H$3*INDEX(Curves!$C$4:$BV$4,BD$2-5+1)+Eras!$H$4*INDEX(Curves!$C$27:$BV$27,BD$2-5+1)+Eras!$H$5*INDEX(Curves!$C$50:$BV$50,BD$2-5+1))</f>
        <v/>
      </c>
      <c r="BE10" s="5">
        <f>$B10*(Eras!$H$3*INDEX(Curves!$C$4:$BV$4,BE$2-5+1)+Eras!$H$4*INDEX(Curves!$C$27:$BV$27,BE$2-5+1)+Eras!$H$5*INDEX(Curves!$C$50:$BV$50,BE$2-5+1))</f>
        <v/>
      </c>
      <c r="BF10" s="5">
        <f>$B10*(Eras!$H$3*INDEX(Curves!$C$4:$BV$4,BF$2-5+1)+Eras!$H$4*INDEX(Curves!$C$27:$BV$27,BF$2-5+1)+Eras!$H$5*INDEX(Curves!$C$50:$BV$50,BF$2-5+1))</f>
        <v/>
      </c>
      <c r="BG10" s="5">
        <f>$B10*(Eras!$H$3*INDEX(Curves!$C$4:$BV$4,BG$2-5+1)+Eras!$H$4*INDEX(Curves!$C$27:$BV$27,BG$2-5+1)+Eras!$H$5*INDEX(Curves!$C$50:$BV$50,BG$2-5+1))</f>
        <v/>
      </c>
      <c r="BH10" s="5">
        <f>$B10*(Eras!$H$3*INDEX(Curves!$C$4:$BV$4,BH$2-5+1)+Eras!$H$4*INDEX(Curves!$C$27:$BV$27,BH$2-5+1)+Eras!$H$5*INDEX(Curves!$C$50:$BV$50,BH$2-5+1))</f>
        <v/>
      </c>
      <c r="BI10" s="5">
        <f>$B10*(Eras!$H$3*INDEX(Curves!$C$4:$BV$4,BI$2-5+1)+Eras!$H$4*INDEX(Curves!$C$27:$BV$27,BI$2-5+1)+Eras!$H$5*INDEX(Curves!$C$50:$BV$50,BI$2-5+1))</f>
        <v/>
      </c>
      <c r="BJ10" s="5">
        <f>$B10*(Eras!$H$3*INDEX(Curves!$C$4:$BV$4,BJ$2-5+1)+Eras!$H$4*INDEX(Curves!$C$27:$BV$27,BJ$2-5+1)+Eras!$H$5*INDEX(Curves!$C$50:$BV$50,BJ$2-5+1))</f>
        <v/>
      </c>
      <c r="BK10" s="5">
        <f>$B10*(Eras!$H$3*INDEX(Curves!$C$4:$BV$4,BK$2-5+1)+Eras!$H$4*INDEX(Curves!$C$27:$BV$27,BK$2-5+1)+Eras!$H$5*INDEX(Curves!$C$50:$BV$50,BK$2-5+1))</f>
        <v/>
      </c>
      <c r="BL10" s="5">
        <f>$B10*(Eras!$H$3*INDEX(Curves!$C$4:$BV$4,BL$2-5+1)+Eras!$H$4*INDEX(Curves!$C$27:$BV$27,BL$2-5+1)+Eras!$H$5*INDEX(Curves!$C$50:$BV$50,BL$2-5+1))</f>
        <v/>
      </c>
      <c r="BM10" s="5">
        <f>$B10*(Eras!$H$3*INDEX(Curves!$C$4:$BV$4,BM$2-5+1)+Eras!$H$4*INDEX(Curves!$C$27:$BV$27,BM$2-5+1)+Eras!$H$5*INDEX(Curves!$C$50:$BV$50,BM$2-5+1))</f>
        <v/>
      </c>
      <c r="BN10" s="5">
        <f>$B10*(Eras!$H$3*INDEX(Curves!$C$4:$BV$4,BN$2-5+1)+Eras!$H$4*INDEX(Curves!$C$27:$BV$27,BN$2-5+1)+Eras!$H$5*INDEX(Curves!$C$50:$BV$50,BN$2-5+1))</f>
        <v/>
      </c>
      <c r="BO10" s="5">
        <f>$B10*(Eras!$H$3*INDEX(Curves!$C$4:$BV$4,BO$2-5+1)+Eras!$H$4*INDEX(Curves!$C$27:$BV$27,BO$2-5+1)+Eras!$H$5*INDEX(Curves!$C$50:$BV$50,BO$2-5+1))</f>
        <v/>
      </c>
      <c r="BP10" s="5">
        <f>$B10*(Eras!$H$3*INDEX(Curves!$C$4:$BV$4,BP$2-5+1)+Eras!$H$4*INDEX(Curves!$C$27:$BV$27,BP$2-5+1)+Eras!$H$5*INDEX(Curves!$C$50:$BV$50,BP$2-5+1))</f>
        <v/>
      </c>
      <c r="BQ10" s="5">
        <f>$B10*(Eras!$H$3*INDEX(Curves!$C$4:$BV$4,BQ$2-5+1)+Eras!$H$4*INDEX(Curves!$C$27:$BV$27,BQ$2-5+1)+Eras!$H$5*INDEX(Curves!$C$50:$BV$50,BQ$2-5+1))</f>
        <v/>
      </c>
      <c r="BR10" s="5">
        <f>$B10*(Eras!$H$3*INDEX(Curves!$C$4:$BV$4,BR$2-5+1)+Eras!$H$4*INDEX(Curves!$C$27:$BV$27,BR$2-5+1)+Eras!$H$5*INDEX(Curves!$C$50:$BV$50,BR$2-5+1))</f>
        <v/>
      </c>
      <c r="BS10" s="5">
        <f>$B10*(Eras!$H$3*INDEX(Curves!$C$4:$BV$4,BS$2-5+1)+Eras!$H$4*INDEX(Curves!$C$27:$BV$27,BS$2-5+1)+Eras!$H$5*INDEX(Curves!$C$50:$BV$50,BS$2-5+1))</f>
        <v/>
      </c>
      <c r="BT10" s="5">
        <f>$B10*(Eras!$H$3*INDEX(Curves!$C$4:$BV$4,BT$2-5+1)+Eras!$H$4*INDEX(Curves!$C$27:$BV$27,BT$2-5+1)+Eras!$H$5*INDEX(Curves!$C$50:$BV$50,BT$2-5+1))</f>
        <v/>
      </c>
      <c r="BU10" s="5">
        <f>$B10*(Eras!$H$3*INDEX(Curves!$C$4:$BV$4,BU$2-5+1)+Eras!$H$4*INDEX(Curves!$C$27:$BV$27,BU$2-5+1)+Eras!$H$5*INDEX(Curves!$C$50:$BV$50,BU$2-5+1))</f>
        <v/>
      </c>
      <c r="BV10" s="5">
        <f>$B10*(Eras!$H$3*INDEX(Curves!$C$4:$BV$4,BV$2-5+1)+Eras!$H$4*INDEX(Curves!$C$27:$BV$27,BV$2-5+1)+Eras!$H$5*INDEX(Curves!$C$50:$BV$50,BV$2-5+1))</f>
        <v/>
      </c>
    </row>
    <row r="11">
      <c r="A11" t="inlineStr">
        <is>
          <t>cohort 2025-07</t>
        </is>
      </c>
      <c r="B11" s="5">
        <f>INDEX(Adds!$C$13:$BV$13,7)</f>
        <v/>
      </c>
      <c r="I11" s="5">
        <f>$B11*(Eras!$I$3*INDEX(Curves!$C$4:$BV$4,I$2-6+1)+Eras!$I$4*INDEX(Curves!$C$27:$BV$27,I$2-6+1)+Eras!$I$5*INDEX(Curves!$C$50:$BV$50,I$2-6+1))</f>
        <v/>
      </c>
      <c r="J11" s="5">
        <f>$B11*(Eras!$I$3*INDEX(Curves!$C$4:$BV$4,J$2-6+1)+Eras!$I$4*INDEX(Curves!$C$27:$BV$27,J$2-6+1)+Eras!$I$5*INDEX(Curves!$C$50:$BV$50,J$2-6+1))</f>
        <v/>
      </c>
      <c r="K11" s="5">
        <f>$B11*(Eras!$I$3*INDEX(Curves!$C$4:$BV$4,K$2-6+1)+Eras!$I$4*INDEX(Curves!$C$27:$BV$27,K$2-6+1)+Eras!$I$5*INDEX(Curves!$C$50:$BV$50,K$2-6+1))</f>
        <v/>
      </c>
      <c r="L11" s="5">
        <f>$B11*(Eras!$I$3*INDEX(Curves!$C$4:$BV$4,L$2-6+1)+Eras!$I$4*INDEX(Curves!$C$27:$BV$27,L$2-6+1)+Eras!$I$5*INDEX(Curves!$C$50:$BV$50,L$2-6+1))</f>
        <v/>
      </c>
      <c r="M11" s="5">
        <f>$B11*(Eras!$I$3*INDEX(Curves!$C$4:$BV$4,M$2-6+1)+Eras!$I$4*INDEX(Curves!$C$27:$BV$27,M$2-6+1)+Eras!$I$5*INDEX(Curves!$C$50:$BV$50,M$2-6+1))</f>
        <v/>
      </c>
      <c r="N11" s="5">
        <f>$B11*(Eras!$I$3*INDEX(Curves!$C$4:$BV$4,N$2-6+1)+Eras!$I$4*INDEX(Curves!$C$27:$BV$27,N$2-6+1)+Eras!$I$5*INDEX(Curves!$C$50:$BV$50,N$2-6+1))</f>
        <v/>
      </c>
      <c r="O11" s="5">
        <f>$B11*(Eras!$I$3*INDEX(Curves!$C$4:$BV$4,O$2-6+1)+Eras!$I$4*INDEX(Curves!$C$27:$BV$27,O$2-6+1)+Eras!$I$5*INDEX(Curves!$C$50:$BV$50,O$2-6+1))</f>
        <v/>
      </c>
      <c r="P11" s="5">
        <f>$B11*(Eras!$I$3*INDEX(Curves!$C$4:$BV$4,P$2-6+1)+Eras!$I$4*INDEX(Curves!$C$27:$BV$27,P$2-6+1)+Eras!$I$5*INDEX(Curves!$C$50:$BV$50,P$2-6+1))</f>
        <v/>
      </c>
      <c r="Q11" s="5">
        <f>$B11*(Eras!$I$3*INDEX(Curves!$C$4:$BV$4,Q$2-6+1)+Eras!$I$4*INDEX(Curves!$C$27:$BV$27,Q$2-6+1)+Eras!$I$5*INDEX(Curves!$C$50:$BV$50,Q$2-6+1))</f>
        <v/>
      </c>
      <c r="R11" s="5">
        <f>$B11*(Eras!$I$3*INDEX(Curves!$C$4:$BV$4,R$2-6+1)+Eras!$I$4*INDEX(Curves!$C$27:$BV$27,R$2-6+1)+Eras!$I$5*INDEX(Curves!$C$50:$BV$50,R$2-6+1))</f>
        <v/>
      </c>
      <c r="S11" s="5">
        <f>$B11*(Eras!$I$3*INDEX(Curves!$C$4:$BV$4,S$2-6+1)+Eras!$I$4*INDEX(Curves!$C$27:$BV$27,S$2-6+1)+Eras!$I$5*INDEX(Curves!$C$50:$BV$50,S$2-6+1))</f>
        <v/>
      </c>
      <c r="T11" s="5">
        <f>$B11*(Eras!$I$3*INDEX(Curves!$C$4:$BV$4,T$2-6+1)+Eras!$I$4*INDEX(Curves!$C$27:$BV$27,T$2-6+1)+Eras!$I$5*INDEX(Curves!$C$50:$BV$50,T$2-6+1))</f>
        <v/>
      </c>
      <c r="U11" s="5">
        <f>$B11*(Eras!$I$3*INDEX(Curves!$C$4:$BV$4,U$2-6+1)+Eras!$I$4*INDEX(Curves!$C$27:$BV$27,U$2-6+1)+Eras!$I$5*INDEX(Curves!$C$50:$BV$50,U$2-6+1))</f>
        <v/>
      </c>
      <c r="V11" s="5">
        <f>$B11*(Eras!$I$3*INDEX(Curves!$C$4:$BV$4,V$2-6+1)+Eras!$I$4*INDEX(Curves!$C$27:$BV$27,V$2-6+1)+Eras!$I$5*INDEX(Curves!$C$50:$BV$50,V$2-6+1))</f>
        <v/>
      </c>
      <c r="W11" s="5">
        <f>$B11*(Eras!$I$3*INDEX(Curves!$C$4:$BV$4,W$2-6+1)+Eras!$I$4*INDEX(Curves!$C$27:$BV$27,W$2-6+1)+Eras!$I$5*INDEX(Curves!$C$50:$BV$50,W$2-6+1))</f>
        <v/>
      </c>
      <c r="X11" s="5">
        <f>$B11*(Eras!$I$3*INDEX(Curves!$C$4:$BV$4,X$2-6+1)+Eras!$I$4*INDEX(Curves!$C$27:$BV$27,X$2-6+1)+Eras!$I$5*INDEX(Curves!$C$50:$BV$50,X$2-6+1))</f>
        <v/>
      </c>
      <c r="Y11" s="5">
        <f>$B11*(Eras!$I$3*INDEX(Curves!$C$4:$BV$4,Y$2-6+1)+Eras!$I$4*INDEX(Curves!$C$27:$BV$27,Y$2-6+1)+Eras!$I$5*INDEX(Curves!$C$50:$BV$50,Y$2-6+1))</f>
        <v/>
      </c>
      <c r="Z11" s="5">
        <f>$B11*(Eras!$I$3*INDEX(Curves!$C$4:$BV$4,Z$2-6+1)+Eras!$I$4*INDEX(Curves!$C$27:$BV$27,Z$2-6+1)+Eras!$I$5*INDEX(Curves!$C$50:$BV$50,Z$2-6+1))</f>
        <v/>
      </c>
      <c r="AA11" s="5">
        <f>$B11*(Eras!$I$3*INDEX(Curves!$C$4:$BV$4,AA$2-6+1)+Eras!$I$4*INDEX(Curves!$C$27:$BV$27,AA$2-6+1)+Eras!$I$5*INDEX(Curves!$C$50:$BV$50,AA$2-6+1))</f>
        <v/>
      </c>
      <c r="AB11" s="5">
        <f>$B11*(Eras!$I$3*INDEX(Curves!$C$4:$BV$4,AB$2-6+1)+Eras!$I$4*INDEX(Curves!$C$27:$BV$27,AB$2-6+1)+Eras!$I$5*INDEX(Curves!$C$50:$BV$50,AB$2-6+1))</f>
        <v/>
      </c>
      <c r="AC11" s="5">
        <f>$B11*(Eras!$I$3*INDEX(Curves!$C$4:$BV$4,AC$2-6+1)+Eras!$I$4*INDEX(Curves!$C$27:$BV$27,AC$2-6+1)+Eras!$I$5*INDEX(Curves!$C$50:$BV$50,AC$2-6+1))</f>
        <v/>
      </c>
      <c r="AD11" s="5">
        <f>$B11*(Eras!$I$3*INDEX(Curves!$C$4:$BV$4,AD$2-6+1)+Eras!$I$4*INDEX(Curves!$C$27:$BV$27,AD$2-6+1)+Eras!$I$5*INDEX(Curves!$C$50:$BV$50,AD$2-6+1))</f>
        <v/>
      </c>
      <c r="AE11" s="5">
        <f>$B11*(Eras!$I$3*INDEX(Curves!$C$4:$BV$4,AE$2-6+1)+Eras!$I$4*INDEX(Curves!$C$27:$BV$27,AE$2-6+1)+Eras!$I$5*INDEX(Curves!$C$50:$BV$50,AE$2-6+1))</f>
        <v/>
      </c>
      <c r="AF11" s="5">
        <f>$B11*(Eras!$I$3*INDEX(Curves!$C$4:$BV$4,AF$2-6+1)+Eras!$I$4*INDEX(Curves!$C$27:$BV$27,AF$2-6+1)+Eras!$I$5*INDEX(Curves!$C$50:$BV$50,AF$2-6+1))</f>
        <v/>
      </c>
      <c r="AG11" s="5">
        <f>$B11*(Eras!$I$3*INDEX(Curves!$C$4:$BV$4,AG$2-6+1)+Eras!$I$4*INDEX(Curves!$C$27:$BV$27,AG$2-6+1)+Eras!$I$5*INDEX(Curves!$C$50:$BV$50,AG$2-6+1))</f>
        <v/>
      </c>
      <c r="AH11" s="5">
        <f>$B11*(Eras!$I$3*INDEX(Curves!$C$4:$BV$4,AH$2-6+1)+Eras!$I$4*INDEX(Curves!$C$27:$BV$27,AH$2-6+1)+Eras!$I$5*INDEX(Curves!$C$50:$BV$50,AH$2-6+1))</f>
        <v/>
      </c>
      <c r="AI11" s="5">
        <f>$B11*(Eras!$I$3*INDEX(Curves!$C$4:$BV$4,AI$2-6+1)+Eras!$I$4*INDEX(Curves!$C$27:$BV$27,AI$2-6+1)+Eras!$I$5*INDEX(Curves!$C$50:$BV$50,AI$2-6+1))</f>
        <v/>
      </c>
      <c r="AJ11" s="5">
        <f>$B11*(Eras!$I$3*INDEX(Curves!$C$4:$BV$4,AJ$2-6+1)+Eras!$I$4*INDEX(Curves!$C$27:$BV$27,AJ$2-6+1)+Eras!$I$5*INDEX(Curves!$C$50:$BV$50,AJ$2-6+1))</f>
        <v/>
      </c>
      <c r="AK11" s="5">
        <f>$B11*(Eras!$I$3*INDEX(Curves!$C$4:$BV$4,AK$2-6+1)+Eras!$I$4*INDEX(Curves!$C$27:$BV$27,AK$2-6+1)+Eras!$I$5*INDEX(Curves!$C$50:$BV$50,AK$2-6+1))</f>
        <v/>
      </c>
      <c r="AL11" s="5">
        <f>$B11*(Eras!$I$3*INDEX(Curves!$C$4:$BV$4,AL$2-6+1)+Eras!$I$4*INDEX(Curves!$C$27:$BV$27,AL$2-6+1)+Eras!$I$5*INDEX(Curves!$C$50:$BV$50,AL$2-6+1))</f>
        <v/>
      </c>
      <c r="AM11" s="5">
        <f>$B11*(Eras!$I$3*INDEX(Curves!$C$4:$BV$4,AM$2-6+1)+Eras!$I$4*INDEX(Curves!$C$27:$BV$27,AM$2-6+1)+Eras!$I$5*INDEX(Curves!$C$50:$BV$50,AM$2-6+1))</f>
        <v/>
      </c>
      <c r="AN11" s="5">
        <f>$B11*(Eras!$I$3*INDEX(Curves!$C$4:$BV$4,AN$2-6+1)+Eras!$I$4*INDEX(Curves!$C$27:$BV$27,AN$2-6+1)+Eras!$I$5*INDEX(Curves!$C$50:$BV$50,AN$2-6+1))</f>
        <v/>
      </c>
      <c r="AO11" s="5">
        <f>$B11*(Eras!$I$3*INDEX(Curves!$C$4:$BV$4,AO$2-6+1)+Eras!$I$4*INDEX(Curves!$C$27:$BV$27,AO$2-6+1)+Eras!$I$5*INDEX(Curves!$C$50:$BV$50,AO$2-6+1))</f>
        <v/>
      </c>
      <c r="AP11" s="5">
        <f>$B11*(Eras!$I$3*INDEX(Curves!$C$4:$BV$4,AP$2-6+1)+Eras!$I$4*INDEX(Curves!$C$27:$BV$27,AP$2-6+1)+Eras!$I$5*INDEX(Curves!$C$50:$BV$50,AP$2-6+1))</f>
        <v/>
      </c>
      <c r="AQ11" s="5">
        <f>$B11*(Eras!$I$3*INDEX(Curves!$C$4:$BV$4,AQ$2-6+1)+Eras!$I$4*INDEX(Curves!$C$27:$BV$27,AQ$2-6+1)+Eras!$I$5*INDEX(Curves!$C$50:$BV$50,AQ$2-6+1))</f>
        <v/>
      </c>
      <c r="AR11" s="5">
        <f>$B11*(Eras!$I$3*INDEX(Curves!$C$4:$BV$4,AR$2-6+1)+Eras!$I$4*INDEX(Curves!$C$27:$BV$27,AR$2-6+1)+Eras!$I$5*INDEX(Curves!$C$50:$BV$50,AR$2-6+1))</f>
        <v/>
      </c>
      <c r="AS11" s="5">
        <f>$B11*(Eras!$I$3*INDEX(Curves!$C$4:$BV$4,AS$2-6+1)+Eras!$I$4*INDEX(Curves!$C$27:$BV$27,AS$2-6+1)+Eras!$I$5*INDEX(Curves!$C$50:$BV$50,AS$2-6+1))</f>
        <v/>
      </c>
      <c r="AT11" s="5">
        <f>$B11*(Eras!$I$3*INDEX(Curves!$C$4:$BV$4,AT$2-6+1)+Eras!$I$4*INDEX(Curves!$C$27:$BV$27,AT$2-6+1)+Eras!$I$5*INDEX(Curves!$C$50:$BV$50,AT$2-6+1))</f>
        <v/>
      </c>
      <c r="AU11" s="5">
        <f>$B11*(Eras!$I$3*INDEX(Curves!$C$4:$BV$4,AU$2-6+1)+Eras!$I$4*INDEX(Curves!$C$27:$BV$27,AU$2-6+1)+Eras!$I$5*INDEX(Curves!$C$50:$BV$50,AU$2-6+1))</f>
        <v/>
      </c>
      <c r="AV11" s="5">
        <f>$B11*(Eras!$I$3*INDEX(Curves!$C$4:$BV$4,AV$2-6+1)+Eras!$I$4*INDEX(Curves!$C$27:$BV$27,AV$2-6+1)+Eras!$I$5*INDEX(Curves!$C$50:$BV$50,AV$2-6+1))</f>
        <v/>
      </c>
      <c r="AW11" s="5">
        <f>$B11*(Eras!$I$3*INDEX(Curves!$C$4:$BV$4,AW$2-6+1)+Eras!$I$4*INDEX(Curves!$C$27:$BV$27,AW$2-6+1)+Eras!$I$5*INDEX(Curves!$C$50:$BV$50,AW$2-6+1))</f>
        <v/>
      </c>
      <c r="AX11" s="5">
        <f>$B11*(Eras!$I$3*INDEX(Curves!$C$4:$BV$4,AX$2-6+1)+Eras!$I$4*INDEX(Curves!$C$27:$BV$27,AX$2-6+1)+Eras!$I$5*INDEX(Curves!$C$50:$BV$50,AX$2-6+1))</f>
        <v/>
      </c>
      <c r="AY11" s="5">
        <f>$B11*(Eras!$I$3*INDEX(Curves!$C$4:$BV$4,AY$2-6+1)+Eras!$I$4*INDEX(Curves!$C$27:$BV$27,AY$2-6+1)+Eras!$I$5*INDEX(Curves!$C$50:$BV$50,AY$2-6+1))</f>
        <v/>
      </c>
      <c r="AZ11" s="5">
        <f>$B11*(Eras!$I$3*INDEX(Curves!$C$4:$BV$4,AZ$2-6+1)+Eras!$I$4*INDEX(Curves!$C$27:$BV$27,AZ$2-6+1)+Eras!$I$5*INDEX(Curves!$C$50:$BV$50,AZ$2-6+1))</f>
        <v/>
      </c>
      <c r="BA11" s="5">
        <f>$B11*(Eras!$I$3*INDEX(Curves!$C$4:$BV$4,BA$2-6+1)+Eras!$I$4*INDEX(Curves!$C$27:$BV$27,BA$2-6+1)+Eras!$I$5*INDEX(Curves!$C$50:$BV$50,BA$2-6+1))</f>
        <v/>
      </c>
      <c r="BB11" s="5">
        <f>$B11*(Eras!$I$3*INDEX(Curves!$C$4:$BV$4,BB$2-6+1)+Eras!$I$4*INDEX(Curves!$C$27:$BV$27,BB$2-6+1)+Eras!$I$5*INDEX(Curves!$C$50:$BV$50,BB$2-6+1))</f>
        <v/>
      </c>
      <c r="BC11" s="5">
        <f>$B11*(Eras!$I$3*INDEX(Curves!$C$4:$BV$4,BC$2-6+1)+Eras!$I$4*INDEX(Curves!$C$27:$BV$27,BC$2-6+1)+Eras!$I$5*INDEX(Curves!$C$50:$BV$50,BC$2-6+1))</f>
        <v/>
      </c>
      <c r="BD11" s="5">
        <f>$B11*(Eras!$I$3*INDEX(Curves!$C$4:$BV$4,BD$2-6+1)+Eras!$I$4*INDEX(Curves!$C$27:$BV$27,BD$2-6+1)+Eras!$I$5*INDEX(Curves!$C$50:$BV$50,BD$2-6+1))</f>
        <v/>
      </c>
      <c r="BE11" s="5">
        <f>$B11*(Eras!$I$3*INDEX(Curves!$C$4:$BV$4,BE$2-6+1)+Eras!$I$4*INDEX(Curves!$C$27:$BV$27,BE$2-6+1)+Eras!$I$5*INDEX(Curves!$C$50:$BV$50,BE$2-6+1))</f>
        <v/>
      </c>
      <c r="BF11" s="5">
        <f>$B11*(Eras!$I$3*INDEX(Curves!$C$4:$BV$4,BF$2-6+1)+Eras!$I$4*INDEX(Curves!$C$27:$BV$27,BF$2-6+1)+Eras!$I$5*INDEX(Curves!$C$50:$BV$50,BF$2-6+1))</f>
        <v/>
      </c>
      <c r="BG11" s="5">
        <f>$B11*(Eras!$I$3*INDEX(Curves!$C$4:$BV$4,BG$2-6+1)+Eras!$I$4*INDEX(Curves!$C$27:$BV$27,BG$2-6+1)+Eras!$I$5*INDEX(Curves!$C$50:$BV$50,BG$2-6+1))</f>
        <v/>
      </c>
      <c r="BH11" s="5">
        <f>$B11*(Eras!$I$3*INDEX(Curves!$C$4:$BV$4,BH$2-6+1)+Eras!$I$4*INDEX(Curves!$C$27:$BV$27,BH$2-6+1)+Eras!$I$5*INDEX(Curves!$C$50:$BV$50,BH$2-6+1))</f>
        <v/>
      </c>
      <c r="BI11" s="5">
        <f>$B11*(Eras!$I$3*INDEX(Curves!$C$4:$BV$4,BI$2-6+1)+Eras!$I$4*INDEX(Curves!$C$27:$BV$27,BI$2-6+1)+Eras!$I$5*INDEX(Curves!$C$50:$BV$50,BI$2-6+1))</f>
        <v/>
      </c>
      <c r="BJ11" s="5">
        <f>$B11*(Eras!$I$3*INDEX(Curves!$C$4:$BV$4,BJ$2-6+1)+Eras!$I$4*INDEX(Curves!$C$27:$BV$27,BJ$2-6+1)+Eras!$I$5*INDEX(Curves!$C$50:$BV$50,BJ$2-6+1))</f>
        <v/>
      </c>
      <c r="BK11" s="5">
        <f>$B11*(Eras!$I$3*INDEX(Curves!$C$4:$BV$4,BK$2-6+1)+Eras!$I$4*INDEX(Curves!$C$27:$BV$27,BK$2-6+1)+Eras!$I$5*INDEX(Curves!$C$50:$BV$50,BK$2-6+1))</f>
        <v/>
      </c>
      <c r="BL11" s="5">
        <f>$B11*(Eras!$I$3*INDEX(Curves!$C$4:$BV$4,BL$2-6+1)+Eras!$I$4*INDEX(Curves!$C$27:$BV$27,BL$2-6+1)+Eras!$I$5*INDEX(Curves!$C$50:$BV$50,BL$2-6+1))</f>
        <v/>
      </c>
      <c r="BM11" s="5">
        <f>$B11*(Eras!$I$3*INDEX(Curves!$C$4:$BV$4,BM$2-6+1)+Eras!$I$4*INDEX(Curves!$C$27:$BV$27,BM$2-6+1)+Eras!$I$5*INDEX(Curves!$C$50:$BV$50,BM$2-6+1))</f>
        <v/>
      </c>
      <c r="BN11" s="5">
        <f>$B11*(Eras!$I$3*INDEX(Curves!$C$4:$BV$4,BN$2-6+1)+Eras!$I$4*INDEX(Curves!$C$27:$BV$27,BN$2-6+1)+Eras!$I$5*INDEX(Curves!$C$50:$BV$50,BN$2-6+1))</f>
        <v/>
      </c>
      <c r="BO11" s="5">
        <f>$B11*(Eras!$I$3*INDEX(Curves!$C$4:$BV$4,BO$2-6+1)+Eras!$I$4*INDEX(Curves!$C$27:$BV$27,BO$2-6+1)+Eras!$I$5*INDEX(Curves!$C$50:$BV$50,BO$2-6+1))</f>
        <v/>
      </c>
      <c r="BP11" s="5">
        <f>$B11*(Eras!$I$3*INDEX(Curves!$C$4:$BV$4,BP$2-6+1)+Eras!$I$4*INDEX(Curves!$C$27:$BV$27,BP$2-6+1)+Eras!$I$5*INDEX(Curves!$C$50:$BV$50,BP$2-6+1))</f>
        <v/>
      </c>
      <c r="BQ11" s="5">
        <f>$B11*(Eras!$I$3*INDEX(Curves!$C$4:$BV$4,BQ$2-6+1)+Eras!$I$4*INDEX(Curves!$C$27:$BV$27,BQ$2-6+1)+Eras!$I$5*INDEX(Curves!$C$50:$BV$50,BQ$2-6+1))</f>
        <v/>
      </c>
      <c r="BR11" s="5">
        <f>$B11*(Eras!$I$3*INDEX(Curves!$C$4:$BV$4,BR$2-6+1)+Eras!$I$4*INDEX(Curves!$C$27:$BV$27,BR$2-6+1)+Eras!$I$5*INDEX(Curves!$C$50:$BV$50,BR$2-6+1))</f>
        <v/>
      </c>
      <c r="BS11" s="5">
        <f>$B11*(Eras!$I$3*INDEX(Curves!$C$4:$BV$4,BS$2-6+1)+Eras!$I$4*INDEX(Curves!$C$27:$BV$27,BS$2-6+1)+Eras!$I$5*INDEX(Curves!$C$50:$BV$50,BS$2-6+1))</f>
        <v/>
      </c>
      <c r="BT11" s="5">
        <f>$B11*(Eras!$I$3*INDEX(Curves!$C$4:$BV$4,BT$2-6+1)+Eras!$I$4*INDEX(Curves!$C$27:$BV$27,BT$2-6+1)+Eras!$I$5*INDEX(Curves!$C$50:$BV$50,BT$2-6+1))</f>
        <v/>
      </c>
      <c r="BU11" s="5">
        <f>$B11*(Eras!$I$3*INDEX(Curves!$C$4:$BV$4,BU$2-6+1)+Eras!$I$4*INDEX(Curves!$C$27:$BV$27,BU$2-6+1)+Eras!$I$5*INDEX(Curves!$C$50:$BV$50,BU$2-6+1))</f>
        <v/>
      </c>
      <c r="BV11" s="5">
        <f>$B11*(Eras!$I$3*INDEX(Curves!$C$4:$BV$4,BV$2-6+1)+Eras!$I$4*INDEX(Curves!$C$27:$BV$27,BV$2-6+1)+Eras!$I$5*INDEX(Curves!$C$50:$BV$50,BV$2-6+1))</f>
        <v/>
      </c>
    </row>
    <row r="12">
      <c r="A12" t="inlineStr">
        <is>
          <t>cohort 2025-08</t>
        </is>
      </c>
      <c r="B12" s="5">
        <f>INDEX(Adds!$C$13:$BV$13,8)</f>
        <v/>
      </c>
      <c r="J12" s="5">
        <f>$B12*(Eras!$J$3*INDEX(Curves!$C$4:$BV$4,J$2-7+1)+Eras!$J$4*INDEX(Curves!$C$27:$BV$27,J$2-7+1)+Eras!$J$5*INDEX(Curves!$C$50:$BV$50,J$2-7+1))</f>
        <v/>
      </c>
      <c r="K12" s="5">
        <f>$B12*(Eras!$J$3*INDEX(Curves!$C$4:$BV$4,K$2-7+1)+Eras!$J$4*INDEX(Curves!$C$27:$BV$27,K$2-7+1)+Eras!$J$5*INDEX(Curves!$C$50:$BV$50,K$2-7+1))</f>
        <v/>
      </c>
      <c r="L12" s="5">
        <f>$B12*(Eras!$J$3*INDEX(Curves!$C$4:$BV$4,L$2-7+1)+Eras!$J$4*INDEX(Curves!$C$27:$BV$27,L$2-7+1)+Eras!$J$5*INDEX(Curves!$C$50:$BV$50,L$2-7+1))</f>
        <v/>
      </c>
      <c r="M12" s="5">
        <f>$B12*(Eras!$J$3*INDEX(Curves!$C$4:$BV$4,M$2-7+1)+Eras!$J$4*INDEX(Curves!$C$27:$BV$27,M$2-7+1)+Eras!$J$5*INDEX(Curves!$C$50:$BV$50,M$2-7+1))</f>
        <v/>
      </c>
      <c r="N12" s="5">
        <f>$B12*(Eras!$J$3*INDEX(Curves!$C$4:$BV$4,N$2-7+1)+Eras!$J$4*INDEX(Curves!$C$27:$BV$27,N$2-7+1)+Eras!$J$5*INDEX(Curves!$C$50:$BV$50,N$2-7+1))</f>
        <v/>
      </c>
      <c r="O12" s="5">
        <f>$B12*(Eras!$J$3*INDEX(Curves!$C$4:$BV$4,O$2-7+1)+Eras!$J$4*INDEX(Curves!$C$27:$BV$27,O$2-7+1)+Eras!$J$5*INDEX(Curves!$C$50:$BV$50,O$2-7+1))</f>
        <v/>
      </c>
      <c r="P12" s="5">
        <f>$B12*(Eras!$J$3*INDEX(Curves!$C$4:$BV$4,P$2-7+1)+Eras!$J$4*INDEX(Curves!$C$27:$BV$27,P$2-7+1)+Eras!$J$5*INDEX(Curves!$C$50:$BV$50,P$2-7+1))</f>
        <v/>
      </c>
      <c r="Q12" s="5">
        <f>$B12*(Eras!$J$3*INDEX(Curves!$C$4:$BV$4,Q$2-7+1)+Eras!$J$4*INDEX(Curves!$C$27:$BV$27,Q$2-7+1)+Eras!$J$5*INDEX(Curves!$C$50:$BV$50,Q$2-7+1))</f>
        <v/>
      </c>
      <c r="R12" s="5">
        <f>$B12*(Eras!$J$3*INDEX(Curves!$C$4:$BV$4,R$2-7+1)+Eras!$J$4*INDEX(Curves!$C$27:$BV$27,R$2-7+1)+Eras!$J$5*INDEX(Curves!$C$50:$BV$50,R$2-7+1))</f>
        <v/>
      </c>
      <c r="S12" s="5">
        <f>$B12*(Eras!$J$3*INDEX(Curves!$C$4:$BV$4,S$2-7+1)+Eras!$J$4*INDEX(Curves!$C$27:$BV$27,S$2-7+1)+Eras!$J$5*INDEX(Curves!$C$50:$BV$50,S$2-7+1))</f>
        <v/>
      </c>
      <c r="T12" s="5">
        <f>$B12*(Eras!$J$3*INDEX(Curves!$C$4:$BV$4,T$2-7+1)+Eras!$J$4*INDEX(Curves!$C$27:$BV$27,T$2-7+1)+Eras!$J$5*INDEX(Curves!$C$50:$BV$50,T$2-7+1))</f>
        <v/>
      </c>
      <c r="U12" s="5">
        <f>$B12*(Eras!$J$3*INDEX(Curves!$C$4:$BV$4,U$2-7+1)+Eras!$J$4*INDEX(Curves!$C$27:$BV$27,U$2-7+1)+Eras!$J$5*INDEX(Curves!$C$50:$BV$50,U$2-7+1))</f>
        <v/>
      </c>
      <c r="V12" s="5">
        <f>$B12*(Eras!$J$3*INDEX(Curves!$C$4:$BV$4,V$2-7+1)+Eras!$J$4*INDEX(Curves!$C$27:$BV$27,V$2-7+1)+Eras!$J$5*INDEX(Curves!$C$50:$BV$50,V$2-7+1))</f>
        <v/>
      </c>
      <c r="W12" s="5">
        <f>$B12*(Eras!$J$3*INDEX(Curves!$C$4:$BV$4,W$2-7+1)+Eras!$J$4*INDEX(Curves!$C$27:$BV$27,W$2-7+1)+Eras!$J$5*INDEX(Curves!$C$50:$BV$50,W$2-7+1))</f>
        <v/>
      </c>
      <c r="X12" s="5">
        <f>$B12*(Eras!$J$3*INDEX(Curves!$C$4:$BV$4,X$2-7+1)+Eras!$J$4*INDEX(Curves!$C$27:$BV$27,X$2-7+1)+Eras!$J$5*INDEX(Curves!$C$50:$BV$50,X$2-7+1))</f>
        <v/>
      </c>
      <c r="Y12" s="5">
        <f>$B12*(Eras!$J$3*INDEX(Curves!$C$4:$BV$4,Y$2-7+1)+Eras!$J$4*INDEX(Curves!$C$27:$BV$27,Y$2-7+1)+Eras!$J$5*INDEX(Curves!$C$50:$BV$50,Y$2-7+1))</f>
        <v/>
      </c>
      <c r="Z12" s="5">
        <f>$B12*(Eras!$J$3*INDEX(Curves!$C$4:$BV$4,Z$2-7+1)+Eras!$J$4*INDEX(Curves!$C$27:$BV$27,Z$2-7+1)+Eras!$J$5*INDEX(Curves!$C$50:$BV$50,Z$2-7+1))</f>
        <v/>
      </c>
      <c r="AA12" s="5">
        <f>$B12*(Eras!$J$3*INDEX(Curves!$C$4:$BV$4,AA$2-7+1)+Eras!$J$4*INDEX(Curves!$C$27:$BV$27,AA$2-7+1)+Eras!$J$5*INDEX(Curves!$C$50:$BV$50,AA$2-7+1))</f>
        <v/>
      </c>
      <c r="AB12" s="5">
        <f>$B12*(Eras!$J$3*INDEX(Curves!$C$4:$BV$4,AB$2-7+1)+Eras!$J$4*INDEX(Curves!$C$27:$BV$27,AB$2-7+1)+Eras!$J$5*INDEX(Curves!$C$50:$BV$50,AB$2-7+1))</f>
        <v/>
      </c>
      <c r="AC12" s="5">
        <f>$B12*(Eras!$J$3*INDEX(Curves!$C$4:$BV$4,AC$2-7+1)+Eras!$J$4*INDEX(Curves!$C$27:$BV$27,AC$2-7+1)+Eras!$J$5*INDEX(Curves!$C$50:$BV$50,AC$2-7+1))</f>
        <v/>
      </c>
      <c r="AD12" s="5">
        <f>$B12*(Eras!$J$3*INDEX(Curves!$C$4:$BV$4,AD$2-7+1)+Eras!$J$4*INDEX(Curves!$C$27:$BV$27,AD$2-7+1)+Eras!$J$5*INDEX(Curves!$C$50:$BV$50,AD$2-7+1))</f>
        <v/>
      </c>
      <c r="AE12" s="5">
        <f>$B12*(Eras!$J$3*INDEX(Curves!$C$4:$BV$4,AE$2-7+1)+Eras!$J$4*INDEX(Curves!$C$27:$BV$27,AE$2-7+1)+Eras!$J$5*INDEX(Curves!$C$50:$BV$50,AE$2-7+1))</f>
        <v/>
      </c>
      <c r="AF12" s="5">
        <f>$B12*(Eras!$J$3*INDEX(Curves!$C$4:$BV$4,AF$2-7+1)+Eras!$J$4*INDEX(Curves!$C$27:$BV$27,AF$2-7+1)+Eras!$J$5*INDEX(Curves!$C$50:$BV$50,AF$2-7+1))</f>
        <v/>
      </c>
      <c r="AG12" s="5">
        <f>$B12*(Eras!$J$3*INDEX(Curves!$C$4:$BV$4,AG$2-7+1)+Eras!$J$4*INDEX(Curves!$C$27:$BV$27,AG$2-7+1)+Eras!$J$5*INDEX(Curves!$C$50:$BV$50,AG$2-7+1))</f>
        <v/>
      </c>
      <c r="AH12" s="5">
        <f>$B12*(Eras!$J$3*INDEX(Curves!$C$4:$BV$4,AH$2-7+1)+Eras!$J$4*INDEX(Curves!$C$27:$BV$27,AH$2-7+1)+Eras!$J$5*INDEX(Curves!$C$50:$BV$50,AH$2-7+1))</f>
        <v/>
      </c>
      <c r="AI12" s="5">
        <f>$B12*(Eras!$J$3*INDEX(Curves!$C$4:$BV$4,AI$2-7+1)+Eras!$J$4*INDEX(Curves!$C$27:$BV$27,AI$2-7+1)+Eras!$J$5*INDEX(Curves!$C$50:$BV$50,AI$2-7+1))</f>
        <v/>
      </c>
      <c r="AJ12" s="5">
        <f>$B12*(Eras!$J$3*INDEX(Curves!$C$4:$BV$4,AJ$2-7+1)+Eras!$J$4*INDEX(Curves!$C$27:$BV$27,AJ$2-7+1)+Eras!$J$5*INDEX(Curves!$C$50:$BV$50,AJ$2-7+1))</f>
        <v/>
      </c>
      <c r="AK12" s="5">
        <f>$B12*(Eras!$J$3*INDEX(Curves!$C$4:$BV$4,AK$2-7+1)+Eras!$J$4*INDEX(Curves!$C$27:$BV$27,AK$2-7+1)+Eras!$J$5*INDEX(Curves!$C$50:$BV$50,AK$2-7+1))</f>
        <v/>
      </c>
      <c r="AL12" s="5">
        <f>$B12*(Eras!$J$3*INDEX(Curves!$C$4:$BV$4,AL$2-7+1)+Eras!$J$4*INDEX(Curves!$C$27:$BV$27,AL$2-7+1)+Eras!$J$5*INDEX(Curves!$C$50:$BV$50,AL$2-7+1))</f>
        <v/>
      </c>
      <c r="AM12" s="5">
        <f>$B12*(Eras!$J$3*INDEX(Curves!$C$4:$BV$4,AM$2-7+1)+Eras!$J$4*INDEX(Curves!$C$27:$BV$27,AM$2-7+1)+Eras!$J$5*INDEX(Curves!$C$50:$BV$50,AM$2-7+1))</f>
        <v/>
      </c>
      <c r="AN12" s="5">
        <f>$B12*(Eras!$J$3*INDEX(Curves!$C$4:$BV$4,AN$2-7+1)+Eras!$J$4*INDEX(Curves!$C$27:$BV$27,AN$2-7+1)+Eras!$J$5*INDEX(Curves!$C$50:$BV$50,AN$2-7+1))</f>
        <v/>
      </c>
      <c r="AO12" s="5">
        <f>$B12*(Eras!$J$3*INDEX(Curves!$C$4:$BV$4,AO$2-7+1)+Eras!$J$4*INDEX(Curves!$C$27:$BV$27,AO$2-7+1)+Eras!$J$5*INDEX(Curves!$C$50:$BV$50,AO$2-7+1))</f>
        <v/>
      </c>
      <c r="AP12" s="5">
        <f>$B12*(Eras!$J$3*INDEX(Curves!$C$4:$BV$4,AP$2-7+1)+Eras!$J$4*INDEX(Curves!$C$27:$BV$27,AP$2-7+1)+Eras!$J$5*INDEX(Curves!$C$50:$BV$50,AP$2-7+1))</f>
        <v/>
      </c>
      <c r="AQ12" s="5">
        <f>$B12*(Eras!$J$3*INDEX(Curves!$C$4:$BV$4,AQ$2-7+1)+Eras!$J$4*INDEX(Curves!$C$27:$BV$27,AQ$2-7+1)+Eras!$J$5*INDEX(Curves!$C$50:$BV$50,AQ$2-7+1))</f>
        <v/>
      </c>
      <c r="AR12" s="5">
        <f>$B12*(Eras!$J$3*INDEX(Curves!$C$4:$BV$4,AR$2-7+1)+Eras!$J$4*INDEX(Curves!$C$27:$BV$27,AR$2-7+1)+Eras!$J$5*INDEX(Curves!$C$50:$BV$50,AR$2-7+1))</f>
        <v/>
      </c>
      <c r="AS12" s="5">
        <f>$B12*(Eras!$J$3*INDEX(Curves!$C$4:$BV$4,AS$2-7+1)+Eras!$J$4*INDEX(Curves!$C$27:$BV$27,AS$2-7+1)+Eras!$J$5*INDEX(Curves!$C$50:$BV$50,AS$2-7+1))</f>
        <v/>
      </c>
      <c r="AT12" s="5">
        <f>$B12*(Eras!$J$3*INDEX(Curves!$C$4:$BV$4,AT$2-7+1)+Eras!$J$4*INDEX(Curves!$C$27:$BV$27,AT$2-7+1)+Eras!$J$5*INDEX(Curves!$C$50:$BV$50,AT$2-7+1))</f>
        <v/>
      </c>
      <c r="AU12" s="5">
        <f>$B12*(Eras!$J$3*INDEX(Curves!$C$4:$BV$4,AU$2-7+1)+Eras!$J$4*INDEX(Curves!$C$27:$BV$27,AU$2-7+1)+Eras!$J$5*INDEX(Curves!$C$50:$BV$50,AU$2-7+1))</f>
        <v/>
      </c>
      <c r="AV12" s="5">
        <f>$B12*(Eras!$J$3*INDEX(Curves!$C$4:$BV$4,AV$2-7+1)+Eras!$J$4*INDEX(Curves!$C$27:$BV$27,AV$2-7+1)+Eras!$J$5*INDEX(Curves!$C$50:$BV$50,AV$2-7+1))</f>
        <v/>
      </c>
      <c r="AW12" s="5">
        <f>$B12*(Eras!$J$3*INDEX(Curves!$C$4:$BV$4,AW$2-7+1)+Eras!$J$4*INDEX(Curves!$C$27:$BV$27,AW$2-7+1)+Eras!$J$5*INDEX(Curves!$C$50:$BV$50,AW$2-7+1))</f>
        <v/>
      </c>
      <c r="AX12" s="5">
        <f>$B12*(Eras!$J$3*INDEX(Curves!$C$4:$BV$4,AX$2-7+1)+Eras!$J$4*INDEX(Curves!$C$27:$BV$27,AX$2-7+1)+Eras!$J$5*INDEX(Curves!$C$50:$BV$50,AX$2-7+1))</f>
        <v/>
      </c>
      <c r="AY12" s="5">
        <f>$B12*(Eras!$J$3*INDEX(Curves!$C$4:$BV$4,AY$2-7+1)+Eras!$J$4*INDEX(Curves!$C$27:$BV$27,AY$2-7+1)+Eras!$J$5*INDEX(Curves!$C$50:$BV$50,AY$2-7+1))</f>
        <v/>
      </c>
      <c r="AZ12" s="5">
        <f>$B12*(Eras!$J$3*INDEX(Curves!$C$4:$BV$4,AZ$2-7+1)+Eras!$J$4*INDEX(Curves!$C$27:$BV$27,AZ$2-7+1)+Eras!$J$5*INDEX(Curves!$C$50:$BV$50,AZ$2-7+1))</f>
        <v/>
      </c>
      <c r="BA12" s="5">
        <f>$B12*(Eras!$J$3*INDEX(Curves!$C$4:$BV$4,BA$2-7+1)+Eras!$J$4*INDEX(Curves!$C$27:$BV$27,BA$2-7+1)+Eras!$J$5*INDEX(Curves!$C$50:$BV$50,BA$2-7+1))</f>
        <v/>
      </c>
      <c r="BB12" s="5">
        <f>$B12*(Eras!$J$3*INDEX(Curves!$C$4:$BV$4,BB$2-7+1)+Eras!$J$4*INDEX(Curves!$C$27:$BV$27,BB$2-7+1)+Eras!$J$5*INDEX(Curves!$C$50:$BV$50,BB$2-7+1))</f>
        <v/>
      </c>
      <c r="BC12" s="5">
        <f>$B12*(Eras!$J$3*INDEX(Curves!$C$4:$BV$4,BC$2-7+1)+Eras!$J$4*INDEX(Curves!$C$27:$BV$27,BC$2-7+1)+Eras!$J$5*INDEX(Curves!$C$50:$BV$50,BC$2-7+1))</f>
        <v/>
      </c>
      <c r="BD12" s="5">
        <f>$B12*(Eras!$J$3*INDEX(Curves!$C$4:$BV$4,BD$2-7+1)+Eras!$J$4*INDEX(Curves!$C$27:$BV$27,BD$2-7+1)+Eras!$J$5*INDEX(Curves!$C$50:$BV$50,BD$2-7+1))</f>
        <v/>
      </c>
      <c r="BE12" s="5">
        <f>$B12*(Eras!$J$3*INDEX(Curves!$C$4:$BV$4,BE$2-7+1)+Eras!$J$4*INDEX(Curves!$C$27:$BV$27,BE$2-7+1)+Eras!$J$5*INDEX(Curves!$C$50:$BV$50,BE$2-7+1))</f>
        <v/>
      </c>
      <c r="BF12" s="5">
        <f>$B12*(Eras!$J$3*INDEX(Curves!$C$4:$BV$4,BF$2-7+1)+Eras!$J$4*INDEX(Curves!$C$27:$BV$27,BF$2-7+1)+Eras!$J$5*INDEX(Curves!$C$50:$BV$50,BF$2-7+1))</f>
        <v/>
      </c>
      <c r="BG12" s="5">
        <f>$B12*(Eras!$J$3*INDEX(Curves!$C$4:$BV$4,BG$2-7+1)+Eras!$J$4*INDEX(Curves!$C$27:$BV$27,BG$2-7+1)+Eras!$J$5*INDEX(Curves!$C$50:$BV$50,BG$2-7+1))</f>
        <v/>
      </c>
      <c r="BH12" s="5">
        <f>$B12*(Eras!$J$3*INDEX(Curves!$C$4:$BV$4,BH$2-7+1)+Eras!$J$4*INDEX(Curves!$C$27:$BV$27,BH$2-7+1)+Eras!$J$5*INDEX(Curves!$C$50:$BV$50,BH$2-7+1))</f>
        <v/>
      </c>
      <c r="BI12" s="5">
        <f>$B12*(Eras!$J$3*INDEX(Curves!$C$4:$BV$4,BI$2-7+1)+Eras!$J$4*INDEX(Curves!$C$27:$BV$27,BI$2-7+1)+Eras!$J$5*INDEX(Curves!$C$50:$BV$50,BI$2-7+1))</f>
        <v/>
      </c>
      <c r="BJ12" s="5">
        <f>$B12*(Eras!$J$3*INDEX(Curves!$C$4:$BV$4,BJ$2-7+1)+Eras!$J$4*INDEX(Curves!$C$27:$BV$27,BJ$2-7+1)+Eras!$J$5*INDEX(Curves!$C$50:$BV$50,BJ$2-7+1))</f>
        <v/>
      </c>
      <c r="BK12" s="5">
        <f>$B12*(Eras!$J$3*INDEX(Curves!$C$4:$BV$4,BK$2-7+1)+Eras!$J$4*INDEX(Curves!$C$27:$BV$27,BK$2-7+1)+Eras!$J$5*INDEX(Curves!$C$50:$BV$50,BK$2-7+1))</f>
        <v/>
      </c>
      <c r="BL12" s="5">
        <f>$B12*(Eras!$J$3*INDEX(Curves!$C$4:$BV$4,BL$2-7+1)+Eras!$J$4*INDEX(Curves!$C$27:$BV$27,BL$2-7+1)+Eras!$J$5*INDEX(Curves!$C$50:$BV$50,BL$2-7+1))</f>
        <v/>
      </c>
      <c r="BM12" s="5">
        <f>$B12*(Eras!$J$3*INDEX(Curves!$C$4:$BV$4,BM$2-7+1)+Eras!$J$4*INDEX(Curves!$C$27:$BV$27,BM$2-7+1)+Eras!$J$5*INDEX(Curves!$C$50:$BV$50,BM$2-7+1))</f>
        <v/>
      </c>
      <c r="BN12" s="5">
        <f>$B12*(Eras!$J$3*INDEX(Curves!$C$4:$BV$4,BN$2-7+1)+Eras!$J$4*INDEX(Curves!$C$27:$BV$27,BN$2-7+1)+Eras!$J$5*INDEX(Curves!$C$50:$BV$50,BN$2-7+1))</f>
        <v/>
      </c>
      <c r="BO12" s="5">
        <f>$B12*(Eras!$J$3*INDEX(Curves!$C$4:$BV$4,BO$2-7+1)+Eras!$J$4*INDEX(Curves!$C$27:$BV$27,BO$2-7+1)+Eras!$J$5*INDEX(Curves!$C$50:$BV$50,BO$2-7+1))</f>
        <v/>
      </c>
      <c r="BP12" s="5">
        <f>$B12*(Eras!$J$3*INDEX(Curves!$C$4:$BV$4,BP$2-7+1)+Eras!$J$4*INDEX(Curves!$C$27:$BV$27,BP$2-7+1)+Eras!$J$5*INDEX(Curves!$C$50:$BV$50,BP$2-7+1))</f>
        <v/>
      </c>
      <c r="BQ12" s="5">
        <f>$B12*(Eras!$J$3*INDEX(Curves!$C$4:$BV$4,BQ$2-7+1)+Eras!$J$4*INDEX(Curves!$C$27:$BV$27,BQ$2-7+1)+Eras!$J$5*INDEX(Curves!$C$50:$BV$50,BQ$2-7+1))</f>
        <v/>
      </c>
      <c r="BR12" s="5">
        <f>$B12*(Eras!$J$3*INDEX(Curves!$C$4:$BV$4,BR$2-7+1)+Eras!$J$4*INDEX(Curves!$C$27:$BV$27,BR$2-7+1)+Eras!$J$5*INDEX(Curves!$C$50:$BV$50,BR$2-7+1))</f>
        <v/>
      </c>
      <c r="BS12" s="5">
        <f>$B12*(Eras!$J$3*INDEX(Curves!$C$4:$BV$4,BS$2-7+1)+Eras!$J$4*INDEX(Curves!$C$27:$BV$27,BS$2-7+1)+Eras!$J$5*INDEX(Curves!$C$50:$BV$50,BS$2-7+1))</f>
        <v/>
      </c>
      <c r="BT12" s="5">
        <f>$B12*(Eras!$J$3*INDEX(Curves!$C$4:$BV$4,BT$2-7+1)+Eras!$J$4*INDEX(Curves!$C$27:$BV$27,BT$2-7+1)+Eras!$J$5*INDEX(Curves!$C$50:$BV$50,BT$2-7+1))</f>
        <v/>
      </c>
      <c r="BU12" s="5">
        <f>$B12*(Eras!$J$3*INDEX(Curves!$C$4:$BV$4,BU$2-7+1)+Eras!$J$4*INDEX(Curves!$C$27:$BV$27,BU$2-7+1)+Eras!$J$5*INDEX(Curves!$C$50:$BV$50,BU$2-7+1))</f>
        <v/>
      </c>
      <c r="BV12" s="5">
        <f>$B12*(Eras!$J$3*INDEX(Curves!$C$4:$BV$4,BV$2-7+1)+Eras!$J$4*INDEX(Curves!$C$27:$BV$27,BV$2-7+1)+Eras!$J$5*INDEX(Curves!$C$50:$BV$50,BV$2-7+1))</f>
        <v/>
      </c>
    </row>
    <row r="13">
      <c r="A13" t="inlineStr">
        <is>
          <t>cohort 2025-09</t>
        </is>
      </c>
      <c r="B13" s="5">
        <f>INDEX(Adds!$C$13:$BV$13,9)</f>
        <v/>
      </c>
      <c r="K13" s="5">
        <f>$B13*(Eras!$K$3*INDEX(Curves!$C$4:$BV$4,K$2-8+1)+Eras!$K$4*INDEX(Curves!$C$27:$BV$27,K$2-8+1)+Eras!$K$5*INDEX(Curves!$C$50:$BV$50,K$2-8+1))</f>
        <v/>
      </c>
      <c r="L13" s="5">
        <f>$B13*(Eras!$K$3*INDEX(Curves!$C$4:$BV$4,L$2-8+1)+Eras!$K$4*INDEX(Curves!$C$27:$BV$27,L$2-8+1)+Eras!$K$5*INDEX(Curves!$C$50:$BV$50,L$2-8+1))</f>
        <v/>
      </c>
      <c r="M13" s="5">
        <f>$B13*(Eras!$K$3*INDEX(Curves!$C$4:$BV$4,M$2-8+1)+Eras!$K$4*INDEX(Curves!$C$27:$BV$27,M$2-8+1)+Eras!$K$5*INDEX(Curves!$C$50:$BV$50,M$2-8+1))</f>
        <v/>
      </c>
      <c r="N13" s="5">
        <f>$B13*(Eras!$K$3*INDEX(Curves!$C$4:$BV$4,N$2-8+1)+Eras!$K$4*INDEX(Curves!$C$27:$BV$27,N$2-8+1)+Eras!$K$5*INDEX(Curves!$C$50:$BV$50,N$2-8+1))</f>
        <v/>
      </c>
      <c r="O13" s="5">
        <f>$B13*(Eras!$K$3*INDEX(Curves!$C$4:$BV$4,O$2-8+1)+Eras!$K$4*INDEX(Curves!$C$27:$BV$27,O$2-8+1)+Eras!$K$5*INDEX(Curves!$C$50:$BV$50,O$2-8+1))</f>
        <v/>
      </c>
      <c r="P13" s="5">
        <f>$B13*(Eras!$K$3*INDEX(Curves!$C$4:$BV$4,P$2-8+1)+Eras!$K$4*INDEX(Curves!$C$27:$BV$27,P$2-8+1)+Eras!$K$5*INDEX(Curves!$C$50:$BV$50,P$2-8+1))</f>
        <v/>
      </c>
      <c r="Q13" s="5">
        <f>$B13*(Eras!$K$3*INDEX(Curves!$C$4:$BV$4,Q$2-8+1)+Eras!$K$4*INDEX(Curves!$C$27:$BV$27,Q$2-8+1)+Eras!$K$5*INDEX(Curves!$C$50:$BV$50,Q$2-8+1))</f>
        <v/>
      </c>
      <c r="R13" s="5">
        <f>$B13*(Eras!$K$3*INDEX(Curves!$C$4:$BV$4,R$2-8+1)+Eras!$K$4*INDEX(Curves!$C$27:$BV$27,R$2-8+1)+Eras!$K$5*INDEX(Curves!$C$50:$BV$50,R$2-8+1))</f>
        <v/>
      </c>
      <c r="S13" s="5">
        <f>$B13*(Eras!$K$3*INDEX(Curves!$C$4:$BV$4,S$2-8+1)+Eras!$K$4*INDEX(Curves!$C$27:$BV$27,S$2-8+1)+Eras!$K$5*INDEX(Curves!$C$50:$BV$50,S$2-8+1))</f>
        <v/>
      </c>
      <c r="T13" s="5">
        <f>$B13*(Eras!$K$3*INDEX(Curves!$C$4:$BV$4,T$2-8+1)+Eras!$K$4*INDEX(Curves!$C$27:$BV$27,T$2-8+1)+Eras!$K$5*INDEX(Curves!$C$50:$BV$50,T$2-8+1))</f>
        <v/>
      </c>
      <c r="U13" s="5">
        <f>$B13*(Eras!$K$3*INDEX(Curves!$C$4:$BV$4,U$2-8+1)+Eras!$K$4*INDEX(Curves!$C$27:$BV$27,U$2-8+1)+Eras!$K$5*INDEX(Curves!$C$50:$BV$50,U$2-8+1))</f>
        <v/>
      </c>
      <c r="V13" s="5">
        <f>$B13*(Eras!$K$3*INDEX(Curves!$C$4:$BV$4,V$2-8+1)+Eras!$K$4*INDEX(Curves!$C$27:$BV$27,V$2-8+1)+Eras!$K$5*INDEX(Curves!$C$50:$BV$50,V$2-8+1))</f>
        <v/>
      </c>
      <c r="W13" s="5">
        <f>$B13*(Eras!$K$3*INDEX(Curves!$C$4:$BV$4,W$2-8+1)+Eras!$K$4*INDEX(Curves!$C$27:$BV$27,W$2-8+1)+Eras!$K$5*INDEX(Curves!$C$50:$BV$50,W$2-8+1))</f>
        <v/>
      </c>
      <c r="X13" s="5">
        <f>$B13*(Eras!$K$3*INDEX(Curves!$C$4:$BV$4,X$2-8+1)+Eras!$K$4*INDEX(Curves!$C$27:$BV$27,X$2-8+1)+Eras!$K$5*INDEX(Curves!$C$50:$BV$50,X$2-8+1))</f>
        <v/>
      </c>
      <c r="Y13" s="5">
        <f>$B13*(Eras!$K$3*INDEX(Curves!$C$4:$BV$4,Y$2-8+1)+Eras!$K$4*INDEX(Curves!$C$27:$BV$27,Y$2-8+1)+Eras!$K$5*INDEX(Curves!$C$50:$BV$50,Y$2-8+1))</f>
        <v/>
      </c>
      <c r="Z13" s="5">
        <f>$B13*(Eras!$K$3*INDEX(Curves!$C$4:$BV$4,Z$2-8+1)+Eras!$K$4*INDEX(Curves!$C$27:$BV$27,Z$2-8+1)+Eras!$K$5*INDEX(Curves!$C$50:$BV$50,Z$2-8+1))</f>
        <v/>
      </c>
      <c r="AA13" s="5">
        <f>$B13*(Eras!$K$3*INDEX(Curves!$C$4:$BV$4,AA$2-8+1)+Eras!$K$4*INDEX(Curves!$C$27:$BV$27,AA$2-8+1)+Eras!$K$5*INDEX(Curves!$C$50:$BV$50,AA$2-8+1))</f>
        <v/>
      </c>
      <c r="AB13" s="5">
        <f>$B13*(Eras!$K$3*INDEX(Curves!$C$4:$BV$4,AB$2-8+1)+Eras!$K$4*INDEX(Curves!$C$27:$BV$27,AB$2-8+1)+Eras!$K$5*INDEX(Curves!$C$50:$BV$50,AB$2-8+1))</f>
        <v/>
      </c>
      <c r="AC13" s="5">
        <f>$B13*(Eras!$K$3*INDEX(Curves!$C$4:$BV$4,AC$2-8+1)+Eras!$K$4*INDEX(Curves!$C$27:$BV$27,AC$2-8+1)+Eras!$K$5*INDEX(Curves!$C$50:$BV$50,AC$2-8+1))</f>
        <v/>
      </c>
      <c r="AD13" s="5">
        <f>$B13*(Eras!$K$3*INDEX(Curves!$C$4:$BV$4,AD$2-8+1)+Eras!$K$4*INDEX(Curves!$C$27:$BV$27,AD$2-8+1)+Eras!$K$5*INDEX(Curves!$C$50:$BV$50,AD$2-8+1))</f>
        <v/>
      </c>
      <c r="AE13" s="5">
        <f>$B13*(Eras!$K$3*INDEX(Curves!$C$4:$BV$4,AE$2-8+1)+Eras!$K$4*INDEX(Curves!$C$27:$BV$27,AE$2-8+1)+Eras!$K$5*INDEX(Curves!$C$50:$BV$50,AE$2-8+1))</f>
        <v/>
      </c>
      <c r="AF13" s="5">
        <f>$B13*(Eras!$K$3*INDEX(Curves!$C$4:$BV$4,AF$2-8+1)+Eras!$K$4*INDEX(Curves!$C$27:$BV$27,AF$2-8+1)+Eras!$K$5*INDEX(Curves!$C$50:$BV$50,AF$2-8+1))</f>
        <v/>
      </c>
      <c r="AG13" s="5">
        <f>$B13*(Eras!$K$3*INDEX(Curves!$C$4:$BV$4,AG$2-8+1)+Eras!$K$4*INDEX(Curves!$C$27:$BV$27,AG$2-8+1)+Eras!$K$5*INDEX(Curves!$C$50:$BV$50,AG$2-8+1))</f>
        <v/>
      </c>
      <c r="AH13" s="5">
        <f>$B13*(Eras!$K$3*INDEX(Curves!$C$4:$BV$4,AH$2-8+1)+Eras!$K$4*INDEX(Curves!$C$27:$BV$27,AH$2-8+1)+Eras!$K$5*INDEX(Curves!$C$50:$BV$50,AH$2-8+1))</f>
        <v/>
      </c>
      <c r="AI13" s="5">
        <f>$B13*(Eras!$K$3*INDEX(Curves!$C$4:$BV$4,AI$2-8+1)+Eras!$K$4*INDEX(Curves!$C$27:$BV$27,AI$2-8+1)+Eras!$K$5*INDEX(Curves!$C$50:$BV$50,AI$2-8+1))</f>
        <v/>
      </c>
      <c r="AJ13" s="5">
        <f>$B13*(Eras!$K$3*INDEX(Curves!$C$4:$BV$4,AJ$2-8+1)+Eras!$K$4*INDEX(Curves!$C$27:$BV$27,AJ$2-8+1)+Eras!$K$5*INDEX(Curves!$C$50:$BV$50,AJ$2-8+1))</f>
        <v/>
      </c>
      <c r="AK13" s="5">
        <f>$B13*(Eras!$K$3*INDEX(Curves!$C$4:$BV$4,AK$2-8+1)+Eras!$K$4*INDEX(Curves!$C$27:$BV$27,AK$2-8+1)+Eras!$K$5*INDEX(Curves!$C$50:$BV$50,AK$2-8+1))</f>
        <v/>
      </c>
      <c r="AL13" s="5">
        <f>$B13*(Eras!$K$3*INDEX(Curves!$C$4:$BV$4,AL$2-8+1)+Eras!$K$4*INDEX(Curves!$C$27:$BV$27,AL$2-8+1)+Eras!$K$5*INDEX(Curves!$C$50:$BV$50,AL$2-8+1))</f>
        <v/>
      </c>
      <c r="AM13" s="5">
        <f>$B13*(Eras!$K$3*INDEX(Curves!$C$4:$BV$4,AM$2-8+1)+Eras!$K$4*INDEX(Curves!$C$27:$BV$27,AM$2-8+1)+Eras!$K$5*INDEX(Curves!$C$50:$BV$50,AM$2-8+1))</f>
        <v/>
      </c>
      <c r="AN13" s="5">
        <f>$B13*(Eras!$K$3*INDEX(Curves!$C$4:$BV$4,AN$2-8+1)+Eras!$K$4*INDEX(Curves!$C$27:$BV$27,AN$2-8+1)+Eras!$K$5*INDEX(Curves!$C$50:$BV$50,AN$2-8+1))</f>
        <v/>
      </c>
      <c r="AO13" s="5">
        <f>$B13*(Eras!$K$3*INDEX(Curves!$C$4:$BV$4,AO$2-8+1)+Eras!$K$4*INDEX(Curves!$C$27:$BV$27,AO$2-8+1)+Eras!$K$5*INDEX(Curves!$C$50:$BV$50,AO$2-8+1))</f>
        <v/>
      </c>
      <c r="AP13" s="5">
        <f>$B13*(Eras!$K$3*INDEX(Curves!$C$4:$BV$4,AP$2-8+1)+Eras!$K$4*INDEX(Curves!$C$27:$BV$27,AP$2-8+1)+Eras!$K$5*INDEX(Curves!$C$50:$BV$50,AP$2-8+1))</f>
        <v/>
      </c>
      <c r="AQ13" s="5">
        <f>$B13*(Eras!$K$3*INDEX(Curves!$C$4:$BV$4,AQ$2-8+1)+Eras!$K$4*INDEX(Curves!$C$27:$BV$27,AQ$2-8+1)+Eras!$K$5*INDEX(Curves!$C$50:$BV$50,AQ$2-8+1))</f>
        <v/>
      </c>
      <c r="AR13" s="5">
        <f>$B13*(Eras!$K$3*INDEX(Curves!$C$4:$BV$4,AR$2-8+1)+Eras!$K$4*INDEX(Curves!$C$27:$BV$27,AR$2-8+1)+Eras!$K$5*INDEX(Curves!$C$50:$BV$50,AR$2-8+1))</f>
        <v/>
      </c>
      <c r="AS13" s="5">
        <f>$B13*(Eras!$K$3*INDEX(Curves!$C$4:$BV$4,AS$2-8+1)+Eras!$K$4*INDEX(Curves!$C$27:$BV$27,AS$2-8+1)+Eras!$K$5*INDEX(Curves!$C$50:$BV$50,AS$2-8+1))</f>
        <v/>
      </c>
      <c r="AT13" s="5">
        <f>$B13*(Eras!$K$3*INDEX(Curves!$C$4:$BV$4,AT$2-8+1)+Eras!$K$4*INDEX(Curves!$C$27:$BV$27,AT$2-8+1)+Eras!$K$5*INDEX(Curves!$C$50:$BV$50,AT$2-8+1))</f>
        <v/>
      </c>
      <c r="AU13" s="5">
        <f>$B13*(Eras!$K$3*INDEX(Curves!$C$4:$BV$4,AU$2-8+1)+Eras!$K$4*INDEX(Curves!$C$27:$BV$27,AU$2-8+1)+Eras!$K$5*INDEX(Curves!$C$50:$BV$50,AU$2-8+1))</f>
        <v/>
      </c>
      <c r="AV13" s="5">
        <f>$B13*(Eras!$K$3*INDEX(Curves!$C$4:$BV$4,AV$2-8+1)+Eras!$K$4*INDEX(Curves!$C$27:$BV$27,AV$2-8+1)+Eras!$K$5*INDEX(Curves!$C$50:$BV$50,AV$2-8+1))</f>
        <v/>
      </c>
      <c r="AW13" s="5">
        <f>$B13*(Eras!$K$3*INDEX(Curves!$C$4:$BV$4,AW$2-8+1)+Eras!$K$4*INDEX(Curves!$C$27:$BV$27,AW$2-8+1)+Eras!$K$5*INDEX(Curves!$C$50:$BV$50,AW$2-8+1))</f>
        <v/>
      </c>
      <c r="AX13" s="5">
        <f>$B13*(Eras!$K$3*INDEX(Curves!$C$4:$BV$4,AX$2-8+1)+Eras!$K$4*INDEX(Curves!$C$27:$BV$27,AX$2-8+1)+Eras!$K$5*INDEX(Curves!$C$50:$BV$50,AX$2-8+1))</f>
        <v/>
      </c>
      <c r="AY13" s="5">
        <f>$B13*(Eras!$K$3*INDEX(Curves!$C$4:$BV$4,AY$2-8+1)+Eras!$K$4*INDEX(Curves!$C$27:$BV$27,AY$2-8+1)+Eras!$K$5*INDEX(Curves!$C$50:$BV$50,AY$2-8+1))</f>
        <v/>
      </c>
      <c r="AZ13" s="5">
        <f>$B13*(Eras!$K$3*INDEX(Curves!$C$4:$BV$4,AZ$2-8+1)+Eras!$K$4*INDEX(Curves!$C$27:$BV$27,AZ$2-8+1)+Eras!$K$5*INDEX(Curves!$C$50:$BV$50,AZ$2-8+1))</f>
        <v/>
      </c>
      <c r="BA13" s="5">
        <f>$B13*(Eras!$K$3*INDEX(Curves!$C$4:$BV$4,BA$2-8+1)+Eras!$K$4*INDEX(Curves!$C$27:$BV$27,BA$2-8+1)+Eras!$K$5*INDEX(Curves!$C$50:$BV$50,BA$2-8+1))</f>
        <v/>
      </c>
      <c r="BB13" s="5">
        <f>$B13*(Eras!$K$3*INDEX(Curves!$C$4:$BV$4,BB$2-8+1)+Eras!$K$4*INDEX(Curves!$C$27:$BV$27,BB$2-8+1)+Eras!$K$5*INDEX(Curves!$C$50:$BV$50,BB$2-8+1))</f>
        <v/>
      </c>
      <c r="BC13" s="5">
        <f>$B13*(Eras!$K$3*INDEX(Curves!$C$4:$BV$4,BC$2-8+1)+Eras!$K$4*INDEX(Curves!$C$27:$BV$27,BC$2-8+1)+Eras!$K$5*INDEX(Curves!$C$50:$BV$50,BC$2-8+1))</f>
        <v/>
      </c>
      <c r="BD13" s="5">
        <f>$B13*(Eras!$K$3*INDEX(Curves!$C$4:$BV$4,BD$2-8+1)+Eras!$K$4*INDEX(Curves!$C$27:$BV$27,BD$2-8+1)+Eras!$K$5*INDEX(Curves!$C$50:$BV$50,BD$2-8+1))</f>
        <v/>
      </c>
      <c r="BE13" s="5">
        <f>$B13*(Eras!$K$3*INDEX(Curves!$C$4:$BV$4,BE$2-8+1)+Eras!$K$4*INDEX(Curves!$C$27:$BV$27,BE$2-8+1)+Eras!$K$5*INDEX(Curves!$C$50:$BV$50,BE$2-8+1))</f>
        <v/>
      </c>
      <c r="BF13" s="5">
        <f>$B13*(Eras!$K$3*INDEX(Curves!$C$4:$BV$4,BF$2-8+1)+Eras!$K$4*INDEX(Curves!$C$27:$BV$27,BF$2-8+1)+Eras!$K$5*INDEX(Curves!$C$50:$BV$50,BF$2-8+1))</f>
        <v/>
      </c>
      <c r="BG13" s="5">
        <f>$B13*(Eras!$K$3*INDEX(Curves!$C$4:$BV$4,BG$2-8+1)+Eras!$K$4*INDEX(Curves!$C$27:$BV$27,BG$2-8+1)+Eras!$K$5*INDEX(Curves!$C$50:$BV$50,BG$2-8+1))</f>
        <v/>
      </c>
      <c r="BH13" s="5">
        <f>$B13*(Eras!$K$3*INDEX(Curves!$C$4:$BV$4,BH$2-8+1)+Eras!$K$4*INDEX(Curves!$C$27:$BV$27,BH$2-8+1)+Eras!$K$5*INDEX(Curves!$C$50:$BV$50,BH$2-8+1))</f>
        <v/>
      </c>
      <c r="BI13" s="5">
        <f>$B13*(Eras!$K$3*INDEX(Curves!$C$4:$BV$4,BI$2-8+1)+Eras!$K$4*INDEX(Curves!$C$27:$BV$27,BI$2-8+1)+Eras!$K$5*INDEX(Curves!$C$50:$BV$50,BI$2-8+1))</f>
        <v/>
      </c>
      <c r="BJ13" s="5">
        <f>$B13*(Eras!$K$3*INDEX(Curves!$C$4:$BV$4,BJ$2-8+1)+Eras!$K$4*INDEX(Curves!$C$27:$BV$27,BJ$2-8+1)+Eras!$K$5*INDEX(Curves!$C$50:$BV$50,BJ$2-8+1))</f>
        <v/>
      </c>
      <c r="BK13" s="5">
        <f>$B13*(Eras!$K$3*INDEX(Curves!$C$4:$BV$4,BK$2-8+1)+Eras!$K$4*INDEX(Curves!$C$27:$BV$27,BK$2-8+1)+Eras!$K$5*INDEX(Curves!$C$50:$BV$50,BK$2-8+1))</f>
        <v/>
      </c>
      <c r="BL13" s="5">
        <f>$B13*(Eras!$K$3*INDEX(Curves!$C$4:$BV$4,BL$2-8+1)+Eras!$K$4*INDEX(Curves!$C$27:$BV$27,BL$2-8+1)+Eras!$K$5*INDEX(Curves!$C$50:$BV$50,BL$2-8+1))</f>
        <v/>
      </c>
      <c r="BM13" s="5">
        <f>$B13*(Eras!$K$3*INDEX(Curves!$C$4:$BV$4,BM$2-8+1)+Eras!$K$4*INDEX(Curves!$C$27:$BV$27,BM$2-8+1)+Eras!$K$5*INDEX(Curves!$C$50:$BV$50,BM$2-8+1))</f>
        <v/>
      </c>
      <c r="BN13" s="5">
        <f>$B13*(Eras!$K$3*INDEX(Curves!$C$4:$BV$4,BN$2-8+1)+Eras!$K$4*INDEX(Curves!$C$27:$BV$27,BN$2-8+1)+Eras!$K$5*INDEX(Curves!$C$50:$BV$50,BN$2-8+1))</f>
        <v/>
      </c>
      <c r="BO13" s="5">
        <f>$B13*(Eras!$K$3*INDEX(Curves!$C$4:$BV$4,BO$2-8+1)+Eras!$K$4*INDEX(Curves!$C$27:$BV$27,BO$2-8+1)+Eras!$K$5*INDEX(Curves!$C$50:$BV$50,BO$2-8+1))</f>
        <v/>
      </c>
      <c r="BP13" s="5">
        <f>$B13*(Eras!$K$3*INDEX(Curves!$C$4:$BV$4,BP$2-8+1)+Eras!$K$4*INDEX(Curves!$C$27:$BV$27,BP$2-8+1)+Eras!$K$5*INDEX(Curves!$C$50:$BV$50,BP$2-8+1))</f>
        <v/>
      </c>
      <c r="BQ13" s="5">
        <f>$B13*(Eras!$K$3*INDEX(Curves!$C$4:$BV$4,BQ$2-8+1)+Eras!$K$4*INDEX(Curves!$C$27:$BV$27,BQ$2-8+1)+Eras!$K$5*INDEX(Curves!$C$50:$BV$50,BQ$2-8+1))</f>
        <v/>
      </c>
      <c r="BR13" s="5">
        <f>$B13*(Eras!$K$3*INDEX(Curves!$C$4:$BV$4,BR$2-8+1)+Eras!$K$4*INDEX(Curves!$C$27:$BV$27,BR$2-8+1)+Eras!$K$5*INDEX(Curves!$C$50:$BV$50,BR$2-8+1))</f>
        <v/>
      </c>
      <c r="BS13" s="5">
        <f>$B13*(Eras!$K$3*INDEX(Curves!$C$4:$BV$4,BS$2-8+1)+Eras!$K$4*INDEX(Curves!$C$27:$BV$27,BS$2-8+1)+Eras!$K$5*INDEX(Curves!$C$50:$BV$50,BS$2-8+1))</f>
        <v/>
      </c>
      <c r="BT13" s="5">
        <f>$B13*(Eras!$K$3*INDEX(Curves!$C$4:$BV$4,BT$2-8+1)+Eras!$K$4*INDEX(Curves!$C$27:$BV$27,BT$2-8+1)+Eras!$K$5*INDEX(Curves!$C$50:$BV$50,BT$2-8+1))</f>
        <v/>
      </c>
      <c r="BU13" s="5">
        <f>$B13*(Eras!$K$3*INDEX(Curves!$C$4:$BV$4,BU$2-8+1)+Eras!$K$4*INDEX(Curves!$C$27:$BV$27,BU$2-8+1)+Eras!$K$5*INDEX(Curves!$C$50:$BV$50,BU$2-8+1))</f>
        <v/>
      </c>
      <c r="BV13" s="5">
        <f>$B13*(Eras!$K$3*INDEX(Curves!$C$4:$BV$4,BV$2-8+1)+Eras!$K$4*INDEX(Curves!$C$27:$BV$27,BV$2-8+1)+Eras!$K$5*INDEX(Curves!$C$50:$BV$50,BV$2-8+1))</f>
        <v/>
      </c>
    </row>
    <row r="14">
      <c r="A14" t="inlineStr">
        <is>
          <t>cohort 2025-10</t>
        </is>
      </c>
      <c r="B14" s="5">
        <f>INDEX(Adds!$C$13:$BV$13,10)</f>
        <v/>
      </c>
      <c r="L14" s="5">
        <f>$B14*(Eras!$L$3*INDEX(Curves!$C$4:$BV$4,L$2-9+1)+Eras!$L$4*INDEX(Curves!$C$27:$BV$27,L$2-9+1)+Eras!$L$5*INDEX(Curves!$C$50:$BV$50,L$2-9+1))</f>
        <v/>
      </c>
      <c r="M14" s="5">
        <f>$B14*(Eras!$L$3*INDEX(Curves!$C$4:$BV$4,M$2-9+1)+Eras!$L$4*INDEX(Curves!$C$27:$BV$27,M$2-9+1)+Eras!$L$5*INDEX(Curves!$C$50:$BV$50,M$2-9+1))</f>
        <v/>
      </c>
      <c r="N14" s="5">
        <f>$B14*(Eras!$L$3*INDEX(Curves!$C$4:$BV$4,N$2-9+1)+Eras!$L$4*INDEX(Curves!$C$27:$BV$27,N$2-9+1)+Eras!$L$5*INDEX(Curves!$C$50:$BV$50,N$2-9+1))</f>
        <v/>
      </c>
      <c r="O14" s="5">
        <f>$B14*(Eras!$L$3*INDEX(Curves!$C$4:$BV$4,O$2-9+1)+Eras!$L$4*INDEX(Curves!$C$27:$BV$27,O$2-9+1)+Eras!$L$5*INDEX(Curves!$C$50:$BV$50,O$2-9+1))</f>
        <v/>
      </c>
      <c r="P14" s="5">
        <f>$B14*(Eras!$L$3*INDEX(Curves!$C$4:$BV$4,P$2-9+1)+Eras!$L$4*INDEX(Curves!$C$27:$BV$27,P$2-9+1)+Eras!$L$5*INDEX(Curves!$C$50:$BV$50,P$2-9+1))</f>
        <v/>
      </c>
      <c r="Q14" s="5">
        <f>$B14*(Eras!$L$3*INDEX(Curves!$C$4:$BV$4,Q$2-9+1)+Eras!$L$4*INDEX(Curves!$C$27:$BV$27,Q$2-9+1)+Eras!$L$5*INDEX(Curves!$C$50:$BV$50,Q$2-9+1))</f>
        <v/>
      </c>
      <c r="R14" s="5">
        <f>$B14*(Eras!$L$3*INDEX(Curves!$C$4:$BV$4,R$2-9+1)+Eras!$L$4*INDEX(Curves!$C$27:$BV$27,R$2-9+1)+Eras!$L$5*INDEX(Curves!$C$50:$BV$50,R$2-9+1))</f>
        <v/>
      </c>
      <c r="S14" s="5">
        <f>$B14*(Eras!$L$3*INDEX(Curves!$C$4:$BV$4,S$2-9+1)+Eras!$L$4*INDEX(Curves!$C$27:$BV$27,S$2-9+1)+Eras!$L$5*INDEX(Curves!$C$50:$BV$50,S$2-9+1))</f>
        <v/>
      </c>
      <c r="T14" s="5">
        <f>$B14*(Eras!$L$3*INDEX(Curves!$C$4:$BV$4,T$2-9+1)+Eras!$L$4*INDEX(Curves!$C$27:$BV$27,T$2-9+1)+Eras!$L$5*INDEX(Curves!$C$50:$BV$50,T$2-9+1))</f>
        <v/>
      </c>
      <c r="U14" s="5">
        <f>$B14*(Eras!$L$3*INDEX(Curves!$C$4:$BV$4,U$2-9+1)+Eras!$L$4*INDEX(Curves!$C$27:$BV$27,U$2-9+1)+Eras!$L$5*INDEX(Curves!$C$50:$BV$50,U$2-9+1))</f>
        <v/>
      </c>
      <c r="V14" s="5">
        <f>$B14*(Eras!$L$3*INDEX(Curves!$C$4:$BV$4,V$2-9+1)+Eras!$L$4*INDEX(Curves!$C$27:$BV$27,V$2-9+1)+Eras!$L$5*INDEX(Curves!$C$50:$BV$50,V$2-9+1))</f>
        <v/>
      </c>
      <c r="W14" s="5">
        <f>$B14*(Eras!$L$3*INDEX(Curves!$C$4:$BV$4,W$2-9+1)+Eras!$L$4*INDEX(Curves!$C$27:$BV$27,W$2-9+1)+Eras!$L$5*INDEX(Curves!$C$50:$BV$50,W$2-9+1))</f>
        <v/>
      </c>
      <c r="X14" s="5">
        <f>$B14*(Eras!$L$3*INDEX(Curves!$C$4:$BV$4,X$2-9+1)+Eras!$L$4*INDEX(Curves!$C$27:$BV$27,X$2-9+1)+Eras!$L$5*INDEX(Curves!$C$50:$BV$50,X$2-9+1))</f>
        <v/>
      </c>
      <c r="Y14" s="5">
        <f>$B14*(Eras!$L$3*INDEX(Curves!$C$4:$BV$4,Y$2-9+1)+Eras!$L$4*INDEX(Curves!$C$27:$BV$27,Y$2-9+1)+Eras!$L$5*INDEX(Curves!$C$50:$BV$50,Y$2-9+1))</f>
        <v/>
      </c>
      <c r="Z14" s="5">
        <f>$B14*(Eras!$L$3*INDEX(Curves!$C$4:$BV$4,Z$2-9+1)+Eras!$L$4*INDEX(Curves!$C$27:$BV$27,Z$2-9+1)+Eras!$L$5*INDEX(Curves!$C$50:$BV$50,Z$2-9+1))</f>
        <v/>
      </c>
      <c r="AA14" s="5">
        <f>$B14*(Eras!$L$3*INDEX(Curves!$C$4:$BV$4,AA$2-9+1)+Eras!$L$4*INDEX(Curves!$C$27:$BV$27,AA$2-9+1)+Eras!$L$5*INDEX(Curves!$C$50:$BV$50,AA$2-9+1))</f>
        <v/>
      </c>
      <c r="AB14" s="5">
        <f>$B14*(Eras!$L$3*INDEX(Curves!$C$4:$BV$4,AB$2-9+1)+Eras!$L$4*INDEX(Curves!$C$27:$BV$27,AB$2-9+1)+Eras!$L$5*INDEX(Curves!$C$50:$BV$50,AB$2-9+1))</f>
        <v/>
      </c>
      <c r="AC14" s="5">
        <f>$B14*(Eras!$L$3*INDEX(Curves!$C$4:$BV$4,AC$2-9+1)+Eras!$L$4*INDEX(Curves!$C$27:$BV$27,AC$2-9+1)+Eras!$L$5*INDEX(Curves!$C$50:$BV$50,AC$2-9+1))</f>
        <v/>
      </c>
      <c r="AD14" s="5">
        <f>$B14*(Eras!$L$3*INDEX(Curves!$C$4:$BV$4,AD$2-9+1)+Eras!$L$4*INDEX(Curves!$C$27:$BV$27,AD$2-9+1)+Eras!$L$5*INDEX(Curves!$C$50:$BV$50,AD$2-9+1))</f>
        <v/>
      </c>
      <c r="AE14" s="5">
        <f>$B14*(Eras!$L$3*INDEX(Curves!$C$4:$BV$4,AE$2-9+1)+Eras!$L$4*INDEX(Curves!$C$27:$BV$27,AE$2-9+1)+Eras!$L$5*INDEX(Curves!$C$50:$BV$50,AE$2-9+1))</f>
        <v/>
      </c>
      <c r="AF14" s="5">
        <f>$B14*(Eras!$L$3*INDEX(Curves!$C$4:$BV$4,AF$2-9+1)+Eras!$L$4*INDEX(Curves!$C$27:$BV$27,AF$2-9+1)+Eras!$L$5*INDEX(Curves!$C$50:$BV$50,AF$2-9+1))</f>
        <v/>
      </c>
      <c r="AG14" s="5">
        <f>$B14*(Eras!$L$3*INDEX(Curves!$C$4:$BV$4,AG$2-9+1)+Eras!$L$4*INDEX(Curves!$C$27:$BV$27,AG$2-9+1)+Eras!$L$5*INDEX(Curves!$C$50:$BV$50,AG$2-9+1))</f>
        <v/>
      </c>
      <c r="AH14" s="5">
        <f>$B14*(Eras!$L$3*INDEX(Curves!$C$4:$BV$4,AH$2-9+1)+Eras!$L$4*INDEX(Curves!$C$27:$BV$27,AH$2-9+1)+Eras!$L$5*INDEX(Curves!$C$50:$BV$50,AH$2-9+1))</f>
        <v/>
      </c>
      <c r="AI14" s="5">
        <f>$B14*(Eras!$L$3*INDEX(Curves!$C$4:$BV$4,AI$2-9+1)+Eras!$L$4*INDEX(Curves!$C$27:$BV$27,AI$2-9+1)+Eras!$L$5*INDEX(Curves!$C$50:$BV$50,AI$2-9+1))</f>
        <v/>
      </c>
      <c r="AJ14" s="5">
        <f>$B14*(Eras!$L$3*INDEX(Curves!$C$4:$BV$4,AJ$2-9+1)+Eras!$L$4*INDEX(Curves!$C$27:$BV$27,AJ$2-9+1)+Eras!$L$5*INDEX(Curves!$C$50:$BV$50,AJ$2-9+1))</f>
        <v/>
      </c>
      <c r="AK14" s="5">
        <f>$B14*(Eras!$L$3*INDEX(Curves!$C$4:$BV$4,AK$2-9+1)+Eras!$L$4*INDEX(Curves!$C$27:$BV$27,AK$2-9+1)+Eras!$L$5*INDEX(Curves!$C$50:$BV$50,AK$2-9+1))</f>
        <v/>
      </c>
      <c r="AL14" s="5">
        <f>$B14*(Eras!$L$3*INDEX(Curves!$C$4:$BV$4,AL$2-9+1)+Eras!$L$4*INDEX(Curves!$C$27:$BV$27,AL$2-9+1)+Eras!$L$5*INDEX(Curves!$C$50:$BV$50,AL$2-9+1))</f>
        <v/>
      </c>
      <c r="AM14" s="5">
        <f>$B14*(Eras!$L$3*INDEX(Curves!$C$4:$BV$4,AM$2-9+1)+Eras!$L$4*INDEX(Curves!$C$27:$BV$27,AM$2-9+1)+Eras!$L$5*INDEX(Curves!$C$50:$BV$50,AM$2-9+1))</f>
        <v/>
      </c>
      <c r="AN14" s="5">
        <f>$B14*(Eras!$L$3*INDEX(Curves!$C$4:$BV$4,AN$2-9+1)+Eras!$L$4*INDEX(Curves!$C$27:$BV$27,AN$2-9+1)+Eras!$L$5*INDEX(Curves!$C$50:$BV$50,AN$2-9+1))</f>
        <v/>
      </c>
      <c r="AO14" s="5">
        <f>$B14*(Eras!$L$3*INDEX(Curves!$C$4:$BV$4,AO$2-9+1)+Eras!$L$4*INDEX(Curves!$C$27:$BV$27,AO$2-9+1)+Eras!$L$5*INDEX(Curves!$C$50:$BV$50,AO$2-9+1))</f>
        <v/>
      </c>
      <c r="AP14" s="5">
        <f>$B14*(Eras!$L$3*INDEX(Curves!$C$4:$BV$4,AP$2-9+1)+Eras!$L$4*INDEX(Curves!$C$27:$BV$27,AP$2-9+1)+Eras!$L$5*INDEX(Curves!$C$50:$BV$50,AP$2-9+1))</f>
        <v/>
      </c>
      <c r="AQ14" s="5">
        <f>$B14*(Eras!$L$3*INDEX(Curves!$C$4:$BV$4,AQ$2-9+1)+Eras!$L$4*INDEX(Curves!$C$27:$BV$27,AQ$2-9+1)+Eras!$L$5*INDEX(Curves!$C$50:$BV$50,AQ$2-9+1))</f>
        <v/>
      </c>
      <c r="AR14" s="5">
        <f>$B14*(Eras!$L$3*INDEX(Curves!$C$4:$BV$4,AR$2-9+1)+Eras!$L$4*INDEX(Curves!$C$27:$BV$27,AR$2-9+1)+Eras!$L$5*INDEX(Curves!$C$50:$BV$50,AR$2-9+1))</f>
        <v/>
      </c>
      <c r="AS14" s="5">
        <f>$B14*(Eras!$L$3*INDEX(Curves!$C$4:$BV$4,AS$2-9+1)+Eras!$L$4*INDEX(Curves!$C$27:$BV$27,AS$2-9+1)+Eras!$L$5*INDEX(Curves!$C$50:$BV$50,AS$2-9+1))</f>
        <v/>
      </c>
      <c r="AT14" s="5">
        <f>$B14*(Eras!$L$3*INDEX(Curves!$C$4:$BV$4,AT$2-9+1)+Eras!$L$4*INDEX(Curves!$C$27:$BV$27,AT$2-9+1)+Eras!$L$5*INDEX(Curves!$C$50:$BV$50,AT$2-9+1))</f>
        <v/>
      </c>
      <c r="AU14" s="5">
        <f>$B14*(Eras!$L$3*INDEX(Curves!$C$4:$BV$4,AU$2-9+1)+Eras!$L$4*INDEX(Curves!$C$27:$BV$27,AU$2-9+1)+Eras!$L$5*INDEX(Curves!$C$50:$BV$50,AU$2-9+1))</f>
        <v/>
      </c>
      <c r="AV14" s="5">
        <f>$B14*(Eras!$L$3*INDEX(Curves!$C$4:$BV$4,AV$2-9+1)+Eras!$L$4*INDEX(Curves!$C$27:$BV$27,AV$2-9+1)+Eras!$L$5*INDEX(Curves!$C$50:$BV$50,AV$2-9+1))</f>
        <v/>
      </c>
      <c r="AW14" s="5">
        <f>$B14*(Eras!$L$3*INDEX(Curves!$C$4:$BV$4,AW$2-9+1)+Eras!$L$4*INDEX(Curves!$C$27:$BV$27,AW$2-9+1)+Eras!$L$5*INDEX(Curves!$C$50:$BV$50,AW$2-9+1))</f>
        <v/>
      </c>
      <c r="AX14" s="5">
        <f>$B14*(Eras!$L$3*INDEX(Curves!$C$4:$BV$4,AX$2-9+1)+Eras!$L$4*INDEX(Curves!$C$27:$BV$27,AX$2-9+1)+Eras!$L$5*INDEX(Curves!$C$50:$BV$50,AX$2-9+1))</f>
        <v/>
      </c>
      <c r="AY14" s="5">
        <f>$B14*(Eras!$L$3*INDEX(Curves!$C$4:$BV$4,AY$2-9+1)+Eras!$L$4*INDEX(Curves!$C$27:$BV$27,AY$2-9+1)+Eras!$L$5*INDEX(Curves!$C$50:$BV$50,AY$2-9+1))</f>
        <v/>
      </c>
      <c r="AZ14" s="5">
        <f>$B14*(Eras!$L$3*INDEX(Curves!$C$4:$BV$4,AZ$2-9+1)+Eras!$L$4*INDEX(Curves!$C$27:$BV$27,AZ$2-9+1)+Eras!$L$5*INDEX(Curves!$C$50:$BV$50,AZ$2-9+1))</f>
        <v/>
      </c>
      <c r="BA14" s="5">
        <f>$B14*(Eras!$L$3*INDEX(Curves!$C$4:$BV$4,BA$2-9+1)+Eras!$L$4*INDEX(Curves!$C$27:$BV$27,BA$2-9+1)+Eras!$L$5*INDEX(Curves!$C$50:$BV$50,BA$2-9+1))</f>
        <v/>
      </c>
      <c r="BB14" s="5">
        <f>$B14*(Eras!$L$3*INDEX(Curves!$C$4:$BV$4,BB$2-9+1)+Eras!$L$4*INDEX(Curves!$C$27:$BV$27,BB$2-9+1)+Eras!$L$5*INDEX(Curves!$C$50:$BV$50,BB$2-9+1))</f>
        <v/>
      </c>
      <c r="BC14" s="5">
        <f>$B14*(Eras!$L$3*INDEX(Curves!$C$4:$BV$4,BC$2-9+1)+Eras!$L$4*INDEX(Curves!$C$27:$BV$27,BC$2-9+1)+Eras!$L$5*INDEX(Curves!$C$50:$BV$50,BC$2-9+1))</f>
        <v/>
      </c>
      <c r="BD14" s="5">
        <f>$B14*(Eras!$L$3*INDEX(Curves!$C$4:$BV$4,BD$2-9+1)+Eras!$L$4*INDEX(Curves!$C$27:$BV$27,BD$2-9+1)+Eras!$L$5*INDEX(Curves!$C$50:$BV$50,BD$2-9+1))</f>
        <v/>
      </c>
      <c r="BE14" s="5">
        <f>$B14*(Eras!$L$3*INDEX(Curves!$C$4:$BV$4,BE$2-9+1)+Eras!$L$4*INDEX(Curves!$C$27:$BV$27,BE$2-9+1)+Eras!$L$5*INDEX(Curves!$C$50:$BV$50,BE$2-9+1))</f>
        <v/>
      </c>
      <c r="BF14" s="5">
        <f>$B14*(Eras!$L$3*INDEX(Curves!$C$4:$BV$4,BF$2-9+1)+Eras!$L$4*INDEX(Curves!$C$27:$BV$27,BF$2-9+1)+Eras!$L$5*INDEX(Curves!$C$50:$BV$50,BF$2-9+1))</f>
        <v/>
      </c>
      <c r="BG14" s="5">
        <f>$B14*(Eras!$L$3*INDEX(Curves!$C$4:$BV$4,BG$2-9+1)+Eras!$L$4*INDEX(Curves!$C$27:$BV$27,BG$2-9+1)+Eras!$L$5*INDEX(Curves!$C$50:$BV$50,BG$2-9+1))</f>
        <v/>
      </c>
      <c r="BH14" s="5">
        <f>$B14*(Eras!$L$3*INDEX(Curves!$C$4:$BV$4,BH$2-9+1)+Eras!$L$4*INDEX(Curves!$C$27:$BV$27,BH$2-9+1)+Eras!$L$5*INDEX(Curves!$C$50:$BV$50,BH$2-9+1))</f>
        <v/>
      </c>
      <c r="BI14" s="5">
        <f>$B14*(Eras!$L$3*INDEX(Curves!$C$4:$BV$4,BI$2-9+1)+Eras!$L$4*INDEX(Curves!$C$27:$BV$27,BI$2-9+1)+Eras!$L$5*INDEX(Curves!$C$50:$BV$50,BI$2-9+1))</f>
        <v/>
      </c>
      <c r="BJ14" s="5">
        <f>$B14*(Eras!$L$3*INDEX(Curves!$C$4:$BV$4,BJ$2-9+1)+Eras!$L$4*INDEX(Curves!$C$27:$BV$27,BJ$2-9+1)+Eras!$L$5*INDEX(Curves!$C$50:$BV$50,BJ$2-9+1))</f>
        <v/>
      </c>
      <c r="BK14" s="5">
        <f>$B14*(Eras!$L$3*INDEX(Curves!$C$4:$BV$4,BK$2-9+1)+Eras!$L$4*INDEX(Curves!$C$27:$BV$27,BK$2-9+1)+Eras!$L$5*INDEX(Curves!$C$50:$BV$50,BK$2-9+1))</f>
        <v/>
      </c>
      <c r="BL14" s="5">
        <f>$B14*(Eras!$L$3*INDEX(Curves!$C$4:$BV$4,BL$2-9+1)+Eras!$L$4*INDEX(Curves!$C$27:$BV$27,BL$2-9+1)+Eras!$L$5*INDEX(Curves!$C$50:$BV$50,BL$2-9+1))</f>
        <v/>
      </c>
      <c r="BM14" s="5">
        <f>$B14*(Eras!$L$3*INDEX(Curves!$C$4:$BV$4,BM$2-9+1)+Eras!$L$4*INDEX(Curves!$C$27:$BV$27,BM$2-9+1)+Eras!$L$5*INDEX(Curves!$C$50:$BV$50,BM$2-9+1))</f>
        <v/>
      </c>
      <c r="BN14" s="5">
        <f>$B14*(Eras!$L$3*INDEX(Curves!$C$4:$BV$4,BN$2-9+1)+Eras!$L$4*INDEX(Curves!$C$27:$BV$27,BN$2-9+1)+Eras!$L$5*INDEX(Curves!$C$50:$BV$50,BN$2-9+1))</f>
        <v/>
      </c>
      <c r="BO14" s="5">
        <f>$B14*(Eras!$L$3*INDEX(Curves!$C$4:$BV$4,BO$2-9+1)+Eras!$L$4*INDEX(Curves!$C$27:$BV$27,BO$2-9+1)+Eras!$L$5*INDEX(Curves!$C$50:$BV$50,BO$2-9+1))</f>
        <v/>
      </c>
      <c r="BP14" s="5">
        <f>$B14*(Eras!$L$3*INDEX(Curves!$C$4:$BV$4,BP$2-9+1)+Eras!$L$4*INDEX(Curves!$C$27:$BV$27,BP$2-9+1)+Eras!$L$5*INDEX(Curves!$C$50:$BV$50,BP$2-9+1))</f>
        <v/>
      </c>
      <c r="BQ14" s="5">
        <f>$B14*(Eras!$L$3*INDEX(Curves!$C$4:$BV$4,BQ$2-9+1)+Eras!$L$4*INDEX(Curves!$C$27:$BV$27,BQ$2-9+1)+Eras!$L$5*INDEX(Curves!$C$50:$BV$50,BQ$2-9+1))</f>
        <v/>
      </c>
      <c r="BR14" s="5">
        <f>$B14*(Eras!$L$3*INDEX(Curves!$C$4:$BV$4,BR$2-9+1)+Eras!$L$4*INDEX(Curves!$C$27:$BV$27,BR$2-9+1)+Eras!$L$5*INDEX(Curves!$C$50:$BV$50,BR$2-9+1))</f>
        <v/>
      </c>
      <c r="BS14" s="5">
        <f>$B14*(Eras!$L$3*INDEX(Curves!$C$4:$BV$4,BS$2-9+1)+Eras!$L$4*INDEX(Curves!$C$27:$BV$27,BS$2-9+1)+Eras!$L$5*INDEX(Curves!$C$50:$BV$50,BS$2-9+1))</f>
        <v/>
      </c>
      <c r="BT14" s="5">
        <f>$B14*(Eras!$L$3*INDEX(Curves!$C$4:$BV$4,BT$2-9+1)+Eras!$L$4*INDEX(Curves!$C$27:$BV$27,BT$2-9+1)+Eras!$L$5*INDEX(Curves!$C$50:$BV$50,BT$2-9+1))</f>
        <v/>
      </c>
      <c r="BU14" s="5">
        <f>$B14*(Eras!$L$3*INDEX(Curves!$C$4:$BV$4,BU$2-9+1)+Eras!$L$4*INDEX(Curves!$C$27:$BV$27,BU$2-9+1)+Eras!$L$5*INDEX(Curves!$C$50:$BV$50,BU$2-9+1))</f>
        <v/>
      </c>
      <c r="BV14" s="5">
        <f>$B14*(Eras!$L$3*INDEX(Curves!$C$4:$BV$4,BV$2-9+1)+Eras!$L$4*INDEX(Curves!$C$27:$BV$27,BV$2-9+1)+Eras!$L$5*INDEX(Curves!$C$50:$BV$50,BV$2-9+1))</f>
        <v/>
      </c>
    </row>
    <row r="15">
      <c r="A15" t="inlineStr">
        <is>
          <t>cohort 2025-11</t>
        </is>
      </c>
      <c r="B15" s="5">
        <f>INDEX(Adds!$C$13:$BV$13,11)</f>
        <v/>
      </c>
      <c r="M15" s="5">
        <f>$B15*(Eras!$M$3*INDEX(Curves!$C$4:$BV$4,M$2-10+1)+Eras!$M$4*INDEX(Curves!$C$27:$BV$27,M$2-10+1)+Eras!$M$5*INDEX(Curves!$C$50:$BV$50,M$2-10+1))</f>
        <v/>
      </c>
      <c r="N15" s="5">
        <f>$B15*(Eras!$M$3*INDEX(Curves!$C$4:$BV$4,N$2-10+1)+Eras!$M$4*INDEX(Curves!$C$27:$BV$27,N$2-10+1)+Eras!$M$5*INDEX(Curves!$C$50:$BV$50,N$2-10+1))</f>
        <v/>
      </c>
      <c r="O15" s="5">
        <f>$B15*(Eras!$M$3*INDEX(Curves!$C$4:$BV$4,O$2-10+1)+Eras!$M$4*INDEX(Curves!$C$27:$BV$27,O$2-10+1)+Eras!$M$5*INDEX(Curves!$C$50:$BV$50,O$2-10+1))</f>
        <v/>
      </c>
      <c r="P15" s="5">
        <f>$B15*(Eras!$M$3*INDEX(Curves!$C$4:$BV$4,P$2-10+1)+Eras!$M$4*INDEX(Curves!$C$27:$BV$27,P$2-10+1)+Eras!$M$5*INDEX(Curves!$C$50:$BV$50,P$2-10+1))</f>
        <v/>
      </c>
      <c r="Q15" s="5">
        <f>$B15*(Eras!$M$3*INDEX(Curves!$C$4:$BV$4,Q$2-10+1)+Eras!$M$4*INDEX(Curves!$C$27:$BV$27,Q$2-10+1)+Eras!$M$5*INDEX(Curves!$C$50:$BV$50,Q$2-10+1))</f>
        <v/>
      </c>
      <c r="R15" s="5">
        <f>$B15*(Eras!$M$3*INDEX(Curves!$C$4:$BV$4,R$2-10+1)+Eras!$M$4*INDEX(Curves!$C$27:$BV$27,R$2-10+1)+Eras!$M$5*INDEX(Curves!$C$50:$BV$50,R$2-10+1))</f>
        <v/>
      </c>
      <c r="S15" s="5">
        <f>$B15*(Eras!$M$3*INDEX(Curves!$C$4:$BV$4,S$2-10+1)+Eras!$M$4*INDEX(Curves!$C$27:$BV$27,S$2-10+1)+Eras!$M$5*INDEX(Curves!$C$50:$BV$50,S$2-10+1))</f>
        <v/>
      </c>
      <c r="T15" s="5">
        <f>$B15*(Eras!$M$3*INDEX(Curves!$C$4:$BV$4,T$2-10+1)+Eras!$M$4*INDEX(Curves!$C$27:$BV$27,T$2-10+1)+Eras!$M$5*INDEX(Curves!$C$50:$BV$50,T$2-10+1))</f>
        <v/>
      </c>
      <c r="U15" s="5">
        <f>$B15*(Eras!$M$3*INDEX(Curves!$C$4:$BV$4,U$2-10+1)+Eras!$M$4*INDEX(Curves!$C$27:$BV$27,U$2-10+1)+Eras!$M$5*INDEX(Curves!$C$50:$BV$50,U$2-10+1))</f>
        <v/>
      </c>
      <c r="V15" s="5">
        <f>$B15*(Eras!$M$3*INDEX(Curves!$C$4:$BV$4,V$2-10+1)+Eras!$M$4*INDEX(Curves!$C$27:$BV$27,V$2-10+1)+Eras!$M$5*INDEX(Curves!$C$50:$BV$50,V$2-10+1))</f>
        <v/>
      </c>
      <c r="W15" s="5">
        <f>$B15*(Eras!$M$3*INDEX(Curves!$C$4:$BV$4,W$2-10+1)+Eras!$M$4*INDEX(Curves!$C$27:$BV$27,W$2-10+1)+Eras!$M$5*INDEX(Curves!$C$50:$BV$50,W$2-10+1))</f>
        <v/>
      </c>
      <c r="X15" s="5">
        <f>$B15*(Eras!$M$3*INDEX(Curves!$C$4:$BV$4,X$2-10+1)+Eras!$M$4*INDEX(Curves!$C$27:$BV$27,X$2-10+1)+Eras!$M$5*INDEX(Curves!$C$50:$BV$50,X$2-10+1))</f>
        <v/>
      </c>
      <c r="Y15" s="5">
        <f>$B15*(Eras!$M$3*INDEX(Curves!$C$4:$BV$4,Y$2-10+1)+Eras!$M$4*INDEX(Curves!$C$27:$BV$27,Y$2-10+1)+Eras!$M$5*INDEX(Curves!$C$50:$BV$50,Y$2-10+1))</f>
        <v/>
      </c>
      <c r="Z15" s="5">
        <f>$B15*(Eras!$M$3*INDEX(Curves!$C$4:$BV$4,Z$2-10+1)+Eras!$M$4*INDEX(Curves!$C$27:$BV$27,Z$2-10+1)+Eras!$M$5*INDEX(Curves!$C$50:$BV$50,Z$2-10+1))</f>
        <v/>
      </c>
      <c r="AA15" s="5">
        <f>$B15*(Eras!$M$3*INDEX(Curves!$C$4:$BV$4,AA$2-10+1)+Eras!$M$4*INDEX(Curves!$C$27:$BV$27,AA$2-10+1)+Eras!$M$5*INDEX(Curves!$C$50:$BV$50,AA$2-10+1))</f>
        <v/>
      </c>
      <c r="AB15" s="5">
        <f>$B15*(Eras!$M$3*INDEX(Curves!$C$4:$BV$4,AB$2-10+1)+Eras!$M$4*INDEX(Curves!$C$27:$BV$27,AB$2-10+1)+Eras!$M$5*INDEX(Curves!$C$50:$BV$50,AB$2-10+1))</f>
        <v/>
      </c>
      <c r="AC15" s="5">
        <f>$B15*(Eras!$M$3*INDEX(Curves!$C$4:$BV$4,AC$2-10+1)+Eras!$M$4*INDEX(Curves!$C$27:$BV$27,AC$2-10+1)+Eras!$M$5*INDEX(Curves!$C$50:$BV$50,AC$2-10+1))</f>
        <v/>
      </c>
      <c r="AD15" s="5">
        <f>$B15*(Eras!$M$3*INDEX(Curves!$C$4:$BV$4,AD$2-10+1)+Eras!$M$4*INDEX(Curves!$C$27:$BV$27,AD$2-10+1)+Eras!$M$5*INDEX(Curves!$C$50:$BV$50,AD$2-10+1))</f>
        <v/>
      </c>
      <c r="AE15" s="5">
        <f>$B15*(Eras!$M$3*INDEX(Curves!$C$4:$BV$4,AE$2-10+1)+Eras!$M$4*INDEX(Curves!$C$27:$BV$27,AE$2-10+1)+Eras!$M$5*INDEX(Curves!$C$50:$BV$50,AE$2-10+1))</f>
        <v/>
      </c>
      <c r="AF15" s="5">
        <f>$B15*(Eras!$M$3*INDEX(Curves!$C$4:$BV$4,AF$2-10+1)+Eras!$M$4*INDEX(Curves!$C$27:$BV$27,AF$2-10+1)+Eras!$M$5*INDEX(Curves!$C$50:$BV$50,AF$2-10+1))</f>
        <v/>
      </c>
      <c r="AG15" s="5">
        <f>$B15*(Eras!$M$3*INDEX(Curves!$C$4:$BV$4,AG$2-10+1)+Eras!$M$4*INDEX(Curves!$C$27:$BV$27,AG$2-10+1)+Eras!$M$5*INDEX(Curves!$C$50:$BV$50,AG$2-10+1))</f>
        <v/>
      </c>
      <c r="AH15" s="5">
        <f>$B15*(Eras!$M$3*INDEX(Curves!$C$4:$BV$4,AH$2-10+1)+Eras!$M$4*INDEX(Curves!$C$27:$BV$27,AH$2-10+1)+Eras!$M$5*INDEX(Curves!$C$50:$BV$50,AH$2-10+1))</f>
        <v/>
      </c>
      <c r="AI15" s="5">
        <f>$B15*(Eras!$M$3*INDEX(Curves!$C$4:$BV$4,AI$2-10+1)+Eras!$M$4*INDEX(Curves!$C$27:$BV$27,AI$2-10+1)+Eras!$M$5*INDEX(Curves!$C$50:$BV$50,AI$2-10+1))</f>
        <v/>
      </c>
      <c r="AJ15" s="5">
        <f>$B15*(Eras!$M$3*INDEX(Curves!$C$4:$BV$4,AJ$2-10+1)+Eras!$M$4*INDEX(Curves!$C$27:$BV$27,AJ$2-10+1)+Eras!$M$5*INDEX(Curves!$C$50:$BV$50,AJ$2-10+1))</f>
        <v/>
      </c>
      <c r="AK15" s="5">
        <f>$B15*(Eras!$M$3*INDEX(Curves!$C$4:$BV$4,AK$2-10+1)+Eras!$M$4*INDEX(Curves!$C$27:$BV$27,AK$2-10+1)+Eras!$M$5*INDEX(Curves!$C$50:$BV$50,AK$2-10+1))</f>
        <v/>
      </c>
      <c r="AL15" s="5">
        <f>$B15*(Eras!$M$3*INDEX(Curves!$C$4:$BV$4,AL$2-10+1)+Eras!$M$4*INDEX(Curves!$C$27:$BV$27,AL$2-10+1)+Eras!$M$5*INDEX(Curves!$C$50:$BV$50,AL$2-10+1))</f>
        <v/>
      </c>
      <c r="AM15" s="5">
        <f>$B15*(Eras!$M$3*INDEX(Curves!$C$4:$BV$4,AM$2-10+1)+Eras!$M$4*INDEX(Curves!$C$27:$BV$27,AM$2-10+1)+Eras!$M$5*INDEX(Curves!$C$50:$BV$50,AM$2-10+1))</f>
        <v/>
      </c>
      <c r="AN15" s="5">
        <f>$B15*(Eras!$M$3*INDEX(Curves!$C$4:$BV$4,AN$2-10+1)+Eras!$M$4*INDEX(Curves!$C$27:$BV$27,AN$2-10+1)+Eras!$M$5*INDEX(Curves!$C$50:$BV$50,AN$2-10+1))</f>
        <v/>
      </c>
      <c r="AO15" s="5">
        <f>$B15*(Eras!$M$3*INDEX(Curves!$C$4:$BV$4,AO$2-10+1)+Eras!$M$4*INDEX(Curves!$C$27:$BV$27,AO$2-10+1)+Eras!$M$5*INDEX(Curves!$C$50:$BV$50,AO$2-10+1))</f>
        <v/>
      </c>
      <c r="AP15" s="5">
        <f>$B15*(Eras!$M$3*INDEX(Curves!$C$4:$BV$4,AP$2-10+1)+Eras!$M$4*INDEX(Curves!$C$27:$BV$27,AP$2-10+1)+Eras!$M$5*INDEX(Curves!$C$50:$BV$50,AP$2-10+1))</f>
        <v/>
      </c>
      <c r="AQ15" s="5">
        <f>$B15*(Eras!$M$3*INDEX(Curves!$C$4:$BV$4,AQ$2-10+1)+Eras!$M$4*INDEX(Curves!$C$27:$BV$27,AQ$2-10+1)+Eras!$M$5*INDEX(Curves!$C$50:$BV$50,AQ$2-10+1))</f>
        <v/>
      </c>
      <c r="AR15" s="5">
        <f>$B15*(Eras!$M$3*INDEX(Curves!$C$4:$BV$4,AR$2-10+1)+Eras!$M$4*INDEX(Curves!$C$27:$BV$27,AR$2-10+1)+Eras!$M$5*INDEX(Curves!$C$50:$BV$50,AR$2-10+1))</f>
        <v/>
      </c>
      <c r="AS15" s="5">
        <f>$B15*(Eras!$M$3*INDEX(Curves!$C$4:$BV$4,AS$2-10+1)+Eras!$M$4*INDEX(Curves!$C$27:$BV$27,AS$2-10+1)+Eras!$M$5*INDEX(Curves!$C$50:$BV$50,AS$2-10+1))</f>
        <v/>
      </c>
      <c r="AT15" s="5">
        <f>$B15*(Eras!$M$3*INDEX(Curves!$C$4:$BV$4,AT$2-10+1)+Eras!$M$4*INDEX(Curves!$C$27:$BV$27,AT$2-10+1)+Eras!$M$5*INDEX(Curves!$C$50:$BV$50,AT$2-10+1))</f>
        <v/>
      </c>
      <c r="AU15" s="5">
        <f>$B15*(Eras!$M$3*INDEX(Curves!$C$4:$BV$4,AU$2-10+1)+Eras!$M$4*INDEX(Curves!$C$27:$BV$27,AU$2-10+1)+Eras!$M$5*INDEX(Curves!$C$50:$BV$50,AU$2-10+1))</f>
        <v/>
      </c>
      <c r="AV15" s="5">
        <f>$B15*(Eras!$M$3*INDEX(Curves!$C$4:$BV$4,AV$2-10+1)+Eras!$M$4*INDEX(Curves!$C$27:$BV$27,AV$2-10+1)+Eras!$M$5*INDEX(Curves!$C$50:$BV$50,AV$2-10+1))</f>
        <v/>
      </c>
      <c r="AW15" s="5">
        <f>$B15*(Eras!$M$3*INDEX(Curves!$C$4:$BV$4,AW$2-10+1)+Eras!$M$4*INDEX(Curves!$C$27:$BV$27,AW$2-10+1)+Eras!$M$5*INDEX(Curves!$C$50:$BV$50,AW$2-10+1))</f>
        <v/>
      </c>
      <c r="AX15" s="5">
        <f>$B15*(Eras!$M$3*INDEX(Curves!$C$4:$BV$4,AX$2-10+1)+Eras!$M$4*INDEX(Curves!$C$27:$BV$27,AX$2-10+1)+Eras!$M$5*INDEX(Curves!$C$50:$BV$50,AX$2-10+1))</f>
        <v/>
      </c>
      <c r="AY15" s="5">
        <f>$B15*(Eras!$M$3*INDEX(Curves!$C$4:$BV$4,AY$2-10+1)+Eras!$M$4*INDEX(Curves!$C$27:$BV$27,AY$2-10+1)+Eras!$M$5*INDEX(Curves!$C$50:$BV$50,AY$2-10+1))</f>
        <v/>
      </c>
      <c r="AZ15" s="5">
        <f>$B15*(Eras!$M$3*INDEX(Curves!$C$4:$BV$4,AZ$2-10+1)+Eras!$M$4*INDEX(Curves!$C$27:$BV$27,AZ$2-10+1)+Eras!$M$5*INDEX(Curves!$C$50:$BV$50,AZ$2-10+1))</f>
        <v/>
      </c>
      <c r="BA15" s="5">
        <f>$B15*(Eras!$M$3*INDEX(Curves!$C$4:$BV$4,BA$2-10+1)+Eras!$M$4*INDEX(Curves!$C$27:$BV$27,BA$2-10+1)+Eras!$M$5*INDEX(Curves!$C$50:$BV$50,BA$2-10+1))</f>
        <v/>
      </c>
      <c r="BB15" s="5">
        <f>$B15*(Eras!$M$3*INDEX(Curves!$C$4:$BV$4,BB$2-10+1)+Eras!$M$4*INDEX(Curves!$C$27:$BV$27,BB$2-10+1)+Eras!$M$5*INDEX(Curves!$C$50:$BV$50,BB$2-10+1))</f>
        <v/>
      </c>
      <c r="BC15" s="5">
        <f>$B15*(Eras!$M$3*INDEX(Curves!$C$4:$BV$4,BC$2-10+1)+Eras!$M$4*INDEX(Curves!$C$27:$BV$27,BC$2-10+1)+Eras!$M$5*INDEX(Curves!$C$50:$BV$50,BC$2-10+1))</f>
        <v/>
      </c>
      <c r="BD15" s="5">
        <f>$B15*(Eras!$M$3*INDEX(Curves!$C$4:$BV$4,BD$2-10+1)+Eras!$M$4*INDEX(Curves!$C$27:$BV$27,BD$2-10+1)+Eras!$M$5*INDEX(Curves!$C$50:$BV$50,BD$2-10+1))</f>
        <v/>
      </c>
      <c r="BE15" s="5">
        <f>$B15*(Eras!$M$3*INDEX(Curves!$C$4:$BV$4,BE$2-10+1)+Eras!$M$4*INDEX(Curves!$C$27:$BV$27,BE$2-10+1)+Eras!$M$5*INDEX(Curves!$C$50:$BV$50,BE$2-10+1))</f>
        <v/>
      </c>
      <c r="BF15" s="5">
        <f>$B15*(Eras!$M$3*INDEX(Curves!$C$4:$BV$4,BF$2-10+1)+Eras!$M$4*INDEX(Curves!$C$27:$BV$27,BF$2-10+1)+Eras!$M$5*INDEX(Curves!$C$50:$BV$50,BF$2-10+1))</f>
        <v/>
      </c>
      <c r="BG15" s="5">
        <f>$B15*(Eras!$M$3*INDEX(Curves!$C$4:$BV$4,BG$2-10+1)+Eras!$M$4*INDEX(Curves!$C$27:$BV$27,BG$2-10+1)+Eras!$M$5*INDEX(Curves!$C$50:$BV$50,BG$2-10+1))</f>
        <v/>
      </c>
      <c r="BH15" s="5">
        <f>$B15*(Eras!$M$3*INDEX(Curves!$C$4:$BV$4,BH$2-10+1)+Eras!$M$4*INDEX(Curves!$C$27:$BV$27,BH$2-10+1)+Eras!$M$5*INDEX(Curves!$C$50:$BV$50,BH$2-10+1))</f>
        <v/>
      </c>
      <c r="BI15" s="5">
        <f>$B15*(Eras!$M$3*INDEX(Curves!$C$4:$BV$4,BI$2-10+1)+Eras!$M$4*INDEX(Curves!$C$27:$BV$27,BI$2-10+1)+Eras!$M$5*INDEX(Curves!$C$50:$BV$50,BI$2-10+1))</f>
        <v/>
      </c>
      <c r="BJ15" s="5">
        <f>$B15*(Eras!$M$3*INDEX(Curves!$C$4:$BV$4,BJ$2-10+1)+Eras!$M$4*INDEX(Curves!$C$27:$BV$27,BJ$2-10+1)+Eras!$M$5*INDEX(Curves!$C$50:$BV$50,BJ$2-10+1))</f>
        <v/>
      </c>
      <c r="BK15" s="5">
        <f>$B15*(Eras!$M$3*INDEX(Curves!$C$4:$BV$4,BK$2-10+1)+Eras!$M$4*INDEX(Curves!$C$27:$BV$27,BK$2-10+1)+Eras!$M$5*INDEX(Curves!$C$50:$BV$50,BK$2-10+1))</f>
        <v/>
      </c>
      <c r="BL15" s="5">
        <f>$B15*(Eras!$M$3*INDEX(Curves!$C$4:$BV$4,BL$2-10+1)+Eras!$M$4*INDEX(Curves!$C$27:$BV$27,BL$2-10+1)+Eras!$M$5*INDEX(Curves!$C$50:$BV$50,BL$2-10+1))</f>
        <v/>
      </c>
      <c r="BM15" s="5">
        <f>$B15*(Eras!$M$3*INDEX(Curves!$C$4:$BV$4,BM$2-10+1)+Eras!$M$4*INDEX(Curves!$C$27:$BV$27,BM$2-10+1)+Eras!$M$5*INDEX(Curves!$C$50:$BV$50,BM$2-10+1))</f>
        <v/>
      </c>
      <c r="BN15" s="5">
        <f>$B15*(Eras!$M$3*INDEX(Curves!$C$4:$BV$4,BN$2-10+1)+Eras!$M$4*INDEX(Curves!$C$27:$BV$27,BN$2-10+1)+Eras!$M$5*INDEX(Curves!$C$50:$BV$50,BN$2-10+1))</f>
        <v/>
      </c>
      <c r="BO15" s="5">
        <f>$B15*(Eras!$M$3*INDEX(Curves!$C$4:$BV$4,BO$2-10+1)+Eras!$M$4*INDEX(Curves!$C$27:$BV$27,BO$2-10+1)+Eras!$M$5*INDEX(Curves!$C$50:$BV$50,BO$2-10+1))</f>
        <v/>
      </c>
      <c r="BP15" s="5">
        <f>$B15*(Eras!$M$3*INDEX(Curves!$C$4:$BV$4,BP$2-10+1)+Eras!$M$4*INDEX(Curves!$C$27:$BV$27,BP$2-10+1)+Eras!$M$5*INDEX(Curves!$C$50:$BV$50,BP$2-10+1))</f>
        <v/>
      </c>
      <c r="BQ15" s="5">
        <f>$B15*(Eras!$M$3*INDEX(Curves!$C$4:$BV$4,BQ$2-10+1)+Eras!$M$4*INDEX(Curves!$C$27:$BV$27,BQ$2-10+1)+Eras!$M$5*INDEX(Curves!$C$50:$BV$50,BQ$2-10+1))</f>
        <v/>
      </c>
      <c r="BR15" s="5">
        <f>$B15*(Eras!$M$3*INDEX(Curves!$C$4:$BV$4,BR$2-10+1)+Eras!$M$4*INDEX(Curves!$C$27:$BV$27,BR$2-10+1)+Eras!$M$5*INDEX(Curves!$C$50:$BV$50,BR$2-10+1))</f>
        <v/>
      </c>
      <c r="BS15" s="5">
        <f>$B15*(Eras!$M$3*INDEX(Curves!$C$4:$BV$4,BS$2-10+1)+Eras!$M$4*INDEX(Curves!$C$27:$BV$27,BS$2-10+1)+Eras!$M$5*INDEX(Curves!$C$50:$BV$50,BS$2-10+1))</f>
        <v/>
      </c>
      <c r="BT15" s="5">
        <f>$B15*(Eras!$M$3*INDEX(Curves!$C$4:$BV$4,BT$2-10+1)+Eras!$M$4*INDEX(Curves!$C$27:$BV$27,BT$2-10+1)+Eras!$M$5*INDEX(Curves!$C$50:$BV$50,BT$2-10+1))</f>
        <v/>
      </c>
      <c r="BU15" s="5">
        <f>$B15*(Eras!$M$3*INDEX(Curves!$C$4:$BV$4,BU$2-10+1)+Eras!$M$4*INDEX(Curves!$C$27:$BV$27,BU$2-10+1)+Eras!$M$5*INDEX(Curves!$C$50:$BV$50,BU$2-10+1))</f>
        <v/>
      </c>
      <c r="BV15" s="5">
        <f>$B15*(Eras!$M$3*INDEX(Curves!$C$4:$BV$4,BV$2-10+1)+Eras!$M$4*INDEX(Curves!$C$27:$BV$27,BV$2-10+1)+Eras!$M$5*INDEX(Curves!$C$50:$BV$50,BV$2-10+1))</f>
        <v/>
      </c>
    </row>
    <row r="16">
      <c r="A16" t="inlineStr">
        <is>
          <t>cohort 2025-12</t>
        </is>
      </c>
      <c r="B16" s="5">
        <f>INDEX(Adds!$C$13:$BV$13,12)</f>
        <v/>
      </c>
      <c r="N16" s="5">
        <f>$B16*(Eras!$N$3*INDEX(Curves!$C$4:$BV$4,N$2-11+1)+Eras!$N$4*INDEX(Curves!$C$27:$BV$27,N$2-11+1)+Eras!$N$5*INDEX(Curves!$C$50:$BV$50,N$2-11+1))</f>
        <v/>
      </c>
      <c r="O16" s="5">
        <f>$B16*(Eras!$N$3*INDEX(Curves!$C$4:$BV$4,O$2-11+1)+Eras!$N$4*INDEX(Curves!$C$27:$BV$27,O$2-11+1)+Eras!$N$5*INDEX(Curves!$C$50:$BV$50,O$2-11+1))</f>
        <v/>
      </c>
      <c r="P16" s="5">
        <f>$B16*(Eras!$N$3*INDEX(Curves!$C$4:$BV$4,P$2-11+1)+Eras!$N$4*INDEX(Curves!$C$27:$BV$27,P$2-11+1)+Eras!$N$5*INDEX(Curves!$C$50:$BV$50,P$2-11+1))</f>
        <v/>
      </c>
      <c r="Q16" s="5">
        <f>$B16*(Eras!$N$3*INDEX(Curves!$C$4:$BV$4,Q$2-11+1)+Eras!$N$4*INDEX(Curves!$C$27:$BV$27,Q$2-11+1)+Eras!$N$5*INDEX(Curves!$C$50:$BV$50,Q$2-11+1))</f>
        <v/>
      </c>
      <c r="R16" s="5">
        <f>$B16*(Eras!$N$3*INDEX(Curves!$C$4:$BV$4,R$2-11+1)+Eras!$N$4*INDEX(Curves!$C$27:$BV$27,R$2-11+1)+Eras!$N$5*INDEX(Curves!$C$50:$BV$50,R$2-11+1))</f>
        <v/>
      </c>
      <c r="S16" s="5">
        <f>$B16*(Eras!$N$3*INDEX(Curves!$C$4:$BV$4,S$2-11+1)+Eras!$N$4*INDEX(Curves!$C$27:$BV$27,S$2-11+1)+Eras!$N$5*INDEX(Curves!$C$50:$BV$50,S$2-11+1))</f>
        <v/>
      </c>
      <c r="T16" s="5">
        <f>$B16*(Eras!$N$3*INDEX(Curves!$C$4:$BV$4,T$2-11+1)+Eras!$N$4*INDEX(Curves!$C$27:$BV$27,T$2-11+1)+Eras!$N$5*INDEX(Curves!$C$50:$BV$50,T$2-11+1))</f>
        <v/>
      </c>
      <c r="U16" s="5">
        <f>$B16*(Eras!$N$3*INDEX(Curves!$C$4:$BV$4,U$2-11+1)+Eras!$N$4*INDEX(Curves!$C$27:$BV$27,U$2-11+1)+Eras!$N$5*INDEX(Curves!$C$50:$BV$50,U$2-11+1))</f>
        <v/>
      </c>
      <c r="V16" s="5">
        <f>$B16*(Eras!$N$3*INDEX(Curves!$C$4:$BV$4,V$2-11+1)+Eras!$N$4*INDEX(Curves!$C$27:$BV$27,V$2-11+1)+Eras!$N$5*INDEX(Curves!$C$50:$BV$50,V$2-11+1))</f>
        <v/>
      </c>
      <c r="W16" s="5">
        <f>$B16*(Eras!$N$3*INDEX(Curves!$C$4:$BV$4,W$2-11+1)+Eras!$N$4*INDEX(Curves!$C$27:$BV$27,W$2-11+1)+Eras!$N$5*INDEX(Curves!$C$50:$BV$50,W$2-11+1))</f>
        <v/>
      </c>
      <c r="X16" s="5">
        <f>$B16*(Eras!$N$3*INDEX(Curves!$C$4:$BV$4,X$2-11+1)+Eras!$N$4*INDEX(Curves!$C$27:$BV$27,X$2-11+1)+Eras!$N$5*INDEX(Curves!$C$50:$BV$50,X$2-11+1))</f>
        <v/>
      </c>
      <c r="Y16" s="5">
        <f>$B16*(Eras!$N$3*INDEX(Curves!$C$4:$BV$4,Y$2-11+1)+Eras!$N$4*INDEX(Curves!$C$27:$BV$27,Y$2-11+1)+Eras!$N$5*INDEX(Curves!$C$50:$BV$50,Y$2-11+1))</f>
        <v/>
      </c>
      <c r="Z16" s="5">
        <f>$B16*(Eras!$N$3*INDEX(Curves!$C$4:$BV$4,Z$2-11+1)+Eras!$N$4*INDEX(Curves!$C$27:$BV$27,Z$2-11+1)+Eras!$N$5*INDEX(Curves!$C$50:$BV$50,Z$2-11+1))</f>
        <v/>
      </c>
      <c r="AA16" s="5">
        <f>$B16*(Eras!$N$3*INDEX(Curves!$C$4:$BV$4,AA$2-11+1)+Eras!$N$4*INDEX(Curves!$C$27:$BV$27,AA$2-11+1)+Eras!$N$5*INDEX(Curves!$C$50:$BV$50,AA$2-11+1))</f>
        <v/>
      </c>
      <c r="AB16" s="5">
        <f>$B16*(Eras!$N$3*INDEX(Curves!$C$4:$BV$4,AB$2-11+1)+Eras!$N$4*INDEX(Curves!$C$27:$BV$27,AB$2-11+1)+Eras!$N$5*INDEX(Curves!$C$50:$BV$50,AB$2-11+1))</f>
        <v/>
      </c>
      <c r="AC16" s="5">
        <f>$B16*(Eras!$N$3*INDEX(Curves!$C$4:$BV$4,AC$2-11+1)+Eras!$N$4*INDEX(Curves!$C$27:$BV$27,AC$2-11+1)+Eras!$N$5*INDEX(Curves!$C$50:$BV$50,AC$2-11+1))</f>
        <v/>
      </c>
      <c r="AD16" s="5">
        <f>$B16*(Eras!$N$3*INDEX(Curves!$C$4:$BV$4,AD$2-11+1)+Eras!$N$4*INDEX(Curves!$C$27:$BV$27,AD$2-11+1)+Eras!$N$5*INDEX(Curves!$C$50:$BV$50,AD$2-11+1))</f>
        <v/>
      </c>
      <c r="AE16" s="5">
        <f>$B16*(Eras!$N$3*INDEX(Curves!$C$4:$BV$4,AE$2-11+1)+Eras!$N$4*INDEX(Curves!$C$27:$BV$27,AE$2-11+1)+Eras!$N$5*INDEX(Curves!$C$50:$BV$50,AE$2-11+1))</f>
        <v/>
      </c>
      <c r="AF16" s="5">
        <f>$B16*(Eras!$N$3*INDEX(Curves!$C$4:$BV$4,AF$2-11+1)+Eras!$N$4*INDEX(Curves!$C$27:$BV$27,AF$2-11+1)+Eras!$N$5*INDEX(Curves!$C$50:$BV$50,AF$2-11+1))</f>
        <v/>
      </c>
      <c r="AG16" s="5">
        <f>$B16*(Eras!$N$3*INDEX(Curves!$C$4:$BV$4,AG$2-11+1)+Eras!$N$4*INDEX(Curves!$C$27:$BV$27,AG$2-11+1)+Eras!$N$5*INDEX(Curves!$C$50:$BV$50,AG$2-11+1))</f>
        <v/>
      </c>
      <c r="AH16" s="5">
        <f>$B16*(Eras!$N$3*INDEX(Curves!$C$4:$BV$4,AH$2-11+1)+Eras!$N$4*INDEX(Curves!$C$27:$BV$27,AH$2-11+1)+Eras!$N$5*INDEX(Curves!$C$50:$BV$50,AH$2-11+1))</f>
        <v/>
      </c>
      <c r="AI16" s="5">
        <f>$B16*(Eras!$N$3*INDEX(Curves!$C$4:$BV$4,AI$2-11+1)+Eras!$N$4*INDEX(Curves!$C$27:$BV$27,AI$2-11+1)+Eras!$N$5*INDEX(Curves!$C$50:$BV$50,AI$2-11+1))</f>
        <v/>
      </c>
      <c r="AJ16" s="5">
        <f>$B16*(Eras!$N$3*INDEX(Curves!$C$4:$BV$4,AJ$2-11+1)+Eras!$N$4*INDEX(Curves!$C$27:$BV$27,AJ$2-11+1)+Eras!$N$5*INDEX(Curves!$C$50:$BV$50,AJ$2-11+1))</f>
        <v/>
      </c>
      <c r="AK16" s="5">
        <f>$B16*(Eras!$N$3*INDEX(Curves!$C$4:$BV$4,AK$2-11+1)+Eras!$N$4*INDEX(Curves!$C$27:$BV$27,AK$2-11+1)+Eras!$N$5*INDEX(Curves!$C$50:$BV$50,AK$2-11+1))</f>
        <v/>
      </c>
      <c r="AL16" s="5">
        <f>$B16*(Eras!$N$3*INDEX(Curves!$C$4:$BV$4,AL$2-11+1)+Eras!$N$4*INDEX(Curves!$C$27:$BV$27,AL$2-11+1)+Eras!$N$5*INDEX(Curves!$C$50:$BV$50,AL$2-11+1))</f>
        <v/>
      </c>
      <c r="AM16" s="5">
        <f>$B16*(Eras!$N$3*INDEX(Curves!$C$4:$BV$4,AM$2-11+1)+Eras!$N$4*INDEX(Curves!$C$27:$BV$27,AM$2-11+1)+Eras!$N$5*INDEX(Curves!$C$50:$BV$50,AM$2-11+1))</f>
        <v/>
      </c>
      <c r="AN16" s="5">
        <f>$B16*(Eras!$N$3*INDEX(Curves!$C$4:$BV$4,AN$2-11+1)+Eras!$N$4*INDEX(Curves!$C$27:$BV$27,AN$2-11+1)+Eras!$N$5*INDEX(Curves!$C$50:$BV$50,AN$2-11+1))</f>
        <v/>
      </c>
      <c r="AO16" s="5">
        <f>$B16*(Eras!$N$3*INDEX(Curves!$C$4:$BV$4,AO$2-11+1)+Eras!$N$4*INDEX(Curves!$C$27:$BV$27,AO$2-11+1)+Eras!$N$5*INDEX(Curves!$C$50:$BV$50,AO$2-11+1))</f>
        <v/>
      </c>
      <c r="AP16" s="5">
        <f>$B16*(Eras!$N$3*INDEX(Curves!$C$4:$BV$4,AP$2-11+1)+Eras!$N$4*INDEX(Curves!$C$27:$BV$27,AP$2-11+1)+Eras!$N$5*INDEX(Curves!$C$50:$BV$50,AP$2-11+1))</f>
        <v/>
      </c>
      <c r="AQ16" s="5">
        <f>$B16*(Eras!$N$3*INDEX(Curves!$C$4:$BV$4,AQ$2-11+1)+Eras!$N$4*INDEX(Curves!$C$27:$BV$27,AQ$2-11+1)+Eras!$N$5*INDEX(Curves!$C$50:$BV$50,AQ$2-11+1))</f>
        <v/>
      </c>
      <c r="AR16" s="5">
        <f>$B16*(Eras!$N$3*INDEX(Curves!$C$4:$BV$4,AR$2-11+1)+Eras!$N$4*INDEX(Curves!$C$27:$BV$27,AR$2-11+1)+Eras!$N$5*INDEX(Curves!$C$50:$BV$50,AR$2-11+1))</f>
        <v/>
      </c>
      <c r="AS16" s="5">
        <f>$B16*(Eras!$N$3*INDEX(Curves!$C$4:$BV$4,AS$2-11+1)+Eras!$N$4*INDEX(Curves!$C$27:$BV$27,AS$2-11+1)+Eras!$N$5*INDEX(Curves!$C$50:$BV$50,AS$2-11+1))</f>
        <v/>
      </c>
      <c r="AT16" s="5">
        <f>$B16*(Eras!$N$3*INDEX(Curves!$C$4:$BV$4,AT$2-11+1)+Eras!$N$4*INDEX(Curves!$C$27:$BV$27,AT$2-11+1)+Eras!$N$5*INDEX(Curves!$C$50:$BV$50,AT$2-11+1))</f>
        <v/>
      </c>
      <c r="AU16" s="5">
        <f>$B16*(Eras!$N$3*INDEX(Curves!$C$4:$BV$4,AU$2-11+1)+Eras!$N$4*INDEX(Curves!$C$27:$BV$27,AU$2-11+1)+Eras!$N$5*INDEX(Curves!$C$50:$BV$50,AU$2-11+1))</f>
        <v/>
      </c>
      <c r="AV16" s="5">
        <f>$B16*(Eras!$N$3*INDEX(Curves!$C$4:$BV$4,AV$2-11+1)+Eras!$N$4*INDEX(Curves!$C$27:$BV$27,AV$2-11+1)+Eras!$N$5*INDEX(Curves!$C$50:$BV$50,AV$2-11+1))</f>
        <v/>
      </c>
      <c r="AW16" s="5">
        <f>$B16*(Eras!$N$3*INDEX(Curves!$C$4:$BV$4,AW$2-11+1)+Eras!$N$4*INDEX(Curves!$C$27:$BV$27,AW$2-11+1)+Eras!$N$5*INDEX(Curves!$C$50:$BV$50,AW$2-11+1))</f>
        <v/>
      </c>
      <c r="AX16" s="5">
        <f>$B16*(Eras!$N$3*INDEX(Curves!$C$4:$BV$4,AX$2-11+1)+Eras!$N$4*INDEX(Curves!$C$27:$BV$27,AX$2-11+1)+Eras!$N$5*INDEX(Curves!$C$50:$BV$50,AX$2-11+1))</f>
        <v/>
      </c>
      <c r="AY16" s="5">
        <f>$B16*(Eras!$N$3*INDEX(Curves!$C$4:$BV$4,AY$2-11+1)+Eras!$N$4*INDEX(Curves!$C$27:$BV$27,AY$2-11+1)+Eras!$N$5*INDEX(Curves!$C$50:$BV$50,AY$2-11+1))</f>
        <v/>
      </c>
      <c r="AZ16" s="5">
        <f>$B16*(Eras!$N$3*INDEX(Curves!$C$4:$BV$4,AZ$2-11+1)+Eras!$N$4*INDEX(Curves!$C$27:$BV$27,AZ$2-11+1)+Eras!$N$5*INDEX(Curves!$C$50:$BV$50,AZ$2-11+1))</f>
        <v/>
      </c>
      <c r="BA16" s="5">
        <f>$B16*(Eras!$N$3*INDEX(Curves!$C$4:$BV$4,BA$2-11+1)+Eras!$N$4*INDEX(Curves!$C$27:$BV$27,BA$2-11+1)+Eras!$N$5*INDEX(Curves!$C$50:$BV$50,BA$2-11+1))</f>
        <v/>
      </c>
      <c r="BB16" s="5">
        <f>$B16*(Eras!$N$3*INDEX(Curves!$C$4:$BV$4,BB$2-11+1)+Eras!$N$4*INDEX(Curves!$C$27:$BV$27,BB$2-11+1)+Eras!$N$5*INDEX(Curves!$C$50:$BV$50,BB$2-11+1))</f>
        <v/>
      </c>
      <c r="BC16" s="5">
        <f>$B16*(Eras!$N$3*INDEX(Curves!$C$4:$BV$4,BC$2-11+1)+Eras!$N$4*INDEX(Curves!$C$27:$BV$27,BC$2-11+1)+Eras!$N$5*INDEX(Curves!$C$50:$BV$50,BC$2-11+1))</f>
        <v/>
      </c>
      <c r="BD16" s="5">
        <f>$B16*(Eras!$N$3*INDEX(Curves!$C$4:$BV$4,BD$2-11+1)+Eras!$N$4*INDEX(Curves!$C$27:$BV$27,BD$2-11+1)+Eras!$N$5*INDEX(Curves!$C$50:$BV$50,BD$2-11+1))</f>
        <v/>
      </c>
      <c r="BE16" s="5">
        <f>$B16*(Eras!$N$3*INDEX(Curves!$C$4:$BV$4,BE$2-11+1)+Eras!$N$4*INDEX(Curves!$C$27:$BV$27,BE$2-11+1)+Eras!$N$5*INDEX(Curves!$C$50:$BV$50,BE$2-11+1))</f>
        <v/>
      </c>
      <c r="BF16" s="5">
        <f>$B16*(Eras!$N$3*INDEX(Curves!$C$4:$BV$4,BF$2-11+1)+Eras!$N$4*INDEX(Curves!$C$27:$BV$27,BF$2-11+1)+Eras!$N$5*INDEX(Curves!$C$50:$BV$50,BF$2-11+1))</f>
        <v/>
      </c>
      <c r="BG16" s="5">
        <f>$B16*(Eras!$N$3*INDEX(Curves!$C$4:$BV$4,BG$2-11+1)+Eras!$N$4*INDEX(Curves!$C$27:$BV$27,BG$2-11+1)+Eras!$N$5*INDEX(Curves!$C$50:$BV$50,BG$2-11+1))</f>
        <v/>
      </c>
      <c r="BH16" s="5">
        <f>$B16*(Eras!$N$3*INDEX(Curves!$C$4:$BV$4,BH$2-11+1)+Eras!$N$4*INDEX(Curves!$C$27:$BV$27,BH$2-11+1)+Eras!$N$5*INDEX(Curves!$C$50:$BV$50,BH$2-11+1))</f>
        <v/>
      </c>
      <c r="BI16" s="5">
        <f>$B16*(Eras!$N$3*INDEX(Curves!$C$4:$BV$4,BI$2-11+1)+Eras!$N$4*INDEX(Curves!$C$27:$BV$27,BI$2-11+1)+Eras!$N$5*INDEX(Curves!$C$50:$BV$50,BI$2-11+1))</f>
        <v/>
      </c>
      <c r="BJ16" s="5">
        <f>$B16*(Eras!$N$3*INDEX(Curves!$C$4:$BV$4,BJ$2-11+1)+Eras!$N$4*INDEX(Curves!$C$27:$BV$27,BJ$2-11+1)+Eras!$N$5*INDEX(Curves!$C$50:$BV$50,BJ$2-11+1))</f>
        <v/>
      </c>
      <c r="BK16" s="5">
        <f>$B16*(Eras!$N$3*INDEX(Curves!$C$4:$BV$4,BK$2-11+1)+Eras!$N$4*INDEX(Curves!$C$27:$BV$27,BK$2-11+1)+Eras!$N$5*INDEX(Curves!$C$50:$BV$50,BK$2-11+1))</f>
        <v/>
      </c>
      <c r="BL16" s="5">
        <f>$B16*(Eras!$N$3*INDEX(Curves!$C$4:$BV$4,BL$2-11+1)+Eras!$N$4*INDEX(Curves!$C$27:$BV$27,BL$2-11+1)+Eras!$N$5*INDEX(Curves!$C$50:$BV$50,BL$2-11+1))</f>
        <v/>
      </c>
      <c r="BM16" s="5">
        <f>$B16*(Eras!$N$3*INDEX(Curves!$C$4:$BV$4,BM$2-11+1)+Eras!$N$4*INDEX(Curves!$C$27:$BV$27,BM$2-11+1)+Eras!$N$5*INDEX(Curves!$C$50:$BV$50,BM$2-11+1))</f>
        <v/>
      </c>
      <c r="BN16" s="5">
        <f>$B16*(Eras!$N$3*INDEX(Curves!$C$4:$BV$4,BN$2-11+1)+Eras!$N$4*INDEX(Curves!$C$27:$BV$27,BN$2-11+1)+Eras!$N$5*INDEX(Curves!$C$50:$BV$50,BN$2-11+1))</f>
        <v/>
      </c>
      <c r="BO16" s="5">
        <f>$B16*(Eras!$N$3*INDEX(Curves!$C$4:$BV$4,BO$2-11+1)+Eras!$N$4*INDEX(Curves!$C$27:$BV$27,BO$2-11+1)+Eras!$N$5*INDEX(Curves!$C$50:$BV$50,BO$2-11+1))</f>
        <v/>
      </c>
      <c r="BP16" s="5">
        <f>$B16*(Eras!$N$3*INDEX(Curves!$C$4:$BV$4,BP$2-11+1)+Eras!$N$4*INDEX(Curves!$C$27:$BV$27,BP$2-11+1)+Eras!$N$5*INDEX(Curves!$C$50:$BV$50,BP$2-11+1))</f>
        <v/>
      </c>
      <c r="BQ16" s="5">
        <f>$B16*(Eras!$N$3*INDEX(Curves!$C$4:$BV$4,BQ$2-11+1)+Eras!$N$4*INDEX(Curves!$C$27:$BV$27,BQ$2-11+1)+Eras!$N$5*INDEX(Curves!$C$50:$BV$50,BQ$2-11+1))</f>
        <v/>
      </c>
      <c r="BR16" s="5">
        <f>$B16*(Eras!$N$3*INDEX(Curves!$C$4:$BV$4,BR$2-11+1)+Eras!$N$4*INDEX(Curves!$C$27:$BV$27,BR$2-11+1)+Eras!$N$5*INDEX(Curves!$C$50:$BV$50,BR$2-11+1))</f>
        <v/>
      </c>
      <c r="BS16" s="5">
        <f>$B16*(Eras!$N$3*INDEX(Curves!$C$4:$BV$4,BS$2-11+1)+Eras!$N$4*INDEX(Curves!$C$27:$BV$27,BS$2-11+1)+Eras!$N$5*INDEX(Curves!$C$50:$BV$50,BS$2-11+1))</f>
        <v/>
      </c>
      <c r="BT16" s="5">
        <f>$B16*(Eras!$N$3*INDEX(Curves!$C$4:$BV$4,BT$2-11+1)+Eras!$N$4*INDEX(Curves!$C$27:$BV$27,BT$2-11+1)+Eras!$N$5*INDEX(Curves!$C$50:$BV$50,BT$2-11+1))</f>
        <v/>
      </c>
      <c r="BU16" s="5">
        <f>$B16*(Eras!$N$3*INDEX(Curves!$C$4:$BV$4,BU$2-11+1)+Eras!$N$4*INDEX(Curves!$C$27:$BV$27,BU$2-11+1)+Eras!$N$5*INDEX(Curves!$C$50:$BV$50,BU$2-11+1))</f>
        <v/>
      </c>
      <c r="BV16" s="5">
        <f>$B16*(Eras!$N$3*INDEX(Curves!$C$4:$BV$4,BV$2-11+1)+Eras!$N$4*INDEX(Curves!$C$27:$BV$27,BV$2-11+1)+Eras!$N$5*INDEX(Curves!$C$50:$BV$50,BV$2-11+1))</f>
        <v/>
      </c>
    </row>
    <row r="17">
      <c r="A17" t="inlineStr">
        <is>
          <t>cohort 2026-01</t>
        </is>
      </c>
      <c r="B17" s="5">
        <f>INDEX(Adds!$C$13:$BV$13,13)</f>
        <v/>
      </c>
      <c r="O17" s="5">
        <f>$B17*(Eras!$O$3*INDEX(Curves!$C$4:$BV$4,O$2-12+1)+Eras!$O$4*INDEX(Curves!$C$27:$BV$27,O$2-12+1)+Eras!$O$5*INDEX(Curves!$C$50:$BV$50,O$2-12+1))</f>
        <v/>
      </c>
      <c r="P17" s="5">
        <f>$B17*(Eras!$O$3*INDEX(Curves!$C$4:$BV$4,P$2-12+1)+Eras!$O$4*INDEX(Curves!$C$27:$BV$27,P$2-12+1)+Eras!$O$5*INDEX(Curves!$C$50:$BV$50,P$2-12+1))</f>
        <v/>
      </c>
      <c r="Q17" s="5">
        <f>$B17*(Eras!$O$3*INDEX(Curves!$C$4:$BV$4,Q$2-12+1)+Eras!$O$4*INDEX(Curves!$C$27:$BV$27,Q$2-12+1)+Eras!$O$5*INDEX(Curves!$C$50:$BV$50,Q$2-12+1))</f>
        <v/>
      </c>
      <c r="R17" s="5">
        <f>$B17*(Eras!$O$3*INDEX(Curves!$C$4:$BV$4,R$2-12+1)+Eras!$O$4*INDEX(Curves!$C$27:$BV$27,R$2-12+1)+Eras!$O$5*INDEX(Curves!$C$50:$BV$50,R$2-12+1))</f>
        <v/>
      </c>
      <c r="S17" s="5">
        <f>$B17*(Eras!$O$3*INDEX(Curves!$C$4:$BV$4,S$2-12+1)+Eras!$O$4*INDEX(Curves!$C$27:$BV$27,S$2-12+1)+Eras!$O$5*INDEX(Curves!$C$50:$BV$50,S$2-12+1))</f>
        <v/>
      </c>
      <c r="T17" s="5">
        <f>$B17*(Eras!$O$3*INDEX(Curves!$C$4:$BV$4,T$2-12+1)+Eras!$O$4*INDEX(Curves!$C$27:$BV$27,T$2-12+1)+Eras!$O$5*INDEX(Curves!$C$50:$BV$50,T$2-12+1))</f>
        <v/>
      </c>
      <c r="U17" s="5">
        <f>$B17*(Eras!$O$3*INDEX(Curves!$C$4:$BV$4,U$2-12+1)+Eras!$O$4*INDEX(Curves!$C$27:$BV$27,U$2-12+1)+Eras!$O$5*INDEX(Curves!$C$50:$BV$50,U$2-12+1))</f>
        <v/>
      </c>
      <c r="V17" s="5">
        <f>$B17*(Eras!$O$3*INDEX(Curves!$C$4:$BV$4,V$2-12+1)+Eras!$O$4*INDEX(Curves!$C$27:$BV$27,V$2-12+1)+Eras!$O$5*INDEX(Curves!$C$50:$BV$50,V$2-12+1))</f>
        <v/>
      </c>
      <c r="W17" s="5">
        <f>$B17*(Eras!$O$3*INDEX(Curves!$C$4:$BV$4,W$2-12+1)+Eras!$O$4*INDEX(Curves!$C$27:$BV$27,W$2-12+1)+Eras!$O$5*INDEX(Curves!$C$50:$BV$50,W$2-12+1))</f>
        <v/>
      </c>
      <c r="X17" s="5">
        <f>$B17*(Eras!$O$3*INDEX(Curves!$C$4:$BV$4,X$2-12+1)+Eras!$O$4*INDEX(Curves!$C$27:$BV$27,X$2-12+1)+Eras!$O$5*INDEX(Curves!$C$50:$BV$50,X$2-12+1))</f>
        <v/>
      </c>
      <c r="Y17" s="5">
        <f>$B17*(Eras!$O$3*INDEX(Curves!$C$4:$BV$4,Y$2-12+1)+Eras!$O$4*INDEX(Curves!$C$27:$BV$27,Y$2-12+1)+Eras!$O$5*INDEX(Curves!$C$50:$BV$50,Y$2-12+1))</f>
        <v/>
      </c>
      <c r="Z17" s="5">
        <f>$B17*(Eras!$O$3*INDEX(Curves!$C$4:$BV$4,Z$2-12+1)+Eras!$O$4*INDEX(Curves!$C$27:$BV$27,Z$2-12+1)+Eras!$O$5*INDEX(Curves!$C$50:$BV$50,Z$2-12+1))</f>
        <v/>
      </c>
      <c r="AA17" s="5">
        <f>$B17*(Eras!$O$3*INDEX(Curves!$C$4:$BV$4,AA$2-12+1)+Eras!$O$4*INDEX(Curves!$C$27:$BV$27,AA$2-12+1)+Eras!$O$5*INDEX(Curves!$C$50:$BV$50,AA$2-12+1))</f>
        <v/>
      </c>
      <c r="AB17" s="5">
        <f>$B17*(Eras!$O$3*INDEX(Curves!$C$4:$BV$4,AB$2-12+1)+Eras!$O$4*INDEX(Curves!$C$27:$BV$27,AB$2-12+1)+Eras!$O$5*INDEX(Curves!$C$50:$BV$50,AB$2-12+1))</f>
        <v/>
      </c>
      <c r="AC17" s="5">
        <f>$B17*(Eras!$O$3*INDEX(Curves!$C$4:$BV$4,AC$2-12+1)+Eras!$O$4*INDEX(Curves!$C$27:$BV$27,AC$2-12+1)+Eras!$O$5*INDEX(Curves!$C$50:$BV$50,AC$2-12+1))</f>
        <v/>
      </c>
      <c r="AD17" s="5">
        <f>$B17*(Eras!$O$3*INDEX(Curves!$C$4:$BV$4,AD$2-12+1)+Eras!$O$4*INDEX(Curves!$C$27:$BV$27,AD$2-12+1)+Eras!$O$5*INDEX(Curves!$C$50:$BV$50,AD$2-12+1))</f>
        <v/>
      </c>
      <c r="AE17" s="5">
        <f>$B17*(Eras!$O$3*INDEX(Curves!$C$4:$BV$4,AE$2-12+1)+Eras!$O$4*INDEX(Curves!$C$27:$BV$27,AE$2-12+1)+Eras!$O$5*INDEX(Curves!$C$50:$BV$50,AE$2-12+1))</f>
        <v/>
      </c>
      <c r="AF17" s="5">
        <f>$B17*(Eras!$O$3*INDEX(Curves!$C$4:$BV$4,AF$2-12+1)+Eras!$O$4*INDEX(Curves!$C$27:$BV$27,AF$2-12+1)+Eras!$O$5*INDEX(Curves!$C$50:$BV$50,AF$2-12+1))</f>
        <v/>
      </c>
      <c r="AG17" s="5">
        <f>$B17*(Eras!$O$3*INDEX(Curves!$C$4:$BV$4,AG$2-12+1)+Eras!$O$4*INDEX(Curves!$C$27:$BV$27,AG$2-12+1)+Eras!$O$5*INDEX(Curves!$C$50:$BV$50,AG$2-12+1))</f>
        <v/>
      </c>
      <c r="AH17" s="5">
        <f>$B17*(Eras!$O$3*INDEX(Curves!$C$4:$BV$4,AH$2-12+1)+Eras!$O$4*INDEX(Curves!$C$27:$BV$27,AH$2-12+1)+Eras!$O$5*INDEX(Curves!$C$50:$BV$50,AH$2-12+1))</f>
        <v/>
      </c>
      <c r="AI17" s="5">
        <f>$B17*(Eras!$O$3*INDEX(Curves!$C$4:$BV$4,AI$2-12+1)+Eras!$O$4*INDEX(Curves!$C$27:$BV$27,AI$2-12+1)+Eras!$O$5*INDEX(Curves!$C$50:$BV$50,AI$2-12+1))</f>
        <v/>
      </c>
      <c r="AJ17" s="5">
        <f>$B17*(Eras!$O$3*INDEX(Curves!$C$4:$BV$4,AJ$2-12+1)+Eras!$O$4*INDEX(Curves!$C$27:$BV$27,AJ$2-12+1)+Eras!$O$5*INDEX(Curves!$C$50:$BV$50,AJ$2-12+1))</f>
        <v/>
      </c>
      <c r="AK17" s="5">
        <f>$B17*(Eras!$O$3*INDEX(Curves!$C$4:$BV$4,AK$2-12+1)+Eras!$O$4*INDEX(Curves!$C$27:$BV$27,AK$2-12+1)+Eras!$O$5*INDEX(Curves!$C$50:$BV$50,AK$2-12+1))</f>
        <v/>
      </c>
      <c r="AL17" s="5">
        <f>$B17*(Eras!$O$3*INDEX(Curves!$C$4:$BV$4,AL$2-12+1)+Eras!$O$4*INDEX(Curves!$C$27:$BV$27,AL$2-12+1)+Eras!$O$5*INDEX(Curves!$C$50:$BV$50,AL$2-12+1))</f>
        <v/>
      </c>
      <c r="AM17" s="5">
        <f>$B17*(Eras!$O$3*INDEX(Curves!$C$4:$BV$4,AM$2-12+1)+Eras!$O$4*INDEX(Curves!$C$27:$BV$27,AM$2-12+1)+Eras!$O$5*INDEX(Curves!$C$50:$BV$50,AM$2-12+1))</f>
        <v/>
      </c>
      <c r="AN17" s="5">
        <f>$B17*(Eras!$O$3*INDEX(Curves!$C$4:$BV$4,AN$2-12+1)+Eras!$O$4*INDEX(Curves!$C$27:$BV$27,AN$2-12+1)+Eras!$O$5*INDEX(Curves!$C$50:$BV$50,AN$2-12+1))</f>
        <v/>
      </c>
      <c r="AO17" s="5">
        <f>$B17*(Eras!$O$3*INDEX(Curves!$C$4:$BV$4,AO$2-12+1)+Eras!$O$4*INDEX(Curves!$C$27:$BV$27,AO$2-12+1)+Eras!$O$5*INDEX(Curves!$C$50:$BV$50,AO$2-12+1))</f>
        <v/>
      </c>
      <c r="AP17" s="5">
        <f>$B17*(Eras!$O$3*INDEX(Curves!$C$4:$BV$4,AP$2-12+1)+Eras!$O$4*INDEX(Curves!$C$27:$BV$27,AP$2-12+1)+Eras!$O$5*INDEX(Curves!$C$50:$BV$50,AP$2-12+1))</f>
        <v/>
      </c>
      <c r="AQ17" s="5">
        <f>$B17*(Eras!$O$3*INDEX(Curves!$C$4:$BV$4,AQ$2-12+1)+Eras!$O$4*INDEX(Curves!$C$27:$BV$27,AQ$2-12+1)+Eras!$O$5*INDEX(Curves!$C$50:$BV$50,AQ$2-12+1))</f>
        <v/>
      </c>
      <c r="AR17" s="5">
        <f>$B17*(Eras!$O$3*INDEX(Curves!$C$4:$BV$4,AR$2-12+1)+Eras!$O$4*INDEX(Curves!$C$27:$BV$27,AR$2-12+1)+Eras!$O$5*INDEX(Curves!$C$50:$BV$50,AR$2-12+1))</f>
        <v/>
      </c>
      <c r="AS17" s="5">
        <f>$B17*(Eras!$O$3*INDEX(Curves!$C$4:$BV$4,AS$2-12+1)+Eras!$O$4*INDEX(Curves!$C$27:$BV$27,AS$2-12+1)+Eras!$O$5*INDEX(Curves!$C$50:$BV$50,AS$2-12+1))</f>
        <v/>
      </c>
      <c r="AT17" s="5">
        <f>$B17*(Eras!$O$3*INDEX(Curves!$C$4:$BV$4,AT$2-12+1)+Eras!$O$4*INDEX(Curves!$C$27:$BV$27,AT$2-12+1)+Eras!$O$5*INDEX(Curves!$C$50:$BV$50,AT$2-12+1))</f>
        <v/>
      </c>
      <c r="AU17" s="5">
        <f>$B17*(Eras!$O$3*INDEX(Curves!$C$4:$BV$4,AU$2-12+1)+Eras!$O$4*INDEX(Curves!$C$27:$BV$27,AU$2-12+1)+Eras!$O$5*INDEX(Curves!$C$50:$BV$50,AU$2-12+1))</f>
        <v/>
      </c>
      <c r="AV17" s="5">
        <f>$B17*(Eras!$O$3*INDEX(Curves!$C$4:$BV$4,AV$2-12+1)+Eras!$O$4*INDEX(Curves!$C$27:$BV$27,AV$2-12+1)+Eras!$O$5*INDEX(Curves!$C$50:$BV$50,AV$2-12+1))</f>
        <v/>
      </c>
      <c r="AW17" s="5">
        <f>$B17*(Eras!$O$3*INDEX(Curves!$C$4:$BV$4,AW$2-12+1)+Eras!$O$4*INDEX(Curves!$C$27:$BV$27,AW$2-12+1)+Eras!$O$5*INDEX(Curves!$C$50:$BV$50,AW$2-12+1))</f>
        <v/>
      </c>
      <c r="AX17" s="5">
        <f>$B17*(Eras!$O$3*INDEX(Curves!$C$4:$BV$4,AX$2-12+1)+Eras!$O$4*INDEX(Curves!$C$27:$BV$27,AX$2-12+1)+Eras!$O$5*INDEX(Curves!$C$50:$BV$50,AX$2-12+1))</f>
        <v/>
      </c>
      <c r="AY17" s="5">
        <f>$B17*(Eras!$O$3*INDEX(Curves!$C$4:$BV$4,AY$2-12+1)+Eras!$O$4*INDEX(Curves!$C$27:$BV$27,AY$2-12+1)+Eras!$O$5*INDEX(Curves!$C$50:$BV$50,AY$2-12+1))</f>
        <v/>
      </c>
      <c r="AZ17" s="5">
        <f>$B17*(Eras!$O$3*INDEX(Curves!$C$4:$BV$4,AZ$2-12+1)+Eras!$O$4*INDEX(Curves!$C$27:$BV$27,AZ$2-12+1)+Eras!$O$5*INDEX(Curves!$C$50:$BV$50,AZ$2-12+1))</f>
        <v/>
      </c>
      <c r="BA17" s="5">
        <f>$B17*(Eras!$O$3*INDEX(Curves!$C$4:$BV$4,BA$2-12+1)+Eras!$O$4*INDEX(Curves!$C$27:$BV$27,BA$2-12+1)+Eras!$O$5*INDEX(Curves!$C$50:$BV$50,BA$2-12+1))</f>
        <v/>
      </c>
      <c r="BB17" s="5">
        <f>$B17*(Eras!$O$3*INDEX(Curves!$C$4:$BV$4,BB$2-12+1)+Eras!$O$4*INDEX(Curves!$C$27:$BV$27,BB$2-12+1)+Eras!$O$5*INDEX(Curves!$C$50:$BV$50,BB$2-12+1))</f>
        <v/>
      </c>
      <c r="BC17" s="5">
        <f>$B17*(Eras!$O$3*INDEX(Curves!$C$4:$BV$4,BC$2-12+1)+Eras!$O$4*INDEX(Curves!$C$27:$BV$27,BC$2-12+1)+Eras!$O$5*INDEX(Curves!$C$50:$BV$50,BC$2-12+1))</f>
        <v/>
      </c>
      <c r="BD17" s="5">
        <f>$B17*(Eras!$O$3*INDEX(Curves!$C$4:$BV$4,BD$2-12+1)+Eras!$O$4*INDEX(Curves!$C$27:$BV$27,BD$2-12+1)+Eras!$O$5*INDEX(Curves!$C$50:$BV$50,BD$2-12+1))</f>
        <v/>
      </c>
      <c r="BE17" s="5">
        <f>$B17*(Eras!$O$3*INDEX(Curves!$C$4:$BV$4,BE$2-12+1)+Eras!$O$4*INDEX(Curves!$C$27:$BV$27,BE$2-12+1)+Eras!$O$5*INDEX(Curves!$C$50:$BV$50,BE$2-12+1))</f>
        <v/>
      </c>
      <c r="BF17" s="5">
        <f>$B17*(Eras!$O$3*INDEX(Curves!$C$4:$BV$4,BF$2-12+1)+Eras!$O$4*INDEX(Curves!$C$27:$BV$27,BF$2-12+1)+Eras!$O$5*INDEX(Curves!$C$50:$BV$50,BF$2-12+1))</f>
        <v/>
      </c>
      <c r="BG17" s="5">
        <f>$B17*(Eras!$O$3*INDEX(Curves!$C$4:$BV$4,BG$2-12+1)+Eras!$O$4*INDEX(Curves!$C$27:$BV$27,BG$2-12+1)+Eras!$O$5*INDEX(Curves!$C$50:$BV$50,BG$2-12+1))</f>
        <v/>
      </c>
      <c r="BH17" s="5">
        <f>$B17*(Eras!$O$3*INDEX(Curves!$C$4:$BV$4,BH$2-12+1)+Eras!$O$4*INDEX(Curves!$C$27:$BV$27,BH$2-12+1)+Eras!$O$5*INDEX(Curves!$C$50:$BV$50,BH$2-12+1))</f>
        <v/>
      </c>
      <c r="BI17" s="5">
        <f>$B17*(Eras!$O$3*INDEX(Curves!$C$4:$BV$4,BI$2-12+1)+Eras!$O$4*INDEX(Curves!$C$27:$BV$27,BI$2-12+1)+Eras!$O$5*INDEX(Curves!$C$50:$BV$50,BI$2-12+1))</f>
        <v/>
      </c>
      <c r="BJ17" s="5">
        <f>$B17*(Eras!$O$3*INDEX(Curves!$C$4:$BV$4,BJ$2-12+1)+Eras!$O$4*INDEX(Curves!$C$27:$BV$27,BJ$2-12+1)+Eras!$O$5*INDEX(Curves!$C$50:$BV$50,BJ$2-12+1))</f>
        <v/>
      </c>
      <c r="BK17" s="5">
        <f>$B17*(Eras!$O$3*INDEX(Curves!$C$4:$BV$4,BK$2-12+1)+Eras!$O$4*INDEX(Curves!$C$27:$BV$27,BK$2-12+1)+Eras!$O$5*INDEX(Curves!$C$50:$BV$50,BK$2-12+1))</f>
        <v/>
      </c>
      <c r="BL17" s="5">
        <f>$B17*(Eras!$O$3*INDEX(Curves!$C$4:$BV$4,BL$2-12+1)+Eras!$O$4*INDEX(Curves!$C$27:$BV$27,BL$2-12+1)+Eras!$O$5*INDEX(Curves!$C$50:$BV$50,BL$2-12+1))</f>
        <v/>
      </c>
      <c r="BM17" s="5">
        <f>$B17*(Eras!$O$3*INDEX(Curves!$C$4:$BV$4,BM$2-12+1)+Eras!$O$4*INDEX(Curves!$C$27:$BV$27,BM$2-12+1)+Eras!$O$5*INDEX(Curves!$C$50:$BV$50,BM$2-12+1))</f>
        <v/>
      </c>
      <c r="BN17" s="5">
        <f>$B17*(Eras!$O$3*INDEX(Curves!$C$4:$BV$4,BN$2-12+1)+Eras!$O$4*INDEX(Curves!$C$27:$BV$27,BN$2-12+1)+Eras!$O$5*INDEX(Curves!$C$50:$BV$50,BN$2-12+1))</f>
        <v/>
      </c>
      <c r="BO17" s="5">
        <f>$B17*(Eras!$O$3*INDEX(Curves!$C$4:$BV$4,BO$2-12+1)+Eras!$O$4*INDEX(Curves!$C$27:$BV$27,BO$2-12+1)+Eras!$O$5*INDEX(Curves!$C$50:$BV$50,BO$2-12+1))</f>
        <v/>
      </c>
      <c r="BP17" s="5">
        <f>$B17*(Eras!$O$3*INDEX(Curves!$C$4:$BV$4,BP$2-12+1)+Eras!$O$4*INDEX(Curves!$C$27:$BV$27,BP$2-12+1)+Eras!$O$5*INDEX(Curves!$C$50:$BV$50,BP$2-12+1))</f>
        <v/>
      </c>
      <c r="BQ17" s="5">
        <f>$B17*(Eras!$O$3*INDEX(Curves!$C$4:$BV$4,BQ$2-12+1)+Eras!$O$4*INDEX(Curves!$C$27:$BV$27,BQ$2-12+1)+Eras!$O$5*INDEX(Curves!$C$50:$BV$50,BQ$2-12+1))</f>
        <v/>
      </c>
      <c r="BR17" s="5">
        <f>$B17*(Eras!$O$3*INDEX(Curves!$C$4:$BV$4,BR$2-12+1)+Eras!$O$4*INDEX(Curves!$C$27:$BV$27,BR$2-12+1)+Eras!$O$5*INDEX(Curves!$C$50:$BV$50,BR$2-12+1))</f>
        <v/>
      </c>
      <c r="BS17" s="5">
        <f>$B17*(Eras!$O$3*INDEX(Curves!$C$4:$BV$4,BS$2-12+1)+Eras!$O$4*INDEX(Curves!$C$27:$BV$27,BS$2-12+1)+Eras!$O$5*INDEX(Curves!$C$50:$BV$50,BS$2-12+1))</f>
        <v/>
      </c>
      <c r="BT17" s="5">
        <f>$B17*(Eras!$O$3*INDEX(Curves!$C$4:$BV$4,BT$2-12+1)+Eras!$O$4*INDEX(Curves!$C$27:$BV$27,BT$2-12+1)+Eras!$O$5*INDEX(Curves!$C$50:$BV$50,BT$2-12+1))</f>
        <v/>
      </c>
      <c r="BU17" s="5">
        <f>$B17*(Eras!$O$3*INDEX(Curves!$C$4:$BV$4,BU$2-12+1)+Eras!$O$4*INDEX(Curves!$C$27:$BV$27,BU$2-12+1)+Eras!$O$5*INDEX(Curves!$C$50:$BV$50,BU$2-12+1))</f>
        <v/>
      </c>
      <c r="BV17" s="5">
        <f>$B17*(Eras!$O$3*INDEX(Curves!$C$4:$BV$4,BV$2-12+1)+Eras!$O$4*INDEX(Curves!$C$27:$BV$27,BV$2-12+1)+Eras!$O$5*INDEX(Curves!$C$50:$BV$50,BV$2-12+1))</f>
        <v/>
      </c>
    </row>
    <row r="18">
      <c r="A18" t="inlineStr">
        <is>
          <t>cohort 2026-02</t>
        </is>
      </c>
      <c r="B18" s="5">
        <f>INDEX(Adds!$C$13:$BV$13,14)</f>
        <v/>
      </c>
      <c r="P18" s="5">
        <f>$B18*(Eras!$P$3*INDEX(Curves!$C$4:$BV$4,P$2-13+1)+Eras!$P$4*INDEX(Curves!$C$27:$BV$27,P$2-13+1)+Eras!$P$5*INDEX(Curves!$C$50:$BV$50,P$2-13+1))</f>
        <v/>
      </c>
      <c r="Q18" s="5">
        <f>$B18*(Eras!$P$3*INDEX(Curves!$C$4:$BV$4,Q$2-13+1)+Eras!$P$4*INDEX(Curves!$C$27:$BV$27,Q$2-13+1)+Eras!$P$5*INDEX(Curves!$C$50:$BV$50,Q$2-13+1))</f>
        <v/>
      </c>
      <c r="R18" s="5">
        <f>$B18*(Eras!$P$3*INDEX(Curves!$C$4:$BV$4,R$2-13+1)+Eras!$P$4*INDEX(Curves!$C$27:$BV$27,R$2-13+1)+Eras!$P$5*INDEX(Curves!$C$50:$BV$50,R$2-13+1))</f>
        <v/>
      </c>
      <c r="S18" s="5">
        <f>$B18*(Eras!$P$3*INDEX(Curves!$C$4:$BV$4,S$2-13+1)+Eras!$P$4*INDEX(Curves!$C$27:$BV$27,S$2-13+1)+Eras!$P$5*INDEX(Curves!$C$50:$BV$50,S$2-13+1))</f>
        <v/>
      </c>
      <c r="T18" s="5">
        <f>$B18*(Eras!$P$3*INDEX(Curves!$C$4:$BV$4,T$2-13+1)+Eras!$P$4*INDEX(Curves!$C$27:$BV$27,T$2-13+1)+Eras!$P$5*INDEX(Curves!$C$50:$BV$50,T$2-13+1))</f>
        <v/>
      </c>
      <c r="U18" s="5">
        <f>$B18*(Eras!$P$3*INDEX(Curves!$C$4:$BV$4,U$2-13+1)+Eras!$P$4*INDEX(Curves!$C$27:$BV$27,U$2-13+1)+Eras!$P$5*INDEX(Curves!$C$50:$BV$50,U$2-13+1))</f>
        <v/>
      </c>
      <c r="V18" s="5">
        <f>$B18*(Eras!$P$3*INDEX(Curves!$C$4:$BV$4,V$2-13+1)+Eras!$P$4*INDEX(Curves!$C$27:$BV$27,V$2-13+1)+Eras!$P$5*INDEX(Curves!$C$50:$BV$50,V$2-13+1))</f>
        <v/>
      </c>
      <c r="W18" s="5">
        <f>$B18*(Eras!$P$3*INDEX(Curves!$C$4:$BV$4,W$2-13+1)+Eras!$P$4*INDEX(Curves!$C$27:$BV$27,W$2-13+1)+Eras!$P$5*INDEX(Curves!$C$50:$BV$50,W$2-13+1))</f>
        <v/>
      </c>
      <c r="X18" s="5">
        <f>$B18*(Eras!$P$3*INDEX(Curves!$C$4:$BV$4,X$2-13+1)+Eras!$P$4*INDEX(Curves!$C$27:$BV$27,X$2-13+1)+Eras!$P$5*INDEX(Curves!$C$50:$BV$50,X$2-13+1))</f>
        <v/>
      </c>
      <c r="Y18" s="5">
        <f>$B18*(Eras!$P$3*INDEX(Curves!$C$4:$BV$4,Y$2-13+1)+Eras!$P$4*INDEX(Curves!$C$27:$BV$27,Y$2-13+1)+Eras!$P$5*INDEX(Curves!$C$50:$BV$50,Y$2-13+1))</f>
        <v/>
      </c>
      <c r="Z18" s="5">
        <f>$B18*(Eras!$P$3*INDEX(Curves!$C$4:$BV$4,Z$2-13+1)+Eras!$P$4*INDEX(Curves!$C$27:$BV$27,Z$2-13+1)+Eras!$P$5*INDEX(Curves!$C$50:$BV$50,Z$2-13+1))</f>
        <v/>
      </c>
      <c r="AA18" s="5">
        <f>$B18*(Eras!$P$3*INDEX(Curves!$C$4:$BV$4,AA$2-13+1)+Eras!$P$4*INDEX(Curves!$C$27:$BV$27,AA$2-13+1)+Eras!$P$5*INDEX(Curves!$C$50:$BV$50,AA$2-13+1))</f>
        <v/>
      </c>
      <c r="AB18" s="5">
        <f>$B18*(Eras!$P$3*INDEX(Curves!$C$4:$BV$4,AB$2-13+1)+Eras!$P$4*INDEX(Curves!$C$27:$BV$27,AB$2-13+1)+Eras!$P$5*INDEX(Curves!$C$50:$BV$50,AB$2-13+1))</f>
        <v/>
      </c>
      <c r="AC18" s="5">
        <f>$B18*(Eras!$P$3*INDEX(Curves!$C$4:$BV$4,AC$2-13+1)+Eras!$P$4*INDEX(Curves!$C$27:$BV$27,AC$2-13+1)+Eras!$P$5*INDEX(Curves!$C$50:$BV$50,AC$2-13+1))</f>
        <v/>
      </c>
      <c r="AD18" s="5">
        <f>$B18*(Eras!$P$3*INDEX(Curves!$C$4:$BV$4,AD$2-13+1)+Eras!$P$4*INDEX(Curves!$C$27:$BV$27,AD$2-13+1)+Eras!$P$5*INDEX(Curves!$C$50:$BV$50,AD$2-13+1))</f>
        <v/>
      </c>
      <c r="AE18" s="5">
        <f>$B18*(Eras!$P$3*INDEX(Curves!$C$4:$BV$4,AE$2-13+1)+Eras!$P$4*INDEX(Curves!$C$27:$BV$27,AE$2-13+1)+Eras!$P$5*INDEX(Curves!$C$50:$BV$50,AE$2-13+1))</f>
        <v/>
      </c>
      <c r="AF18" s="5">
        <f>$B18*(Eras!$P$3*INDEX(Curves!$C$4:$BV$4,AF$2-13+1)+Eras!$P$4*INDEX(Curves!$C$27:$BV$27,AF$2-13+1)+Eras!$P$5*INDEX(Curves!$C$50:$BV$50,AF$2-13+1))</f>
        <v/>
      </c>
      <c r="AG18" s="5">
        <f>$B18*(Eras!$P$3*INDEX(Curves!$C$4:$BV$4,AG$2-13+1)+Eras!$P$4*INDEX(Curves!$C$27:$BV$27,AG$2-13+1)+Eras!$P$5*INDEX(Curves!$C$50:$BV$50,AG$2-13+1))</f>
        <v/>
      </c>
      <c r="AH18" s="5">
        <f>$B18*(Eras!$P$3*INDEX(Curves!$C$4:$BV$4,AH$2-13+1)+Eras!$P$4*INDEX(Curves!$C$27:$BV$27,AH$2-13+1)+Eras!$P$5*INDEX(Curves!$C$50:$BV$50,AH$2-13+1))</f>
        <v/>
      </c>
      <c r="AI18" s="5">
        <f>$B18*(Eras!$P$3*INDEX(Curves!$C$4:$BV$4,AI$2-13+1)+Eras!$P$4*INDEX(Curves!$C$27:$BV$27,AI$2-13+1)+Eras!$P$5*INDEX(Curves!$C$50:$BV$50,AI$2-13+1))</f>
        <v/>
      </c>
      <c r="AJ18" s="5">
        <f>$B18*(Eras!$P$3*INDEX(Curves!$C$4:$BV$4,AJ$2-13+1)+Eras!$P$4*INDEX(Curves!$C$27:$BV$27,AJ$2-13+1)+Eras!$P$5*INDEX(Curves!$C$50:$BV$50,AJ$2-13+1))</f>
        <v/>
      </c>
      <c r="AK18" s="5">
        <f>$B18*(Eras!$P$3*INDEX(Curves!$C$4:$BV$4,AK$2-13+1)+Eras!$P$4*INDEX(Curves!$C$27:$BV$27,AK$2-13+1)+Eras!$P$5*INDEX(Curves!$C$50:$BV$50,AK$2-13+1))</f>
        <v/>
      </c>
      <c r="AL18" s="5">
        <f>$B18*(Eras!$P$3*INDEX(Curves!$C$4:$BV$4,AL$2-13+1)+Eras!$P$4*INDEX(Curves!$C$27:$BV$27,AL$2-13+1)+Eras!$P$5*INDEX(Curves!$C$50:$BV$50,AL$2-13+1))</f>
        <v/>
      </c>
      <c r="AM18" s="5">
        <f>$B18*(Eras!$P$3*INDEX(Curves!$C$4:$BV$4,AM$2-13+1)+Eras!$P$4*INDEX(Curves!$C$27:$BV$27,AM$2-13+1)+Eras!$P$5*INDEX(Curves!$C$50:$BV$50,AM$2-13+1))</f>
        <v/>
      </c>
      <c r="AN18" s="5">
        <f>$B18*(Eras!$P$3*INDEX(Curves!$C$4:$BV$4,AN$2-13+1)+Eras!$P$4*INDEX(Curves!$C$27:$BV$27,AN$2-13+1)+Eras!$P$5*INDEX(Curves!$C$50:$BV$50,AN$2-13+1))</f>
        <v/>
      </c>
      <c r="AO18" s="5">
        <f>$B18*(Eras!$P$3*INDEX(Curves!$C$4:$BV$4,AO$2-13+1)+Eras!$P$4*INDEX(Curves!$C$27:$BV$27,AO$2-13+1)+Eras!$P$5*INDEX(Curves!$C$50:$BV$50,AO$2-13+1))</f>
        <v/>
      </c>
      <c r="AP18" s="5">
        <f>$B18*(Eras!$P$3*INDEX(Curves!$C$4:$BV$4,AP$2-13+1)+Eras!$P$4*INDEX(Curves!$C$27:$BV$27,AP$2-13+1)+Eras!$P$5*INDEX(Curves!$C$50:$BV$50,AP$2-13+1))</f>
        <v/>
      </c>
      <c r="AQ18" s="5">
        <f>$B18*(Eras!$P$3*INDEX(Curves!$C$4:$BV$4,AQ$2-13+1)+Eras!$P$4*INDEX(Curves!$C$27:$BV$27,AQ$2-13+1)+Eras!$P$5*INDEX(Curves!$C$50:$BV$50,AQ$2-13+1))</f>
        <v/>
      </c>
      <c r="AR18" s="5">
        <f>$B18*(Eras!$P$3*INDEX(Curves!$C$4:$BV$4,AR$2-13+1)+Eras!$P$4*INDEX(Curves!$C$27:$BV$27,AR$2-13+1)+Eras!$P$5*INDEX(Curves!$C$50:$BV$50,AR$2-13+1))</f>
        <v/>
      </c>
      <c r="AS18" s="5">
        <f>$B18*(Eras!$P$3*INDEX(Curves!$C$4:$BV$4,AS$2-13+1)+Eras!$P$4*INDEX(Curves!$C$27:$BV$27,AS$2-13+1)+Eras!$P$5*INDEX(Curves!$C$50:$BV$50,AS$2-13+1))</f>
        <v/>
      </c>
      <c r="AT18" s="5">
        <f>$B18*(Eras!$P$3*INDEX(Curves!$C$4:$BV$4,AT$2-13+1)+Eras!$P$4*INDEX(Curves!$C$27:$BV$27,AT$2-13+1)+Eras!$P$5*INDEX(Curves!$C$50:$BV$50,AT$2-13+1))</f>
        <v/>
      </c>
      <c r="AU18" s="5">
        <f>$B18*(Eras!$P$3*INDEX(Curves!$C$4:$BV$4,AU$2-13+1)+Eras!$P$4*INDEX(Curves!$C$27:$BV$27,AU$2-13+1)+Eras!$P$5*INDEX(Curves!$C$50:$BV$50,AU$2-13+1))</f>
        <v/>
      </c>
      <c r="AV18" s="5">
        <f>$B18*(Eras!$P$3*INDEX(Curves!$C$4:$BV$4,AV$2-13+1)+Eras!$P$4*INDEX(Curves!$C$27:$BV$27,AV$2-13+1)+Eras!$P$5*INDEX(Curves!$C$50:$BV$50,AV$2-13+1))</f>
        <v/>
      </c>
      <c r="AW18" s="5">
        <f>$B18*(Eras!$P$3*INDEX(Curves!$C$4:$BV$4,AW$2-13+1)+Eras!$P$4*INDEX(Curves!$C$27:$BV$27,AW$2-13+1)+Eras!$P$5*INDEX(Curves!$C$50:$BV$50,AW$2-13+1))</f>
        <v/>
      </c>
      <c r="AX18" s="5">
        <f>$B18*(Eras!$P$3*INDEX(Curves!$C$4:$BV$4,AX$2-13+1)+Eras!$P$4*INDEX(Curves!$C$27:$BV$27,AX$2-13+1)+Eras!$P$5*INDEX(Curves!$C$50:$BV$50,AX$2-13+1))</f>
        <v/>
      </c>
      <c r="AY18" s="5">
        <f>$B18*(Eras!$P$3*INDEX(Curves!$C$4:$BV$4,AY$2-13+1)+Eras!$P$4*INDEX(Curves!$C$27:$BV$27,AY$2-13+1)+Eras!$P$5*INDEX(Curves!$C$50:$BV$50,AY$2-13+1))</f>
        <v/>
      </c>
      <c r="AZ18" s="5">
        <f>$B18*(Eras!$P$3*INDEX(Curves!$C$4:$BV$4,AZ$2-13+1)+Eras!$P$4*INDEX(Curves!$C$27:$BV$27,AZ$2-13+1)+Eras!$P$5*INDEX(Curves!$C$50:$BV$50,AZ$2-13+1))</f>
        <v/>
      </c>
      <c r="BA18" s="5">
        <f>$B18*(Eras!$P$3*INDEX(Curves!$C$4:$BV$4,BA$2-13+1)+Eras!$P$4*INDEX(Curves!$C$27:$BV$27,BA$2-13+1)+Eras!$P$5*INDEX(Curves!$C$50:$BV$50,BA$2-13+1))</f>
        <v/>
      </c>
      <c r="BB18" s="5">
        <f>$B18*(Eras!$P$3*INDEX(Curves!$C$4:$BV$4,BB$2-13+1)+Eras!$P$4*INDEX(Curves!$C$27:$BV$27,BB$2-13+1)+Eras!$P$5*INDEX(Curves!$C$50:$BV$50,BB$2-13+1))</f>
        <v/>
      </c>
      <c r="BC18" s="5">
        <f>$B18*(Eras!$P$3*INDEX(Curves!$C$4:$BV$4,BC$2-13+1)+Eras!$P$4*INDEX(Curves!$C$27:$BV$27,BC$2-13+1)+Eras!$P$5*INDEX(Curves!$C$50:$BV$50,BC$2-13+1))</f>
        <v/>
      </c>
      <c r="BD18" s="5">
        <f>$B18*(Eras!$P$3*INDEX(Curves!$C$4:$BV$4,BD$2-13+1)+Eras!$P$4*INDEX(Curves!$C$27:$BV$27,BD$2-13+1)+Eras!$P$5*INDEX(Curves!$C$50:$BV$50,BD$2-13+1))</f>
        <v/>
      </c>
      <c r="BE18" s="5">
        <f>$B18*(Eras!$P$3*INDEX(Curves!$C$4:$BV$4,BE$2-13+1)+Eras!$P$4*INDEX(Curves!$C$27:$BV$27,BE$2-13+1)+Eras!$P$5*INDEX(Curves!$C$50:$BV$50,BE$2-13+1))</f>
        <v/>
      </c>
      <c r="BF18" s="5">
        <f>$B18*(Eras!$P$3*INDEX(Curves!$C$4:$BV$4,BF$2-13+1)+Eras!$P$4*INDEX(Curves!$C$27:$BV$27,BF$2-13+1)+Eras!$P$5*INDEX(Curves!$C$50:$BV$50,BF$2-13+1))</f>
        <v/>
      </c>
      <c r="BG18" s="5">
        <f>$B18*(Eras!$P$3*INDEX(Curves!$C$4:$BV$4,BG$2-13+1)+Eras!$P$4*INDEX(Curves!$C$27:$BV$27,BG$2-13+1)+Eras!$P$5*INDEX(Curves!$C$50:$BV$50,BG$2-13+1))</f>
        <v/>
      </c>
      <c r="BH18" s="5">
        <f>$B18*(Eras!$P$3*INDEX(Curves!$C$4:$BV$4,BH$2-13+1)+Eras!$P$4*INDEX(Curves!$C$27:$BV$27,BH$2-13+1)+Eras!$P$5*INDEX(Curves!$C$50:$BV$50,BH$2-13+1))</f>
        <v/>
      </c>
      <c r="BI18" s="5">
        <f>$B18*(Eras!$P$3*INDEX(Curves!$C$4:$BV$4,BI$2-13+1)+Eras!$P$4*INDEX(Curves!$C$27:$BV$27,BI$2-13+1)+Eras!$P$5*INDEX(Curves!$C$50:$BV$50,BI$2-13+1))</f>
        <v/>
      </c>
      <c r="BJ18" s="5">
        <f>$B18*(Eras!$P$3*INDEX(Curves!$C$4:$BV$4,BJ$2-13+1)+Eras!$P$4*INDEX(Curves!$C$27:$BV$27,BJ$2-13+1)+Eras!$P$5*INDEX(Curves!$C$50:$BV$50,BJ$2-13+1))</f>
        <v/>
      </c>
      <c r="BK18" s="5">
        <f>$B18*(Eras!$P$3*INDEX(Curves!$C$4:$BV$4,BK$2-13+1)+Eras!$P$4*INDEX(Curves!$C$27:$BV$27,BK$2-13+1)+Eras!$P$5*INDEX(Curves!$C$50:$BV$50,BK$2-13+1))</f>
        <v/>
      </c>
      <c r="BL18" s="5">
        <f>$B18*(Eras!$P$3*INDEX(Curves!$C$4:$BV$4,BL$2-13+1)+Eras!$P$4*INDEX(Curves!$C$27:$BV$27,BL$2-13+1)+Eras!$P$5*INDEX(Curves!$C$50:$BV$50,BL$2-13+1))</f>
        <v/>
      </c>
      <c r="BM18" s="5">
        <f>$B18*(Eras!$P$3*INDEX(Curves!$C$4:$BV$4,BM$2-13+1)+Eras!$P$4*INDEX(Curves!$C$27:$BV$27,BM$2-13+1)+Eras!$P$5*INDEX(Curves!$C$50:$BV$50,BM$2-13+1))</f>
        <v/>
      </c>
      <c r="BN18" s="5">
        <f>$B18*(Eras!$P$3*INDEX(Curves!$C$4:$BV$4,BN$2-13+1)+Eras!$P$4*INDEX(Curves!$C$27:$BV$27,BN$2-13+1)+Eras!$P$5*INDEX(Curves!$C$50:$BV$50,BN$2-13+1))</f>
        <v/>
      </c>
      <c r="BO18" s="5">
        <f>$B18*(Eras!$P$3*INDEX(Curves!$C$4:$BV$4,BO$2-13+1)+Eras!$P$4*INDEX(Curves!$C$27:$BV$27,BO$2-13+1)+Eras!$P$5*INDEX(Curves!$C$50:$BV$50,BO$2-13+1))</f>
        <v/>
      </c>
      <c r="BP18" s="5">
        <f>$B18*(Eras!$P$3*INDEX(Curves!$C$4:$BV$4,BP$2-13+1)+Eras!$P$4*INDEX(Curves!$C$27:$BV$27,BP$2-13+1)+Eras!$P$5*INDEX(Curves!$C$50:$BV$50,BP$2-13+1))</f>
        <v/>
      </c>
      <c r="BQ18" s="5">
        <f>$B18*(Eras!$P$3*INDEX(Curves!$C$4:$BV$4,BQ$2-13+1)+Eras!$P$4*INDEX(Curves!$C$27:$BV$27,BQ$2-13+1)+Eras!$P$5*INDEX(Curves!$C$50:$BV$50,BQ$2-13+1))</f>
        <v/>
      </c>
      <c r="BR18" s="5">
        <f>$B18*(Eras!$P$3*INDEX(Curves!$C$4:$BV$4,BR$2-13+1)+Eras!$P$4*INDEX(Curves!$C$27:$BV$27,BR$2-13+1)+Eras!$P$5*INDEX(Curves!$C$50:$BV$50,BR$2-13+1))</f>
        <v/>
      </c>
      <c r="BS18" s="5">
        <f>$B18*(Eras!$P$3*INDEX(Curves!$C$4:$BV$4,BS$2-13+1)+Eras!$P$4*INDEX(Curves!$C$27:$BV$27,BS$2-13+1)+Eras!$P$5*INDEX(Curves!$C$50:$BV$50,BS$2-13+1))</f>
        <v/>
      </c>
      <c r="BT18" s="5">
        <f>$B18*(Eras!$P$3*INDEX(Curves!$C$4:$BV$4,BT$2-13+1)+Eras!$P$4*INDEX(Curves!$C$27:$BV$27,BT$2-13+1)+Eras!$P$5*INDEX(Curves!$C$50:$BV$50,BT$2-13+1))</f>
        <v/>
      </c>
      <c r="BU18" s="5">
        <f>$B18*(Eras!$P$3*INDEX(Curves!$C$4:$BV$4,BU$2-13+1)+Eras!$P$4*INDEX(Curves!$C$27:$BV$27,BU$2-13+1)+Eras!$P$5*INDEX(Curves!$C$50:$BV$50,BU$2-13+1))</f>
        <v/>
      </c>
      <c r="BV18" s="5">
        <f>$B18*(Eras!$P$3*INDEX(Curves!$C$4:$BV$4,BV$2-13+1)+Eras!$P$4*INDEX(Curves!$C$27:$BV$27,BV$2-13+1)+Eras!$P$5*INDEX(Curves!$C$50:$BV$50,BV$2-13+1))</f>
        <v/>
      </c>
    </row>
    <row r="19">
      <c r="A19" t="inlineStr">
        <is>
          <t>cohort 2026-03</t>
        </is>
      </c>
      <c r="B19" s="5">
        <f>INDEX(Adds!$C$13:$BV$13,15)</f>
        <v/>
      </c>
      <c r="Q19" s="5">
        <f>$B19*(Eras!$Q$3*INDEX(Curves!$C$4:$BV$4,Q$2-14+1)+Eras!$Q$4*INDEX(Curves!$C$27:$BV$27,Q$2-14+1)+Eras!$Q$5*INDEX(Curves!$C$50:$BV$50,Q$2-14+1))</f>
        <v/>
      </c>
      <c r="R19" s="5">
        <f>$B19*(Eras!$Q$3*INDEX(Curves!$C$4:$BV$4,R$2-14+1)+Eras!$Q$4*INDEX(Curves!$C$27:$BV$27,R$2-14+1)+Eras!$Q$5*INDEX(Curves!$C$50:$BV$50,R$2-14+1))</f>
        <v/>
      </c>
      <c r="S19" s="5">
        <f>$B19*(Eras!$Q$3*INDEX(Curves!$C$4:$BV$4,S$2-14+1)+Eras!$Q$4*INDEX(Curves!$C$27:$BV$27,S$2-14+1)+Eras!$Q$5*INDEX(Curves!$C$50:$BV$50,S$2-14+1))</f>
        <v/>
      </c>
      <c r="T19" s="5">
        <f>$B19*(Eras!$Q$3*INDEX(Curves!$C$4:$BV$4,T$2-14+1)+Eras!$Q$4*INDEX(Curves!$C$27:$BV$27,T$2-14+1)+Eras!$Q$5*INDEX(Curves!$C$50:$BV$50,T$2-14+1))</f>
        <v/>
      </c>
      <c r="U19" s="5">
        <f>$B19*(Eras!$Q$3*INDEX(Curves!$C$4:$BV$4,U$2-14+1)+Eras!$Q$4*INDEX(Curves!$C$27:$BV$27,U$2-14+1)+Eras!$Q$5*INDEX(Curves!$C$50:$BV$50,U$2-14+1))</f>
        <v/>
      </c>
      <c r="V19" s="5">
        <f>$B19*(Eras!$Q$3*INDEX(Curves!$C$4:$BV$4,V$2-14+1)+Eras!$Q$4*INDEX(Curves!$C$27:$BV$27,V$2-14+1)+Eras!$Q$5*INDEX(Curves!$C$50:$BV$50,V$2-14+1))</f>
        <v/>
      </c>
      <c r="W19" s="5">
        <f>$B19*(Eras!$Q$3*INDEX(Curves!$C$4:$BV$4,W$2-14+1)+Eras!$Q$4*INDEX(Curves!$C$27:$BV$27,W$2-14+1)+Eras!$Q$5*INDEX(Curves!$C$50:$BV$50,W$2-14+1))</f>
        <v/>
      </c>
      <c r="X19" s="5">
        <f>$B19*(Eras!$Q$3*INDEX(Curves!$C$4:$BV$4,X$2-14+1)+Eras!$Q$4*INDEX(Curves!$C$27:$BV$27,X$2-14+1)+Eras!$Q$5*INDEX(Curves!$C$50:$BV$50,X$2-14+1))</f>
        <v/>
      </c>
      <c r="Y19" s="5">
        <f>$B19*(Eras!$Q$3*INDEX(Curves!$C$4:$BV$4,Y$2-14+1)+Eras!$Q$4*INDEX(Curves!$C$27:$BV$27,Y$2-14+1)+Eras!$Q$5*INDEX(Curves!$C$50:$BV$50,Y$2-14+1))</f>
        <v/>
      </c>
      <c r="Z19" s="5">
        <f>$B19*(Eras!$Q$3*INDEX(Curves!$C$4:$BV$4,Z$2-14+1)+Eras!$Q$4*INDEX(Curves!$C$27:$BV$27,Z$2-14+1)+Eras!$Q$5*INDEX(Curves!$C$50:$BV$50,Z$2-14+1))</f>
        <v/>
      </c>
      <c r="AA19" s="5">
        <f>$B19*(Eras!$Q$3*INDEX(Curves!$C$4:$BV$4,AA$2-14+1)+Eras!$Q$4*INDEX(Curves!$C$27:$BV$27,AA$2-14+1)+Eras!$Q$5*INDEX(Curves!$C$50:$BV$50,AA$2-14+1))</f>
        <v/>
      </c>
      <c r="AB19" s="5">
        <f>$B19*(Eras!$Q$3*INDEX(Curves!$C$4:$BV$4,AB$2-14+1)+Eras!$Q$4*INDEX(Curves!$C$27:$BV$27,AB$2-14+1)+Eras!$Q$5*INDEX(Curves!$C$50:$BV$50,AB$2-14+1))</f>
        <v/>
      </c>
      <c r="AC19" s="5">
        <f>$B19*(Eras!$Q$3*INDEX(Curves!$C$4:$BV$4,AC$2-14+1)+Eras!$Q$4*INDEX(Curves!$C$27:$BV$27,AC$2-14+1)+Eras!$Q$5*INDEX(Curves!$C$50:$BV$50,AC$2-14+1))</f>
        <v/>
      </c>
      <c r="AD19" s="5">
        <f>$B19*(Eras!$Q$3*INDEX(Curves!$C$4:$BV$4,AD$2-14+1)+Eras!$Q$4*INDEX(Curves!$C$27:$BV$27,AD$2-14+1)+Eras!$Q$5*INDEX(Curves!$C$50:$BV$50,AD$2-14+1))</f>
        <v/>
      </c>
      <c r="AE19" s="5">
        <f>$B19*(Eras!$Q$3*INDEX(Curves!$C$4:$BV$4,AE$2-14+1)+Eras!$Q$4*INDEX(Curves!$C$27:$BV$27,AE$2-14+1)+Eras!$Q$5*INDEX(Curves!$C$50:$BV$50,AE$2-14+1))</f>
        <v/>
      </c>
      <c r="AF19" s="5">
        <f>$B19*(Eras!$Q$3*INDEX(Curves!$C$4:$BV$4,AF$2-14+1)+Eras!$Q$4*INDEX(Curves!$C$27:$BV$27,AF$2-14+1)+Eras!$Q$5*INDEX(Curves!$C$50:$BV$50,AF$2-14+1))</f>
        <v/>
      </c>
      <c r="AG19" s="5">
        <f>$B19*(Eras!$Q$3*INDEX(Curves!$C$4:$BV$4,AG$2-14+1)+Eras!$Q$4*INDEX(Curves!$C$27:$BV$27,AG$2-14+1)+Eras!$Q$5*INDEX(Curves!$C$50:$BV$50,AG$2-14+1))</f>
        <v/>
      </c>
      <c r="AH19" s="5">
        <f>$B19*(Eras!$Q$3*INDEX(Curves!$C$4:$BV$4,AH$2-14+1)+Eras!$Q$4*INDEX(Curves!$C$27:$BV$27,AH$2-14+1)+Eras!$Q$5*INDEX(Curves!$C$50:$BV$50,AH$2-14+1))</f>
        <v/>
      </c>
      <c r="AI19" s="5">
        <f>$B19*(Eras!$Q$3*INDEX(Curves!$C$4:$BV$4,AI$2-14+1)+Eras!$Q$4*INDEX(Curves!$C$27:$BV$27,AI$2-14+1)+Eras!$Q$5*INDEX(Curves!$C$50:$BV$50,AI$2-14+1))</f>
        <v/>
      </c>
      <c r="AJ19" s="5">
        <f>$B19*(Eras!$Q$3*INDEX(Curves!$C$4:$BV$4,AJ$2-14+1)+Eras!$Q$4*INDEX(Curves!$C$27:$BV$27,AJ$2-14+1)+Eras!$Q$5*INDEX(Curves!$C$50:$BV$50,AJ$2-14+1))</f>
        <v/>
      </c>
      <c r="AK19" s="5">
        <f>$B19*(Eras!$Q$3*INDEX(Curves!$C$4:$BV$4,AK$2-14+1)+Eras!$Q$4*INDEX(Curves!$C$27:$BV$27,AK$2-14+1)+Eras!$Q$5*INDEX(Curves!$C$50:$BV$50,AK$2-14+1))</f>
        <v/>
      </c>
      <c r="AL19" s="5">
        <f>$B19*(Eras!$Q$3*INDEX(Curves!$C$4:$BV$4,AL$2-14+1)+Eras!$Q$4*INDEX(Curves!$C$27:$BV$27,AL$2-14+1)+Eras!$Q$5*INDEX(Curves!$C$50:$BV$50,AL$2-14+1))</f>
        <v/>
      </c>
      <c r="AM19" s="5">
        <f>$B19*(Eras!$Q$3*INDEX(Curves!$C$4:$BV$4,AM$2-14+1)+Eras!$Q$4*INDEX(Curves!$C$27:$BV$27,AM$2-14+1)+Eras!$Q$5*INDEX(Curves!$C$50:$BV$50,AM$2-14+1))</f>
        <v/>
      </c>
      <c r="AN19" s="5">
        <f>$B19*(Eras!$Q$3*INDEX(Curves!$C$4:$BV$4,AN$2-14+1)+Eras!$Q$4*INDEX(Curves!$C$27:$BV$27,AN$2-14+1)+Eras!$Q$5*INDEX(Curves!$C$50:$BV$50,AN$2-14+1))</f>
        <v/>
      </c>
      <c r="AO19" s="5">
        <f>$B19*(Eras!$Q$3*INDEX(Curves!$C$4:$BV$4,AO$2-14+1)+Eras!$Q$4*INDEX(Curves!$C$27:$BV$27,AO$2-14+1)+Eras!$Q$5*INDEX(Curves!$C$50:$BV$50,AO$2-14+1))</f>
        <v/>
      </c>
      <c r="AP19" s="5">
        <f>$B19*(Eras!$Q$3*INDEX(Curves!$C$4:$BV$4,AP$2-14+1)+Eras!$Q$4*INDEX(Curves!$C$27:$BV$27,AP$2-14+1)+Eras!$Q$5*INDEX(Curves!$C$50:$BV$50,AP$2-14+1))</f>
        <v/>
      </c>
      <c r="AQ19" s="5">
        <f>$B19*(Eras!$Q$3*INDEX(Curves!$C$4:$BV$4,AQ$2-14+1)+Eras!$Q$4*INDEX(Curves!$C$27:$BV$27,AQ$2-14+1)+Eras!$Q$5*INDEX(Curves!$C$50:$BV$50,AQ$2-14+1))</f>
        <v/>
      </c>
      <c r="AR19" s="5">
        <f>$B19*(Eras!$Q$3*INDEX(Curves!$C$4:$BV$4,AR$2-14+1)+Eras!$Q$4*INDEX(Curves!$C$27:$BV$27,AR$2-14+1)+Eras!$Q$5*INDEX(Curves!$C$50:$BV$50,AR$2-14+1))</f>
        <v/>
      </c>
      <c r="AS19" s="5">
        <f>$B19*(Eras!$Q$3*INDEX(Curves!$C$4:$BV$4,AS$2-14+1)+Eras!$Q$4*INDEX(Curves!$C$27:$BV$27,AS$2-14+1)+Eras!$Q$5*INDEX(Curves!$C$50:$BV$50,AS$2-14+1))</f>
        <v/>
      </c>
      <c r="AT19" s="5">
        <f>$B19*(Eras!$Q$3*INDEX(Curves!$C$4:$BV$4,AT$2-14+1)+Eras!$Q$4*INDEX(Curves!$C$27:$BV$27,AT$2-14+1)+Eras!$Q$5*INDEX(Curves!$C$50:$BV$50,AT$2-14+1))</f>
        <v/>
      </c>
      <c r="AU19" s="5">
        <f>$B19*(Eras!$Q$3*INDEX(Curves!$C$4:$BV$4,AU$2-14+1)+Eras!$Q$4*INDEX(Curves!$C$27:$BV$27,AU$2-14+1)+Eras!$Q$5*INDEX(Curves!$C$50:$BV$50,AU$2-14+1))</f>
        <v/>
      </c>
      <c r="AV19" s="5">
        <f>$B19*(Eras!$Q$3*INDEX(Curves!$C$4:$BV$4,AV$2-14+1)+Eras!$Q$4*INDEX(Curves!$C$27:$BV$27,AV$2-14+1)+Eras!$Q$5*INDEX(Curves!$C$50:$BV$50,AV$2-14+1))</f>
        <v/>
      </c>
      <c r="AW19" s="5">
        <f>$B19*(Eras!$Q$3*INDEX(Curves!$C$4:$BV$4,AW$2-14+1)+Eras!$Q$4*INDEX(Curves!$C$27:$BV$27,AW$2-14+1)+Eras!$Q$5*INDEX(Curves!$C$50:$BV$50,AW$2-14+1))</f>
        <v/>
      </c>
      <c r="AX19" s="5">
        <f>$B19*(Eras!$Q$3*INDEX(Curves!$C$4:$BV$4,AX$2-14+1)+Eras!$Q$4*INDEX(Curves!$C$27:$BV$27,AX$2-14+1)+Eras!$Q$5*INDEX(Curves!$C$50:$BV$50,AX$2-14+1))</f>
        <v/>
      </c>
      <c r="AY19" s="5">
        <f>$B19*(Eras!$Q$3*INDEX(Curves!$C$4:$BV$4,AY$2-14+1)+Eras!$Q$4*INDEX(Curves!$C$27:$BV$27,AY$2-14+1)+Eras!$Q$5*INDEX(Curves!$C$50:$BV$50,AY$2-14+1))</f>
        <v/>
      </c>
      <c r="AZ19" s="5">
        <f>$B19*(Eras!$Q$3*INDEX(Curves!$C$4:$BV$4,AZ$2-14+1)+Eras!$Q$4*INDEX(Curves!$C$27:$BV$27,AZ$2-14+1)+Eras!$Q$5*INDEX(Curves!$C$50:$BV$50,AZ$2-14+1))</f>
        <v/>
      </c>
      <c r="BA19" s="5">
        <f>$B19*(Eras!$Q$3*INDEX(Curves!$C$4:$BV$4,BA$2-14+1)+Eras!$Q$4*INDEX(Curves!$C$27:$BV$27,BA$2-14+1)+Eras!$Q$5*INDEX(Curves!$C$50:$BV$50,BA$2-14+1))</f>
        <v/>
      </c>
      <c r="BB19" s="5">
        <f>$B19*(Eras!$Q$3*INDEX(Curves!$C$4:$BV$4,BB$2-14+1)+Eras!$Q$4*INDEX(Curves!$C$27:$BV$27,BB$2-14+1)+Eras!$Q$5*INDEX(Curves!$C$50:$BV$50,BB$2-14+1))</f>
        <v/>
      </c>
      <c r="BC19" s="5">
        <f>$B19*(Eras!$Q$3*INDEX(Curves!$C$4:$BV$4,BC$2-14+1)+Eras!$Q$4*INDEX(Curves!$C$27:$BV$27,BC$2-14+1)+Eras!$Q$5*INDEX(Curves!$C$50:$BV$50,BC$2-14+1))</f>
        <v/>
      </c>
      <c r="BD19" s="5">
        <f>$B19*(Eras!$Q$3*INDEX(Curves!$C$4:$BV$4,BD$2-14+1)+Eras!$Q$4*INDEX(Curves!$C$27:$BV$27,BD$2-14+1)+Eras!$Q$5*INDEX(Curves!$C$50:$BV$50,BD$2-14+1))</f>
        <v/>
      </c>
      <c r="BE19" s="5">
        <f>$B19*(Eras!$Q$3*INDEX(Curves!$C$4:$BV$4,BE$2-14+1)+Eras!$Q$4*INDEX(Curves!$C$27:$BV$27,BE$2-14+1)+Eras!$Q$5*INDEX(Curves!$C$50:$BV$50,BE$2-14+1))</f>
        <v/>
      </c>
      <c r="BF19" s="5">
        <f>$B19*(Eras!$Q$3*INDEX(Curves!$C$4:$BV$4,BF$2-14+1)+Eras!$Q$4*INDEX(Curves!$C$27:$BV$27,BF$2-14+1)+Eras!$Q$5*INDEX(Curves!$C$50:$BV$50,BF$2-14+1))</f>
        <v/>
      </c>
      <c r="BG19" s="5">
        <f>$B19*(Eras!$Q$3*INDEX(Curves!$C$4:$BV$4,BG$2-14+1)+Eras!$Q$4*INDEX(Curves!$C$27:$BV$27,BG$2-14+1)+Eras!$Q$5*INDEX(Curves!$C$50:$BV$50,BG$2-14+1))</f>
        <v/>
      </c>
      <c r="BH19" s="5">
        <f>$B19*(Eras!$Q$3*INDEX(Curves!$C$4:$BV$4,BH$2-14+1)+Eras!$Q$4*INDEX(Curves!$C$27:$BV$27,BH$2-14+1)+Eras!$Q$5*INDEX(Curves!$C$50:$BV$50,BH$2-14+1))</f>
        <v/>
      </c>
      <c r="BI19" s="5">
        <f>$B19*(Eras!$Q$3*INDEX(Curves!$C$4:$BV$4,BI$2-14+1)+Eras!$Q$4*INDEX(Curves!$C$27:$BV$27,BI$2-14+1)+Eras!$Q$5*INDEX(Curves!$C$50:$BV$50,BI$2-14+1))</f>
        <v/>
      </c>
      <c r="BJ19" s="5">
        <f>$B19*(Eras!$Q$3*INDEX(Curves!$C$4:$BV$4,BJ$2-14+1)+Eras!$Q$4*INDEX(Curves!$C$27:$BV$27,BJ$2-14+1)+Eras!$Q$5*INDEX(Curves!$C$50:$BV$50,BJ$2-14+1))</f>
        <v/>
      </c>
      <c r="BK19" s="5">
        <f>$B19*(Eras!$Q$3*INDEX(Curves!$C$4:$BV$4,BK$2-14+1)+Eras!$Q$4*INDEX(Curves!$C$27:$BV$27,BK$2-14+1)+Eras!$Q$5*INDEX(Curves!$C$50:$BV$50,BK$2-14+1))</f>
        <v/>
      </c>
      <c r="BL19" s="5">
        <f>$B19*(Eras!$Q$3*INDEX(Curves!$C$4:$BV$4,BL$2-14+1)+Eras!$Q$4*INDEX(Curves!$C$27:$BV$27,BL$2-14+1)+Eras!$Q$5*INDEX(Curves!$C$50:$BV$50,BL$2-14+1))</f>
        <v/>
      </c>
      <c r="BM19" s="5">
        <f>$B19*(Eras!$Q$3*INDEX(Curves!$C$4:$BV$4,BM$2-14+1)+Eras!$Q$4*INDEX(Curves!$C$27:$BV$27,BM$2-14+1)+Eras!$Q$5*INDEX(Curves!$C$50:$BV$50,BM$2-14+1))</f>
        <v/>
      </c>
      <c r="BN19" s="5">
        <f>$B19*(Eras!$Q$3*INDEX(Curves!$C$4:$BV$4,BN$2-14+1)+Eras!$Q$4*INDEX(Curves!$C$27:$BV$27,BN$2-14+1)+Eras!$Q$5*INDEX(Curves!$C$50:$BV$50,BN$2-14+1))</f>
        <v/>
      </c>
      <c r="BO19" s="5">
        <f>$B19*(Eras!$Q$3*INDEX(Curves!$C$4:$BV$4,BO$2-14+1)+Eras!$Q$4*INDEX(Curves!$C$27:$BV$27,BO$2-14+1)+Eras!$Q$5*INDEX(Curves!$C$50:$BV$50,BO$2-14+1))</f>
        <v/>
      </c>
      <c r="BP19" s="5">
        <f>$B19*(Eras!$Q$3*INDEX(Curves!$C$4:$BV$4,BP$2-14+1)+Eras!$Q$4*INDEX(Curves!$C$27:$BV$27,BP$2-14+1)+Eras!$Q$5*INDEX(Curves!$C$50:$BV$50,BP$2-14+1))</f>
        <v/>
      </c>
      <c r="BQ19" s="5">
        <f>$B19*(Eras!$Q$3*INDEX(Curves!$C$4:$BV$4,BQ$2-14+1)+Eras!$Q$4*INDEX(Curves!$C$27:$BV$27,BQ$2-14+1)+Eras!$Q$5*INDEX(Curves!$C$50:$BV$50,BQ$2-14+1))</f>
        <v/>
      </c>
      <c r="BR19" s="5">
        <f>$B19*(Eras!$Q$3*INDEX(Curves!$C$4:$BV$4,BR$2-14+1)+Eras!$Q$4*INDEX(Curves!$C$27:$BV$27,BR$2-14+1)+Eras!$Q$5*INDEX(Curves!$C$50:$BV$50,BR$2-14+1))</f>
        <v/>
      </c>
      <c r="BS19" s="5">
        <f>$B19*(Eras!$Q$3*INDEX(Curves!$C$4:$BV$4,BS$2-14+1)+Eras!$Q$4*INDEX(Curves!$C$27:$BV$27,BS$2-14+1)+Eras!$Q$5*INDEX(Curves!$C$50:$BV$50,BS$2-14+1))</f>
        <v/>
      </c>
      <c r="BT19" s="5">
        <f>$B19*(Eras!$Q$3*INDEX(Curves!$C$4:$BV$4,BT$2-14+1)+Eras!$Q$4*INDEX(Curves!$C$27:$BV$27,BT$2-14+1)+Eras!$Q$5*INDEX(Curves!$C$50:$BV$50,BT$2-14+1))</f>
        <v/>
      </c>
      <c r="BU19" s="5">
        <f>$B19*(Eras!$Q$3*INDEX(Curves!$C$4:$BV$4,BU$2-14+1)+Eras!$Q$4*INDEX(Curves!$C$27:$BV$27,BU$2-14+1)+Eras!$Q$5*INDEX(Curves!$C$50:$BV$50,BU$2-14+1))</f>
        <v/>
      </c>
      <c r="BV19" s="5">
        <f>$B19*(Eras!$Q$3*INDEX(Curves!$C$4:$BV$4,BV$2-14+1)+Eras!$Q$4*INDEX(Curves!$C$27:$BV$27,BV$2-14+1)+Eras!$Q$5*INDEX(Curves!$C$50:$BV$50,BV$2-14+1))</f>
        <v/>
      </c>
    </row>
    <row r="20">
      <c r="A20" t="inlineStr">
        <is>
          <t>cohort 2026-04</t>
        </is>
      </c>
      <c r="B20" s="5">
        <f>INDEX(Adds!$C$13:$BV$13,16)</f>
        <v/>
      </c>
      <c r="R20" s="5">
        <f>$B20*(Eras!$R$3*INDEX(Curves!$C$4:$BV$4,R$2-15+1)+Eras!$R$4*INDEX(Curves!$C$27:$BV$27,R$2-15+1)+Eras!$R$5*INDEX(Curves!$C$50:$BV$50,R$2-15+1))</f>
        <v/>
      </c>
      <c r="S20" s="5">
        <f>$B20*(Eras!$R$3*INDEX(Curves!$C$4:$BV$4,S$2-15+1)+Eras!$R$4*INDEX(Curves!$C$27:$BV$27,S$2-15+1)+Eras!$R$5*INDEX(Curves!$C$50:$BV$50,S$2-15+1))</f>
        <v/>
      </c>
      <c r="T20" s="5">
        <f>$B20*(Eras!$R$3*INDEX(Curves!$C$4:$BV$4,T$2-15+1)+Eras!$R$4*INDEX(Curves!$C$27:$BV$27,T$2-15+1)+Eras!$R$5*INDEX(Curves!$C$50:$BV$50,T$2-15+1))</f>
        <v/>
      </c>
      <c r="U20" s="5">
        <f>$B20*(Eras!$R$3*INDEX(Curves!$C$4:$BV$4,U$2-15+1)+Eras!$R$4*INDEX(Curves!$C$27:$BV$27,U$2-15+1)+Eras!$R$5*INDEX(Curves!$C$50:$BV$50,U$2-15+1))</f>
        <v/>
      </c>
      <c r="V20" s="5">
        <f>$B20*(Eras!$R$3*INDEX(Curves!$C$4:$BV$4,V$2-15+1)+Eras!$R$4*INDEX(Curves!$C$27:$BV$27,V$2-15+1)+Eras!$R$5*INDEX(Curves!$C$50:$BV$50,V$2-15+1))</f>
        <v/>
      </c>
      <c r="W20" s="5">
        <f>$B20*(Eras!$R$3*INDEX(Curves!$C$4:$BV$4,W$2-15+1)+Eras!$R$4*INDEX(Curves!$C$27:$BV$27,W$2-15+1)+Eras!$R$5*INDEX(Curves!$C$50:$BV$50,W$2-15+1))</f>
        <v/>
      </c>
      <c r="X20" s="5">
        <f>$B20*(Eras!$R$3*INDEX(Curves!$C$4:$BV$4,X$2-15+1)+Eras!$R$4*INDEX(Curves!$C$27:$BV$27,X$2-15+1)+Eras!$R$5*INDEX(Curves!$C$50:$BV$50,X$2-15+1))</f>
        <v/>
      </c>
      <c r="Y20" s="5">
        <f>$B20*(Eras!$R$3*INDEX(Curves!$C$4:$BV$4,Y$2-15+1)+Eras!$R$4*INDEX(Curves!$C$27:$BV$27,Y$2-15+1)+Eras!$R$5*INDEX(Curves!$C$50:$BV$50,Y$2-15+1))</f>
        <v/>
      </c>
      <c r="Z20" s="5">
        <f>$B20*(Eras!$R$3*INDEX(Curves!$C$4:$BV$4,Z$2-15+1)+Eras!$R$4*INDEX(Curves!$C$27:$BV$27,Z$2-15+1)+Eras!$R$5*INDEX(Curves!$C$50:$BV$50,Z$2-15+1))</f>
        <v/>
      </c>
      <c r="AA20" s="5">
        <f>$B20*(Eras!$R$3*INDEX(Curves!$C$4:$BV$4,AA$2-15+1)+Eras!$R$4*INDEX(Curves!$C$27:$BV$27,AA$2-15+1)+Eras!$R$5*INDEX(Curves!$C$50:$BV$50,AA$2-15+1))</f>
        <v/>
      </c>
      <c r="AB20" s="5">
        <f>$B20*(Eras!$R$3*INDEX(Curves!$C$4:$BV$4,AB$2-15+1)+Eras!$R$4*INDEX(Curves!$C$27:$BV$27,AB$2-15+1)+Eras!$R$5*INDEX(Curves!$C$50:$BV$50,AB$2-15+1))</f>
        <v/>
      </c>
      <c r="AC20" s="5">
        <f>$B20*(Eras!$R$3*INDEX(Curves!$C$4:$BV$4,AC$2-15+1)+Eras!$R$4*INDEX(Curves!$C$27:$BV$27,AC$2-15+1)+Eras!$R$5*INDEX(Curves!$C$50:$BV$50,AC$2-15+1))</f>
        <v/>
      </c>
      <c r="AD20" s="5">
        <f>$B20*(Eras!$R$3*INDEX(Curves!$C$4:$BV$4,AD$2-15+1)+Eras!$R$4*INDEX(Curves!$C$27:$BV$27,AD$2-15+1)+Eras!$R$5*INDEX(Curves!$C$50:$BV$50,AD$2-15+1))</f>
        <v/>
      </c>
      <c r="AE20" s="5">
        <f>$B20*(Eras!$R$3*INDEX(Curves!$C$4:$BV$4,AE$2-15+1)+Eras!$R$4*INDEX(Curves!$C$27:$BV$27,AE$2-15+1)+Eras!$R$5*INDEX(Curves!$C$50:$BV$50,AE$2-15+1))</f>
        <v/>
      </c>
      <c r="AF20" s="5">
        <f>$B20*(Eras!$R$3*INDEX(Curves!$C$4:$BV$4,AF$2-15+1)+Eras!$R$4*INDEX(Curves!$C$27:$BV$27,AF$2-15+1)+Eras!$R$5*INDEX(Curves!$C$50:$BV$50,AF$2-15+1))</f>
        <v/>
      </c>
      <c r="AG20" s="5">
        <f>$B20*(Eras!$R$3*INDEX(Curves!$C$4:$BV$4,AG$2-15+1)+Eras!$R$4*INDEX(Curves!$C$27:$BV$27,AG$2-15+1)+Eras!$R$5*INDEX(Curves!$C$50:$BV$50,AG$2-15+1))</f>
        <v/>
      </c>
      <c r="AH20" s="5">
        <f>$B20*(Eras!$R$3*INDEX(Curves!$C$4:$BV$4,AH$2-15+1)+Eras!$R$4*INDEX(Curves!$C$27:$BV$27,AH$2-15+1)+Eras!$R$5*INDEX(Curves!$C$50:$BV$50,AH$2-15+1))</f>
        <v/>
      </c>
      <c r="AI20" s="5">
        <f>$B20*(Eras!$R$3*INDEX(Curves!$C$4:$BV$4,AI$2-15+1)+Eras!$R$4*INDEX(Curves!$C$27:$BV$27,AI$2-15+1)+Eras!$R$5*INDEX(Curves!$C$50:$BV$50,AI$2-15+1))</f>
        <v/>
      </c>
      <c r="AJ20" s="5">
        <f>$B20*(Eras!$R$3*INDEX(Curves!$C$4:$BV$4,AJ$2-15+1)+Eras!$R$4*INDEX(Curves!$C$27:$BV$27,AJ$2-15+1)+Eras!$R$5*INDEX(Curves!$C$50:$BV$50,AJ$2-15+1))</f>
        <v/>
      </c>
      <c r="AK20" s="5">
        <f>$B20*(Eras!$R$3*INDEX(Curves!$C$4:$BV$4,AK$2-15+1)+Eras!$R$4*INDEX(Curves!$C$27:$BV$27,AK$2-15+1)+Eras!$R$5*INDEX(Curves!$C$50:$BV$50,AK$2-15+1))</f>
        <v/>
      </c>
      <c r="AL20" s="5">
        <f>$B20*(Eras!$R$3*INDEX(Curves!$C$4:$BV$4,AL$2-15+1)+Eras!$R$4*INDEX(Curves!$C$27:$BV$27,AL$2-15+1)+Eras!$R$5*INDEX(Curves!$C$50:$BV$50,AL$2-15+1))</f>
        <v/>
      </c>
      <c r="AM20" s="5">
        <f>$B20*(Eras!$R$3*INDEX(Curves!$C$4:$BV$4,AM$2-15+1)+Eras!$R$4*INDEX(Curves!$C$27:$BV$27,AM$2-15+1)+Eras!$R$5*INDEX(Curves!$C$50:$BV$50,AM$2-15+1))</f>
        <v/>
      </c>
      <c r="AN20" s="5">
        <f>$B20*(Eras!$R$3*INDEX(Curves!$C$4:$BV$4,AN$2-15+1)+Eras!$R$4*INDEX(Curves!$C$27:$BV$27,AN$2-15+1)+Eras!$R$5*INDEX(Curves!$C$50:$BV$50,AN$2-15+1))</f>
        <v/>
      </c>
      <c r="AO20" s="5">
        <f>$B20*(Eras!$R$3*INDEX(Curves!$C$4:$BV$4,AO$2-15+1)+Eras!$R$4*INDEX(Curves!$C$27:$BV$27,AO$2-15+1)+Eras!$R$5*INDEX(Curves!$C$50:$BV$50,AO$2-15+1))</f>
        <v/>
      </c>
      <c r="AP20" s="5">
        <f>$B20*(Eras!$R$3*INDEX(Curves!$C$4:$BV$4,AP$2-15+1)+Eras!$R$4*INDEX(Curves!$C$27:$BV$27,AP$2-15+1)+Eras!$R$5*INDEX(Curves!$C$50:$BV$50,AP$2-15+1))</f>
        <v/>
      </c>
      <c r="AQ20" s="5">
        <f>$B20*(Eras!$R$3*INDEX(Curves!$C$4:$BV$4,AQ$2-15+1)+Eras!$R$4*INDEX(Curves!$C$27:$BV$27,AQ$2-15+1)+Eras!$R$5*INDEX(Curves!$C$50:$BV$50,AQ$2-15+1))</f>
        <v/>
      </c>
      <c r="AR20" s="5">
        <f>$B20*(Eras!$R$3*INDEX(Curves!$C$4:$BV$4,AR$2-15+1)+Eras!$R$4*INDEX(Curves!$C$27:$BV$27,AR$2-15+1)+Eras!$R$5*INDEX(Curves!$C$50:$BV$50,AR$2-15+1))</f>
        <v/>
      </c>
      <c r="AS20" s="5">
        <f>$B20*(Eras!$R$3*INDEX(Curves!$C$4:$BV$4,AS$2-15+1)+Eras!$R$4*INDEX(Curves!$C$27:$BV$27,AS$2-15+1)+Eras!$R$5*INDEX(Curves!$C$50:$BV$50,AS$2-15+1))</f>
        <v/>
      </c>
      <c r="AT20" s="5">
        <f>$B20*(Eras!$R$3*INDEX(Curves!$C$4:$BV$4,AT$2-15+1)+Eras!$R$4*INDEX(Curves!$C$27:$BV$27,AT$2-15+1)+Eras!$R$5*INDEX(Curves!$C$50:$BV$50,AT$2-15+1))</f>
        <v/>
      </c>
      <c r="AU20" s="5">
        <f>$B20*(Eras!$R$3*INDEX(Curves!$C$4:$BV$4,AU$2-15+1)+Eras!$R$4*INDEX(Curves!$C$27:$BV$27,AU$2-15+1)+Eras!$R$5*INDEX(Curves!$C$50:$BV$50,AU$2-15+1))</f>
        <v/>
      </c>
      <c r="AV20" s="5">
        <f>$B20*(Eras!$R$3*INDEX(Curves!$C$4:$BV$4,AV$2-15+1)+Eras!$R$4*INDEX(Curves!$C$27:$BV$27,AV$2-15+1)+Eras!$R$5*INDEX(Curves!$C$50:$BV$50,AV$2-15+1))</f>
        <v/>
      </c>
      <c r="AW20" s="5">
        <f>$B20*(Eras!$R$3*INDEX(Curves!$C$4:$BV$4,AW$2-15+1)+Eras!$R$4*INDEX(Curves!$C$27:$BV$27,AW$2-15+1)+Eras!$R$5*INDEX(Curves!$C$50:$BV$50,AW$2-15+1))</f>
        <v/>
      </c>
      <c r="AX20" s="5">
        <f>$B20*(Eras!$R$3*INDEX(Curves!$C$4:$BV$4,AX$2-15+1)+Eras!$R$4*INDEX(Curves!$C$27:$BV$27,AX$2-15+1)+Eras!$R$5*INDEX(Curves!$C$50:$BV$50,AX$2-15+1))</f>
        <v/>
      </c>
      <c r="AY20" s="5">
        <f>$B20*(Eras!$R$3*INDEX(Curves!$C$4:$BV$4,AY$2-15+1)+Eras!$R$4*INDEX(Curves!$C$27:$BV$27,AY$2-15+1)+Eras!$R$5*INDEX(Curves!$C$50:$BV$50,AY$2-15+1))</f>
        <v/>
      </c>
      <c r="AZ20" s="5">
        <f>$B20*(Eras!$R$3*INDEX(Curves!$C$4:$BV$4,AZ$2-15+1)+Eras!$R$4*INDEX(Curves!$C$27:$BV$27,AZ$2-15+1)+Eras!$R$5*INDEX(Curves!$C$50:$BV$50,AZ$2-15+1))</f>
        <v/>
      </c>
      <c r="BA20" s="5">
        <f>$B20*(Eras!$R$3*INDEX(Curves!$C$4:$BV$4,BA$2-15+1)+Eras!$R$4*INDEX(Curves!$C$27:$BV$27,BA$2-15+1)+Eras!$R$5*INDEX(Curves!$C$50:$BV$50,BA$2-15+1))</f>
        <v/>
      </c>
      <c r="BB20" s="5">
        <f>$B20*(Eras!$R$3*INDEX(Curves!$C$4:$BV$4,BB$2-15+1)+Eras!$R$4*INDEX(Curves!$C$27:$BV$27,BB$2-15+1)+Eras!$R$5*INDEX(Curves!$C$50:$BV$50,BB$2-15+1))</f>
        <v/>
      </c>
      <c r="BC20" s="5">
        <f>$B20*(Eras!$R$3*INDEX(Curves!$C$4:$BV$4,BC$2-15+1)+Eras!$R$4*INDEX(Curves!$C$27:$BV$27,BC$2-15+1)+Eras!$R$5*INDEX(Curves!$C$50:$BV$50,BC$2-15+1))</f>
        <v/>
      </c>
      <c r="BD20" s="5">
        <f>$B20*(Eras!$R$3*INDEX(Curves!$C$4:$BV$4,BD$2-15+1)+Eras!$R$4*INDEX(Curves!$C$27:$BV$27,BD$2-15+1)+Eras!$R$5*INDEX(Curves!$C$50:$BV$50,BD$2-15+1))</f>
        <v/>
      </c>
      <c r="BE20" s="5">
        <f>$B20*(Eras!$R$3*INDEX(Curves!$C$4:$BV$4,BE$2-15+1)+Eras!$R$4*INDEX(Curves!$C$27:$BV$27,BE$2-15+1)+Eras!$R$5*INDEX(Curves!$C$50:$BV$50,BE$2-15+1))</f>
        <v/>
      </c>
      <c r="BF20" s="5">
        <f>$B20*(Eras!$R$3*INDEX(Curves!$C$4:$BV$4,BF$2-15+1)+Eras!$R$4*INDEX(Curves!$C$27:$BV$27,BF$2-15+1)+Eras!$R$5*INDEX(Curves!$C$50:$BV$50,BF$2-15+1))</f>
        <v/>
      </c>
      <c r="BG20" s="5">
        <f>$B20*(Eras!$R$3*INDEX(Curves!$C$4:$BV$4,BG$2-15+1)+Eras!$R$4*INDEX(Curves!$C$27:$BV$27,BG$2-15+1)+Eras!$R$5*INDEX(Curves!$C$50:$BV$50,BG$2-15+1))</f>
        <v/>
      </c>
      <c r="BH20" s="5">
        <f>$B20*(Eras!$R$3*INDEX(Curves!$C$4:$BV$4,BH$2-15+1)+Eras!$R$4*INDEX(Curves!$C$27:$BV$27,BH$2-15+1)+Eras!$R$5*INDEX(Curves!$C$50:$BV$50,BH$2-15+1))</f>
        <v/>
      </c>
      <c r="BI20" s="5">
        <f>$B20*(Eras!$R$3*INDEX(Curves!$C$4:$BV$4,BI$2-15+1)+Eras!$R$4*INDEX(Curves!$C$27:$BV$27,BI$2-15+1)+Eras!$R$5*INDEX(Curves!$C$50:$BV$50,BI$2-15+1))</f>
        <v/>
      </c>
      <c r="BJ20" s="5">
        <f>$B20*(Eras!$R$3*INDEX(Curves!$C$4:$BV$4,BJ$2-15+1)+Eras!$R$4*INDEX(Curves!$C$27:$BV$27,BJ$2-15+1)+Eras!$R$5*INDEX(Curves!$C$50:$BV$50,BJ$2-15+1))</f>
        <v/>
      </c>
      <c r="BK20" s="5">
        <f>$B20*(Eras!$R$3*INDEX(Curves!$C$4:$BV$4,BK$2-15+1)+Eras!$R$4*INDEX(Curves!$C$27:$BV$27,BK$2-15+1)+Eras!$R$5*INDEX(Curves!$C$50:$BV$50,BK$2-15+1))</f>
        <v/>
      </c>
      <c r="BL20" s="5">
        <f>$B20*(Eras!$R$3*INDEX(Curves!$C$4:$BV$4,BL$2-15+1)+Eras!$R$4*INDEX(Curves!$C$27:$BV$27,BL$2-15+1)+Eras!$R$5*INDEX(Curves!$C$50:$BV$50,BL$2-15+1))</f>
        <v/>
      </c>
      <c r="BM20" s="5">
        <f>$B20*(Eras!$R$3*INDEX(Curves!$C$4:$BV$4,BM$2-15+1)+Eras!$R$4*INDEX(Curves!$C$27:$BV$27,BM$2-15+1)+Eras!$R$5*INDEX(Curves!$C$50:$BV$50,BM$2-15+1))</f>
        <v/>
      </c>
      <c r="BN20" s="5">
        <f>$B20*(Eras!$R$3*INDEX(Curves!$C$4:$BV$4,BN$2-15+1)+Eras!$R$4*INDEX(Curves!$C$27:$BV$27,BN$2-15+1)+Eras!$R$5*INDEX(Curves!$C$50:$BV$50,BN$2-15+1))</f>
        <v/>
      </c>
      <c r="BO20" s="5">
        <f>$B20*(Eras!$R$3*INDEX(Curves!$C$4:$BV$4,BO$2-15+1)+Eras!$R$4*INDEX(Curves!$C$27:$BV$27,BO$2-15+1)+Eras!$R$5*INDEX(Curves!$C$50:$BV$50,BO$2-15+1))</f>
        <v/>
      </c>
      <c r="BP20" s="5">
        <f>$B20*(Eras!$R$3*INDEX(Curves!$C$4:$BV$4,BP$2-15+1)+Eras!$R$4*INDEX(Curves!$C$27:$BV$27,BP$2-15+1)+Eras!$R$5*INDEX(Curves!$C$50:$BV$50,BP$2-15+1))</f>
        <v/>
      </c>
      <c r="BQ20" s="5">
        <f>$B20*(Eras!$R$3*INDEX(Curves!$C$4:$BV$4,BQ$2-15+1)+Eras!$R$4*INDEX(Curves!$C$27:$BV$27,BQ$2-15+1)+Eras!$R$5*INDEX(Curves!$C$50:$BV$50,BQ$2-15+1))</f>
        <v/>
      </c>
      <c r="BR20" s="5">
        <f>$B20*(Eras!$R$3*INDEX(Curves!$C$4:$BV$4,BR$2-15+1)+Eras!$R$4*INDEX(Curves!$C$27:$BV$27,BR$2-15+1)+Eras!$R$5*INDEX(Curves!$C$50:$BV$50,BR$2-15+1))</f>
        <v/>
      </c>
      <c r="BS20" s="5">
        <f>$B20*(Eras!$R$3*INDEX(Curves!$C$4:$BV$4,BS$2-15+1)+Eras!$R$4*INDEX(Curves!$C$27:$BV$27,BS$2-15+1)+Eras!$R$5*INDEX(Curves!$C$50:$BV$50,BS$2-15+1))</f>
        <v/>
      </c>
      <c r="BT20" s="5">
        <f>$B20*(Eras!$R$3*INDEX(Curves!$C$4:$BV$4,BT$2-15+1)+Eras!$R$4*INDEX(Curves!$C$27:$BV$27,BT$2-15+1)+Eras!$R$5*INDEX(Curves!$C$50:$BV$50,BT$2-15+1))</f>
        <v/>
      </c>
      <c r="BU20" s="5">
        <f>$B20*(Eras!$R$3*INDEX(Curves!$C$4:$BV$4,BU$2-15+1)+Eras!$R$4*INDEX(Curves!$C$27:$BV$27,BU$2-15+1)+Eras!$R$5*INDEX(Curves!$C$50:$BV$50,BU$2-15+1))</f>
        <v/>
      </c>
      <c r="BV20" s="5">
        <f>$B20*(Eras!$R$3*INDEX(Curves!$C$4:$BV$4,BV$2-15+1)+Eras!$R$4*INDEX(Curves!$C$27:$BV$27,BV$2-15+1)+Eras!$R$5*INDEX(Curves!$C$50:$BV$50,BV$2-15+1))</f>
        <v/>
      </c>
    </row>
    <row r="21">
      <c r="A21" t="inlineStr">
        <is>
          <t>cohort 2026-05</t>
        </is>
      </c>
      <c r="B21" s="5">
        <f>INDEX(Adds!$C$13:$BV$13,17)</f>
        <v/>
      </c>
      <c r="S21" s="5">
        <f>$B21*(Eras!$S$3*INDEX(Curves!$C$4:$BV$4,S$2-16+1)+Eras!$S$4*INDEX(Curves!$C$27:$BV$27,S$2-16+1)+Eras!$S$5*INDEX(Curves!$C$50:$BV$50,S$2-16+1))</f>
        <v/>
      </c>
      <c r="T21" s="5">
        <f>$B21*(Eras!$S$3*INDEX(Curves!$C$4:$BV$4,T$2-16+1)+Eras!$S$4*INDEX(Curves!$C$27:$BV$27,T$2-16+1)+Eras!$S$5*INDEX(Curves!$C$50:$BV$50,T$2-16+1))</f>
        <v/>
      </c>
      <c r="U21" s="5">
        <f>$B21*(Eras!$S$3*INDEX(Curves!$C$4:$BV$4,U$2-16+1)+Eras!$S$4*INDEX(Curves!$C$27:$BV$27,U$2-16+1)+Eras!$S$5*INDEX(Curves!$C$50:$BV$50,U$2-16+1))</f>
        <v/>
      </c>
      <c r="V21" s="5">
        <f>$B21*(Eras!$S$3*INDEX(Curves!$C$4:$BV$4,V$2-16+1)+Eras!$S$4*INDEX(Curves!$C$27:$BV$27,V$2-16+1)+Eras!$S$5*INDEX(Curves!$C$50:$BV$50,V$2-16+1))</f>
        <v/>
      </c>
      <c r="W21" s="5">
        <f>$B21*(Eras!$S$3*INDEX(Curves!$C$4:$BV$4,W$2-16+1)+Eras!$S$4*INDEX(Curves!$C$27:$BV$27,W$2-16+1)+Eras!$S$5*INDEX(Curves!$C$50:$BV$50,W$2-16+1))</f>
        <v/>
      </c>
      <c r="X21" s="5">
        <f>$B21*(Eras!$S$3*INDEX(Curves!$C$4:$BV$4,X$2-16+1)+Eras!$S$4*INDEX(Curves!$C$27:$BV$27,X$2-16+1)+Eras!$S$5*INDEX(Curves!$C$50:$BV$50,X$2-16+1))</f>
        <v/>
      </c>
      <c r="Y21" s="5">
        <f>$B21*(Eras!$S$3*INDEX(Curves!$C$4:$BV$4,Y$2-16+1)+Eras!$S$4*INDEX(Curves!$C$27:$BV$27,Y$2-16+1)+Eras!$S$5*INDEX(Curves!$C$50:$BV$50,Y$2-16+1))</f>
        <v/>
      </c>
      <c r="Z21" s="5">
        <f>$B21*(Eras!$S$3*INDEX(Curves!$C$4:$BV$4,Z$2-16+1)+Eras!$S$4*INDEX(Curves!$C$27:$BV$27,Z$2-16+1)+Eras!$S$5*INDEX(Curves!$C$50:$BV$50,Z$2-16+1))</f>
        <v/>
      </c>
      <c r="AA21" s="5">
        <f>$B21*(Eras!$S$3*INDEX(Curves!$C$4:$BV$4,AA$2-16+1)+Eras!$S$4*INDEX(Curves!$C$27:$BV$27,AA$2-16+1)+Eras!$S$5*INDEX(Curves!$C$50:$BV$50,AA$2-16+1))</f>
        <v/>
      </c>
      <c r="AB21" s="5">
        <f>$B21*(Eras!$S$3*INDEX(Curves!$C$4:$BV$4,AB$2-16+1)+Eras!$S$4*INDEX(Curves!$C$27:$BV$27,AB$2-16+1)+Eras!$S$5*INDEX(Curves!$C$50:$BV$50,AB$2-16+1))</f>
        <v/>
      </c>
      <c r="AC21" s="5">
        <f>$B21*(Eras!$S$3*INDEX(Curves!$C$4:$BV$4,AC$2-16+1)+Eras!$S$4*INDEX(Curves!$C$27:$BV$27,AC$2-16+1)+Eras!$S$5*INDEX(Curves!$C$50:$BV$50,AC$2-16+1))</f>
        <v/>
      </c>
      <c r="AD21" s="5">
        <f>$B21*(Eras!$S$3*INDEX(Curves!$C$4:$BV$4,AD$2-16+1)+Eras!$S$4*INDEX(Curves!$C$27:$BV$27,AD$2-16+1)+Eras!$S$5*INDEX(Curves!$C$50:$BV$50,AD$2-16+1))</f>
        <v/>
      </c>
      <c r="AE21" s="5">
        <f>$B21*(Eras!$S$3*INDEX(Curves!$C$4:$BV$4,AE$2-16+1)+Eras!$S$4*INDEX(Curves!$C$27:$BV$27,AE$2-16+1)+Eras!$S$5*INDEX(Curves!$C$50:$BV$50,AE$2-16+1))</f>
        <v/>
      </c>
      <c r="AF21" s="5">
        <f>$B21*(Eras!$S$3*INDEX(Curves!$C$4:$BV$4,AF$2-16+1)+Eras!$S$4*INDEX(Curves!$C$27:$BV$27,AF$2-16+1)+Eras!$S$5*INDEX(Curves!$C$50:$BV$50,AF$2-16+1))</f>
        <v/>
      </c>
      <c r="AG21" s="5">
        <f>$B21*(Eras!$S$3*INDEX(Curves!$C$4:$BV$4,AG$2-16+1)+Eras!$S$4*INDEX(Curves!$C$27:$BV$27,AG$2-16+1)+Eras!$S$5*INDEX(Curves!$C$50:$BV$50,AG$2-16+1))</f>
        <v/>
      </c>
      <c r="AH21" s="5">
        <f>$B21*(Eras!$S$3*INDEX(Curves!$C$4:$BV$4,AH$2-16+1)+Eras!$S$4*INDEX(Curves!$C$27:$BV$27,AH$2-16+1)+Eras!$S$5*INDEX(Curves!$C$50:$BV$50,AH$2-16+1))</f>
        <v/>
      </c>
      <c r="AI21" s="5">
        <f>$B21*(Eras!$S$3*INDEX(Curves!$C$4:$BV$4,AI$2-16+1)+Eras!$S$4*INDEX(Curves!$C$27:$BV$27,AI$2-16+1)+Eras!$S$5*INDEX(Curves!$C$50:$BV$50,AI$2-16+1))</f>
        <v/>
      </c>
      <c r="AJ21" s="5">
        <f>$B21*(Eras!$S$3*INDEX(Curves!$C$4:$BV$4,AJ$2-16+1)+Eras!$S$4*INDEX(Curves!$C$27:$BV$27,AJ$2-16+1)+Eras!$S$5*INDEX(Curves!$C$50:$BV$50,AJ$2-16+1))</f>
        <v/>
      </c>
      <c r="AK21" s="5">
        <f>$B21*(Eras!$S$3*INDEX(Curves!$C$4:$BV$4,AK$2-16+1)+Eras!$S$4*INDEX(Curves!$C$27:$BV$27,AK$2-16+1)+Eras!$S$5*INDEX(Curves!$C$50:$BV$50,AK$2-16+1))</f>
        <v/>
      </c>
      <c r="AL21" s="5">
        <f>$B21*(Eras!$S$3*INDEX(Curves!$C$4:$BV$4,AL$2-16+1)+Eras!$S$4*INDEX(Curves!$C$27:$BV$27,AL$2-16+1)+Eras!$S$5*INDEX(Curves!$C$50:$BV$50,AL$2-16+1))</f>
        <v/>
      </c>
      <c r="AM21" s="5">
        <f>$B21*(Eras!$S$3*INDEX(Curves!$C$4:$BV$4,AM$2-16+1)+Eras!$S$4*INDEX(Curves!$C$27:$BV$27,AM$2-16+1)+Eras!$S$5*INDEX(Curves!$C$50:$BV$50,AM$2-16+1))</f>
        <v/>
      </c>
      <c r="AN21" s="5">
        <f>$B21*(Eras!$S$3*INDEX(Curves!$C$4:$BV$4,AN$2-16+1)+Eras!$S$4*INDEX(Curves!$C$27:$BV$27,AN$2-16+1)+Eras!$S$5*INDEX(Curves!$C$50:$BV$50,AN$2-16+1))</f>
        <v/>
      </c>
      <c r="AO21" s="5">
        <f>$B21*(Eras!$S$3*INDEX(Curves!$C$4:$BV$4,AO$2-16+1)+Eras!$S$4*INDEX(Curves!$C$27:$BV$27,AO$2-16+1)+Eras!$S$5*INDEX(Curves!$C$50:$BV$50,AO$2-16+1))</f>
        <v/>
      </c>
      <c r="AP21" s="5">
        <f>$B21*(Eras!$S$3*INDEX(Curves!$C$4:$BV$4,AP$2-16+1)+Eras!$S$4*INDEX(Curves!$C$27:$BV$27,AP$2-16+1)+Eras!$S$5*INDEX(Curves!$C$50:$BV$50,AP$2-16+1))</f>
        <v/>
      </c>
      <c r="AQ21" s="5">
        <f>$B21*(Eras!$S$3*INDEX(Curves!$C$4:$BV$4,AQ$2-16+1)+Eras!$S$4*INDEX(Curves!$C$27:$BV$27,AQ$2-16+1)+Eras!$S$5*INDEX(Curves!$C$50:$BV$50,AQ$2-16+1))</f>
        <v/>
      </c>
      <c r="AR21" s="5">
        <f>$B21*(Eras!$S$3*INDEX(Curves!$C$4:$BV$4,AR$2-16+1)+Eras!$S$4*INDEX(Curves!$C$27:$BV$27,AR$2-16+1)+Eras!$S$5*INDEX(Curves!$C$50:$BV$50,AR$2-16+1))</f>
        <v/>
      </c>
      <c r="AS21" s="5">
        <f>$B21*(Eras!$S$3*INDEX(Curves!$C$4:$BV$4,AS$2-16+1)+Eras!$S$4*INDEX(Curves!$C$27:$BV$27,AS$2-16+1)+Eras!$S$5*INDEX(Curves!$C$50:$BV$50,AS$2-16+1))</f>
        <v/>
      </c>
      <c r="AT21" s="5">
        <f>$B21*(Eras!$S$3*INDEX(Curves!$C$4:$BV$4,AT$2-16+1)+Eras!$S$4*INDEX(Curves!$C$27:$BV$27,AT$2-16+1)+Eras!$S$5*INDEX(Curves!$C$50:$BV$50,AT$2-16+1))</f>
        <v/>
      </c>
      <c r="AU21" s="5">
        <f>$B21*(Eras!$S$3*INDEX(Curves!$C$4:$BV$4,AU$2-16+1)+Eras!$S$4*INDEX(Curves!$C$27:$BV$27,AU$2-16+1)+Eras!$S$5*INDEX(Curves!$C$50:$BV$50,AU$2-16+1))</f>
        <v/>
      </c>
      <c r="AV21" s="5">
        <f>$B21*(Eras!$S$3*INDEX(Curves!$C$4:$BV$4,AV$2-16+1)+Eras!$S$4*INDEX(Curves!$C$27:$BV$27,AV$2-16+1)+Eras!$S$5*INDEX(Curves!$C$50:$BV$50,AV$2-16+1))</f>
        <v/>
      </c>
      <c r="AW21" s="5">
        <f>$B21*(Eras!$S$3*INDEX(Curves!$C$4:$BV$4,AW$2-16+1)+Eras!$S$4*INDEX(Curves!$C$27:$BV$27,AW$2-16+1)+Eras!$S$5*INDEX(Curves!$C$50:$BV$50,AW$2-16+1))</f>
        <v/>
      </c>
      <c r="AX21" s="5">
        <f>$B21*(Eras!$S$3*INDEX(Curves!$C$4:$BV$4,AX$2-16+1)+Eras!$S$4*INDEX(Curves!$C$27:$BV$27,AX$2-16+1)+Eras!$S$5*INDEX(Curves!$C$50:$BV$50,AX$2-16+1))</f>
        <v/>
      </c>
      <c r="AY21" s="5">
        <f>$B21*(Eras!$S$3*INDEX(Curves!$C$4:$BV$4,AY$2-16+1)+Eras!$S$4*INDEX(Curves!$C$27:$BV$27,AY$2-16+1)+Eras!$S$5*INDEX(Curves!$C$50:$BV$50,AY$2-16+1))</f>
        <v/>
      </c>
      <c r="AZ21" s="5">
        <f>$B21*(Eras!$S$3*INDEX(Curves!$C$4:$BV$4,AZ$2-16+1)+Eras!$S$4*INDEX(Curves!$C$27:$BV$27,AZ$2-16+1)+Eras!$S$5*INDEX(Curves!$C$50:$BV$50,AZ$2-16+1))</f>
        <v/>
      </c>
      <c r="BA21" s="5">
        <f>$B21*(Eras!$S$3*INDEX(Curves!$C$4:$BV$4,BA$2-16+1)+Eras!$S$4*INDEX(Curves!$C$27:$BV$27,BA$2-16+1)+Eras!$S$5*INDEX(Curves!$C$50:$BV$50,BA$2-16+1))</f>
        <v/>
      </c>
      <c r="BB21" s="5">
        <f>$B21*(Eras!$S$3*INDEX(Curves!$C$4:$BV$4,BB$2-16+1)+Eras!$S$4*INDEX(Curves!$C$27:$BV$27,BB$2-16+1)+Eras!$S$5*INDEX(Curves!$C$50:$BV$50,BB$2-16+1))</f>
        <v/>
      </c>
      <c r="BC21" s="5">
        <f>$B21*(Eras!$S$3*INDEX(Curves!$C$4:$BV$4,BC$2-16+1)+Eras!$S$4*INDEX(Curves!$C$27:$BV$27,BC$2-16+1)+Eras!$S$5*INDEX(Curves!$C$50:$BV$50,BC$2-16+1))</f>
        <v/>
      </c>
      <c r="BD21" s="5">
        <f>$B21*(Eras!$S$3*INDEX(Curves!$C$4:$BV$4,BD$2-16+1)+Eras!$S$4*INDEX(Curves!$C$27:$BV$27,BD$2-16+1)+Eras!$S$5*INDEX(Curves!$C$50:$BV$50,BD$2-16+1))</f>
        <v/>
      </c>
      <c r="BE21" s="5">
        <f>$B21*(Eras!$S$3*INDEX(Curves!$C$4:$BV$4,BE$2-16+1)+Eras!$S$4*INDEX(Curves!$C$27:$BV$27,BE$2-16+1)+Eras!$S$5*INDEX(Curves!$C$50:$BV$50,BE$2-16+1))</f>
        <v/>
      </c>
      <c r="BF21" s="5">
        <f>$B21*(Eras!$S$3*INDEX(Curves!$C$4:$BV$4,BF$2-16+1)+Eras!$S$4*INDEX(Curves!$C$27:$BV$27,BF$2-16+1)+Eras!$S$5*INDEX(Curves!$C$50:$BV$50,BF$2-16+1))</f>
        <v/>
      </c>
      <c r="BG21" s="5">
        <f>$B21*(Eras!$S$3*INDEX(Curves!$C$4:$BV$4,BG$2-16+1)+Eras!$S$4*INDEX(Curves!$C$27:$BV$27,BG$2-16+1)+Eras!$S$5*INDEX(Curves!$C$50:$BV$50,BG$2-16+1))</f>
        <v/>
      </c>
      <c r="BH21" s="5">
        <f>$B21*(Eras!$S$3*INDEX(Curves!$C$4:$BV$4,BH$2-16+1)+Eras!$S$4*INDEX(Curves!$C$27:$BV$27,BH$2-16+1)+Eras!$S$5*INDEX(Curves!$C$50:$BV$50,BH$2-16+1))</f>
        <v/>
      </c>
      <c r="BI21" s="5">
        <f>$B21*(Eras!$S$3*INDEX(Curves!$C$4:$BV$4,BI$2-16+1)+Eras!$S$4*INDEX(Curves!$C$27:$BV$27,BI$2-16+1)+Eras!$S$5*INDEX(Curves!$C$50:$BV$50,BI$2-16+1))</f>
        <v/>
      </c>
      <c r="BJ21" s="5">
        <f>$B21*(Eras!$S$3*INDEX(Curves!$C$4:$BV$4,BJ$2-16+1)+Eras!$S$4*INDEX(Curves!$C$27:$BV$27,BJ$2-16+1)+Eras!$S$5*INDEX(Curves!$C$50:$BV$50,BJ$2-16+1))</f>
        <v/>
      </c>
      <c r="BK21" s="5">
        <f>$B21*(Eras!$S$3*INDEX(Curves!$C$4:$BV$4,BK$2-16+1)+Eras!$S$4*INDEX(Curves!$C$27:$BV$27,BK$2-16+1)+Eras!$S$5*INDEX(Curves!$C$50:$BV$50,BK$2-16+1))</f>
        <v/>
      </c>
      <c r="BL21" s="5">
        <f>$B21*(Eras!$S$3*INDEX(Curves!$C$4:$BV$4,BL$2-16+1)+Eras!$S$4*INDEX(Curves!$C$27:$BV$27,BL$2-16+1)+Eras!$S$5*INDEX(Curves!$C$50:$BV$50,BL$2-16+1))</f>
        <v/>
      </c>
      <c r="BM21" s="5">
        <f>$B21*(Eras!$S$3*INDEX(Curves!$C$4:$BV$4,BM$2-16+1)+Eras!$S$4*INDEX(Curves!$C$27:$BV$27,BM$2-16+1)+Eras!$S$5*INDEX(Curves!$C$50:$BV$50,BM$2-16+1))</f>
        <v/>
      </c>
      <c r="BN21" s="5">
        <f>$B21*(Eras!$S$3*INDEX(Curves!$C$4:$BV$4,BN$2-16+1)+Eras!$S$4*INDEX(Curves!$C$27:$BV$27,BN$2-16+1)+Eras!$S$5*INDEX(Curves!$C$50:$BV$50,BN$2-16+1))</f>
        <v/>
      </c>
      <c r="BO21" s="5">
        <f>$B21*(Eras!$S$3*INDEX(Curves!$C$4:$BV$4,BO$2-16+1)+Eras!$S$4*INDEX(Curves!$C$27:$BV$27,BO$2-16+1)+Eras!$S$5*INDEX(Curves!$C$50:$BV$50,BO$2-16+1))</f>
        <v/>
      </c>
      <c r="BP21" s="5">
        <f>$B21*(Eras!$S$3*INDEX(Curves!$C$4:$BV$4,BP$2-16+1)+Eras!$S$4*INDEX(Curves!$C$27:$BV$27,BP$2-16+1)+Eras!$S$5*INDEX(Curves!$C$50:$BV$50,BP$2-16+1))</f>
        <v/>
      </c>
      <c r="BQ21" s="5">
        <f>$B21*(Eras!$S$3*INDEX(Curves!$C$4:$BV$4,BQ$2-16+1)+Eras!$S$4*INDEX(Curves!$C$27:$BV$27,BQ$2-16+1)+Eras!$S$5*INDEX(Curves!$C$50:$BV$50,BQ$2-16+1))</f>
        <v/>
      </c>
      <c r="BR21" s="5">
        <f>$B21*(Eras!$S$3*INDEX(Curves!$C$4:$BV$4,BR$2-16+1)+Eras!$S$4*INDEX(Curves!$C$27:$BV$27,BR$2-16+1)+Eras!$S$5*INDEX(Curves!$C$50:$BV$50,BR$2-16+1))</f>
        <v/>
      </c>
      <c r="BS21" s="5">
        <f>$B21*(Eras!$S$3*INDEX(Curves!$C$4:$BV$4,BS$2-16+1)+Eras!$S$4*INDEX(Curves!$C$27:$BV$27,BS$2-16+1)+Eras!$S$5*INDEX(Curves!$C$50:$BV$50,BS$2-16+1))</f>
        <v/>
      </c>
      <c r="BT21" s="5">
        <f>$B21*(Eras!$S$3*INDEX(Curves!$C$4:$BV$4,BT$2-16+1)+Eras!$S$4*INDEX(Curves!$C$27:$BV$27,BT$2-16+1)+Eras!$S$5*INDEX(Curves!$C$50:$BV$50,BT$2-16+1))</f>
        <v/>
      </c>
      <c r="BU21" s="5">
        <f>$B21*(Eras!$S$3*INDEX(Curves!$C$4:$BV$4,BU$2-16+1)+Eras!$S$4*INDEX(Curves!$C$27:$BV$27,BU$2-16+1)+Eras!$S$5*INDEX(Curves!$C$50:$BV$50,BU$2-16+1))</f>
        <v/>
      </c>
      <c r="BV21" s="5">
        <f>$B21*(Eras!$S$3*INDEX(Curves!$C$4:$BV$4,BV$2-16+1)+Eras!$S$4*INDEX(Curves!$C$27:$BV$27,BV$2-16+1)+Eras!$S$5*INDEX(Curves!$C$50:$BV$50,BV$2-16+1))</f>
        <v/>
      </c>
    </row>
    <row r="22">
      <c r="A22" t="inlineStr">
        <is>
          <t>cohort 2026-06</t>
        </is>
      </c>
      <c r="B22" s="5">
        <f>INDEX(Adds!$C$13:$BV$13,18)</f>
        <v/>
      </c>
      <c r="T22" s="5">
        <f>$B22*(Eras!$T$3*INDEX(Curves!$C$4:$BV$4,T$2-17+1)+Eras!$T$4*INDEX(Curves!$C$27:$BV$27,T$2-17+1)+Eras!$T$5*INDEX(Curves!$C$50:$BV$50,T$2-17+1))</f>
        <v/>
      </c>
      <c r="U22" s="5">
        <f>$B22*(Eras!$T$3*INDEX(Curves!$C$4:$BV$4,U$2-17+1)+Eras!$T$4*INDEX(Curves!$C$27:$BV$27,U$2-17+1)+Eras!$T$5*INDEX(Curves!$C$50:$BV$50,U$2-17+1))</f>
        <v/>
      </c>
      <c r="V22" s="5">
        <f>$B22*(Eras!$T$3*INDEX(Curves!$C$4:$BV$4,V$2-17+1)+Eras!$T$4*INDEX(Curves!$C$27:$BV$27,V$2-17+1)+Eras!$T$5*INDEX(Curves!$C$50:$BV$50,V$2-17+1))</f>
        <v/>
      </c>
      <c r="W22" s="5">
        <f>$B22*(Eras!$T$3*INDEX(Curves!$C$4:$BV$4,W$2-17+1)+Eras!$T$4*INDEX(Curves!$C$27:$BV$27,W$2-17+1)+Eras!$T$5*INDEX(Curves!$C$50:$BV$50,W$2-17+1))</f>
        <v/>
      </c>
      <c r="X22" s="5">
        <f>$B22*(Eras!$T$3*INDEX(Curves!$C$4:$BV$4,X$2-17+1)+Eras!$T$4*INDEX(Curves!$C$27:$BV$27,X$2-17+1)+Eras!$T$5*INDEX(Curves!$C$50:$BV$50,X$2-17+1))</f>
        <v/>
      </c>
      <c r="Y22" s="5">
        <f>$B22*(Eras!$T$3*INDEX(Curves!$C$4:$BV$4,Y$2-17+1)+Eras!$T$4*INDEX(Curves!$C$27:$BV$27,Y$2-17+1)+Eras!$T$5*INDEX(Curves!$C$50:$BV$50,Y$2-17+1))</f>
        <v/>
      </c>
      <c r="Z22" s="5">
        <f>$B22*(Eras!$T$3*INDEX(Curves!$C$4:$BV$4,Z$2-17+1)+Eras!$T$4*INDEX(Curves!$C$27:$BV$27,Z$2-17+1)+Eras!$T$5*INDEX(Curves!$C$50:$BV$50,Z$2-17+1))</f>
        <v/>
      </c>
      <c r="AA22" s="5">
        <f>$B22*(Eras!$T$3*INDEX(Curves!$C$4:$BV$4,AA$2-17+1)+Eras!$T$4*INDEX(Curves!$C$27:$BV$27,AA$2-17+1)+Eras!$T$5*INDEX(Curves!$C$50:$BV$50,AA$2-17+1))</f>
        <v/>
      </c>
      <c r="AB22" s="5">
        <f>$B22*(Eras!$T$3*INDEX(Curves!$C$4:$BV$4,AB$2-17+1)+Eras!$T$4*INDEX(Curves!$C$27:$BV$27,AB$2-17+1)+Eras!$T$5*INDEX(Curves!$C$50:$BV$50,AB$2-17+1))</f>
        <v/>
      </c>
      <c r="AC22" s="5">
        <f>$B22*(Eras!$T$3*INDEX(Curves!$C$4:$BV$4,AC$2-17+1)+Eras!$T$4*INDEX(Curves!$C$27:$BV$27,AC$2-17+1)+Eras!$T$5*INDEX(Curves!$C$50:$BV$50,AC$2-17+1))</f>
        <v/>
      </c>
      <c r="AD22" s="5">
        <f>$B22*(Eras!$T$3*INDEX(Curves!$C$4:$BV$4,AD$2-17+1)+Eras!$T$4*INDEX(Curves!$C$27:$BV$27,AD$2-17+1)+Eras!$T$5*INDEX(Curves!$C$50:$BV$50,AD$2-17+1))</f>
        <v/>
      </c>
      <c r="AE22" s="5">
        <f>$B22*(Eras!$T$3*INDEX(Curves!$C$4:$BV$4,AE$2-17+1)+Eras!$T$4*INDEX(Curves!$C$27:$BV$27,AE$2-17+1)+Eras!$T$5*INDEX(Curves!$C$50:$BV$50,AE$2-17+1))</f>
        <v/>
      </c>
      <c r="AF22" s="5">
        <f>$B22*(Eras!$T$3*INDEX(Curves!$C$4:$BV$4,AF$2-17+1)+Eras!$T$4*INDEX(Curves!$C$27:$BV$27,AF$2-17+1)+Eras!$T$5*INDEX(Curves!$C$50:$BV$50,AF$2-17+1))</f>
        <v/>
      </c>
      <c r="AG22" s="5">
        <f>$B22*(Eras!$T$3*INDEX(Curves!$C$4:$BV$4,AG$2-17+1)+Eras!$T$4*INDEX(Curves!$C$27:$BV$27,AG$2-17+1)+Eras!$T$5*INDEX(Curves!$C$50:$BV$50,AG$2-17+1))</f>
        <v/>
      </c>
      <c r="AH22" s="5">
        <f>$B22*(Eras!$T$3*INDEX(Curves!$C$4:$BV$4,AH$2-17+1)+Eras!$T$4*INDEX(Curves!$C$27:$BV$27,AH$2-17+1)+Eras!$T$5*INDEX(Curves!$C$50:$BV$50,AH$2-17+1))</f>
        <v/>
      </c>
      <c r="AI22" s="5">
        <f>$B22*(Eras!$T$3*INDEX(Curves!$C$4:$BV$4,AI$2-17+1)+Eras!$T$4*INDEX(Curves!$C$27:$BV$27,AI$2-17+1)+Eras!$T$5*INDEX(Curves!$C$50:$BV$50,AI$2-17+1))</f>
        <v/>
      </c>
      <c r="AJ22" s="5">
        <f>$B22*(Eras!$T$3*INDEX(Curves!$C$4:$BV$4,AJ$2-17+1)+Eras!$T$4*INDEX(Curves!$C$27:$BV$27,AJ$2-17+1)+Eras!$T$5*INDEX(Curves!$C$50:$BV$50,AJ$2-17+1))</f>
        <v/>
      </c>
      <c r="AK22" s="5">
        <f>$B22*(Eras!$T$3*INDEX(Curves!$C$4:$BV$4,AK$2-17+1)+Eras!$T$4*INDEX(Curves!$C$27:$BV$27,AK$2-17+1)+Eras!$T$5*INDEX(Curves!$C$50:$BV$50,AK$2-17+1))</f>
        <v/>
      </c>
      <c r="AL22" s="5">
        <f>$B22*(Eras!$T$3*INDEX(Curves!$C$4:$BV$4,AL$2-17+1)+Eras!$T$4*INDEX(Curves!$C$27:$BV$27,AL$2-17+1)+Eras!$T$5*INDEX(Curves!$C$50:$BV$50,AL$2-17+1))</f>
        <v/>
      </c>
      <c r="AM22" s="5">
        <f>$B22*(Eras!$T$3*INDEX(Curves!$C$4:$BV$4,AM$2-17+1)+Eras!$T$4*INDEX(Curves!$C$27:$BV$27,AM$2-17+1)+Eras!$T$5*INDEX(Curves!$C$50:$BV$50,AM$2-17+1))</f>
        <v/>
      </c>
      <c r="AN22" s="5">
        <f>$B22*(Eras!$T$3*INDEX(Curves!$C$4:$BV$4,AN$2-17+1)+Eras!$T$4*INDEX(Curves!$C$27:$BV$27,AN$2-17+1)+Eras!$T$5*INDEX(Curves!$C$50:$BV$50,AN$2-17+1))</f>
        <v/>
      </c>
      <c r="AO22" s="5">
        <f>$B22*(Eras!$T$3*INDEX(Curves!$C$4:$BV$4,AO$2-17+1)+Eras!$T$4*INDEX(Curves!$C$27:$BV$27,AO$2-17+1)+Eras!$T$5*INDEX(Curves!$C$50:$BV$50,AO$2-17+1))</f>
        <v/>
      </c>
      <c r="AP22" s="5">
        <f>$B22*(Eras!$T$3*INDEX(Curves!$C$4:$BV$4,AP$2-17+1)+Eras!$T$4*INDEX(Curves!$C$27:$BV$27,AP$2-17+1)+Eras!$T$5*INDEX(Curves!$C$50:$BV$50,AP$2-17+1))</f>
        <v/>
      </c>
      <c r="AQ22" s="5">
        <f>$B22*(Eras!$T$3*INDEX(Curves!$C$4:$BV$4,AQ$2-17+1)+Eras!$T$4*INDEX(Curves!$C$27:$BV$27,AQ$2-17+1)+Eras!$T$5*INDEX(Curves!$C$50:$BV$50,AQ$2-17+1))</f>
        <v/>
      </c>
      <c r="AR22" s="5">
        <f>$B22*(Eras!$T$3*INDEX(Curves!$C$4:$BV$4,AR$2-17+1)+Eras!$T$4*INDEX(Curves!$C$27:$BV$27,AR$2-17+1)+Eras!$T$5*INDEX(Curves!$C$50:$BV$50,AR$2-17+1))</f>
        <v/>
      </c>
      <c r="AS22" s="5">
        <f>$B22*(Eras!$T$3*INDEX(Curves!$C$4:$BV$4,AS$2-17+1)+Eras!$T$4*INDEX(Curves!$C$27:$BV$27,AS$2-17+1)+Eras!$T$5*INDEX(Curves!$C$50:$BV$50,AS$2-17+1))</f>
        <v/>
      </c>
      <c r="AT22" s="5">
        <f>$B22*(Eras!$T$3*INDEX(Curves!$C$4:$BV$4,AT$2-17+1)+Eras!$T$4*INDEX(Curves!$C$27:$BV$27,AT$2-17+1)+Eras!$T$5*INDEX(Curves!$C$50:$BV$50,AT$2-17+1))</f>
        <v/>
      </c>
      <c r="AU22" s="5">
        <f>$B22*(Eras!$T$3*INDEX(Curves!$C$4:$BV$4,AU$2-17+1)+Eras!$T$4*INDEX(Curves!$C$27:$BV$27,AU$2-17+1)+Eras!$T$5*INDEX(Curves!$C$50:$BV$50,AU$2-17+1))</f>
        <v/>
      </c>
      <c r="AV22" s="5">
        <f>$B22*(Eras!$T$3*INDEX(Curves!$C$4:$BV$4,AV$2-17+1)+Eras!$T$4*INDEX(Curves!$C$27:$BV$27,AV$2-17+1)+Eras!$T$5*INDEX(Curves!$C$50:$BV$50,AV$2-17+1))</f>
        <v/>
      </c>
      <c r="AW22" s="5">
        <f>$B22*(Eras!$T$3*INDEX(Curves!$C$4:$BV$4,AW$2-17+1)+Eras!$T$4*INDEX(Curves!$C$27:$BV$27,AW$2-17+1)+Eras!$T$5*INDEX(Curves!$C$50:$BV$50,AW$2-17+1))</f>
        <v/>
      </c>
      <c r="AX22" s="5">
        <f>$B22*(Eras!$T$3*INDEX(Curves!$C$4:$BV$4,AX$2-17+1)+Eras!$T$4*INDEX(Curves!$C$27:$BV$27,AX$2-17+1)+Eras!$T$5*INDEX(Curves!$C$50:$BV$50,AX$2-17+1))</f>
        <v/>
      </c>
      <c r="AY22" s="5">
        <f>$B22*(Eras!$T$3*INDEX(Curves!$C$4:$BV$4,AY$2-17+1)+Eras!$T$4*INDEX(Curves!$C$27:$BV$27,AY$2-17+1)+Eras!$T$5*INDEX(Curves!$C$50:$BV$50,AY$2-17+1))</f>
        <v/>
      </c>
      <c r="AZ22" s="5">
        <f>$B22*(Eras!$T$3*INDEX(Curves!$C$4:$BV$4,AZ$2-17+1)+Eras!$T$4*INDEX(Curves!$C$27:$BV$27,AZ$2-17+1)+Eras!$T$5*INDEX(Curves!$C$50:$BV$50,AZ$2-17+1))</f>
        <v/>
      </c>
      <c r="BA22" s="5">
        <f>$B22*(Eras!$T$3*INDEX(Curves!$C$4:$BV$4,BA$2-17+1)+Eras!$T$4*INDEX(Curves!$C$27:$BV$27,BA$2-17+1)+Eras!$T$5*INDEX(Curves!$C$50:$BV$50,BA$2-17+1))</f>
        <v/>
      </c>
      <c r="BB22" s="5">
        <f>$B22*(Eras!$T$3*INDEX(Curves!$C$4:$BV$4,BB$2-17+1)+Eras!$T$4*INDEX(Curves!$C$27:$BV$27,BB$2-17+1)+Eras!$T$5*INDEX(Curves!$C$50:$BV$50,BB$2-17+1))</f>
        <v/>
      </c>
      <c r="BC22" s="5">
        <f>$B22*(Eras!$T$3*INDEX(Curves!$C$4:$BV$4,BC$2-17+1)+Eras!$T$4*INDEX(Curves!$C$27:$BV$27,BC$2-17+1)+Eras!$T$5*INDEX(Curves!$C$50:$BV$50,BC$2-17+1))</f>
        <v/>
      </c>
      <c r="BD22" s="5">
        <f>$B22*(Eras!$T$3*INDEX(Curves!$C$4:$BV$4,BD$2-17+1)+Eras!$T$4*INDEX(Curves!$C$27:$BV$27,BD$2-17+1)+Eras!$T$5*INDEX(Curves!$C$50:$BV$50,BD$2-17+1))</f>
        <v/>
      </c>
      <c r="BE22" s="5">
        <f>$B22*(Eras!$T$3*INDEX(Curves!$C$4:$BV$4,BE$2-17+1)+Eras!$T$4*INDEX(Curves!$C$27:$BV$27,BE$2-17+1)+Eras!$T$5*INDEX(Curves!$C$50:$BV$50,BE$2-17+1))</f>
        <v/>
      </c>
      <c r="BF22" s="5">
        <f>$B22*(Eras!$T$3*INDEX(Curves!$C$4:$BV$4,BF$2-17+1)+Eras!$T$4*INDEX(Curves!$C$27:$BV$27,BF$2-17+1)+Eras!$T$5*INDEX(Curves!$C$50:$BV$50,BF$2-17+1))</f>
        <v/>
      </c>
      <c r="BG22" s="5">
        <f>$B22*(Eras!$T$3*INDEX(Curves!$C$4:$BV$4,BG$2-17+1)+Eras!$T$4*INDEX(Curves!$C$27:$BV$27,BG$2-17+1)+Eras!$T$5*INDEX(Curves!$C$50:$BV$50,BG$2-17+1))</f>
        <v/>
      </c>
      <c r="BH22" s="5">
        <f>$B22*(Eras!$T$3*INDEX(Curves!$C$4:$BV$4,BH$2-17+1)+Eras!$T$4*INDEX(Curves!$C$27:$BV$27,BH$2-17+1)+Eras!$T$5*INDEX(Curves!$C$50:$BV$50,BH$2-17+1))</f>
        <v/>
      </c>
      <c r="BI22" s="5">
        <f>$B22*(Eras!$T$3*INDEX(Curves!$C$4:$BV$4,BI$2-17+1)+Eras!$T$4*INDEX(Curves!$C$27:$BV$27,BI$2-17+1)+Eras!$T$5*INDEX(Curves!$C$50:$BV$50,BI$2-17+1))</f>
        <v/>
      </c>
      <c r="BJ22" s="5">
        <f>$B22*(Eras!$T$3*INDEX(Curves!$C$4:$BV$4,BJ$2-17+1)+Eras!$T$4*INDEX(Curves!$C$27:$BV$27,BJ$2-17+1)+Eras!$T$5*INDEX(Curves!$C$50:$BV$50,BJ$2-17+1))</f>
        <v/>
      </c>
      <c r="BK22" s="5">
        <f>$B22*(Eras!$T$3*INDEX(Curves!$C$4:$BV$4,BK$2-17+1)+Eras!$T$4*INDEX(Curves!$C$27:$BV$27,BK$2-17+1)+Eras!$T$5*INDEX(Curves!$C$50:$BV$50,BK$2-17+1))</f>
        <v/>
      </c>
      <c r="BL22" s="5">
        <f>$B22*(Eras!$T$3*INDEX(Curves!$C$4:$BV$4,BL$2-17+1)+Eras!$T$4*INDEX(Curves!$C$27:$BV$27,BL$2-17+1)+Eras!$T$5*INDEX(Curves!$C$50:$BV$50,BL$2-17+1))</f>
        <v/>
      </c>
      <c r="BM22" s="5">
        <f>$B22*(Eras!$T$3*INDEX(Curves!$C$4:$BV$4,BM$2-17+1)+Eras!$T$4*INDEX(Curves!$C$27:$BV$27,BM$2-17+1)+Eras!$T$5*INDEX(Curves!$C$50:$BV$50,BM$2-17+1))</f>
        <v/>
      </c>
      <c r="BN22" s="5">
        <f>$B22*(Eras!$T$3*INDEX(Curves!$C$4:$BV$4,BN$2-17+1)+Eras!$T$4*INDEX(Curves!$C$27:$BV$27,BN$2-17+1)+Eras!$T$5*INDEX(Curves!$C$50:$BV$50,BN$2-17+1))</f>
        <v/>
      </c>
      <c r="BO22" s="5">
        <f>$B22*(Eras!$T$3*INDEX(Curves!$C$4:$BV$4,BO$2-17+1)+Eras!$T$4*INDEX(Curves!$C$27:$BV$27,BO$2-17+1)+Eras!$T$5*INDEX(Curves!$C$50:$BV$50,BO$2-17+1))</f>
        <v/>
      </c>
      <c r="BP22" s="5">
        <f>$B22*(Eras!$T$3*INDEX(Curves!$C$4:$BV$4,BP$2-17+1)+Eras!$T$4*INDEX(Curves!$C$27:$BV$27,BP$2-17+1)+Eras!$T$5*INDEX(Curves!$C$50:$BV$50,BP$2-17+1))</f>
        <v/>
      </c>
      <c r="BQ22" s="5">
        <f>$B22*(Eras!$T$3*INDEX(Curves!$C$4:$BV$4,BQ$2-17+1)+Eras!$T$4*INDEX(Curves!$C$27:$BV$27,BQ$2-17+1)+Eras!$T$5*INDEX(Curves!$C$50:$BV$50,BQ$2-17+1))</f>
        <v/>
      </c>
      <c r="BR22" s="5">
        <f>$B22*(Eras!$T$3*INDEX(Curves!$C$4:$BV$4,BR$2-17+1)+Eras!$T$4*INDEX(Curves!$C$27:$BV$27,BR$2-17+1)+Eras!$T$5*INDEX(Curves!$C$50:$BV$50,BR$2-17+1))</f>
        <v/>
      </c>
      <c r="BS22" s="5">
        <f>$B22*(Eras!$T$3*INDEX(Curves!$C$4:$BV$4,BS$2-17+1)+Eras!$T$4*INDEX(Curves!$C$27:$BV$27,BS$2-17+1)+Eras!$T$5*INDEX(Curves!$C$50:$BV$50,BS$2-17+1))</f>
        <v/>
      </c>
      <c r="BT22" s="5">
        <f>$B22*(Eras!$T$3*INDEX(Curves!$C$4:$BV$4,BT$2-17+1)+Eras!$T$4*INDEX(Curves!$C$27:$BV$27,BT$2-17+1)+Eras!$T$5*INDEX(Curves!$C$50:$BV$50,BT$2-17+1))</f>
        <v/>
      </c>
      <c r="BU22" s="5">
        <f>$B22*(Eras!$T$3*INDEX(Curves!$C$4:$BV$4,BU$2-17+1)+Eras!$T$4*INDEX(Curves!$C$27:$BV$27,BU$2-17+1)+Eras!$T$5*INDEX(Curves!$C$50:$BV$50,BU$2-17+1))</f>
        <v/>
      </c>
      <c r="BV22" s="5">
        <f>$B22*(Eras!$T$3*INDEX(Curves!$C$4:$BV$4,BV$2-17+1)+Eras!$T$4*INDEX(Curves!$C$27:$BV$27,BV$2-17+1)+Eras!$T$5*INDEX(Curves!$C$50:$BV$50,BV$2-17+1))</f>
        <v/>
      </c>
    </row>
    <row r="23">
      <c r="A23" t="inlineStr">
        <is>
          <t>cohort 2026-07</t>
        </is>
      </c>
      <c r="B23" s="5">
        <f>INDEX(Adds!$C$13:$BV$13,19)</f>
        <v/>
      </c>
      <c r="U23" s="5">
        <f>$B23*(Eras!$U$3*INDEX(Curves!$C$4:$BV$4,U$2-18+1)+Eras!$U$4*INDEX(Curves!$C$27:$BV$27,U$2-18+1)+Eras!$U$5*INDEX(Curves!$C$50:$BV$50,U$2-18+1))</f>
        <v/>
      </c>
      <c r="V23" s="5">
        <f>$B23*(Eras!$U$3*INDEX(Curves!$C$4:$BV$4,V$2-18+1)+Eras!$U$4*INDEX(Curves!$C$27:$BV$27,V$2-18+1)+Eras!$U$5*INDEX(Curves!$C$50:$BV$50,V$2-18+1))</f>
        <v/>
      </c>
      <c r="W23" s="5">
        <f>$B23*(Eras!$U$3*INDEX(Curves!$C$4:$BV$4,W$2-18+1)+Eras!$U$4*INDEX(Curves!$C$27:$BV$27,W$2-18+1)+Eras!$U$5*INDEX(Curves!$C$50:$BV$50,W$2-18+1))</f>
        <v/>
      </c>
      <c r="X23" s="5">
        <f>$B23*(Eras!$U$3*INDEX(Curves!$C$4:$BV$4,X$2-18+1)+Eras!$U$4*INDEX(Curves!$C$27:$BV$27,X$2-18+1)+Eras!$U$5*INDEX(Curves!$C$50:$BV$50,X$2-18+1))</f>
        <v/>
      </c>
      <c r="Y23" s="5">
        <f>$B23*(Eras!$U$3*INDEX(Curves!$C$4:$BV$4,Y$2-18+1)+Eras!$U$4*INDEX(Curves!$C$27:$BV$27,Y$2-18+1)+Eras!$U$5*INDEX(Curves!$C$50:$BV$50,Y$2-18+1))</f>
        <v/>
      </c>
      <c r="Z23" s="5">
        <f>$B23*(Eras!$U$3*INDEX(Curves!$C$4:$BV$4,Z$2-18+1)+Eras!$U$4*INDEX(Curves!$C$27:$BV$27,Z$2-18+1)+Eras!$U$5*INDEX(Curves!$C$50:$BV$50,Z$2-18+1))</f>
        <v/>
      </c>
      <c r="AA23" s="5">
        <f>$B23*(Eras!$U$3*INDEX(Curves!$C$4:$BV$4,AA$2-18+1)+Eras!$U$4*INDEX(Curves!$C$27:$BV$27,AA$2-18+1)+Eras!$U$5*INDEX(Curves!$C$50:$BV$50,AA$2-18+1))</f>
        <v/>
      </c>
      <c r="AB23" s="5">
        <f>$B23*(Eras!$U$3*INDEX(Curves!$C$4:$BV$4,AB$2-18+1)+Eras!$U$4*INDEX(Curves!$C$27:$BV$27,AB$2-18+1)+Eras!$U$5*INDEX(Curves!$C$50:$BV$50,AB$2-18+1))</f>
        <v/>
      </c>
      <c r="AC23" s="5">
        <f>$B23*(Eras!$U$3*INDEX(Curves!$C$4:$BV$4,AC$2-18+1)+Eras!$U$4*INDEX(Curves!$C$27:$BV$27,AC$2-18+1)+Eras!$U$5*INDEX(Curves!$C$50:$BV$50,AC$2-18+1))</f>
        <v/>
      </c>
      <c r="AD23" s="5">
        <f>$B23*(Eras!$U$3*INDEX(Curves!$C$4:$BV$4,AD$2-18+1)+Eras!$U$4*INDEX(Curves!$C$27:$BV$27,AD$2-18+1)+Eras!$U$5*INDEX(Curves!$C$50:$BV$50,AD$2-18+1))</f>
        <v/>
      </c>
      <c r="AE23" s="5">
        <f>$B23*(Eras!$U$3*INDEX(Curves!$C$4:$BV$4,AE$2-18+1)+Eras!$U$4*INDEX(Curves!$C$27:$BV$27,AE$2-18+1)+Eras!$U$5*INDEX(Curves!$C$50:$BV$50,AE$2-18+1))</f>
        <v/>
      </c>
      <c r="AF23" s="5">
        <f>$B23*(Eras!$U$3*INDEX(Curves!$C$4:$BV$4,AF$2-18+1)+Eras!$U$4*INDEX(Curves!$C$27:$BV$27,AF$2-18+1)+Eras!$U$5*INDEX(Curves!$C$50:$BV$50,AF$2-18+1))</f>
        <v/>
      </c>
      <c r="AG23" s="5">
        <f>$B23*(Eras!$U$3*INDEX(Curves!$C$4:$BV$4,AG$2-18+1)+Eras!$U$4*INDEX(Curves!$C$27:$BV$27,AG$2-18+1)+Eras!$U$5*INDEX(Curves!$C$50:$BV$50,AG$2-18+1))</f>
        <v/>
      </c>
      <c r="AH23" s="5">
        <f>$B23*(Eras!$U$3*INDEX(Curves!$C$4:$BV$4,AH$2-18+1)+Eras!$U$4*INDEX(Curves!$C$27:$BV$27,AH$2-18+1)+Eras!$U$5*INDEX(Curves!$C$50:$BV$50,AH$2-18+1))</f>
        <v/>
      </c>
      <c r="AI23" s="5">
        <f>$B23*(Eras!$U$3*INDEX(Curves!$C$4:$BV$4,AI$2-18+1)+Eras!$U$4*INDEX(Curves!$C$27:$BV$27,AI$2-18+1)+Eras!$U$5*INDEX(Curves!$C$50:$BV$50,AI$2-18+1))</f>
        <v/>
      </c>
      <c r="AJ23" s="5">
        <f>$B23*(Eras!$U$3*INDEX(Curves!$C$4:$BV$4,AJ$2-18+1)+Eras!$U$4*INDEX(Curves!$C$27:$BV$27,AJ$2-18+1)+Eras!$U$5*INDEX(Curves!$C$50:$BV$50,AJ$2-18+1))</f>
        <v/>
      </c>
      <c r="AK23" s="5">
        <f>$B23*(Eras!$U$3*INDEX(Curves!$C$4:$BV$4,AK$2-18+1)+Eras!$U$4*INDEX(Curves!$C$27:$BV$27,AK$2-18+1)+Eras!$U$5*INDEX(Curves!$C$50:$BV$50,AK$2-18+1))</f>
        <v/>
      </c>
      <c r="AL23" s="5">
        <f>$B23*(Eras!$U$3*INDEX(Curves!$C$4:$BV$4,AL$2-18+1)+Eras!$U$4*INDEX(Curves!$C$27:$BV$27,AL$2-18+1)+Eras!$U$5*INDEX(Curves!$C$50:$BV$50,AL$2-18+1))</f>
        <v/>
      </c>
      <c r="AM23" s="5">
        <f>$B23*(Eras!$U$3*INDEX(Curves!$C$4:$BV$4,AM$2-18+1)+Eras!$U$4*INDEX(Curves!$C$27:$BV$27,AM$2-18+1)+Eras!$U$5*INDEX(Curves!$C$50:$BV$50,AM$2-18+1))</f>
        <v/>
      </c>
      <c r="AN23" s="5">
        <f>$B23*(Eras!$U$3*INDEX(Curves!$C$4:$BV$4,AN$2-18+1)+Eras!$U$4*INDEX(Curves!$C$27:$BV$27,AN$2-18+1)+Eras!$U$5*INDEX(Curves!$C$50:$BV$50,AN$2-18+1))</f>
        <v/>
      </c>
      <c r="AO23" s="5">
        <f>$B23*(Eras!$U$3*INDEX(Curves!$C$4:$BV$4,AO$2-18+1)+Eras!$U$4*INDEX(Curves!$C$27:$BV$27,AO$2-18+1)+Eras!$U$5*INDEX(Curves!$C$50:$BV$50,AO$2-18+1))</f>
        <v/>
      </c>
      <c r="AP23" s="5">
        <f>$B23*(Eras!$U$3*INDEX(Curves!$C$4:$BV$4,AP$2-18+1)+Eras!$U$4*INDEX(Curves!$C$27:$BV$27,AP$2-18+1)+Eras!$U$5*INDEX(Curves!$C$50:$BV$50,AP$2-18+1))</f>
        <v/>
      </c>
      <c r="AQ23" s="5">
        <f>$B23*(Eras!$U$3*INDEX(Curves!$C$4:$BV$4,AQ$2-18+1)+Eras!$U$4*INDEX(Curves!$C$27:$BV$27,AQ$2-18+1)+Eras!$U$5*INDEX(Curves!$C$50:$BV$50,AQ$2-18+1))</f>
        <v/>
      </c>
      <c r="AR23" s="5">
        <f>$B23*(Eras!$U$3*INDEX(Curves!$C$4:$BV$4,AR$2-18+1)+Eras!$U$4*INDEX(Curves!$C$27:$BV$27,AR$2-18+1)+Eras!$U$5*INDEX(Curves!$C$50:$BV$50,AR$2-18+1))</f>
        <v/>
      </c>
      <c r="AS23" s="5">
        <f>$B23*(Eras!$U$3*INDEX(Curves!$C$4:$BV$4,AS$2-18+1)+Eras!$U$4*INDEX(Curves!$C$27:$BV$27,AS$2-18+1)+Eras!$U$5*INDEX(Curves!$C$50:$BV$50,AS$2-18+1))</f>
        <v/>
      </c>
      <c r="AT23" s="5">
        <f>$B23*(Eras!$U$3*INDEX(Curves!$C$4:$BV$4,AT$2-18+1)+Eras!$U$4*INDEX(Curves!$C$27:$BV$27,AT$2-18+1)+Eras!$U$5*INDEX(Curves!$C$50:$BV$50,AT$2-18+1))</f>
        <v/>
      </c>
      <c r="AU23" s="5">
        <f>$B23*(Eras!$U$3*INDEX(Curves!$C$4:$BV$4,AU$2-18+1)+Eras!$U$4*INDEX(Curves!$C$27:$BV$27,AU$2-18+1)+Eras!$U$5*INDEX(Curves!$C$50:$BV$50,AU$2-18+1))</f>
        <v/>
      </c>
      <c r="AV23" s="5">
        <f>$B23*(Eras!$U$3*INDEX(Curves!$C$4:$BV$4,AV$2-18+1)+Eras!$U$4*INDEX(Curves!$C$27:$BV$27,AV$2-18+1)+Eras!$U$5*INDEX(Curves!$C$50:$BV$50,AV$2-18+1))</f>
        <v/>
      </c>
      <c r="AW23" s="5">
        <f>$B23*(Eras!$U$3*INDEX(Curves!$C$4:$BV$4,AW$2-18+1)+Eras!$U$4*INDEX(Curves!$C$27:$BV$27,AW$2-18+1)+Eras!$U$5*INDEX(Curves!$C$50:$BV$50,AW$2-18+1))</f>
        <v/>
      </c>
      <c r="AX23" s="5">
        <f>$B23*(Eras!$U$3*INDEX(Curves!$C$4:$BV$4,AX$2-18+1)+Eras!$U$4*INDEX(Curves!$C$27:$BV$27,AX$2-18+1)+Eras!$U$5*INDEX(Curves!$C$50:$BV$50,AX$2-18+1))</f>
        <v/>
      </c>
      <c r="AY23" s="5">
        <f>$B23*(Eras!$U$3*INDEX(Curves!$C$4:$BV$4,AY$2-18+1)+Eras!$U$4*INDEX(Curves!$C$27:$BV$27,AY$2-18+1)+Eras!$U$5*INDEX(Curves!$C$50:$BV$50,AY$2-18+1))</f>
        <v/>
      </c>
      <c r="AZ23" s="5">
        <f>$B23*(Eras!$U$3*INDEX(Curves!$C$4:$BV$4,AZ$2-18+1)+Eras!$U$4*INDEX(Curves!$C$27:$BV$27,AZ$2-18+1)+Eras!$U$5*INDEX(Curves!$C$50:$BV$50,AZ$2-18+1))</f>
        <v/>
      </c>
      <c r="BA23" s="5">
        <f>$B23*(Eras!$U$3*INDEX(Curves!$C$4:$BV$4,BA$2-18+1)+Eras!$U$4*INDEX(Curves!$C$27:$BV$27,BA$2-18+1)+Eras!$U$5*INDEX(Curves!$C$50:$BV$50,BA$2-18+1))</f>
        <v/>
      </c>
      <c r="BB23" s="5">
        <f>$B23*(Eras!$U$3*INDEX(Curves!$C$4:$BV$4,BB$2-18+1)+Eras!$U$4*INDEX(Curves!$C$27:$BV$27,BB$2-18+1)+Eras!$U$5*INDEX(Curves!$C$50:$BV$50,BB$2-18+1))</f>
        <v/>
      </c>
      <c r="BC23" s="5">
        <f>$B23*(Eras!$U$3*INDEX(Curves!$C$4:$BV$4,BC$2-18+1)+Eras!$U$4*INDEX(Curves!$C$27:$BV$27,BC$2-18+1)+Eras!$U$5*INDEX(Curves!$C$50:$BV$50,BC$2-18+1))</f>
        <v/>
      </c>
      <c r="BD23" s="5">
        <f>$B23*(Eras!$U$3*INDEX(Curves!$C$4:$BV$4,BD$2-18+1)+Eras!$U$4*INDEX(Curves!$C$27:$BV$27,BD$2-18+1)+Eras!$U$5*INDEX(Curves!$C$50:$BV$50,BD$2-18+1))</f>
        <v/>
      </c>
      <c r="BE23" s="5">
        <f>$B23*(Eras!$U$3*INDEX(Curves!$C$4:$BV$4,BE$2-18+1)+Eras!$U$4*INDEX(Curves!$C$27:$BV$27,BE$2-18+1)+Eras!$U$5*INDEX(Curves!$C$50:$BV$50,BE$2-18+1))</f>
        <v/>
      </c>
      <c r="BF23" s="5">
        <f>$B23*(Eras!$U$3*INDEX(Curves!$C$4:$BV$4,BF$2-18+1)+Eras!$U$4*INDEX(Curves!$C$27:$BV$27,BF$2-18+1)+Eras!$U$5*INDEX(Curves!$C$50:$BV$50,BF$2-18+1))</f>
        <v/>
      </c>
      <c r="BG23" s="5">
        <f>$B23*(Eras!$U$3*INDEX(Curves!$C$4:$BV$4,BG$2-18+1)+Eras!$U$4*INDEX(Curves!$C$27:$BV$27,BG$2-18+1)+Eras!$U$5*INDEX(Curves!$C$50:$BV$50,BG$2-18+1))</f>
        <v/>
      </c>
      <c r="BH23" s="5">
        <f>$B23*(Eras!$U$3*INDEX(Curves!$C$4:$BV$4,BH$2-18+1)+Eras!$U$4*INDEX(Curves!$C$27:$BV$27,BH$2-18+1)+Eras!$U$5*INDEX(Curves!$C$50:$BV$50,BH$2-18+1))</f>
        <v/>
      </c>
      <c r="BI23" s="5">
        <f>$B23*(Eras!$U$3*INDEX(Curves!$C$4:$BV$4,BI$2-18+1)+Eras!$U$4*INDEX(Curves!$C$27:$BV$27,BI$2-18+1)+Eras!$U$5*INDEX(Curves!$C$50:$BV$50,BI$2-18+1))</f>
        <v/>
      </c>
      <c r="BJ23" s="5">
        <f>$B23*(Eras!$U$3*INDEX(Curves!$C$4:$BV$4,BJ$2-18+1)+Eras!$U$4*INDEX(Curves!$C$27:$BV$27,BJ$2-18+1)+Eras!$U$5*INDEX(Curves!$C$50:$BV$50,BJ$2-18+1))</f>
        <v/>
      </c>
      <c r="BK23" s="5">
        <f>$B23*(Eras!$U$3*INDEX(Curves!$C$4:$BV$4,BK$2-18+1)+Eras!$U$4*INDEX(Curves!$C$27:$BV$27,BK$2-18+1)+Eras!$U$5*INDEX(Curves!$C$50:$BV$50,BK$2-18+1))</f>
        <v/>
      </c>
      <c r="BL23" s="5">
        <f>$B23*(Eras!$U$3*INDEX(Curves!$C$4:$BV$4,BL$2-18+1)+Eras!$U$4*INDEX(Curves!$C$27:$BV$27,BL$2-18+1)+Eras!$U$5*INDEX(Curves!$C$50:$BV$50,BL$2-18+1))</f>
        <v/>
      </c>
      <c r="BM23" s="5">
        <f>$B23*(Eras!$U$3*INDEX(Curves!$C$4:$BV$4,BM$2-18+1)+Eras!$U$4*INDEX(Curves!$C$27:$BV$27,BM$2-18+1)+Eras!$U$5*INDEX(Curves!$C$50:$BV$50,BM$2-18+1))</f>
        <v/>
      </c>
      <c r="BN23" s="5">
        <f>$B23*(Eras!$U$3*INDEX(Curves!$C$4:$BV$4,BN$2-18+1)+Eras!$U$4*INDEX(Curves!$C$27:$BV$27,BN$2-18+1)+Eras!$U$5*INDEX(Curves!$C$50:$BV$50,BN$2-18+1))</f>
        <v/>
      </c>
      <c r="BO23" s="5">
        <f>$B23*(Eras!$U$3*INDEX(Curves!$C$4:$BV$4,BO$2-18+1)+Eras!$U$4*INDEX(Curves!$C$27:$BV$27,BO$2-18+1)+Eras!$U$5*INDEX(Curves!$C$50:$BV$50,BO$2-18+1))</f>
        <v/>
      </c>
      <c r="BP23" s="5">
        <f>$B23*(Eras!$U$3*INDEX(Curves!$C$4:$BV$4,BP$2-18+1)+Eras!$U$4*INDEX(Curves!$C$27:$BV$27,BP$2-18+1)+Eras!$U$5*INDEX(Curves!$C$50:$BV$50,BP$2-18+1))</f>
        <v/>
      </c>
      <c r="BQ23" s="5">
        <f>$B23*(Eras!$U$3*INDEX(Curves!$C$4:$BV$4,BQ$2-18+1)+Eras!$U$4*INDEX(Curves!$C$27:$BV$27,BQ$2-18+1)+Eras!$U$5*INDEX(Curves!$C$50:$BV$50,BQ$2-18+1))</f>
        <v/>
      </c>
      <c r="BR23" s="5">
        <f>$B23*(Eras!$U$3*INDEX(Curves!$C$4:$BV$4,BR$2-18+1)+Eras!$U$4*INDEX(Curves!$C$27:$BV$27,BR$2-18+1)+Eras!$U$5*INDEX(Curves!$C$50:$BV$50,BR$2-18+1))</f>
        <v/>
      </c>
      <c r="BS23" s="5">
        <f>$B23*(Eras!$U$3*INDEX(Curves!$C$4:$BV$4,BS$2-18+1)+Eras!$U$4*INDEX(Curves!$C$27:$BV$27,BS$2-18+1)+Eras!$U$5*INDEX(Curves!$C$50:$BV$50,BS$2-18+1))</f>
        <v/>
      </c>
      <c r="BT23" s="5">
        <f>$B23*(Eras!$U$3*INDEX(Curves!$C$4:$BV$4,BT$2-18+1)+Eras!$U$4*INDEX(Curves!$C$27:$BV$27,BT$2-18+1)+Eras!$U$5*INDEX(Curves!$C$50:$BV$50,BT$2-18+1))</f>
        <v/>
      </c>
      <c r="BU23" s="5">
        <f>$B23*(Eras!$U$3*INDEX(Curves!$C$4:$BV$4,BU$2-18+1)+Eras!$U$4*INDEX(Curves!$C$27:$BV$27,BU$2-18+1)+Eras!$U$5*INDEX(Curves!$C$50:$BV$50,BU$2-18+1))</f>
        <v/>
      </c>
      <c r="BV23" s="5">
        <f>$B23*(Eras!$U$3*INDEX(Curves!$C$4:$BV$4,BV$2-18+1)+Eras!$U$4*INDEX(Curves!$C$27:$BV$27,BV$2-18+1)+Eras!$U$5*INDEX(Curves!$C$50:$BV$50,BV$2-18+1))</f>
        <v/>
      </c>
    </row>
    <row r="24">
      <c r="A24" t="inlineStr">
        <is>
          <t>cohort 2026-08</t>
        </is>
      </c>
      <c r="B24" s="5">
        <f>INDEX(Adds!$C$13:$BV$13,20)</f>
        <v/>
      </c>
      <c r="V24" s="5">
        <f>$B24*(Eras!$V$3*INDEX(Curves!$C$4:$BV$4,V$2-19+1)+Eras!$V$4*INDEX(Curves!$C$27:$BV$27,V$2-19+1)+Eras!$V$5*INDEX(Curves!$C$50:$BV$50,V$2-19+1))</f>
        <v/>
      </c>
      <c r="W24" s="5">
        <f>$B24*(Eras!$V$3*INDEX(Curves!$C$4:$BV$4,W$2-19+1)+Eras!$V$4*INDEX(Curves!$C$27:$BV$27,W$2-19+1)+Eras!$V$5*INDEX(Curves!$C$50:$BV$50,W$2-19+1))</f>
        <v/>
      </c>
      <c r="X24" s="5">
        <f>$B24*(Eras!$V$3*INDEX(Curves!$C$4:$BV$4,X$2-19+1)+Eras!$V$4*INDEX(Curves!$C$27:$BV$27,X$2-19+1)+Eras!$V$5*INDEX(Curves!$C$50:$BV$50,X$2-19+1))</f>
        <v/>
      </c>
      <c r="Y24" s="5">
        <f>$B24*(Eras!$V$3*INDEX(Curves!$C$4:$BV$4,Y$2-19+1)+Eras!$V$4*INDEX(Curves!$C$27:$BV$27,Y$2-19+1)+Eras!$V$5*INDEX(Curves!$C$50:$BV$50,Y$2-19+1))</f>
        <v/>
      </c>
      <c r="Z24" s="5">
        <f>$B24*(Eras!$V$3*INDEX(Curves!$C$4:$BV$4,Z$2-19+1)+Eras!$V$4*INDEX(Curves!$C$27:$BV$27,Z$2-19+1)+Eras!$V$5*INDEX(Curves!$C$50:$BV$50,Z$2-19+1))</f>
        <v/>
      </c>
      <c r="AA24" s="5">
        <f>$B24*(Eras!$V$3*INDEX(Curves!$C$4:$BV$4,AA$2-19+1)+Eras!$V$4*INDEX(Curves!$C$27:$BV$27,AA$2-19+1)+Eras!$V$5*INDEX(Curves!$C$50:$BV$50,AA$2-19+1))</f>
        <v/>
      </c>
      <c r="AB24" s="5">
        <f>$B24*(Eras!$V$3*INDEX(Curves!$C$4:$BV$4,AB$2-19+1)+Eras!$V$4*INDEX(Curves!$C$27:$BV$27,AB$2-19+1)+Eras!$V$5*INDEX(Curves!$C$50:$BV$50,AB$2-19+1))</f>
        <v/>
      </c>
      <c r="AC24" s="5">
        <f>$B24*(Eras!$V$3*INDEX(Curves!$C$4:$BV$4,AC$2-19+1)+Eras!$V$4*INDEX(Curves!$C$27:$BV$27,AC$2-19+1)+Eras!$V$5*INDEX(Curves!$C$50:$BV$50,AC$2-19+1))</f>
        <v/>
      </c>
      <c r="AD24" s="5">
        <f>$B24*(Eras!$V$3*INDEX(Curves!$C$4:$BV$4,AD$2-19+1)+Eras!$V$4*INDEX(Curves!$C$27:$BV$27,AD$2-19+1)+Eras!$V$5*INDEX(Curves!$C$50:$BV$50,AD$2-19+1))</f>
        <v/>
      </c>
      <c r="AE24" s="5">
        <f>$B24*(Eras!$V$3*INDEX(Curves!$C$4:$BV$4,AE$2-19+1)+Eras!$V$4*INDEX(Curves!$C$27:$BV$27,AE$2-19+1)+Eras!$V$5*INDEX(Curves!$C$50:$BV$50,AE$2-19+1))</f>
        <v/>
      </c>
      <c r="AF24" s="5">
        <f>$B24*(Eras!$V$3*INDEX(Curves!$C$4:$BV$4,AF$2-19+1)+Eras!$V$4*INDEX(Curves!$C$27:$BV$27,AF$2-19+1)+Eras!$V$5*INDEX(Curves!$C$50:$BV$50,AF$2-19+1))</f>
        <v/>
      </c>
      <c r="AG24" s="5">
        <f>$B24*(Eras!$V$3*INDEX(Curves!$C$4:$BV$4,AG$2-19+1)+Eras!$V$4*INDEX(Curves!$C$27:$BV$27,AG$2-19+1)+Eras!$V$5*INDEX(Curves!$C$50:$BV$50,AG$2-19+1))</f>
        <v/>
      </c>
      <c r="AH24" s="5">
        <f>$B24*(Eras!$V$3*INDEX(Curves!$C$4:$BV$4,AH$2-19+1)+Eras!$V$4*INDEX(Curves!$C$27:$BV$27,AH$2-19+1)+Eras!$V$5*INDEX(Curves!$C$50:$BV$50,AH$2-19+1))</f>
        <v/>
      </c>
      <c r="AI24" s="5">
        <f>$B24*(Eras!$V$3*INDEX(Curves!$C$4:$BV$4,AI$2-19+1)+Eras!$V$4*INDEX(Curves!$C$27:$BV$27,AI$2-19+1)+Eras!$V$5*INDEX(Curves!$C$50:$BV$50,AI$2-19+1))</f>
        <v/>
      </c>
      <c r="AJ24" s="5">
        <f>$B24*(Eras!$V$3*INDEX(Curves!$C$4:$BV$4,AJ$2-19+1)+Eras!$V$4*INDEX(Curves!$C$27:$BV$27,AJ$2-19+1)+Eras!$V$5*INDEX(Curves!$C$50:$BV$50,AJ$2-19+1))</f>
        <v/>
      </c>
      <c r="AK24" s="5">
        <f>$B24*(Eras!$V$3*INDEX(Curves!$C$4:$BV$4,AK$2-19+1)+Eras!$V$4*INDEX(Curves!$C$27:$BV$27,AK$2-19+1)+Eras!$V$5*INDEX(Curves!$C$50:$BV$50,AK$2-19+1))</f>
        <v/>
      </c>
      <c r="AL24" s="5">
        <f>$B24*(Eras!$V$3*INDEX(Curves!$C$4:$BV$4,AL$2-19+1)+Eras!$V$4*INDEX(Curves!$C$27:$BV$27,AL$2-19+1)+Eras!$V$5*INDEX(Curves!$C$50:$BV$50,AL$2-19+1))</f>
        <v/>
      </c>
      <c r="AM24" s="5">
        <f>$B24*(Eras!$V$3*INDEX(Curves!$C$4:$BV$4,AM$2-19+1)+Eras!$V$4*INDEX(Curves!$C$27:$BV$27,AM$2-19+1)+Eras!$V$5*INDEX(Curves!$C$50:$BV$50,AM$2-19+1))</f>
        <v/>
      </c>
      <c r="AN24" s="5">
        <f>$B24*(Eras!$V$3*INDEX(Curves!$C$4:$BV$4,AN$2-19+1)+Eras!$V$4*INDEX(Curves!$C$27:$BV$27,AN$2-19+1)+Eras!$V$5*INDEX(Curves!$C$50:$BV$50,AN$2-19+1))</f>
        <v/>
      </c>
      <c r="AO24" s="5">
        <f>$B24*(Eras!$V$3*INDEX(Curves!$C$4:$BV$4,AO$2-19+1)+Eras!$V$4*INDEX(Curves!$C$27:$BV$27,AO$2-19+1)+Eras!$V$5*INDEX(Curves!$C$50:$BV$50,AO$2-19+1))</f>
        <v/>
      </c>
      <c r="AP24" s="5">
        <f>$B24*(Eras!$V$3*INDEX(Curves!$C$4:$BV$4,AP$2-19+1)+Eras!$V$4*INDEX(Curves!$C$27:$BV$27,AP$2-19+1)+Eras!$V$5*INDEX(Curves!$C$50:$BV$50,AP$2-19+1))</f>
        <v/>
      </c>
      <c r="AQ24" s="5">
        <f>$B24*(Eras!$V$3*INDEX(Curves!$C$4:$BV$4,AQ$2-19+1)+Eras!$V$4*INDEX(Curves!$C$27:$BV$27,AQ$2-19+1)+Eras!$V$5*INDEX(Curves!$C$50:$BV$50,AQ$2-19+1))</f>
        <v/>
      </c>
      <c r="AR24" s="5">
        <f>$B24*(Eras!$V$3*INDEX(Curves!$C$4:$BV$4,AR$2-19+1)+Eras!$V$4*INDEX(Curves!$C$27:$BV$27,AR$2-19+1)+Eras!$V$5*INDEX(Curves!$C$50:$BV$50,AR$2-19+1))</f>
        <v/>
      </c>
      <c r="AS24" s="5">
        <f>$B24*(Eras!$V$3*INDEX(Curves!$C$4:$BV$4,AS$2-19+1)+Eras!$V$4*INDEX(Curves!$C$27:$BV$27,AS$2-19+1)+Eras!$V$5*INDEX(Curves!$C$50:$BV$50,AS$2-19+1))</f>
        <v/>
      </c>
      <c r="AT24" s="5">
        <f>$B24*(Eras!$V$3*INDEX(Curves!$C$4:$BV$4,AT$2-19+1)+Eras!$V$4*INDEX(Curves!$C$27:$BV$27,AT$2-19+1)+Eras!$V$5*INDEX(Curves!$C$50:$BV$50,AT$2-19+1))</f>
        <v/>
      </c>
      <c r="AU24" s="5">
        <f>$B24*(Eras!$V$3*INDEX(Curves!$C$4:$BV$4,AU$2-19+1)+Eras!$V$4*INDEX(Curves!$C$27:$BV$27,AU$2-19+1)+Eras!$V$5*INDEX(Curves!$C$50:$BV$50,AU$2-19+1))</f>
        <v/>
      </c>
      <c r="AV24" s="5">
        <f>$B24*(Eras!$V$3*INDEX(Curves!$C$4:$BV$4,AV$2-19+1)+Eras!$V$4*INDEX(Curves!$C$27:$BV$27,AV$2-19+1)+Eras!$V$5*INDEX(Curves!$C$50:$BV$50,AV$2-19+1))</f>
        <v/>
      </c>
      <c r="AW24" s="5">
        <f>$B24*(Eras!$V$3*INDEX(Curves!$C$4:$BV$4,AW$2-19+1)+Eras!$V$4*INDEX(Curves!$C$27:$BV$27,AW$2-19+1)+Eras!$V$5*INDEX(Curves!$C$50:$BV$50,AW$2-19+1))</f>
        <v/>
      </c>
      <c r="AX24" s="5">
        <f>$B24*(Eras!$V$3*INDEX(Curves!$C$4:$BV$4,AX$2-19+1)+Eras!$V$4*INDEX(Curves!$C$27:$BV$27,AX$2-19+1)+Eras!$V$5*INDEX(Curves!$C$50:$BV$50,AX$2-19+1))</f>
        <v/>
      </c>
      <c r="AY24" s="5">
        <f>$B24*(Eras!$V$3*INDEX(Curves!$C$4:$BV$4,AY$2-19+1)+Eras!$V$4*INDEX(Curves!$C$27:$BV$27,AY$2-19+1)+Eras!$V$5*INDEX(Curves!$C$50:$BV$50,AY$2-19+1))</f>
        <v/>
      </c>
      <c r="AZ24" s="5">
        <f>$B24*(Eras!$V$3*INDEX(Curves!$C$4:$BV$4,AZ$2-19+1)+Eras!$V$4*INDEX(Curves!$C$27:$BV$27,AZ$2-19+1)+Eras!$V$5*INDEX(Curves!$C$50:$BV$50,AZ$2-19+1))</f>
        <v/>
      </c>
      <c r="BA24" s="5">
        <f>$B24*(Eras!$V$3*INDEX(Curves!$C$4:$BV$4,BA$2-19+1)+Eras!$V$4*INDEX(Curves!$C$27:$BV$27,BA$2-19+1)+Eras!$V$5*INDEX(Curves!$C$50:$BV$50,BA$2-19+1))</f>
        <v/>
      </c>
      <c r="BB24" s="5">
        <f>$B24*(Eras!$V$3*INDEX(Curves!$C$4:$BV$4,BB$2-19+1)+Eras!$V$4*INDEX(Curves!$C$27:$BV$27,BB$2-19+1)+Eras!$V$5*INDEX(Curves!$C$50:$BV$50,BB$2-19+1))</f>
        <v/>
      </c>
      <c r="BC24" s="5">
        <f>$B24*(Eras!$V$3*INDEX(Curves!$C$4:$BV$4,BC$2-19+1)+Eras!$V$4*INDEX(Curves!$C$27:$BV$27,BC$2-19+1)+Eras!$V$5*INDEX(Curves!$C$50:$BV$50,BC$2-19+1))</f>
        <v/>
      </c>
      <c r="BD24" s="5">
        <f>$B24*(Eras!$V$3*INDEX(Curves!$C$4:$BV$4,BD$2-19+1)+Eras!$V$4*INDEX(Curves!$C$27:$BV$27,BD$2-19+1)+Eras!$V$5*INDEX(Curves!$C$50:$BV$50,BD$2-19+1))</f>
        <v/>
      </c>
      <c r="BE24" s="5">
        <f>$B24*(Eras!$V$3*INDEX(Curves!$C$4:$BV$4,BE$2-19+1)+Eras!$V$4*INDEX(Curves!$C$27:$BV$27,BE$2-19+1)+Eras!$V$5*INDEX(Curves!$C$50:$BV$50,BE$2-19+1))</f>
        <v/>
      </c>
      <c r="BF24" s="5">
        <f>$B24*(Eras!$V$3*INDEX(Curves!$C$4:$BV$4,BF$2-19+1)+Eras!$V$4*INDEX(Curves!$C$27:$BV$27,BF$2-19+1)+Eras!$V$5*INDEX(Curves!$C$50:$BV$50,BF$2-19+1))</f>
        <v/>
      </c>
      <c r="BG24" s="5">
        <f>$B24*(Eras!$V$3*INDEX(Curves!$C$4:$BV$4,BG$2-19+1)+Eras!$V$4*INDEX(Curves!$C$27:$BV$27,BG$2-19+1)+Eras!$V$5*INDEX(Curves!$C$50:$BV$50,BG$2-19+1))</f>
        <v/>
      </c>
      <c r="BH24" s="5">
        <f>$B24*(Eras!$V$3*INDEX(Curves!$C$4:$BV$4,BH$2-19+1)+Eras!$V$4*INDEX(Curves!$C$27:$BV$27,BH$2-19+1)+Eras!$V$5*INDEX(Curves!$C$50:$BV$50,BH$2-19+1))</f>
        <v/>
      </c>
      <c r="BI24" s="5">
        <f>$B24*(Eras!$V$3*INDEX(Curves!$C$4:$BV$4,BI$2-19+1)+Eras!$V$4*INDEX(Curves!$C$27:$BV$27,BI$2-19+1)+Eras!$V$5*INDEX(Curves!$C$50:$BV$50,BI$2-19+1))</f>
        <v/>
      </c>
      <c r="BJ24" s="5">
        <f>$B24*(Eras!$V$3*INDEX(Curves!$C$4:$BV$4,BJ$2-19+1)+Eras!$V$4*INDEX(Curves!$C$27:$BV$27,BJ$2-19+1)+Eras!$V$5*INDEX(Curves!$C$50:$BV$50,BJ$2-19+1))</f>
        <v/>
      </c>
      <c r="BK24" s="5">
        <f>$B24*(Eras!$V$3*INDEX(Curves!$C$4:$BV$4,BK$2-19+1)+Eras!$V$4*INDEX(Curves!$C$27:$BV$27,BK$2-19+1)+Eras!$V$5*INDEX(Curves!$C$50:$BV$50,BK$2-19+1))</f>
        <v/>
      </c>
      <c r="BL24" s="5">
        <f>$B24*(Eras!$V$3*INDEX(Curves!$C$4:$BV$4,BL$2-19+1)+Eras!$V$4*INDEX(Curves!$C$27:$BV$27,BL$2-19+1)+Eras!$V$5*INDEX(Curves!$C$50:$BV$50,BL$2-19+1))</f>
        <v/>
      </c>
      <c r="BM24" s="5">
        <f>$B24*(Eras!$V$3*INDEX(Curves!$C$4:$BV$4,BM$2-19+1)+Eras!$V$4*INDEX(Curves!$C$27:$BV$27,BM$2-19+1)+Eras!$V$5*INDEX(Curves!$C$50:$BV$50,BM$2-19+1))</f>
        <v/>
      </c>
      <c r="BN24" s="5">
        <f>$B24*(Eras!$V$3*INDEX(Curves!$C$4:$BV$4,BN$2-19+1)+Eras!$V$4*INDEX(Curves!$C$27:$BV$27,BN$2-19+1)+Eras!$V$5*INDEX(Curves!$C$50:$BV$50,BN$2-19+1))</f>
        <v/>
      </c>
      <c r="BO24" s="5">
        <f>$B24*(Eras!$V$3*INDEX(Curves!$C$4:$BV$4,BO$2-19+1)+Eras!$V$4*INDEX(Curves!$C$27:$BV$27,BO$2-19+1)+Eras!$V$5*INDEX(Curves!$C$50:$BV$50,BO$2-19+1))</f>
        <v/>
      </c>
      <c r="BP24" s="5">
        <f>$B24*(Eras!$V$3*INDEX(Curves!$C$4:$BV$4,BP$2-19+1)+Eras!$V$4*INDEX(Curves!$C$27:$BV$27,BP$2-19+1)+Eras!$V$5*INDEX(Curves!$C$50:$BV$50,BP$2-19+1))</f>
        <v/>
      </c>
      <c r="BQ24" s="5">
        <f>$B24*(Eras!$V$3*INDEX(Curves!$C$4:$BV$4,BQ$2-19+1)+Eras!$V$4*INDEX(Curves!$C$27:$BV$27,BQ$2-19+1)+Eras!$V$5*INDEX(Curves!$C$50:$BV$50,BQ$2-19+1))</f>
        <v/>
      </c>
      <c r="BR24" s="5">
        <f>$B24*(Eras!$V$3*INDEX(Curves!$C$4:$BV$4,BR$2-19+1)+Eras!$V$4*INDEX(Curves!$C$27:$BV$27,BR$2-19+1)+Eras!$V$5*INDEX(Curves!$C$50:$BV$50,BR$2-19+1))</f>
        <v/>
      </c>
      <c r="BS24" s="5">
        <f>$B24*(Eras!$V$3*INDEX(Curves!$C$4:$BV$4,BS$2-19+1)+Eras!$V$4*INDEX(Curves!$C$27:$BV$27,BS$2-19+1)+Eras!$V$5*INDEX(Curves!$C$50:$BV$50,BS$2-19+1))</f>
        <v/>
      </c>
      <c r="BT24" s="5">
        <f>$B24*(Eras!$V$3*INDEX(Curves!$C$4:$BV$4,BT$2-19+1)+Eras!$V$4*INDEX(Curves!$C$27:$BV$27,BT$2-19+1)+Eras!$V$5*INDEX(Curves!$C$50:$BV$50,BT$2-19+1))</f>
        <v/>
      </c>
      <c r="BU24" s="5">
        <f>$B24*(Eras!$V$3*INDEX(Curves!$C$4:$BV$4,BU$2-19+1)+Eras!$V$4*INDEX(Curves!$C$27:$BV$27,BU$2-19+1)+Eras!$V$5*INDEX(Curves!$C$50:$BV$50,BU$2-19+1))</f>
        <v/>
      </c>
      <c r="BV24" s="5">
        <f>$B24*(Eras!$V$3*INDEX(Curves!$C$4:$BV$4,BV$2-19+1)+Eras!$V$4*INDEX(Curves!$C$27:$BV$27,BV$2-19+1)+Eras!$V$5*INDEX(Curves!$C$50:$BV$50,BV$2-19+1))</f>
        <v/>
      </c>
    </row>
    <row r="25">
      <c r="A25" t="inlineStr">
        <is>
          <t>cohort 2026-09</t>
        </is>
      </c>
      <c r="B25" s="5">
        <f>INDEX(Adds!$C$13:$BV$13,21)</f>
        <v/>
      </c>
      <c r="W25" s="5">
        <f>$B25*(Eras!$W$3*INDEX(Curves!$C$4:$BV$4,W$2-20+1)+Eras!$W$4*INDEX(Curves!$C$27:$BV$27,W$2-20+1)+Eras!$W$5*INDEX(Curves!$C$50:$BV$50,W$2-20+1))</f>
        <v/>
      </c>
      <c r="X25" s="5">
        <f>$B25*(Eras!$W$3*INDEX(Curves!$C$4:$BV$4,X$2-20+1)+Eras!$W$4*INDEX(Curves!$C$27:$BV$27,X$2-20+1)+Eras!$W$5*INDEX(Curves!$C$50:$BV$50,X$2-20+1))</f>
        <v/>
      </c>
      <c r="Y25" s="5">
        <f>$B25*(Eras!$W$3*INDEX(Curves!$C$4:$BV$4,Y$2-20+1)+Eras!$W$4*INDEX(Curves!$C$27:$BV$27,Y$2-20+1)+Eras!$W$5*INDEX(Curves!$C$50:$BV$50,Y$2-20+1))</f>
        <v/>
      </c>
      <c r="Z25" s="5">
        <f>$B25*(Eras!$W$3*INDEX(Curves!$C$4:$BV$4,Z$2-20+1)+Eras!$W$4*INDEX(Curves!$C$27:$BV$27,Z$2-20+1)+Eras!$W$5*INDEX(Curves!$C$50:$BV$50,Z$2-20+1))</f>
        <v/>
      </c>
      <c r="AA25" s="5">
        <f>$B25*(Eras!$W$3*INDEX(Curves!$C$4:$BV$4,AA$2-20+1)+Eras!$W$4*INDEX(Curves!$C$27:$BV$27,AA$2-20+1)+Eras!$W$5*INDEX(Curves!$C$50:$BV$50,AA$2-20+1))</f>
        <v/>
      </c>
      <c r="AB25" s="5">
        <f>$B25*(Eras!$W$3*INDEX(Curves!$C$4:$BV$4,AB$2-20+1)+Eras!$W$4*INDEX(Curves!$C$27:$BV$27,AB$2-20+1)+Eras!$W$5*INDEX(Curves!$C$50:$BV$50,AB$2-20+1))</f>
        <v/>
      </c>
      <c r="AC25" s="5">
        <f>$B25*(Eras!$W$3*INDEX(Curves!$C$4:$BV$4,AC$2-20+1)+Eras!$W$4*INDEX(Curves!$C$27:$BV$27,AC$2-20+1)+Eras!$W$5*INDEX(Curves!$C$50:$BV$50,AC$2-20+1))</f>
        <v/>
      </c>
      <c r="AD25" s="5">
        <f>$B25*(Eras!$W$3*INDEX(Curves!$C$4:$BV$4,AD$2-20+1)+Eras!$W$4*INDEX(Curves!$C$27:$BV$27,AD$2-20+1)+Eras!$W$5*INDEX(Curves!$C$50:$BV$50,AD$2-20+1))</f>
        <v/>
      </c>
      <c r="AE25" s="5">
        <f>$B25*(Eras!$W$3*INDEX(Curves!$C$4:$BV$4,AE$2-20+1)+Eras!$W$4*INDEX(Curves!$C$27:$BV$27,AE$2-20+1)+Eras!$W$5*INDEX(Curves!$C$50:$BV$50,AE$2-20+1))</f>
        <v/>
      </c>
      <c r="AF25" s="5">
        <f>$B25*(Eras!$W$3*INDEX(Curves!$C$4:$BV$4,AF$2-20+1)+Eras!$W$4*INDEX(Curves!$C$27:$BV$27,AF$2-20+1)+Eras!$W$5*INDEX(Curves!$C$50:$BV$50,AF$2-20+1))</f>
        <v/>
      </c>
      <c r="AG25" s="5">
        <f>$B25*(Eras!$W$3*INDEX(Curves!$C$4:$BV$4,AG$2-20+1)+Eras!$W$4*INDEX(Curves!$C$27:$BV$27,AG$2-20+1)+Eras!$W$5*INDEX(Curves!$C$50:$BV$50,AG$2-20+1))</f>
        <v/>
      </c>
      <c r="AH25" s="5">
        <f>$B25*(Eras!$W$3*INDEX(Curves!$C$4:$BV$4,AH$2-20+1)+Eras!$W$4*INDEX(Curves!$C$27:$BV$27,AH$2-20+1)+Eras!$W$5*INDEX(Curves!$C$50:$BV$50,AH$2-20+1))</f>
        <v/>
      </c>
      <c r="AI25" s="5">
        <f>$B25*(Eras!$W$3*INDEX(Curves!$C$4:$BV$4,AI$2-20+1)+Eras!$W$4*INDEX(Curves!$C$27:$BV$27,AI$2-20+1)+Eras!$W$5*INDEX(Curves!$C$50:$BV$50,AI$2-20+1))</f>
        <v/>
      </c>
      <c r="AJ25" s="5">
        <f>$B25*(Eras!$W$3*INDEX(Curves!$C$4:$BV$4,AJ$2-20+1)+Eras!$W$4*INDEX(Curves!$C$27:$BV$27,AJ$2-20+1)+Eras!$W$5*INDEX(Curves!$C$50:$BV$50,AJ$2-20+1))</f>
        <v/>
      </c>
      <c r="AK25" s="5">
        <f>$B25*(Eras!$W$3*INDEX(Curves!$C$4:$BV$4,AK$2-20+1)+Eras!$W$4*INDEX(Curves!$C$27:$BV$27,AK$2-20+1)+Eras!$W$5*INDEX(Curves!$C$50:$BV$50,AK$2-20+1))</f>
        <v/>
      </c>
      <c r="AL25" s="5">
        <f>$B25*(Eras!$W$3*INDEX(Curves!$C$4:$BV$4,AL$2-20+1)+Eras!$W$4*INDEX(Curves!$C$27:$BV$27,AL$2-20+1)+Eras!$W$5*INDEX(Curves!$C$50:$BV$50,AL$2-20+1))</f>
        <v/>
      </c>
      <c r="AM25" s="5">
        <f>$B25*(Eras!$W$3*INDEX(Curves!$C$4:$BV$4,AM$2-20+1)+Eras!$W$4*INDEX(Curves!$C$27:$BV$27,AM$2-20+1)+Eras!$W$5*INDEX(Curves!$C$50:$BV$50,AM$2-20+1))</f>
        <v/>
      </c>
      <c r="AN25" s="5">
        <f>$B25*(Eras!$W$3*INDEX(Curves!$C$4:$BV$4,AN$2-20+1)+Eras!$W$4*INDEX(Curves!$C$27:$BV$27,AN$2-20+1)+Eras!$W$5*INDEX(Curves!$C$50:$BV$50,AN$2-20+1))</f>
        <v/>
      </c>
      <c r="AO25" s="5">
        <f>$B25*(Eras!$W$3*INDEX(Curves!$C$4:$BV$4,AO$2-20+1)+Eras!$W$4*INDEX(Curves!$C$27:$BV$27,AO$2-20+1)+Eras!$W$5*INDEX(Curves!$C$50:$BV$50,AO$2-20+1))</f>
        <v/>
      </c>
      <c r="AP25" s="5">
        <f>$B25*(Eras!$W$3*INDEX(Curves!$C$4:$BV$4,AP$2-20+1)+Eras!$W$4*INDEX(Curves!$C$27:$BV$27,AP$2-20+1)+Eras!$W$5*INDEX(Curves!$C$50:$BV$50,AP$2-20+1))</f>
        <v/>
      </c>
      <c r="AQ25" s="5">
        <f>$B25*(Eras!$W$3*INDEX(Curves!$C$4:$BV$4,AQ$2-20+1)+Eras!$W$4*INDEX(Curves!$C$27:$BV$27,AQ$2-20+1)+Eras!$W$5*INDEX(Curves!$C$50:$BV$50,AQ$2-20+1))</f>
        <v/>
      </c>
      <c r="AR25" s="5">
        <f>$B25*(Eras!$W$3*INDEX(Curves!$C$4:$BV$4,AR$2-20+1)+Eras!$W$4*INDEX(Curves!$C$27:$BV$27,AR$2-20+1)+Eras!$W$5*INDEX(Curves!$C$50:$BV$50,AR$2-20+1))</f>
        <v/>
      </c>
      <c r="AS25" s="5">
        <f>$B25*(Eras!$W$3*INDEX(Curves!$C$4:$BV$4,AS$2-20+1)+Eras!$W$4*INDEX(Curves!$C$27:$BV$27,AS$2-20+1)+Eras!$W$5*INDEX(Curves!$C$50:$BV$50,AS$2-20+1))</f>
        <v/>
      </c>
      <c r="AT25" s="5">
        <f>$B25*(Eras!$W$3*INDEX(Curves!$C$4:$BV$4,AT$2-20+1)+Eras!$W$4*INDEX(Curves!$C$27:$BV$27,AT$2-20+1)+Eras!$W$5*INDEX(Curves!$C$50:$BV$50,AT$2-20+1))</f>
        <v/>
      </c>
      <c r="AU25" s="5">
        <f>$B25*(Eras!$W$3*INDEX(Curves!$C$4:$BV$4,AU$2-20+1)+Eras!$W$4*INDEX(Curves!$C$27:$BV$27,AU$2-20+1)+Eras!$W$5*INDEX(Curves!$C$50:$BV$50,AU$2-20+1))</f>
        <v/>
      </c>
      <c r="AV25" s="5">
        <f>$B25*(Eras!$W$3*INDEX(Curves!$C$4:$BV$4,AV$2-20+1)+Eras!$W$4*INDEX(Curves!$C$27:$BV$27,AV$2-20+1)+Eras!$W$5*INDEX(Curves!$C$50:$BV$50,AV$2-20+1))</f>
        <v/>
      </c>
      <c r="AW25" s="5">
        <f>$B25*(Eras!$W$3*INDEX(Curves!$C$4:$BV$4,AW$2-20+1)+Eras!$W$4*INDEX(Curves!$C$27:$BV$27,AW$2-20+1)+Eras!$W$5*INDEX(Curves!$C$50:$BV$50,AW$2-20+1))</f>
        <v/>
      </c>
      <c r="AX25" s="5">
        <f>$B25*(Eras!$W$3*INDEX(Curves!$C$4:$BV$4,AX$2-20+1)+Eras!$W$4*INDEX(Curves!$C$27:$BV$27,AX$2-20+1)+Eras!$W$5*INDEX(Curves!$C$50:$BV$50,AX$2-20+1))</f>
        <v/>
      </c>
      <c r="AY25" s="5">
        <f>$B25*(Eras!$W$3*INDEX(Curves!$C$4:$BV$4,AY$2-20+1)+Eras!$W$4*INDEX(Curves!$C$27:$BV$27,AY$2-20+1)+Eras!$W$5*INDEX(Curves!$C$50:$BV$50,AY$2-20+1))</f>
        <v/>
      </c>
      <c r="AZ25" s="5">
        <f>$B25*(Eras!$W$3*INDEX(Curves!$C$4:$BV$4,AZ$2-20+1)+Eras!$W$4*INDEX(Curves!$C$27:$BV$27,AZ$2-20+1)+Eras!$W$5*INDEX(Curves!$C$50:$BV$50,AZ$2-20+1))</f>
        <v/>
      </c>
      <c r="BA25" s="5">
        <f>$B25*(Eras!$W$3*INDEX(Curves!$C$4:$BV$4,BA$2-20+1)+Eras!$W$4*INDEX(Curves!$C$27:$BV$27,BA$2-20+1)+Eras!$W$5*INDEX(Curves!$C$50:$BV$50,BA$2-20+1))</f>
        <v/>
      </c>
      <c r="BB25" s="5">
        <f>$B25*(Eras!$W$3*INDEX(Curves!$C$4:$BV$4,BB$2-20+1)+Eras!$W$4*INDEX(Curves!$C$27:$BV$27,BB$2-20+1)+Eras!$W$5*INDEX(Curves!$C$50:$BV$50,BB$2-20+1))</f>
        <v/>
      </c>
      <c r="BC25" s="5">
        <f>$B25*(Eras!$W$3*INDEX(Curves!$C$4:$BV$4,BC$2-20+1)+Eras!$W$4*INDEX(Curves!$C$27:$BV$27,BC$2-20+1)+Eras!$W$5*INDEX(Curves!$C$50:$BV$50,BC$2-20+1))</f>
        <v/>
      </c>
      <c r="BD25" s="5">
        <f>$B25*(Eras!$W$3*INDEX(Curves!$C$4:$BV$4,BD$2-20+1)+Eras!$W$4*INDEX(Curves!$C$27:$BV$27,BD$2-20+1)+Eras!$W$5*INDEX(Curves!$C$50:$BV$50,BD$2-20+1))</f>
        <v/>
      </c>
      <c r="BE25" s="5">
        <f>$B25*(Eras!$W$3*INDEX(Curves!$C$4:$BV$4,BE$2-20+1)+Eras!$W$4*INDEX(Curves!$C$27:$BV$27,BE$2-20+1)+Eras!$W$5*INDEX(Curves!$C$50:$BV$50,BE$2-20+1))</f>
        <v/>
      </c>
      <c r="BF25" s="5">
        <f>$B25*(Eras!$W$3*INDEX(Curves!$C$4:$BV$4,BF$2-20+1)+Eras!$W$4*INDEX(Curves!$C$27:$BV$27,BF$2-20+1)+Eras!$W$5*INDEX(Curves!$C$50:$BV$50,BF$2-20+1))</f>
        <v/>
      </c>
      <c r="BG25" s="5">
        <f>$B25*(Eras!$W$3*INDEX(Curves!$C$4:$BV$4,BG$2-20+1)+Eras!$W$4*INDEX(Curves!$C$27:$BV$27,BG$2-20+1)+Eras!$W$5*INDEX(Curves!$C$50:$BV$50,BG$2-20+1))</f>
        <v/>
      </c>
      <c r="BH25" s="5">
        <f>$B25*(Eras!$W$3*INDEX(Curves!$C$4:$BV$4,BH$2-20+1)+Eras!$W$4*INDEX(Curves!$C$27:$BV$27,BH$2-20+1)+Eras!$W$5*INDEX(Curves!$C$50:$BV$50,BH$2-20+1))</f>
        <v/>
      </c>
      <c r="BI25" s="5">
        <f>$B25*(Eras!$W$3*INDEX(Curves!$C$4:$BV$4,BI$2-20+1)+Eras!$W$4*INDEX(Curves!$C$27:$BV$27,BI$2-20+1)+Eras!$W$5*INDEX(Curves!$C$50:$BV$50,BI$2-20+1))</f>
        <v/>
      </c>
      <c r="BJ25" s="5">
        <f>$B25*(Eras!$W$3*INDEX(Curves!$C$4:$BV$4,BJ$2-20+1)+Eras!$W$4*INDEX(Curves!$C$27:$BV$27,BJ$2-20+1)+Eras!$W$5*INDEX(Curves!$C$50:$BV$50,BJ$2-20+1))</f>
        <v/>
      </c>
      <c r="BK25" s="5">
        <f>$B25*(Eras!$W$3*INDEX(Curves!$C$4:$BV$4,BK$2-20+1)+Eras!$W$4*INDEX(Curves!$C$27:$BV$27,BK$2-20+1)+Eras!$W$5*INDEX(Curves!$C$50:$BV$50,BK$2-20+1))</f>
        <v/>
      </c>
      <c r="BL25" s="5">
        <f>$B25*(Eras!$W$3*INDEX(Curves!$C$4:$BV$4,BL$2-20+1)+Eras!$W$4*INDEX(Curves!$C$27:$BV$27,BL$2-20+1)+Eras!$W$5*INDEX(Curves!$C$50:$BV$50,BL$2-20+1))</f>
        <v/>
      </c>
      <c r="BM25" s="5">
        <f>$B25*(Eras!$W$3*INDEX(Curves!$C$4:$BV$4,BM$2-20+1)+Eras!$W$4*INDEX(Curves!$C$27:$BV$27,BM$2-20+1)+Eras!$W$5*INDEX(Curves!$C$50:$BV$50,BM$2-20+1))</f>
        <v/>
      </c>
      <c r="BN25" s="5">
        <f>$B25*(Eras!$W$3*INDEX(Curves!$C$4:$BV$4,BN$2-20+1)+Eras!$W$4*INDEX(Curves!$C$27:$BV$27,BN$2-20+1)+Eras!$W$5*INDEX(Curves!$C$50:$BV$50,BN$2-20+1))</f>
        <v/>
      </c>
      <c r="BO25" s="5">
        <f>$B25*(Eras!$W$3*INDEX(Curves!$C$4:$BV$4,BO$2-20+1)+Eras!$W$4*INDEX(Curves!$C$27:$BV$27,BO$2-20+1)+Eras!$W$5*INDEX(Curves!$C$50:$BV$50,BO$2-20+1))</f>
        <v/>
      </c>
      <c r="BP25" s="5">
        <f>$B25*(Eras!$W$3*INDEX(Curves!$C$4:$BV$4,BP$2-20+1)+Eras!$W$4*INDEX(Curves!$C$27:$BV$27,BP$2-20+1)+Eras!$W$5*INDEX(Curves!$C$50:$BV$50,BP$2-20+1))</f>
        <v/>
      </c>
      <c r="BQ25" s="5">
        <f>$B25*(Eras!$W$3*INDEX(Curves!$C$4:$BV$4,BQ$2-20+1)+Eras!$W$4*INDEX(Curves!$C$27:$BV$27,BQ$2-20+1)+Eras!$W$5*INDEX(Curves!$C$50:$BV$50,BQ$2-20+1))</f>
        <v/>
      </c>
      <c r="BR25" s="5">
        <f>$B25*(Eras!$W$3*INDEX(Curves!$C$4:$BV$4,BR$2-20+1)+Eras!$W$4*INDEX(Curves!$C$27:$BV$27,BR$2-20+1)+Eras!$W$5*INDEX(Curves!$C$50:$BV$50,BR$2-20+1))</f>
        <v/>
      </c>
      <c r="BS25" s="5">
        <f>$B25*(Eras!$W$3*INDEX(Curves!$C$4:$BV$4,BS$2-20+1)+Eras!$W$4*INDEX(Curves!$C$27:$BV$27,BS$2-20+1)+Eras!$W$5*INDEX(Curves!$C$50:$BV$50,BS$2-20+1))</f>
        <v/>
      </c>
      <c r="BT25" s="5">
        <f>$B25*(Eras!$W$3*INDEX(Curves!$C$4:$BV$4,BT$2-20+1)+Eras!$W$4*INDEX(Curves!$C$27:$BV$27,BT$2-20+1)+Eras!$W$5*INDEX(Curves!$C$50:$BV$50,BT$2-20+1))</f>
        <v/>
      </c>
      <c r="BU25" s="5">
        <f>$B25*(Eras!$W$3*INDEX(Curves!$C$4:$BV$4,BU$2-20+1)+Eras!$W$4*INDEX(Curves!$C$27:$BV$27,BU$2-20+1)+Eras!$W$5*INDEX(Curves!$C$50:$BV$50,BU$2-20+1))</f>
        <v/>
      </c>
      <c r="BV25" s="5">
        <f>$B25*(Eras!$W$3*INDEX(Curves!$C$4:$BV$4,BV$2-20+1)+Eras!$W$4*INDEX(Curves!$C$27:$BV$27,BV$2-20+1)+Eras!$W$5*INDEX(Curves!$C$50:$BV$50,BV$2-20+1))</f>
        <v/>
      </c>
    </row>
    <row r="26">
      <c r="A26" t="inlineStr">
        <is>
          <t>cohort 2026-10</t>
        </is>
      </c>
      <c r="B26" s="5">
        <f>INDEX(Adds!$C$13:$BV$13,22)</f>
        <v/>
      </c>
      <c r="X26" s="5">
        <f>$B26*(Eras!$X$3*INDEX(Curves!$C$4:$BV$4,X$2-21+1)+Eras!$X$4*INDEX(Curves!$C$27:$BV$27,X$2-21+1)+Eras!$X$5*INDEX(Curves!$C$50:$BV$50,X$2-21+1))</f>
        <v/>
      </c>
      <c r="Y26" s="5">
        <f>$B26*(Eras!$X$3*INDEX(Curves!$C$4:$BV$4,Y$2-21+1)+Eras!$X$4*INDEX(Curves!$C$27:$BV$27,Y$2-21+1)+Eras!$X$5*INDEX(Curves!$C$50:$BV$50,Y$2-21+1))</f>
        <v/>
      </c>
      <c r="Z26" s="5">
        <f>$B26*(Eras!$X$3*INDEX(Curves!$C$4:$BV$4,Z$2-21+1)+Eras!$X$4*INDEX(Curves!$C$27:$BV$27,Z$2-21+1)+Eras!$X$5*INDEX(Curves!$C$50:$BV$50,Z$2-21+1))</f>
        <v/>
      </c>
      <c r="AA26" s="5">
        <f>$B26*(Eras!$X$3*INDEX(Curves!$C$4:$BV$4,AA$2-21+1)+Eras!$X$4*INDEX(Curves!$C$27:$BV$27,AA$2-21+1)+Eras!$X$5*INDEX(Curves!$C$50:$BV$50,AA$2-21+1))</f>
        <v/>
      </c>
      <c r="AB26" s="5">
        <f>$B26*(Eras!$X$3*INDEX(Curves!$C$4:$BV$4,AB$2-21+1)+Eras!$X$4*INDEX(Curves!$C$27:$BV$27,AB$2-21+1)+Eras!$X$5*INDEX(Curves!$C$50:$BV$50,AB$2-21+1))</f>
        <v/>
      </c>
      <c r="AC26" s="5">
        <f>$B26*(Eras!$X$3*INDEX(Curves!$C$4:$BV$4,AC$2-21+1)+Eras!$X$4*INDEX(Curves!$C$27:$BV$27,AC$2-21+1)+Eras!$X$5*INDEX(Curves!$C$50:$BV$50,AC$2-21+1))</f>
        <v/>
      </c>
      <c r="AD26" s="5">
        <f>$B26*(Eras!$X$3*INDEX(Curves!$C$4:$BV$4,AD$2-21+1)+Eras!$X$4*INDEX(Curves!$C$27:$BV$27,AD$2-21+1)+Eras!$X$5*INDEX(Curves!$C$50:$BV$50,AD$2-21+1))</f>
        <v/>
      </c>
      <c r="AE26" s="5">
        <f>$B26*(Eras!$X$3*INDEX(Curves!$C$4:$BV$4,AE$2-21+1)+Eras!$X$4*INDEX(Curves!$C$27:$BV$27,AE$2-21+1)+Eras!$X$5*INDEX(Curves!$C$50:$BV$50,AE$2-21+1))</f>
        <v/>
      </c>
      <c r="AF26" s="5">
        <f>$B26*(Eras!$X$3*INDEX(Curves!$C$4:$BV$4,AF$2-21+1)+Eras!$X$4*INDEX(Curves!$C$27:$BV$27,AF$2-21+1)+Eras!$X$5*INDEX(Curves!$C$50:$BV$50,AF$2-21+1))</f>
        <v/>
      </c>
      <c r="AG26" s="5">
        <f>$B26*(Eras!$X$3*INDEX(Curves!$C$4:$BV$4,AG$2-21+1)+Eras!$X$4*INDEX(Curves!$C$27:$BV$27,AG$2-21+1)+Eras!$X$5*INDEX(Curves!$C$50:$BV$50,AG$2-21+1))</f>
        <v/>
      </c>
      <c r="AH26" s="5">
        <f>$B26*(Eras!$X$3*INDEX(Curves!$C$4:$BV$4,AH$2-21+1)+Eras!$X$4*INDEX(Curves!$C$27:$BV$27,AH$2-21+1)+Eras!$X$5*INDEX(Curves!$C$50:$BV$50,AH$2-21+1))</f>
        <v/>
      </c>
      <c r="AI26" s="5">
        <f>$B26*(Eras!$X$3*INDEX(Curves!$C$4:$BV$4,AI$2-21+1)+Eras!$X$4*INDEX(Curves!$C$27:$BV$27,AI$2-21+1)+Eras!$X$5*INDEX(Curves!$C$50:$BV$50,AI$2-21+1))</f>
        <v/>
      </c>
      <c r="AJ26" s="5">
        <f>$B26*(Eras!$X$3*INDEX(Curves!$C$4:$BV$4,AJ$2-21+1)+Eras!$X$4*INDEX(Curves!$C$27:$BV$27,AJ$2-21+1)+Eras!$X$5*INDEX(Curves!$C$50:$BV$50,AJ$2-21+1))</f>
        <v/>
      </c>
      <c r="AK26" s="5">
        <f>$B26*(Eras!$X$3*INDEX(Curves!$C$4:$BV$4,AK$2-21+1)+Eras!$X$4*INDEX(Curves!$C$27:$BV$27,AK$2-21+1)+Eras!$X$5*INDEX(Curves!$C$50:$BV$50,AK$2-21+1))</f>
        <v/>
      </c>
      <c r="AL26" s="5">
        <f>$B26*(Eras!$X$3*INDEX(Curves!$C$4:$BV$4,AL$2-21+1)+Eras!$X$4*INDEX(Curves!$C$27:$BV$27,AL$2-21+1)+Eras!$X$5*INDEX(Curves!$C$50:$BV$50,AL$2-21+1))</f>
        <v/>
      </c>
      <c r="AM26" s="5">
        <f>$B26*(Eras!$X$3*INDEX(Curves!$C$4:$BV$4,AM$2-21+1)+Eras!$X$4*INDEX(Curves!$C$27:$BV$27,AM$2-21+1)+Eras!$X$5*INDEX(Curves!$C$50:$BV$50,AM$2-21+1))</f>
        <v/>
      </c>
      <c r="AN26" s="5">
        <f>$B26*(Eras!$X$3*INDEX(Curves!$C$4:$BV$4,AN$2-21+1)+Eras!$X$4*INDEX(Curves!$C$27:$BV$27,AN$2-21+1)+Eras!$X$5*INDEX(Curves!$C$50:$BV$50,AN$2-21+1))</f>
        <v/>
      </c>
      <c r="AO26" s="5">
        <f>$B26*(Eras!$X$3*INDEX(Curves!$C$4:$BV$4,AO$2-21+1)+Eras!$X$4*INDEX(Curves!$C$27:$BV$27,AO$2-21+1)+Eras!$X$5*INDEX(Curves!$C$50:$BV$50,AO$2-21+1))</f>
        <v/>
      </c>
      <c r="AP26" s="5">
        <f>$B26*(Eras!$X$3*INDEX(Curves!$C$4:$BV$4,AP$2-21+1)+Eras!$X$4*INDEX(Curves!$C$27:$BV$27,AP$2-21+1)+Eras!$X$5*INDEX(Curves!$C$50:$BV$50,AP$2-21+1))</f>
        <v/>
      </c>
      <c r="AQ26" s="5">
        <f>$B26*(Eras!$X$3*INDEX(Curves!$C$4:$BV$4,AQ$2-21+1)+Eras!$X$4*INDEX(Curves!$C$27:$BV$27,AQ$2-21+1)+Eras!$X$5*INDEX(Curves!$C$50:$BV$50,AQ$2-21+1))</f>
        <v/>
      </c>
      <c r="AR26" s="5">
        <f>$B26*(Eras!$X$3*INDEX(Curves!$C$4:$BV$4,AR$2-21+1)+Eras!$X$4*INDEX(Curves!$C$27:$BV$27,AR$2-21+1)+Eras!$X$5*INDEX(Curves!$C$50:$BV$50,AR$2-21+1))</f>
        <v/>
      </c>
      <c r="AS26" s="5">
        <f>$B26*(Eras!$X$3*INDEX(Curves!$C$4:$BV$4,AS$2-21+1)+Eras!$X$4*INDEX(Curves!$C$27:$BV$27,AS$2-21+1)+Eras!$X$5*INDEX(Curves!$C$50:$BV$50,AS$2-21+1))</f>
        <v/>
      </c>
      <c r="AT26" s="5">
        <f>$B26*(Eras!$X$3*INDEX(Curves!$C$4:$BV$4,AT$2-21+1)+Eras!$X$4*INDEX(Curves!$C$27:$BV$27,AT$2-21+1)+Eras!$X$5*INDEX(Curves!$C$50:$BV$50,AT$2-21+1))</f>
        <v/>
      </c>
      <c r="AU26" s="5">
        <f>$B26*(Eras!$X$3*INDEX(Curves!$C$4:$BV$4,AU$2-21+1)+Eras!$X$4*INDEX(Curves!$C$27:$BV$27,AU$2-21+1)+Eras!$X$5*INDEX(Curves!$C$50:$BV$50,AU$2-21+1))</f>
        <v/>
      </c>
      <c r="AV26" s="5">
        <f>$B26*(Eras!$X$3*INDEX(Curves!$C$4:$BV$4,AV$2-21+1)+Eras!$X$4*INDEX(Curves!$C$27:$BV$27,AV$2-21+1)+Eras!$X$5*INDEX(Curves!$C$50:$BV$50,AV$2-21+1))</f>
        <v/>
      </c>
      <c r="AW26" s="5">
        <f>$B26*(Eras!$X$3*INDEX(Curves!$C$4:$BV$4,AW$2-21+1)+Eras!$X$4*INDEX(Curves!$C$27:$BV$27,AW$2-21+1)+Eras!$X$5*INDEX(Curves!$C$50:$BV$50,AW$2-21+1))</f>
        <v/>
      </c>
      <c r="AX26" s="5">
        <f>$B26*(Eras!$X$3*INDEX(Curves!$C$4:$BV$4,AX$2-21+1)+Eras!$X$4*INDEX(Curves!$C$27:$BV$27,AX$2-21+1)+Eras!$X$5*INDEX(Curves!$C$50:$BV$50,AX$2-21+1))</f>
        <v/>
      </c>
      <c r="AY26" s="5">
        <f>$B26*(Eras!$X$3*INDEX(Curves!$C$4:$BV$4,AY$2-21+1)+Eras!$X$4*INDEX(Curves!$C$27:$BV$27,AY$2-21+1)+Eras!$X$5*INDEX(Curves!$C$50:$BV$50,AY$2-21+1))</f>
        <v/>
      </c>
      <c r="AZ26" s="5">
        <f>$B26*(Eras!$X$3*INDEX(Curves!$C$4:$BV$4,AZ$2-21+1)+Eras!$X$4*INDEX(Curves!$C$27:$BV$27,AZ$2-21+1)+Eras!$X$5*INDEX(Curves!$C$50:$BV$50,AZ$2-21+1))</f>
        <v/>
      </c>
      <c r="BA26" s="5">
        <f>$B26*(Eras!$X$3*INDEX(Curves!$C$4:$BV$4,BA$2-21+1)+Eras!$X$4*INDEX(Curves!$C$27:$BV$27,BA$2-21+1)+Eras!$X$5*INDEX(Curves!$C$50:$BV$50,BA$2-21+1))</f>
        <v/>
      </c>
      <c r="BB26" s="5">
        <f>$B26*(Eras!$X$3*INDEX(Curves!$C$4:$BV$4,BB$2-21+1)+Eras!$X$4*INDEX(Curves!$C$27:$BV$27,BB$2-21+1)+Eras!$X$5*INDEX(Curves!$C$50:$BV$50,BB$2-21+1))</f>
        <v/>
      </c>
      <c r="BC26" s="5">
        <f>$B26*(Eras!$X$3*INDEX(Curves!$C$4:$BV$4,BC$2-21+1)+Eras!$X$4*INDEX(Curves!$C$27:$BV$27,BC$2-21+1)+Eras!$X$5*INDEX(Curves!$C$50:$BV$50,BC$2-21+1))</f>
        <v/>
      </c>
      <c r="BD26" s="5">
        <f>$B26*(Eras!$X$3*INDEX(Curves!$C$4:$BV$4,BD$2-21+1)+Eras!$X$4*INDEX(Curves!$C$27:$BV$27,BD$2-21+1)+Eras!$X$5*INDEX(Curves!$C$50:$BV$50,BD$2-21+1))</f>
        <v/>
      </c>
      <c r="BE26" s="5">
        <f>$B26*(Eras!$X$3*INDEX(Curves!$C$4:$BV$4,BE$2-21+1)+Eras!$X$4*INDEX(Curves!$C$27:$BV$27,BE$2-21+1)+Eras!$X$5*INDEX(Curves!$C$50:$BV$50,BE$2-21+1))</f>
        <v/>
      </c>
      <c r="BF26" s="5">
        <f>$B26*(Eras!$X$3*INDEX(Curves!$C$4:$BV$4,BF$2-21+1)+Eras!$X$4*INDEX(Curves!$C$27:$BV$27,BF$2-21+1)+Eras!$X$5*INDEX(Curves!$C$50:$BV$50,BF$2-21+1))</f>
        <v/>
      </c>
      <c r="BG26" s="5">
        <f>$B26*(Eras!$X$3*INDEX(Curves!$C$4:$BV$4,BG$2-21+1)+Eras!$X$4*INDEX(Curves!$C$27:$BV$27,BG$2-21+1)+Eras!$X$5*INDEX(Curves!$C$50:$BV$50,BG$2-21+1))</f>
        <v/>
      </c>
      <c r="BH26" s="5">
        <f>$B26*(Eras!$X$3*INDEX(Curves!$C$4:$BV$4,BH$2-21+1)+Eras!$X$4*INDEX(Curves!$C$27:$BV$27,BH$2-21+1)+Eras!$X$5*INDEX(Curves!$C$50:$BV$50,BH$2-21+1))</f>
        <v/>
      </c>
      <c r="BI26" s="5">
        <f>$B26*(Eras!$X$3*INDEX(Curves!$C$4:$BV$4,BI$2-21+1)+Eras!$X$4*INDEX(Curves!$C$27:$BV$27,BI$2-21+1)+Eras!$X$5*INDEX(Curves!$C$50:$BV$50,BI$2-21+1))</f>
        <v/>
      </c>
      <c r="BJ26" s="5">
        <f>$B26*(Eras!$X$3*INDEX(Curves!$C$4:$BV$4,BJ$2-21+1)+Eras!$X$4*INDEX(Curves!$C$27:$BV$27,BJ$2-21+1)+Eras!$X$5*INDEX(Curves!$C$50:$BV$50,BJ$2-21+1))</f>
        <v/>
      </c>
      <c r="BK26" s="5">
        <f>$B26*(Eras!$X$3*INDEX(Curves!$C$4:$BV$4,BK$2-21+1)+Eras!$X$4*INDEX(Curves!$C$27:$BV$27,BK$2-21+1)+Eras!$X$5*INDEX(Curves!$C$50:$BV$50,BK$2-21+1))</f>
        <v/>
      </c>
      <c r="BL26" s="5">
        <f>$B26*(Eras!$X$3*INDEX(Curves!$C$4:$BV$4,BL$2-21+1)+Eras!$X$4*INDEX(Curves!$C$27:$BV$27,BL$2-21+1)+Eras!$X$5*INDEX(Curves!$C$50:$BV$50,BL$2-21+1))</f>
        <v/>
      </c>
      <c r="BM26" s="5">
        <f>$B26*(Eras!$X$3*INDEX(Curves!$C$4:$BV$4,BM$2-21+1)+Eras!$X$4*INDEX(Curves!$C$27:$BV$27,BM$2-21+1)+Eras!$X$5*INDEX(Curves!$C$50:$BV$50,BM$2-21+1))</f>
        <v/>
      </c>
      <c r="BN26" s="5">
        <f>$B26*(Eras!$X$3*INDEX(Curves!$C$4:$BV$4,BN$2-21+1)+Eras!$X$4*INDEX(Curves!$C$27:$BV$27,BN$2-21+1)+Eras!$X$5*INDEX(Curves!$C$50:$BV$50,BN$2-21+1))</f>
        <v/>
      </c>
      <c r="BO26" s="5">
        <f>$B26*(Eras!$X$3*INDEX(Curves!$C$4:$BV$4,BO$2-21+1)+Eras!$X$4*INDEX(Curves!$C$27:$BV$27,BO$2-21+1)+Eras!$X$5*INDEX(Curves!$C$50:$BV$50,BO$2-21+1))</f>
        <v/>
      </c>
      <c r="BP26" s="5">
        <f>$B26*(Eras!$X$3*INDEX(Curves!$C$4:$BV$4,BP$2-21+1)+Eras!$X$4*INDEX(Curves!$C$27:$BV$27,BP$2-21+1)+Eras!$X$5*INDEX(Curves!$C$50:$BV$50,BP$2-21+1))</f>
        <v/>
      </c>
      <c r="BQ26" s="5">
        <f>$B26*(Eras!$X$3*INDEX(Curves!$C$4:$BV$4,BQ$2-21+1)+Eras!$X$4*INDEX(Curves!$C$27:$BV$27,BQ$2-21+1)+Eras!$X$5*INDEX(Curves!$C$50:$BV$50,BQ$2-21+1))</f>
        <v/>
      </c>
      <c r="BR26" s="5">
        <f>$B26*(Eras!$X$3*INDEX(Curves!$C$4:$BV$4,BR$2-21+1)+Eras!$X$4*INDEX(Curves!$C$27:$BV$27,BR$2-21+1)+Eras!$X$5*INDEX(Curves!$C$50:$BV$50,BR$2-21+1))</f>
        <v/>
      </c>
      <c r="BS26" s="5">
        <f>$B26*(Eras!$X$3*INDEX(Curves!$C$4:$BV$4,BS$2-21+1)+Eras!$X$4*INDEX(Curves!$C$27:$BV$27,BS$2-21+1)+Eras!$X$5*INDEX(Curves!$C$50:$BV$50,BS$2-21+1))</f>
        <v/>
      </c>
      <c r="BT26" s="5">
        <f>$B26*(Eras!$X$3*INDEX(Curves!$C$4:$BV$4,BT$2-21+1)+Eras!$X$4*INDEX(Curves!$C$27:$BV$27,BT$2-21+1)+Eras!$X$5*INDEX(Curves!$C$50:$BV$50,BT$2-21+1))</f>
        <v/>
      </c>
      <c r="BU26" s="5">
        <f>$B26*(Eras!$X$3*INDEX(Curves!$C$4:$BV$4,BU$2-21+1)+Eras!$X$4*INDEX(Curves!$C$27:$BV$27,BU$2-21+1)+Eras!$X$5*INDEX(Curves!$C$50:$BV$50,BU$2-21+1))</f>
        <v/>
      </c>
      <c r="BV26" s="5">
        <f>$B26*(Eras!$X$3*INDEX(Curves!$C$4:$BV$4,BV$2-21+1)+Eras!$X$4*INDEX(Curves!$C$27:$BV$27,BV$2-21+1)+Eras!$X$5*INDEX(Curves!$C$50:$BV$50,BV$2-21+1))</f>
        <v/>
      </c>
    </row>
    <row r="27">
      <c r="A27" t="inlineStr">
        <is>
          <t>cohort 2026-11</t>
        </is>
      </c>
      <c r="B27" s="5">
        <f>INDEX(Adds!$C$13:$BV$13,23)</f>
        <v/>
      </c>
      <c r="Y27" s="5">
        <f>$B27*(Eras!$Y$3*INDEX(Curves!$C$4:$BV$4,Y$2-22+1)+Eras!$Y$4*INDEX(Curves!$C$27:$BV$27,Y$2-22+1)+Eras!$Y$5*INDEX(Curves!$C$50:$BV$50,Y$2-22+1))</f>
        <v/>
      </c>
      <c r="Z27" s="5">
        <f>$B27*(Eras!$Y$3*INDEX(Curves!$C$4:$BV$4,Z$2-22+1)+Eras!$Y$4*INDEX(Curves!$C$27:$BV$27,Z$2-22+1)+Eras!$Y$5*INDEX(Curves!$C$50:$BV$50,Z$2-22+1))</f>
        <v/>
      </c>
      <c r="AA27" s="5">
        <f>$B27*(Eras!$Y$3*INDEX(Curves!$C$4:$BV$4,AA$2-22+1)+Eras!$Y$4*INDEX(Curves!$C$27:$BV$27,AA$2-22+1)+Eras!$Y$5*INDEX(Curves!$C$50:$BV$50,AA$2-22+1))</f>
        <v/>
      </c>
      <c r="AB27" s="5">
        <f>$B27*(Eras!$Y$3*INDEX(Curves!$C$4:$BV$4,AB$2-22+1)+Eras!$Y$4*INDEX(Curves!$C$27:$BV$27,AB$2-22+1)+Eras!$Y$5*INDEX(Curves!$C$50:$BV$50,AB$2-22+1))</f>
        <v/>
      </c>
      <c r="AC27" s="5">
        <f>$B27*(Eras!$Y$3*INDEX(Curves!$C$4:$BV$4,AC$2-22+1)+Eras!$Y$4*INDEX(Curves!$C$27:$BV$27,AC$2-22+1)+Eras!$Y$5*INDEX(Curves!$C$50:$BV$50,AC$2-22+1))</f>
        <v/>
      </c>
      <c r="AD27" s="5">
        <f>$B27*(Eras!$Y$3*INDEX(Curves!$C$4:$BV$4,AD$2-22+1)+Eras!$Y$4*INDEX(Curves!$C$27:$BV$27,AD$2-22+1)+Eras!$Y$5*INDEX(Curves!$C$50:$BV$50,AD$2-22+1))</f>
        <v/>
      </c>
      <c r="AE27" s="5">
        <f>$B27*(Eras!$Y$3*INDEX(Curves!$C$4:$BV$4,AE$2-22+1)+Eras!$Y$4*INDEX(Curves!$C$27:$BV$27,AE$2-22+1)+Eras!$Y$5*INDEX(Curves!$C$50:$BV$50,AE$2-22+1))</f>
        <v/>
      </c>
      <c r="AF27" s="5">
        <f>$B27*(Eras!$Y$3*INDEX(Curves!$C$4:$BV$4,AF$2-22+1)+Eras!$Y$4*INDEX(Curves!$C$27:$BV$27,AF$2-22+1)+Eras!$Y$5*INDEX(Curves!$C$50:$BV$50,AF$2-22+1))</f>
        <v/>
      </c>
      <c r="AG27" s="5">
        <f>$B27*(Eras!$Y$3*INDEX(Curves!$C$4:$BV$4,AG$2-22+1)+Eras!$Y$4*INDEX(Curves!$C$27:$BV$27,AG$2-22+1)+Eras!$Y$5*INDEX(Curves!$C$50:$BV$50,AG$2-22+1))</f>
        <v/>
      </c>
      <c r="AH27" s="5">
        <f>$B27*(Eras!$Y$3*INDEX(Curves!$C$4:$BV$4,AH$2-22+1)+Eras!$Y$4*INDEX(Curves!$C$27:$BV$27,AH$2-22+1)+Eras!$Y$5*INDEX(Curves!$C$50:$BV$50,AH$2-22+1))</f>
        <v/>
      </c>
      <c r="AI27" s="5">
        <f>$B27*(Eras!$Y$3*INDEX(Curves!$C$4:$BV$4,AI$2-22+1)+Eras!$Y$4*INDEX(Curves!$C$27:$BV$27,AI$2-22+1)+Eras!$Y$5*INDEX(Curves!$C$50:$BV$50,AI$2-22+1))</f>
        <v/>
      </c>
      <c r="AJ27" s="5">
        <f>$B27*(Eras!$Y$3*INDEX(Curves!$C$4:$BV$4,AJ$2-22+1)+Eras!$Y$4*INDEX(Curves!$C$27:$BV$27,AJ$2-22+1)+Eras!$Y$5*INDEX(Curves!$C$50:$BV$50,AJ$2-22+1))</f>
        <v/>
      </c>
      <c r="AK27" s="5">
        <f>$B27*(Eras!$Y$3*INDEX(Curves!$C$4:$BV$4,AK$2-22+1)+Eras!$Y$4*INDEX(Curves!$C$27:$BV$27,AK$2-22+1)+Eras!$Y$5*INDEX(Curves!$C$50:$BV$50,AK$2-22+1))</f>
        <v/>
      </c>
      <c r="AL27" s="5">
        <f>$B27*(Eras!$Y$3*INDEX(Curves!$C$4:$BV$4,AL$2-22+1)+Eras!$Y$4*INDEX(Curves!$C$27:$BV$27,AL$2-22+1)+Eras!$Y$5*INDEX(Curves!$C$50:$BV$50,AL$2-22+1))</f>
        <v/>
      </c>
      <c r="AM27" s="5">
        <f>$B27*(Eras!$Y$3*INDEX(Curves!$C$4:$BV$4,AM$2-22+1)+Eras!$Y$4*INDEX(Curves!$C$27:$BV$27,AM$2-22+1)+Eras!$Y$5*INDEX(Curves!$C$50:$BV$50,AM$2-22+1))</f>
        <v/>
      </c>
      <c r="AN27" s="5">
        <f>$B27*(Eras!$Y$3*INDEX(Curves!$C$4:$BV$4,AN$2-22+1)+Eras!$Y$4*INDEX(Curves!$C$27:$BV$27,AN$2-22+1)+Eras!$Y$5*INDEX(Curves!$C$50:$BV$50,AN$2-22+1))</f>
        <v/>
      </c>
      <c r="AO27" s="5">
        <f>$B27*(Eras!$Y$3*INDEX(Curves!$C$4:$BV$4,AO$2-22+1)+Eras!$Y$4*INDEX(Curves!$C$27:$BV$27,AO$2-22+1)+Eras!$Y$5*INDEX(Curves!$C$50:$BV$50,AO$2-22+1))</f>
        <v/>
      </c>
      <c r="AP27" s="5">
        <f>$B27*(Eras!$Y$3*INDEX(Curves!$C$4:$BV$4,AP$2-22+1)+Eras!$Y$4*INDEX(Curves!$C$27:$BV$27,AP$2-22+1)+Eras!$Y$5*INDEX(Curves!$C$50:$BV$50,AP$2-22+1))</f>
        <v/>
      </c>
      <c r="AQ27" s="5">
        <f>$B27*(Eras!$Y$3*INDEX(Curves!$C$4:$BV$4,AQ$2-22+1)+Eras!$Y$4*INDEX(Curves!$C$27:$BV$27,AQ$2-22+1)+Eras!$Y$5*INDEX(Curves!$C$50:$BV$50,AQ$2-22+1))</f>
        <v/>
      </c>
      <c r="AR27" s="5">
        <f>$B27*(Eras!$Y$3*INDEX(Curves!$C$4:$BV$4,AR$2-22+1)+Eras!$Y$4*INDEX(Curves!$C$27:$BV$27,AR$2-22+1)+Eras!$Y$5*INDEX(Curves!$C$50:$BV$50,AR$2-22+1))</f>
        <v/>
      </c>
      <c r="AS27" s="5">
        <f>$B27*(Eras!$Y$3*INDEX(Curves!$C$4:$BV$4,AS$2-22+1)+Eras!$Y$4*INDEX(Curves!$C$27:$BV$27,AS$2-22+1)+Eras!$Y$5*INDEX(Curves!$C$50:$BV$50,AS$2-22+1))</f>
        <v/>
      </c>
      <c r="AT27" s="5">
        <f>$B27*(Eras!$Y$3*INDEX(Curves!$C$4:$BV$4,AT$2-22+1)+Eras!$Y$4*INDEX(Curves!$C$27:$BV$27,AT$2-22+1)+Eras!$Y$5*INDEX(Curves!$C$50:$BV$50,AT$2-22+1))</f>
        <v/>
      </c>
      <c r="AU27" s="5">
        <f>$B27*(Eras!$Y$3*INDEX(Curves!$C$4:$BV$4,AU$2-22+1)+Eras!$Y$4*INDEX(Curves!$C$27:$BV$27,AU$2-22+1)+Eras!$Y$5*INDEX(Curves!$C$50:$BV$50,AU$2-22+1))</f>
        <v/>
      </c>
      <c r="AV27" s="5">
        <f>$B27*(Eras!$Y$3*INDEX(Curves!$C$4:$BV$4,AV$2-22+1)+Eras!$Y$4*INDEX(Curves!$C$27:$BV$27,AV$2-22+1)+Eras!$Y$5*INDEX(Curves!$C$50:$BV$50,AV$2-22+1))</f>
        <v/>
      </c>
      <c r="AW27" s="5">
        <f>$B27*(Eras!$Y$3*INDEX(Curves!$C$4:$BV$4,AW$2-22+1)+Eras!$Y$4*INDEX(Curves!$C$27:$BV$27,AW$2-22+1)+Eras!$Y$5*INDEX(Curves!$C$50:$BV$50,AW$2-22+1))</f>
        <v/>
      </c>
      <c r="AX27" s="5">
        <f>$B27*(Eras!$Y$3*INDEX(Curves!$C$4:$BV$4,AX$2-22+1)+Eras!$Y$4*INDEX(Curves!$C$27:$BV$27,AX$2-22+1)+Eras!$Y$5*INDEX(Curves!$C$50:$BV$50,AX$2-22+1))</f>
        <v/>
      </c>
      <c r="AY27" s="5">
        <f>$B27*(Eras!$Y$3*INDEX(Curves!$C$4:$BV$4,AY$2-22+1)+Eras!$Y$4*INDEX(Curves!$C$27:$BV$27,AY$2-22+1)+Eras!$Y$5*INDEX(Curves!$C$50:$BV$50,AY$2-22+1))</f>
        <v/>
      </c>
      <c r="AZ27" s="5">
        <f>$B27*(Eras!$Y$3*INDEX(Curves!$C$4:$BV$4,AZ$2-22+1)+Eras!$Y$4*INDEX(Curves!$C$27:$BV$27,AZ$2-22+1)+Eras!$Y$5*INDEX(Curves!$C$50:$BV$50,AZ$2-22+1))</f>
        <v/>
      </c>
      <c r="BA27" s="5">
        <f>$B27*(Eras!$Y$3*INDEX(Curves!$C$4:$BV$4,BA$2-22+1)+Eras!$Y$4*INDEX(Curves!$C$27:$BV$27,BA$2-22+1)+Eras!$Y$5*INDEX(Curves!$C$50:$BV$50,BA$2-22+1))</f>
        <v/>
      </c>
      <c r="BB27" s="5">
        <f>$B27*(Eras!$Y$3*INDEX(Curves!$C$4:$BV$4,BB$2-22+1)+Eras!$Y$4*INDEX(Curves!$C$27:$BV$27,BB$2-22+1)+Eras!$Y$5*INDEX(Curves!$C$50:$BV$50,BB$2-22+1))</f>
        <v/>
      </c>
      <c r="BC27" s="5">
        <f>$B27*(Eras!$Y$3*INDEX(Curves!$C$4:$BV$4,BC$2-22+1)+Eras!$Y$4*INDEX(Curves!$C$27:$BV$27,BC$2-22+1)+Eras!$Y$5*INDEX(Curves!$C$50:$BV$50,BC$2-22+1))</f>
        <v/>
      </c>
      <c r="BD27" s="5">
        <f>$B27*(Eras!$Y$3*INDEX(Curves!$C$4:$BV$4,BD$2-22+1)+Eras!$Y$4*INDEX(Curves!$C$27:$BV$27,BD$2-22+1)+Eras!$Y$5*INDEX(Curves!$C$50:$BV$50,BD$2-22+1))</f>
        <v/>
      </c>
      <c r="BE27" s="5">
        <f>$B27*(Eras!$Y$3*INDEX(Curves!$C$4:$BV$4,BE$2-22+1)+Eras!$Y$4*INDEX(Curves!$C$27:$BV$27,BE$2-22+1)+Eras!$Y$5*INDEX(Curves!$C$50:$BV$50,BE$2-22+1))</f>
        <v/>
      </c>
      <c r="BF27" s="5">
        <f>$B27*(Eras!$Y$3*INDEX(Curves!$C$4:$BV$4,BF$2-22+1)+Eras!$Y$4*INDEX(Curves!$C$27:$BV$27,BF$2-22+1)+Eras!$Y$5*INDEX(Curves!$C$50:$BV$50,BF$2-22+1))</f>
        <v/>
      </c>
      <c r="BG27" s="5">
        <f>$B27*(Eras!$Y$3*INDEX(Curves!$C$4:$BV$4,BG$2-22+1)+Eras!$Y$4*INDEX(Curves!$C$27:$BV$27,BG$2-22+1)+Eras!$Y$5*INDEX(Curves!$C$50:$BV$50,BG$2-22+1))</f>
        <v/>
      </c>
      <c r="BH27" s="5">
        <f>$B27*(Eras!$Y$3*INDEX(Curves!$C$4:$BV$4,BH$2-22+1)+Eras!$Y$4*INDEX(Curves!$C$27:$BV$27,BH$2-22+1)+Eras!$Y$5*INDEX(Curves!$C$50:$BV$50,BH$2-22+1))</f>
        <v/>
      </c>
      <c r="BI27" s="5">
        <f>$B27*(Eras!$Y$3*INDEX(Curves!$C$4:$BV$4,BI$2-22+1)+Eras!$Y$4*INDEX(Curves!$C$27:$BV$27,BI$2-22+1)+Eras!$Y$5*INDEX(Curves!$C$50:$BV$50,BI$2-22+1))</f>
        <v/>
      </c>
      <c r="BJ27" s="5">
        <f>$B27*(Eras!$Y$3*INDEX(Curves!$C$4:$BV$4,BJ$2-22+1)+Eras!$Y$4*INDEX(Curves!$C$27:$BV$27,BJ$2-22+1)+Eras!$Y$5*INDEX(Curves!$C$50:$BV$50,BJ$2-22+1))</f>
        <v/>
      </c>
      <c r="BK27" s="5">
        <f>$B27*(Eras!$Y$3*INDEX(Curves!$C$4:$BV$4,BK$2-22+1)+Eras!$Y$4*INDEX(Curves!$C$27:$BV$27,BK$2-22+1)+Eras!$Y$5*INDEX(Curves!$C$50:$BV$50,BK$2-22+1))</f>
        <v/>
      </c>
      <c r="BL27" s="5">
        <f>$B27*(Eras!$Y$3*INDEX(Curves!$C$4:$BV$4,BL$2-22+1)+Eras!$Y$4*INDEX(Curves!$C$27:$BV$27,BL$2-22+1)+Eras!$Y$5*INDEX(Curves!$C$50:$BV$50,BL$2-22+1))</f>
        <v/>
      </c>
      <c r="BM27" s="5">
        <f>$B27*(Eras!$Y$3*INDEX(Curves!$C$4:$BV$4,BM$2-22+1)+Eras!$Y$4*INDEX(Curves!$C$27:$BV$27,BM$2-22+1)+Eras!$Y$5*INDEX(Curves!$C$50:$BV$50,BM$2-22+1))</f>
        <v/>
      </c>
      <c r="BN27" s="5">
        <f>$B27*(Eras!$Y$3*INDEX(Curves!$C$4:$BV$4,BN$2-22+1)+Eras!$Y$4*INDEX(Curves!$C$27:$BV$27,BN$2-22+1)+Eras!$Y$5*INDEX(Curves!$C$50:$BV$50,BN$2-22+1))</f>
        <v/>
      </c>
      <c r="BO27" s="5">
        <f>$B27*(Eras!$Y$3*INDEX(Curves!$C$4:$BV$4,BO$2-22+1)+Eras!$Y$4*INDEX(Curves!$C$27:$BV$27,BO$2-22+1)+Eras!$Y$5*INDEX(Curves!$C$50:$BV$50,BO$2-22+1))</f>
        <v/>
      </c>
      <c r="BP27" s="5">
        <f>$B27*(Eras!$Y$3*INDEX(Curves!$C$4:$BV$4,BP$2-22+1)+Eras!$Y$4*INDEX(Curves!$C$27:$BV$27,BP$2-22+1)+Eras!$Y$5*INDEX(Curves!$C$50:$BV$50,BP$2-22+1))</f>
        <v/>
      </c>
      <c r="BQ27" s="5">
        <f>$B27*(Eras!$Y$3*INDEX(Curves!$C$4:$BV$4,BQ$2-22+1)+Eras!$Y$4*INDEX(Curves!$C$27:$BV$27,BQ$2-22+1)+Eras!$Y$5*INDEX(Curves!$C$50:$BV$50,BQ$2-22+1))</f>
        <v/>
      </c>
      <c r="BR27" s="5">
        <f>$B27*(Eras!$Y$3*INDEX(Curves!$C$4:$BV$4,BR$2-22+1)+Eras!$Y$4*INDEX(Curves!$C$27:$BV$27,BR$2-22+1)+Eras!$Y$5*INDEX(Curves!$C$50:$BV$50,BR$2-22+1))</f>
        <v/>
      </c>
      <c r="BS27" s="5">
        <f>$B27*(Eras!$Y$3*INDEX(Curves!$C$4:$BV$4,BS$2-22+1)+Eras!$Y$4*INDEX(Curves!$C$27:$BV$27,BS$2-22+1)+Eras!$Y$5*INDEX(Curves!$C$50:$BV$50,BS$2-22+1))</f>
        <v/>
      </c>
      <c r="BT27" s="5">
        <f>$B27*(Eras!$Y$3*INDEX(Curves!$C$4:$BV$4,BT$2-22+1)+Eras!$Y$4*INDEX(Curves!$C$27:$BV$27,BT$2-22+1)+Eras!$Y$5*INDEX(Curves!$C$50:$BV$50,BT$2-22+1))</f>
        <v/>
      </c>
      <c r="BU27" s="5">
        <f>$B27*(Eras!$Y$3*INDEX(Curves!$C$4:$BV$4,BU$2-22+1)+Eras!$Y$4*INDEX(Curves!$C$27:$BV$27,BU$2-22+1)+Eras!$Y$5*INDEX(Curves!$C$50:$BV$50,BU$2-22+1))</f>
        <v/>
      </c>
      <c r="BV27" s="5">
        <f>$B27*(Eras!$Y$3*INDEX(Curves!$C$4:$BV$4,BV$2-22+1)+Eras!$Y$4*INDEX(Curves!$C$27:$BV$27,BV$2-22+1)+Eras!$Y$5*INDEX(Curves!$C$50:$BV$50,BV$2-22+1))</f>
        <v/>
      </c>
    </row>
    <row r="28">
      <c r="A28" t="inlineStr">
        <is>
          <t>cohort 2026-12</t>
        </is>
      </c>
      <c r="B28" s="5">
        <f>INDEX(Adds!$C$13:$BV$13,24)</f>
        <v/>
      </c>
      <c r="Z28" s="5">
        <f>$B28*(Eras!$Z$3*INDEX(Curves!$C$4:$BV$4,Z$2-23+1)+Eras!$Z$4*INDEX(Curves!$C$27:$BV$27,Z$2-23+1)+Eras!$Z$5*INDEX(Curves!$C$50:$BV$50,Z$2-23+1))</f>
        <v/>
      </c>
      <c r="AA28" s="5">
        <f>$B28*(Eras!$Z$3*INDEX(Curves!$C$4:$BV$4,AA$2-23+1)+Eras!$Z$4*INDEX(Curves!$C$27:$BV$27,AA$2-23+1)+Eras!$Z$5*INDEX(Curves!$C$50:$BV$50,AA$2-23+1))</f>
        <v/>
      </c>
      <c r="AB28" s="5">
        <f>$B28*(Eras!$Z$3*INDEX(Curves!$C$4:$BV$4,AB$2-23+1)+Eras!$Z$4*INDEX(Curves!$C$27:$BV$27,AB$2-23+1)+Eras!$Z$5*INDEX(Curves!$C$50:$BV$50,AB$2-23+1))</f>
        <v/>
      </c>
      <c r="AC28" s="5">
        <f>$B28*(Eras!$Z$3*INDEX(Curves!$C$4:$BV$4,AC$2-23+1)+Eras!$Z$4*INDEX(Curves!$C$27:$BV$27,AC$2-23+1)+Eras!$Z$5*INDEX(Curves!$C$50:$BV$50,AC$2-23+1))</f>
        <v/>
      </c>
      <c r="AD28" s="5">
        <f>$B28*(Eras!$Z$3*INDEX(Curves!$C$4:$BV$4,AD$2-23+1)+Eras!$Z$4*INDEX(Curves!$C$27:$BV$27,AD$2-23+1)+Eras!$Z$5*INDEX(Curves!$C$50:$BV$50,AD$2-23+1))</f>
        <v/>
      </c>
      <c r="AE28" s="5">
        <f>$B28*(Eras!$Z$3*INDEX(Curves!$C$4:$BV$4,AE$2-23+1)+Eras!$Z$4*INDEX(Curves!$C$27:$BV$27,AE$2-23+1)+Eras!$Z$5*INDEX(Curves!$C$50:$BV$50,AE$2-23+1))</f>
        <v/>
      </c>
      <c r="AF28" s="5">
        <f>$B28*(Eras!$Z$3*INDEX(Curves!$C$4:$BV$4,AF$2-23+1)+Eras!$Z$4*INDEX(Curves!$C$27:$BV$27,AF$2-23+1)+Eras!$Z$5*INDEX(Curves!$C$50:$BV$50,AF$2-23+1))</f>
        <v/>
      </c>
      <c r="AG28" s="5">
        <f>$B28*(Eras!$Z$3*INDEX(Curves!$C$4:$BV$4,AG$2-23+1)+Eras!$Z$4*INDEX(Curves!$C$27:$BV$27,AG$2-23+1)+Eras!$Z$5*INDEX(Curves!$C$50:$BV$50,AG$2-23+1))</f>
        <v/>
      </c>
      <c r="AH28" s="5">
        <f>$B28*(Eras!$Z$3*INDEX(Curves!$C$4:$BV$4,AH$2-23+1)+Eras!$Z$4*INDEX(Curves!$C$27:$BV$27,AH$2-23+1)+Eras!$Z$5*INDEX(Curves!$C$50:$BV$50,AH$2-23+1))</f>
        <v/>
      </c>
      <c r="AI28" s="5">
        <f>$B28*(Eras!$Z$3*INDEX(Curves!$C$4:$BV$4,AI$2-23+1)+Eras!$Z$4*INDEX(Curves!$C$27:$BV$27,AI$2-23+1)+Eras!$Z$5*INDEX(Curves!$C$50:$BV$50,AI$2-23+1))</f>
        <v/>
      </c>
      <c r="AJ28" s="5">
        <f>$B28*(Eras!$Z$3*INDEX(Curves!$C$4:$BV$4,AJ$2-23+1)+Eras!$Z$4*INDEX(Curves!$C$27:$BV$27,AJ$2-23+1)+Eras!$Z$5*INDEX(Curves!$C$50:$BV$50,AJ$2-23+1))</f>
        <v/>
      </c>
      <c r="AK28" s="5">
        <f>$B28*(Eras!$Z$3*INDEX(Curves!$C$4:$BV$4,AK$2-23+1)+Eras!$Z$4*INDEX(Curves!$C$27:$BV$27,AK$2-23+1)+Eras!$Z$5*INDEX(Curves!$C$50:$BV$50,AK$2-23+1))</f>
        <v/>
      </c>
      <c r="AL28" s="5">
        <f>$B28*(Eras!$Z$3*INDEX(Curves!$C$4:$BV$4,AL$2-23+1)+Eras!$Z$4*INDEX(Curves!$C$27:$BV$27,AL$2-23+1)+Eras!$Z$5*INDEX(Curves!$C$50:$BV$50,AL$2-23+1))</f>
        <v/>
      </c>
      <c r="AM28" s="5">
        <f>$B28*(Eras!$Z$3*INDEX(Curves!$C$4:$BV$4,AM$2-23+1)+Eras!$Z$4*INDEX(Curves!$C$27:$BV$27,AM$2-23+1)+Eras!$Z$5*INDEX(Curves!$C$50:$BV$50,AM$2-23+1))</f>
        <v/>
      </c>
      <c r="AN28" s="5">
        <f>$B28*(Eras!$Z$3*INDEX(Curves!$C$4:$BV$4,AN$2-23+1)+Eras!$Z$4*INDEX(Curves!$C$27:$BV$27,AN$2-23+1)+Eras!$Z$5*INDEX(Curves!$C$50:$BV$50,AN$2-23+1))</f>
        <v/>
      </c>
      <c r="AO28" s="5">
        <f>$B28*(Eras!$Z$3*INDEX(Curves!$C$4:$BV$4,AO$2-23+1)+Eras!$Z$4*INDEX(Curves!$C$27:$BV$27,AO$2-23+1)+Eras!$Z$5*INDEX(Curves!$C$50:$BV$50,AO$2-23+1))</f>
        <v/>
      </c>
      <c r="AP28" s="5">
        <f>$B28*(Eras!$Z$3*INDEX(Curves!$C$4:$BV$4,AP$2-23+1)+Eras!$Z$4*INDEX(Curves!$C$27:$BV$27,AP$2-23+1)+Eras!$Z$5*INDEX(Curves!$C$50:$BV$50,AP$2-23+1))</f>
        <v/>
      </c>
      <c r="AQ28" s="5">
        <f>$B28*(Eras!$Z$3*INDEX(Curves!$C$4:$BV$4,AQ$2-23+1)+Eras!$Z$4*INDEX(Curves!$C$27:$BV$27,AQ$2-23+1)+Eras!$Z$5*INDEX(Curves!$C$50:$BV$50,AQ$2-23+1))</f>
        <v/>
      </c>
      <c r="AR28" s="5">
        <f>$B28*(Eras!$Z$3*INDEX(Curves!$C$4:$BV$4,AR$2-23+1)+Eras!$Z$4*INDEX(Curves!$C$27:$BV$27,AR$2-23+1)+Eras!$Z$5*INDEX(Curves!$C$50:$BV$50,AR$2-23+1))</f>
        <v/>
      </c>
      <c r="AS28" s="5">
        <f>$B28*(Eras!$Z$3*INDEX(Curves!$C$4:$BV$4,AS$2-23+1)+Eras!$Z$4*INDEX(Curves!$C$27:$BV$27,AS$2-23+1)+Eras!$Z$5*INDEX(Curves!$C$50:$BV$50,AS$2-23+1))</f>
        <v/>
      </c>
      <c r="AT28" s="5">
        <f>$B28*(Eras!$Z$3*INDEX(Curves!$C$4:$BV$4,AT$2-23+1)+Eras!$Z$4*INDEX(Curves!$C$27:$BV$27,AT$2-23+1)+Eras!$Z$5*INDEX(Curves!$C$50:$BV$50,AT$2-23+1))</f>
        <v/>
      </c>
      <c r="AU28" s="5">
        <f>$B28*(Eras!$Z$3*INDEX(Curves!$C$4:$BV$4,AU$2-23+1)+Eras!$Z$4*INDEX(Curves!$C$27:$BV$27,AU$2-23+1)+Eras!$Z$5*INDEX(Curves!$C$50:$BV$50,AU$2-23+1))</f>
        <v/>
      </c>
      <c r="AV28" s="5">
        <f>$B28*(Eras!$Z$3*INDEX(Curves!$C$4:$BV$4,AV$2-23+1)+Eras!$Z$4*INDEX(Curves!$C$27:$BV$27,AV$2-23+1)+Eras!$Z$5*INDEX(Curves!$C$50:$BV$50,AV$2-23+1))</f>
        <v/>
      </c>
      <c r="AW28" s="5">
        <f>$B28*(Eras!$Z$3*INDEX(Curves!$C$4:$BV$4,AW$2-23+1)+Eras!$Z$4*INDEX(Curves!$C$27:$BV$27,AW$2-23+1)+Eras!$Z$5*INDEX(Curves!$C$50:$BV$50,AW$2-23+1))</f>
        <v/>
      </c>
      <c r="AX28" s="5">
        <f>$B28*(Eras!$Z$3*INDEX(Curves!$C$4:$BV$4,AX$2-23+1)+Eras!$Z$4*INDEX(Curves!$C$27:$BV$27,AX$2-23+1)+Eras!$Z$5*INDEX(Curves!$C$50:$BV$50,AX$2-23+1))</f>
        <v/>
      </c>
      <c r="AY28" s="5">
        <f>$B28*(Eras!$Z$3*INDEX(Curves!$C$4:$BV$4,AY$2-23+1)+Eras!$Z$4*INDEX(Curves!$C$27:$BV$27,AY$2-23+1)+Eras!$Z$5*INDEX(Curves!$C$50:$BV$50,AY$2-23+1))</f>
        <v/>
      </c>
      <c r="AZ28" s="5">
        <f>$B28*(Eras!$Z$3*INDEX(Curves!$C$4:$BV$4,AZ$2-23+1)+Eras!$Z$4*INDEX(Curves!$C$27:$BV$27,AZ$2-23+1)+Eras!$Z$5*INDEX(Curves!$C$50:$BV$50,AZ$2-23+1))</f>
        <v/>
      </c>
      <c r="BA28" s="5">
        <f>$B28*(Eras!$Z$3*INDEX(Curves!$C$4:$BV$4,BA$2-23+1)+Eras!$Z$4*INDEX(Curves!$C$27:$BV$27,BA$2-23+1)+Eras!$Z$5*INDEX(Curves!$C$50:$BV$50,BA$2-23+1))</f>
        <v/>
      </c>
      <c r="BB28" s="5">
        <f>$B28*(Eras!$Z$3*INDEX(Curves!$C$4:$BV$4,BB$2-23+1)+Eras!$Z$4*INDEX(Curves!$C$27:$BV$27,BB$2-23+1)+Eras!$Z$5*INDEX(Curves!$C$50:$BV$50,BB$2-23+1))</f>
        <v/>
      </c>
      <c r="BC28" s="5">
        <f>$B28*(Eras!$Z$3*INDEX(Curves!$C$4:$BV$4,BC$2-23+1)+Eras!$Z$4*INDEX(Curves!$C$27:$BV$27,BC$2-23+1)+Eras!$Z$5*INDEX(Curves!$C$50:$BV$50,BC$2-23+1))</f>
        <v/>
      </c>
      <c r="BD28" s="5">
        <f>$B28*(Eras!$Z$3*INDEX(Curves!$C$4:$BV$4,BD$2-23+1)+Eras!$Z$4*INDEX(Curves!$C$27:$BV$27,BD$2-23+1)+Eras!$Z$5*INDEX(Curves!$C$50:$BV$50,BD$2-23+1))</f>
        <v/>
      </c>
      <c r="BE28" s="5">
        <f>$B28*(Eras!$Z$3*INDEX(Curves!$C$4:$BV$4,BE$2-23+1)+Eras!$Z$4*INDEX(Curves!$C$27:$BV$27,BE$2-23+1)+Eras!$Z$5*INDEX(Curves!$C$50:$BV$50,BE$2-23+1))</f>
        <v/>
      </c>
      <c r="BF28" s="5">
        <f>$B28*(Eras!$Z$3*INDEX(Curves!$C$4:$BV$4,BF$2-23+1)+Eras!$Z$4*INDEX(Curves!$C$27:$BV$27,BF$2-23+1)+Eras!$Z$5*INDEX(Curves!$C$50:$BV$50,BF$2-23+1))</f>
        <v/>
      </c>
      <c r="BG28" s="5">
        <f>$B28*(Eras!$Z$3*INDEX(Curves!$C$4:$BV$4,BG$2-23+1)+Eras!$Z$4*INDEX(Curves!$C$27:$BV$27,BG$2-23+1)+Eras!$Z$5*INDEX(Curves!$C$50:$BV$50,BG$2-23+1))</f>
        <v/>
      </c>
      <c r="BH28" s="5">
        <f>$B28*(Eras!$Z$3*INDEX(Curves!$C$4:$BV$4,BH$2-23+1)+Eras!$Z$4*INDEX(Curves!$C$27:$BV$27,BH$2-23+1)+Eras!$Z$5*INDEX(Curves!$C$50:$BV$50,BH$2-23+1))</f>
        <v/>
      </c>
      <c r="BI28" s="5">
        <f>$B28*(Eras!$Z$3*INDEX(Curves!$C$4:$BV$4,BI$2-23+1)+Eras!$Z$4*INDEX(Curves!$C$27:$BV$27,BI$2-23+1)+Eras!$Z$5*INDEX(Curves!$C$50:$BV$50,BI$2-23+1))</f>
        <v/>
      </c>
      <c r="BJ28" s="5">
        <f>$B28*(Eras!$Z$3*INDEX(Curves!$C$4:$BV$4,BJ$2-23+1)+Eras!$Z$4*INDEX(Curves!$C$27:$BV$27,BJ$2-23+1)+Eras!$Z$5*INDEX(Curves!$C$50:$BV$50,BJ$2-23+1))</f>
        <v/>
      </c>
      <c r="BK28" s="5">
        <f>$B28*(Eras!$Z$3*INDEX(Curves!$C$4:$BV$4,BK$2-23+1)+Eras!$Z$4*INDEX(Curves!$C$27:$BV$27,BK$2-23+1)+Eras!$Z$5*INDEX(Curves!$C$50:$BV$50,BK$2-23+1))</f>
        <v/>
      </c>
      <c r="BL28" s="5">
        <f>$B28*(Eras!$Z$3*INDEX(Curves!$C$4:$BV$4,BL$2-23+1)+Eras!$Z$4*INDEX(Curves!$C$27:$BV$27,BL$2-23+1)+Eras!$Z$5*INDEX(Curves!$C$50:$BV$50,BL$2-23+1))</f>
        <v/>
      </c>
      <c r="BM28" s="5">
        <f>$B28*(Eras!$Z$3*INDEX(Curves!$C$4:$BV$4,BM$2-23+1)+Eras!$Z$4*INDEX(Curves!$C$27:$BV$27,BM$2-23+1)+Eras!$Z$5*INDEX(Curves!$C$50:$BV$50,BM$2-23+1))</f>
        <v/>
      </c>
      <c r="BN28" s="5">
        <f>$B28*(Eras!$Z$3*INDEX(Curves!$C$4:$BV$4,BN$2-23+1)+Eras!$Z$4*INDEX(Curves!$C$27:$BV$27,BN$2-23+1)+Eras!$Z$5*INDEX(Curves!$C$50:$BV$50,BN$2-23+1))</f>
        <v/>
      </c>
      <c r="BO28" s="5">
        <f>$B28*(Eras!$Z$3*INDEX(Curves!$C$4:$BV$4,BO$2-23+1)+Eras!$Z$4*INDEX(Curves!$C$27:$BV$27,BO$2-23+1)+Eras!$Z$5*INDEX(Curves!$C$50:$BV$50,BO$2-23+1))</f>
        <v/>
      </c>
      <c r="BP28" s="5">
        <f>$B28*(Eras!$Z$3*INDEX(Curves!$C$4:$BV$4,BP$2-23+1)+Eras!$Z$4*INDEX(Curves!$C$27:$BV$27,BP$2-23+1)+Eras!$Z$5*INDEX(Curves!$C$50:$BV$50,BP$2-23+1))</f>
        <v/>
      </c>
      <c r="BQ28" s="5">
        <f>$B28*(Eras!$Z$3*INDEX(Curves!$C$4:$BV$4,BQ$2-23+1)+Eras!$Z$4*INDEX(Curves!$C$27:$BV$27,BQ$2-23+1)+Eras!$Z$5*INDEX(Curves!$C$50:$BV$50,BQ$2-23+1))</f>
        <v/>
      </c>
      <c r="BR28" s="5">
        <f>$B28*(Eras!$Z$3*INDEX(Curves!$C$4:$BV$4,BR$2-23+1)+Eras!$Z$4*INDEX(Curves!$C$27:$BV$27,BR$2-23+1)+Eras!$Z$5*INDEX(Curves!$C$50:$BV$50,BR$2-23+1))</f>
        <v/>
      </c>
      <c r="BS28" s="5">
        <f>$B28*(Eras!$Z$3*INDEX(Curves!$C$4:$BV$4,BS$2-23+1)+Eras!$Z$4*INDEX(Curves!$C$27:$BV$27,BS$2-23+1)+Eras!$Z$5*INDEX(Curves!$C$50:$BV$50,BS$2-23+1))</f>
        <v/>
      </c>
      <c r="BT28" s="5">
        <f>$B28*(Eras!$Z$3*INDEX(Curves!$C$4:$BV$4,BT$2-23+1)+Eras!$Z$4*INDEX(Curves!$C$27:$BV$27,BT$2-23+1)+Eras!$Z$5*INDEX(Curves!$C$50:$BV$50,BT$2-23+1))</f>
        <v/>
      </c>
      <c r="BU28" s="5">
        <f>$B28*(Eras!$Z$3*INDEX(Curves!$C$4:$BV$4,BU$2-23+1)+Eras!$Z$4*INDEX(Curves!$C$27:$BV$27,BU$2-23+1)+Eras!$Z$5*INDEX(Curves!$C$50:$BV$50,BU$2-23+1))</f>
        <v/>
      </c>
      <c r="BV28" s="5">
        <f>$B28*(Eras!$Z$3*INDEX(Curves!$C$4:$BV$4,BV$2-23+1)+Eras!$Z$4*INDEX(Curves!$C$27:$BV$27,BV$2-23+1)+Eras!$Z$5*INDEX(Curves!$C$50:$BV$50,BV$2-23+1))</f>
        <v/>
      </c>
    </row>
    <row r="29">
      <c r="A29" t="inlineStr">
        <is>
          <t>cohort 2027-01</t>
        </is>
      </c>
      <c r="B29" s="5">
        <f>INDEX(Adds!$C$13:$BV$13,25)</f>
        <v/>
      </c>
      <c r="AA29" s="5">
        <f>$B29*(Eras!$AA$3*INDEX(Curves!$C$4:$BV$4,AA$2-24+1)+Eras!$AA$4*INDEX(Curves!$C$27:$BV$27,AA$2-24+1)+Eras!$AA$5*INDEX(Curves!$C$50:$BV$50,AA$2-24+1))</f>
        <v/>
      </c>
      <c r="AB29" s="5">
        <f>$B29*(Eras!$AA$3*INDEX(Curves!$C$4:$BV$4,AB$2-24+1)+Eras!$AA$4*INDEX(Curves!$C$27:$BV$27,AB$2-24+1)+Eras!$AA$5*INDEX(Curves!$C$50:$BV$50,AB$2-24+1))</f>
        <v/>
      </c>
      <c r="AC29" s="5">
        <f>$B29*(Eras!$AA$3*INDEX(Curves!$C$4:$BV$4,AC$2-24+1)+Eras!$AA$4*INDEX(Curves!$C$27:$BV$27,AC$2-24+1)+Eras!$AA$5*INDEX(Curves!$C$50:$BV$50,AC$2-24+1))</f>
        <v/>
      </c>
      <c r="AD29" s="5">
        <f>$B29*(Eras!$AA$3*INDEX(Curves!$C$4:$BV$4,AD$2-24+1)+Eras!$AA$4*INDEX(Curves!$C$27:$BV$27,AD$2-24+1)+Eras!$AA$5*INDEX(Curves!$C$50:$BV$50,AD$2-24+1))</f>
        <v/>
      </c>
      <c r="AE29" s="5">
        <f>$B29*(Eras!$AA$3*INDEX(Curves!$C$4:$BV$4,AE$2-24+1)+Eras!$AA$4*INDEX(Curves!$C$27:$BV$27,AE$2-24+1)+Eras!$AA$5*INDEX(Curves!$C$50:$BV$50,AE$2-24+1))</f>
        <v/>
      </c>
      <c r="AF29" s="5">
        <f>$B29*(Eras!$AA$3*INDEX(Curves!$C$4:$BV$4,AF$2-24+1)+Eras!$AA$4*INDEX(Curves!$C$27:$BV$27,AF$2-24+1)+Eras!$AA$5*INDEX(Curves!$C$50:$BV$50,AF$2-24+1))</f>
        <v/>
      </c>
      <c r="AG29" s="5">
        <f>$B29*(Eras!$AA$3*INDEX(Curves!$C$4:$BV$4,AG$2-24+1)+Eras!$AA$4*INDEX(Curves!$C$27:$BV$27,AG$2-24+1)+Eras!$AA$5*INDEX(Curves!$C$50:$BV$50,AG$2-24+1))</f>
        <v/>
      </c>
      <c r="AH29" s="5">
        <f>$B29*(Eras!$AA$3*INDEX(Curves!$C$4:$BV$4,AH$2-24+1)+Eras!$AA$4*INDEX(Curves!$C$27:$BV$27,AH$2-24+1)+Eras!$AA$5*INDEX(Curves!$C$50:$BV$50,AH$2-24+1))</f>
        <v/>
      </c>
      <c r="AI29" s="5">
        <f>$B29*(Eras!$AA$3*INDEX(Curves!$C$4:$BV$4,AI$2-24+1)+Eras!$AA$4*INDEX(Curves!$C$27:$BV$27,AI$2-24+1)+Eras!$AA$5*INDEX(Curves!$C$50:$BV$50,AI$2-24+1))</f>
        <v/>
      </c>
      <c r="AJ29" s="5">
        <f>$B29*(Eras!$AA$3*INDEX(Curves!$C$4:$BV$4,AJ$2-24+1)+Eras!$AA$4*INDEX(Curves!$C$27:$BV$27,AJ$2-24+1)+Eras!$AA$5*INDEX(Curves!$C$50:$BV$50,AJ$2-24+1))</f>
        <v/>
      </c>
      <c r="AK29" s="5">
        <f>$B29*(Eras!$AA$3*INDEX(Curves!$C$4:$BV$4,AK$2-24+1)+Eras!$AA$4*INDEX(Curves!$C$27:$BV$27,AK$2-24+1)+Eras!$AA$5*INDEX(Curves!$C$50:$BV$50,AK$2-24+1))</f>
        <v/>
      </c>
      <c r="AL29" s="5">
        <f>$B29*(Eras!$AA$3*INDEX(Curves!$C$4:$BV$4,AL$2-24+1)+Eras!$AA$4*INDEX(Curves!$C$27:$BV$27,AL$2-24+1)+Eras!$AA$5*INDEX(Curves!$C$50:$BV$50,AL$2-24+1))</f>
        <v/>
      </c>
      <c r="AM29" s="5">
        <f>$B29*(Eras!$AA$3*INDEX(Curves!$C$4:$BV$4,AM$2-24+1)+Eras!$AA$4*INDEX(Curves!$C$27:$BV$27,AM$2-24+1)+Eras!$AA$5*INDEX(Curves!$C$50:$BV$50,AM$2-24+1))</f>
        <v/>
      </c>
      <c r="AN29" s="5">
        <f>$B29*(Eras!$AA$3*INDEX(Curves!$C$4:$BV$4,AN$2-24+1)+Eras!$AA$4*INDEX(Curves!$C$27:$BV$27,AN$2-24+1)+Eras!$AA$5*INDEX(Curves!$C$50:$BV$50,AN$2-24+1))</f>
        <v/>
      </c>
      <c r="AO29" s="5">
        <f>$B29*(Eras!$AA$3*INDEX(Curves!$C$4:$BV$4,AO$2-24+1)+Eras!$AA$4*INDEX(Curves!$C$27:$BV$27,AO$2-24+1)+Eras!$AA$5*INDEX(Curves!$C$50:$BV$50,AO$2-24+1))</f>
        <v/>
      </c>
      <c r="AP29" s="5">
        <f>$B29*(Eras!$AA$3*INDEX(Curves!$C$4:$BV$4,AP$2-24+1)+Eras!$AA$4*INDEX(Curves!$C$27:$BV$27,AP$2-24+1)+Eras!$AA$5*INDEX(Curves!$C$50:$BV$50,AP$2-24+1))</f>
        <v/>
      </c>
      <c r="AQ29" s="5">
        <f>$B29*(Eras!$AA$3*INDEX(Curves!$C$4:$BV$4,AQ$2-24+1)+Eras!$AA$4*INDEX(Curves!$C$27:$BV$27,AQ$2-24+1)+Eras!$AA$5*INDEX(Curves!$C$50:$BV$50,AQ$2-24+1))</f>
        <v/>
      </c>
      <c r="AR29" s="5">
        <f>$B29*(Eras!$AA$3*INDEX(Curves!$C$4:$BV$4,AR$2-24+1)+Eras!$AA$4*INDEX(Curves!$C$27:$BV$27,AR$2-24+1)+Eras!$AA$5*INDEX(Curves!$C$50:$BV$50,AR$2-24+1))</f>
        <v/>
      </c>
      <c r="AS29" s="5">
        <f>$B29*(Eras!$AA$3*INDEX(Curves!$C$4:$BV$4,AS$2-24+1)+Eras!$AA$4*INDEX(Curves!$C$27:$BV$27,AS$2-24+1)+Eras!$AA$5*INDEX(Curves!$C$50:$BV$50,AS$2-24+1))</f>
        <v/>
      </c>
      <c r="AT29" s="5">
        <f>$B29*(Eras!$AA$3*INDEX(Curves!$C$4:$BV$4,AT$2-24+1)+Eras!$AA$4*INDEX(Curves!$C$27:$BV$27,AT$2-24+1)+Eras!$AA$5*INDEX(Curves!$C$50:$BV$50,AT$2-24+1))</f>
        <v/>
      </c>
      <c r="AU29" s="5">
        <f>$B29*(Eras!$AA$3*INDEX(Curves!$C$4:$BV$4,AU$2-24+1)+Eras!$AA$4*INDEX(Curves!$C$27:$BV$27,AU$2-24+1)+Eras!$AA$5*INDEX(Curves!$C$50:$BV$50,AU$2-24+1))</f>
        <v/>
      </c>
      <c r="AV29" s="5">
        <f>$B29*(Eras!$AA$3*INDEX(Curves!$C$4:$BV$4,AV$2-24+1)+Eras!$AA$4*INDEX(Curves!$C$27:$BV$27,AV$2-24+1)+Eras!$AA$5*INDEX(Curves!$C$50:$BV$50,AV$2-24+1))</f>
        <v/>
      </c>
      <c r="AW29" s="5">
        <f>$B29*(Eras!$AA$3*INDEX(Curves!$C$4:$BV$4,AW$2-24+1)+Eras!$AA$4*INDEX(Curves!$C$27:$BV$27,AW$2-24+1)+Eras!$AA$5*INDEX(Curves!$C$50:$BV$50,AW$2-24+1))</f>
        <v/>
      </c>
      <c r="AX29" s="5">
        <f>$B29*(Eras!$AA$3*INDEX(Curves!$C$4:$BV$4,AX$2-24+1)+Eras!$AA$4*INDEX(Curves!$C$27:$BV$27,AX$2-24+1)+Eras!$AA$5*INDEX(Curves!$C$50:$BV$50,AX$2-24+1))</f>
        <v/>
      </c>
      <c r="AY29" s="5">
        <f>$B29*(Eras!$AA$3*INDEX(Curves!$C$4:$BV$4,AY$2-24+1)+Eras!$AA$4*INDEX(Curves!$C$27:$BV$27,AY$2-24+1)+Eras!$AA$5*INDEX(Curves!$C$50:$BV$50,AY$2-24+1))</f>
        <v/>
      </c>
      <c r="AZ29" s="5">
        <f>$B29*(Eras!$AA$3*INDEX(Curves!$C$4:$BV$4,AZ$2-24+1)+Eras!$AA$4*INDEX(Curves!$C$27:$BV$27,AZ$2-24+1)+Eras!$AA$5*INDEX(Curves!$C$50:$BV$50,AZ$2-24+1))</f>
        <v/>
      </c>
      <c r="BA29" s="5">
        <f>$B29*(Eras!$AA$3*INDEX(Curves!$C$4:$BV$4,BA$2-24+1)+Eras!$AA$4*INDEX(Curves!$C$27:$BV$27,BA$2-24+1)+Eras!$AA$5*INDEX(Curves!$C$50:$BV$50,BA$2-24+1))</f>
        <v/>
      </c>
      <c r="BB29" s="5">
        <f>$B29*(Eras!$AA$3*INDEX(Curves!$C$4:$BV$4,BB$2-24+1)+Eras!$AA$4*INDEX(Curves!$C$27:$BV$27,BB$2-24+1)+Eras!$AA$5*INDEX(Curves!$C$50:$BV$50,BB$2-24+1))</f>
        <v/>
      </c>
      <c r="BC29" s="5">
        <f>$B29*(Eras!$AA$3*INDEX(Curves!$C$4:$BV$4,BC$2-24+1)+Eras!$AA$4*INDEX(Curves!$C$27:$BV$27,BC$2-24+1)+Eras!$AA$5*INDEX(Curves!$C$50:$BV$50,BC$2-24+1))</f>
        <v/>
      </c>
      <c r="BD29" s="5">
        <f>$B29*(Eras!$AA$3*INDEX(Curves!$C$4:$BV$4,BD$2-24+1)+Eras!$AA$4*INDEX(Curves!$C$27:$BV$27,BD$2-24+1)+Eras!$AA$5*INDEX(Curves!$C$50:$BV$50,BD$2-24+1))</f>
        <v/>
      </c>
      <c r="BE29" s="5">
        <f>$B29*(Eras!$AA$3*INDEX(Curves!$C$4:$BV$4,BE$2-24+1)+Eras!$AA$4*INDEX(Curves!$C$27:$BV$27,BE$2-24+1)+Eras!$AA$5*INDEX(Curves!$C$50:$BV$50,BE$2-24+1))</f>
        <v/>
      </c>
      <c r="BF29" s="5">
        <f>$B29*(Eras!$AA$3*INDEX(Curves!$C$4:$BV$4,BF$2-24+1)+Eras!$AA$4*INDEX(Curves!$C$27:$BV$27,BF$2-24+1)+Eras!$AA$5*INDEX(Curves!$C$50:$BV$50,BF$2-24+1))</f>
        <v/>
      </c>
      <c r="BG29" s="5">
        <f>$B29*(Eras!$AA$3*INDEX(Curves!$C$4:$BV$4,BG$2-24+1)+Eras!$AA$4*INDEX(Curves!$C$27:$BV$27,BG$2-24+1)+Eras!$AA$5*INDEX(Curves!$C$50:$BV$50,BG$2-24+1))</f>
        <v/>
      </c>
      <c r="BH29" s="5">
        <f>$B29*(Eras!$AA$3*INDEX(Curves!$C$4:$BV$4,BH$2-24+1)+Eras!$AA$4*INDEX(Curves!$C$27:$BV$27,BH$2-24+1)+Eras!$AA$5*INDEX(Curves!$C$50:$BV$50,BH$2-24+1))</f>
        <v/>
      </c>
      <c r="BI29" s="5">
        <f>$B29*(Eras!$AA$3*INDEX(Curves!$C$4:$BV$4,BI$2-24+1)+Eras!$AA$4*INDEX(Curves!$C$27:$BV$27,BI$2-24+1)+Eras!$AA$5*INDEX(Curves!$C$50:$BV$50,BI$2-24+1))</f>
        <v/>
      </c>
      <c r="BJ29" s="5">
        <f>$B29*(Eras!$AA$3*INDEX(Curves!$C$4:$BV$4,BJ$2-24+1)+Eras!$AA$4*INDEX(Curves!$C$27:$BV$27,BJ$2-24+1)+Eras!$AA$5*INDEX(Curves!$C$50:$BV$50,BJ$2-24+1))</f>
        <v/>
      </c>
      <c r="BK29" s="5">
        <f>$B29*(Eras!$AA$3*INDEX(Curves!$C$4:$BV$4,BK$2-24+1)+Eras!$AA$4*INDEX(Curves!$C$27:$BV$27,BK$2-24+1)+Eras!$AA$5*INDEX(Curves!$C$50:$BV$50,BK$2-24+1))</f>
        <v/>
      </c>
      <c r="BL29" s="5">
        <f>$B29*(Eras!$AA$3*INDEX(Curves!$C$4:$BV$4,BL$2-24+1)+Eras!$AA$4*INDEX(Curves!$C$27:$BV$27,BL$2-24+1)+Eras!$AA$5*INDEX(Curves!$C$50:$BV$50,BL$2-24+1))</f>
        <v/>
      </c>
      <c r="BM29" s="5">
        <f>$B29*(Eras!$AA$3*INDEX(Curves!$C$4:$BV$4,BM$2-24+1)+Eras!$AA$4*INDEX(Curves!$C$27:$BV$27,BM$2-24+1)+Eras!$AA$5*INDEX(Curves!$C$50:$BV$50,BM$2-24+1))</f>
        <v/>
      </c>
      <c r="BN29" s="5">
        <f>$B29*(Eras!$AA$3*INDEX(Curves!$C$4:$BV$4,BN$2-24+1)+Eras!$AA$4*INDEX(Curves!$C$27:$BV$27,BN$2-24+1)+Eras!$AA$5*INDEX(Curves!$C$50:$BV$50,BN$2-24+1))</f>
        <v/>
      </c>
      <c r="BO29" s="5">
        <f>$B29*(Eras!$AA$3*INDEX(Curves!$C$4:$BV$4,BO$2-24+1)+Eras!$AA$4*INDEX(Curves!$C$27:$BV$27,BO$2-24+1)+Eras!$AA$5*INDEX(Curves!$C$50:$BV$50,BO$2-24+1))</f>
        <v/>
      </c>
      <c r="BP29" s="5">
        <f>$B29*(Eras!$AA$3*INDEX(Curves!$C$4:$BV$4,BP$2-24+1)+Eras!$AA$4*INDEX(Curves!$C$27:$BV$27,BP$2-24+1)+Eras!$AA$5*INDEX(Curves!$C$50:$BV$50,BP$2-24+1))</f>
        <v/>
      </c>
      <c r="BQ29" s="5">
        <f>$B29*(Eras!$AA$3*INDEX(Curves!$C$4:$BV$4,BQ$2-24+1)+Eras!$AA$4*INDEX(Curves!$C$27:$BV$27,BQ$2-24+1)+Eras!$AA$5*INDEX(Curves!$C$50:$BV$50,BQ$2-24+1))</f>
        <v/>
      </c>
      <c r="BR29" s="5">
        <f>$B29*(Eras!$AA$3*INDEX(Curves!$C$4:$BV$4,BR$2-24+1)+Eras!$AA$4*INDEX(Curves!$C$27:$BV$27,BR$2-24+1)+Eras!$AA$5*INDEX(Curves!$C$50:$BV$50,BR$2-24+1))</f>
        <v/>
      </c>
      <c r="BS29" s="5">
        <f>$B29*(Eras!$AA$3*INDEX(Curves!$C$4:$BV$4,BS$2-24+1)+Eras!$AA$4*INDEX(Curves!$C$27:$BV$27,BS$2-24+1)+Eras!$AA$5*INDEX(Curves!$C$50:$BV$50,BS$2-24+1))</f>
        <v/>
      </c>
      <c r="BT29" s="5">
        <f>$B29*(Eras!$AA$3*INDEX(Curves!$C$4:$BV$4,BT$2-24+1)+Eras!$AA$4*INDEX(Curves!$C$27:$BV$27,BT$2-24+1)+Eras!$AA$5*INDEX(Curves!$C$50:$BV$50,BT$2-24+1))</f>
        <v/>
      </c>
      <c r="BU29" s="5">
        <f>$B29*(Eras!$AA$3*INDEX(Curves!$C$4:$BV$4,BU$2-24+1)+Eras!$AA$4*INDEX(Curves!$C$27:$BV$27,BU$2-24+1)+Eras!$AA$5*INDEX(Curves!$C$50:$BV$50,BU$2-24+1))</f>
        <v/>
      </c>
      <c r="BV29" s="5">
        <f>$B29*(Eras!$AA$3*INDEX(Curves!$C$4:$BV$4,BV$2-24+1)+Eras!$AA$4*INDEX(Curves!$C$27:$BV$27,BV$2-24+1)+Eras!$AA$5*INDEX(Curves!$C$50:$BV$50,BV$2-24+1))</f>
        <v/>
      </c>
    </row>
    <row r="30">
      <c r="A30" t="inlineStr">
        <is>
          <t>cohort 2027-02</t>
        </is>
      </c>
      <c r="B30" s="5">
        <f>INDEX(Adds!$C$13:$BV$13,26)</f>
        <v/>
      </c>
      <c r="AB30" s="5">
        <f>$B30*(Eras!$AB$3*INDEX(Curves!$C$4:$BV$4,AB$2-25+1)+Eras!$AB$4*INDEX(Curves!$C$27:$BV$27,AB$2-25+1)+Eras!$AB$5*INDEX(Curves!$C$50:$BV$50,AB$2-25+1))</f>
        <v/>
      </c>
      <c r="AC30" s="5">
        <f>$B30*(Eras!$AB$3*INDEX(Curves!$C$4:$BV$4,AC$2-25+1)+Eras!$AB$4*INDEX(Curves!$C$27:$BV$27,AC$2-25+1)+Eras!$AB$5*INDEX(Curves!$C$50:$BV$50,AC$2-25+1))</f>
        <v/>
      </c>
      <c r="AD30" s="5">
        <f>$B30*(Eras!$AB$3*INDEX(Curves!$C$4:$BV$4,AD$2-25+1)+Eras!$AB$4*INDEX(Curves!$C$27:$BV$27,AD$2-25+1)+Eras!$AB$5*INDEX(Curves!$C$50:$BV$50,AD$2-25+1))</f>
        <v/>
      </c>
      <c r="AE30" s="5">
        <f>$B30*(Eras!$AB$3*INDEX(Curves!$C$4:$BV$4,AE$2-25+1)+Eras!$AB$4*INDEX(Curves!$C$27:$BV$27,AE$2-25+1)+Eras!$AB$5*INDEX(Curves!$C$50:$BV$50,AE$2-25+1))</f>
        <v/>
      </c>
      <c r="AF30" s="5">
        <f>$B30*(Eras!$AB$3*INDEX(Curves!$C$4:$BV$4,AF$2-25+1)+Eras!$AB$4*INDEX(Curves!$C$27:$BV$27,AF$2-25+1)+Eras!$AB$5*INDEX(Curves!$C$50:$BV$50,AF$2-25+1))</f>
        <v/>
      </c>
      <c r="AG30" s="5">
        <f>$B30*(Eras!$AB$3*INDEX(Curves!$C$4:$BV$4,AG$2-25+1)+Eras!$AB$4*INDEX(Curves!$C$27:$BV$27,AG$2-25+1)+Eras!$AB$5*INDEX(Curves!$C$50:$BV$50,AG$2-25+1))</f>
        <v/>
      </c>
      <c r="AH30" s="5">
        <f>$B30*(Eras!$AB$3*INDEX(Curves!$C$4:$BV$4,AH$2-25+1)+Eras!$AB$4*INDEX(Curves!$C$27:$BV$27,AH$2-25+1)+Eras!$AB$5*INDEX(Curves!$C$50:$BV$50,AH$2-25+1))</f>
        <v/>
      </c>
      <c r="AI30" s="5">
        <f>$B30*(Eras!$AB$3*INDEX(Curves!$C$4:$BV$4,AI$2-25+1)+Eras!$AB$4*INDEX(Curves!$C$27:$BV$27,AI$2-25+1)+Eras!$AB$5*INDEX(Curves!$C$50:$BV$50,AI$2-25+1))</f>
        <v/>
      </c>
      <c r="AJ30" s="5">
        <f>$B30*(Eras!$AB$3*INDEX(Curves!$C$4:$BV$4,AJ$2-25+1)+Eras!$AB$4*INDEX(Curves!$C$27:$BV$27,AJ$2-25+1)+Eras!$AB$5*INDEX(Curves!$C$50:$BV$50,AJ$2-25+1))</f>
        <v/>
      </c>
      <c r="AK30" s="5">
        <f>$B30*(Eras!$AB$3*INDEX(Curves!$C$4:$BV$4,AK$2-25+1)+Eras!$AB$4*INDEX(Curves!$C$27:$BV$27,AK$2-25+1)+Eras!$AB$5*INDEX(Curves!$C$50:$BV$50,AK$2-25+1))</f>
        <v/>
      </c>
      <c r="AL30" s="5">
        <f>$B30*(Eras!$AB$3*INDEX(Curves!$C$4:$BV$4,AL$2-25+1)+Eras!$AB$4*INDEX(Curves!$C$27:$BV$27,AL$2-25+1)+Eras!$AB$5*INDEX(Curves!$C$50:$BV$50,AL$2-25+1))</f>
        <v/>
      </c>
      <c r="AM30" s="5">
        <f>$B30*(Eras!$AB$3*INDEX(Curves!$C$4:$BV$4,AM$2-25+1)+Eras!$AB$4*INDEX(Curves!$C$27:$BV$27,AM$2-25+1)+Eras!$AB$5*INDEX(Curves!$C$50:$BV$50,AM$2-25+1))</f>
        <v/>
      </c>
      <c r="AN30" s="5">
        <f>$B30*(Eras!$AB$3*INDEX(Curves!$C$4:$BV$4,AN$2-25+1)+Eras!$AB$4*INDEX(Curves!$C$27:$BV$27,AN$2-25+1)+Eras!$AB$5*INDEX(Curves!$C$50:$BV$50,AN$2-25+1))</f>
        <v/>
      </c>
      <c r="AO30" s="5">
        <f>$B30*(Eras!$AB$3*INDEX(Curves!$C$4:$BV$4,AO$2-25+1)+Eras!$AB$4*INDEX(Curves!$C$27:$BV$27,AO$2-25+1)+Eras!$AB$5*INDEX(Curves!$C$50:$BV$50,AO$2-25+1))</f>
        <v/>
      </c>
      <c r="AP30" s="5">
        <f>$B30*(Eras!$AB$3*INDEX(Curves!$C$4:$BV$4,AP$2-25+1)+Eras!$AB$4*INDEX(Curves!$C$27:$BV$27,AP$2-25+1)+Eras!$AB$5*INDEX(Curves!$C$50:$BV$50,AP$2-25+1))</f>
        <v/>
      </c>
      <c r="AQ30" s="5">
        <f>$B30*(Eras!$AB$3*INDEX(Curves!$C$4:$BV$4,AQ$2-25+1)+Eras!$AB$4*INDEX(Curves!$C$27:$BV$27,AQ$2-25+1)+Eras!$AB$5*INDEX(Curves!$C$50:$BV$50,AQ$2-25+1))</f>
        <v/>
      </c>
      <c r="AR30" s="5">
        <f>$B30*(Eras!$AB$3*INDEX(Curves!$C$4:$BV$4,AR$2-25+1)+Eras!$AB$4*INDEX(Curves!$C$27:$BV$27,AR$2-25+1)+Eras!$AB$5*INDEX(Curves!$C$50:$BV$50,AR$2-25+1))</f>
        <v/>
      </c>
      <c r="AS30" s="5">
        <f>$B30*(Eras!$AB$3*INDEX(Curves!$C$4:$BV$4,AS$2-25+1)+Eras!$AB$4*INDEX(Curves!$C$27:$BV$27,AS$2-25+1)+Eras!$AB$5*INDEX(Curves!$C$50:$BV$50,AS$2-25+1))</f>
        <v/>
      </c>
      <c r="AT30" s="5">
        <f>$B30*(Eras!$AB$3*INDEX(Curves!$C$4:$BV$4,AT$2-25+1)+Eras!$AB$4*INDEX(Curves!$C$27:$BV$27,AT$2-25+1)+Eras!$AB$5*INDEX(Curves!$C$50:$BV$50,AT$2-25+1))</f>
        <v/>
      </c>
      <c r="AU30" s="5">
        <f>$B30*(Eras!$AB$3*INDEX(Curves!$C$4:$BV$4,AU$2-25+1)+Eras!$AB$4*INDEX(Curves!$C$27:$BV$27,AU$2-25+1)+Eras!$AB$5*INDEX(Curves!$C$50:$BV$50,AU$2-25+1))</f>
        <v/>
      </c>
      <c r="AV30" s="5">
        <f>$B30*(Eras!$AB$3*INDEX(Curves!$C$4:$BV$4,AV$2-25+1)+Eras!$AB$4*INDEX(Curves!$C$27:$BV$27,AV$2-25+1)+Eras!$AB$5*INDEX(Curves!$C$50:$BV$50,AV$2-25+1))</f>
        <v/>
      </c>
      <c r="AW30" s="5">
        <f>$B30*(Eras!$AB$3*INDEX(Curves!$C$4:$BV$4,AW$2-25+1)+Eras!$AB$4*INDEX(Curves!$C$27:$BV$27,AW$2-25+1)+Eras!$AB$5*INDEX(Curves!$C$50:$BV$50,AW$2-25+1))</f>
        <v/>
      </c>
      <c r="AX30" s="5">
        <f>$B30*(Eras!$AB$3*INDEX(Curves!$C$4:$BV$4,AX$2-25+1)+Eras!$AB$4*INDEX(Curves!$C$27:$BV$27,AX$2-25+1)+Eras!$AB$5*INDEX(Curves!$C$50:$BV$50,AX$2-25+1))</f>
        <v/>
      </c>
      <c r="AY30" s="5">
        <f>$B30*(Eras!$AB$3*INDEX(Curves!$C$4:$BV$4,AY$2-25+1)+Eras!$AB$4*INDEX(Curves!$C$27:$BV$27,AY$2-25+1)+Eras!$AB$5*INDEX(Curves!$C$50:$BV$50,AY$2-25+1))</f>
        <v/>
      </c>
      <c r="AZ30" s="5">
        <f>$B30*(Eras!$AB$3*INDEX(Curves!$C$4:$BV$4,AZ$2-25+1)+Eras!$AB$4*INDEX(Curves!$C$27:$BV$27,AZ$2-25+1)+Eras!$AB$5*INDEX(Curves!$C$50:$BV$50,AZ$2-25+1))</f>
        <v/>
      </c>
      <c r="BA30" s="5">
        <f>$B30*(Eras!$AB$3*INDEX(Curves!$C$4:$BV$4,BA$2-25+1)+Eras!$AB$4*INDEX(Curves!$C$27:$BV$27,BA$2-25+1)+Eras!$AB$5*INDEX(Curves!$C$50:$BV$50,BA$2-25+1))</f>
        <v/>
      </c>
      <c r="BB30" s="5">
        <f>$B30*(Eras!$AB$3*INDEX(Curves!$C$4:$BV$4,BB$2-25+1)+Eras!$AB$4*INDEX(Curves!$C$27:$BV$27,BB$2-25+1)+Eras!$AB$5*INDEX(Curves!$C$50:$BV$50,BB$2-25+1))</f>
        <v/>
      </c>
      <c r="BC30" s="5">
        <f>$B30*(Eras!$AB$3*INDEX(Curves!$C$4:$BV$4,BC$2-25+1)+Eras!$AB$4*INDEX(Curves!$C$27:$BV$27,BC$2-25+1)+Eras!$AB$5*INDEX(Curves!$C$50:$BV$50,BC$2-25+1))</f>
        <v/>
      </c>
      <c r="BD30" s="5">
        <f>$B30*(Eras!$AB$3*INDEX(Curves!$C$4:$BV$4,BD$2-25+1)+Eras!$AB$4*INDEX(Curves!$C$27:$BV$27,BD$2-25+1)+Eras!$AB$5*INDEX(Curves!$C$50:$BV$50,BD$2-25+1))</f>
        <v/>
      </c>
      <c r="BE30" s="5">
        <f>$B30*(Eras!$AB$3*INDEX(Curves!$C$4:$BV$4,BE$2-25+1)+Eras!$AB$4*INDEX(Curves!$C$27:$BV$27,BE$2-25+1)+Eras!$AB$5*INDEX(Curves!$C$50:$BV$50,BE$2-25+1))</f>
        <v/>
      </c>
      <c r="BF30" s="5">
        <f>$B30*(Eras!$AB$3*INDEX(Curves!$C$4:$BV$4,BF$2-25+1)+Eras!$AB$4*INDEX(Curves!$C$27:$BV$27,BF$2-25+1)+Eras!$AB$5*INDEX(Curves!$C$50:$BV$50,BF$2-25+1))</f>
        <v/>
      </c>
      <c r="BG30" s="5">
        <f>$B30*(Eras!$AB$3*INDEX(Curves!$C$4:$BV$4,BG$2-25+1)+Eras!$AB$4*INDEX(Curves!$C$27:$BV$27,BG$2-25+1)+Eras!$AB$5*INDEX(Curves!$C$50:$BV$50,BG$2-25+1))</f>
        <v/>
      </c>
      <c r="BH30" s="5">
        <f>$B30*(Eras!$AB$3*INDEX(Curves!$C$4:$BV$4,BH$2-25+1)+Eras!$AB$4*INDEX(Curves!$C$27:$BV$27,BH$2-25+1)+Eras!$AB$5*INDEX(Curves!$C$50:$BV$50,BH$2-25+1))</f>
        <v/>
      </c>
      <c r="BI30" s="5">
        <f>$B30*(Eras!$AB$3*INDEX(Curves!$C$4:$BV$4,BI$2-25+1)+Eras!$AB$4*INDEX(Curves!$C$27:$BV$27,BI$2-25+1)+Eras!$AB$5*INDEX(Curves!$C$50:$BV$50,BI$2-25+1))</f>
        <v/>
      </c>
      <c r="BJ30" s="5">
        <f>$B30*(Eras!$AB$3*INDEX(Curves!$C$4:$BV$4,BJ$2-25+1)+Eras!$AB$4*INDEX(Curves!$C$27:$BV$27,BJ$2-25+1)+Eras!$AB$5*INDEX(Curves!$C$50:$BV$50,BJ$2-25+1))</f>
        <v/>
      </c>
      <c r="BK30" s="5">
        <f>$B30*(Eras!$AB$3*INDEX(Curves!$C$4:$BV$4,BK$2-25+1)+Eras!$AB$4*INDEX(Curves!$C$27:$BV$27,BK$2-25+1)+Eras!$AB$5*INDEX(Curves!$C$50:$BV$50,BK$2-25+1))</f>
        <v/>
      </c>
      <c r="BL30" s="5">
        <f>$B30*(Eras!$AB$3*INDEX(Curves!$C$4:$BV$4,BL$2-25+1)+Eras!$AB$4*INDEX(Curves!$C$27:$BV$27,BL$2-25+1)+Eras!$AB$5*INDEX(Curves!$C$50:$BV$50,BL$2-25+1))</f>
        <v/>
      </c>
      <c r="BM30" s="5">
        <f>$B30*(Eras!$AB$3*INDEX(Curves!$C$4:$BV$4,BM$2-25+1)+Eras!$AB$4*INDEX(Curves!$C$27:$BV$27,BM$2-25+1)+Eras!$AB$5*INDEX(Curves!$C$50:$BV$50,BM$2-25+1))</f>
        <v/>
      </c>
      <c r="BN30" s="5">
        <f>$B30*(Eras!$AB$3*INDEX(Curves!$C$4:$BV$4,BN$2-25+1)+Eras!$AB$4*INDEX(Curves!$C$27:$BV$27,BN$2-25+1)+Eras!$AB$5*INDEX(Curves!$C$50:$BV$50,BN$2-25+1))</f>
        <v/>
      </c>
      <c r="BO30" s="5">
        <f>$B30*(Eras!$AB$3*INDEX(Curves!$C$4:$BV$4,BO$2-25+1)+Eras!$AB$4*INDEX(Curves!$C$27:$BV$27,BO$2-25+1)+Eras!$AB$5*INDEX(Curves!$C$50:$BV$50,BO$2-25+1))</f>
        <v/>
      </c>
      <c r="BP30" s="5">
        <f>$B30*(Eras!$AB$3*INDEX(Curves!$C$4:$BV$4,BP$2-25+1)+Eras!$AB$4*INDEX(Curves!$C$27:$BV$27,BP$2-25+1)+Eras!$AB$5*INDEX(Curves!$C$50:$BV$50,BP$2-25+1))</f>
        <v/>
      </c>
      <c r="BQ30" s="5">
        <f>$B30*(Eras!$AB$3*INDEX(Curves!$C$4:$BV$4,BQ$2-25+1)+Eras!$AB$4*INDEX(Curves!$C$27:$BV$27,BQ$2-25+1)+Eras!$AB$5*INDEX(Curves!$C$50:$BV$50,BQ$2-25+1))</f>
        <v/>
      </c>
      <c r="BR30" s="5">
        <f>$B30*(Eras!$AB$3*INDEX(Curves!$C$4:$BV$4,BR$2-25+1)+Eras!$AB$4*INDEX(Curves!$C$27:$BV$27,BR$2-25+1)+Eras!$AB$5*INDEX(Curves!$C$50:$BV$50,BR$2-25+1))</f>
        <v/>
      </c>
      <c r="BS30" s="5">
        <f>$B30*(Eras!$AB$3*INDEX(Curves!$C$4:$BV$4,BS$2-25+1)+Eras!$AB$4*INDEX(Curves!$C$27:$BV$27,BS$2-25+1)+Eras!$AB$5*INDEX(Curves!$C$50:$BV$50,BS$2-25+1))</f>
        <v/>
      </c>
      <c r="BT30" s="5">
        <f>$B30*(Eras!$AB$3*INDEX(Curves!$C$4:$BV$4,BT$2-25+1)+Eras!$AB$4*INDEX(Curves!$C$27:$BV$27,BT$2-25+1)+Eras!$AB$5*INDEX(Curves!$C$50:$BV$50,BT$2-25+1))</f>
        <v/>
      </c>
      <c r="BU30" s="5">
        <f>$B30*(Eras!$AB$3*INDEX(Curves!$C$4:$BV$4,BU$2-25+1)+Eras!$AB$4*INDEX(Curves!$C$27:$BV$27,BU$2-25+1)+Eras!$AB$5*INDEX(Curves!$C$50:$BV$50,BU$2-25+1))</f>
        <v/>
      </c>
      <c r="BV30" s="5">
        <f>$B30*(Eras!$AB$3*INDEX(Curves!$C$4:$BV$4,BV$2-25+1)+Eras!$AB$4*INDEX(Curves!$C$27:$BV$27,BV$2-25+1)+Eras!$AB$5*INDEX(Curves!$C$50:$BV$50,BV$2-25+1))</f>
        <v/>
      </c>
    </row>
    <row r="31">
      <c r="A31" t="inlineStr">
        <is>
          <t>cohort 2027-03</t>
        </is>
      </c>
      <c r="B31" s="5">
        <f>INDEX(Adds!$C$13:$BV$13,27)</f>
        <v/>
      </c>
      <c r="AC31" s="5">
        <f>$B31*(Eras!$AC$3*INDEX(Curves!$C$4:$BV$4,AC$2-26+1)+Eras!$AC$4*INDEX(Curves!$C$27:$BV$27,AC$2-26+1)+Eras!$AC$5*INDEX(Curves!$C$50:$BV$50,AC$2-26+1))</f>
        <v/>
      </c>
      <c r="AD31" s="5">
        <f>$B31*(Eras!$AC$3*INDEX(Curves!$C$4:$BV$4,AD$2-26+1)+Eras!$AC$4*INDEX(Curves!$C$27:$BV$27,AD$2-26+1)+Eras!$AC$5*INDEX(Curves!$C$50:$BV$50,AD$2-26+1))</f>
        <v/>
      </c>
      <c r="AE31" s="5">
        <f>$B31*(Eras!$AC$3*INDEX(Curves!$C$4:$BV$4,AE$2-26+1)+Eras!$AC$4*INDEX(Curves!$C$27:$BV$27,AE$2-26+1)+Eras!$AC$5*INDEX(Curves!$C$50:$BV$50,AE$2-26+1))</f>
        <v/>
      </c>
      <c r="AF31" s="5">
        <f>$B31*(Eras!$AC$3*INDEX(Curves!$C$4:$BV$4,AF$2-26+1)+Eras!$AC$4*INDEX(Curves!$C$27:$BV$27,AF$2-26+1)+Eras!$AC$5*INDEX(Curves!$C$50:$BV$50,AF$2-26+1))</f>
        <v/>
      </c>
      <c r="AG31" s="5">
        <f>$B31*(Eras!$AC$3*INDEX(Curves!$C$4:$BV$4,AG$2-26+1)+Eras!$AC$4*INDEX(Curves!$C$27:$BV$27,AG$2-26+1)+Eras!$AC$5*INDEX(Curves!$C$50:$BV$50,AG$2-26+1))</f>
        <v/>
      </c>
      <c r="AH31" s="5">
        <f>$B31*(Eras!$AC$3*INDEX(Curves!$C$4:$BV$4,AH$2-26+1)+Eras!$AC$4*INDEX(Curves!$C$27:$BV$27,AH$2-26+1)+Eras!$AC$5*INDEX(Curves!$C$50:$BV$50,AH$2-26+1))</f>
        <v/>
      </c>
      <c r="AI31" s="5">
        <f>$B31*(Eras!$AC$3*INDEX(Curves!$C$4:$BV$4,AI$2-26+1)+Eras!$AC$4*INDEX(Curves!$C$27:$BV$27,AI$2-26+1)+Eras!$AC$5*INDEX(Curves!$C$50:$BV$50,AI$2-26+1))</f>
        <v/>
      </c>
      <c r="AJ31" s="5">
        <f>$B31*(Eras!$AC$3*INDEX(Curves!$C$4:$BV$4,AJ$2-26+1)+Eras!$AC$4*INDEX(Curves!$C$27:$BV$27,AJ$2-26+1)+Eras!$AC$5*INDEX(Curves!$C$50:$BV$50,AJ$2-26+1))</f>
        <v/>
      </c>
      <c r="AK31" s="5">
        <f>$B31*(Eras!$AC$3*INDEX(Curves!$C$4:$BV$4,AK$2-26+1)+Eras!$AC$4*INDEX(Curves!$C$27:$BV$27,AK$2-26+1)+Eras!$AC$5*INDEX(Curves!$C$50:$BV$50,AK$2-26+1))</f>
        <v/>
      </c>
      <c r="AL31" s="5">
        <f>$B31*(Eras!$AC$3*INDEX(Curves!$C$4:$BV$4,AL$2-26+1)+Eras!$AC$4*INDEX(Curves!$C$27:$BV$27,AL$2-26+1)+Eras!$AC$5*INDEX(Curves!$C$50:$BV$50,AL$2-26+1))</f>
        <v/>
      </c>
      <c r="AM31" s="5">
        <f>$B31*(Eras!$AC$3*INDEX(Curves!$C$4:$BV$4,AM$2-26+1)+Eras!$AC$4*INDEX(Curves!$C$27:$BV$27,AM$2-26+1)+Eras!$AC$5*INDEX(Curves!$C$50:$BV$50,AM$2-26+1))</f>
        <v/>
      </c>
      <c r="AN31" s="5">
        <f>$B31*(Eras!$AC$3*INDEX(Curves!$C$4:$BV$4,AN$2-26+1)+Eras!$AC$4*INDEX(Curves!$C$27:$BV$27,AN$2-26+1)+Eras!$AC$5*INDEX(Curves!$C$50:$BV$50,AN$2-26+1))</f>
        <v/>
      </c>
      <c r="AO31" s="5">
        <f>$B31*(Eras!$AC$3*INDEX(Curves!$C$4:$BV$4,AO$2-26+1)+Eras!$AC$4*INDEX(Curves!$C$27:$BV$27,AO$2-26+1)+Eras!$AC$5*INDEX(Curves!$C$50:$BV$50,AO$2-26+1))</f>
        <v/>
      </c>
      <c r="AP31" s="5">
        <f>$B31*(Eras!$AC$3*INDEX(Curves!$C$4:$BV$4,AP$2-26+1)+Eras!$AC$4*INDEX(Curves!$C$27:$BV$27,AP$2-26+1)+Eras!$AC$5*INDEX(Curves!$C$50:$BV$50,AP$2-26+1))</f>
        <v/>
      </c>
      <c r="AQ31" s="5">
        <f>$B31*(Eras!$AC$3*INDEX(Curves!$C$4:$BV$4,AQ$2-26+1)+Eras!$AC$4*INDEX(Curves!$C$27:$BV$27,AQ$2-26+1)+Eras!$AC$5*INDEX(Curves!$C$50:$BV$50,AQ$2-26+1))</f>
        <v/>
      </c>
      <c r="AR31" s="5">
        <f>$B31*(Eras!$AC$3*INDEX(Curves!$C$4:$BV$4,AR$2-26+1)+Eras!$AC$4*INDEX(Curves!$C$27:$BV$27,AR$2-26+1)+Eras!$AC$5*INDEX(Curves!$C$50:$BV$50,AR$2-26+1))</f>
        <v/>
      </c>
      <c r="AS31" s="5">
        <f>$B31*(Eras!$AC$3*INDEX(Curves!$C$4:$BV$4,AS$2-26+1)+Eras!$AC$4*INDEX(Curves!$C$27:$BV$27,AS$2-26+1)+Eras!$AC$5*INDEX(Curves!$C$50:$BV$50,AS$2-26+1))</f>
        <v/>
      </c>
      <c r="AT31" s="5">
        <f>$B31*(Eras!$AC$3*INDEX(Curves!$C$4:$BV$4,AT$2-26+1)+Eras!$AC$4*INDEX(Curves!$C$27:$BV$27,AT$2-26+1)+Eras!$AC$5*INDEX(Curves!$C$50:$BV$50,AT$2-26+1))</f>
        <v/>
      </c>
      <c r="AU31" s="5">
        <f>$B31*(Eras!$AC$3*INDEX(Curves!$C$4:$BV$4,AU$2-26+1)+Eras!$AC$4*INDEX(Curves!$C$27:$BV$27,AU$2-26+1)+Eras!$AC$5*INDEX(Curves!$C$50:$BV$50,AU$2-26+1))</f>
        <v/>
      </c>
      <c r="AV31" s="5">
        <f>$B31*(Eras!$AC$3*INDEX(Curves!$C$4:$BV$4,AV$2-26+1)+Eras!$AC$4*INDEX(Curves!$C$27:$BV$27,AV$2-26+1)+Eras!$AC$5*INDEX(Curves!$C$50:$BV$50,AV$2-26+1))</f>
        <v/>
      </c>
      <c r="AW31" s="5">
        <f>$B31*(Eras!$AC$3*INDEX(Curves!$C$4:$BV$4,AW$2-26+1)+Eras!$AC$4*INDEX(Curves!$C$27:$BV$27,AW$2-26+1)+Eras!$AC$5*INDEX(Curves!$C$50:$BV$50,AW$2-26+1))</f>
        <v/>
      </c>
      <c r="AX31" s="5">
        <f>$B31*(Eras!$AC$3*INDEX(Curves!$C$4:$BV$4,AX$2-26+1)+Eras!$AC$4*INDEX(Curves!$C$27:$BV$27,AX$2-26+1)+Eras!$AC$5*INDEX(Curves!$C$50:$BV$50,AX$2-26+1))</f>
        <v/>
      </c>
      <c r="AY31" s="5">
        <f>$B31*(Eras!$AC$3*INDEX(Curves!$C$4:$BV$4,AY$2-26+1)+Eras!$AC$4*INDEX(Curves!$C$27:$BV$27,AY$2-26+1)+Eras!$AC$5*INDEX(Curves!$C$50:$BV$50,AY$2-26+1))</f>
        <v/>
      </c>
      <c r="AZ31" s="5">
        <f>$B31*(Eras!$AC$3*INDEX(Curves!$C$4:$BV$4,AZ$2-26+1)+Eras!$AC$4*INDEX(Curves!$C$27:$BV$27,AZ$2-26+1)+Eras!$AC$5*INDEX(Curves!$C$50:$BV$50,AZ$2-26+1))</f>
        <v/>
      </c>
      <c r="BA31" s="5">
        <f>$B31*(Eras!$AC$3*INDEX(Curves!$C$4:$BV$4,BA$2-26+1)+Eras!$AC$4*INDEX(Curves!$C$27:$BV$27,BA$2-26+1)+Eras!$AC$5*INDEX(Curves!$C$50:$BV$50,BA$2-26+1))</f>
        <v/>
      </c>
      <c r="BB31" s="5">
        <f>$B31*(Eras!$AC$3*INDEX(Curves!$C$4:$BV$4,BB$2-26+1)+Eras!$AC$4*INDEX(Curves!$C$27:$BV$27,BB$2-26+1)+Eras!$AC$5*INDEX(Curves!$C$50:$BV$50,BB$2-26+1))</f>
        <v/>
      </c>
      <c r="BC31" s="5">
        <f>$B31*(Eras!$AC$3*INDEX(Curves!$C$4:$BV$4,BC$2-26+1)+Eras!$AC$4*INDEX(Curves!$C$27:$BV$27,BC$2-26+1)+Eras!$AC$5*INDEX(Curves!$C$50:$BV$50,BC$2-26+1))</f>
        <v/>
      </c>
      <c r="BD31" s="5">
        <f>$B31*(Eras!$AC$3*INDEX(Curves!$C$4:$BV$4,BD$2-26+1)+Eras!$AC$4*INDEX(Curves!$C$27:$BV$27,BD$2-26+1)+Eras!$AC$5*INDEX(Curves!$C$50:$BV$50,BD$2-26+1))</f>
        <v/>
      </c>
      <c r="BE31" s="5">
        <f>$B31*(Eras!$AC$3*INDEX(Curves!$C$4:$BV$4,BE$2-26+1)+Eras!$AC$4*INDEX(Curves!$C$27:$BV$27,BE$2-26+1)+Eras!$AC$5*INDEX(Curves!$C$50:$BV$50,BE$2-26+1))</f>
        <v/>
      </c>
      <c r="BF31" s="5">
        <f>$B31*(Eras!$AC$3*INDEX(Curves!$C$4:$BV$4,BF$2-26+1)+Eras!$AC$4*INDEX(Curves!$C$27:$BV$27,BF$2-26+1)+Eras!$AC$5*INDEX(Curves!$C$50:$BV$50,BF$2-26+1))</f>
        <v/>
      </c>
      <c r="BG31" s="5">
        <f>$B31*(Eras!$AC$3*INDEX(Curves!$C$4:$BV$4,BG$2-26+1)+Eras!$AC$4*INDEX(Curves!$C$27:$BV$27,BG$2-26+1)+Eras!$AC$5*INDEX(Curves!$C$50:$BV$50,BG$2-26+1))</f>
        <v/>
      </c>
      <c r="BH31" s="5">
        <f>$B31*(Eras!$AC$3*INDEX(Curves!$C$4:$BV$4,BH$2-26+1)+Eras!$AC$4*INDEX(Curves!$C$27:$BV$27,BH$2-26+1)+Eras!$AC$5*INDEX(Curves!$C$50:$BV$50,BH$2-26+1))</f>
        <v/>
      </c>
      <c r="BI31" s="5">
        <f>$B31*(Eras!$AC$3*INDEX(Curves!$C$4:$BV$4,BI$2-26+1)+Eras!$AC$4*INDEX(Curves!$C$27:$BV$27,BI$2-26+1)+Eras!$AC$5*INDEX(Curves!$C$50:$BV$50,BI$2-26+1))</f>
        <v/>
      </c>
      <c r="BJ31" s="5">
        <f>$B31*(Eras!$AC$3*INDEX(Curves!$C$4:$BV$4,BJ$2-26+1)+Eras!$AC$4*INDEX(Curves!$C$27:$BV$27,BJ$2-26+1)+Eras!$AC$5*INDEX(Curves!$C$50:$BV$50,BJ$2-26+1))</f>
        <v/>
      </c>
      <c r="BK31" s="5">
        <f>$B31*(Eras!$AC$3*INDEX(Curves!$C$4:$BV$4,BK$2-26+1)+Eras!$AC$4*INDEX(Curves!$C$27:$BV$27,BK$2-26+1)+Eras!$AC$5*INDEX(Curves!$C$50:$BV$50,BK$2-26+1))</f>
        <v/>
      </c>
      <c r="BL31" s="5">
        <f>$B31*(Eras!$AC$3*INDEX(Curves!$C$4:$BV$4,BL$2-26+1)+Eras!$AC$4*INDEX(Curves!$C$27:$BV$27,BL$2-26+1)+Eras!$AC$5*INDEX(Curves!$C$50:$BV$50,BL$2-26+1))</f>
        <v/>
      </c>
      <c r="BM31" s="5">
        <f>$B31*(Eras!$AC$3*INDEX(Curves!$C$4:$BV$4,BM$2-26+1)+Eras!$AC$4*INDEX(Curves!$C$27:$BV$27,BM$2-26+1)+Eras!$AC$5*INDEX(Curves!$C$50:$BV$50,BM$2-26+1))</f>
        <v/>
      </c>
      <c r="BN31" s="5">
        <f>$B31*(Eras!$AC$3*INDEX(Curves!$C$4:$BV$4,BN$2-26+1)+Eras!$AC$4*INDEX(Curves!$C$27:$BV$27,BN$2-26+1)+Eras!$AC$5*INDEX(Curves!$C$50:$BV$50,BN$2-26+1))</f>
        <v/>
      </c>
      <c r="BO31" s="5">
        <f>$B31*(Eras!$AC$3*INDEX(Curves!$C$4:$BV$4,BO$2-26+1)+Eras!$AC$4*INDEX(Curves!$C$27:$BV$27,BO$2-26+1)+Eras!$AC$5*INDEX(Curves!$C$50:$BV$50,BO$2-26+1))</f>
        <v/>
      </c>
      <c r="BP31" s="5">
        <f>$B31*(Eras!$AC$3*INDEX(Curves!$C$4:$BV$4,BP$2-26+1)+Eras!$AC$4*INDEX(Curves!$C$27:$BV$27,BP$2-26+1)+Eras!$AC$5*INDEX(Curves!$C$50:$BV$50,BP$2-26+1))</f>
        <v/>
      </c>
      <c r="BQ31" s="5">
        <f>$B31*(Eras!$AC$3*INDEX(Curves!$C$4:$BV$4,BQ$2-26+1)+Eras!$AC$4*INDEX(Curves!$C$27:$BV$27,BQ$2-26+1)+Eras!$AC$5*INDEX(Curves!$C$50:$BV$50,BQ$2-26+1))</f>
        <v/>
      </c>
      <c r="BR31" s="5">
        <f>$B31*(Eras!$AC$3*INDEX(Curves!$C$4:$BV$4,BR$2-26+1)+Eras!$AC$4*INDEX(Curves!$C$27:$BV$27,BR$2-26+1)+Eras!$AC$5*INDEX(Curves!$C$50:$BV$50,BR$2-26+1))</f>
        <v/>
      </c>
      <c r="BS31" s="5">
        <f>$B31*(Eras!$AC$3*INDEX(Curves!$C$4:$BV$4,BS$2-26+1)+Eras!$AC$4*INDEX(Curves!$C$27:$BV$27,BS$2-26+1)+Eras!$AC$5*INDEX(Curves!$C$50:$BV$50,BS$2-26+1))</f>
        <v/>
      </c>
      <c r="BT31" s="5">
        <f>$B31*(Eras!$AC$3*INDEX(Curves!$C$4:$BV$4,BT$2-26+1)+Eras!$AC$4*INDEX(Curves!$C$27:$BV$27,BT$2-26+1)+Eras!$AC$5*INDEX(Curves!$C$50:$BV$50,BT$2-26+1))</f>
        <v/>
      </c>
      <c r="BU31" s="5">
        <f>$B31*(Eras!$AC$3*INDEX(Curves!$C$4:$BV$4,BU$2-26+1)+Eras!$AC$4*INDEX(Curves!$C$27:$BV$27,BU$2-26+1)+Eras!$AC$5*INDEX(Curves!$C$50:$BV$50,BU$2-26+1))</f>
        <v/>
      </c>
      <c r="BV31" s="5">
        <f>$B31*(Eras!$AC$3*INDEX(Curves!$C$4:$BV$4,BV$2-26+1)+Eras!$AC$4*INDEX(Curves!$C$27:$BV$27,BV$2-26+1)+Eras!$AC$5*INDEX(Curves!$C$50:$BV$50,BV$2-26+1))</f>
        <v/>
      </c>
    </row>
    <row r="32">
      <c r="A32" t="inlineStr">
        <is>
          <t>cohort 2027-04</t>
        </is>
      </c>
      <c r="B32" s="5">
        <f>INDEX(Adds!$C$13:$BV$13,28)</f>
        <v/>
      </c>
      <c r="AD32" s="5">
        <f>$B32*(Eras!$AD$3*INDEX(Curves!$C$4:$BV$4,AD$2-27+1)+Eras!$AD$4*INDEX(Curves!$C$27:$BV$27,AD$2-27+1)+Eras!$AD$5*INDEX(Curves!$C$50:$BV$50,AD$2-27+1))</f>
        <v/>
      </c>
      <c r="AE32" s="5">
        <f>$B32*(Eras!$AD$3*INDEX(Curves!$C$4:$BV$4,AE$2-27+1)+Eras!$AD$4*INDEX(Curves!$C$27:$BV$27,AE$2-27+1)+Eras!$AD$5*INDEX(Curves!$C$50:$BV$50,AE$2-27+1))</f>
        <v/>
      </c>
      <c r="AF32" s="5">
        <f>$B32*(Eras!$AD$3*INDEX(Curves!$C$4:$BV$4,AF$2-27+1)+Eras!$AD$4*INDEX(Curves!$C$27:$BV$27,AF$2-27+1)+Eras!$AD$5*INDEX(Curves!$C$50:$BV$50,AF$2-27+1))</f>
        <v/>
      </c>
      <c r="AG32" s="5">
        <f>$B32*(Eras!$AD$3*INDEX(Curves!$C$4:$BV$4,AG$2-27+1)+Eras!$AD$4*INDEX(Curves!$C$27:$BV$27,AG$2-27+1)+Eras!$AD$5*INDEX(Curves!$C$50:$BV$50,AG$2-27+1))</f>
        <v/>
      </c>
      <c r="AH32" s="5">
        <f>$B32*(Eras!$AD$3*INDEX(Curves!$C$4:$BV$4,AH$2-27+1)+Eras!$AD$4*INDEX(Curves!$C$27:$BV$27,AH$2-27+1)+Eras!$AD$5*INDEX(Curves!$C$50:$BV$50,AH$2-27+1))</f>
        <v/>
      </c>
      <c r="AI32" s="5">
        <f>$B32*(Eras!$AD$3*INDEX(Curves!$C$4:$BV$4,AI$2-27+1)+Eras!$AD$4*INDEX(Curves!$C$27:$BV$27,AI$2-27+1)+Eras!$AD$5*INDEX(Curves!$C$50:$BV$50,AI$2-27+1))</f>
        <v/>
      </c>
      <c r="AJ32" s="5">
        <f>$B32*(Eras!$AD$3*INDEX(Curves!$C$4:$BV$4,AJ$2-27+1)+Eras!$AD$4*INDEX(Curves!$C$27:$BV$27,AJ$2-27+1)+Eras!$AD$5*INDEX(Curves!$C$50:$BV$50,AJ$2-27+1))</f>
        <v/>
      </c>
      <c r="AK32" s="5">
        <f>$B32*(Eras!$AD$3*INDEX(Curves!$C$4:$BV$4,AK$2-27+1)+Eras!$AD$4*INDEX(Curves!$C$27:$BV$27,AK$2-27+1)+Eras!$AD$5*INDEX(Curves!$C$50:$BV$50,AK$2-27+1))</f>
        <v/>
      </c>
      <c r="AL32" s="5">
        <f>$B32*(Eras!$AD$3*INDEX(Curves!$C$4:$BV$4,AL$2-27+1)+Eras!$AD$4*INDEX(Curves!$C$27:$BV$27,AL$2-27+1)+Eras!$AD$5*INDEX(Curves!$C$50:$BV$50,AL$2-27+1))</f>
        <v/>
      </c>
      <c r="AM32" s="5">
        <f>$B32*(Eras!$AD$3*INDEX(Curves!$C$4:$BV$4,AM$2-27+1)+Eras!$AD$4*INDEX(Curves!$C$27:$BV$27,AM$2-27+1)+Eras!$AD$5*INDEX(Curves!$C$50:$BV$50,AM$2-27+1))</f>
        <v/>
      </c>
      <c r="AN32" s="5">
        <f>$B32*(Eras!$AD$3*INDEX(Curves!$C$4:$BV$4,AN$2-27+1)+Eras!$AD$4*INDEX(Curves!$C$27:$BV$27,AN$2-27+1)+Eras!$AD$5*INDEX(Curves!$C$50:$BV$50,AN$2-27+1))</f>
        <v/>
      </c>
      <c r="AO32" s="5">
        <f>$B32*(Eras!$AD$3*INDEX(Curves!$C$4:$BV$4,AO$2-27+1)+Eras!$AD$4*INDEX(Curves!$C$27:$BV$27,AO$2-27+1)+Eras!$AD$5*INDEX(Curves!$C$50:$BV$50,AO$2-27+1))</f>
        <v/>
      </c>
      <c r="AP32" s="5">
        <f>$B32*(Eras!$AD$3*INDEX(Curves!$C$4:$BV$4,AP$2-27+1)+Eras!$AD$4*INDEX(Curves!$C$27:$BV$27,AP$2-27+1)+Eras!$AD$5*INDEX(Curves!$C$50:$BV$50,AP$2-27+1))</f>
        <v/>
      </c>
      <c r="AQ32" s="5">
        <f>$B32*(Eras!$AD$3*INDEX(Curves!$C$4:$BV$4,AQ$2-27+1)+Eras!$AD$4*INDEX(Curves!$C$27:$BV$27,AQ$2-27+1)+Eras!$AD$5*INDEX(Curves!$C$50:$BV$50,AQ$2-27+1))</f>
        <v/>
      </c>
      <c r="AR32" s="5">
        <f>$B32*(Eras!$AD$3*INDEX(Curves!$C$4:$BV$4,AR$2-27+1)+Eras!$AD$4*INDEX(Curves!$C$27:$BV$27,AR$2-27+1)+Eras!$AD$5*INDEX(Curves!$C$50:$BV$50,AR$2-27+1))</f>
        <v/>
      </c>
      <c r="AS32" s="5">
        <f>$B32*(Eras!$AD$3*INDEX(Curves!$C$4:$BV$4,AS$2-27+1)+Eras!$AD$4*INDEX(Curves!$C$27:$BV$27,AS$2-27+1)+Eras!$AD$5*INDEX(Curves!$C$50:$BV$50,AS$2-27+1))</f>
        <v/>
      </c>
      <c r="AT32" s="5">
        <f>$B32*(Eras!$AD$3*INDEX(Curves!$C$4:$BV$4,AT$2-27+1)+Eras!$AD$4*INDEX(Curves!$C$27:$BV$27,AT$2-27+1)+Eras!$AD$5*INDEX(Curves!$C$50:$BV$50,AT$2-27+1))</f>
        <v/>
      </c>
      <c r="AU32" s="5">
        <f>$B32*(Eras!$AD$3*INDEX(Curves!$C$4:$BV$4,AU$2-27+1)+Eras!$AD$4*INDEX(Curves!$C$27:$BV$27,AU$2-27+1)+Eras!$AD$5*INDEX(Curves!$C$50:$BV$50,AU$2-27+1))</f>
        <v/>
      </c>
      <c r="AV32" s="5">
        <f>$B32*(Eras!$AD$3*INDEX(Curves!$C$4:$BV$4,AV$2-27+1)+Eras!$AD$4*INDEX(Curves!$C$27:$BV$27,AV$2-27+1)+Eras!$AD$5*INDEX(Curves!$C$50:$BV$50,AV$2-27+1))</f>
        <v/>
      </c>
      <c r="AW32" s="5">
        <f>$B32*(Eras!$AD$3*INDEX(Curves!$C$4:$BV$4,AW$2-27+1)+Eras!$AD$4*INDEX(Curves!$C$27:$BV$27,AW$2-27+1)+Eras!$AD$5*INDEX(Curves!$C$50:$BV$50,AW$2-27+1))</f>
        <v/>
      </c>
      <c r="AX32" s="5">
        <f>$B32*(Eras!$AD$3*INDEX(Curves!$C$4:$BV$4,AX$2-27+1)+Eras!$AD$4*INDEX(Curves!$C$27:$BV$27,AX$2-27+1)+Eras!$AD$5*INDEX(Curves!$C$50:$BV$50,AX$2-27+1))</f>
        <v/>
      </c>
      <c r="AY32" s="5">
        <f>$B32*(Eras!$AD$3*INDEX(Curves!$C$4:$BV$4,AY$2-27+1)+Eras!$AD$4*INDEX(Curves!$C$27:$BV$27,AY$2-27+1)+Eras!$AD$5*INDEX(Curves!$C$50:$BV$50,AY$2-27+1))</f>
        <v/>
      </c>
      <c r="AZ32" s="5">
        <f>$B32*(Eras!$AD$3*INDEX(Curves!$C$4:$BV$4,AZ$2-27+1)+Eras!$AD$4*INDEX(Curves!$C$27:$BV$27,AZ$2-27+1)+Eras!$AD$5*INDEX(Curves!$C$50:$BV$50,AZ$2-27+1))</f>
        <v/>
      </c>
      <c r="BA32" s="5">
        <f>$B32*(Eras!$AD$3*INDEX(Curves!$C$4:$BV$4,BA$2-27+1)+Eras!$AD$4*INDEX(Curves!$C$27:$BV$27,BA$2-27+1)+Eras!$AD$5*INDEX(Curves!$C$50:$BV$50,BA$2-27+1))</f>
        <v/>
      </c>
      <c r="BB32" s="5">
        <f>$B32*(Eras!$AD$3*INDEX(Curves!$C$4:$BV$4,BB$2-27+1)+Eras!$AD$4*INDEX(Curves!$C$27:$BV$27,BB$2-27+1)+Eras!$AD$5*INDEX(Curves!$C$50:$BV$50,BB$2-27+1))</f>
        <v/>
      </c>
      <c r="BC32" s="5">
        <f>$B32*(Eras!$AD$3*INDEX(Curves!$C$4:$BV$4,BC$2-27+1)+Eras!$AD$4*INDEX(Curves!$C$27:$BV$27,BC$2-27+1)+Eras!$AD$5*INDEX(Curves!$C$50:$BV$50,BC$2-27+1))</f>
        <v/>
      </c>
      <c r="BD32" s="5">
        <f>$B32*(Eras!$AD$3*INDEX(Curves!$C$4:$BV$4,BD$2-27+1)+Eras!$AD$4*INDEX(Curves!$C$27:$BV$27,BD$2-27+1)+Eras!$AD$5*INDEX(Curves!$C$50:$BV$50,BD$2-27+1))</f>
        <v/>
      </c>
      <c r="BE32" s="5">
        <f>$B32*(Eras!$AD$3*INDEX(Curves!$C$4:$BV$4,BE$2-27+1)+Eras!$AD$4*INDEX(Curves!$C$27:$BV$27,BE$2-27+1)+Eras!$AD$5*INDEX(Curves!$C$50:$BV$50,BE$2-27+1))</f>
        <v/>
      </c>
      <c r="BF32" s="5">
        <f>$B32*(Eras!$AD$3*INDEX(Curves!$C$4:$BV$4,BF$2-27+1)+Eras!$AD$4*INDEX(Curves!$C$27:$BV$27,BF$2-27+1)+Eras!$AD$5*INDEX(Curves!$C$50:$BV$50,BF$2-27+1))</f>
        <v/>
      </c>
      <c r="BG32" s="5">
        <f>$B32*(Eras!$AD$3*INDEX(Curves!$C$4:$BV$4,BG$2-27+1)+Eras!$AD$4*INDEX(Curves!$C$27:$BV$27,BG$2-27+1)+Eras!$AD$5*INDEX(Curves!$C$50:$BV$50,BG$2-27+1))</f>
        <v/>
      </c>
      <c r="BH32" s="5">
        <f>$B32*(Eras!$AD$3*INDEX(Curves!$C$4:$BV$4,BH$2-27+1)+Eras!$AD$4*INDEX(Curves!$C$27:$BV$27,BH$2-27+1)+Eras!$AD$5*INDEX(Curves!$C$50:$BV$50,BH$2-27+1))</f>
        <v/>
      </c>
      <c r="BI32" s="5">
        <f>$B32*(Eras!$AD$3*INDEX(Curves!$C$4:$BV$4,BI$2-27+1)+Eras!$AD$4*INDEX(Curves!$C$27:$BV$27,BI$2-27+1)+Eras!$AD$5*INDEX(Curves!$C$50:$BV$50,BI$2-27+1))</f>
        <v/>
      </c>
      <c r="BJ32" s="5">
        <f>$B32*(Eras!$AD$3*INDEX(Curves!$C$4:$BV$4,BJ$2-27+1)+Eras!$AD$4*INDEX(Curves!$C$27:$BV$27,BJ$2-27+1)+Eras!$AD$5*INDEX(Curves!$C$50:$BV$50,BJ$2-27+1))</f>
        <v/>
      </c>
      <c r="BK32" s="5">
        <f>$B32*(Eras!$AD$3*INDEX(Curves!$C$4:$BV$4,BK$2-27+1)+Eras!$AD$4*INDEX(Curves!$C$27:$BV$27,BK$2-27+1)+Eras!$AD$5*INDEX(Curves!$C$50:$BV$50,BK$2-27+1))</f>
        <v/>
      </c>
      <c r="BL32" s="5">
        <f>$B32*(Eras!$AD$3*INDEX(Curves!$C$4:$BV$4,BL$2-27+1)+Eras!$AD$4*INDEX(Curves!$C$27:$BV$27,BL$2-27+1)+Eras!$AD$5*INDEX(Curves!$C$50:$BV$50,BL$2-27+1))</f>
        <v/>
      </c>
      <c r="BM32" s="5">
        <f>$B32*(Eras!$AD$3*INDEX(Curves!$C$4:$BV$4,BM$2-27+1)+Eras!$AD$4*INDEX(Curves!$C$27:$BV$27,BM$2-27+1)+Eras!$AD$5*INDEX(Curves!$C$50:$BV$50,BM$2-27+1))</f>
        <v/>
      </c>
      <c r="BN32" s="5">
        <f>$B32*(Eras!$AD$3*INDEX(Curves!$C$4:$BV$4,BN$2-27+1)+Eras!$AD$4*INDEX(Curves!$C$27:$BV$27,BN$2-27+1)+Eras!$AD$5*INDEX(Curves!$C$50:$BV$50,BN$2-27+1))</f>
        <v/>
      </c>
      <c r="BO32" s="5">
        <f>$B32*(Eras!$AD$3*INDEX(Curves!$C$4:$BV$4,BO$2-27+1)+Eras!$AD$4*INDEX(Curves!$C$27:$BV$27,BO$2-27+1)+Eras!$AD$5*INDEX(Curves!$C$50:$BV$50,BO$2-27+1))</f>
        <v/>
      </c>
      <c r="BP32" s="5">
        <f>$B32*(Eras!$AD$3*INDEX(Curves!$C$4:$BV$4,BP$2-27+1)+Eras!$AD$4*INDEX(Curves!$C$27:$BV$27,BP$2-27+1)+Eras!$AD$5*INDEX(Curves!$C$50:$BV$50,BP$2-27+1))</f>
        <v/>
      </c>
      <c r="BQ32" s="5">
        <f>$B32*(Eras!$AD$3*INDEX(Curves!$C$4:$BV$4,BQ$2-27+1)+Eras!$AD$4*INDEX(Curves!$C$27:$BV$27,BQ$2-27+1)+Eras!$AD$5*INDEX(Curves!$C$50:$BV$50,BQ$2-27+1))</f>
        <v/>
      </c>
      <c r="BR32" s="5">
        <f>$B32*(Eras!$AD$3*INDEX(Curves!$C$4:$BV$4,BR$2-27+1)+Eras!$AD$4*INDEX(Curves!$C$27:$BV$27,BR$2-27+1)+Eras!$AD$5*INDEX(Curves!$C$50:$BV$50,BR$2-27+1))</f>
        <v/>
      </c>
      <c r="BS32" s="5">
        <f>$B32*(Eras!$AD$3*INDEX(Curves!$C$4:$BV$4,BS$2-27+1)+Eras!$AD$4*INDEX(Curves!$C$27:$BV$27,BS$2-27+1)+Eras!$AD$5*INDEX(Curves!$C$50:$BV$50,BS$2-27+1))</f>
        <v/>
      </c>
      <c r="BT32" s="5">
        <f>$B32*(Eras!$AD$3*INDEX(Curves!$C$4:$BV$4,BT$2-27+1)+Eras!$AD$4*INDEX(Curves!$C$27:$BV$27,BT$2-27+1)+Eras!$AD$5*INDEX(Curves!$C$50:$BV$50,BT$2-27+1))</f>
        <v/>
      </c>
      <c r="BU32" s="5">
        <f>$B32*(Eras!$AD$3*INDEX(Curves!$C$4:$BV$4,BU$2-27+1)+Eras!$AD$4*INDEX(Curves!$C$27:$BV$27,BU$2-27+1)+Eras!$AD$5*INDEX(Curves!$C$50:$BV$50,BU$2-27+1))</f>
        <v/>
      </c>
      <c r="BV32" s="5">
        <f>$B32*(Eras!$AD$3*INDEX(Curves!$C$4:$BV$4,BV$2-27+1)+Eras!$AD$4*INDEX(Curves!$C$27:$BV$27,BV$2-27+1)+Eras!$AD$5*INDEX(Curves!$C$50:$BV$50,BV$2-27+1))</f>
        <v/>
      </c>
    </row>
    <row r="33">
      <c r="A33" t="inlineStr">
        <is>
          <t>cohort 2027-05</t>
        </is>
      </c>
      <c r="B33" s="5">
        <f>INDEX(Adds!$C$13:$BV$13,29)</f>
        <v/>
      </c>
      <c r="AE33" s="5">
        <f>$B33*(Eras!$AE$3*INDEX(Curves!$C$4:$BV$4,AE$2-28+1)+Eras!$AE$4*INDEX(Curves!$C$27:$BV$27,AE$2-28+1)+Eras!$AE$5*INDEX(Curves!$C$50:$BV$50,AE$2-28+1))</f>
        <v/>
      </c>
      <c r="AF33" s="5">
        <f>$B33*(Eras!$AE$3*INDEX(Curves!$C$4:$BV$4,AF$2-28+1)+Eras!$AE$4*INDEX(Curves!$C$27:$BV$27,AF$2-28+1)+Eras!$AE$5*INDEX(Curves!$C$50:$BV$50,AF$2-28+1))</f>
        <v/>
      </c>
      <c r="AG33" s="5">
        <f>$B33*(Eras!$AE$3*INDEX(Curves!$C$4:$BV$4,AG$2-28+1)+Eras!$AE$4*INDEX(Curves!$C$27:$BV$27,AG$2-28+1)+Eras!$AE$5*INDEX(Curves!$C$50:$BV$50,AG$2-28+1))</f>
        <v/>
      </c>
      <c r="AH33" s="5">
        <f>$B33*(Eras!$AE$3*INDEX(Curves!$C$4:$BV$4,AH$2-28+1)+Eras!$AE$4*INDEX(Curves!$C$27:$BV$27,AH$2-28+1)+Eras!$AE$5*INDEX(Curves!$C$50:$BV$50,AH$2-28+1))</f>
        <v/>
      </c>
      <c r="AI33" s="5">
        <f>$B33*(Eras!$AE$3*INDEX(Curves!$C$4:$BV$4,AI$2-28+1)+Eras!$AE$4*INDEX(Curves!$C$27:$BV$27,AI$2-28+1)+Eras!$AE$5*INDEX(Curves!$C$50:$BV$50,AI$2-28+1))</f>
        <v/>
      </c>
      <c r="AJ33" s="5">
        <f>$B33*(Eras!$AE$3*INDEX(Curves!$C$4:$BV$4,AJ$2-28+1)+Eras!$AE$4*INDEX(Curves!$C$27:$BV$27,AJ$2-28+1)+Eras!$AE$5*INDEX(Curves!$C$50:$BV$50,AJ$2-28+1))</f>
        <v/>
      </c>
      <c r="AK33" s="5">
        <f>$B33*(Eras!$AE$3*INDEX(Curves!$C$4:$BV$4,AK$2-28+1)+Eras!$AE$4*INDEX(Curves!$C$27:$BV$27,AK$2-28+1)+Eras!$AE$5*INDEX(Curves!$C$50:$BV$50,AK$2-28+1))</f>
        <v/>
      </c>
      <c r="AL33" s="5">
        <f>$B33*(Eras!$AE$3*INDEX(Curves!$C$4:$BV$4,AL$2-28+1)+Eras!$AE$4*INDEX(Curves!$C$27:$BV$27,AL$2-28+1)+Eras!$AE$5*INDEX(Curves!$C$50:$BV$50,AL$2-28+1))</f>
        <v/>
      </c>
      <c r="AM33" s="5">
        <f>$B33*(Eras!$AE$3*INDEX(Curves!$C$4:$BV$4,AM$2-28+1)+Eras!$AE$4*INDEX(Curves!$C$27:$BV$27,AM$2-28+1)+Eras!$AE$5*INDEX(Curves!$C$50:$BV$50,AM$2-28+1))</f>
        <v/>
      </c>
      <c r="AN33" s="5">
        <f>$B33*(Eras!$AE$3*INDEX(Curves!$C$4:$BV$4,AN$2-28+1)+Eras!$AE$4*INDEX(Curves!$C$27:$BV$27,AN$2-28+1)+Eras!$AE$5*INDEX(Curves!$C$50:$BV$50,AN$2-28+1))</f>
        <v/>
      </c>
      <c r="AO33" s="5">
        <f>$B33*(Eras!$AE$3*INDEX(Curves!$C$4:$BV$4,AO$2-28+1)+Eras!$AE$4*INDEX(Curves!$C$27:$BV$27,AO$2-28+1)+Eras!$AE$5*INDEX(Curves!$C$50:$BV$50,AO$2-28+1))</f>
        <v/>
      </c>
      <c r="AP33" s="5">
        <f>$B33*(Eras!$AE$3*INDEX(Curves!$C$4:$BV$4,AP$2-28+1)+Eras!$AE$4*INDEX(Curves!$C$27:$BV$27,AP$2-28+1)+Eras!$AE$5*INDEX(Curves!$C$50:$BV$50,AP$2-28+1))</f>
        <v/>
      </c>
      <c r="AQ33" s="5">
        <f>$B33*(Eras!$AE$3*INDEX(Curves!$C$4:$BV$4,AQ$2-28+1)+Eras!$AE$4*INDEX(Curves!$C$27:$BV$27,AQ$2-28+1)+Eras!$AE$5*INDEX(Curves!$C$50:$BV$50,AQ$2-28+1))</f>
        <v/>
      </c>
      <c r="AR33" s="5">
        <f>$B33*(Eras!$AE$3*INDEX(Curves!$C$4:$BV$4,AR$2-28+1)+Eras!$AE$4*INDEX(Curves!$C$27:$BV$27,AR$2-28+1)+Eras!$AE$5*INDEX(Curves!$C$50:$BV$50,AR$2-28+1))</f>
        <v/>
      </c>
      <c r="AS33" s="5">
        <f>$B33*(Eras!$AE$3*INDEX(Curves!$C$4:$BV$4,AS$2-28+1)+Eras!$AE$4*INDEX(Curves!$C$27:$BV$27,AS$2-28+1)+Eras!$AE$5*INDEX(Curves!$C$50:$BV$50,AS$2-28+1))</f>
        <v/>
      </c>
      <c r="AT33" s="5">
        <f>$B33*(Eras!$AE$3*INDEX(Curves!$C$4:$BV$4,AT$2-28+1)+Eras!$AE$4*INDEX(Curves!$C$27:$BV$27,AT$2-28+1)+Eras!$AE$5*INDEX(Curves!$C$50:$BV$50,AT$2-28+1))</f>
        <v/>
      </c>
      <c r="AU33" s="5">
        <f>$B33*(Eras!$AE$3*INDEX(Curves!$C$4:$BV$4,AU$2-28+1)+Eras!$AE$4*INDEX(Curves!$C$27:$BV$27,AU$2-28+1)+Eras!$AE$5*INDEX(Curves!$C$50:$BV$50,AU$2-28+1))</f>
        <v/>
      </c>
      <c r="AV33" s="5">
        <f>$B33*(Eras!$AE$3*INDEX(Curves!$C$4:$BV$4,AV$2-28+1)+Eras!$AE$4*INDEX(Curves!$C$27:$BV$27,AV$2-28+1)+Eras!$AE$5*INDEX(Curves!$C$50:$BV$50,AV$2-28+1))</f>
        <v/>
      </c>
      <c r="AW33" s="5">
        <f>$B33*(Eras!$AE$3*INDEX(Curves!$C$4:$BV$4,AW$2-28+1)+Eras!$AE$4*INDEX(Curves!$C$27:$BV$27,AW$2-28+1)+Eras!$AE$5*INDEX(Curves!$C$50:$BV$50,AW$2-28+1))</f>
        <v/>
      </c>
      <c r="AX33" s="5">
        <f>$B33*(Eras!$AE$3*INDEX(Curves!$C$4:$BV$4,AX$2-28+1)+Eras!$AE$4*INDEX(Curves!$C$27:$BV$27,AX$2-28+1)+Eras!$AE$5*INDEX(Curves!$C$50:$BV$50,AX$2-28+1))</f>
        <v/>
      </c>
      <c r="AY33" s="5">
        <f>$B33*(Eras!$AE$3*INDEX(Curves!$C$4:$BV$4,AY$2-28+1)+Eras!$AE$4*INDEX(Curves!$C$27:$BV$27,AY$2-28+1)+Eras!$AE$5*INDEX(Curves!$C$50:$BV$50,AY$2-28+1))</f>
        <v/>
      </c>
      <c r="AZ33" s="5">
        <f>$B33*(Eras!$AE$3*INDEX(Curves!$C$4:$BV$4,AZ$2-28+1)+Eras!$AE$4*INDEX(Curves!$C$27:$BV$27,AZ$2-28+1)+Eras!$AE$5*INDEX(Curves!$C$50:$BV$50,AZ$2-28+1))</f>
        <v/>
      </c>
      <c r="BA33" s="5">
        <f>$B33*(Eras!$AE$3*INDEX(Curves!$C$4:$BV$4,BA$2-28+1)+Eras!$AE$4*INDEX(Curves!$C$27:$BV$27,BA$2-28+1)+Eras!$AE$5*INDEX(Curves!$C$50:$BV$50,BA$2-28+1))</f>
        <v/>
      </c>
      <c r="BB33" s="5">
        <f>$B33*(Eras!$AE$3*INDEX(Curves!$C$4:$BV$4,BB$2-28+1)+Eras!$AE$4*INDEX(Curves!$C$27:$BV$27,BB$2-28+1)+Eras!$AE$5*INDEX(Curves!$C$50:$BV$50,BB$2-28+1))</f>
        <v/>
      </c>
      <c r="BC33" s="5">
        <f>$B33*(Eras!$AE$3*INDEX(Curves!$C$4:$BV$4,BC$2-28+1)+Eras!$AE$4*INDEX(Curves!$C$27:$BV$27,BC$2-28+1)+Eras!$AE$5*INDEX(Curves!$C$50:$BV$50,BC$2-28+1))</f>
        <v/>
      </c>
      <c r="BD33" s="5">
        <f>$B33*(Eras!$AE$3*INDEX(Curves!$C$4:$BV$4,BD$2-28+1)+Eras!$AE$4*INDEX(Curves!$C$27:$BV$27,BD$2-28+1)+Eras!$AE$5*INDEX(Curves!$C$50:$BV$50,BD$2-28+1))</f>
        <v/>
      </c>
      <c r="BE33" s="5">
        <f>$B33*(Eras!$AE$3*INDEX(Curves!$C$4:$BV$4,BE$2-28+1)+Eras!$AE$4*INDEX(Curves!$C$27:$BV$27,BE$2-28+1)+Eras!$AE$5*INDEX(Curves!$C$50:$BV$50,BE$2-28+1))</f>
        <v/>
      </c>
      <c r="BF33" s="5">
        <f>$B33*(Eras!$AE$3*INDEX(Curves!$C$4:$BV$4,BF$2-28+1)+Eras!$AE$4*INDEX(Curves!$C$27:$BV$27,BF$2-28+1)+Eras!$AE$5*INDEX(Curves!$C$50:$BV$50,BF$2-28+1))</f>
        <v/>
      </c>
      <c r="BG33" s="5">
        <f>$B33*(Eras!$AE$3*INDEX(Curves!$C$4:$BV$4,BG$2-28+1)+Eras!$AE$4*INDEX(Curves!$C$27:$BV$27,BG$2-28+1)+Eras!$AE$5*INDEX(Curves!$C$50:$BV$50,BG$2-28+1))</f>
        <v/>
      </c>
      <c r="BH33" s="5">
        <f>$B33*(Eras!$AE$3*INDEX(Curves!$C$4:$BV$4,BH$2-28+1)+Eras!$AE$4*INDEX(Curves!$C$27:$BV$27,BH$2-28+1)+Eras!$AE$5*INDEX(Curves!$C$50:$BV$50,BH$2-28+1))</f>
        <v/>
      </c>
      <c r="BI33" s="5">
        <f>$B33*(Eras!$AE$3*INDEX(Curves!$C$4:$BV$4,BI$2-28+1)+Eras!$AE$4*INDEX(Curves!$C$27:$BV$27,BI$2-28+1)+Eras!$AE$5*INDEX(Curves!$C$50:$BV$50,BI$2-28+1))</f>
        <v/>
      </c>
      <c r="BJ33" s="5">
        <f>$B33*(Eras!$AE$3*INDEX(Curves!$C$4:$BV$4,BJ$2-28+1)+Eras!$AE$4*INDEX(Curves!$C$27:$BV$27,BJ$2-28+1)+Eras!$AE$5*INDEX(Curves!$C$50:$BV$50,BJ$2-28+1))</f>
        <v/>
      </c>
      <c r="BK33" s="5">
        <f>$B33*(Eras!$AE$3*INDEX(Curves!$C$4:$BV$4,BK$2-28+1)+Eras!$AE$4*INDEX(Curves!$C$27:$BV$27,BK$2-28+1)+Eras!$AE$5*INDEX(Curves!$C$50:$BV$50,BK$2-28+1))</f>
        <v/>
      </c>
      <c r="BL33" s="5">
        <f>$B33*(Eras!$AE$3*INDEX(Curves!$C$4:$BV$4,BL$2-28+1)+Eras!$AE$4*INDEX(Curves!$C$27:$BV$27,BL$2-28+1)+Eras!$AE$5*INDEX(Curves!$C$50:$BV$50,BL$2-28+1))</f>
        <v/>
      </c>
      <c r="BM33" s="5">
        <f>$B33*(Eras!$AE$3*INDEX(Curves!$C$4:$BV$4,BM$2-28+1)+Eras!$AE$4*INDEX(Curves!$C$27:$BV$27,BM$2-28+1)+Eras!$AE$5*INDEX(Curves!$C$50:$BV$50,BM$2-28+1))</f>
        <v/>
      </c>
      <c r="BN33" s="5">
        <f>$B33*(Eras!$AE$3*INDEX(Curves!$C$4:$BV$4,BN$2-28+1)+Eras!$AE$4*INDEX(Curves!$C$27:$BV$27,BN$2-28+1)+Eras!$AE$5*INDEX(Curves!$C$50:$BV$50,BN$2-28+1))</f>
        <v/>
      </c>
      <c r="BO33" s="5">
        <f>$B33*(Eras!$AE$3*INDEX(Curves!$C$4:$BV$4,BO$2-28+1)+Eras!$AE$4*INDEX(Curves!$C$27:$BV$27,BO$2-28+1)+Eras!$AE$5*INDEX(Curves!$C$50:$BV$50,BO$2-28+1))</f>
        <v/>
      </c>
      <c r="BP33" s="5">
        <f>$B33*(Eras!$AE$3*INDEX(Curves!$C$4:$BV$4,BP$2-28+1)+Eras!$AE$4*INDEX(Curves!$C$27:$BV$27,BP$2-28+1)+Eras!$AE$5*INDEX(Curves!$C$50:$BV$50,BP$2-28+1))</f>
        <v/>
      </c>
      <c r="BQ33" s="5">
        <f>$B33*(Eras!$AE$3*INDEX(Curves!$C$4:$BV$4,BQ$2-28+1)+Eras!$AE$4*INDEX(Curves!$C$27:$BV$27,BQ$2-28+1)+Eras!$AE$5*INDEX(Curves!$C$50:$BV$50,BQ$2-28+1))</f>
        <v/>
      </c>
      <c r="BR33" s="5">
        <f>$B33*(Eras!$AE$3*INDEX(Curves!$C$4:$BV$4,BR$2-28+1)+Eras!$AE$4*INDEX(Curves!$C$27:$BV$27,BR$2-28+1)+Eras!$AE$5*INDEX(Curves!$C$50:$BV$50,BR$2-28+1))</f>
        <v/>
      </c>
      <c r="BS33" s="5">
        <f>$B33*(Eras!$AE$3*INDEX(Curves!$C$4:$BV$4,BS$2-28+1)+Eras!$AE$4*INDEX(Curves!$C$27:$BV$27,BS$2-28+1)+Eras!$AE$5*INDEX(Curves!$C$50:$BV$50,BS$2-28+1))</f>
        <v/>
      </c>
      <c r="BT33" s="5">
        <f>$B33*(Eras!$AE$3*INDEX(Curves!$C$4:$BV$4,BT$2-28+1)+Eras!$AE$4*INDEX(Curves!$C$27:$BV$27,BT$2-28+1)+Eras!$AE$5*INDEX(Curves!$C$50:$BV$50,BT$2-28+1))</f>
        <v/>
      </c>
      <c r="BU33" s="5">
        <f>$B33*(Eras!$AE$3*INDEX(Curves!$C$4:$BV$4,BU$2-28+1)+Eras!$AE$4*INDEX(Curves!$C$27:$BV$27,BU$2-28+1)+Eras!$AE$5*INDEX(Curves!$C$50:$BV$50,BU$2-28+1))</f>
        <v/>
      </c>
      <c r="BV33" s="5">
        <f>$B33*(Eras!$AE$3*INDEX(Curves!$C$4:$BV$4,BV$2-28+1)+Eras!$AE$4*INDEX(Curves!$C$27:$BV$27,BV$2-28+1)+Eras!$AE$5*INDEX(Curves!$C$50:$BV$50,BV$2-28+1))</f>
        <v/>
      </c>
    </row>
    <row r="34">
      <c r="A34" t="inlineStr">
        <is>
          <t>cohort 2027-06</t>
        </is>
      </c>
      <c r="B34" s="5">
        <f>INDEX(Adds!$C$13:$BV$13,30)</f>
        <v/>
      </c>
      <c r="AF34" s="5">
        <f>$B34*(Eras!$AF$3*INDEX(Curves!$C$4:$BV$4,AF$2-29+1)+Eras!$AF$4*INDEX(Curves!$C$27:$BV$27,AF$2-29+1)+Eras!$AF$5*INDEX(Curves!$C$50:$BV$50,AF$2-29+1))</f>
        <v/>
      </c>
      <c r="AG34" s="5">
        <f>$B34*(Eras!$AF$3*INDEX(Curves!$C$4:$BV$4,AG$2-29+1)+Eras!$AF$4*INDEX(Curves!$C$27:$BV$27,AG$2-29+1)+Eras!$AF$5*INDEX(Curves!$C$50:$BV$50,AG$2-29+1))</f>
        <v/>
      </c>
      <c r="AH34" s="5">
        <f>$B34*(Eras!$AF$3*INDEX(Curves!$C$4:$BV$4,AH$2-29+1)+Eras!$AF$4*INDEX(Curves!$C$27:$BV$27,AH$2-29+1)+Eras!$AF$5*INDEX(Curves!$C$50:$BV$50,AH$2-29+1))</f>
        <v/>
      </c>
      <c r="AI34" s="5">
        <f>$B34*(Eras!$AF$3*INDEX(Curves!$C$4:$BV$4,AI$2-29+1)+Eras!$AF$4*INDEX(Curves!$C$27:$BV$27,AI$2-29+1)+Eras!$AF$5*INDEX(Curves!$C$50:$BV$50,AI$2-29+1))</f>
        <v/>
      </c>
      <c r="AJ34" s="5">
        <f>$B34*(Eras!$AF$3*INDEX(Curves!$C$4:$BV$4,AJ$2-29+1)+Eras!$AF$4*INDEX(Curves!$C$27:$BV$27,AJ$2-29+1)+Eras!$AF$5*INDEX(Curves!$C$50:$BV$50,AJ$2-29+1))</f>
        <v/>
      </c>
      <c r="AK34" s="5">
        <f>$B34*(Eras!$AF$3*INDEX(Curves!$C$4:$BV$4,AK$2-29+1)+Eras!$AF$4*INDEX(Curves!$C$27:$BV$27,AK$2-29+1)+Eras!$AF$5*INDEX(Curves!$C$50:$BV$50,AK$2-29+1))</f>
        <v/>
      </c>
      <c r="AL34" s="5">
        <f>$B34*(Eras!$AF$3*INDEX(Curves!$C$4:$BV$4,AL$2-29+1)+Eras!$AF$4*INDEX(Curves!$C$27:$BV$27,AL$2-29+1)+Eras!$AF$5*INDEX(Curves!$C$50:$BV$50,AL$2-29+1))</f>
        <v/>
      </c>
      <c r="AM34" s="5">
        <f>$B34*(Eras!$AF$3*INDEX(Curves!$C$4:$BV$4,AM$2-29+1)+Eras!$AF$4*INDEX(Curves!$C$27:$BV$27,AM$2-29+1)+Eras!$AF$5*INDEX(Curves!$C$50:$BV$50,AM$2-29+1))</f>
        <v/>
      </c>
      <c r="AN34" s="5">
        <f>$B34*(Eras!$AF$3*INDEX(Curves!$C$4:$BV$4,AN$2-29+1)+Eras!$AF$4*INDEX(Curves!$C$27:$BV$27,AN$2-29+1)+Eras!$AF$5*INDEX(Curves!$C$50:$BV$50,AN$2-29+1))</f>
        <v/>
      </c>
      <c r="AO34" s="5">
        <f>$B34*(Eras!$AF$3*INDEX(Curves!$C$4:$BV$4,AO$2-29+1)+Eras!$AF$4*INDEX(Curves!$C$27:$BV$27,AO$2-29+1)+Eras!$AF$5*INDEX(Curves!$C$50:$BV$50,AO$2-29+1))</f>
        <v/>
      </c>
      <c r="AP34" s="5">
        <f>$B34*(Eras!$AF$3*INDEX(Curves!$C$4:$BV$4,AP$2-29+1)+Eras!$AF$4*INDEX(Curves!$C$27:$BV$27,AP$2-29+1)+Eras!$AF$5*INDEX(Curves!$C$50:$BV$50,AP$2-29+1))</f>
        <v/>
      </c>
      <c r="AQ34" s="5">
        <f>$B34*(Eras!$AF$3*INDEX(Curves!$C$4:$BV$4,AQ$2-29+1)+Eras!$AF$4*INDEX(Curves!$C$27:$BV$27,AQ$2-29+1)+Eras!$AF$5*INDEX(Curves!$C$50:$BV$50,AQ$2-29+1))</f>
        <v/>
      </c>
      <c r="AR34" s="5">
        <f>$B34*(Eras!$AF$3*INDEX(Curves!$C$4:$BV$4,AR$2-29+1)+Eras!$AF$4*INDEX(Curves!$C$27:$BV$27,AR$2-29+1)+Eras!$AF$5*INDEX(Curves!$C$50:$BV$50,AR$2-29+1))</f>
        <v/>
      </c>
      <c r="AS34" s="5">
        <f>$B34*(Eras!$AF$3*INDEX(Curves!$C$4:$BV$4,AS$2-29+1)+Eras!$AF$4*INDEX(Curves!$C$27:$BV$27,AS$2-29+1)+Eras!$AF$5*INDEX(Curves!$C$50:$BV$50,AS$2-29+1))</f>
        <v/>
      </c>
      <c r="AT34" s="5">
        <f>$B34*(Eras!$AF$3*INDEX(Curves!$C$4:$BV$4,AT$2-29+1)+Eras!$AF$4*INDEX(Curves!$C$27:$BV$27,AT$2-29+1)+Eras!$AF$5*INDEX(Curves!$C$50:$BV$50,AT$2-29+1))</f>
        <v/>
      </c>
      <c r="AU34" s="5">
        <f>$B34*(Eras!$AF$3*INDEX(Curves!$C$4:$BV$4,AU$2-29+1)+Eras!$AF$4*INDEX(Curves!$C$27:$BV$27,AU$2-29+1)+Eras!$AF$5*INDEX(Curves!$C$50:$BV$50,AU$2-29+1))</f>
        <v/>
      </c>
      <c r="AV34" s="5">
        <f>$B34*(Eras!$AF$3*INDEX(Curves!$C$4:$BV$4,AV$2-29+1)+Eras!$AF$4*INDEX(Curves!$C$27:$BV$27,AV$2-29+1)+Eras!$AF$5*INDEX(Curves!$C$50:$BV$50,AV$2-29+1))</f>
        <v/>
      </c>
      <c r="AW34" s="5">
        <f>$B34*(Eras!$AF$3*INDEX(Curves!$C$4:$BV$4,AW$2-29+1)+Eras!$AF$4*INDEX(Curves!$C$27:$BV$27,AW$2-29+1)+Eras!$AF$5*INDEX(Curves!$C$50:$BV$50,AW$2-29+1))</f>
        <v/>
      </c>
      <c r="AX34" s="5">
        <f>$B34*(Eras!$AF$3*INDEX(Curves!$C$4:$BV$4,AX$2-29+1)+Eras!$AF$4*INDEX(Curves!$C$27:$BV$27,AX$2-29+1)+Eras!$AF$5*INDEX(Curves!$C$50:$BV$50,AX$2-29+1))</f>
        <v/>
      </c>
      <c r="AY34" s="5">
        <f>$B34*(Eras!$AF$3*INDEX(Curves!$C$4:$BV$4,AY$2-29+1)+Eras!$AF$4*INDEX(Curves!$C$27:$BV$27,AY$2-29+1)+Eras!$AF$5*INDEX(Curves!$C$50:$BV$50,AY$2-29+1))</f>
        <v/>
      </c>
      <c r="AZ34" s="5">
        <f>$B34*(Eras!$AF$3*INDEX(Curves!$C$4:$BV$4,AZ$2-29+1)+Eras!$AF$4*INDEX(Curves!$C$27:$BV$27,AZ$2-29+1)+Eras!$AF$5*INDEX(Curves!$C$50:$BV$50,AZ$2-29+1))</f>
        <v/>
      </c>
      <c r="BA34" s="5">
        <f>$B34*(Eras!$AF$3*INDEX(Curves!$C$4:$BV$4,BA$2-29+1)+Eras!$AF$4*INDEX(Curves!$C$27:$BV$27,BA$2-29+1)+Eras!$AF$5*INDEX(Curves!$C$50:$BV$50,BA$2-29+1))</f>
        <v/>
      </c>
      <c r="BB34" s="5">
        <f>$B34*(Eras!$AF$3*INDEX(Curves!$C$4:$BV$4,BB$2-29+1)+Eras!$AF$4*INDEX(Curves!$C$27:$BV$27,BB$2-29+1)+Eras!$AF$5*INDEX(Curves!$C$50:$BV$50,BB$2-29+1))</f>
        <v/>
      </c>
      <c r="BC34" s="5">
        <f>$B34*(Eras!$AF$3*INDEX(Curves!$C$4:$BV$4,BC$2-29+1)+Eras!$AF$4*INDEX(Curves!$C$27:$BV$27,BC$2-29+1)+Eras!$AF$5*INDEX(Curves!$C$50:$BV$50,BC$2-29+1))</f>
        <v/>
      </c>
      <c r="BD34" s="5">
        <f>$B34*(Eras!$AF$3*INDEX(Curves!$C$4:$BV$4,BD$2-29+1)+Eras!$AF$4*INDEX(Curves!$C$27:$BV$27,BD$2-29+1)+Eras!$AF$5*INDEX(Curves!$C$50:$BV$50,BD$2-29+1))</f>
        <v/>
      </c>
      <c r="BE34" s="5">
        <f>$B34*(Eras!$AF$3*INDEX(Curves!$C$4:$BV$4,BE$2-29+1)+Eras!$AF$4*INDEX(Curves!$C$27:$BV$27,BE$2-29+1)+Eras!$AF$5*INDEX(Curves!$C$50:$BV$50,BE$2-29+1))</f>
        <v/>
      </c>
      <c r="BF34" s="5">
        <f>$B34*(Eras!$AF$3*INDEX(Curves!$C$4:$BV$4,BF$2-29+1)+Eras!$AF$4*INDEX(Curves!$C$27:$BV$27,BF$2-29+1)+Eras!$AF$5*INDEX(Curves!$C$50:$BV$50,BF$2-29+1))</f>
        <v/>
      </c>
      <c r="BG34" s="5">
        <f>$B34*(Eras!$AF$3*INDEX(Curves!$C$4:$BV$4,BG$2-29+1)+Eras!$AF$4*INDEX(Curves!$C$27:$BV$27,BG$2-29+1)+Eras!$AF$5*INDEX(Curves!$C$50:$BV$50,BG$2-29+1))</f>
        <v/>
      </c>
      <c r="BH34" s="5">
        <f>$B34*(Eras!$AF$3*INDEX(Curves!$C$4:$BV$4,BH$2-29+1)+Eras!$AF$4*INDEX(Curves!$C$27:$BV$27,BH$2-29+1)+Eras!$AF$5*INDEX(Curves!$C$50:$BV$50,BH$2-29+1))</f>
        <v/>
      </c>
      <c r="BI34" s="5">
        <f>$B34*(Eras!$AF$3*INDEX(Curves!$C$4:$BV$4,BI$2-29+1)+Eras!$AF$4*INDEX(Curves!$C$27:$BV$27,BI$2-29+1)+Eras!$AF$5*INDEX(Curves!$C$50:$BV$50,BI$2-29+1))</f>
        <v/>
      </c>
      <c r="BJ34" s="5">
        <f>$B34*(Eras!$AF$3*INDEX(Curves!$C$4:$BV$4,BJ$2-29+1)+Eras!$AF$4*INDEX(Curves!$C$27:$BV$27,BJ$2-29+1)+Eras!$AF$5*INDEX(Curves!$C$50:$BV$50,BJ$2-29+1))</f>
        <v/>
      </c>
      <c r="BK34" s="5">
        <f>$B34*(Eras!$AF$3*INDEX(Curves!$C$4:$BV$4,BK$2-29+1)+Eras!$AF$4*INDEX(Curves!$C$27:$BV$27,BK$2-29+1)+Eras!$AF$5*INDEX(Curves!$C$50:$BV$50,BK$2-29+1))</f>
        <v/>
      </c>
      <c r="BL34" s="5">
        <f>$B34*(Eras!$AF$3*INDEX(Curves!$C$4:$BV$4,BL$2-29+1)+Eras!$AF$4*INDEX(Curves!$C$27:$BV$27,BL$2-29+1)+Eras!$AF$5*INDEX(Curves!$C$50:$BV$50,BL$2-29+1))</f>
        <v/>
      </c>
      <c r="BM34" s="5">
        <f>$B34*(Eras!$AF$3*INDEX(Curves!$C$4:$BV$4,BM$2-29+1)+Eras!$AF$4*INDEX(Curves!$C$27:$BV$27,BM$2-29+1)+Eras!$AF$5*INDEX(Curves!$C$50:$BV$50,BM$2-29+1))</f>
        <v/>
      </c>
      <c r="BN34" s="5">
        <f>$B34*(Eras!$AF$3*INDEX(Curves!$C$4:$BV$4,BN$2-29+1)+Eras!$AF$4*INDEX(Curves!$C$27:$BV$27,BN$2-29+1)+Eras!$AF$5*INDEX(Curves!$C$50:$BV$50,BN$2-29+1))</f>
        <v/>
      </c>
      <c r="BO34" s="5">
        <f>$B34*(Eras!$AF$3*INDEX(Curves!$C$4:$BV$4,BO$2-29+1)+Eras!$AF$4*INDEX(Curves!$C$27:$BV$27,BO$2-29+1)+Eras!$AF$5*INDEX(Curves!$C$50:$BV$50,BO$2-29+1))</f>
        <v/>
      </c>
      <c r="BP34" s="5">
        <f>$B34*(Eras!$AF$3*INDEX(Curves!$C$4:$BV$4,BP$2-29+1)+Eras!$AF$4*INDEX(Curves!$C$27:$BV$27,BP$2-29+1)+Eras!$AF$5*INDEX(Curves!$C$50:$BV$50,BP$2-29+1))</f>
        <v/>
      </c>
      <c r="BQ34" s="5">
        <f>$B34*(Eras!$AF$3*INDEX(Curves!$C$4:$BV$4,BQ$2-29+1)+Eras!$AF$4*INDEX(Curves!$C$27:$BV$27,BQ$2-29+1)+Eras!$AF$5*INDEX(Curves!$C$50:$BV$50,BQ$2-29+1))</f>
        <v/>
      </c>
      <c r="BR34" s="5">
        <f>$B34*(Eras!$AF$3*INDEX(Curves!$C$4:$BV$4,BR$2-29+1)+Eras!$AF$4*INDEX(Curves!$C$27:$BV$27,BR$2-29+1)+Eras!$AF$5*INDEX(Curves!$C$50:$BV$50,BR$2-29+1))</f>
        <v/>
      </c>
      <c r="BS34" s="5">
        <f>$B34*(Eras!$AF$3*INDEX(Curves!$C$4:$BV$4,BS$2-29+1)+Eras!$AF$4*INDEX(Curves!$C$27:$BV$27,BS$2-29+1)+Eras!$AF$5*INDEX(Curves!$C$50:$BV$50,BS$2-29+1))</f>
        <v/>
      </c>
      <c r="BT34" s="5">
        <f>$B34*(Eras!$AF$3*INDEX(Curves!$C$4:$BV$4,BT$2-29+1)+Eras!$AF$4*INDEX(Curves!$C$27:$BV$27,BT$2-29+1)+Eras!$AF$5*INDEX(Curves!$C$50:$BV$50,BT$2-29+1))</f>
        <v/>
      </c>
      <c r="BU34" s="5">
        <f>$B34*(Eras!$AF$3*INDEX(Curves!$C$4:$BV$4,BU$2-29+1)+Eras!$AF$4*INDEX(Curves!$C$27:$BV$27,BU$2-29+1)+Eras!$AF$5*INDEX(Curves!$C$50:$BV$50,BU$2-29+1))</f>
        <v/>
      </c>
      <c r="BV34" s="5">
        <f>$B34*(Eras!$AF$3*INDEX(Curves!$C$4:$BV$4,BV$2-29+1)+Eras!$AF$4*INDEX(Curves!$C$27:$BV$27,BV$2-29+1)+Eras!$AF$5*INDEX(Curves!$C$50:$BV$50,BV$2-29+1))</f>
        <v/>
      </c>
    </row>
    <row r="35">
      <c r="A35" t="inlineStr">
        <is>
          <t>cohort 2027-07</t>
        </is>
      </c>
      <c r="B35" s="5">
        <f>INDEX(Adds!$C$13:$BV$13,31)</f>
        <v/>
      </c>
      <c r="AG35" s="5">
        <f>$B35*(Eras!$AG$3*INDEX(Curves!$C$4:$BV$4,AG$2-30+1)+Eras!$AG$4*INDEX(Curves!$C$27:$BV$27,AG$2-30+1)+Eras!$AG$5*INDEX(Curves!$C$50:$BV$50,AG$2-30+1))</f>
        <v/>
      </c>
      <c r="AH35" s="5">
        <f>$B35*(Eras!$AG$3*INDEX(Curves!$C$4:$BV$4,AH$2-30+1)+Eras!$AG$4*INDEX(Curves!$C$27:$BV$27,AH$2-30+1)+Eras!$AG$5*INDEX(Curves!$C$50:$BV$50,AH$2-30+1))</f>
        <v/>
      </c>
      <c r="AI35" s="5">
        <f>$B35*(Eras!$AG$3*INDEX(Curves!$C$4:$BV$4,AI$2-30+1)+Eras!$AG$4*INDEX(Curves!$C$27:$BV$27,AI$2-30+1)+Eras!$AG$5*INDEX(Curves!$C$50:$BV$50,AI$2-30+1))</f>
        <v/>
      </c>
      <c r="AJ35" s="5">
        <f>$B35*(Eras!$AG$3*INDEX(Curves!$C$4:$BV$4,AJ$2-30+1)+Eras!$AG$4*INDEX(Curves!$C$27:$BV$27,AJ$2-30+1)+Eras!$AG$5*INDEX(Curves!$C$50:$BV$50,AJ$2-30+1))</f>
        <v/>
      </c>
      <c r="AK35" s="5">
        <f>$B35*(Eras!$AG$3*INDEX(Curves!$C$4:$BV$4,AK$2-30+1)+Eras!$AG$4*INDEX(Curves!$C$27:$BV$27,AK$2-30+1)+Eras!$AG$5*INDEX(Curves!$C$50:$BV$50,AK$2-30+1))</f>
        <v/>
      </c>
      <c r="AL35" s="5">
        <f>$B35*(Eras!$AG$3*INDEX(Curves!$C$4:$BV$4,AL$2-30+1)+Eras!$AG$4*INDEX(Curves!$C$27:$BV$27,AL$2-30+1)+Eras!$AG$5*INDEX(Curves!$C$50:$BV$50,AL$2-30+1))</f>
        <v/>
      </c>
      <c r="AM35" s="5">
        <f>$B35*(Eras!$AG$3*INDEX(Curves!$C$4:$BV$4,AM$2-30+1)+Eras!$AG$4*INDEX(Curves!$C$27:$BV$27,AM$2-30+1)+Eras!$AG$5*INDEX(Curves!$C$50:$BV$50,AM$2-30+1))</f>
        <v/>
      </c>
      <c r="AN35" s="5">
        <f>$B35*(Eras!$AG$3*INDEX(Curves!$C$4:$BV$4,AN$2-30+1)+Eras!$AG$4*INDEX(Curves!$C$27:$BV$27,AN$2-30+1)+Eras!$AG$5*INDEX(Curves!$C$50:$BV$50,AN$2-30+1))</f>
        <v/>
      </c>
      <c r="AO35" s="5">
        <f>$B35*(Eras!$AG$3*INDEX(Curves!$C$4:$BV$4,AO$2-30+1)+Eras!$AG$4*INDEX(Curves!$C$27:$BV$27,AO$2-30+1)+Eras!$AG$5*INDEX(Curves!$C$50:$BV$50,AO$2-30+1))</f>
        <v/>
      </c>
      <c r="AP35" s="5">
        <f>$B35*(Eras!$AG$3*INDEX(Curves!$C$4:$BV$4,AP$2-30+1)+Eras!$AG$4*INDEX(Curves!$C$27:$BV$27,AP$2-30+1)+Eras!$AG$5*INDEX(Curves!$C$50:$BV$50,AP$2-30+1))</f>
        <v/>
      </c>
      <c r="AQ35" s="5">
        <f>$B35*(Eras!$AG$3*INDEX(Curves!$C$4:$BV$4,AQ$2-30+1)+Eras!$AG$4*INDEX(Curves!$C$27:$BV$27,AQ$2-30+1)+Eras!$AG$5*INDEX(Curves!$C$50:$BV$50,AQ$2-30+1))</f>
        <v/>
      </c>
      <c r="AR35" s="5">
        <f>$B35*(Eras!$AG$3*INDEX(Curves!$C$4:$BV$4,AR$2-30+1)+Eras!$AG$4*INDEX(Curves!$C$27:$BV$27,AR$2-30+1)+Eras!$AG$5*INDEX(Curves!$C$50:$BV$50,AR$2-30+1))</f>
        <v/>
      </c>
      <c r="AS35" s="5">
        <f>$B35*(Eras!$AG$3*INDEX(Curves!$C$4:$BV$4,AS$2-30+1)+Eras!$AG$4*INDEX(Curves!$C$27:$BV$27,AS$2-30+1)+Eras!$AG$5*INDEX(Curves!$C$50:$BV$50,AS$2-30+1))</f>
        <v/>
      </c>
      <c r="AT35" s="5">
        <f>$B35*(Eras!$AG$3*INDEX(Curves!$C$4:$BV$4,AT$2-30+1)+Eras!$AG$4*INDEX(Curves!$C$27:$BV$27,AT$2-30+1)+Eras!$AG$5*INDEX(Curves!$C$50:$BV$50,AT$2-30+1))</f>
        <v/>
      </c>
      <c r="AU35" s="5">
        <f>$B35*(Eras!$AG$3*INDEX(Curves!$C$4:$BV$4,AU$2-30+1)+Eras!$AG$4*INDEX(Curves!$C$27:$BV$27,AU$2-30+1)+Eras!$AG$5*INDEX(Curves!$C$50:$BV$50,AU$2-30+1))</f>
        <v/>
      </c>
      <c r="AV35" s="5">
        <f>$B35*(Eras!$AG$3*INDEX(Curves!$C$4:$BV$4,AV$2-30+1)+Eras!$AG$4*INDEX(Curves!$C$27:$BV$27,AV$2-30+1)+Eras!$AG$5*INDEX(Curves!$C$50:$BV$50,AV$2-30+1))</f>
        <v/>
      </c>
      <c r="AW35" s="5">
        <f>$B35*(Eras!$AG$3*INDEX(Curves!$C$4:$BV$4,AW$2-30+1)+Eras!$AG$4*INDEX(Curves!$C$27:$BV$27,AW$2-30+1)+Eras!$AG$5*INDEX(Curves!$C$50:$BV$50,AW$2-30+1))</f>
        <v/>
      </c>
      <c r="AX35" s="5">
        <f>$B35*(Eras!$AG$3*INDEX(Curves!$C$4:$BV$4,AX$2-30+1)+Eras!$AG$4*INDEX(Curves!$C$27:$BV$27,AX$2-30+1)+Eras!$AG$5*INDEX(Curves!$C$50:$BV$50,AX$2-30+1))</f>
        <v/>
      </c>
      <c r="AY35" s="5">
        <f>$B35*(Eras!$AG$3*INDEX(Curves!$C$4:$BV$4,AY$2-30+1)+Eras!$AG$4*INDEX(Curves!$C$27:$BV$27,AY$2-30+1)+Eras!$AG$5*INDEX(Curves!$C$50:$BV$50,AY$2-30+1))</f>
        <v/>
      </c>
      <c r="AZ35" s="5">
        <f>$B35*(Eras!$AG$3*INDEX(Curves!$C$4:$BV$4,AZ$2-30+1)+Eras!$AG$4*INDEX(Curves!$C$27:$BV$27,AZ$2-30+1)+Eras!$AG$5*INDEX(Curves!$C$50:$BV$50,AZ$2-30+1))</f>
        <v/>
      </c>
      <c r="BA35" s="5">
        <f>$B35*(Eras!$AG$3*INDEX(Curves!$C$4:$BV$4,BA$2-30+1)+Eras!$AG$4*INDEX(Curves!$C$27:$BV$27,BA$2-30+1)+Eras!$AG$5*INDEX(Curves!$C$50:$BV$50,BA$2-30+1))</f>
        <v/>
      </c>
      <c r="BB35" s="5">
        <f>$B35*(Eras!$AG$3*INDEX(Curves!$C$4:$BV$4,BB$2-30+1)+Eras!$AG$4*INDEX(Curves!$C$27:$BV$27,BB$2-30+1)+Eras!$AG$5*INDEX(Curves!$C$50:$BV$50,BB$2-30+1))</f>
        <v/>
      </c>
      <c r="BC35" s="5">
        <f>$B35*(Eras!$AG$3*INDEX(Curves!$C$4:$BV$4,BC$2-30+1)+Eras!$AG$4*INDEX(Curves!$C$27:$BV$27,BC$2-30+1)+Eras!$AG$5*INDEX(Curves!$C$50:$BV$50,BC$2-30+1))</f>
        <v/>
      </c>
      <c r="BD35" s="5">
        <f>$B35*(Eras!$AG$3*INDEX(Curves!$C$4:$BV$4,BD$2-30+1)+Eras!$AG$4*INDEX(Curves!$C$27:$BV$27,BD$2-30+1)+Eras!$AG$5*INDEX(Curves!$C$50:$BV$50,BD$2-30+1))</f>
        <v/>
      </c>
      <c r="BE35" s="5">
        <f>$B35*(Eras!$AG$3*INDEX(Curves!$C$4:$BV$4,BE$2-30+1)+Eras!$AG$4*INDEX(Curves!$C$27:$BV$27,BE$2-30+1)+Eras!$AG$5*INDEX(Curves!$C$50:$BV$50,BE$2-30+1))</f>
        <v/>
      </c>
      <c r="BF35" s="5">
        <f>$B35*(Eras!$AG$3*INDEX(Curves!$C$4:$BV$4,BF$2-30+1)+Eras!$AG$4*INDEX(Curves!$C$27:$BV$27,BF$2-30+1)+Eras!$AG$5*INDEX(Curves!$C$50:$BV$50,BF$2-30+1))</f>
        <v/>
      </c>
      <c r="BG35" s="5">
        <f>$B35*(Eras!$AG$3*INDEX(Curves!$C$4:$BV$4,BG$2-30+1)+Eras!$AG$4*INDEX(Curves!$C$27:$BV$27,BG$2-30+1)+Eras!$AG$5*INDEX(Curves!$C$50:$BV$50,BG$2-30+1))</f>
        <v/>
      </c>
      <c r="BH35" s="5">
        <f>$B35*(Eras!$AG$3*INDEX(Curves!$C$4:$BV$4,BH$2-30+1)+Eras!$AG$4*INDEX(Curves!$C$27:$BV$27,BH$2-30+1)+Eras!$AG$5*INDEX(Curves!$C$50:$BV$50,BH$2-30+1))</f>
        <v/>
      </c>
      <c r="BI35" s="5">
        <f>$B35*(Eras!$AG$3*INDEX(Curves!$C$4:$BV$4,BI$2-30+1)+Eras!$AG$4*INDEX(Curves!$C$27:$BV$27,BI$2-30+1)+Eras!$AG$5*INDEX(Curves!$C$50:$BV$50,BI$2-30+1))</f>
        <v/>
      </c>
      <c r="BJ35" s="5">
        <f>$B35*(Eras!$AG$3*INDEX(Curves!$C$4:$BV$4,BJ$2-30+1)+Eras!$AG$4*INDEX(Curves!$C$27:$BV$27,BJ$2-30+1)+Eras!$AG$5*INDEX(Curves!$C$50:$BV$50,BJ$2-30+1))</f>
        <v/>
      </c>
      <c r="BK35" s="5">
        <f>$B35*(Eras!$AG$3*INDEX(Curves!$C$4:$BV$4,BK$2-30+1)+Eras!$AG$4*INDEX(Curves!$C$27:$BV$27,BK$2-30+1)+Eras!$AG$5*INDEX(Curves!$C$50:$BV$50,BK$2-30+1))</f>
        <v/>
      </c>
      <c r="BL35" s="5">
        <f>$B35*(Eras!$AG$3*INDEX(Curves!$C$4:$BV$4,BL$2-30+1)+Eras!$AG$4*INDEX(Curves!$C$27:$BV$27,BL$2-30+1)+Eras!$AG$5*INDEX(Curves!$C$50:$BV$50,BL$2-30+1))</f>
        <v/>
      </c>
      <c r="BM35" s="5">
        <f>$B35*(Eras!$AG$3*INDEX(Curves!$C$4:$BV$4,BM$2-30+1)+Eras!$AG$4*INDEX(Curves!$C$27:$BV$27,BM$2-30+1)+Eras!$AG$5*INDEX(Curves!$C$50:$BV$50,BM$2-30+1))</f>
        <v/>
      </c>
      <c r="BN35" s="5">
        <f>$B35*(Eras!$AG$3*INDEX(Curves!$C$4:$BV$4,BN$2-30+1)+Eras!$AG$4*INDEX(Curves!$C$27:$BV$27,BN$2-30+1)+Eras!$AG$5*INDEX(Curves!$C$50:$BV$50,BN$2-30+1))</f>
        <v/>
      </c>
      <c r="BO35" s="5">
        <f>$B35*(Eras!$AG$3*INDEX(Curves!$C$4:$BV$4,BO$2-30+1)+Eras!$AG$4*INDEX(Curves!$C$27:$BV$27,BO$2-30+1)+Eras!$AG$5*INDEX(Curves!$C$50:$BV$50,BO$2-30+1))</f>
        <v/>
      </c>
      <c r="BP35" s="5">
        <f>$B35*(Eras!$AG$3*INDEX(Curves!$C$4:$BV$4,BP$2-30+1)+Eras!$AG$4*INDEX(Curves!$C$27:$BV$27,BP$2-30+1)+Eras!$AG$5*INDEX(Curves!$C$50:$BV$50,BP$2-30+1))</f>
        <v/>
      </c>
      <c r="BQ35" s="5">
        <f>$B35*(Eras!$AG$3*INDEX(Curves!$C$4:$BV$4,BQ$2-30+1)+Eras!$AG$4*INDEX(Curves!$C$27:$BV$27,BQ$2-30+1)+Eras!$AG$5*INDEX(Curves!$C$50:$BV$50,BQ$2-30+1))</f>
        <v/>
      </c>
      <c r="BR35" s="5">
        <f>$B35*(Eras!$AG$3*INDEX(Curves!$C$4:$BV$4,BR$2-30+1)+Eras!$AG$4*INDEX(Curves!$C$27:$BV$27,BR$2-30+1)+Eras!$AG$5*INDEX(Curves!$C$50:$BV$50,BR$2-30+1))</f>
        <v/>
      </c>
      <c r="BS35" s="5">
        <f>$B35*(Eras!$AG$3*INDEX(Curves!$C$4:$BV$4,BS$2-30+1)+Eras!$AG$4*INDEX(Curves!$C$27:$BV$27,BS$2-30+1)+Eras!$AG$5*INDEX(Curves!$C$50:$BV$50,BS$2-30+1))</f>
        <v/>
      </c>
      <c r="BT35" s="5">
        <f>$B35*(Eras!$AG$3*INDEX(Curves!$C$4:$BV$4,BT$2-30+1)+Eras!$AG$4*INDEX(Curves!$C$27:$BV$27,BT$2-30+1)+Eras!$AG$5*INDEX(Curves!$C$50:$BV$50,BT$2-30+1))</f>
        <v/>
      </c>
      <c r="BU35" s="5">
        <f>$B35*(Eras!$AG$3*INDEX(Curves!$C$4:$BV$4,BU$2-30+1)+Eras!$AG$4*INDEX(Curves!$C$27:$BV$27,BU$2-30+1)+Eras!$AG$5*INDEX(Curves!$C$50:$BV$50,BU$2-30+1))</f>
        <v/>
      </c>
      <c r="BV35" s="5">
        <f>$B35*(Eras!$AG$3*INDEX(Curves!$C$4:$BV$4,BV$2-30+1)+Eras!$AG$4*INDEX(Curves!$C$27:$BV$27,BV$2-30+1)+Eras!$AG$5*INDEX(Curves!$C$50:$BV$50,BV$2-30+1))</f>
        <v/>
      </c>
    </row>
    <row r="36">
      <c r="A36" t="inlineStr">
        <is>
          <t>cohort 2027-08</t>
        </is>
      </c>
      <c r="B36" s="5">
        <f>INDEX(Adds!$C$13:$BV$13,32)</f>
        <v/>
      </c>
      <c r="AH36" s="5">
        <f>$B36*(Eras!$AH$3*INDEX(Curves!$C$4:$BV$4,AH$2-31+1)+Eras!$AH$4*INDEX(Curves!$C$27:$BV$27,AH$2-31+1)+Eras!$AH$5*INDEX(Curves!$C$50:$BV$50,AH$2-31+1))</f>
        <v/>
      </c>
      <c r="AI36" s="5">
        <f>$B36*(Eras!$AH$3*INDEX(Curves!$C$4:$BV$4,AI$2-31+1)+Eras!$AH$4*INDEX(Curves!$C$27:$BV$27,AI$2-31+1)+Eras!$AH$5*INDEX(Curves!$C$50:$BV$50,AI$2-31+1))</f>
        <v/>
      </c>
      <c r="AJ36" s="5">
        <f>$B36*(Eras!$AH$3*INDEX(Curves!$C$4:$BV$4,AJ$2-31+1)+Eras!$AH$4*INDEX(Curves!$C$27:$BV$27,AJ$2-31+1)+Eras!$AH$5*INDEX(Curves!$C$50:$BV$50,AJ$2-31+1))</f>
        <v/>
      </c>
      <c r="AK36" s="5">
        <f>$B36*(Eras!$AH$3*INDEX(Curves!$C$4:$BV$4,AK$2-31+1)+Eras!$AH$4*INDEX(Curves!$C$27:$BV$27,AK$2-31+1)+Eras!$AH$5*INDEX(Curves!$C$50:$BV$50,AK$2-31+1))</f>
        <v/>
      </c>
      <c r="AL36" s="5">
        <f>$B36*(Eras!$AH$3*INDEX(Curves!$C$4:$BV$4,AL$2-31+1)+Eras!$AH$4*INDEX(Curves!$C$27:$BV$27,AL$2-31+1)+Eras!$AH$5*INDEX(Curves!$C$50:$BV$50,AL$2-31+1))</f>
        <v/>
      </c>
      <c r="AM36" s="5">
        <f>$B36*(Eras!$AH$3*INDEX(Curves!$C$4:$BV$4,AM$2-31+1)+Eras!$AH$4*INDEX(Curves!$C$27:$BV$27,AM$2-31+1)+Eras!$AH$5*INDEX(Curves!$C$50:$BV$50,AM$2-31+1))</f>
        <v/>
      </c>
      <c r="AN36" s="5">
        <f>$B36*(Eras!$AH$3*INDEX(Curves!$C$4:$BV$4,AN$2-31+1)+Eras!$AH$4*INDEX(Curves!$C$27:$BV$27,AN$2-31+1)+Eras!$AH$5*INDEX(Curves!$C$50:$BV$50,AN$2-31+1))</f>
        <v/>
      </c>
      <c r="AO36" s="5">
        <f>$B36*(Eras!$AH$3*INDEX(Curves!$C$4:$BV$4,AO$2-31+1)+Eras!$AH$4*INDEX(Curves!$C$27:$BV$27,AO$2-31+1)+Eras!$AH$5*INDEX(Curves!$C$50:$BV$50,AO$2-31+1))</f>
        <v/>
      </c>
      <c r="AP36" s="5">
        <f>$B36*(Eras!$AH$3*INDEX(Curves!$C$4:$BV$4,AP$2-31+1)+Eras!$AH$4*INDEX(Curves!$C$27:$BV$27,AP$2-31+1)+Eras!$AH$5*INDEX(Curves!$C$50:$BV$50,AP$2-31+1))</f>
        <v/>
      </c>
      <c r="AQ36" s="5">
        <f>$B36*(Eras!$AH$3*INDEX(Curves!$C$4:$BV$4,AQ$2-31+1)+Eras!$AH$4*INDEX(Curves!$C$27:$BV$27,AQ$2-31+1)+Eras!$AH$5*INDEX(Curves!$C$50:$BV$50,AQ$2-31+1))</f>
        <v/>
      </c>
      <c r="AR36" s="5">
        <f>$B36*(Eras!$AH$3*INDEX(Curves!$C$4:$BV$4,AR$2-31+1)+Eras!$AH$4*INDEX(Curves!$C$27:$BV$27,AR$2-31+1)+Eras!$AH$5*INDEX(Curves!$C$50:$BV$50,AR$2-31+1))</f>
        <v/>
      </c>
      <c r="AS36" s="5">
        <f>$B36*(Eras!$AH$3*INDEX(Curves!$C$4:$BV$4,AS$2-31+1)+Eras!$AH$4*INDEX(Curves!$C$27:$BV$27,AS$2-31+1)+Eras!$AH$5*INDEX(Curves!$C$50:$BV$50,AS$2-31+1))</f>
        <v/>
      </c>
      <c r="AT36" s="5">
        <f>$B36*(Eras!$AH$3*INDEX(Curves!$C$4:$BV$4,AT$2-31+1)+Eras!$AH$4*INDEX(Curves!$C$27:$BV$27,AT$2-31+1)+Eras!$AH$5*INDEX(Curves!$C$50:$BV$50,AT$2-31+1))</f>
        <v/>
      </c>
      <c r="AU36" s="5">
        <f>$B36*(Eras!$AH$3*INDEX(Curves!$C$4:$BV$4,AU$2-31+1)+Eras!$AH$4*INDEX(Curves!$C$27:$BV$27,AU$2-31+1)+Eras!$AH$5*INDEX(Curves!$C$50:$BV$50,AU$2-31+1))</f>
        <v/>
      </c>
      <c r="AV36" s="5">
        <f>$B36*(Eras!$AH$3*INDEX(Curves!$C$4:$BV$4,AV$2-31+1)+Eras!$AH$4*INDEX(Curves!$C$27:$BV$27,AV$2-31+1)+Eras!$AH$5*INDEX(Curves!$C$50:$BV$50,AV$2-31+1))</f>
        <v/>
      </c>
      <c r="AW36" s="5">
        <f>$B36*(Eras!$AH$3*INDEX(Curves!$C$4:$BV$4,AW$2-31+1)+Eras!$AH$4*INDEX(Curves!$C$27:$BV$27,AW$2-31+1)+Eras!$AH$5*INDEX(Curves!$C$50:$BV$50,AW$2-31+1))</f>
        <v/>
      </c>
      <c r="AX36" s="5">
        <f>$B36*(Eras!$AH$3*INDEX(Curves!$C$4:$BV$4,AX$2-31+1)+Eras!$AH$4*INDEX(Curves!$C$27:$BV$27,AX$2-31+1)+Eras!$AH$5*INDEX(Curves!$C$50:$BV$50,AX$2-31+1))</f>
        <v/>
      </c>
      <c r="AY36" s="5">
        <f>$B36*(Eras!$AH$3*INDEX(Curves!$C$4:$BV$4,AY$2-31+1)+Eras!$AH$4*INDEX(Curves!$C$27:$BV$27,AY$2-31+1)+Eras!$AH$5*INDEX(Curves!$C$50:$BV$50,AY$2-31+1))</f>
        <v/>
      </c>
      <c r="AZ36" s="5">
        <f>$B36*(Eras!$AH$3*INDEX(Curves!$C$4:$BV$4,AZ$2-31+1)+Eras!$AH$4*INDEX(Curves!$C$27:$BV$27,AZ$2-31+1)+Eras!$AH$5*INDEX(Curves!$C$50:$BV$50,AZ$2-31+1))</f>
        <v/>
      </c>
      <c r="BA36" s="5">
        <f>$B36*(Eras!$AH$3*INDEX(Curves!$C$4:$BV$4,BA$2-31+1)+Eras!$AH$4*INDEX(Curves!$C$27:$BV$27,BA$2-31+1)+Eras!$AH$5*INDEX(Curves!$C$50:$BV$50,BA$2-31+1))</f>
        <v/>
      </c>
      <c r="BB36" s="5">
        <f>$B36*(Eras!$AH$3*INDEX(Curves!$C$4:$BV$4,BB$2-31+1)+Eras!$AH$4*INDEX(Curves!$C$27:$BV$27,BB$2-31+1)+Eras!$AH$5*INDEX(Curves!$C$50:$BV$50,BB$2-31+1))</f>
        <v/>
      </c>
      <c r="BC36" s="5">
        <f>$B36*(Eras!$AH$3*INDEX(Curves!$C$4:$BV$4,BC$2-31+1)+Eras!$AH$4*INDEX(Curves!$C$27:$BV$27,BC$2-31+1)+Eras!$AH$5*INDEX(Curves!$C$50:$BV$50,BC$2-31+1))</f>
        <v/>
      </c>
      <c r="BD36" s="5">
        <f>$B36*(Eras!$AH$3*INDEX(Curves!$C$4:$BV$4,BD$2-31+1)+Eras!$AH$4*INDEX(Curves!$C$27:$BV$27,BD$2-31+1)+Eras!$AH$5*INDEX(Curves!$C$50:$BV$50,BD$2-31+1))</f>
        <v/>
      </c>
      <c r="BE36" s="5">
        <f>$B36*(Eras!$AH$3*INDEX(Curves!$C$4:$BV$4,BE$2-31+1)+Eras!$AH$4*INDEX(Curves!$C$27:$BV$27,BE$2-31+1)+Eras!$AH$5*INDEX(Curves!$C$50:$BV$50,BE$2-31+1))</f>
        <v/>
      </c>
      <c r="BF36" s="5">
        <f>$B36*(Eras!$AH$3*INDEX(Curves!$C$4:$BV$4,BF$2-31+1)+Eras!$AH$4*INDEX(Curves!$C$27:$BV$27,BF$2-31+1)+Eras!$AH$5*INDEX(Curves!$C$50:$BV$50,BF$2-31+1))</f>
        <v/>
      </c>
      <c r="BG36" s="5">
        <f>$B36*(Eras!$AH$3*INDEX(Curves!$C$4:$BV$4,BG$2-31+1)+Eras!$AH$4*INDEX(Curves!$C$27:$BV$27,BG$2-31+1)+Eras!$AH$5*INDEX(Curves!$C$50:$BV$50,BG$2-31+1))</f>
        <v/>
      </c>
      <c r="BH36" s="5">
        <f>$B36*(Eras!$AH$3*INDEX(Curves!$C$4:$BV$4,BH$2-31+1)+Eras!$AH$4*INDEX(Curves!$C$27:$BV$27,BH$2-31+1)+Eras!$AH$5*INDEX(Curves!$C$50:$BV$50,BH$2-31+1))</f>
        <v/>
      </c>
      <c r="BI36" s="5">
        <f>$B36*(Eras!$AH$3*INDEX(Curves!$C$4:$BV$4,BI$2-31+1)+Eras!$AH$4*INDEX(Curves!$C$27:$BV$27,BI$2-31+1)+Eras!$AH$5*INDEX(Curves!$C$50:$BV$50,BI$2-31+1))</f>
        <v/>
      </c>
      <c r="BJ36" s="5">
        <f>$B36*(Eras!$AH$3*INDEX(Curves!$C$4:$BV$4,BJ$2-31+1)+Eras!$AH$4*INDEX(Curves!$C$27:$BV$27,BJ$2-31+1)+Eras!$AH$5*INDEX(Curves!$C$50:$BV$50,BJ$2-31+1))</f>
        <v/>
      </c>
      <c r="BK36" s="5">
        <f>$B36*(Eras!$AH$3*INDEX(Curves!$C$4:$BV$4,BK$2-31+1)+Eras!$AH$4*INDEX(Curves!$C$27:$BV$27,BK$2-31+1)+Eras!$AH$5*INDEX(Curves!$C$50:$BV$50,BK$2-31+1))</f>
        <v/>
      </c>
      <c r="BL36" s="5">
        <f>$B36*(Eras!$AH$3*INDEX(Curves!$C$4:$BV$4,BL$2-31+1)+Eras!$AH$4*INDEX(Curves!$C$27:$BV$27,BL$2-31+1)+Eras!$AH$5*INDEX(Curves!$C$50:$BV$50,BL$2-31+1))</f>
        <v/>
      </c>
      <c r="BM36" s="5">
        <f>$B36*(Eras!$AH$3*INDEX(Curves!$C$4:$BV$4,BM$2-31+1)+Eras!$AH$4*INDEX(Curves!$C$27:$BV$27,BM$2-31+1)+Eras!$AH$5*INDEX(Curves!$C$50:$BV$50,BM$2-31+1))</f>
        <v/>
      </c>
      <c r="BN36" s="5">
        <f>$B36*(Eras!$AH$3*INDEX(Curves!$C$4:$BV$4,BN$2-31+1)+Eras!$AH$4*INDEX(Curves!$C$27:$BV$27,BN$2-31+1)+Eras!$AH$5*INDEX(Curves!$C$50:$BV$50,BN$2-31+1))</f>
        <v/>
      </c>
      <c r="BO36" s="5">
        <f>$B36*(Eras!$AH$3*INDEX(Curves!$C$4:$BV$4,BO$2-31+1)+Eras!$AH$4*INDEX(Curves!$C$27:$BV$27,BO$2-31+1)+Eras!$AH$5*INDEX(Curves!$C$50:$BV$50,BO$2-31+1))</f>
        <v/>
      </c>
      <c r="BP36" s="5">
        <f>$B36*(Eras!$AH$3*INDEX(Curves!$C$4:$BV$4,BP$2-31+1)+Eras!$AH$4*INDEX(Curves!$C$27:$BV$27,BP$2-31+1)+Eras!$AH$5*INDEX(Curves!$C$50:$BV$50,BP$2-31+1))</f>
        <v/>
      </c>
      <c r="BQ36" s="5">
        <f>$B36*(Eras!$AH$3*INDEX(Curves!$C$4:$BV$4,BQ$2-31+1)+Eras!$AH$4*INDEX(Curves!$C$27:$BV$27,BQ$2-31+1)+Eras!$AH$5*INDEX(Curves!$C$50:$BV$50,BQ$2-31+1))</f>
        <v/>
      </c>
      <c r="BR36" s="5">
        <f>$B36*(Eras!$AH$3*INDEX(Curves!$C$4:$BV$4,BR$2-31+1)+Eras!$AH$4*INDEX(Curves!$C$27:$BV$27,BR$2-31+1)+Eras!$AH$5*INDEX(Curves!$C$50:$BV$50,BR$2-31+1))</f>
        <v/>
      </c>
      <c r="BS36" s="5">
        <f>$B36*(Eras!$AH$3*INDEX(Curves!$C$4:$BV$4,BS$2-31+1)+Eras!$AH$4*INDEX(Curves!$C$27:$BV$27,BS$2-31+1)+Eras!$AH$5*INDEX(Curves!$C$50:$BV$50,BS$2-31+1))</f>
        <v/>
      </c>
      <c r="BT36" s="5">
        <f>$B36*(Eras!$AH$3*INDEX(Curves!$C$4:$BV$4,BT$2-31+1)+Eras!$AH$4*INDEX(Curves!$C$27:$BV$27,BT$2-31+1)+Eras!$AH$5*INDEX(Curves!$C$50:$BV$50,BT$2-31+1))</f>
        <v/>
      </c>
      <c r="BU36" s="5">
        <f>$B36*(Eras!$AH$3*INDEX(Curves!$C$4:$BV$4,BU$2-31+1)+Eras!$AH$4*INDEX(Curves!$C$27:$BV$27,BU$2-31+1)+Eras!$AH$5*INDEX(Curves!$C$50:$BV$50,BU$2-31+1))</f>
        <v/>
      </c>
      <c r="BV36" s="5">
        <f>$B36*(Eras!$AH$3*INDEX(Curves!$C$4:$BV$4,BV$2-31+1)+Eras!$AH$4*INDEX(Curves!$C$27:$BV$27,BV$2-31+1)+Eras!$AH$5*INDEX(Curves!$C$50:$BV$50,BV$2-31+1))</f>
        <v/>
      </c>
    </row>
    <row r="37">
      <c r="A37" t="inlineStr">
        <is>
          <t>cohort 2027-09</t>
        </is>
      </c>
      <c r="B37" s="5">
        <f>INDEX(Adds!$C$13:$BV$13,33)</f>
        <v/>
      </c>
      <c r="AI37" s="5">
        <f>$B37*(Eras!$AI$3*INDEX(Curves!$C$4:$BV$4,AI$2-32+1)+Eras!$AI$4*INDEX(Curves!$C$27:$BV$27,AI$2-32+1)+Eras!$AI$5*INDEX(Curves!$C$50:$BV$50,AI$2-32+1))</f>
        <v/>
      </c>
      <c r="AJ37" s="5">
        <f>$B37*(Eras!$AI$3*INDEX(Curves!$C$4:$BV$4,AJ$2-32+1)+Eras!$AI$4*INDEX(Curves!$C$27:$BV$27,AJ$2-32+1)+Eras!$AI$5*INDEX(Curves!$C$50:$BV$50,AJ$2-32+1))</f>
        <v/>
      </c>
      <c r="AK37" s="5">
        <f>$B37*(Eras!$AI$3*INDEX(Curves!$C$4:$BV$4,AK$2-32+1)+Eras!$AI$4*INDEX(Curves!$C$27:$BV$27,AK$2-32+1)+Eras!$AI$5*INDEX(Curves!$C$50:$BV$50,AK$2-32+1))</f>
        <v/>
      </c>
      <c r="AL37" s="5">
        <f>$B37*(Eras!$AI$3*INDEX(Curves!$C$4:$BV$4,AL$2-32+1)+Eras!$AI$4*INDEX(Curves!$C$27:$BV$27,AL$2-32+1)+Eras!$AI$5*INDEX(Curves!$C$50:$BV$50,AL$2-32+1))</f>
        <v/>
      </c>
      <c r="AM37" s="5">
        <f>$B37*(Eras!$AI$3*INDEX(Curves!$C$4:$BV$4,AM$2-32+1)+Eras!$AI$4*INDEX(Curves!$C$27:$BV$27,AM$2-32+1)+Eras!$AI$5*INDEX(Curves!$C$50:$BV$50,AM$2-32+1))</f>
        <v/>
      </c>
      <c r="AN37" s="5">
        <f>$B37*(Eras!$AI$3*INDEX(Curves!$C$4:$BV$4,AN$2-32+1)+Eras!$AI$4*INDEX(Curves!$C$27:$BV$27,AN$2-32+1)+Eras!$AI$5*INDEX(Curves!$C$50:$BV$50,AN$2-32+1))</f>
        <v/>
      </c>
      <c r="AO37" s="5">
        <f>$B37*(Eras!$AI$3*INDEX(Curves!$C$4:$BV$4,AO$2-32+1)+Eras!$AI$4*INDEX(Curves!$C$27:$BV$27,AO$2-32+1)+Eras!$AI$5*INDEX(Curves!$C$50:$BV$50,AO$2-32+1))</f>
        <v/>
      </c>
      <c r="AP37" s="5">
        <f>$B37*(Eras!$AI$3*INDEX(Curves!$C$4:$BV$4,AP$2-32+1)+Eras!$AI$4*INDEX(Curves!$C$27:$BV$27,AP$2-32+1)+Eras!$AI$5*INDEX(Curves!$C$50:$BV$50,AP$2-32+1))</f>
        <v/>
      </c>
      <c r="AQ37" s="5">
        <f>$B37*(Eras!$AI$3*INDEX(Curves!$C$4:$BV$4,AQ$2-32+1)+Eras!$AI$4*INDEX(Curves!$C$27:$BV$27,AQ$2-32+1)+Eras!$AI$5*INDEX(Curves!$C$50:$BV$50,AQ$2-32+1))</f>
        <v/>
      </c>
      <c r="AR37" s="5">
        <f>$B37*(Eras!$AI$3*INDEX(Curves!$C$4:$BV$4,AR$2-32+1)+Eras!$AI$4*INDEX(Curves!$C$27:$BV$27,AR$2-32+1)+Eras!$AI$5*INDEX(Curves!$C$50:$BV$50,AR$2-32+1))</f>
        <v/>
      </c>
      <c r="AS37" s="5">
        <f>$B37*(Eras!$AI$3*INDEX(Curves!$C$4:$BV$4,AS$2-32+1)+Eras!$AI$4*INDEX(Curves!$C$27:$BV$27,AS$2-32+1)+Eras!$AI$5*INDEX(Curves!$C$50:$BV$50,AS$2-32+1))</f>
        <v/>
      </c>
      <c r="AT37" s="5">
        <f>$B37*(Eras!$AI$3*INDEX(Curves!$C$4:$BV$4,AT$2-32+1)+Eras!$AI$4*INDEX(Curves!$C$27:$BV$27,AT$2-32+1)+Eras!$AI$5*INDEX(Curves!$C$50:$BV$50,AT$2-32+1))</f>
        <v/>
      </c>
      <c r="AU37" s="5">
        <f>$B37*(Eras!$AI$3*INDEX(Curves!$C$4:$BV$4,AU$2-32+1)+Eras!$AI$4*INDEX(Curves!$C$27:$BV$27,AU$2-32+1)+Eras!$AI$5*INDEX(Curves!$C$50:$BV$50,AU$2-32+1))</f>
        <v/>
      </c>
      <c r="AV37" s="5">
        <f>$B37*(Eras!$AI$3*INDEX(Curves!$C$4:$BV$4,AV$2-32+1)+Eras!$AI$4*INDEX(Curves!$C$27:$BV$27,AV$2-32+1)+Eras!$AI$5*INDEX(Curves!$C$50:$BV$50,AV$2-32+1))</f>
        <v/>
      </c>
      <c r="AW37" s="5">
        <f>$B37*(Eras!$AI$3*INDEX(Curves!$C$4:$BV$4,AW$2-32+1)+Eras!$AI$4*INDEX(Curves!$C$27:$BV$27,AW$2-32+1)+Eras!$AI$5*INDEX(Curves!$C$50:$BV$50,AW$2-32+1))</f>
        <v/>
      </c>
      <c r="AX37" s="5">
        <f>$B37*(Eras!$AI$3*INDEX(Curves!$C$4:$BV$4,AX$2-32+1)+Eras!$AI$4*INDEX(Curves!$C$27:$BV$27,AX$2-32+1)+Eras!$AI$5*INDEX(Curves!$C$50:$BV$50,AX$2-32+1))</f>
        <v/>
      </c>
      <c r="AY37" s="5">
        <f>$B37*(Eras!$AI$3*INDEX(Curves!$C$4:$BV$4,AY$2-32+1)+Eras!$AI$4*INDEX(Curves!$C$27:$BV$27,AY$2-32+1)+Eras!$AI$5*INDEX(Curves!$C$50:$BV$50,AY$2-32+1))</f>
        <v/>
      </c>
      <c r="AZ37" s="5">
        <f>$B37*(Eras!$AI$3*INDEX(Curves!$C$4:$BV$4,AZ$2-32+1)+Eras!$AI$4*INDEX(Curves!$C$27:$BV$27,AZ$2-32+1)+Eras!$AI$5*INDEX(Curves!$C$50:$BV$50,AZ$2-32+1))</f>
        <v/>
      </c>
      <c r="BA37" s="5">
        <f>$B37*(Eras!$AI$3*INDEX(Curves!$C$4:$BV$4,BA$2-32+1)+Eras!$AI$4*INDEX(Curves!$C$27:$BV$27,BA$2-32+1)+Eras!$AI$5*INDEX(Curves!$C$50:$BV$50,BA$2-32+1))</f>
        <v/>
      </c>
      <c r="BB37" s="5">
        <f>$B37*(Eras!$AI$3*INDEX(Curves!$C$4:$BV$4,BB$2-32+1)+Eras!$AI$4*INDEX(Curves!$C$27:$BV$27,BB$2-32+1)+Eras!$AI$5*INDEX(Curves!$C$50:$BV$50,BB$2-32+1))</f>
        <v/>
      </c>
      <c r="BC37" s="5">
        <f>$B37*(Eras!$AI$3*INDEX(Curves!$C$4:$BV$4,BC$2-32+1)+Eras!$AI$4*INDEX(Curves!$C$27:$BV$27,BC$2-32+1)+Eras!$AI$5*INDEX(Curves!$C$50:$BV$50,BC$2-32+1))</f>
        <v/>
      </c>
      <c r="BD37" s="5">
        <f>$B37*(Eras!$AI$3*INDEX(Curves!$C$4:$BV$4,BD$2-32+1)+Eras!$AI$4*INDEX(Curves!$C$27:$BV$27,BD$2-32+1)+Eras!$AI$5*INDEX(Curves!$C$50:$BV$50,BD$2-32+1))</f>
        <v/>
      </c>
      <c r="BE37" s="5">
        <f>$B37*(Eras!$AI$3*INDEX(Curves!$C$4:$BV$4,BE$2-32+1)+Eras!$AI$4*INDEX(Curves!$C$27:$BV$27,BE$2-32+1)+Eras!$AI$5*INDEX(Curves!$C$50:$BV$50,BE$2-32+1))</f>
        <v/>
      </c>
      <c r="BF37" s="5">
        <f>$B37*(Eras!$AI$3*INDEX(Curves!$C$4:$BV$4,BF$2-32+1)+Eras!$AI$4*INDEX(Curves!$C$27:$BV$27,BF$2-32+1)+Eras!$AI$5*INDEX(Curves!$C$50:$BV$50,BF$2-32+1))</f>
        <v/>
      </c>
      <c r="BG37" s="5">
        <f>$B37*(Eras!$AI$3*INDEX(Curves!$C$4:$BV$4,BG$2-32+1)+Eras!$AI$4*INDEX(Curves!$C$27:$BV$27,BG$2-32+1)+Eras!$AI$5*INDEX(Curves!$C$50:$BV$50,BG$2-32+1))</f>
        <v/>
      </c>
      <c r="BH37" s="5">
        <f>$B37*(Eras!$AI$3*INDEX(Curves!$C$4:$BV$4,BH$2-32+1)+Eras!$AI$4*INDEX(Curves!$C$27:$BV$27,BH$2-32+1)+Eras!$AI$5*INDEX(Curves!$C$50:$BV$50,BH$2-32+1))</f>
        <v/>
      </c>
      <c r="BI37" s="5">
        <f>$B37*(Eras!$AI$3*INDEX(Curves!$C$4:$BV$4,BI$2-32+1)+Eras!$AI$4*INDEX(Curves!$C$27:$BV$27,BI$2-32+1)+Eras!$AI$5*INDEX(Curves!$C$50:$BV$50,BI$2-32+1))</f>
        <v/>
      </c>
      <c r="BJ37" s="5">
        <f>$B37*(Eras!$AI$3*INDEX(Curves!$C$4:$BV$4,BJ$2-32+1)+Eras!$AI$4*INDEX(Curves!$C$27:$BV$27,BJ$2-32+1)+Eras!$AI$5*INDEX(Curves!$C$50:$BV$50,BJ$2-32+1))</f>
        <v/>
      </c>
      <c r="BK37" s="5">
        <f>$B37*(Eras!$AI$3*INDEX(Curves!$C$4:$BV$4,BK$2-32+1)+Eras!$AI$4*INDEX(Curves!$C$27:$BV$27,BK$2-32+1)+Eras!$AI$5*INDEX(Curves!$C$50:$BV$50,BK$2-32+1))</f>
        <v/>
      </c>
      <c r="BL37" s="5">
        <f>$B37*(Eras!$AI$3*INDEX(Curves!$C$4:$BV$4,BL$2-32+1)+Eras!$AI$4*INDEX(Curves!$C$27:$BV$27,BL$2-32+1)+Eras!$AI$5*INDEX(Curves!$C$50:$BV$50,BL$2-32+1))</f>
        <v/>
      </c>
      <c r="BM37" s="5">
        <f>$B37*(Eras!$AI$3*INDEX(Curves!$C$4:$BV$4,BM$2-32+1)+Eras!$AI$4*INDEX(Curves!$C$27:$BV$27,BM$2-32+1)+Eras!$AI$5*INDEX(Curves!$C$50:$BV$50,BM$2-32+1))</f>
        <v/>
      </c>
      <c r="BN37" s="5">
        <f>$B37*(Eras!$AI$3*INDEX(Curves!$C$4:$BV$4,BN$2-32+1)+Eras!$AI$4*INDEX(Curves!$C$27:$BV$27,BN$2-32+1)+Eras!$AI$5*INDEX(Curves!$C$50:$BV$50,BN$2-32+1))</f>
        <v/>
      </c>
      <c r="BO37" s="5">
        <f>$B37*(Eras!$AI$3*INDEX(Curves!$C$4:$BV$4,BO$2-32+1)+Eras!$AI$4*INDEX(Curves!$C$27:$BV$27,BO$2-32+1)+Eras!$AI$5*INDEX(Curves!$C$50:$BV$50,BO$2-32+1))</f>
        <v/>
      </c>
      <c r="BP37" s="5">
        <f>$B37*(Eras!$AI$3*INDEX(Curves!$C$4:$BV$4,BP$2-32+1)+Eras!$AI$4*INDEX(Curves!$C$27:$BV$27,BP$2-32+1)+Eras!$AI$5*INDEX(Curves!$C$50:$BV$50,BP$2-32+1))</f>
        <v/>
      </c>
      <c r="BQ37" s="5">
        <f>$B37*(Eras!$AI$3*INDEX(Curves!$C$4:$BV$4,BQ$2-32+1)+Eras!$AI$4*INDEX(Curves!$C$27:$BV$27,BQ$2-32+1)+Eras!$AI$5*INDEX(Curves!$C$50:$BV$50,BQ$2-32+1))</f>
        <v/>
      </c>
      <c r="BR37" s="5">
        <f>$B37*(Eras!$AI$3*INDEX(Curves!$C$4:$BV$4,BR$2-32+1)+Eras!$AI$4*INDEX(Curves!$C$27:$BV$27,BR$2-32+1)+Eras!$AI$5*INDEX(Curves!$C$50:$BV$50,BR$2-32+1))</f>
        <v/>
      </c>
      <c r="BS37" s="5">
        <f>$B37*(Eras!$AI$3*INDEX(Curves!$C$4:$BV$4,BS$2-32+1)+Eras!$AI$4*INDEX(Curves!$C$27:$BV$27,BS$2-32+1)+Eras!$AI$5*INDEX(Curves!$C$50:$BV$50,BS$2-32+1))</f>
        <v/>
      </c>
      <c r="BT37" s="5">
        <f>$B37*(Eras!$AI$3*INDEX(Curves!$C$4:$BV$4,BT$2-32+1)+Eras!$AI$4*INDEX(Curves!$C$27:$BV$27,BT$2-32+1)+Eras!$AI$5*INDEX(Curves!$C$50:$BV$50,BT$2-32+1))</f>
        <v/>
      </c>
      <c r="BU37" s="5">
        <f>$B37*(Eras!$AI$3*INDEX(Curves!$C$4:$BV$4,BU$2-32+1)+Eras!$AI$4*INDEX(Curves!$C$27:$BV$27,BU$2-32+1)+Eras!$AI$5*INDEX(Curves!$C$50:$BV$50,BU$2-32+1))</f>
        <v/>
      </c>
      <c r="BV37" s="5">
        <f>$B37*(Eras!$AI$3*INDEX(Curves!$C$4:$BV$4,BV$2-32+1)+Eras!$AI$4*INDEX(Curves!$C$27:$BV$27,BV$2-32+1)+Eras!$AI$5*INDEX(Curves!$C$50:$BV$50,BV$2-32+1))</f>
        <v/>
      </c>
    </row>
    <row r="38">
      <c r="A38" t="inlineStr">
        <is>
          <t>cohort 2027-10</t>
        </is>
      </c>
      <c r="B38" s="5">
        <f>INDEX(Adds!$C$13:$BV$13,34)</f>
        <v/>
      </c>
      <c r="AJ38" s="5">
        <f>$B38*(Eras!$AJ$3*INDEX(Curves!$C$4:$BV$4,AJ$2-33+1)+Eras!$AJ$4*INDEX(Curves!$C$27:$BV$27,AJ$2-33+1)+Eras!$AJ$5*INDEX(Curves!$C$50:$BV$50,AJ$2-33+1))</f>
        <v/>
      </c>
      <c r="AK38" s="5">
        <f>$B38*(Eras!$AJ$3*INDEX(Curves!$C$4:$BV$4,AK$2-33+1)+Eras!$AJ$4*INDEX(Curves!$C$27:$BV$27,AK$2-33+1)+Eras!$AJ$5*INDEX(Curves!$C$50:$BV$50,AK$2-33+1))</f>
        <v/>
      </c>
      <c r="AL38" s="5">
        <f>$B38*(Eras!$AJ$3*INDEX(Curves!$C$4:$BV$4,AL$2-33+1)+Eras!$AJ$4*INDEX(Curves!$C$27:$BV$27,AL$2-33+1)+Eras!$AJ$5*INDEX(Curves!$C$50:$BV$50,AL$2-33+1))</f>
        <v/>
      </c>
      <c r="AM38" s="5">
        <f>$B38*(Eras!$AJ$3*INDEX(Curves!$C$4:$BV$4,AM$2-33+1)+Eras!$AJ$4*INDEX(Curves!$C$27:$BV$27,AM$2-33+1)+Eras!$AJ$5*INDEX(Curves!$C$50:$BV$50,AM$2-33+1))</f>
        <v/>
      </c>
      <c r="AN38" s="5">
        <f>$B38*(Eras!$AJ$3*INDEX(Curves!$C$4:$BV$4,AN$2-33+1)+Eras!$AJ$4*INDEX(Curves!$C$27:$BV$27,AN$2-33+1)+Eras!$AJ$5*INDEX(Curves!$C$50:$BV$50,AN$2-33+1))</f>
        <v/>
      </c>
      <c r="AO38" s="5">
        <f>$B38*(Eras!$AJ$3*INDEX(Curves!$C$4:$BV$4,AO$2-33+1)+Eras!$AJ$4*INDEX(Curves!$C$27:$BV$27,AO$2-33+1)+Eras!$AJ$5*INDEX(Curves!$C$50:$BV$50,AO$2-33+1))</f>
        <v/>
      </c>
      <c r="AP38" s="5">
        <f>$B38*(Eras!$AJ$3*INDEX(Curves!$C$4:$BV$4,AP$2-33+1)+Eras!$AJ$4*INDEX(Curves!$C$27:$BV$27,AP$2-33+1)+Eras!$AJ$5*INDEX(Curves!$C$50:$BV$50,AP$2-33+1))</f>
        <v/>
      </c>
      <c r="AQ38" s="5">
        <f>$B38*(Eras!$AJ$3*INDEX(Curves!$C$4:$BV$4,AQ$2-33+1)+Eras!$AJ$4*INDEX(Curves!$C$27:$BV$27,AQ$2-33+1)+Eras!$AJ$5*INDEX(Curves!$C$50:$BV$50,AQ$2-33+1))</f>
        <v/>
      </c>
      <c r="AR38" s="5">
        <f>$B38*(Eras!$AJ$3*INDEX(Curves!$C$4:$BV$4,AR$2-33+1)+Eras!$AJ$4*INDEX(Curves!$C$27:$BV$27,AR$2-33+1)+Eras!$AJ$5*INDEX(Curves!$C$50:$BV$50,AR$2-33+1))</f>
        <v/>
      </c>
      <c r="AS38" s="5">
        <f>$B38*(Eras!$AJ$3*INDEX(Curves!$C$4:$BV$4,AS$2-33+1)+Eras!$AJ$4*INDEX(Curves!$C$27:$BV$27,AS$2-33+1)+Eras!$AJ$5*INDEX(Curves!$C$50:$BV$50,AS$2-33+1))</f>
        <v/>
      </c>
      <c r="AT38" s="5">
        <f>$B38*(Eras!$AJ$3*INDEX(Curves!$C$4:$BV$4,AT$2-33+1)+Eras!$AJ$4*INDEX(Curves!$C$27:$BV$27,AT$2-33+1)+Eras!$AJ$5*INDEX(Curves!$C$50:$BV$50,AT$2-33+1))</f>
        <v/>
      </c>
      <c r="AU38" s="5">
        <f>$B38*(Eras!$AJ$3*INDEX(Curves!$C$4:$BV$4,AU$2-33+1)+Eras!$AJ$4*INDEX(Curves!$C$27:$BV$27,AU$2-33+1)+Eras!$AJ$5*INDEX(Curves!$C$50:$BV$50,AU$2-33+1))</f>
        <v/>
      </c>
      <c r="AV38" s="5">
        <f>$B38*(Eras!$AJ$3*INDEX(Curves!$C$4:$BV$4,AV$2-33+1)+Eras!$AJ$4*INDEX(Curves!$C$27:$BV$27,AV$2-33+1)+Eras!$AJ$5*INDEX(Curves!$C$50:$BV$50,AV$2-33+1))</f>
        <v/>
      </c>
      <c r="AW38" s="5">
        <f>$B38*(Eras!$AJ$3*INDEX(Curves!$C$4:$BV$4,AW$2-33+1)+Eras!$AJ$4*INDEX(Curves!$C$27:$BV$27,AW$2-33+1)+Eras!$AJ$5*INDEX(Curves!$C$50:$BV$50,AW$2-33+1))</f>
        <v/>
      </c>
      <c r="AX38" s="5">
        <f>$B38*(Eras!$AJ$3*INDEX(Curves!$C$4:$BV$4,AX$2-33+1)+Eras!$AJ$4*INDEX(Curves!$C$27:$BV$27,AX$2-33+1)+Eras!$AJ$5*INDEX(Curves!$C$50:$BV$50,AX$2-33+1))</f>
        <v/>
      </c>
      <c r="AY38" s="5">
        <f>$B38*(Eras!$AJ$3*INDEX(Curves!$C$4:$BV$4,AY$2-33+1)+Eras!$AJ$4*INDEX(Curves!$C$27:$BV$27,AY$2-33+1)+Eras!$AJ$5*INDEX(Curves!$C$50:$BV$50,AY$2-33+1))</f>
        <v/>
      </c>
      <c r="AZ38" s="5">
        <f>$B38*(Eras!$AJ$3*INDEX(Curves!$C$4:$BV$4,AZ$2-33+1)+Eras!$AJ$4*INDEX(Curves!$C$27:$BV$27,AZ$2-33+1)+Eras!$AJ$5*INDEX(Curves!$C$50:$BV$50,AZ$2-33+1))</f>
        <v/>
      </c>
      <c r="BA38" s="5">
        <f>$B38*(Eras!$AJ$3*INDEX(Curves!$C$4:$BV$4,BA$2-33+1)+Eras!$AJ$4*INDEX(Curves!$C$27:$BV$27,BA$2-33+1)+Eras!$AJ$5*INDEX(Curves!$C$50:$BV$50,BA$2-33+1))</f>
        <v/>
      </c>
      <c r="BB38" s="5">
        <f>$B38*(Eras!$AJ$3*INDEX(Curves!$C$4:$BV$4,BB$2-33+1)+Eras!$AJ$4*INDEX(Curves!$C$27:$BV$27,BB$2-33+1)+Eras!$AJ$5*INDEX(Curves!$C$50:$BV$50,BB$2-33+1))</f>
        <v/>
      </c>
      <c r="BC38" s="5">
        <f>$B38*(Eras!$AJ$3*INDEX(Curves!$C$4:$BV$4,BC$2-33+1)+Eras!$AJ$4*INDEX(Curves!$C$27:$BV$27,BC$2-33+1)+Eras!$AJ$5*INDEX(Curves!$C$50:$BV$50,BC$2-33+1))</f>
        <v/>
      </c>
      <c r="BD38" s="5">
        <f>$B38*(Eras!$AJ$3*INDEX(Curves!$C$4:$BV$4,BD$2-33+1)+Eras!$AJ$4*INDEX(Curves!$C$27:$BV$27,BD$2-33+1)+Eras!$AJ$5*INDEX(Curves!$C$50:$BV$50,BD$2-33+1))</f>
        <v/>
      </c>
      <c r="BE38" s="5">
        <f>$B38*(Eras!$AJ$3*INDEX(Curves!$C$4:$BV$4,BE$2-33+1)+Eras!$AJ$4*INDEX(Curves!$C$27:$BV$27,BE$2-33+1)+Eras!$AJ$5*INDEX(Curves!$C$50:$BV$50,BE$2-33+1))</f>
        <v/>
      </c>
      <c r="BF38" s="5">
        <f>$B38*(Eras!$AJ$3*INDEX(Curves!$C$4:$BV$4,BF$2-33+1)+Eras!$AJ$4*INDEX(Curves!$C$27:$BV$27,BF$2-33+1)+Eras!$AJ$5*INDEX(Curves!$C$50:$BV$50,BF$2-33+1))</f>
        <v/>
      </c>
      <c r="BG38" s="5">
        <f>$B38*(Eras!$AJ$3*INDEX(Curves!$C$4:$BV$4,BG$2-33+1)+Eras!$AJ$4*INDEX(Curves!$C$27:$BV$27,BG$2-33+1)+Eras!$AJ$5*INDEX(Curves!$C$50:$BV$50,BG$2-33+1))</f>
        <v/>
      </c>
      <c r="BH38" s="5">
        <f>$B38*(Eras!$AJ$3*INDEX(Curves!$C$4:$BV$4,BH$2-33+1)+Eras!$AJ$4*INDEX(Curves!$C$27:$BV$27,BH$2-33+1)+Eras!$AJ$5*INDEX(Curves!$C$50:$BV$50,BH$2-33+1))</f>
        <v/>
      </c>
      <c r="BI38" s="5">
        <f>$B38*(Eras!$AJ$3*INDEX(Curves!$C$4:$BV$4,BI$2-33+1)+Eras!$AJ$4*INDEX(Curves!$C$27:$BV$27,BI$2-33+1)+Eras!$AJ$5*INDEX(Curves!$C$50:$BV$50,BI$2-33+1))</f>
        <v/>
      </c>
      <c r="BJ38" s="5">
        <f>$B38*(Eras!$AJ$3*INDEX(Curves!$C$4:$BV$4,BJ$2-33+1)+Eras!$AJ$4*INDEX(Curves!$C$27:$BV$27,BJ$2-33+1)+Eras!$AJ$5*INDEX(Curves!$C$50:$BV$50,BJ$2-33+1))</f>
        <v/>
      </c>
      <c r="BK38" s="5">
        <f>$B38*(Eras!$AJ$3*INDEX(Curves!$C$4:$BV$4,BK$2-33+1)+Eras!$AJ$4*INDEX(Curves!$C$27:$BV$27,BK$2-33+1)+Eras!$AJ$5*INDEX(Curves!$C$50:$BV$50,BK$2-33+1))</f>
        <v/>
      </c>
      <c r="BL38" s="5">
        <f>$B38*(Eras!$AJ$3*INDEX(Curves!$C$4:$BV$4,BL$2-33+1)+Eras!$AJ$4*INDEX(Curves!$C$27:$BV$27,BL$2-33+1)+Eras!$AJ$5*INDEX(Curves!$C$50:$BV$50,BL$2-33+1))</f>
        <v/>
      </c>
      <c r="BM38" s="5">
        <f>$B38*(Eras!$AJ$3*INDEX(Curves!$C$4:$BV$4,BM$2-33+1)+Eras!$AJ$4*INDEX(Curves!$C$27:$BV$27,BM$2-33+1)+Eras!$AJ$5*INDEX(Curves!$C$50:$BV$50,BM$2-33+1))</f>
        <v/>
      </c>
      <c r="BN38" s="5">
        <f>$B38*(Eras!$AJ$3*INDEX(Curves!$C$4:$BV$4,BN$2-33+1)+Eras!$AJ$4*INDEX(Curves!$C$27:$BV$27,BN$2-33+1)+Eras!$AJ$5*INDEX(Curves!$C$50:$BV$50,BN$2-33+1))</f>
        <v/>
      </c>
      <c r="BO38" s="5">
        <f>$B38*(Eras!$AJ$3*INDEX(Curves!$C$4:$BV$4,BO$2-33+1)+Eras!$AJ$4*INDEX(Curves!$C$27:$BV$27,BO$2-33+1)+Eras!$AJ$5*INDEX(Curves!$C$50:$BV$50,BO$2-33+1))</f>
        <v/>
      </c>
      <c r="BP38" s="5">
        <f>$B38*(Eras!$AJ$3*INDEX(Curves!$C$4:$BV$4,BP$2-33+1)+Eras!$AJ$4*INDEX(Curves!$C$27:$BV$27,BP$2-33+1)+Eras!$AJ$5*INDEX(Curves!$C$50:$BV$50,BP$2-33+1))</f>
        <v/>
      </c>
      <c r="BQ38" s="5">
        <f>$B38*(Eras!$AJ$3*INDEX(Curves!$C$4:$BV$4,BQ$2-33+1)+Eras!$AJ$4*INDEX(Curves!$C$27:$BV$27,BQ$2-33+1)+Eras!$AJ$5*INDEX(Curves!$C$50:$BV$50,BQ$2-33+1))</f>
        <v/>
      </c>
      <c r="BR38" s="5">
        <f>$B38*(Eras!$AJ$3*INDEX(Curves!$C$4:$BV$4,BR$2-33+1)+Eras!$AJ$4*INDEX(Curves!$C$27:$BV$27,BR$2-33+1)+Eras!$AJ$5*INDEX(Curves!$C$50:$BV$50,BR$2-33+1))</f>
        <v/>
      </c>
      <c r="BS38" s="5">
        <f>$B38*(Eras!$AJ$3*INDEX(Curves!$C$4:$BV$4,BS$2-33+1)+Eras!$AJ$4*INDEX(Curves!$C$27:$BV$27,BS$2-33+1)+Eras!$AJ$5*INDEX(Curves!$C$50:$BV$50,BS$2-33+1))</f>
        <v/>
      </c>
      <c r="BT38" s="5">
        <f>$B38*(Eras!$AJ$3*INDEX(Curves!$C$4:$BV$4,BT$2-33+1)+Eras!$AJ$4*INDEX(Curves!$C$27:$BV$27,BT$2-33+1)+Eras!$AJ$5*INDEX(Curves!$C$50:$BV$50,BT$2-33+1))</f>
        <v/>
      </c>
      <c r="BU38" s="5">
        <f>$B38*(Eras!$AJ$3*INDEX(Curves!$C$4:$BV$4,BU$2-33+1)+Eras!$AJ$4*INDEX(Curves!$C$27:$BV$27,BU$2-33+1)+Eras!$AJ$5*INDEX(Curves!$C$50:$BV$50,BU$2-33+1))</f>
        <v/>
      </c>
      <c r="BV38" s="5">
        <f>$B38*(Eras!$AJ$3*INDEX(Curves!$C$4:$BV$4,BV$2-33+1)+Eras!$AJ$4*INDEX(Curves!$C$27:$BV$27,BV$2-33+1)+Eras!$AJ$5*INDEX(Curves!$C$50:$BV$50,BV$2-33+1))</f>
        <v/>
      </c>
    </row>
    <row r="39">
      <c r="A39" t="inlineStr">
        <is>
          <t>cohort 2027-11</t>
        </is>
      </c>
      <c r="B39" s="5">
        <f>INDEX(Adds!$C$13:$BV$13,35)</f>
        <v/>
      </c>
      <c r="AK39" s="5">
        <f>$B39*(Eras!$AK$3*INDEX(Curves!$C$4:$BV$4,AK$2-34+1)+Eras!$AK$4*INDEX(Curves!$C$27:$BV$27,AK$2-34+1)+Eras!$AK$5*INDEX(Curves!$C$50:$BV$50,AK$2-34+1))</f>
        <v/>
      </c>
      <c r="AL39" s="5">
        <f>$B39*(Eras!$AK$3*INDEX(Curves!$C$4:$BV$4,AL$2-34+1)+Eras!$AK$4*INDEX(Curves!$C$27:$BV$27,AL$2-34+1)+Eras!$AK$5*INDEX(Curves!$C$50:$BV$50,AL$2-34+1))</f>
        <v/>
      </c>
      <c r="AM39" s="5">
        <f>$B39*(Eras!$AK$3*INDEX(Curves!$C$4:$BV$4,AM$2-34+1)+Eras!$AK$4*INDEX(Curves!$C$27:$BV$27,AM$2-34+1)+Eras!$AK$5*INDEX(Curves!$C$50:$BV$50,AM$2-34+1))</f>
        <v/>
      </c>
      <c r="AN39" s="5">
        <f>$B39*(Eras!$AK$3*INDEX(Curves!$C$4:$BV$4,AN$2-34+1)+Eras!$AK$4*INDEX(Curves!$C$27:$BV$27,AN$2-34+1)+Eras!$AK$5*INDEX(Curves!$C$50:$BV$50,AN$2-34+1))</f>
        <v/>
      </c>
      <c r="AO39" s="5">
        <f>$B39*(Eras!$AK$3*INDEX(Curves!$C$4:$BV$4,AO$2-34+1)+Eras!$AK$4*INDEX(Curves!$C$27:$BV$27,AO$2-34+1)+Eras!$AK$5*INDEX(Curves!$C$50:$BV$50,AO$2-34+1))</f>
        <v/>
      </c>
      <c r="AP39" s="5">
        <f>$B39*(Eras!$AK$3*INDEX(Curves!$C$4:$BV$4,AP$2-34+1)+Eras!$AK$4*INDEX(Curves!$C$27:$BV$27,AP$2-34+1)+Eras!$AK$5*INDEX(Curves!$C$50:$BV$50,AP$2-34+1))</f>
        <v/>
      </c>
      <c r="AQ39" s="5">
        <f>$B39*(Eras!$AK$3*INDEX(Curves!$C$4:$BV$4,AQ$2-34+1)+Eras!$AK$4*INDEX(Curves!$C$27:$BV$27,AQ$2-34+1)+Eras!$AK$5*INDEX(Curves!$C$50:$BV$50,AQ$2-34+1))</f>
        <v/>
      </c>
      <c r="AR39" s="5">
        <f>$B39*(Eras!$AK$3*INDEX(Curves!$C$4:$BV$4,AR$2-34+1)+Eras!$AK$4*INDEX(Curves!$C$27:$BV$27,AR$2-34+1)+Eras!$AK$5*INDEX(Curves!$C$50:$BV$50,AR$2-34+1))</f>
        <v/>
      </c>
      <c r="AS39" s="5">
        <f>$B39*(Eras!$AK$3*INDEX(Curves!$C$4:$BV$4,AS$2-34+1)+Eras!$AK$4*INDEX(Curves!$C$27:$BV$27,AS$2-34+1)+Eras!$AK$5*INDEX(Curves!$C$50:$BV$50,AS$2-34+1))</f>
        <v/>
      </c>
      <c r="AT39" s="5">
        <f>$B39*(Eras!$AK$3*INDEX(Curves!$C$4:$BV$4,AT$2-34+1)+Eras!$AK$4*INDEX(Curves!$C$27:$BV$27,AT$2-34+1)+Eras!$AK$5*INDEX(Curves!$C$50:$BV$50,AT$2-34+1))</f>
        <v/>
      </c>
      <c r="AU39" s="5">
        <f>$B39*(Eras!$AK$3*INDEX(Curves!$C$4:$BV$4,AU$2-34+1)+Eras!$AK$4*INDEX(Curves!$C$27:$BV$27,AU$2-34+1)+Eras!$AK$5*INDEX(Curves!$C$50:$BV$50,AU$2-34+1))</f>
        <v/>
      </c>
      <c r="AV39" s="5">
        <f>$B39*(Eras!$AK$3*INDEX(Curves!$C$4:$BV$4,AV$2-34+1)+Eras!$AK$4*INDEX(Curves!$C$27:$BV$27,AV$2-34+1)+Eras!$AK$5*INDEX(Curves!$C$50:$BV$50,AV$2-34+1))</f>
        <v/>
      </c>
      <c r="AW39" s="5">
        <f>$B39*(Eras!$AK$3*INDEX(Curves!$C$4:$BV$4,AW$2-34+1)+Eras!$AK$4*INDEX(Curves!$C$27:$BV$27,AW$2-34+1)+Eras!$AK$5*INDEX(Curves!$C$50:$BV$50,AW$2-34+1))</f>
        <v/>
      </c>
      <c r="AX39" s="5">
        <f>$B39*(Eras!$AK$3*INDEX(Curves!$C$4:$BV$4,AX$2-34+1)+Eras!$AK$4*INDEX(Curves!$C$27:$BV$27,AX$2-34+1)+Eras!$AK$5*INDEX(Curves!$C$50:$BV$50,AX$2-34+1))</f>
        <v/>
      </c>
      <c r="AY39" s="5">
        <f>$B39*(Eras!$AK$3*INDEX(Curves!$C$4:$BV$4,AY$2-34+1)+Eras!$AK$4*INDEX(Curves!$C$27:$BV$27,AY$2-34+1)+Eras!$AK$5*INDEX(Curves!$C$50:$BV$50,AY$2-34+1))</f>
        <v/>
      </c>
      <c r="AZ39" s="5">
        <f>$B39*(Eras!$AK$3*INDEX(Curves!$C$4:$BV$4,AZ$2-34+1)+Eras!$AK$4*INDEX(Curves!$C$27:$BV$27,AZ$2-34+1)+Eras!$AK$5*INDEX(Curves!$C$50:$BV$50,AZ$2-34+1))</f>
        <v/>
      </c>
      <c r="BA39" s="5">
        <f>$B39*(Eras!$AK$3*INDEX(Curves!$C$4:$BV$4,BA$2-34+1)+Eras!$AK$4*INDEX(Curves!$C$27:$BV$27,BA$2-34+1)+Eras!$AK$5*INDEX(Curves!$C$50:$BV$50,BA$2-34+1))</f>
        <v/>
      </c>
      <c r="BB39" s="5">
        <f>$B39*(Eras!$AK$3*INDEX(Curves!$C$4:$BV$4,BB$2-34+1)+Eras!$AK$4*INDEX(Curves!$C$27:$BV$27,BB$2-34+1)+Eras!$AK$5*INDEX(Curves!$C$50:$BV$50,BB$2-34+1))</f>
        <v/>
      </c>
      <c r="BC39" s="5">
        <f>$B39*(Eras!$AK$3*INDEX(Curves!$C$4:$BV$4,BC$2-34+1)+Eras!$AK$4*INDEX(Curves!$C$27:$BV$27,BC$2-34+1)+Eras!$AK$5*INDEX(Curves!$C$50:$BV$50,BC$2-34+1))</f>
        <v/>
      </c>
      <c r="BD39" s="5">
        <f>$B39*(Eras!$AK$3*INDEX(Curves!$C$4:$BV$4,BD$2-34+1)+Eras!$AK$4*INDEX(Curves!$C$27:$BV$27,BD$2-34+1)+Eras!$AK$5*INDEX(Curves!$C$50:$BV$50,BD$2-34+1))</f>
        <v/>
      </c>
      <c r="BE39" s="5">
        <f>$B39*(Eras!$AK$3*INDEX(Curves!$C$4:$BV$4,BE$2-34+1)+Eras!$AK$4*INDEX(Curves!$C$27:$BV$27,BE$2-34+1)+Eras!$AK$5*INDEX(Curves!$C$50:$BV$50,BE$2-34+1))</f>
        <v/>
      </c>
      <c r="BF39" s="5">
        <f>$B39*(Eras!$AK$3*INDEX(Curves!$C$4:$BV$4,BF$2-34+1)+Eras!$AK$4*INDEX(Curves!$C$27:$BV$27,BF$2-34+1)+Eras!$AK$5*INDEX(Curves!$C$50:$BV$50,BF$2-34+1))</f>
        <v/>
      </c>
      <c r="BG39" s="5">
        <f>$B39*(Eras!$AK$3*INDEX(Curves!$C$4:$BV$4,BG$2-34+1)+Eras!$AK$4*INDEX(Curves!$C$27:$BV$27,BG$2-34+1)+Eras!$AK$5*INDEX(Curves!$C$50:$BV$50,BG$2-34+1))</f>
        <v/>
      </c>
      <c r="BH39" s="5">
        <f>$B39*(Eras!$AK$3*INDEX(Curves!$C$4:$BV$4,BH$2-34+1)+Eras!$AK$4*INDEX(Curves!$C$27:$BV$27,BH$2-34+1)+Eras!$AK$5*INDEX(Curves!$C$50:$BV$50,BH$2-34+1))</f>
        <v/>
      </c>
      <c r="BI39" s="5">
        <f>$B39*(Eras!$AK$3*INDEX(Curves!$C$4:$BV$4,BI$2-34+1)+Eras!$AK$4*INDEX(Curves!$C$27:$BV$27,BI$2-34+1)+Eras!$AK$5*INDEX(Curves!$C$50:$BV$50,BI$2-34+1))</f>
        <v/>
      </c>
      <c r="BJ39" s="5">
        <f>$B39*(Eras!$AK$3*INDEX(Curves!$C$4:$BV$4,BJ$2-34+1)+Eras!$AK$4*INDEX(Curves!$C$27:$BV$27,BJ$2-34+1)+Eras!$AK$5*INDEX(Curves!$C$50:$BV$50,BJ$2-34+1))</f>
        <v/>
      </c>
      <c r="BK39" s="5">
        <f>$B39*(Eras!$AK$3*INDEX(Curves!$C$4:$BV$4,BK$2-34+1)+Eras!$AK$4*INDEX(Curves!$C$27:$BV$27,BK$2-34+1)+Eras!$AK$5*INDEX(Curves!$C$50:$BV$50,BK$2-34+1))</f>
        <v/>
      </c>
      <c r="BL39" s="5">
        <f>$B39*(Eras!$AK$3*INDEX(Curves!$C$4:$BV$4,BL$2-34+1)+Eras!$AK$4*INDEX(Curves!$C$27:$BV$27,BL$2-34+1)+Eras!$AK$5*INDEX(Curves!$C$50:$BV$50,BL$2-34+1))</f>
        <v/>
      </c>
      <c r="BM39" s="5">
        <f>$B39*(Eras!$AK$3*INDEX(Curves!$C$4:$BV$4,BM$2-34+1)+Eras!$AK$4*INDEX(Curves!$C$27:$BV$27,BM$2-34+1)+Eras!$AK$5*INDEX(Curves!$C$50:$BV$50,BM$2-34+1))</f>
        <v/>
      </c>
      <c r="BN39" s="5">
        <f>$B39*(Eras!$AK$3*INDEX(Curves!$C$4:$BV$4,BN$2-34+1)+Eras!$AK$4*INDEX(Curves!$C$27:$BV$27,BN$2-34+1)+Eras!$AK$5*INDEX(Curves!$C$50:$BV$50,BN$2-34+1))</f>
        <v/>
      </c>
      <c r="BO39" s="5">
        <f>$B39*(Eras!$AK$3*INDEX(Curves!$C$4:$BV$4,BO$2-34+1)+Eras!$AK$4*INDEX(Curves!$C$27:$BV$27,BO$2-34+1)+Eras!$AK$5*INDEX(Curves!$C$50:$BV$50,BO$2-34+1))</f>
        <v/>
      </c>
      <c r="BP39" s="5">
        <f>$B39*(Eras!$AK$3*INDEX(Curves!$C$4:$BV$4,BP$2-34+1)+Eras!$AK$4*INDEX(Curves!$C$27:$BV$27,BP$2-34+1)+Eras!$AK$5*INDEX(Curves!$C$50:$BV$50,BP$2-34+1))</f>
        <v/>
      </c>
      <c r="BQ39" s="5">
        <f>$B39*(Eras!$AK$3*INDEX(Curves!$C$4:$BV$4,BQ$2-34+1)+Eras!$AK$4*INDEX(Curves!$C$27:$BV$27,BQ$2-34+1)+Eras!$AK$5*INDEX(Curves!$C$50:$BV$50,BQ$2-34+1))</f>
        <v/>
      </c>
      <c r="BR39" s="5">
        <f>$B39*(Eras!$AK$3*INDEX(Curves!$C$4:$BV$4,BR$2-34+1)+Eras!$AK$4*INDEX(Curves!$C$27:$BV$27,BR$2-34+1)+Eras!$AK$5*INDEX(Curves!$C$50:$BV$50,BR$2-34+1))</f>
        <v/>
      </c>
      <c r="BS39" s="5">
        <f>$B39*(Eras!$AK$3*INDEX(Curves!$C$4:$BV$4,BS$2-34+1)+Eras!$AK$4*INDEX(Curves!$C$27:$BV$27,BS$2-34+1)+Eras!$AK$5*INDEX(Curves!$C$50:$BV$50,BS$2-34+1))</f>
        <v/>
      </c>
      <c r="BT39" s="5">
        <f>$B39*(Eras!$AK$3*INDEX(Curves!$C$4:$BV$4,BT$2-34+1)+Eras!$AK$4*INDEX(Curves!$C$27:$BV$27,BT$2-34+1)+Eras!$AK$5*INDEX(Curves!$C$50:$BV$50,BT$2-34+1))</f>
        <v/>
      </c>
      <c r="BU39" s="5">
        <f>$B39*(Eras!$AK$3*INDEX(Curves!$C$4:$BV$4,BU$2-34+1)+Eras!$AK$4*INDEX(Curves!$C$27:$BV$27,BU$2-34+1)+Eras!$AK$5*INDEX(Curves!$C$50:$BV$50,BU$2-34+1))</f>
        <v/>
      </c>
      <c r="BV39" s="5">
        <f>$B39*(Eras!$AK$3*INDEX(Curves!$C$4:$BV$4,BV$2-34+1)+Eras!$AK$4*INDEX(Curves!$C$27:$BV$27,BV$2-34+1)+Eras!$AK$5*INDEX(Curves!$C$50:$BV$50,BV$2-34+1))</f>
        <v/>
      </c>
    </row>
    <row r="40">
      <c r="A40" t="inlineStr">
        <is>
          <t>cohort 2027-12</t>
        </is>
      </c>
      <c r="B40" s="5">
        <f>INDEX(Adds!$C$13:$BV$13,36)</f>
        <v/>
      </c>
      <c r="AL40" s="5">
        <f>$B40*(Eras!$AL$3*INDEX(Curves!$C$4:$BV$4,AL$2-35+1)+Eras!$AL$4*INDEX(Curves!$C$27:$BV$27,AL$2-35+1)+Eras!$AL$5*INDEX(Curves!$C$50:$BV$50,AL$2-35+1))</f>
        <v/>
      </c>
      <c r="AM40" s="5">
        <f>$B40*(Eras!$AL$3*INDEX(Curves!$C$4:$BV$4,AM$2-35+1)+Eras!$AL$4*INDEX(Curves!$C$27:$BV$27,AM$2-35+1)+Eras!$AL$5*INDEX(Curves!$C$50:$BV$50,AM$2-35+1))</f>
        <v/>
      </c>
      <c r="AN40" s="5">
        <f>$B40*(Eras!$AL$3*INDEX(Curves!$C$4:$BV$4,AN$2-35+1)+Eras!$AL$4*INDEX(Curves!$C$27:$BV$27,AN$2-35+1)+Eras!$AL$5*INDEX(Curves!$C$50:$BV$50,AN$2-35+1))</f>
        <v/>
      </c>
      <c r="AO40" s="5">
        <f>$B40*(Eras!$AL$3*INDEX(Curves!$C$4:$BV$4,AO$2-35+1)+Eras!$AL$4*INDEX(Curves!$C$27:$BV$27,AO$2-35+1)+Eras!$AL$5*INDEX(Curves!$C$50:$BV$50,AO$2-35+1))</f>
        <v/>
      </c>
      <c r="AP40" s="5">
        <f>$B40*(Eras!$AL$3*INDEX(Curves!$C$4:$BV$4,AP$2-35+1)+Eras!$AL$4*INDEX(Curves!$C$27:$BV$27,AP$2-35+1)+Eras!$AL$5*INDEX(Curves!$C$50:$BV$50,AP$2-35+1))</f>
        <v/>
      </c>
      <c r="AQ40" s="5">
        <f>$B40*(Eras!$AL$3*INDEX(Curves!$C$4:$BV$4,AQ$2-35+1)+Eras!$AL$4*INDEX(Curves!$C$27:$BV$27,AQ$2-35+1)+Eras!$AL$5*INDEX(Curves!$C$50:$BV$50,AQ$2-35+1))</f>
        <v/>
      </c>
      <c r="AR40" s="5">
        <f>$B40*(Eras!$AL$3*INDEX(Curves!$C$4:$BV$4,AR$2-35+1)+Eras!$AL$4*INDEX(Curves!$C$27:$BV$27,AR$2-35+1)+Eras!$AL$5*INDEX(Curves!$C$50:$BV$50,AR$2-35+1))</f>
        <v/>
      </c>
      <c r="AS40" s="5">
        <f>$B40*(Eras!$AL$3*INDEX(Curves!$C$4:$BV$4,AS$2-35+1)+Eras!$AL$4*INDEX(Curves!$C$27:$BV$27,AS$2-35+1)+Eras!$AL$5*INDEX(Curves!$C$50:$BV$50,AS$2-35+1))</f>
        <v/>
      </c>
      <c r="AT40" s="5">
        <f>$B40*(Eras!$AL$3*INDEX(Curves!$C$4:$BV$4,AT$2-35+1)+Eras!$AL$4*INDEX(Curves!$C$27:$BV$27,AT$2-35+1)+Eras!$AL$5*INDEX(Curves!$C$50:$BV$50,AT$2-35+1))</f>
        <v/>
      </c>
      <c r="AU40" s="5">
        <f>$B40*(Eras!$AL$3*INDEX(Curves!$C$4:$BV$4,AU$2-35+1)+Eras!$AL$4*INDEX(Curves!$C$27:$BV$27,AU$2-35+1)+Eras!$AL$5*INDEX(Curves!$C$50:$BV$50,AU$2-35+1))</f>
        <v/>
      </c>
      <c r="AV40" s="5">
        <f>$B40*(Eras!$AL$3*INDEX(Curves!$C$4:$BV$4,AV$2-35+1)+Eras!$AL$4*INDEX(Curves!$C$27:$BV$27,AV$2-35+1)+Eras!$AL$5*INDEX(Curves!$C$50:$BV$50,AV$2-35+1))</f>
        <v/>
      </c>
      <c r="AW40" s="5">
        <f>$B40*(Eras!$AL$3*INDEX(Curves!$C$4:$BV$4,AW$2-35+1)+Eras!$AL$4*INDEX(Curves!$C$27:$BV$27,AW$2-35+1)+Eras!$AL$5*INDEX(Curves!$C$50:$BV$50,AW$2-35+1))</f>
        <v/>
      </c>
      <c r="AX40" s="5">
        <f>$B40*(Eras!$AL$3*INDEX(Curves!$C$4:$BV$4,AX$2-35+1)+Eras!$AL$4*INDEX(Curves!$C$27:$BV$27,AX$2-35+1)+Eras!$AL$5*INDEX(Curves!$C$50:$BV$50,AX$2-35+1))</f>
        <v/>
      </c>
      <c r="AY40" s="5">
        <f>$B40*(Eras!$AL$3*INDEX(Curves!$C$4:$BV$4,AY$2-35+1)+Eras!$AL$4*INDEX(Curves!$C$27:$BV$27,AY$2-35+1)+Eras!$AL$5*INDEX(Curves!$C$50:$BV$50,AY$2-35+1))</f>
        <v/>
      </c>
      <c r="AZ40" s="5">
        <f>$B40*(Eras!$AL$3*INDEX(Curves!$C$4:$BV$4,AZ$2-35+1)+Eras!$AL$4*INDEX(Curves!$C$27:$BV$27,AZ$2-35+1)+Eras!$AL$5*INDEX(Curves!$C$50:$BV$50,AZ$2-35+1))</f>
        <v/>
      </c>
      <c r="BA40" s="5">
        <f>$B40*(Eras!$AL$3*INDEX(Curves!$C$4:$BV$4,BA$2-35+1)+Eras!$AL$4*INDEX(Curves!$C$27:$BV$27,BA$2-35+1)+Eras!$AL$5*INDEX(Curves!$C$50:$BV$50,BA$2-35+1))</f>
        <v/>
      </c>
      <c r="BB40" s="5">
        <f>$B40*(Eras!$AL$3*INDEX(Curves!$C$4:$BV$4,BB$2-35+1)+Eras!$AL$4*INDEX(Curves!$C$27:$BV$27,BB$2-35+1)+Eras!$AL$5*INDEX(Curves!$C$50:$BV$50,BB$2-35+1))</f>
        <v/>
      </c>
      <c r="BC40" s="5">
        <f>$B40*(Eras!$AL$3*INDEX(Curves!$C$4:$BV$4,BC$2-35+1)+Eras!$AL$4*INDEX(Curves!$C$27:$BV$27,BC$2-35+1)+Eras!$AL$5*INDEX(Curves!$C$50:$BV$50,BC$2-35+1))</f>
        <v/>
      </c>
      <c r="BD40" s="5">
        <f>$B40*(Eras!$AL$3*INDEX(Curves!$C$4:$BV$4,BD$2-35+1)+Eras!$AL$4*INDEX(Curves!$C$27:$BV$27,BD$2-35+1)+Eras!$AL$5*INDEX(Curves!$C$50:$BV$50,BD$2-35+1))</f>
        <v/>
      </c>
      <c r="BE40" s="5">
        <f>$B40*(Eras!$AL$3*INDEX(Curves!$C$4:$BV$4,BE$2-35+1)+Eras!$AL$4*INDEX(Curves!$C$27:$BV$27,BE$2-35+1)+Eras!$AL$5*INDEX(Curves!$C$50:$BV$50,BE$2-35+1))</f>
        <v/>
      </c>
      <c r="BF40" s="5">
        <f>$B40*(Eras!$AL$3*INDEX(Curves!$C$4:$BV$4,BF$2-35+1)+Eras!$AL$4*INDEX(Curves!$C$27:$BV$27,BF$2-35+1)+Eras!$AL$5*INDEX(Curves!$C$50:$BV$50,BF$2-35+1))</f>
        <v/>
      </c>
      <c r="BG40" s="5">
        <f>$B40*(Eras!$AL$3*INDEX(Curves!$C$4:$BV$4,BG$2-35+1)+Eras!$AL$4*INDEX(Curves!$C$27:$BV$27,BG$2-35+1)+Eras!$AL$5*INDEX(Curves!$C$50:$BV$50,BG$2-35+1))</f>
        <v/>
      </c>
      <c r="BH40" s="5">
        <f>$B40*(Eras!$AL$3*INDEX(Curves!$C$4:$BV$4,BH$2-35+1)+Eras!$AL$4*INDEX(Curves!$C$27:$BV$27,BH$2-35+1)+Eras!$AL$5*INDEX(Curves!$C$50:$BV$50,BH$2-35+1))</f>
        <v/>
      </c>
      <c r="BI40" s="5">
        <f>$B40*(Eras!$AL$3*INDEX(Curves!$C$4:$BV$4,BI$2-35+1)+Eras!$AL$4*INDEX(Curves!$C$27:$BV$27,BI$2-35+1)+Eras!$AL$5*INDEX(Curves!$C$50:$BV$50,BI$2-35+1))</f>
        <v/>
      </c>
      <c r="BJ40" s="5">
        <f>$B40*(Eras!$AL$3*INDEX(Curves!$C$4:$BV$4,BJ$2-35+1)+Eras!$AL$4*INDEX(Curves!$C$27:$BV$27,BJ$2-35+1)+Eras!$AL$5*INDEX(Curves!$C$50:$BV$50,BJ$2-35+1))</f>
        <v/>
      </c>
      <c r="BK40" s="5">
        <f>$B40*(Eras!$AL$3*INDEX(Curves!$C$4:$BV$4,BK$2-35+1)+Eras!$AL$4*INDEX(Curves!$C$27:$BV$27,BK$2-35+1)+Eras!$AL$5*INDEX(Curves!$C$50:$BV$50,BK$2-35+1))</f>
        <v/>
      </c>
      <c r="BL40" s="5">
        <f>$B40*(Eras!$AL$3*INDEX(Curves!$C$4:$BV$4,BL$2-35+1)+Eras!$AL$4*INDEX(Curves!$C$27:$BV$27,BL$2-35+1)+Eras!$AL$5*INDEX(Curves!$C$50:$BV$50,BL$2-35+1))</f>
        <v/>
      </c>
      <c r="BM40" s="5">
        <f>$B40*(Eras!$AL$3*INDEX(Curves!$C$4:$BV$4,BM$2-35+1)+Eras!$AL$4*INDEX(Curves!$C$27:$BV$27,BM$2-35+1)+Eras!$AL$5*INDEX(Curves!$C$50:$BV$50,BM$2-35+1))</f>
        <v/>
      </c>
      <c r="BN40" s="5">
        <f>$B40*(Eras!$AL$3*INDEX(Curves!$C$4:$BV$4,BN$2-35+1)+Eras!$AL$4*INDEX(Curves!$C$27:$BV$27,BN$2-35+1)+Eras!$AL$5*INDEX(Curves!$C$50:$BV$50,BN$2-35+1))</f>
        <v/>
      </c>
      <c r="BO40" s="5">
        <f>$B40*(Eras!$AL$3*INDEX(Curves!$C$4:$BV$4,BO$2-35+1)+Eras!$AL$4*INDEX(Curves!$C$27:$BV$27,BO$2-35+1)+Eras!$AL$5*INDEX(Curves!$C$50:$BV$50,BO$2-35+1))</f>
        <v/>
      </c>
      <c r="BP40" s="5">
        <f>$B40*(Eras!$AL$3*INDEX(Curves!$C$4:$BV$4,BP$2-35+1)+Eras!$AL$4*INDEX(Curves!$C$27:$BV$27,BP$2-35+1)+Eras!$AL$5*INDEX(Curves!$C$50:$BV$50,BP$2-35+1))</f>
        <v/>
      </c>
      <c r="BQ40" s="5">
        <f>$B40*(Eras!$AL$3*INDEX(Curves!$C$4:$BV$4,BQ$2-35+1)+Eras!$AL$4*INDEX(Curves!$C$27:$BV$27,BQ$2-35+1)+Eras!$AL$5*INDEX(Curves!$C$50:$BV$50,BQ$2-35+1))</f>
        <v/>
      </c>
      <c r="BR40" s="5">
        <f>$B40*(Eras!$AL$3*INDEX(Curves!$C$4:$BV$4,BR$2-35+1)+Eras!$AL$4*INDEX(Curves!$C$27:$BV$27,BR$2-35+1)+Eras!$AL$5*INDEX(Curves!$C$50:$BV$50,BR$2-35+1))</f>
        <v/>
      </c>
      <c r="BS40" s="5">
        <f>$B40*(Eras!$AL$3*INDEX(Curves!$C$4:$BV$4,BS$2-35+1)+Eras!$AL$4*INDEX(Curves!$C$27:$BV$27,BS$2-35+1)+Eras!$AL$5*INDEX(Curves!$C$50:$BV$50,BS$2-35+1))</f>
        <v/>
      </c>
      <c r="BT40" s="5">
        <f>$B40*(Eras!$AL$3*INDEX(Curves!$C$4:$BV$4,BT$2-35+1)+Eras!$AL$4*INDEX(Curves!$C$27:$BV$27,BT$2-35+1)+Eras!$AL$5*INDEX(Curves!$C$50:$BV$50,BT$2-35+1))</f>
        <v/>
      </c>
      <c r="BU40" s="5">
        <f>$B40*(Eras!$AL$3*INDEX(Curves!$C$4:$BV$4,BU$2-35+1)+Eras!$AL$4*INDEX(Curves!$C$27:$BV$27,BU$2-35+1)+Eras!$AL$5*INDEX(Curves!$C$50:$BV$50,BU$2-35+1))</f>
        <v/>
      </c>
      <c r="BV40" s="5">
        <f>$B40*(Eras!$AL$3*INDEX(Curves!$C$4:$BV$4,BV$2-35+1)+Eras!$AL$4*INDEX(Curves!$C$27:$BV$27,BV$2-35+1)+Eras!$AL$5*INDEX(Curves!$C$50:$BV$50,BV$2-35+1))</f>
        <v/>
      </c>
    </row>
    <row r="41">
      <c r="A41" t="inlineStr">
        <is>
          <t>cohort 2028-01</t>
        </is>
      </c>
      <c r="B41" s="5">
        <f>INDEX(Adds!$C$13:$BV$13,37)</f>
        <v/>
      </c>
      <c r="AM41" s="5">
        <f>$B41*(Eras!$AM$3*INDEX(Curves!$C$4:$BV$4,AM$2-36+1)+Eras!$AM$4*INDEX(Curves!$C$27:$BV$27,AM$2-36+1)+Eras!$AM$5*INDEX(Curves!$C$50:$BV$50,AM$2-36+1))</f>
        <v/>
      </c>
      <c r="AN41" s="5">
        <f>$B41*(Eras!$AM$3*INDEX(Curves!$C$4:$BV$4,AN$2-36+1)+Eras!$AM$4*INDEX(Curves!$C$27:$BV$27,AN$2-36+1)+Eras!$AM$5*INDEX(Curves!$C$50:$BV$50,AN$2-36+1))</f>
        <v/>
      </c>
      <c r="AO41" s="5">
        <f>$B41*(Eras!$AM$3*INDEX(Curves!$C$4:$BV$4,AO$2-36+1)+Eras!$AM$4*INDEX(Curves!$C$27:$BV$27,AO$2-36+1)+Eras!$AM$5*INDEX(Curves!$C$50:$BV$50,AO$2-36+1))</f>
        <v/>
      </c>
      <c r="AP41" s="5">
        <f>$B41*(Eras!$AM$3*INDEX(Curves!$C$4:$BV$4,AP$2-36+1)+Eras!$AM$4*INDEX(Curves!$C$27:$BV$27,AP$2-36+1)+Eras!$AM$5*INDEX(Curves!$C$50:$BV$50,AP$2-36+1))</f>
        <v/>
      </c>
      <c r="AQ41" s="5">
        <f>$B41*(Eras!$AM$3*INDEX(Curves!$C$4:$BV$4,AQ$2-36+1)+Eras!$AM$4*INDEX(Curves!$C$27:$BV$27,AQ$2-36+1)+Eras!$AM$5*INDEX(Curves!$C$50:$BV$50,AQ$2-36+1))</f>
        <v/>
      </c>
      <c r="AR41" s="5">
        <f>$B41*(Eras!$AM$3*INDEX(Curves!$C$4:$BV$4,AR$2-36+1)+Eras!$AM$4*INDEX(Curves!$C$27:$BV$27,AR$2-36+1)+Eras!$AM$5*INDEX(Curves!$C$50:$BV$50,AR$2-36+1))</f>
        <v/>
      </c>
      <c r="AS41" s="5">
        <f>$B41*(Eras!$AM$3*INDEX(Curves!$C$4:$BV$4,AS$2-36+1)+Eras!$AM$4*INDEX(Curves!$C$27:$BV$27,AS$2-36+1)+Eras!$AM$5*INDEX(Curves!$C$50:$BV$50,AS$2-36+1))</f>
        <v/>
      </c>
      <c r="AT41" s="5">
        <f>$B41*(Eras!$AM$3*INDEX(Curves!$C$4:$BV$4,AT$2-36+1)+Eras!$AM$4*INDEX(Curves!$C$27:$BV$27,AT$2-36+1)+Eras!$AM$5*INDEX(Curves!$C$50:$BV$50,AT$2-36+1))</f>
        <v/>
      </c>
      <c r="AU41" s="5">
        <f>$B41*(Eras!$AM$3*INDEX(Curves!$C$4:$BV$4,AU$2-36+1)+Eras!$AM$4*INDEX(Curves!$C$27:$BV$27,AU$2-36+1)+Eras!$AM$5*INDEX(Curves!$C$50:$BV$50,AU$2-36+1))</f>
        <v/>
      </c>
      <c r="AV41" s="5">
        <f>$B41*(Eras!$AM$3*INDEX(Curves!$C$4:$BV$4,AV$2-36+1)+Eras!$AM$4*INDEX(Curves!$C$27:$BV$27,AV$2-36+1)+Eras!$AM$5*INDEX(Curves!$C$50:$BV$50,AV$2-36+1))</f>
        <v/>
      </c>
      <c r="AW41" s="5">
        <f>$B41*(Eras!$AM$3*INDEX(Curves!$C$4:$BV$4,AW$2-36+1)+Eras!$AM$4*INDEX(Curves!$C$27:$BV$27,AW$2-36+1)+Eras!$AM$5*INDEX(Curves!$C$50:$BV$50,AW$2-36+1))</f>
        <v/>
      </c>
      <c r="AX41" s="5">
        <f>$B41*(Eras!$AM$3*INDEX(Curves!$C$4:$BV$4,AX$2-36+1)+Eras!$AM$4*INDEX(Curves!$C$27:$BV$27,AX$2-36+1)+Eras!$AM$5*INDEX(Curves!$C$50:$BV$50,AX$2-36+1))</f>
        <v/>
      </c>
      <c r="AY41" s="5">
        <f>$B41*(Eras!$AM$3*INDEX(Curves!$C$4:$BV$4,AY$2-36+1)+Eras!$AM$4*INDEX(Curves!$C$27:$BV$27,AY$2-36+1)+Eras!$AM$5*INDEX(Curves!$C$50:$BV$50,AY$2-36+1))</f>
        <v/>
      </c>
      <c r="AZ41" s="5">
        <f>$B41*(Eras!$AM$3*INDEX(Curves!$C$4:$BV$4,AZ$2-36+1)+Eras!$AM$4*INDEX(Curves!$C$27:$BV$27,AZ$2-36+1)+Eras!$AM$5*INDEX(Curves!$C$50:$BV$50,AZ$2-36+1))</f>
        <v/>
      </c>
      <c r="BA41" s="5">
        <f>$B41*(Eras!$AM$3*INDEX(Curves!$C$4:$BV$4,BA$2-36+1)+Eras!$AM$4*INDEX(Curves!$C$27:$BV$27,BA$2-36+1)+Eras!$AM$5*INDEX(Curves!$C$50:$BV$50,BA$2-36+1))</f>
        <v/>
      </c>
      <c r="BB41" s="5">
        <f>$B41*(Eras!$AM$3*INDEX(Curves!$C$4:$BV$4,BB$2-36+1)+Eras!$AM$4*INDEX(Curves!$C$27:$BV$27,BB$2-36+1)+Eras!$AM$5*INDEX(Curves!$C$50:$BV$50,BB$2-36+1))</f>
        <v/>
      </c>
      <c r="BC41" s="5">
        <f>$B41*(Eras!$AM$3*INDEX(Curves!$C$4:$BV$4,BC$2-36+1)+Eras!$AM$4*INDEX(Curves!$C$27:$BV$27,BC$2-36+1)+Eras!$AM$5*INDEX(Curves!$C$50:$BV$50,BC$2-36+1))</f>
        <v/>
      </c>
      <c r="BD41" s="5">
        <f>$B41*(Eras!$AM$3*INDEX(Curves!$C$4:$BV$4,BD$2-36+1)+Eras!$AM$4*INDEX(Curves!$C$27:$BV$27,BD$2-36+1)+Eras!$AM$5*INDEX(Curves!$C$50:$BV$50,BD$2-36+1))</f>
        <v/>
      </c>
      <c r="BE41" s="5">
        <f>$B41*(Eras!$AM$3*INDEX(Curves!$C$4:$BV$4,BE$2-36+1)+Eras!$AM$4*INDEX(Curves!$C$27:$BV$27,BE$2-36+1)+Eras!$AM$5*INDEX(Curves!$C$50:$BV$50,BE$2-36+1))</f>
        <v/>
      </c>
      <c r="BF41" s="5">
        <f>$B41*(Eras!$AM$3*INDEX(Curves!$C$4:$BV$4,BF$2-36+1)+Eras!$AM$4*INDEX(Curves!$C$27:$BV$27,BF$2-36+1)+Eras!$AM$5*INDEX(Curves!$C$50:$BV$50,BF$2-36+1))</f>
        <v/>
      </c>
      <c r="BG41" s="5">
        <f>$B41*(Eras!$AM$3*INDEX(Curves!$C$4:$BV$4,BG$2-36+1)+Eras!$AM$4*INDEX(Curves!$C$27:$BV$27,BG$2-36+1)+Eras!$AM$5*INDEX(Curves!$C$50:$BV$50,BG$2-36+1))</f>
        <v/>
      </c>
      <c r="BH41" s="5">
        <f>$B41*(Eras!$AM$3*INDEX(Curves!$C$4:$BV$4,BH$2-36+1)+Eras!$AM$4*INDEX(Curves!$C$27:$BV$27,BH$2-36+1)+Eras!$AM$5*INDEX(Curves!$C$50:$BV$50,BH$2-36+1))</f>
        <v/>
      </c>
      <c r="BI41" s="5">
        <f>$B41*(Eras!$AM$3*INDEX(Curves!$C$4:$BV$4,BI$2-36+1)+Eras!$AM$4*INDEX(Curves!$C$27:$BV$27,BI$2-36+1)+Eras!$AM$5*INDEX(Curves!$C$50:$BV$50,BI$2-36+1))</f>
        <v/>
      </c>
      <c r="BJ41" s="5">
        <f>$B41*(Eras!$AM$3*INDEX(Curves!$C$4:$BV$4,BJ$2-36+1)+Eras!$AM$4*INDEX(Curves!$C$27:$BV$27,BJ$2-36+1)+Eras!$AM$5*INDEX(Curves!$C$50:$BV$50,BJ$2-36+1))</f>
        <v/>
      </c>
      <c r="BK41" s="5">
        <f>$B41*(Eras!$AM$3*INDEX(Curves!$C$4:$BV$4,BK$2-36+1)+Eras!$AM$4*INDEX(Curves!$C$27:$BV$27,BK$2-36+1)+Eras!$AM$5*INDEX(Curves!$C$50:$BV$50,BK$2-36+1))</f>
        <v/>
      </c>
      <c r="BL41" s="5">
        <f>$B41*(Eras!$AM$3*INDEX(Curves!$C$4:$BV$4,BL$2-36+1)+Eras!$AM$4*INDEX(Curves!$C$27:$BV$27,BL$2-36+1)+Eras!$AM$5*INDEX(Curves!$C$50:$BV$50,BL$2-36+1))</f>
        <v/>
      </c>
      <c r="BM41" s="5">
        <f>$B41*(Eras!$AM$3*INDEX(Curves!$C$4:$BV$4,BM$2-36+1)+Eras!$AM$4*INDEX(Curves!$C$27:$BV$27,BM$2-36+1)+Eras!$AM$5*INDEX(Curves!$C$50:$BV$50,BM$2-36+1))</f>
        <v/>
      </c>
      <c r="BN41" s="5">
        <f>$B41*(Eras!$AM$3*INDEX(Curves!$C$4:$BV$4,BN$2-36+1)+Eras!$AM$4*INDEX(Curves!$C$27:$BV$27,BN$2-36+1)+Eras!$AM$5*INDEX(Curves!$C$50:$BV$50,BN$2-36+1))</f>
        <v/>
      </c>
      <c r="BO41" s="5">
        <f>$B41*(Eras!$AM$3*INDEX(Curves!$C$4:$BV$4,BO$2-36+1)+Eras!$AM$4*INDEX(Curves!$C$27:$BV$27,BO$2-36+1)+Eras!$AM$5*INDEX(Curves!$C$50:$BV$50,BO$2-36+1))</f>
        <v/>
      </c>
      <c r="BP41" s="5">
        <f>$B41*(Eras!$AM$3*INDEX(Curves!$C$4:$BV$4,BP$2-36+1)+Eras!$AM$4*INDEX(Curves!$C$27:$BV$27,BP$2-36+1)+Eras!$AM$5*INDEX(Curves!$C$50:$BV$50,BP$2-36+1))</f>
        <v/>
      </c>
      <c r="BQ41" s="5">
        <f>$B41*(Eras!$AM$3*INDEX(Curves!$C$4:$BV$4,BQ$2-36+1)+Eras!$AM$4*INDEX(Curves!$C$27:$BV$27,BQ$2-36+1)+Eras!$AM$5*INDEX(Curves!$C$50:$BV$50,BQ$2-36+1))</f>
        <v/>
      </c>
      <c r="BR41" s="5">
        <f>$B41*(Eras!$AM$3*INDEX(Curves!$C$4:$BV$4,BR$2-36+1)+Eras!$AM$4*INDEX(Curves!$C$27:$BV$27,BR$2-36+1)+Eras!$AM$5*INDEX(Curves!$C$50:$BV$50,BR$2-36+1))</f>
        <v/>
      </c>
      <c r="BS41" s="5">
        <f>$B41*(Eras!$AM$3*INDEX(Curves!$C$4:$BV$4,BS$2-36+1)+Eras!$AM$4*INDEX(Curves!$C$27:$BV$27,BS$2-36+1)+Eras!$AM$5*INDEX(Curves!$C$50:$BV$50,BS$2-36+1))</f>
        <v/>
      </c>
      <c r="BT41" s="5">
        <f>$B41*(Eras!$AM$3*INDEX(Curves!$C$4:$BV$4,BT$2-36+1)+Eras!$AM$4*INDEX(Curves!$C$27:$BV$27,BT$2-36+1)+Eras!$AM$5*INDEX(Curves!$C$50:$BV$50,BT$2-36+1))</f>
        <v/>
      </c>
      <c r="BU41" s="5">
        <f>$B41*(Eras!$AM$3*INDEX(Curves!$C$4:$BV$4,BU$2-36+1)+Eras!$AM$4*INDEX(Curves!$C$27:$BV$27,BU$2-36+1)+Eras!$AM$5*INDEX(Curves!$C$50:$BV$50,BU$2-36+1))</f>
        <v/>
      </c>
      <c r="BV41" s="5">
        <f>$B41*(Eras!$AM$3*INDEX(Curves!$C$4:$BV$4,BV$2-36+1)+Eras!$AM$4*INDEX(Curves!$C$27:$BV$27,BV$2-36+1)+Eras!$AM$5*INDEX(Curves!$C$50:$BV$50,BV$2-36+1))</f>
        <v/>
      </c>
    </row>
    <row r="42">
      <c r="A42" t="inlineStr">
        <is>
          <t>cohort 2028-02</t>
        </is>
      </c>
      <c r="B42" s="5">
        <f>INDEX(Adds!$C$13:$BV$13,38)</f>
        <v/>
      </c>
      <c r="AN42" s="5">
        <f>$B42*(Eras!$AN$3*INDEX(Curves!$C$4:$BV$4,AN$2-37+1)+Eras!$AN$4*INDEX(Curves!$C$27:$BV$27,AN$2-37+1)+Eras!$AN$5*INDEX(Curves!$C$50:$BV$50,AN$2-37+1))</f>
        <v/>
      </c>
      <c r="AO42" s="5">
        <f>$B42*(Eras!$AN$3*INDEX(Curves!$C$4:$BV$4,AO$2-37+1)+Eras!$AN$4*INDEX(Curves!$C$27:$BV$27,AO$2-37+1)+Eras!$AN$5*INDEX(Curves!$C$50:$BV$50,AO$2-37+1))</f>
        <v/>
      </c>
      <c r="AP42" s="5">
        <f>$B42*(Eras!$AN$3*INDEX(Curves!$C$4:$BV$4,AP$2-37+1)+Eras!$AN$4*INDEX(Curves!$C$27:$BV$27,AP$2-37+1)+Eras!$AN$5*INDEX(Curves!$C$50:$BV$50,AP$2-37+1))</f>
        <v/>
      </c>
      <c r="AQ42" s="5">
        <f>$B42*(Eras!$AN$3*INDEX(Curves!$C$4:$BV$4,AQ$2-37+1)+Eras!$AN$4*INDEX(Curves!$C$27:$BV$27,AQ$2-37+1)+Eras!$AN$5*INDEX(Curves!$C$50:$BV$50,AQ$2-37+1))</f>
        <v/>
      </c>
      <c r="AR42" s="5">
        <f>$B42*(Eras!$AN$3*INDEX(Curves!$C$4:$BV$4,AR$2-37+1)+Eras!$AN$4*INDEX(Curves!$C$27:$BV$27,AR$2-37+1)+Eras!$AN$5*INDEX(Curves!$C$50:$BV$50,AR$2-37+1))</f>
        <v/>
      </c>
      <c r="AS42" s="5">
        <f>$B42*(Eras!$AN$3*INDEX(Curves!$C$4:$BV$4,AS$2-37+1)+Eras!$AN$4*INDEX(Curves!$C$27:$BV$27,AS$2-37+1)+Eras!$AN$5*INDEX(Curves!$C$50:$BV$50,AS$2-37+1))</f>
        <v/>
      </c>
      <c r="AT42" s="5">
        <f>$B42*(Eras!$AN$3*INDEX(Curves!$C$4:$BV$4,AT$2-37+1)+Eras!$AN$4*INDEX(Curves!$C$27:$BV$27,AT$2-37+1)+Eras!$AN$5*INDEX(Curves!$C$50:$BV$50,AT$2-37+1))</f>
        <v/>
      </c>
      <c r="AU42" s="5">
        <f>$B42*(Eras!$AN$3*INDEX(Curves!$C$4:$BV$4,AU$2-37+1)+Eras!$AN$4*INDEX(Curves!$C$27:$BV$27,AU$2-37+1)+Eras!$AN$5*INDEX(Curves!$C$50:$BV$50,AU$2-37+1))</f>
        <v/>
      </c>
      <c r="AV42" s="5">
        <f>$B42*(Eras!$AN$3*INDEX(Curves!$C$4:$BV$4,AV$2-37+1)+Eras!$AN$4*INDEX(Curves!$C$27:$BV$27,AV$2-37+1)+Eras!$AN$5*INDEX(Curves!$C$50:$BV$50,AV$2-37+1))</f>
        <v/>
      </c>
      <c r="AW42" s="5">
        <f>$B42*(Eras!$AN$3*INDEX(Curves!$C$4:$BV$4,AW$2-37+1)+Eras!$AN$4*INDEX(Curves!$C$27:$BV$27,AW$2-37+1)+Eras!$AN$5*INDEX(Curves!$C$50:$BV$50,AW$2-37+1))</f>
        <v/>
      </c>
      <c r="AX42" s="5">
        <f>$B42*(Eras!$AN$3*INDEX(Curves!$C$4:$BV$4,AX$2-37+1)+Eras!$AN$4*INDEX(Curves!$C$27:$BV$27,AX$2-37+1)+Eras!$AN$5*INDEX(Curves!$C$50:$BV$50,AX$2-37+1))</f>
        <v/>
      </c>
      <c r="AY42" s="5">
        <f>$B42*(Eras!$AN$3*INDEX(Curves!$C$4:$BV$4,AY$2-37+1)+Eras!$AN$4*INDEX(Curves!$C$27:$BV$27,AY$2-37+1)+Eras!$AN$5*INDEX(Curves!$C$50:$BV$50,AY$2-37+1))</f>
        <v/>
      </c>
      <c r="AZ42" s="5">
        <f>$B42*(Eras!$AN$3*INDEX(Curves!$C$4:$BV$4,AZ$2-37+1)+Eras!$AN$4*INDEX(Curves!$C$27:$BV$27,AZ$2-37+1)+Eras!$AN$5*INDEX(Curves!$C$50:$BV$50,AZ$2-37+1))</f>
        <v/>
      </c>
      <c r="BA42" s="5">
        <f>$B42*(Eras!$AN$3*INDEX(Curves!$C$4:$BV$4,BA$2-37+1)+Eras!$AN$4*INDEX(Curves!$C$27:$BV$27,BA$2-37+1)+Eras!$AN$5*INDEX(Curves!$C$50:$BV$50,BA$2-37+1))</f>
        <v/>
      </c>
      <c r="BB42" s="5">
        <f>$B42*(Eras!$AN$3*INDEX(Curves!$C$4:$BV$4,BB$2-37+1)+Eras!$AN$4*INDEX(Curves!$C$27:$BV$27,BB$2-37+1)+Eras!$AN$5*INDEX(Curves!$C$50:$BV$50,BB$2-37+1))</f>
        <v/>
      </c>
      <c r="BC42" s="5">
        <f>$B42*(Eras!$AN$3*INDEX(Curves!$C$4:$BV$4,BC$2-37+1)+Eras!$AN$4*INDEX(Curves!$C$27:$BV$27,BC$2-37+1)+Eras!$AN$5*INDEX(Curves!$C$50:$BV$50,BC$2-37+1))</f>
        <v/>
      </c>
      <c r="BD42" s="5">
        <f>$B42*(Eras!$AN$3*INDEX(Curves!$C$4:$BV$4,BD$2-37+1)+Eras!$AN$4*INDEX(Curves!$C$27:$BV$27,BD$2-37+1)+Eras!$AN$5*INDEX(Curves!$C$50:$BV$50,BD$2-37+1))</f>
        <v/>
      </c>
      <c r="BE42" s="5">
        <f>$B42*(Eras!$AN$3*INDEX(Curves!$C$4:$BV$4,BE$2-37+1)+Eras!$AN$4*INDEX(Curves!$C$27:$BV$27,BE$2-37+1)+Eras!$AN$5*INDEX(Curves!$C$50:$BV$50,BE$2-37+1))</f>
        <v/>
      </c>
      <c r="BF42" s="5">
        <f>$B42*(Eras!$AN$3*INDEX(Curves!$C$4:$BV$4,BF$2-37+1)+Eras!$AN$4*INDEX(Curves!$C$27:$BV$27,BF$2-37+1)+Eras!$AN$5*INDEX(Curves!$C$50:$BV$50,BF$2-37+1))</f>
        <v/>
      </c>
      <c r="BG42" s="5">
        <f>$B42*(Eras!$AN$3*INDEX(Curves!$C$4:$BV$4,BG$2-37+1)+Eras!$AN$4*INDEX(Curves!$C$27:$BV$27,BG$2-37+1)+Eras!$AN$5*INDEX(Curves!$C$50:$BV$50,BG$2-37+1))</f>
        <v/>
      </c>
      <c r="BH42" s="5">
        <f>$B42*(Eras!$AN$3*INDEX(Curves!$C$4:$BV$4,BH$2-37+1)+Eras!$AN$4*INDEX(Curves!$C$27:$BV$27,BH$2-37+1)+Eras!$AN$5*INDEX(Curves!$C$50:$BV$50,BH$2-37+1))</f>
        <v/>
      </c>
      <c r="BI42" s="5">
        <f>$B42*(Eras!$AN$3*INDEX(Curves!$C$4:$BV$4,BI$2-37+1)+Eras!$AN$4*INDEX(Curves!$C$27:$BV$27,BI$2-37+1)+Eras!$AN$5*INDEX(Curves!$C$50:$BV$50,BI$2-37+1))</f>
        <v/>
      </c>
      <c r="BJ42" s="5">
        <f>$B42*(Eras!$AN$3*INDEX(Curves!$C$4:$BV$4,BJ$2-37+1)+Eras!$AN$4*INDEX(Curves!$C$27:$BV$27,BJ$2-37+1)+Eras!$AN$5*INDEX(Curves!$C$50:$BV$50,BJ$2-37+1))</f>
        <v/>
      </c>
      <c r="BK42" s="5">
        <f>$B42*(Eras!$AN$3*INDEX(Curves!$C$4:$BV$4,BK$2-37+1)+Eras!$AN$4*INDEX(Curves!$C$27:$BV$27,BK$2-37+1)+Eras!$AN$5*INDEX(Curves!$C$50:$BV$50,BK$2-37+1))</f>
        <v/>
      </c>
      <c r="BL42" s="5">
        <f>$B42*(Eras!$AN$3*INDEX(Curves!$C$4:$BV$4,BL$2-37+1)+Eras!$AN$4*INDEX(Curves!$C$27:$BV$27,BL$2-37+1)+Eras!$AN$5*INDEX(Curves!$C$50:$BV$50,BL$2-37+1))</f>
        <v/>
      </c>
      <c r="BM42" s="5">
        <f>$B42*(Eras!$AN$3*INDEX(Curves!$C$4:$BV$4,BM$2-37+1)+Eras!$AN$4*INDEX(Curves!$C$27:$BV$27,BM$2-37+1)+Eras!$AN$5*INDEX(Curves!$C$50:$BV$50,BM$2-37+1))</f>
        <v/>
      </c>
      <c r="BN42" s="5">
        <f>$B42*(Eras!$AN$3*INDEX(Curves!$C$4:$BV$4,BN$2-37+1)+Eras!$AN$4*INDEX(Curves!$C$27:$BV$27,BN$2-37+1)+Eras!$AN$5*INDEX(Curves!$C$50:$BV$50,BN$2-37+1))</f>
        <v/>
      </c>
      <c r="BO42" s="5">
        <f>$B42*(Eras!$AN$3*INDEX(Curves!$C$4:$BV$4,BO$2-37+1)+Eras!$AN$4*INDEX(Curves!$C$27:$BV$27,BO$2-37+1)+Eras!$AN$5*INDEX(Curves!$C$50:$BV$50,BO$2-37+1))</f>
        <v/>
      </c>
      <c r="BP42" s="5">
        <f>$B42*(Eras!$AN$3*INDEX(Curves!$C$4:$BV$4,BP$2-37+1)+Eras!$AN$4*INDEX(Curves!$C$27:$BV$27,BP$2-37+1)+Eras!$AN$5*INDEX(Curves!$C$50:$BV$50,BP$2-37+1))</f>
        <v/>
      </c>
      <c r="BQ42" s="5">
        <f>$B42*(Eras!$AN$3*INDEX(Curves!$C$4:$BV$4,BQ$2-37+1)+Eras!$AN$4*INDEX(Curves!$C$27:$BV$27,BQ$2-37+1)+Eras!$AN$5*INDEX(Curves!$C$50:$BV$50,BQ$2-37+1))</f>
        <v/>
      </c>
      <c r="BR42" s="5">
        <f>$B42*(Eras!$AN$3*INDEX(Curves!$C$4:$BV$4,BR$2-37+1)+Eras!$AN$4*INDEX(Curves!$C$27:$BV$27,BR$2-37+1)+Eras!$AN$5*INDEX(Curves!$C$50:$BV$50,BR$2-37+1))</f>
        <v/>
      </c>
      <c r="BS42" s="5">
        <f>$B42*(Eras!$AN$3*INDEX(Curves!$C$4:$BV$4,BS$2-37+1)+Eras!$AN$4*INDEX(Curves!$C$27:$BV$27,BS$2-37+1)+Eras!$AN$5*INDEX(Curves!$C$50:$BV$50,BS$2-37+1))</f>
        <v/>
      </c>
      <c r="BT42" s="5">
        <f>$B42*(Eras!$AN$3*INDEX(Curves!$C$4:$BV$4,BT$2-37+1)+Eras!$AN$4*INDEX(Curves!$C$27:$BV$27,BT$2-37+1)+Eras!$AN$5*INDEX(Curves!$C$50:$BV$50,BT$2-37+1))</f>
        <v/>
      </c>
      <c r="BU42" s="5">
        <f>$B42*(Eras!$AN$3*INDEX(Curves!$C$4:$BV$4,BU$2-37+1)+Eras!$AN$4*INDEX(Curves!$C$27:$BV$27,BU$2-37+1)+Eras!$AN$5*INDEX(Curves!$C$50:$BV$50,BU$2-37+1))</f>
        <v/>
      </c>
      <c r="BV42" s="5">
        <f>$B42*(Eras!$AN$3*INDEX(Curves!$C$4:$BV$4,BV$2-37+1)+Eras!$AN$4*INDEX(Curves!$C$27:$BV$27,BV$2-37+1)+Eras!$AN$5*INDEX(Curves!$C$50:$BV$50,BV$2-37+1))</f>
        <v/>
      </c>
    </row>
    <row r="43">
      <c r="A43" t="inlineStr">
        <is>
          <t>cohort 2028-03</t>
        </is>
      </c>
      <c r="B43" s="5">
        <f>INDEX(Adds!$C$13:$BV$13,39)</f>
        <v/>
      </c>
      <c r="AO43" s="5">
        <f>$B43*(Eras!$AO$3*INDEX(Curves!$C$4:$BV$4,AO$2-38+1)+Eras!$AO$4*INDEX(Curves!$C$27:$BV$27,AO$2-38+1)+Eras!$AO$5*INDEX(Curves!$C$50:$BV$50,AO$2-38+1))</f>
        <v/>
      </c>
      <c r="AP43" s="5">
        <f>$B43*(Eras!$AO$3*INDEX(Curves!$C$4:$BV$4,AP$2-38+1)+Eras!$AO$4*INDEX(Curves!$C$27:$BV$27,AP$2-38+1)+Eras!$AO$5*INDEX(Curves!$C$50:$BV$50,AP$2-38+1))</f>
        <v/>
      </c>
      <c r="AQ43" s="5">
        <f>$B43*(Eras!$AO$3*INDEX(Curves!$C$4:$BV$4,AQ$2-38+1)+Eras!$AO$4*INDEX(Curves!$C$27:$BV$27,AQ$2-38+1)+Eras!$AO$5*INDEX(Curves!$C$50:$BV$50,AQ$2-38+1))</f>
        <v/>
      </c>
      <c r="AR43" s="5">
        <f>$B43*(Eras!$AO$3*INDEX(Curves!$C$4:$BV$4,AR$2-38+1)+Eras!$AO$4*INDEX(Curves!$C$27:$BV$27,AR$2-38+1)+Eras!$AO$5*INDEX(Curves!$C$50:$BV$50,AR$2-38+1))</f>
        <v/>
      </c>
      <c r="AS43" s="5">
        <f>$B43*(Eras!$AO$3*INDEX(Curves!$C$4:$BV$4,AS$2-38+1)+Eras!$AO$4*INDEX(Curves!$C$27:$BV$27,AS$2-38+1)+Eras!$AO$5*INDEX(Curves!$C$50:$BV$50,AS$2-38+1))</f>
        <v/>
      </c>
      <c r="AT43" s="5">
        <f>$B43*(Eras!$AO$3*INDEX(Curves!$C$4:$BV$4,AT$2-38+1)+Eras!$AO$4*INDEX(Curves!$C$27:$BV$27,AT$2-38+1)+Eras!$AO$5*INDEX(Curves!$C$50:$BV$50,AT$2-38+1))</f>
        <v/>
      </c>
      <c r="AU43" s="5">
        <f>$B43*(Eras!$AO$3*INDEX(Curves!$C$4:$BV$4,AU$2-38+1)+Eras!$AO$4*INDEX(Curves!$C$27:$BV$27,AU$2-38+1)+Eras!$AO$5*INDEX(Curves!$C$50:$BV$50,AU$2-38+1))</f>
        <v/>
      </c>
      <c r="AV43" s="5">
        <f>$B43*(Eras!$AO$3*INDEX(Curves!$C$4:$BV$4,AV$2-38+1)+Eras!$AO$4*INDEX(Curves!$C$27:$BV$27,AV$2-38+1)+Eras!$AO$5*INDEX(Curves!$C$50:$BV$50,AV$2-38+1))</f>
        <v/>
      </c>
      <c r="AW43" s="5">
        <f>$B43*(Eras!$AO$3*INDEX(Curves!$C$4:$BV$4,AW$2-38+1)+Eras!$AO$4*INDEX(Curves!$C$27:$BV$27,AW$2-38+1)+Eras!$AO$5*INDEX(Curves!$C$50:$BV$50,AW$2-38+1))</f>
        <v/>
      </c>
      <c r="AX43" s="5">
        <f>$B43*(Eras!$AO$3*INDEX(Curves!$C$4:$BV$4,AX$2-38+1)+Eras!$AO$4*INDEX(Curves!$C$27:$BV$27,AX$2-38+1)+Eras!$AO$5*INDEX(Curves!$C$50:$BV$50,AX$2-38+1))</f>
        <v/>
      </c>
      <c r="AY43" s="5">
        <f>$B43*(Eras!$AO$3*INDEX(Curves!$C$4:$BV$4,AY$2-38+1)+Eras!$AO$4*INDEX(Curves!$C$27:$BV$27,AY$2-38+1)+Eras!$AO$5*INDEX(Curves!$C$50:$BV$50,AY$2-38+1))</f>
        <v/>
      </c>
      <c r="AZ43" s="5">
        <f>$B43*(Eras!$AO$3*INDEX(Curves!$C$4:$BV$4,AZ$2-38+1)+Eras!$AO$4*INDEX(Curves!$C$27:$BV$27,AZ$2-38+1)+Eras!$AO$5*INDEX(Curves!$C$50:$BV$50,AZ$2-38+1))</f>
        <v/>
      </c>
      <c r="BA43" s="5">
        <f>$B43*(Eras!$AO$3*INDEX(Curves!$C$4:$BV$4,BA$2-38+1)+Eras!$AO$4*INDEX(Curves!$C$27:$BV$27,BA$2-38+1)+Eras!$AO$5*INDEX(Curves!$C$50:$BV$50,BA$2-38+1))</f>
        <v/>
      </c>
      <c r="BB43" s="5">
        <f>$B43*(Eras!$AO$3*INDEX(Curves!$C$4:$BV$4,BB$2-38+1)+Eras!$AO$4*INDEX(Curves!$C$27:$BV$27,BB$2-38+1)+Eras!$AO$5*INDEX(Curves!$C$50:$BV$50,BB$2-38+1))</f>
        <v/>
      </c>
      <c r="BC43" s="5">
        <f>$B43*(Eras!$AO$3*INDEX(Curves!$C$4:$BV$4,BC$2-38+1)+Eras!$AO$4*INDEX(Curves!$C$27:$BV$27,BC$2-38+1)+Eras!$AO$5*INDEX(Curves!$C$50:$BV$50,BC$2-38+1))</f>
        <v/>
      </c>
      <c r="BD43" s="5">
        <f>$B43*(Eras!$AO$3*INDEX(Curves!$C$4:$BV$4,BD$2-38+1)+Eras!$AO$4*INDEX(Curves!$C$27:$BV$27,BD$2-38+1)+Eras!$AO$5*INDEX(Curves!$C$50:$BV$50,BD$2-38+1))</f>
        <v/>
      </c>
      <c r="BE43" s="5">
        <f>$B43*(Eras!$AO$3*INDEX(Curves!$C$4:$BV$4,BE$2-38+1)+Eras!$AO$4*INDEX(Curves!$C$27:$BV$27,BE$2-38+1)+Eras!$AO$5*INDEX(Curves!$C$50:$BV$50,BE$2-38+1))</f>
        <v/>
      </c>
      <c r="BF43" s="5">
        <f>$B43*(Eras!$AO$3*INDEX(Curves!$C$4:$BV$4,BF$2-38+1)+Eras!$AO$4*INDEX(Curves!$C$27:$BV$27,BF$2-38+1)+Eras!$AO$5*INDEX(Curves!$C$50:$BV$50,BF$2-38+1))</f>
        <v/>
      </c>
      <c r="BG43" s="5">
        <f>$B43*(Eras!$AO$3*INDEX(Curves!$C$4:$BV$4,BG$2-38+1)+Eras!$AO$4*INDEX(Curves!$C$27:$BV$27,BG$2-38+1)+Eras!$AO$5*INDEX(Curves!$C$50:$BV$50,BG$2-38+1))</f>
        <v/>
      </c>
      <c r="BH43" s="5">
        <f>$B43*(Eras!$AO$3*INDEX(Curves!$C$4:$BV$4,BH$2-38+1)+Eras!$AO$4*INDEX(Curves!$C$27:$BV$27,BH$2-38+1)+Eras!$AO$5*INDEX(Curves!$C$50:$BV$50,BH$2-38+1))</f>
        <v/>
      </c>
      <c r="BI43" s="5">
        <f>$B43*(Eras!$AO$3*INDEX(Curves!$C$4:$BV$4,BI$2-38+1)+Eras!$AO$4*INDEX(Curves!$C$27:$BV$27,BI$2-38+1)+Eras!$AO$5*INDEX(Curves!$C$50:$BV$50,BI$2-38+1))</f>
        <v/>
      </c>
      <c r="BJ43" s="5">
        <f>$B43*(Eras!$AO$3*INDEX(Curves!$C$4:$BV$4,BJ$2-38+1)+Eras!$AO$4*INDEX(Curves!$C$27:$BV$27,BJ$2-38+1)+Eras!$AO$5*INDEX(Curves!$C$50:$BV$50,BJ$2-38+1))</f>
        <v/>
      </c>
      <c r="BK43" s="5">
        <f>$B43*(Eras!$AO$3*INDEX(Curves!$C$4:$BV$4,BK$2-38+1)+Eras!$AO$4*INDEX(Curves!$C$27:$BV$27,BK$2-38+1)+Eras!$AO$5*INDEX(Curves!$C$50:$BV$50,BK$2-38+1))</f>
        <v/>
      </c>
      <c r="BL43" s="5">
        <f>$B43*(Eras!$AO$3*INDEX(Curves!$C$4:$BV$4,BL$2-38+1)+Eras!$AO$4*INDEX(Curves!$C$27:$BV$27,BL$2-38+1)+Eras!$AO$5*INDEX(Curves!$C$50:$BV$50,BL$2-38+1))</f>
        <v/>
      </c>
      <c r="BM43" s="5">
        <f>$B43*(Eras!$AO$3*INDEX(Curves!$C$4:$BV$4,BM$2-38+1)+Eras!$AO$4*INDEX(Curves!$C$27:$BV$27,BM$2-38+1)+Eras!$AO$5*INDEX(Curves!$C$50:$BV$50,BM$2-38+1))</f>
        <v/>
      </c>
      <c r="BN43" s="5">
        <f>$B43*(Eras!$AO$3*INDEX(Curves!$C$4:$BV$4,BN$2-38+1)+Eras!$AO$4*INDEX(Curves!$C$27:$BV$27,BN$2-38+1)+Eras!$AO$5*INDEX(Curves!$C$50:$BV$50,BN$2-38+1))</f>
        <v/>
      </c>
      <c r="BO43" s="5">
        <f>$B43*(Eras!$AO$3*INDEX(Curves!$C$4:$BV$4,BO$2-38+1)+Eras!$AO$4*INDEX(Curves!$C$27:$BV$27,BO$2-38+1)+Eras!$AO$5*INDEX(Curves!$C$50:$BV$50,BO$2-38+1))</f>
        <v/>
      </c>
      <c r="BP43" s="5">
        <f>$B43*(Eras!$AO$3*INDEX(Curves!$C$4:$BV$4,BP$2-38+1)+Eras!$AO$4*INDEX(Curves!$C$27:$BV$27,BP$2-38+1)+Eras!$AO$5*INDEX(Curves!$C$50:$BV$50,BP$2-38+1))</f>
        <v/>
      </c>
      <c r="BQ43" s="5">
        <f>$B43*(Eras!$AO$3*INDEX(Curves!$C$4:$BV$4,BQ$2-38+1)+Eras!$AO$4*INDEX(Curves!$C$27:$BV$27,BQ$2-38+1)+Eras!$AO$5*INDEX(Curves!$C$50:$BV$50,BQ$2-38+1))</f>
        <v/>
      </c>
      <c r="BR43" s="5">
        <f>$B43*(Eras!$AO$3*INDEX(Curves!$C$4:$BV$4,BR$2-38+1)+Eras!$AO$4*INDEX(Curves!$C$27:$BV$27,BR$2-38+1)+Eras!$AO$5*INDEX(Curves!$C$50:$BV$50,BR$2-38+1))</f>
        <v/>
      </c>
      <c r="BS43" s="5">
        <f>$B43*(Eras!$AO$3*INDEX(Curves!$C$4:$BV$4,BS$2-38+1)+Eras!$AO$4*INDEX(Curves!$C$27:$BV$27,BS$2-38+1)+Eras!$AO$5*INDEX(Curves!$C$50:$BV$50,BS$2-38+1))</f>
        <v/>
      </c>
      <c r="BT43" s="5">
        <f>$B43*(Eras!$AO$3*INDEX(Curves!$C$4:$BV$4,BT$2-38+1)+Eras!$AO$4*INDEX(Curves!$C$27:$BV$27,BT$2-38+1)+Eras!$AO$5*INDEX(Curves!$C$50:$BV$50,BT$2-38+1))</f>
        <v/>
      </c>
      <c r="BU43" s="5">
        <f>$B43*(Eras!$AO$3*INDEX(Curves!$C$4:$BV$4,BU$2-38+1)+Eras!$AO$4*INDEX(Curves!$C$27:$BV$27,BU$2-38+1)+Eras!$AO$5*INDEX(Curves!$C$50:$BV$50,BU$2-38+1))</f>
        <v/>
      </c>
      <c r="BV43" s="5">
        <f>$B43*(Eras!$AO$3*INDEX(Curves!$C$4:$BV$4,BV$2-38+1)+Eras!$AO$4*INDEX(Curves!$C$27:$BV$27,BV$2-38+1)+Eras!$AO$5*INDEX(Curves!$C$50:$BV$50,BV$2-38+1))</f>
        <v/>
      </c>
    </row>
    <row r="44">
      <c r="A44" t="inlineStr">
        <is>
          <t>cohort 2028-04</t>
        </is>
      </c>
      <c r="B44" s="5">
        <f>INDEX(Adds!$C$13:$BV$13,40)</f>
        <v/>
      </c>
      <c r="AP44" s="5">
        <f>$B44*(Eras!$AP$3*INDEX(Curves!$C$4:$BV$4,AP$2-39+1)+Eras!$AP$4*INDEX(Curves!$C$27:$BV$27,AP$2-39+1)+Eras!$AP$5*INDEX(Curves!$C$50:$BV$50,AP$2-39+1))</f>
        <v/>
      </c>
      <c r="AQ44" s="5">
        <f>$B44*(Eras!$AP$3*INDEX(Curves!$C$4:$BV$4,AQ$2-39+1)+Eras!$AP$4*INDEX(Curves!$C$27:$BV$27,AQ$2-39+1)+Eras!$AP$5*INDEX(Curves!$C$50:$BV$50,AQ$2-39+1))</f>
        <v/>
      </c>
      <c r="AR44" s="5">
        <f>$B44*(Eras!$AP$3*INDEX(Curves!$C$4:$BV$4,AR$2-39+1)+Eras!$AP$4*INDEX(Curves!$C$27:$BV$27,AR$2-39+1)+Eras!$AP$5*INDEX(Curves!$C$50:$BV$50,AR$2-39+1))</f>
        <v/>
      </c>
      <c r="AS44" s="5">
        <f>$B44*(Eras!$AP$3*INDEX(Curves!$C$4:$BV$4,AS$2-39+1)+Eras!$AP$4*INDEX(Curves!$C$27:$BV$27,AS$2-39+1)+Eras!$AP$5*INDEX(Curves!$C$50:$BV$50,AS$2-39+1))</f>
        <v/>
      </c>
      <c r="AT44" s="5">
        <f>$B44*(Eras!$AP$3*INDEX(Curves!$C$4:$BV$4,AT$2-39+1)+Eras!$AP$4*INDEX(Curves!$C$27:$BV$27,AT$2-39+1)+Eras!$AP$5*INDEX(Curves!$C$50:$BV$50,AT$2-39+1))</f>
        <v/>
      </c>
      <c r="AU44" s="5">
        <f>$B44*(Eras!$AP$3*INDEX(Curves!$C$4:$BV$4,AU$2-39+1)+Eras!$AP$4*INDEX(Curves!$C$27:$BV$27,AU$2-39+1)+Eras!$AP$5*INDEX(Curves!$C$50:$BV$50,AU$2-39+1))</f>
        <v/>
      </c>
      <c r="AV44" s="5">
        <f>$B44*(Eras!$AP$3*INDEX(Curves!$C$4:$BV$4,AV$2-39+1)+Eras!$AP$4*INDEX(Curves!$C$27:$BV$27,AV$2-39+1)+Eras!$AP$5*INDEX(Curves!$C$50:$BV$50,AV$2-39+1))</f>
        <v/>
      </c>
      <c r="AW44" s="5">
        <f>$B44*(Eras!$AP$3*INDEX(Curves!$C$4:$BV$4,AW$2-39+1)+Eras!$AP$4*INDEX(Curves!$C$27:$BV$27,AW$2-39+1)+Eras!$AP$5*INDEX(Curves!$C$50:$BV$50,AW$2-39+1))</f>
        <v/>
      </c>
      <c r="AX44" s="5">
        <f>$B44*(Eras!$AP$3*INDEX(Curves!$C$4:$BV$4,AX$2-39+1)+Eras!$AP$4*INDEX(Curves!$C$27:$BV$27,AX$2-39+1)+Eras!$AP$5*INDEX(Curves!$C$50:$BV$50,AX$2-39+1))</f>
        <v/>
      </c>
      <c r="AY44" s="5">
        <f>$B44*(Eras!$AP$3*INDEX(Curves!$C$4:$BV$4,AY$2-39+1)+Eras!$AP$4*INDEX(Curves!$C$27:$BV$27,AY$2-39+1)+Eras!$AP$5*INDEX(Curves!$C$50:$BV$50,AY$2-39+1))</f>
        <v/>
      </c>
      <c r="AZ44" s="5">
        <f>$B44*(Eras!$AP$3*INDEX(Curves!$C$4:$BV$4,AZ$2-39+1)+Eras!$AP$4*INDEX(Curves!$C$27:$BV$27,AZ$2-39+1)+Eras!$AP$5*INDEX(Curves!$C$50:$BV$50,AZ$2-39+1))</f>
        <v/>
      </c>
      <c r="BA44" s="5">
        <f>$B44*(Eras!$AP$3*INDEX(Curves!$C$4:$BV$4,BA$2-39+1)+Eras!$AP$4*INDEX(Curves!$C$27:$BV$27,BA$2-39+1)+Eras!$AP$5*INDEX(Curves!$C$50:$BV$50,BA$2-39+1))</f>
        <v/>
      </c>
      <c r="BB44" s="5">
        <f>$B44*(Eras!$AP$3*INDEX(Curves!$C$4:$BV$4,BB$2-39+1)+Eras!$AP$4*INDEX(Curves!$C$27:$BV$27,BB$2-39+1)+Eras!$AP$5*INDEX(Curves!$C$50:$BV$50,BB$2-39+1))</f>
        <v/>
      </c>
      <c r="BC44" s="5">
        <f>$B44*(Eras!$AP$3*INDEX(Curves!$C$4:$BV$4,BC$2-39+1)+Eras!$AP$4*INDEX(Curves!$C$27:$BV$27,BC$2-39+1)+Eras!$AP$5*INDEX(Curves!$C$50:$BV$50,BC$2-39+1))</f>
        <v/>
      </c>
      <c r="BD44" s="5">
        <f>$B44*(Eras!$AP$3*INDEX(Curves!$C$4:$BV$4,BD$2-39+1)+Eras!$AP$4*INDEX(Curves!$C$27:$BV$27,BD$2-39+1)+Eras!$AP$5*INDEX(Curves!$C$50:$BV$50,BD$2-39+1))</f>
        <v/>
      </c>
      <c r="BE44" s="5">
        <f>$B44*(Eras!$AP$3*INDEX(Curves!$C$4:$BV$4,BE$2-39+1)+Eras!$AP$4*INDEX(Curves!$C$27:$BV$27,BE$2-39+1)+Eras!$AP$5*INDEX(Curves!$C$50:$BV$50,BE$2-39+1))</f>
        <v/>
      </c>
      <c r="BF44" s="5">
        <f>$B44*(Eras!$AP$3*INDEX(Curves!$C$4:$BV$4,BF$2-39+1)+Eras!$AP$4*INDEX(Curves!$C$27:$BV$27,BF$2-39+1)+Eras!$AP$5*INDEX(Curves!$C$50:$BV$50,BF$2-39+1))</f>
        <v/>
      </c>
      <c r="BG44" s="5">
        <f>$B44*(Eras!$AP$3*INDEX(Curves!$C$4:$BV$4,BG$2-39+1)+Eras!$AP$4*INDEX(Curves!$C$27:$BV$27,BG$2-39+1)+Eras!$AP$5*INDEX(Curves!$C$50:$BV$50,BG$2-39+1))</f>
        <v/>
      </c>
      <c r="BH44" s="5">
        <f>$B44*(Eras!$AP$3*INDEX(Curves!$C$4:$BV$4,BH$2-39+1)+Eras!$AP$4*INDEX(Curves!$C$27:$BV$27,BH$2-39+1)+Eras!$AP$5*INDEX(Curves!$C$50:$BV$50,BH$2-39+1))</f>
        <v/>
      </c>
      <c r="BI44" s="5">
        <f>$B44*(Eras!$AP$3*INDEX(Curves!$C$4:$BV$4,BI$2-39+1)+Eras!$AP$4*INDEX(Curves!$C$27:$BV$27,BI$2-39+1)+Eras!$AP$5*INDEX(Curves!$C$50:$BV$50,BI$2-39+1))</f>
        <v/>
      </c>
      <c r="BJ44" s="5">
        <f>$B44*(Eras!$AP$3*INDEX(Curves!$C$4:$BV$4,BJ$2-39+1)+Eras!$AP$4*INDEX(Curves!$C$27:$BV$27,BJ$2-39+1)+Eras!$AP$5*INDEX(Curves!$C$50:$BV$50,BJ$2-39+1))</f>
        <v/>
      </c>
      <c r="BK44" s="5">
        <f>$B44*(Eras!$AP$3*INDEX(Curves!$C$4:$BV$4,BK$2-39+1)+Eras!$AP$4*INDEX(Curves!$C$27:$BV$27,BK$2-39+1)+Eras!$AP$5*INDEX(Curves!$C$50:$BV$50,BK$2-39+1))</f>
        <v/>
      </c>
      <c r="BL44" s="5">
        <f>$B44*(Eras!$AP$3*INDEX(Curves!$C$4:$BV$4,BL$2-39+1)+Eras!$AP$4*INDEX(Curves!$C$27:$BV$27,BL$2-39+1)+Eras!$AP$5*INDEX(Curves!$C$50:$BV$50,BL$2-39+1))</f>
        <v/>
      </c>
      <c r="BM44" s="5">
        <f>$B44*(Eras!$AP$3*INDEX(Curves!$C$4:$BV$4,BM$2-39+1)+Eras!$AP$4*INDEX(Curves!$C$27:$BV$27,BM$2-39+1)+Eras!$AP$5*INDEX(Curves!$C$50:$BV$50,BM$2-39+1))</f>
        <v/>
      </c>
      <c r="BN44" s="5">
        <f>$B44*(Eras!$AP$3*INDEX(Curves!$C$4:$BV$4,BN$2-39+1)+Eras!$AP$4*INDEX(Curves!$C$27:$BV$27,BN$2-39+1)+Eras!$AP$5*INDEX(Curves!$C$50:$BV$50,BN$2-39+1))</f>
        <v/>
      </c>
      <c r="BO44" s="5">
        <f>$B44*(Eras!$AP$3*INDEX(Curves!$C$4:$BV$4,BO$2-39+1)+Eras!$AP$4*INDEX(Curves!$C$27:$BV$27,BO$2-39+1)+Eras!$AP$5*INDEX(Curves!$C$50:$BV$50,BO$2-39+1))</f>
        <v/>
      </c>
      <c r="BP44" s="5">
        <f>$B44*(Eras!$AP$3*INDEX(Curves!$C$4:$BV$4,BP$2-39+1)+Eras!$AP$4*INDEX(Curves!$C$27:$BV$27,BP$2-39+1)+Eras!$AP$5*INDEX(Curves!$C$50:$BV$50,BP$2-39+1))</f>
        <v/>
      </c>
      <c r="BQ44" s="5">
        <f>$B44*(Eras!$AP$3*INDEX(Curves!$C$4:$BV$4,BQ$2-39+1)+Eras!$AP$4*INDEX(Curves!$C$27:$BV$27,BQ$2-39+1)+Eras!$AP$5*INDEX(Curves!$C$50:$BV$50,BQ$2-39+1))</f>
        <v/>
      </c>
      <c r="BR44" s="5">
        <f>$B44*(Eras!$AP$3*INDEX(Curves!$C$4:$BV$4,BR$2-39+1)+Eras!$AP$4*INDEX(Curves!$C$27:$BV$27,BR$2-39+1)+Eras!$AP$5*INDEX(Curves!$C$50:$BV$50,BR$2-39+1))</f>
        <v/>
      </c>
      <c r="BS44" s="5">
        <f>$B44*(Eras!$AP$3*INDEX(Curves!$C$4:$BV$4,BS$2-39+1)+Eras!$AP$4*INDEX(Curves!$C$27:$BV$27,BS$2-39+1)+Eras!$AP$5*INDEX(Curves!$C$50:$BV$50,BS$2-39+1))</f>
        <v/>
      </c>
      <c r="BT44" s="5">
        <f>$B44*(Eras!$AP$3*INDEX(Curves!$C$4:$BV$4,BT$2-39+1)+Eras!$AP$4*INDEX(Curves!$C$27:$BV$27,BT$2-39+1)+Eras!$AP$5*INDEX(Curves!$C$50:$BV$50,BT$2-39+1))</f>
        <v/>
      </c>
      <c r="BU44" s="5">
        <f>$B44*(Eras!$AP$3*INDEX(Curves!$C$4:$BV$4,BU$2-39+1)+Eras!$AP$4*INDEX(Curves!$C$27:$BV$27,BU$2-39+1)+Eras!$AP$5*INDEX(Curves!$C$50:$BV$50,BU$2-39+1))</f>
        <v/>
      </c>
      <c r="BV44" s="5">
        <f>$B44*(Eras!$AP$3*INDEX(Curves!$C$4:$BV$4,BV$2-39+1)+Eras!$AP$4*INDEX(Curves!$C$27:$BV$27,BV$2-39+1)+Eras!$AP$5*INDEX(Curves!$C$50:$BV$50,BV$2-39+1))</f>
        <v/>
      </c>
    </row>
    <row r="45">
      <c r="A45" t="inlineStr">
        <is>
          <t>cohort 2028-05</t>
        </is>
      </c>
      <c r="B45" s="5">
        <f>INDEX(Adds!$C$13:$BV$13,41)</f>
        <v/>
      </c>
      <c r="AQ45" s="5">
        <f>$B45*(Eras!$AQ$3*INDEX(Curves!$C$4:$BV$4,AQ$2-40+1)+Eras!$AQ$4*INDEX(Curves!$C$27:$BV$27,AQ$2-40+1)+Eras!$AQ$5*INDEX(Curves!$C$50:$BV$50,AQ$2-40+1))</f>
        <v/>
      </c>
      <c r="AR45" s="5">
        <f>$B45*(Eras!$AQ$3*INDEX(Curves!$C$4:$BV$4,AR$2-40+1)+Eras!$AQ$4*INDEX(Curves!$C$27:$BV$27,AR$2-40+1)+Eras!$AQ$5*INDEX(Curves!$C$50:$BV$50,AR$2-40+1))</f>
        <v/>
      </c>
      <c r="AS45" s="5">
        <f>$B45*(Eras!$AQ$3*INDEX(Curves!$C$4:$BV$4,AS$2-40+1)+Eras!$AQ$4*INDEX(Curves!$C$27:$BV$27,AS$2-40+1)+Eras!$AQ$5*INDEX(Curves!$C$50:$BV$50,AS$2-40+1))</f>
        <v/>
      </c>
      <c r="AT45" s="5">
        <f>$B45*(Eras!$AQ$3*INDEX(Curves!$C$4:$BV$4,AT$2-40+1)+Eras!$AQ$4*INDEX(Curves!$C$27:$BV$27,AT$2-40+1)+Eras!$AQ$5*INDEX(Curves!$C$50:$BV$50,AT$2-40+1))</f>
        <v/>
      </c>
      <c r="AU45" s="5">
        <f>$B45*(Eras!$AQ$3*INDEX(Curves!$C$4:$BV$4,AU$2-40+1)+Eras!$AQ$4*INDEX(Curves!$C$27:$BV$27,AU$2-40+1)+Eras!$AQ$5*INDEX(Curves!$C$50:$BV$50,AU$2-40+1))</f>
        <v/>
      </c>
      <c r="AV45" s="5">
        <f>$B45*(Eras!$AQ$3*INDEX(Curves!$C$4:$BV$4,AV$2-40+1)+Eras!$AQ$4*INDEX(Curves!$C$27:$BV$27,AV$2-40+1)+Eras!$AQ$5*INDEX(Curves!$C$50:$BV$50,AV$2-40+1))</f>
        <v/>
      </c>
      <c r="AW45" s="5">
        <f>$B45*(Eras!$AQ$3*INDEX(Curves!$C$4:$BV$4,AW$2-40+1)+Eras!$AQ$4*INDEX(Curves!$C$27:$BV$27,AW$2-40+1)+Eras!$AQ$5*INDEX(Curves!$C$50:$BV$50,AW$2-40+1))</f>
        <v/>
      </c>
      <c r="AX45" s="5">
        <f>$B45*(Eras!$AQ$3*INDEX(Curves!$C$4:$BV$4,AX$2-40+1)+Eras!$AQ$4*INDEX(Curves!$C$27:$BV$27,AX$2-40+1)+Eras!$AQ$5*INDEX(Curves!$C$50:$BV$50,AX$2-40+1))</f>
        <v/>
      </c>
      <c r="AY45" s="5">
        <f>$B45*(Eras!$AQ$3*INDEX(Curves!$C$4:$BV$4,AY$2-40+1)+Eras!$AQ$4*INDEX(Curves!$C$27:$BV$27,AY$2-40+1)+Eras!$AQ$5*INDEX(Curves!$C$50:$BV$50,AY$2-40+1))</f>
        <v/>
      </c>
      <c r="AZ45" s="5">
        <f>$B45*(Eras!$AQ$3*INDEX(Curves!$C$4:$BV$4,AZ$2-40+1)+Eras!$AQ$4*INDEX(Curves!$C$27:$BV$27,AZ$2-40+1)+Eras!$AQ$5*INDEX(Curves!$C$50:$BV$50,AZ$2-40+1))</f>
        <v/>
      </c>
      <c r="BA45" s="5">
        <f>$B45*(Eras!$AQ$3*INDEX(Curves!$C$4:$BV$4,BA$2-40+1)+Eras!$AQ$4*INDEX(Curves!$C$27:$BV$27,BA$2-40+1)+Eras!$AQ$5*INDEX(Curves!$C$50:$BV$50,BA$2-40+1))</f>
        <v/>
      </c>
      <c r="BB45" s="5">
        <f>$B45*(Eras!$AQ$3*INDEX(Curves!$C$4:$BV$4,BB$2-40+1)+Eras!$AQ$4*INDEX(Curves!$C$27:$BV$27,BB$2-40+1)+Eras!$AQ$5*INDEX(Curves!$C$50:$BV$50,BB$2-40+1))</f>
        <v/>
      </c>
      <c r="BC45" s="5">
        <f>$B45*(Eras!$AQ$3*INDEX(Curves!$C$4:$BV$4,BC$2-40+1)+Eras!$AQ$4*INDEX(Curves!$C$27:$BV$27,BC$2-40+1)+Eras!$AQ$5*INDEX(Curves!$C$50:$BV$50,BC$2-40+1))</f>
        <v/>
      </c>
      <c r="BD45" s="5">
        <f>$B45*(Eras!$AQ$3*INDEX(Curves!$C$4:$BV$4,BD$2-40+1)+Eras!$AQ$4*INDEX(Curves!$C$27:$BV$27,BD$2-40+1)+Eras!$AQ$5*INDEX(Curves!$C$50:$BV$50,BD$2-40+1))</f>
        <v/>
      </c>
      <c r="BE45" s="5">
        <f>$B45*(Eras!$AQ$3*INDEX(Curves!$C$4:$BV$4,BE$2-40+1)+Eras!$AQ$4*INDEX(Curves!$C$27:$BV$27,BE$2-40+1)+Eras!$AQ$5*INDEX(Curves!$C$50:$BV$50,BE$2-40+1))</f>
        <v/>
      </c>
      <c r="BF45" s="5">
        <f>$B45*(Eras!$AQ$3*INDEX(Curves!$C$4:$BV$4,BF$2-40+1)+Eras!$AQ$4*INDEX(Curves!$C$27:$BV$27,BF$2-40+1)+Eras!$AQ$5*INDEX(Curves!$C$50:$BV$50,BF$2-40+1))</f>
        <v/>
      </c>
      <c r="BG45" s="5">
        <f>$B45*(Eras!$AQ$3*INDEX(Curves!$C$4:$BV$4,BG$2-40+1)+Eras!$AQ$4*INDEX(Curves!$C$27:$BV$27,BG$2-40+1)+Eras!$AQ$5*INDEX(Curves!$C$50:$BV$50,BG$2-40+1))</f>
        <v/>
      </c>
      <c r="BH45" s="5">
        <f>$B45*(Eras!$AQ$3*INDEX(Curves!$C$4:$BV$4,BH$2-40+1)+Eras!$AQ$4*INDEX(Curves!$C$27:$BV$27,BH$2-40+1)+Eras!$AQ$5*INDEX(Curves!$C$50:$BV$50,BH$2-40+1))</f>
        <v/>
      </c>
      <c r="BI45" s="5">
        <f>$B45*(Eras!$AQ$3*INDEX(Curves!$C$4:$BV$4,BI$2-40+1)+Eras!$AQ$4*INDEX(Curves!$C$27:$BV$27,BI$2-40+1)+Eras!$AQ$5*INDEX(Curves!$C$50:$BV$50,BI$2-40+1))</f>
        <v/>
      </c>
      <c r="BJ45" s="5">
        <f>$B45*(Eras!$AQ$3*INDEX(Curves!$C$4:$BV$4,BJ$2-40+1)+Eras!$AQ$4*INDEX(Curves!$C$27:$BV$27,BJ$2-40+1)+Eras!$AQ$5*INDEX(Curves!$C$50:$BV$50,BJ$2-40+1))</f>
        <v/>
      </c>
      <c r="BK45" s="5">
        <f>$B45*(Eras!$AQ$3*INDEX(Curves!$C$4:$BV$4,BK$2-40+1)+Eras!$AQ$4*INDEX(Curves!$C$27:$BV$27,BK$2-40+1)+Eras!$AQ$5*INDEX(Curves!$C$50:$BV$50,BK$2-40+1))</f>
        <v/>
      </c>
      <c r="BL45" s="5">
        <f>$B45*(Eras!$AQ$3*INDEX(Curves!$C$4:$BV$4,BL$2-40+1)+Eras!$AQ$4*INDEX(Curves!$C$27:$BV$27,BL$2-40+1)+Eras!$AQ$5*INDEX(Curves!$C$50:$BV$50,BL$2-40+1))</f>
        <v/>
      </c>
      <c r="BM45" s="5">
        <f>$B45*(Eras!$AQ$3*INDEX(Curves!$C$4:$BV$4,BM$2-40+1)+Eras!$AQ$4*INDEX(Curves!$C$27:$BV$27,BM$2-40+1)+Eras!$AQ$5*INDEX(Curves!$C$50:$BV$50,BM$2-40+1))</f>
        <v/>
      </c>
      <c r="BN45" s="5">
        <f>$B45*(Eras!$AQ$3*INDEX(Curves!$C$4:$BV$4,BN$2-40+1)+Eras!$AQ$4*INDEX(Curves!$C$27:$BV$27,BN$2-40+1)+Eras!$AQ$5*INDEX(Curves!$C$50:$BV$50,BN$2-40+1))</f>
        <v/>
      </c>
      <c r="BO45" s="5">
        <f>$B45*(Eras!$AQ$3*INDEX(Curves!$C$4:$BV$4,BO$2-40+1)+Eras!$AQ$4*INDEX(Curves!$C$27:$BV$27,BO$2-40+1)+Eras!$AQ$5*INDEX(Curves!$C$50:$BV$50,BO$2-40+1))</f>
        <v/>
      </c>
      <c r="BP45" s="5">
        <f>$B45*(Eras!$AQ$3*INDEX(Curves!$C$4:$BV$4,BP$2-40+1)+Eras!$AQ$4*INDEX(Curves!$C$27:$BV$27,BP$2-40+1)+Eras!$AQ$5*INDEX(Curves!$C$50:$BV$50,BP$2-40+1))</f>
        <v/>
      </c>
      <c r="BQ45" s="5">
        <f>$B45*(Eras!$AQ$3*INDEX(Curves!$C$4:$BV$4,BQ$2-40+1)+Eras!$AQ$4*INDEX(Curves!$C$27:$BV$27,BQ$2-40+1)+Eras!$AQ$5*INDEX(Curves!$C$50:$BV$50,BQ$2-40+1))</f>
        <v/>
      </c>
      <c r="BR45" s="5">
        <f>$B45*(Eras!$AQ$3*INDEX(Curves!$C$4:$BV$4,BR$2-40+1)+Eras!$AQ$4*INDEX(Curves!$C$27:$BV$27,BR$2-40+1)+Eras!$AQ$5*INDEX(Curves!$C$50:$BV$50,BR$2-40+1))</f>
        <v/>
      </c>
      <c r="BS45" s="5">
        <f>$B45*(Eras!$AQ$3*INDEX(Curves!$C$4:$BV$4,BS$2-40+1)+Eras!$AQ$4*INDEX(Curves!$C$27:$BV$27,BS$2-40+1)+Eras!$AQ$5*INDEX(Curves!$C$50:$BV$50,BS$2-40+1))</f>
        <v/>
      </c>
      <c r="BT45" s="5">
        <f>$B45*(Eras!$AQ$3*INDEX(Curves!$C$4:$BV$4,BT$2-40+1)+Eras!$AQ$4*INDEX(Curves!$C$27:$BV$27,BT$2-40+1)+Eras!$AQ$5*INDEX(Curves!$C$50:$BV$50,BT$2-40+1))</f>
        <v/>
      </c>
      <c r="BU45" s="5">
        <f>$B45*(Eras!$AQ$3*INDEX(Curves!$C$4:$BV$4,BU$2-40+1)+Eras!$AQ$4*INDEX(Curves!$C$27:$BV$27,BU$2-40+1)+Eras!$AQ$5*INDEX(Curves!$C$50:$BV$50,BU$2-40+1))</f>
        <v/>
      </c>
      <c r="BV45" s="5">
        <f>$B45*(Eras!$AQ$3*INDEX(Curves!$C$4:$BV$4,BV$2-40+1)+Eras!$AQ$4*INDEX(Curves!$C$27:$BV$27,BV$2-40+1)+Eras!$AQ$5*INDEX(Curves!$C$50:$BV$50,BV$2-40+1))</f>
        <v/>
      </c>
    </row>
    <row r="46">
      <c r="A46" t="inlineStr">
        <is>
          <t>cohort 2028-06</t>
        </is>
      </c>
      <c r="B46" s="5">
        <f>INDEX(Adds!$C$13:$BV$13,42)</f>
        <v/>
      </c>
      <c r="AR46" s="5">
        <f>$B46*(Eras!$AR$3*INDEX(Curves!$C$4:$BV$4,AR$2-41+1)+Eras!$AR$4*INDEX(Curves!$C$27:$BV$27,AR$2-41+1)+Eras!$AR$5*INDEX(Curves!$C$50:$BV$50,AR$2-41+1))</f>
        <v/>
      </c>
      <c r="AS46" s="5">
        <f>$B46*(Eras!$AR$3*INDEX(Curves!$C$4:$BV$4,AS$2-41+1)+Eras!$AR$4*INDEX(Curves!$C$27:$BV$27,AS$2-41+1)+Eras!$AR$5*INDEX(Curves!$C$50:$BV$50,AS$2-41+1))</f>
        <v/>
      </c>
      <c r="AT46" s="5">
        <f>$B46*(Eras!$AR$3*INDEX(Curves!$C$4:$BV$4,AT$2-41+1)+Eras!$AR$4*INDEX(Curves!$C$27:$BV$27,AT$2-41+1)+Eras!$AR$5*INDEX(Curves!$C$50:$BV$50,AT$2-41+1))</f>
        <v/>
      </c>
      <c r="AU46" s="5">
        <f>$B46*(Eras!$AR$3*INDEX(Curves!$C$4:$BV$4,AU$2-41+1)+Eras!$AR$4*INDEX(Curves!$C$27:$BV$27,AU$2-41+1)+Eras!$AR$5*INDEX(Curves!$C$50:$BV$50,AU$2-41+1))</f>
        <v/>
      </c>
      <c r="AV46" s="5">
        <f>$B46*(Eras!$AR$3*INDEX(Curves!$C$4:$BV$4,AV$2-41+1)+Eras!$AR$4*INDEX(Curves!$C$27:$BV$27,AV$2-41+1)+Eras!$AR$5*INDEX(Curves!$C$50:$BV$50,AV$2-41+1))</f>
        <v/>
      </c>
      <c r="AW46" s="5">
        <f>$B46*(Eras!$AR$3*INDEX(Curves!$C$4:$BV$4,AW$2-41+1)+Eras!$AR$4*INDEX(Curves!$C$27:$BV$27,AW$2-41+1)+Eras!$AR$5*INDEX(Curves!$C$50:$BV$50,AW$2-41+1))</f>
        <v/>
      </c>
      <c r="AX46" s="5">
        <f>$B46*(Eras!$AR$3*INDEX(Curves!$C$4:$BV$4,AX$2-41+1)+Eras!$AR$4*INDEX(Curves!$C$27:$BV$27,AX$2-41+1)+Eras!$AR$5*INDEX(Curves!$C$50:$BV$50,AX$2-41+1))</f>
        <v/>
      </c>
      <c r="AY46" s="5">
        <f>$B46*(Eras!$AR$3*INDEX(Curves!$C$4:$BV$4,AY$2-41+1)+Eras!$AR$4*INDEX(Curves!$C$27:$BV$27,AY$2-41+1)+Eras!$AR$5*INDEX(Curves!$C$50:$BV$50,AY$2-41+1))</f>
        <v/>
      </c>
      <c r="AZ46" s="5">
        <f>$B46*(Eras!$AR$3*INDEX(Curves!$C$4:$BV$4,AZ$2-41+1)+Eras!$AR$4*INDEX(Curves!$C$27:$BV$27,AZ$2-41+1)+Eras!$AR$5*INDEX(Curves!$C$50:$BV$50,AZ$2-41+1))</f>
        <v/>
      </c>
      <c r="BA46" s="5">
        <f>$B46*(Eras!$AR$3*INDEX(Curves!$C$4:$BV$4,BA$2-41+1)+Eras!$AR$4*INDEX(Curves!$C$27:$BV$27,BA$2-41+1)+Eras!$AR$5*INDEX(Curves!$C$50:$BV$50,BA$2-41+1))</f>
        <v/>
      </c>
      <c r="BB46" s="5">
        <f>$B46*(Eras!$AR$3*INDEX(Curves!$C$4:$BV$4,BB$2-41+1)+Eras!$AR$4*INDEX(Curves!$C$27:$BV$27,BB$2-41+1)+Eras!$AR$5*INDEX(Curves!$C$50:$BV$50,BB$2-41+1))</f>
        <v/>
      </c>
      <c r="BC46" s="5">
        <f>$B46*(Eras!$AR$3*INDEX(Curves!$C$4:$BV$4,BC$2-41+1)+Eras!$AR$4*INDEX(Curves!$C$27:$BV$27,BC$2-41+1)+Eras!$AR$5*INDEX(Curves!$C$50:$BV$50,BC$2-41+1))</f>
        <v/>
      </c>
      <c r="BD46" s="5">
        <f>$B46*(Eras!$AR$3*INDEX(Curves!$C$4:$BV$4,BD$2-41+1)+Eras!$AR$4*INDEX(Curves!$C$27:$BV$27,BD$2-41+1)+Eras!$AR$5*INDEX(Curves!$C$50:$BV$50,BD$2-41+1))</f>
        <v/>
      </c>
      <c r="BE46" s="5">
        <f>$B46*(Eras!$AR$3*INDEX(Curves!$C$4:$BV$4,BE$2-41+1)+Eras!$AR$4*INDEX(Curves!$C$27:$BV$27,BE$2-41+1)+Eras!$AR$5*INDEX(Curves!$C$50:$BV$50,BE$2-41+1))</f>
        <v/>
      </c>
      <c r="BF46" s="5">
        <f>$B46*(Eras!$AR$3*INDEX(Curves!$C$4:$BV$4,BF$2-41+1)+Eras!$AR$4*INDEX(Curves!$C$27:$BV$27,BF$2-41+1)+Eras!$AR$5*INDEX(Curves!$C$50:$BV$50,BF$2-41+1))</f>
        <v/>
      </c>
      <c r="BG46" s="5">
        <f>$B46*(Eras!$AR$3*INDEX(Curves!$C$4:$BV$4,BG$2-41+1)+Eras!$AR$4*INDEX(Curves!$C$27:$BV$27,BG$2-41+1)+Eras!$AR$5*INDEX(Curves!$C$50:$BV$50,BG$2-41+1))</f>
        <v/>
      </c>
      <c r="BH46" s="5">
        <f>$B46*(Eras!$AR$3*INDEX(Curves!$C$4:$BV$4,BH$2-41+1)+Eras!$AR$4*INDEX(Curves!$C$27:$BV$27,BH$2-41+1)+Eras!$AR$5*INDEX(Curves!$C$50:$BV$50,BH$2-41+1))</f>
        <v/>
      </c>
      <c r="BI46" s="5">
        <f>$B46*(Eras!$AR$3*INDEX(Curves!$C$4:$BV$4,BI$2-41+1)+Eras!$AR$4*INDEX(Curves!$C$27:$BV$27,BI$2-41+1)+Eras!$AR$5*INDEX(Curves!$C$50:$BV$50,BI$2-41+1))</f>
        <v/>
      </c>
      <c r="BJ46" s="5">
        <f>$B46*(Eras!$AR$3*INDEX(Curves!$C$4:$BV$4,BJ$2-41+1)+Eras!$AR$4*INDEX(Curves!$C$27:$BV$27,BJ$2-41+1)+Eras!$AR$5*INDEX(Curves!$C$50:$BV$50,BJ$2-41+1))</f>
        <v/>
      </c>
      <c r="BK46" s="5">
        <f>$B46*(Eras!$AR$3*INDEX(Curves!$C$4:$BV$4,BK$2-41+1)+Eras!$AR$4*INDEX(Curves!$C$27:$BV$27,BK$2-41+1)+Eras!$AR$5*INDEX(Curves!$C$50:$BV$50,BK$2-41+1))</f>
        <v/>
      </c>
      <c r="BL46" s="5">
        <f>$B46*(Eras!$AR$3*INDEX(Curves!$C$4:$BV$4,BL$2-41+1)+Eras!$AR$4*INDEX(Curves!$C$27:$BV$27,BL$2-41+1)+Eras!$AR$5*INDEX(Curves!$C$50:$BV$50,BL$2-41+1))</f>
        <v/>
      </c>
      <c r="BM46" s="5">
        <f>$B46*(Eras!$AR$3*INDEX(Curves!$C$4:$BV$4,BM$2-41+1)+Eras!$AR$4*INDEX(Curves!$C$27:$BV$27,BM$2-41+1)+Eras!$AR$5*INDEX(Curves!$C$50:$BV$50,BM$2-41+1))</f>
        <v/>
      </c>
      <c r="BN46" s="5">
        <f>$B46*(Eras!$AR$3*INDEX(Curves!$C$4:$BV$4,BN$2-41+1)+Eras!$AR$4*INDEX(Curves!$C$27:$BV$27,BN$2-41+1)+Eras!$AR$5*INDEX(Curves!$C$50:$BV$50,BN$2-41+1))</f>
        <v/>
      </c>
      <c r="BO46" s="5">
        <f>$B46*(Eras!$AR$3*INDEX(Curves!$C$4:$BV$4,BO$2-41+1)+Eras!$AR$4*INDEX(Curves!$C$27:$BV$27,BO$2-41+1)+Eras!$AR$5*INDEX(Curves!$C$50:$BV$50,BO$2-41+1))</f>
        <v/>
      </c>
      <c r="BP46" s="5">
        <f>$B46*(Eras!$AR$3*INDEX(Curves!$C$4:$BV$4,BP$2-41+1)+Eras!$AR$4*INDEX(Curves!$C$27:$BV$27,BP$2-41+1)+Eras!$AR$5*INDEX(Curves!$C$50:$BV$50,BP$2-41+1))</f>
        <v/>
      </c>
      <c r="BQ46" s="5">
        <f>$B46*(Eras!$AR$3*INDEX(Curves!$C$4:$BV$4,BQ$2-41+1)+Eras!$AR$4*INDEX(Curves!$C$27:$BV$27,BQ$2-41+1)+Eras!$AR$5*INDEX(Curves!$C$50:$BV$50,BQ$2-41+1))</f>
        <v/>
      </c>
      <c r="BR46" s="5">
        <f>$B46*(Eras!$AR$3*INDEX(Curves!$C$4:$BV$4,BR$2-41+1)+Eras!$AR$4*INDEX(Curves!$C$27:$BV$27,BR$2-41+1)+Eras!$AR$5*INDEX(Curves!$C$50:$BV$50,BR$2-41+1))</f>
        <v/>
      </c>
      <c r="BS46" s="5">
        <f>$B46*(Eras!$AR$3*INDEX(Curves!$C$4:$BV$4,BS$2-41+1)+Eras!$AR$4*INDEX(Curves!$C$27:$BV$27,BS$2-41+1)+Eras!$AR$5*INDEX(Curves!$C$50:$BV$50,BS$2-41+1))</f>
        <v/>
      </c>
      <c r="BT46" s="5">
        <f>$B46*(Eras!$AR$3*INDEX(Curves!$C$4:$BV$4,BT$2-41+1)+Eras!$AR$4*INDEX(Curves!$C$27:$BV$27,BT$2-41+1)+Eras!$AR$5*INDEX(Curves!$C$50:$BV$50,BT$2-41+1))</f>
        <v/>
      </c>
      <c r="BU46" s="5">
        <f>$B46*(Eras!$AR$3*INDEX(Curves!$C$4:$BV$4,BU$2-41+1)+Eras!$AR$4*INDEX(Curves!$C$27:$BV$27,BU$2-41+1)+Eras!$AR$5*INDEX(Curves!$C$50:$BV$50,BU$2-41+1))</f>
        <v/>
      </c>
      <c r="BV46" s="5">
        <f>$B46*(Eras!$AR$3*INDEX(Curves!$C$4:$BV$4,BV$2-41+1)+Eras!$AR$4*INDEX(Curves!$C$27:$BV$27,BV$2-41+1)+Eras!$AR$5*INDEX(Curves!$C$50:$BV$50,BV$2-41+1))</f>
        <v/>
      </c>
    </row>
    <row r="47">
      <c r="A47" t="inlineStr">
        <is>
          <t>cohort 2028-07</t>
        </is>
      </c>
      <c r="B47" s="5">
        <f>INDEX(Adds!$C$13:$BV$13,43)</f>
        <v/>
      </c>
      <c r="AS47" s="5">
        <f>$B47*(Eras!$AS$3*INDEX(Curves!$C$4:$BV$4,AS$2-42+1)+Eras!$AS$4*INDEX(Curves!$C$27:$BV$27,AS$2-42+1)+Eras!$AS$5*INDEX(Curves!$C$50:$BV$50,AS$2-42+1))</f>
        <v/>
      </c>
      <c r="AT47" s="5">
        <f>$B47*(Eras!$AS$3*INDEX(Curves!$C$4:$BV$4,AT$2-42+1)+Eras!$AS$4*INDEX(Curves!$C$27:$BV$27,AT$2-42+1)+Eras!$AS$5*INDEX(Curves!$C$50:$BV$50,AT$2-42+1))</f>
        <v/>
      </c>
      <c r="AU47" s="5">
        <f>$B47*(Eras!$AS$3*INDEX(Curves!$C$4:$BV$4,AU$2-42+1)+Eras!$AS$4*INDEX(Curves!$C$27:$BV$27,AU$2-42+1)+Eras!$AS$5*INDEX(Curves!$C$50:$BV$50,AU$2-42+1))</f>
        <v/>
      </c>
      <c r="AV47" s="5">
        <f>$B47*(Eras!$AS$3*INDEX(Curves!$C$4:$BV$4,AV$2-42+1)+Eras!$AS$4*INDEX(Curves!$C$27:$BV$27,AV$2-42+1)+Eras!$AS$5*INDEX(Curves!$C$50:$BV$50,AV$2-42+1))</f>
        <v/>
      </c>
      <c r="AW47" s="5">
        <f>$B47*(Eras!$AS$3*INDEX(Curves!$C$4:$BV$4,AW$2-42+1)+Eras!$AS$4*INDEX(Curves!$C$27:$BV$27,AW$2-42+1)+Eras!$AS$5*INDEX(Curves!$C$50:$BV$50,AW$2-42+1))</f>
        <v/>
      </c>
      <c r="AX47" s="5">
        <f>$B47*(Eras!$AS$3*INDEX(Curves!$C$4:$BV$4,AX$2-42+1)+Eras!$AS$4*INDEX(Curves!$C$27:$BV$27,AX$2-42+1)+Eras!$AS$5*INDEX(Curves!$C$50:$BV$50,AX$2-42+1))</f>
        <v/>
      </c>
      <c r="AY47" s="5">
        <f>$B47*(Eras!$AS$3*INDEX(Curves!$C$4:$BV$4,AY$2-42+1)+Eras!$AS$4*INDEX(Curves!$C$27:$BV$27,AY$2-42+1)+Eras!$AS$5*INDEX(Curves!$C$50:$BV$50,AY$2-42+1))</f>
        <v/>
      </c>
      <c r="AZ47" s="5">
        <f>$B47*(Eras!$AS$3*INDEX(Curves!$C$4:$BV$4,AZ$2-42+1)+Eras!$AS$4*INDEX(Curves!$C$27:$BV$27,AZ$2-42+1)+Eras!$AS$5*INDEX(Curves!$C$50:$BV$50,AZ$2-42+1))</f>
        <v/>
      </c>
      <c r="BA47" s="5">
        <f>$B47*(Eras!$AS$3*INDEX(Curves!$C$4:$BV$4,BA$2-42+1)+Eras!$AS$4*INDEX(Curves!$C$27:$BV$27,BA$2-42+1)+Eras!$AS$5*INDEX(Curves!$C$50:$BV$50,BA$2-42+1))</f>
        <v/>
      </c>
      <c r="BB47" s="5">
        <f>$B47*(Eras!$AS$3*INDEX(Curves!$C$4:$BV$4,BB$2-42+1)+Eras!$AS$4*INDEX(Curves!$C$27:$BV$27,BB$2-42+1)+Eras!$AS$5*INDEX(Curves!$C$50:$BV$50,BB$2-42+1))</f>
        <v/>
      </c>
      <c r="BC47" s="5">
        <f>$B47*(Eras!$AS$3*INDEX(Curves!$C$4:$BV$4,BC$2-42+1)+Eras!$AS$4*INDEX(Curves!$C$27:$BV$27,BC$2-42+1)+Eras!$AS$5*INDEX(Curves!$C$50:$BV$50,BC$2-42+1))</f>
        <v/>
      </c>
      <c r="BD47" s="5">
        <f>$B47*(Eras!$AS$3*INDEX(Curves!$C$4:$BV$4,BD$2-42+1)+Eras!$AS$4*INDEX(Curves!$C$27:$BV$27,BD$2-42+1)+Eras!$AS$5*INDEX(Curves!$C$50:$BV$50,BD$2-42+1))</f>
        <v/>
      </c>
      <c r="BE47" s="5">
        <f>$B47*(Eras!$AS$3*INDEX(Curves!$C$4:$BV$4,BE$2-42+1)+Eras!$AS$4*INDEX(Curves!$C$27:$BV$27,BE$2-42+1)+Eras!$AS$5*INDEX(Curves!$C$50:$BV$50,BE$2-42+1))</f>
        <v/>
      </c>
      <c r="BF47" s="5">
        <f>$B47*(Eras!$AS$3*INDEX(Curves!$C$4:$BV$4,BF$2-42+1)+Eras!$AS$4*INDEX(Curves!$C$27:$BV$27,BF$2-42+1)+Eras!$AS$5*INDEX(Curves!$C$50:$BV$50,BF$2-42+1))</f>
        <v/>
      </c>
      <c r="BG47" s="5">
        <f>$B47*(Eras!$AS$3*INDEX(Curves!$C$4:$BV$4,BG$2-42+1)+Eras!$AS$4*INDEX(Curves!$C$27:$BV$27,BG$2-42+1)+Eras!$AS$5*INDEX(Curves!$C$50:$BV$50,BG$2-42+1))</f>
        <v/>
      </c>
      <c r="BH47" s="5">
        <f>$B47*(Eras!$AS$3*INDEX(Curves!$C$4:$BV$4,BH$2-42+1)+Eras!$AS$4*INDEX(Curves!$C$27:$BV$27,BH$2-42+1)+Eras!$AS$5*INDEX(Curves!$C$50:$BV$50,BH$2-42+1))</f>
        <v/>
      </c>
      <c r="BI47" s="5">
        <f>$B47*(Eras!$AS$3*INDEX(Curves!$C$4:$BV$4,BI$2-42+1)+Eras!$AS$4*INDEX(Curves!$C$27:$BV$27,BI$2-42+1)+Eras!$AS$5*INDEX(Curves!$C$50:$BV$50,BI$2-42+1))</f>
        <v/>
      </c>
      <c r="BJ47" s="5">
        <f>$B47*(Eras!$AS$3*INDEX(Curves!$C$4:$BV$4,BJ$2-42+1)+Eras!$AS$4*INDEX(Curves!$C$27:$BV$27,BJ$2-42+1)+Eras!$AS$5*INDEX(Curves!$C$50:$BV$50,BJ$2-42+1))</f>
        <v/>
      </c>
      <c r="BK47" s="5">
        <f>$B47*(Eras!$AS$3*INDEX(Curves!$C$4:$BV$4,BK$2-42+1)+Eras!$AS$4*INDEX(Curves!$C$27:$BV$27,BK$2-42+1)+Eras!$AS$5*INDEX(Curves!$C$50:$BV$50,BK$2-42+1))</f>
        <v/>
      </c>
      <c r="BL47" s="5">
        <f>$B47*(Eras!$AS$3*INDEX(Curves!$C$4:$BV$4,BL$2-42+1)+Eras!$AS$4*INDEX(Curves!$C$27:$BV$27,BL$2-42+1)+Eras!$AS$5*INDEX(Curves!$C$50:$BV$50,BL$2-42+1))</f>
        <v/>
      </c>
      <c r="BM47" s="5">
        <f>$B47*(Eras!$AS$3*INDEX(Curves!$C$4:$BV$4,BM$2-42+1)+Eras!$AS$4*INDEX(Curves!$C$27:$BV$27,BM$2-42+1)+Eras!$AS$5*INDEX(Curves!$C$50:$BV$50,BM$2-42+1))</f>
        <v/>
      </c>
      <c r="BN47" s="5">
        <f>$B47*(Eras!$AS$3*INDEX(Curves!$C$4:$BV$4,BN$2-42+1)+Eras!$AS$4*INDEX(Curves!$C$27:$BV$27,BN$2-42+1)+Eras!$AS$5*INDEX(Curves!$C$50:$BV$50,BN$2-42+1))</f>
        <v/>
      </c>
      <c r="BO47" s="5">
        <f>$B47*(Eras!$AS$3*INDEX(Curves!$C$4:$BV$4,BO$2-42+1)+Eras!$AS$4*INDEX(Curves!$C$27:$BV$27,BO$2-42+1)+Eras!$AS$5*INDEX(Curves!$C$50:$BV$50,BO$2-42+1))</f>
        <v/>
      </c>
      <c r="BP47" s="5">
        <f>$B47*(Eras!$AS$3*INDEX(Curves!$C$4:$BV$4,BP$2-42+1)+Eras!$AS$4*INDEX(Curves!$C$27:$BV$27,BP$2-42+1)+Eras!$AS$5*INDEX(Curves!$C$50:$BV$50,BP$2-42+1))</f>
        <v/>
      </c>
      <c r="BQ47" s="5">
        <f>$B47*(Eras!$AS$3*INDEX(Curves!$C$4:$BV$4,BQ$2-42+1)+Eras!$AS$4*INDEX(Curves!$C$27:$BV$27,BQ$2-42+1)+Eras!$AS$5*INDEX(Curves!$C$50:$BV$50,BQ$2-42+1))</f>
        <v/>
      </c>
      <c r="BR47" s="5">
        <f>$B47*(Eras!$AS$3*INDEX(Curves!$C$4:$BV$4,BR$2-42+1)+Eras!$AS$4*INDEX(Curves!$C$27:$BV$27,BR$2-42+1)+Eras!$AS$5*INDEX(Curves!$C$50:$BV$50,BR$2-42+1))</f>
        <v/>
      </c>
      <c r="BS47" s="5">
        <f>$B47*(Eras!$AS$3*INDEX(Curves!$C$4:$BV$4,BS$2-42+1)+Eras!$AS$4*INDEX(Curves!$C$27:$BV$27,BS$2-42+1)+Eras!$AS$5*INDEX(Curves!$C$50:$BV$50,BS$2-42+1))</f>
        <v/>
      </c>
      <c r="BT47" s="5">
        <f>$B47*(Eras!$AS$3*INDEX(Curves!$C$4:$BV$4,BT$2-42+1)+Eras!$AS$4*INDEX(Curves!$C$27:$BV$27,BT$2-42+1)+Eras!$AS$5*INDEX(Curves!$C$50:$BV$50,BT$2-42+1))</f>
        <v/>
      </c>
      <c r="BU47" s="5">
        <f>$B47*(Eras!$AS$3*INDEX(Curves!$C$4:$BV$4,BU$2-42+1)+Eras!$AS$4*INDEX(Curves!$C$27:$BV$27,BU$2-42+1)+Eras!$AS$5*INDEX(Curves!$C$50:$BV$50,BU$2-42+1))</f>
        <v/>
      </c>
      <c r="BV47" s="5">
        <f>$B47*(Eras!$AS$3*INDEX(Curves!$C$4:$BV$4,BV$2-42+1)+Eras!$AS$4*INDEX(Curves!$C$27:$BV$27,BV$2-42+1)+Eras!$AS$5*INDEX(Curves!$C$50:$BV$50,BV$2-42+1))</f>
        <v/>
      </c>
    </row>
    <row r="48">
      <c r="A48" t="inlineStr">
        <is>
          <t>cohort 2028-08</t>
        </is>
      </c>
      <c r="B48" s="5">
        <f>INDEX(Adds!$C$13:$BV$13,44)</f>
        <v/>
      </c>
      <c r="AT48" s="5">
        <f>$B48*(Eras!$AT$3*INDEX(Curves!$C$4:$BV$4,AT$2-43+1)+Eras!$AT$4*INDEX(Curves!$C$27:$BV$27,AT$2-43+1)+Eras!$AT$5*INDEX(Curves!$C$50:$BV$50,AT$2-43+1))</f>
        <v/>
      </c>
      <c r="AU48" s="5">
        <f>$B48*(Eras!$AT$3*INDEX(Curves!$C$4:$BV$4,AU$2-43+1)+Eras!$AT$4*INDEX(Curves!$C$27:$BV$27,AU$2-43+1)+Eras!$AT$5*INDEX(Curves!$C$50:$BV$50,AU$2-43+1))</f>
        <v/>
      </c>
      <c r="AV48" s="5">
        <f>$B48*(Eras!$AT$3*INDEX(Curves!$C$4:$BV$4,AV$2-43+1)+Eras!$AT$4*INDEX(Curves!$C$27:$BV$27,AV$2-43+1)+Eras!$AT$5*INDEX(Curves!$C$50:$BV$50,AV$2-43+1))</f>
        <v/>
      </c>
      <c r="AW48" s="5">
        <f>$B48*(Eras!$AT$3*INDEX(Curves!$C$4:$BV$4,AW$2-43+1)+Eras!$AT$4*INDEX(Curves!$C$27:$BV$27,AW$2-43+1)+Eras!$AT$5*INDEX(Curves!$C$50:$BV$50,AW$2-43+1))</f>
        <v/>
      </c>
      <c r="AX48" s="5">
        <f>$B48*(Eras!$AT$3*INDEX(Curves!$C$4:$BV$4,AX$2-43+1)+Eras!$AT$4*INDEX(Curves!$C$27:$BV$27,AX$2-43+1)+Eras!$AT$5*INDEX(Curves!$C$50:$BV$50,AX$2-43+1))</f>
        <v/>
      </c>
      <c r="AY48" s="5">
        <f>$B48*(Eras!$AT$3*INDEX(Curves!$C$4:$BV$4,AY$2-43+1)+Eras!$AT$4*INDEX(Curves!$C$27:$BV$27,AY$2-43+1)+Eras!$AT$5*INDEX(Curves!$C$50:$BV$50,AY$2-43+1))</f>
        <v/>
      </c>
      <c r="AZ48" s="5">
        <f>$B48*(Eras!$AT$3*INDEX(Curves!$C$4:$BV$4,AZ$2-43+1)+Eras!$AT$4*INDEX(Curves!$C$27:$BV$27,AZ$2-43+1)+Eras!$AT$5*INDEX(Curves!$C$50:$BV$50,AZ$2-43+1))</f>
        <v/>
      </c>
      <c r="BA48" s="5">
        <f>$B48*(Eras!$AT$3*INDEX(Curves!$C$4:$BV$4,BA$2-43+1)+Eras!$AT$4*INDEX(Curves!$C$27:$BV$27,BA$2-43+1)+Eras!$AT$5*INDEX(Curves!$C$50:$BV$50,BA$2-43+1))</f>
        <v/>
      </c>
      <c r="BB48" s="5">
        <f>$B48*(Eras!$AT$3*INDEX(Curves!$C$4:$BV$4,BB$2-43+1)+Eras!$AT$4*INDEX(Curves!$C$27:$BV$27,BB$2-43+1)+Eras!$AT$5*INDEX(Curves!$C$50:$BV$50,BB$2-43+1))</f>
        <v/>
      </c>
      <c r="BC48" s="5">
        <f>$B48*(Eras!$AT$3*INDEX(Curves!$C$4:$BV$4,BC$2-43+1)+Eras!$AT$4*INDEX(Curves!$C$27:$BV$27,BC$2-43+1)+Eras!$AT$5*INDEX(Curves!$C$50:$BV$50,BC$2-43+1))</f>
        <v/>
      </c>
      <c r="BD48" s="5">
        <f>$B48*(Eras!$AT$3*INDEX(Curves!$C$4:$BV$4,BD$2-43+1)+Eras!$AT$4*INDEX(Curves!$C$27:$BV$27,BD$2-43+1)+Eras!$AT$5*INDEX(Curves!$C$50:$BV$50,BD$2-43+1))</f>
        <v/>
      </c>
      <c r="BE48" s="5">
        <f>$B48*(Eras!$AT$3*INDEX(Curves!$C$4:$BV$4,BE$2-43+1)+Eras!$AT$4*INDEX(Curves!$C$27:$BV$27,BE$2-43+1)+Eras!$AT$5*INDEX(Curves!$C$50:$BV$50,BE$2-43+1))</f>
        <v/>
      </c>
      <c r="BF48" s="5">
        <f>$B48*(Eras!$AT$3*INDEX(Curves!$C$4:$BV$4,BF$2-43+1)+Eras!$AT$4*INDEX(Curves!$C$27:$BV$27,BF$2-43+1)+Eras!$AT$5*INDEX(Curves!$C$50:$BV$50,BF$2-43+1))</f>
        <v/>
      </c>
      <c r="BG48" s="5">
        <f>$B48*(Eras!$AT$3*INDEX(Curves!$C$4:$BV$4,BG$2-43+1)+Eras!$AT$4*INDEX(Curves!$C$27:$BV$27,BG$2-43+1)+Eras!$AT$5*INDEX(Curves!$C$50:$BV$50,BG$2-43+1))</f>
        <v/>
      </c>
      <c r="BH48" s="5">
        <f>$B48*(Eras!$AT$3*INDEX(Curves!$C$4:$BV$4,BH$2-43+1)+Eras!$AT$4*INDEX(Curves!$C$27:$BV$27,BH$2-43+1)+Eras!$AT$5*INDEX(Curves!$C$50:$BV$50,BH$2-43+1))</f>
        <v/>
      </c>
      <c r="BI48" s="5">
        <f>$B48*(Eras!$AT$3*INDEX(Curves!$C$4:$BV$4,BI$2-43+1)+Eras!$AT$4*INDEX(Curves!$C$27:$BV$27,BI$2-43+1)+Eras!$AT$5*INDEX(Curves!$C$50:$BV$50,BI$2-43+1))</f>
        <v/>
      </c>
      <c r="BJ48" s="5">
        <f>$B48*(Eras!$AT$3*INDEX(Curves!$C$4:$BV$4,BJ$2-43+1)+Eras!$AT$4*INDEX(Curves!$C$27:$BV$27,BJ$2-43+1)+Eras!$AT$5*INDEX(Curves!$C$50:$BV$50,BJ$2-43+1))</f>
        <v/>
      </c>
      <c r="BK48" s="5">
        <f>$B48*(Eras!$AT$3*INDEX(Curves!$C$4:$BV$4,BK$2-43+1)+Eras!$AT$4*INDEX(Curves!$C$27:$BV$27,BK$2-43+1)+Eras!$AT$5*INDEX(Curves!$C$50:$BV$50,BK$2-43+1))</f>
        <v/>
      </c>
      <c r="BL48" s="5">
        <f>$B48*(Eras!$AT$3*INDEX(Curves!$C$4:$BV$4,BL$2-43+1)+Eras!$AT$4*INDEX(Curves!$C$27:$BV$27,BL$2-43+1)+Eras!$AT$5*INDEX(Curves!$C$50:$BV$50,BL$2-43+1))</f>
        <v/>
      </c>
      <c r="BM48" s="5">
        <f>$B48*(Eras!$AT$3*INDEX(Curves!$C$4:$BV$4,BM$2-43+1)+Eras!$AT$4*INDEX(Curves!$C$27:$BV$27,BM$2-43+1)+Eras!$AT$5*INDEX(Curves!$C$50:$BV$50,BM$2-43+1))</f>
        <v/>
      </c>
      <c r="BN48" s="5">
        <f>$B48*(Eras!$AT$3*INDEX(Curves!$C$4:$BV$4,BN$2-43+1)+Eras!$AT$4*INDEX(Curves!$C$27:$BV$27,BN$2-43+1)+Eras!$AT$5*INDEX(Curves!$C$50:$BV$50,BN$2-43+1))</f>
        <v/>
      </c>
      <c r="BO48" s="5">
        <f>$B48*(Eras!$AT$3*INDEX(Curves!$C$4:$BV$4,BO$2-43+1)+Eras!$AT$4*INDEX(Curves!$C$27:$BV$27,BO$2-43+1)+Eras!$AT$5*INDEX(Curves!$C$50:$BV$50,BO$2-43+1))</f>
        <v/>
      </c>
      <c r="BP48" s="5">
        <f>$B48*(Eras!$AT$3*INDEX(Curves!$C$4:$BV$4,BP$2-43+1)+Eras!$AT$4*INDEX(Curves!$C$27:$BV$27,BP$2-43+1)+Eras!$AT$5*INDEX(Curves!$C$50:$BV$50,BP$2-43+1))</f>
        <v/>
      </c>
      <c r="BQ48" s="5">
        <f>$B48*(Eras!$AT$3*INDEX(Curves!$C$4:$BV$4,BQ$2-43+1)+Eras!$AT$4*INDEX(Curves!$C$27:$BV$27,BQ$2-43+1)+Eras!$AT$5*INDEX(Curves!$C$50:$BV$50,BQ$2-43+1))</f>
        <v/>
      </c>
      <c r="BR48" s="5">
        <f>$B48*(Eras!$AT$3*INDEX(Curves!$C$4:$BV$4,BR$2-43+1)+Eras!$AT$4*INDEX(Curves!$C$27:$BV$27,BR$2-43+1)+Eras!$AT$5*INDEX(Curves!$C$50:$BV$50,BR$2-43+1))</f>
        <v/>
      </c>
      <c r="BS48" s="5">
        <f>$B48*(Eras!$AT$3*INDEX(Curves!$C$4:$BV$4,BS$2-43+1)+Eras!$AT$4*INDEX(Curves!$C$27:$BV$27,BS$2-43+1)+Eras!$AT$5*INDEX(Curves!$C$50:$BV$50,BS$2-43+1))</f>
        <v/>
      </c>
      <c r="BT48" s="5">
        <f>$B48*(Eras!$AT$3*INDEX(Curves!$C$4:$BV$4,BT$2-43+1)+Eras!$AT$4*INDEX(Curves!$C$27:$BV$27,BT$2-43+1)+Eras!$AT$5*INDEX(Curves!$C$50:$BV$50,BT$2-43+1))</f>
        <v/>
      </c>
      <c r="BU48" s="5">
        <f>$B48*(Eras!$AT$3*INDEX(Curves!$C$4:$BV$4,BU$2-43+1)+Eras!$AT$4*INDEX(Curves!$C$27:$BV$27,BU$2-43+1)+Eras!$AT$5*INDEX(Curves!$C$50:$BV$50,BU$2-43+1))</f>
        <v/>
      </c>
      <c r="BV48" s="5">
        <f>$B48*(Eras!$AT$3*INDEX(Curves!$C$4:$BV$4,BV$2-43+1)+Eras!$AT$4*INDEX(Curves!$C$27:$BV$27,BV$2-43+1)+Eras!$AT$5*INDEX(Curves!$C$50:$BV$50,BV$2-43+1))</f>
        <v/>
      </c>
    </row>
    <row r="49">
      <c r="A49" t="inlineStr">
        <is>
          <t>cohort 2028-09</t>
        </is>
      </c>
      <c r="B49" s="5">
        <f>INDEX(Adds!$C$13:$BV$13,45)</f>
        <v/>
      </c>
      <c r="AU49" s="5">
        <f>$B49*(Eras!$AU$3*INDEX(Curves!$C$4:$BV$4,AU$2-44+1)+Eras!$AU$4*INDEX(Curves!$C$27:$BV$27,AU$2-44+1)+Eras!$AU$5*INDEX(Curves!$C$50:$BV$50,AU$2-44+1))</f>
        <v/>
      </c>
      <c r="AV49" s="5">
        <f>$B49*(Eras!$AU$3*INDEX(Curves!$C$4:$BV$4,AV$2-44+1)+Eras!$AU$4*INDEX(Curves!$C$27:$BV$27,AV$2-44+1)+Eras!$AU$5*INDEX(Curves!$C$50:$BV$50,AV$2-44+1))</f>
        <v/>
      </c>
      <c r="AW49" s="5">
        <f>$B49*(Eras!$AU$3*INDEX(Curves!$C$4:$BV$4,AW$2-44+1)+Eras!$AU$4*INDEX(Curves!$C$27:$BV$27,AW$2-44+1)+Eras!$AU$5*INDEX(Curves!$C$50:$BV$50,AW$2-44+1))</f>
        <v/>
      </c>
      <c r="AX49" s="5">
        <f>$B49*(Eras!$AU$3*INDEX(Curves!$C$4:$BV$4,AX$2-44+1)+Eras!$AU$4*INDEX(Curves!$C$27:$BV$27,AX$2-44+1)+Eras!$AU$5*INDEX(Curves!$C$50:$BV$50,AX$2-44+1))</f>
        <v/>
      </c>
      <c r="AY49" s="5">
        <f>$B49*(Eras!$AU$3*INDEX(Curves!$C$4:$BV$4,AY$2-44+1)+Eras!$AU$4*INDEX(Curves!$C$27:$BV$27,AY$2-44+1)+Eras!$AU$5*INDEX(Curves!$C$50:$BV$50,AY$2-44+1))</f>
        <v/>
      </c>
      <c r="AZ49" s="5">
        <f>$B49*(Eras!$AU$3*INDEX(Curves!$C$4:$BV$4,AZ$2-44+1)+Eras!$AU$4*INDEX(Curves!$C$27:$BV$27,AZ$2-44+1)+Eras!$AU$5*INDEX(Curves!$C$50:$BV$50,AZ$2-44+1))</f>
        <v/>
      </c>
      <c r="BA49" s="5">
        <f>$B49*(Eras!$AU$3*INDEX(Curves!$C$4:$BV$4,BA$2-44+1)+Eras!$AU$4*INDEX(Curves!$C$27:$BV$27,BA$2-44+1)+Eras!$AU$5*INDEX(Curves!$C$50:$BV$50,BA$2-44+1))</f>
        <v/>
      </c>
      <c r="BB49" s="5">
        <f>$B49*(Eras!$AU$3*INDEX(Curves!$C$4:$BV$4,BB$2-44+1)+Eras!$AU$4*INDEX(Curves!$C$27:$BV$27,BB$2-44+1)+Eras!$AU$5*INDEX(Curves!$C$50:$BV$50,BB$2-44+1))</f>
        <v/>
      </c>
      <c r="BC49" s="5">
        <f>$B49*(Eras!$AU$3*INDEX(Curves!$C$4:$BV$4,BC$2-44+1)+Eras!$AU$4*INDEX(Curves!$C$27:$BV$27,BC$2-44+1)+Eras!$AU$5*INDEX(Curves!$C$50:$BV$50,BC$2-44+1))</f>
        <v/>
      </c>
      <c r="BD49" s="5">
        <f>$B49*(Eras!$AU$3*INDEX(Curves!$C$4:$BV$4,BD$2-44+1)+Eras!$AU$4*INDEX(Curves!$C$27:$BV$27,BD$2-44+1)+Eras!$AU$5*INDEX(Curves!$C$50:$BV$50,BD$2-44+1))</f>
        <v/>
      </c>
      <c r="BE49" s="5">
        <f>$B49*(Eras!$AU$3*INDEX(Curves!$C$4:$BV$4,BE$2-44+1)+Eras!$AU$4*INDEX(Curves!$C$27:$BV$27,BE$2-44+1)+Eras!$AU$5*INDEX(Curves!$C$50:$BV$50,BE$2-44+1))</f>
        <v/>
      </c>
      <c r="BF49" s="5">
        <f>$B49*(Eras!$AU$3*INDEX(Curves!$C$4:$BV$4,BF$2-44+1)+Eras!$AU$4*INDEX(Curves!$C$27:$BV$27,BF$2-44+1)+Eras!$AU$5*INDEX(Curves!$C$50:$BV$50,BF$2-44+1))</f>
        <v/>
      </c>
      <c r="BG49" s="5">
        <f>$B49*(Eras!$AU$3*INDEX(Curves!$C$4:$BV$4,BG$2-44+1)+Eras!$AU$4*INDEX(Curves!$C$27:$BV$27,BG$2-44+1)+Eras!$AU$5*INDEX(Curves!$C$50:$BV$50,BG$2-44+1))</f>
        <v/>
      </c>
      <c r="BH49" s="5">
        <f>$B49*(Eras!$AU$3*INDEX(Curves!$C$4:$BV$4,BH$2-44+1)+Eras!$AU$4*INDEX(Curves!$C$27:$BV$27,BH$2-44+1)+Eras!$AU$5*INDEX(Curves!$C$50:$BV$50,BH$2-44+1))</f>
        <v/>
      </c>
      <c r="BI49" s="5">
        <f>$B49*(Eras!$AU$3*INDEX(Curves!$C$4:$BV$4,BI$2-44+1)+Eras!$AU$4*INDEX(Curves!$C$27:$BV$27,BI$2-44+1)+Eras!$AU$5*INDEX(Curves!$C$50:$BV$50,BI$2-44+1))</f>
        <v/>
      </c>
      <c r="BJ49" s="5">
        <f>$B49*(Eras!$AU$3*INDEX(Curves!$C$4:$BV$4,BJ$2-44+1)+Eras!$AU$4*INDEX(Curves!$C$27:$BV$27,BJ$2-44+1)+Eras!$AU$5*INDEX(Curves!$C$50:$BV$50,BJ$2-44+1))</f>
        <v/>
      </c>
      <c r="BK49" s="5">
        <f>$B49*(Eras!$AU$3*INDEX(Curves!$C$4:$BV$4,BK$2-44+1)+Eras!$AU$4*INDEX(Curves!$C$27:$BV$27,BK$2-44+1)+Eras!$AU$5*INDEX(Curves!$C$50:$BV$50,BK$2-44+1))</f>
        <v/>
      </c>
      <c r="BL49" s="5">
        <f>$B49*(Eras!$AU$3*INDEX(Curves!$C$4:$BV$4,BL$2-44+1)+Eras!$AU$4*INDEX(Curves!$C$27:$BV$27,BL$2-44+1)+Eras!$AU$5*INDEX(Curves!$C$50:$BV$50,BL$2-44+1))</f>
        <v/>
      </c>
      <c r="BM49" s="5">
        <f>$B49*(Eras!$AU$3*INDEX(Curves!$C$4:$BV$4,BM$2-44+1)+Eras!$AU$4*INDEX(Curves!$C$27:$BV$27,BM$2-44+1)+Eras!$AU$5*INDEX(Curves!$C$50:$BV$50,BM$2-44+1))</f>
        <v/>
      </c>
      <c r="BN49" s="5">
        <f>$B49*(Eras!$AU$3*INDEX(Curves!$C$4:$BV$4,BN$2-44+1)+Eras!$AU$4*INDEX(Curves!$C$27:$BV$27,BN$2-44+1)+Eras!$AU$5*INDEX(Curves!$C$50:$BV$50,BN$2-44+1))</f>
        <v/>
      </c>
      <c r="BO49" s="5">
        <f>$B49*(Eras!$AU$3*INDEX(Curves!$C$4:$BV$4,BO$2-44+1)+Eras!$AU$4*INDEX(Curves!$C$27:$BV$27,BO$2-44+1)+Eras!$AU$5*INDEX(Curves!$C$50:$BV$50,BO$2-44+1))</f>
        <v/>
      </c>
      <c r="BP49" s="5">
        <f>$B49*(Eras!$AU$3*INDEX(Curves!$C$4:$BV$4,BP$2-44+1)+Eras!$AU$4*INDEX(Curves!$C$27:$BV$27,BP$2-44+1)+Eras!$AU$5*INDEX(Curves!$C$50:$BV$50,BP$2-44+1))</f>
        <v/>
      </c>
      <c r="BQ49" s="5">
        <f>$B49*(Eras!$AU$3*INDEX(Curves!$C$4:$BV$4,BQ$2-44+1)+Eras!$AU$4*INDEX(Curves!$C$27:$BV$27,BQ$2-44+1)+Eras!$AU$5*INDEX(Curves!$C$50:$BV$50,BQ$2-44+1))</f>
        <v/>
      </c>
      <c r="BR49" s="5">
        <f>$B49*(Eras!$AU$3*INDEX(Curves!$C$4:$BV$4,BR$2-44+1)+Eras!$AU$4*INDEX(Curves!$C$27:$BV$27,BR$2-44+1)+Eras!$AU$5*INDEX(Curves!$C$50:$BV$50,BR$2-44+1))</f>
        <v/>
      </c>
      <c r="BS49" s="5">
        <f>$B49*(Eras!$AU$3*INDEX(Curves!$C$4:$BV$4,BS$2-44+1)+Eras!$AU$4*INDEX(Curves!$C$27:$BV$27,BS$2-44+1)+Eras!$AU$5*INDEX(Curves!$C$50:$BV$50,BS$2-44+1))</f>
        <v/>
      </c>
      <c r="BT49" s="5">
        <f>$B49*(Eras!$AU$3*INDEX(Curves!$C$4:$BV$4,BT$2-44+1)+Eras!$AU$4*INDEX(Curves!$C$27:$BV$27,BT$2-44+1)+Eras!$AU$5*INDEX(Curves!$C$50:$BV$50,BT$2-44+1))</f>
        <v/>
      </c>
      <c r="BU49" s="5">
        <f>$B49*(Eras!$AU$3*INDEX(Curves!$C$4:$BV$4,BU$2-44+1)+Eras!$AU$4*INDEX(Curves!$C$27:$BV$27,BU$2-44+1)+Eras!$AU$5*INDEX(Curves!$C$50:$BV$50,BU$2-44+1))</f>
        <v/>
      </c>
      <c r="BV49" s="5">
        <f>$B49*(Eras!$AU$3*INDEX(Curves!$C$4:$BV$4,BV$2-44+1)+Eras!$AU$4*INDEX(Curves!$C$27:$BV$27,BV$2-44+1)+Eras!$AU$5*INDEX(Curves!$C$50:$BV$50,BV$2-44+1))</f>
        <v/>
      </c>
    </row>
    <row r="50">
      <c r="A50" t="inlineStr">
        <is>
          <t>cohort 2028-10</t>
        </is>
      </c>
      <c r="B50" s="5">
        <f>INDEX(Adds!$C$13:$BV$13,46)</f>
        <v/>
      </c>
      <c r="AV50" s="5">
        <f>$B50*(Eras!$AV$3*INDEX(Curves!$C$4:$BV$4,AV$2-45+1)+Eras!$AV$4*INDEX(Curves!$C$27:$BV$27,AV$2-45+1)+Eras!$AV$5*INDEX(Curves!$C$50:$BV$50,AV$2-45+1))</f>
        <v/>
      </c>
      <c r="AW50" s="5">
        <f>$B50*(Eras!$AV$3*INDEX(Curves!$C$4:$BV$4,AW$2-45+1)+Eras!$AV$4*INDEX(Curves!$C$27:$BV$27,AW$2-45+1)+Eras!$AV$5*INDEX(Curves!$C$50:$BV$50,AW$2-45+1))</f>
        <v/>
      </c>
      <c r="AX50" s="5">
        <f>$B50*(Eras!$AV$3*INDEX(Curves!$C$4:$BV$4,AX$2-45+1)+Eras!$AV$4*INDEX(Curves!$C$27:$BV$27,AX$2-45+1)+Eras!$AV$5*INDEX(Curves!$C$50:$BV$50,AX$2-45+1))</f>
        <v/>
      </c>
      <c r="AY50" s="5">
        <f>$B50*(Eras!$AV$3*INDEX(Curves!$C$4:$BV$4,AY$2-45+1)+Eras!$AV$4*INDEX(Curves!$C$27:$BV$27,AY$2-45+1)+Eras!$AV$5*INDEX(Curves!$C$50:$BV$50,AY$2-45+1))</f>
        <v/>
      </c>
      <c r="AZ50" s="5">
        <f>$B50*(Eras!$AV$3*INDEX(Curves!$C$4:$BV$4,AZ$2-45+1)+Eras!$AV$4*INDEX(Curves!$C$27:$BV$27,AZ$2-45+1)+Eras!$AV$5*INDEX(Curves!$C$50:$BV$50,AZ$2-45+1))</f>
        <v/>
      </c>
      <c r="BA50" s="5">
        <f>$B50*(Eras!$AV$3*INDEX(Curves!$C$4:$BV$4,BA$2-45+1)+Eras!$AV$4*INDEX(Curves!$C$27:$BV$27,BA$2-45+1)+Eras!$AV$5*INDEX(Curves!$C$50:$BV$50,BA$2-45+1))</f>
        <v/>
      </c>
      <c r="BB50" s="5">
        <f>$B50*(Eras!$AV$3*INDEX(Curves!$C$4:$BV$4,BB$2-45+1)+Eras!$AV$4*INDEX(Curves!$C$27:$BV$27,BB$2-45+1)+Eras!$AV$5*INDEX(Curves!$C$50:$BV$50,BB$2-45+1))</f>
        <v/>
      </c>
      <c r="BC50" s="5">
        <f>$B50*(Eras!$AV$3*INDEX(Curves!$C$4:$BV$4,BC$2-45+1)+Eras!$AV$4*INDEX(Curves!$C$27:$BV$27,BC$2-45+1)+Eras!$AV$5*INDEX(Curves!$C$50:$BV$50,BC$2-45+1))</f>
        <v/>
      </c>
      <c r="BD50" s="5">
        <f>$B50*(Eras!$AV$3*INDEX(Curves!$C$4:$BV$4,BD$2-45+1)+Eras!$AV$4*INDEX(Curves!$C$27:$BV$27,BD$2-45+1)+Eras!$AV$5*INDEX(Curves!$C$50:$BV$50,BD$2-45+1))</f>
        <v/>
      </c>
      <c r="BE50" s="5">
        <f>$B50*(Eras!$AV$3*INDEX(Curves!$C$4:$BV$4,BE$2-45+1)+Eras!$AV$4*INDEX(Curves!$C$27:$BV$27,BE$2-45+1)+Eras!$AV$5*INDEX(Curves!$C$50:$BV$50,BE$2-45+1))</f>
        <v/>
      </c>
      <c r="BF50" s="5">
        <f>$B50*(Eras!$AV$3*INDEX(Curves!$C$4:$BV$4,BF$2-45+1)+Eras!$AV$4*INDEX(Curves!$C$27:$BV$27,BF$2-45+1)+Eras!$AV$5*INDEX(Curves!$C$50:$BV$50,BF$2-45+1))</f>
        <v/>
      </c>
      <c r="BG50" s="5">
        <f>$B50*(Eras!$AV$3*INDEX(Curves!$C$4:$BV$4,BG$2-45+1)+Eras!$AV$4*INDEX(Curves!$C$27:$BV$27,BG$2-45+1)+Eras!$AV$5*INDEX(Curves!$C$50:$BV$50,BG$2-45+1))</f>
        <v/>
      </c>
      <c r="BH50" s="5">
        <f>$B50*(Eras!$AV$3*INDEX(Curves!$C$4:$BV$4,BH$2-45+1)+Eras!$AV$4*INDEX(Curves!$C$27:$BV$27,BH$2-45+1)+Eras!$AV$5*INDEX(Curves!$C$50:$BV$50,BH$2-45+1))</f>
        <v/>
      </c>
      <c r="BI50" s="5">
        <f>$B50*(Eras!$AV$3*INDEX(Curves!$C$4:$BV$4,BI$2-45+1)+Eras!$AV$4*INDEX(Curves!$C$27:$BV$27,BI$2-45+1)+Eras!$AV$5*INDEX(Curves!$C$50:$BV$50,BI$2-45+1))</f>
        <v/>
      </c>
      <c r="BJ50" s="5">
        <f>$B50*(Eras!$AV$3*INDEX(Curves!$C$4:$BV$4,BJ$2-45+1)+Eras!$AV$4*INDEX(Curves!$C$27:$BV$27,BJ$2-45+1)+Eras!$AV$5*INDEX(Curves!$C$50:$BV$50,BJ$2-45+1))</f>
        <v/>
      </c>
      <c r="BK50" s="5">
        <f>$B50*(Eras!$AV$3*INDEX(Curves!$C$4:$BV$4,BK$2-45+1)+Eras!$AV$4*INDEX(Curves!$C$27:$BV$27,BK$2-45+1)+Eras!$AV$5*INDEX(Curves!$C$50:$BV$50,BK$2-45+1))</f>
        <v/>
      </c>
      <c r="BL50" s="5">
        <f>$B50*(Eras!$AV$3*INDEX(Curves!$C$4:$BV$4,BL$2-45+1)+Eras!$AV$4*INDEX(Curves!$C$27:$BV$27,BL$2-45+1)+Eras!$AV$5*INDEX(Curves!$C$50:$BV$50,BL$2-45+1))</f>
        <v/>
      </c>
      <c r="BM50" s="5">
        <f>$B50*(Eras!$AV$3*INDEX(Curves!$C$4:$BV$4,BM$2-45+1)+Eras!$AV$4*INDEX(Curves!$C$27:$BV$27,BM$2-45+1)+Eras!$AV$5*INDEX(Curves!$C$50:$BV$50,BM$2-45+1))</f>
        <v/>
      </c>
      <c r="BN50" s="5">
        <f>$B50*(Eras!$AV$3*INDEX(Curves!$C$4:$BV$4,BN$2-45+1)+Eras!$AV$4*INDEX(Curves!$C$27:$BV$27,BN$2-45+1)+Eras!$AV$5*INDEX(Curves!$C$50:$BV$50,BN$2-45+1))</f>
        <v/>
      </c>
      <c r="BO50" s="5">
        <f>$B50*(Eras!$AV$3*INDEX(Curves!$C$4:$BV$4,BO$2-45+1)+Eras!$AV$4*INDEX(Curves!$C$27:$BV$27,BO$2-45+1)+Eras!$AV$5*INDEX(Curves!$C$50:$BV$50,BO$2-45+1))</f>
        <v/>
      </c>
      <c r="BP50" s="5">
        <f>$B50*(Eras!$AV$3*INDEX(Curves!$C$4:$BV$4,BP$2-45+1)+Eras!$AV$4*INDEX(Curves!$C$27:$BV$27,BP$2-45+1)+Eras!$AV$5*INDEX(Curves!$C$50:$BV$50,BP$2-45+1))</f>
        <v/>
      </c>
      <c r="BQ50" s="5">
        <f>$B50*(Eras!$AV$3*INDEX(Curves!$C$4:$BV$4,BQ$2-45+1)+Eras!$AV$4*INDEX(Curves!$C$27:$BV$27,BQ$2-45+1)+Eras!$AV$5*INDEX(Curves!$C$50:$BV$50,BQ$2-45+1))</f>
        <v/>
      </c>
      <c r="BR50" s="5">
        <f>$B50*(Eras!$AV$3*INDEX(Curves!$C$4:$BV$4,BR$2-45+1)+Eras!$AV$4*INDEX(Curves!$C$27:$BV$27,BR$2-45+1)+Eras!$AV$5*INDEX(Curves!$C$50:$BV$50,BR$2-45+1))</f>
        <v/>
      </c>
      <c r="BS50" s="5">
        <f>$B50*(Eras!$AV$3*INDEX(Curves!$C$4:$BV$4,BS$2-45+1)+Eras!$AV$4*INDEX(Curves!$C$27:$BV$27,BS$2-45+1)+Eras!$AV$5*INDEX(Curves!$C$50:$BV$50,BS$2-45+1))</f>
        <v/>
      </c>
      <c r="BT50" s="5">
        <f>$B50*(Eras!$AV$3*INDEX(Curves!$C$4:$BV$4,BT$2-45+1)+Eras!$AV$4*INDEX(Curves!$C$27:$BV$27,BT$2-45+1)+Eras!$AV$5*INDEX(Curves!$C$50:$BV$50,BT$2-45+1))</f>
        <v/>
      </c>
      <c r="BU50" s="5">
        <f>$B50*(Eras!$AV$3*INDEX(Curves!$C$4:$BV$4,BU$2-45+1)+Eras!$AV$4*INDEX(Curves!$C$27:$BV$27,BU$2-45+1)+Eras!$AV$5*INDEX(Curves!$C$50:$BV$50,BU$2-45+1))</f>
        <v/>
      </c>
      <c r="BV50" s="5">
        <f>$B50*(Eras!$AV$3*INDEX(Curves!$C$4:$BV$4,BV$2-45+1)+Eras!$AV$4*INDEX(Curves!$C$27:$BV$27,BV$2-45+1)+Eras!$AV$5*INDEX(Curves!$C$50:$BV$50,BV$2-45+1))</f>
        <v/>
      </c>
    </row>
    <row r="51">
      <c r="A51" t="inlineStr">
        <is>
          <t>cohort 2028-11</t>
        </is>
      </c>
      <c r="B51" s="5">
        <f>INDEX(Adds!$C$13:$BV$13,47)</f>
        <v/>
      </c>
      <c r="AW51" s="5">
        <f>$B51*(Eras!$AW$3*INDEX(Curves!$C$4:$BV$4,AW$2-46+1)+Eras!$AW$4*INDEX(Curves!$C$27:$BV$27,AW$2-46+1)+Eras!$AW$5*INDEX(Curves!$C$50:$BV$50,AW$2-46+1))</f>
        <v/>
      </c>
      <c r="AX51" s="5">
        <f>$B51*(Eras!$AW$3*INDEX(Curves!$C$4:$BV$4,AX$2-46+1)+Eras!$AW$4*INDEX(Curves!$C$27:$BV$27,AX$2-46+1)+Eras!$AW$5*INDEX(Curves!$C$50:$BV$50,AX$2-46+1))</f>
        <v/>
      </c>
      <c r="AY51" s="5">
        <f>$B51*(Eras!$AW$3*INDEX(Curves!$C$4:$BV$4,AY$2-46+1)+Eras!$AW$4*INDEX(Curves!$C$27:$BV$27,AY$2-46+1)+Eras!$AW$5*INDEX(Curves!$C$50:$BV$50,AY$2-46+1))</f>
        <v/>
      </c>
      <c r="AZ51" s="5">
        <f>$B51*(Eras!$AW$3*INDEX(Curves!$C$4:$BV$4,AZ$2-46+1)+Eras!$AW$4*INDEX(Curves!$C$27:$BV$27,AZ$2-46+1)+Eras!$AW$5*INDEX(Curves!$C$50:$BV$50,AZ$2-46+1))</f>
        <v/>
      </c>
      <c r="BA51" s="5">
        <f>$B51*(Eras!$AW$3*INDEX(Curves!$C$4:$BV$4,BA$2-46+1)+Eras!$AW$4*INDEX(Curves!$C$27:$BV$27,BA$2-46+1)+Eras!$AW$5*INDEX(Curves!$C$50:$BV$50,BA$2-46+1))</f>
        <v/>
      </c>
      <c r="BB51" s="5">
        <f>$B51*(Eras!$AW$3*INDEX(Curves!$C$4:$BV$4,BB$2-46+1)+Eras!$AW$4*INDEX(Curves!$C$27:$BV$27,BB$2-46+1)+Eras!$AW$5*INDEX(Curves!$C$50:$BV$50,BB$2-46+1))</f>
        <v/>
      </c>
      <c r="BC51" s="5">
        <f>$B51*(Eras!$AW$3*INDEX(Curves!$C$4:$BV$4,BC$2-46+1)+Eras!$AW$4*INDEX(Curves!$C$27:$BV$27,BC$2-46+1)+Eras!$AW$5*INDEX(Curves!$C$50:$BV$50,BC$2-46+1))</f>
        <v/>
      </c>
      <c r="BD51" s="5">
        <f>$B51*(Eras!$AW$3*INDEX(Curves!$C$4:$BV$4,BD$2-46+1)+Eras!$AW$4*INDEX(Curves!$C$27:$BV$27,BD$2-46+1)+Eras!$AW$5*INDEX(Curves!$C$50:$BV$50,BD$2-46+1))</f>
        <v/>
      </c>
      <c r="BE51" s="5">
        <f>$B51*(Eras!$AW$3*INDEX(Curves!$C$4:$BV$4,BE$2-46+1)+Eras!$AW$4*INDEX(Curves!$C$27:$BV$27,BE$2-46+1)+Eras!$AW$5*INDEX(Curves!$C$50:$BV$50,BE$2-46+1))</f>
        <v/>
      </c>
      <c r="BF51" s="5">
        <f>$B51*(Eras!$AW$3*INDEX(Curves!$C$4:$BV$4,BF$2-46+1)+Eras!$AW$4*INDEX(Curves!$C$27:$BV$27,BF$2-46+1)+Eras!$AW$5*INDEX(Curves!$C$50:$BV$50,BF$2-46+1))</f>
        <v/>
      </c>
      <c r="BG51" s="5">
        <f>$B51*(Eras!$AW$3*INDEX(Curves!$C$4:$BV$4,BG$2-46+1)+Eras!$AW$4*INDEX(Curves!$C$27:$BV$27,BG$2-46+1)+Eras!$AW$5*INDEX(Curves!$C$50:$BV$50,BG$2-46+1))</f>
        <v/>
      </c>
      <c r="BH51" s="5">
        <f>$B51*(Eras!$AW$3*INDEX(Curves!$C$4:$BV$4,BH$2-46+1)+Eras!$AW$4*INDEX(Curves!$C$27:$BV$27,BH$2-46+1)+Eras!$AW$5*INDEX(Curves!$C$50:$BV$50,BH$2-46+1))</f>
        <v/>
      </c>
      <c r="BI51" s="5">
        <f>$B51*(Eras!$AW$3*INDEX(Curves!$C$4:$BV$4,BI$2-46+1)+Eras!$AW$4*INDEX(Curves!$C$27:$BV$27,BI$2-46+1)+Eras!$AW$5*INDEX(Curves!$C$50:$BV$50,BI$2-46+1))</f>
        <v/>
      </c>
      <c r="BJ51" s="5">
        <f>$B51*(Eras!$AW$3*INDEX(Curves!$C$4:$BV$4,BJ$2-46+1)+Eras!$AW$4*INDEX(Curves!$C$27:$BV$27,BJ$2-46+1)+Eras!$AW$5*INDEX(Curves!$C$50:$BV$50,BJ$2-46+1))</f>
        <v/>
      </c>
      <c r="BK51" s="5">
        <f>$B51*(Eras!$AW$3*INDEX(Curves!$C$4:$BV$4,BK$2-46+1)+Eras!$AW$4*INDEX(Curves!$C$27:$BV$27,BK$2-46+1)+Eras!$AW$5*INDEX(Curves!$C$50:$BV$50,BK$2-46+1))</f>
        <v/>
      </c>
      <c r="BL51" s="5">
        <f>$B51*(Eras!$AW$3*INDEX(Curves!$C$4:$BV$4,BL$2-46+1)+Eras!$AW$4*INDEX(Curves!$C$27:$BV$27,BL$2-46+1)+Eras!$AW$5*INDEX(Curves!$C$50:$BV$50,BL$2-46+1))</f>
        <v/>
      </c>
      <c r="BM51" s="5">
        <f>$B51*(Eras!$AW$3*INDEX(Curves!$C$4:$BV$4,BM$2-46+1)+Eras!$AW$4*INDEX(Curves!$C$27:$BV$27,BM$2-46+1)+Eras!$AW$5*INDEX(Curves!$C$50:$BV$50,BM$2-46+1))</f>
        <v/>
      </c>
      <c r="BN51" s="5">
        <f>$B51*(Eras!$AW$3*INDEX(Curves!$C$4:$BV$4,BN$2-46+1)+Eras!$AW$4*INDEX(Curves!$C$27:$BV$27,BN$2-46+1)+Eras!$AW$5*INDEX(Curves!$C$50:$BV$50,BN$2-46+1))</f>
        <v/>
      </c>
      <c r="BO51" s="5">
        <f>$B51*(Eras!$AW$3*INDEX(Curves!$C$4:$BV$4,BO$2-46+1)+Eras!$AW$4*INDEX(Curves!$C$27:$BV$27,BO$2-46+1)+Eras!$AW$5*INDEX(Curves!$C$50:$BV$50,BO$2-46+1))</f>
        <v/>
      </c>
      <c r="BP51" s="5">
        <f>$B51*(Eras!$AW$3*INDEX(Curves!$C$4:$BV$4,BP$2-46+1)+Eras!$AW$4*INDEX(Curves!$C$27:$BV$27,BP$2-46+1)+Eras!$AW$5*INDEX(Curves!$C$50:$BV$50,BP$2-46+1))</f>
        <v/>
      </c>
      <c r="BQ51" s="5">
        <f>$B51*(Eras!$AW$3*INDEX(Curves!$C$4:$BV$4,BQ$2-46+1)+Eras!$AW$4*INDEX(Curves!$C$27:$BV$27,BQ$2-46+1)+Eras!$AW$5*INDEX(Curves!$C$50:$BV$50,BQ$2-46+1))</f>
        <v/>
      </c>
      <c r="BR51" s="5">
        <f>$B51*(Eras!$AW$3*INDEX(Curves!$C$4:$BV$4,BR$2-46+1)+Eras!$AW$4*INDEX(Curves!$C$27:$BV$27,BR$2-46+1)+Eras!$AW$5*INDEX(Curves!$C$50:$BV$50,BR$2-46+1))</f>
        <v/>
      </c>
      <c r="BS51" s="5">
        <f>$B51*(Eras!$AW$3*INDEX(Curves!$C$4:$BV$4,BS$2-46+1)+Eras!$AW$4*INDEX(Curves!$C$27:$BV$27,BS$2-46+1)+Eras!$AW$5*INDEX(Curves!$C$50:$BV$50,BS$2-46+1))</f>
        <v/>
      </c>
      <c r="BT51" s="5">
        <f>$B51*(Eras!$AW$3*INDEX(Curves!$C$4:$BV$4,BT$2-46+1)+Eras!$AW$4*INDEX(Curves!$C$27:$BV$27,BT$2-46+1)+Eras!$AW$5*INDEX(Curves!$C$50:$BV$50,BT$2-46+1))</f>
        <v/>
      </c>
      <c r="BU51" s="5">
        <f>$B51*(Eras!$AW$3*INDEX(Curves!$C$4:$BV$4,BU$2-46+1)+Eras!$AW$4*INDEX(Curves!$C$27:$BV$27,BU$2-46+1)+Eras!$AW$5*INDEX(Curves!$C$50:$BV$50,BU$2-46+1))</f>
        <v/>
      </c>
      <c r="BV51" s="5">
        <f>$B51*(Eras!$AW$3*INDEX(Curves!$C$4:$BV$4,BV$2-46+1)+Eras!$AW$4*INDEX(Curves!$C$27:$BV$27,BV$2-46+1)+Eras!$AW$5*INDEX(Curves!$C$50:$BV$50,BV$2-46+1))</f>
        <v/>
      </c>
    </row>
    <row r="52">
      <c r="A52" t="inlineStr">
        <is>
          <t>cohort 2028-12</t>
        </is>
      </c>
      <c r="B52" s="5">
        <f>INDEX(Adds!$C$13:$BV$13,48)</f>
        <v/>
      </c>
      <c r="AX52" s="5">
        <f>$B52*(Eras!$AX$3*INDEX(Curves!$C$4:$BV$4,AX$2-47+1)+Eras!$AX$4*INDEX(Curves!$C$27:$BV$27,AX$2-47+1)+Eras!$AX$5*INDEX(Curves!$C$50:$BV$50,AX$2-47+1))</f>
        <v/>
      </c>
      <c r="AY52" s="5">
        <f>$B52*(Eras!$AX$3*INDEX(Curves!$C$4:$BV$4,AY$2-47+1)+Eras!$AX$4*INDEX(Curves!$C$27:$BV$27,AY$2-47+1)+Eras!$AX$5*INDEX(Curves!$C$50:$BV$50,AY$2-47+1))</f>
        <v/>
      </c>
      <c r="AZ52" s="5">
        <f>$B52*(Eras!$AX$3*INDEX(Curves!$C$4:$BV$4,AZ$2-47+1)+Eras!$AX$4*INDEX(Curves!$C$27:$BV$27,AZ$2-47+1)+Eras!$AX$5*INDEX(Curves!$C$50:$BV$50,AZ$2-47+1))</f>
        <v/>
      </c>
      <c r="BA52" s="5">
        <f>$B52*(Eras!$AX$3*INDEX(Curves!$C$4:$BV$4,BA$2-47+1)+Eras!$AX$4*INDEX(Curves!$C$27:$BV$27,BA$2-47+1)+Eras!$AX$5*INDEX(Curves!$C$50:$BV$50,BA$2-47+1))</f>
        <v/>
      </c>
      <c r="BB52" s="5">
        <f>$B52*(Eras!$AX$3*INDEX(Curves!$C$4:$BV$4,BB$2-47+1)+Eras!$AX$4*INDEX(Curves!$C$27:$BV$27,BB$2-47+1)+Eras!$AX$5*INDEX(Curves!$C$50:$BV$50,BB$2-47+1))</f>
        <v/>
      </c>
      <c r="BC52" s="5">
        <f>$B52*(Eras!$AX$3*INDEX(Curves!$C$4:$BV$4,BC$2-47+1)+Eras!$AX$4*INDEX(Curves!$C$27:$BV$27,BC$2-47+1)+Eras!$AX$5*INDEX(Curves!$C$50:$BV$50,BC$2-47+1))</f>
        <v/>
      </c>
      <c r="BD52" s="5">
        <f>$B52*(Eras!$AX$3*INDEX(Curves!$C$4:$BV$4,BD$2-47+1)+Eras!$AX$4*INDEX(Curves!$C$27:$BV$27,BD$2-47+1)+Eras!$AX$5*INDEX(Curves!$C$50:$BV$50,BD$2-47+1))</f>
        <v/>
      </c>
      <c r="BE52" s="5">
        <f>$B52*(Eras!$AX$3*INDEX(Curves!$C$4:$BV$4,BE$2-47+1)+Eras!$AX$4*INDEX(Curves!$C$27:$BV$27,BE$2-47+1)+Eras!$AX$5*INDEX(Curves!$C$50:$BV$50,BE$2-47+1))</f>
        <v/>
      </c>
      <c r="BF52" s="5">
        <f>$B52*(Eras!$AX$3*INDEX(Curves!$C$4:$BV$4,BF$2-47+1)+Eras!$AX$4*INDEX(Curves!$C$27:$BV$27,BF$2-47+1)+Eras!$AX$5*INDEX(Curves!$C$50:$BV$50,BF$2-47+1))</f>
        <v/>
      </c>
      <c r="BG52" s="5">
        <f>$B52*(Eras!$AX$3*INDEX(Curves!$C$4:$BV$4,BG$2-47+1)+Eras!$AX$4*INDEX(Curves!$C$27:$BV$27,BG$2-47+1)+Eras!$AX$5*INDEX(Curves!$C$50:$BV$50,BG$2-47+1))</f>
        <v/>
      </c>
      <c r="BH52" s="5">
        <f>$B52*(Eras!$AX$3*INDEX(Curves!$C$4:$BV$4,BH$2-47+1)+Eras!$AX$4*INDEX(Curves!$C$27:$BV$27,BH$2-47+1)+Eras!$AX$5*INDEX(Curves!$C$50:$BV$50,BH$2-47+1))</f>
        <v/>
      </c>
      <c r="BI52" s="5">
        <f>$B52*(Eras!$AX$3*INDEX(Curves!$C$4:$BV$4,BI$2-47+1)+Eras!$AX$4*INDEX(Curves!$C$27:$BV$27,BI$2-47+1)+Eras!$AX$5*INDEX(Curves!$C$50:$BV$50,BI$2-47+1))</f>
        <v/>
      </c>
      <c r="BJ52" s="5">
        <f>$B52*(Eras!$AX$3*INDEX(Curves!$C$4:$BV$4,BJ$2-47+1)+Eras!$AX$4*INDEX(Curves!$C$27:$BV$27,BJ$2-47+1)+Eras!$AX$5*INDEX(Curves!$C$50:$BV$50,BJ$2-47+1))</f>
        <v/>
      </c>
      <c r="BK52" s="5">
        <f>$B52*(Eras!$AX$3*INDEX(Curves!$C$4:$BV$4,BK$2-47+1)+Eras!$AX$4*INDEX(Curves!$C$27:$BV$27,BK$2-47+1)+Eras!$AX$5*INDEX(Curves!$C$50:$BV$50,BK$2-47+1))</f>
        <v/>
      </c>
      <c r="BL52" s="5">
        <f>$B52*(Eras!$AX$3*INDEX(Curves!$C$4:$BV$4,BL$2-47+1)+Eras!$AX$4*INDEX(Curves!$C$27:$BV$27,BL$2-47+1)+Eras!$AX$5*INDEX(Curves!$C$50:$BV$50,BL$2-47+1))</f>
        <v/>
      </c>
      <c r="BM52" s="5">
        <f>$B52*(Eras!$AX$3*INDEX(Curves!$C$4:$BV$4,BM$2-47+1)+Eras!$AX$4*INDEX(Curves!$C$27:$BV$27,BM$2-47+1)+Eras!$AX$5*INDEX(Curves!$C$50:$BV$50,BM$2-47+1))</f>
        <v/>
      </c>
      <c r="BN52" s="5">
        <f>$B52*(Eras!$AX$3*INDEX(Curves!$C$4:$BV$4,BN$2-47+1)+Eras!$AX$4*INDEX(Curves!$C$27:$BV$27,BN$2-47+1)+Eras!$AX$5*INDEX(Curves!$C$50:$BV$50,BN$2-47+1))</f>
        <v/>
      </c>
      <c r="BO52" s="5">
        <f>$B52*(Eras!$AX$3*INDEX(Curves!$C$4:$BV$4,BO$2-47+1)+Eras!$AX$4*INDEX(Curves!$C$27:$BV$27,BO$2-47+1)+Eras!$AX$5*INDEX(Curves!$C$50:$BV$50,BO$2-47+1))</f>
        <v/>
      </c>
      <c r="BP52" s="5">
        <f>$B52*(Eras!$AX$3*INDEX(Curves!$C$4:$BV$4,BP$2-47+1)+Eras!$AX$4*INDEX(Curves!$C$27:$BV$27,BP$2-47+1)+Eras!$AX$5*INDEX(Curves!$C$50:$BV$50,BP$2-47+1))</f>
        <v/>
      </c>
      <c r="BQ52" s="5">
        <f>$B52*(Eras!$AX$3*INDEX(Curves!$C$4:$BV$4,BQ$2-47+1)+Eras!$AX$4*INDEX(Curves!$C$27:$BV$27,BQ$2-47+1)+Eras!$AX$5*INDEX(Curves!$C$50:$BV$50,BQ$2-47+1))</f>
        <v/>
      </c>
      <c r="BR52" s="5">
        <f>$B52*(Eras!$AX$3*INDEX(Curves!$C$4:$BV$4,BR$2-47+1)+Eras!$AX$4*INDEX(Curves!$C$27:$BV$27,BR$2-47+1)+Eras!$AX$5*INDEX(Curves!$C$50:$BV$50,BR$2-47+1))</f>
        <v/>
      </c>
      <c r="BS52" s="5">
        <f>$B52*(Eras!$AX$3*INDEX(Curves!$C$4:$BV$4,BS$2-47+1)+Eras!$AX$4*INDEX(Curves!$C$27:$BV$27,BS$2-47+1)+Eras!$AX$5*INDEX(Curves!$C$50:$BV$50,BS$2-47+1))</f>
        <v/>
      </c>
      <c r="BT52" s="5">
        <f>$B52*(Eras!$AX$3*INDEX(Curves!$C$4:$BV$4,BT$2-47+1)+Eras!$AX$4*INDEX(Curves!$C$27:$BV$27,BT$2-47+1)+Eras!$AX$5*INDEX(Curves!$C$50:$BV$50,BT$2-47+1))</f>
        <v/>
      </c>
      <c r="BU52" s="5">
        <f>$B52*(Eras!$AX$3*INDEX(Curves!$C$4:$BV$4,BU$2-47+1)+Eras!$AX$4*INDEX(Curves!$C$27:$BV$27,BU$2-47+1)+Eras!$AX$5*INDEX(Curves!$C$50:$BV$50,BU$2-47+1))</f>
        <v/>
      </c>
      <c r="BV52" s="5">
        <f>$B52*(Eras!$AX$3*INDEX(Curves!$C$4:$BV$4,BV$2-47+1)+Eras!$AX$4*INDEX(Curves!$C$27:$BV$27,BV$2-47+1)+Eras!$AX$5*INDEX(Curves!$C$50:$BV$50,BV$2-47+1))</f>
        <v/>
      </c>
    </row>
    <row r="53">
      <c r="A53" t="inlineStr">
        <is>
          <t>cohort 2029-01</t>
        </is>
      </c>
      <c r="B53" s="5">
        <f>INDEX(Adds!$C$13:$BV$13,49)</f>
        <v/>
      </c>
      <c r="AY53" s="5">
        <f>$B53*(Eras!$AY$3*INDEX(Curves!$C$4:$BV$4,AY$2-48+1)+Eras!$AY$4*INDEX(Curves!$C$27:$BV$27,AY$2-48+1)+Eras!$AY$5*INDEX(Curves!$C$50:$BV$50,AY$2-48+1))</f>
        <v/>
      </c>
      <c r="AZ53" s="5">
        <f>$B53*(Eras!$AY$3*INDEX(Curves!$C$4:$BV$4,AZ$2-48+1)+Eras!$AY$4*INDEX(Curves!$C$27:$BV$27,AZ$2-48+1)+Eras!$AY$5*INDEX(Curves!$C$50:$BV$50,AZ$2-48+1))</f>
        <v/>
      </c>
      <c r="BA53" s="5">
        <f>$B53*(Eras!$AY$3*INDEX(Curves!$C$4:$BV$4,BA$2-48+1)+Eras!$AY$4*INDEX(Curves!$C$27:$BV$27,BA$2-48+1)+Eras!$AY$5*INDEX(Curves!$C$50:$BV$50,BA$2-48+1))</f>
        <v/>
      </c>
      <c r="BB53" s="5">
        <f>$B53*(Eras!$AY$3*INDEX(Curves!$C$4:$BV$4,BB$2-48+1)+Eras!$AY$4*INDEX(Curves!$C$27:$BV$27,BB$2-48+1)+Eras!$AY$5*INDEX(Curves!$C$50:$BV$50,BB$2-48+1))</f>
        <v/>
      </c>
      <c r="BC53" s="5">
        <f>$B53*(Eras!$AY$3*INDEX(Curves!$C$4:$BV$4,BC$2-48+1)+Eras!$AY$4*INDEX(Curves!$C$27:$BV$27,BC$2-48+1)+Eras!$AY$5*INDEX(Curves!$C$50:$BV$50,BC$2-48+1))</f>
        <v/>
      </c>
      <c r="BD53" s="5">
        <f>$B53*(Eras!$AY$3*INDEX(Curves!$C$4:$BV$4,BD$2-48+1)+Eras!$AY$4*INDEX(Curves!$C$27:$BV$27,BD$2-48+1)+Eras!$AY$5*INDEX(Curves!$C$50:$BV$50,BD$2-48+1))</f>
        <v/>
      </c>
      <c r="BE53" s="5">
        <f>$B53*(Eras!$AY$3*INDEX(Curves!$C$4:$BV$4,BE$2-48+1)+Eras!$AY$4*INDEX(Curves!$C$27:$BV$27,BE$2-48+1)+Eras!$AY$5*INDEX(Curves!$C$50:$BV$50,BE$2-48+1))</f>
        <v/>
      </c>
      <c r="BF53" s="5">
        <f>$B53*(Eras!$AY$3*INDEX(Curves!$C$4:$BV$4,BF$2-48+1)+Eras!$AY$4*INDEX(Curves!$C$27:$BV$27,BF$2-48+1)+Eras!$AY$5*INDEX(Curves!$C$50:$BV$50,BF$2-48+1))</f>
        <v/>
      </c>
      <c r="BG53" s="5">
        <f>$B53*(Eras!$AY$3*INDEX(Curves!$C$4:$BV$4,BG$2-48+1)+Eras!$AY$4*INDEX(Curves!$C$27:$BV$27,BG$2-48+1)+Eras!$AY$5*INDEX(Curves!$C$50:$BV$50,BG$2-48+1))</f>
        <v/>
      </c>
      <c r="BH53" s="5">
        <f>$B53*(Eras!$AY$3*INDEX(Curves!$C$4:$BV$4,BH$2-48+1)+Eras!$AY$4*INDEX(Curves!$C$27:$BV$27,BH$2-48+1)+Eras!$AY$5*INDEX(Curves!$C$50:$BV$50,BH$2-48+1))</f>
        <v/>
      </c>
      <c r="BI53" s="5">
        <f>$B53*(Eras!$AY$3*INDEX(Curves!$C$4:$BV$4,BI$2-48+1)+Eras!$AY$4*INDEX(Curves!$C$27:$BV$27,BI$2-48+1)+Eras!$AY$5*INDEX(Curves!$C$50:$BV$50,BI$2-48+1))</f>
        <v/>
      </c>
      <c r="BJ53" s="5">
        <f>$B53*(Eras!$AY$3*INDEX(Curves!$C$4:$BV$4,BJ$2-48+1)+Eras!$AY$4*INDEX(Curves!$C$27:$BV$27,BJ$2-48+1)+Eras!$AY$5*INDEX(Curves!$C$50:$BV$50,BJ$2-48+1))</f>
        <v/>
      </c>
      <c r="BK53" s="5">
        <f>$B53*(Eras!$AY$3*INDEX(Curves!$C$4:$BV$4,BK$2-48+1)+Eras!$AY$4*INDEX(Curves!$C$27:$BV$27,BK$2-48+1)+Eras!$AY$5*INDEX(Curves!$C$50:$BV$50,BK$2-48+1))</f>
        <v/>
      </c>
      <c r="BL53" s="5">
        <f>$B53*(Eras!$AY$3*INDEX(Curves!$C$4:$BV$4,BL$2-48+1)+Eras!$AY$4*INDEX(Curves!$C$27:$BV$27,BL$2-48+1)+Eras!$AY$5*INDEX(Curves!$C$50:$BV$50,BL$2-48+1))</f>
        <v/>
      </c>
      <c r="BM53" s="5">
        <f>$B53*(Eras!$AY$3*INDEX(Curves!$C$4:$BV$4,BM$2-48+1)+Eras!$AY$4*INDEX(Curves!$C$27:$BV$27,BM$2-48+1)+Eras!$AY$5*INDEX(Curves!$C$50:$BV$50,BM$2-48+1))</f>
        <v/>
      </c>
      <c r="BN53" s="5">
        <f>$B53*(Eras!$AY$3*INDEX(Curves!$C$4:$BV$4,BN$2-48+1)+Eras!$AY$4*INDEX(Curves!$C$27:$BV$27,BN$2-48+1)+Eras!$AY$5*INDEX(Curves!$C$50:$BV$50,BN$2-48+1))</f>
        <v/>
      </c>
      <c r="BO53" s="5">
        <f>$B53*(Eras!$AY$3*INDEX(Curves!$C$4:$BV$4,BO$2-48+1)+Eras!$AY$4*INDEX(Curves!$C$27:$BV$27,BO$2-48+1)+Eras!$AY$5*INDEX(Curves!$C$50:$BV$50,BO$2-48+1))</f>
        <v/>
      </c>
      <c r="BP53" s="5">
        <f>$B53*(Eras!$AY$3*INDEX(Curves!$C$4:$BV$4,BP$2-48+1)+Eras!$AY$4*INDEX(Curves!$C$27:$BV$27,BP$2-48+1)+Eras!$AY$5*INDEX(Curves!$C$50:$BV$50,BP$2-48+1))</f>
        <v/>
      </c>
      <c r="BQ53" s="5">
        <f>$B53*(Eras!$AY$3*INDEX(Curves!$C$4:$BV$4,BQ$2-48+1)+Eras!$AY$4*INDEX(Curves!$C$27:$BV$27,BQ$2-48+1)+Eras!$AY$5*INDEX(Curves!$C$50:$BV$50,BQ$2-48+1))</f>
        <v/>
      </c>
      <c r="BR53" s="5">
        <f>$B53*(Eras!$AY$3*INDEX(Curves!$C$4:$BV$4,BR$2-48+1)+Eras!$AY$4*INDEX(Curves!$C$27:$BV$27,BR$2-48+1)+Eras!$AY$5*INDEX(Curves!$C$50:$BV$50,BR$2-48+1))</f>
        <v/>
      </c>
      <c r="BS53" s="5">
        <f>$B53*(Eras!$AY$3*INDEX(Curves!$C$4:$BV$4,BS$2-48+1)+Eras!$AY$4*INDEX(Curves!$C$27:$BV$27,BS$2-48+1)+Eras!$AY$5*INDEX(Curves!$C$50:$BV$50,BS$2-48+1))</f>
        <v/>
      </c>
      <c r="BT53" s="5">
        <f>$B53*(Eras!$AY$3*INDEX(Curves!$C$4:$BV$4,BT$2-48+1)+Eras!$AY$4*INDEX(Curves!$C$27:$BV$27,BT$2-48+1)+Eras!$AY$5*INDEX(Curves!$C$50:$BV$50,BT$2-48+1))</f>
        <v/>
      </c>
      <c r="BU53" s="5">
        <f>$B53*(Eras!$AY$3*INDEX(Curves!$C$4:$BV$4,BU$2-48+1)+Eras!$AY$4*INDEX(Curves!$C$27:$BV$27,BU$2-48+1)+Eras!$AY$5*INDEX(Curves!$C$50:$BV$50,BU$2-48+1))</f>
        <v/>
      </c>
      <c r="BV53" s="5">
        <f>$B53*(Eras!$AY$3*INDEX(Curves!$C$4:$BV$4,BV$2-48+1)+Eras!$AY$4*INDEX(Curves!$C$27:$BV$27,BV$2-48+1)+Eras!$AY$5*INDEX(Curves!$C$50:$BV$50,BV$2-48+1))</f>
        <v/>
      </c>
    </row>
    <row r="54">
      <c r="A54" t="inlineStr">
        <is>
          <t>cohort 2029-02</t>
        </is>
      </c>
      <c r="B54" s="5">
        <f>INDEX(Adds!$C$13:$BV$13,50)</f>
        <v/>
      </c>
      <c r="AZ54" s="5">
        <f>$B54*(Eras!$AZ$3*INDEX(Curves!$C$4:$BV$4,AZ$2-49+1)+Eras!$AZ$4*INDEX(Curves!$C$27:$BV$27,AZ$2-49+1)+Eras!$AZ$5*INDEX(Curves!$C$50:$BV$50,AZ$2-49+1))</f>
        <v/>
      </c>
      <c r="BA54" s="5">
        <f>$B54*(Eras!$AZ$3*INDEX(Curves!$C$4:$BV$4,BA$2-49+1)+Eras!$AZ$4*INDEX(Curves!$C$27:$BV$27,BA$2-49+1)+Eras!$AZ$5*INDEX(Curves!$C$50:$BV$50,BA$2-49+1))</f>
        <v/>
      </c>
      <c r="BB54" s="5">
        <f>$B54*(Eras!$AZ$3*INDEX(Curves!$C$4:$BV$4,BB$2-49+1)+Eras!$AZ$4*INDEX(Curves!$C$27:$BV$27,BB$2-49+1)+Eras!$AZ$5*INDEX(Curves!$C$50:$BV$50,BB$2-49+1))</f>
        <v/>
      </c>
      <c r="BC54" s="5">
        <f>$B54*(Eras!$AZ$3*INDEX(Curves!$C$4:$BV$4,BC$2-49+1)+Eras!$AZ$4*INDEX(Curves!$C$27:$BV$27,BC$2-49+1)+Eras!$AZ$5*INDEX(Curves!$C$50:$BV$50,BC$2-49+1))</f>
        <v/>
      </c>
      <c r="BD54" s="5">
        <f>$B54*(Eras!$AZ$3*INDEX(Curves!$C$4:$BV$4,BD$2-49+1)+Eras!$AZ$4*INDEX(Curves!$C$27:$BV$27,BD$2-49+1)+Eras!$AZ$5*INDEX(Curves!$C$50:$BV$50,BD$2-49+1))</f>
        <v/>
      </c>
      <c r="BE54" s="5">
        <f>$B54*(Eras!$AZ$3*INDEX(Curves!$C$4:$BV$4,BE$2-49+1)+Eras!$AZ$4*INDEX(Curves!$C$27:$BV$27,BE$2-49+1)+Eras!$AZ$5*INDEX(Curves!$C$50:$BV$50,BE$2-49+1))</f>
        <v/>
      </c>
      <c r="BF54" s="5">
        <f>$B54*(Eras!$AZ$3*INDEX(Curves!$C$4:$BV$4,BF$2-49+1)+Eras!$AZ$4*INDEX(Curves!$C$27:$BV$27,BF$2-49+1)+Eras!$AZ$5*INDEX(Curves!$C$50:$BV$50,BF$2-49+1))</f>
        <v/>
      </c>
      <c r="BG54" s="5">
        <f>$B54*(Eras!$AZ$3*INDEX(Curves!$C$4:$BV$4,BG$2-49+1)+Eras!$AZ$4*INDEX(Curves!$C$27:$BV$27,BG$2-49+1)+Eras!$AZ$5*INDEX(Curves!$C$50:$BV$50,BG$2-49+1))</f>
        <v/>
      </c>
      <c r="BH54" s="5">
        <f>$B54*(Eras!$AZ$3*INDEX(Curves!$C$4:$BV$4,BH$2-49+1)+Eras!$AZ$4*INDEX(Curves!$C$27:$BV$27,BH$2-49+1)+Eras!$AZ$5*INDEX(Curves!$C$50:$BV$50,BH$2-49+1))</f>
        <v/>
      </c>
      <c r="BI54" s="5">
        <f>$B54*(Eras!$AZ$3*INDEX(Curves!$C$4:$BV$4,BI$2-49+1)+Eras!$AZ$4*INDEX(Curves!$C$27:$BV$27,BI$2-49+1)+Eras!$AZ$5*INDEX(Curves!$C$50:$BV$50,BI$2-49+1))</f>
        <v/>
      </c>
      <c r="BJ54" s="5">
        <f>$B54*(Eras!$AZ$3*INDEX(Curves!$C$4:$BV$4,BJ$2-49+1)+Eras!$AZ$4*INDEX(Curves!$C$27:$BV$27,BJ$2-49+1)+Eras!$AZ$5*INDEX(Curves!$C$50:$BV$50,BJ$2-49+1))</f>
        <v/>
      </c>
      <c r="BK54" s="5">
        <f>$B54*(Eras!$AZ$3*INDEX(Curves!$C$4:$BV$4,BK$2-49+1)+Eras!$AZ$4*INDEX(Curves!$C$27:$BV$27,BK$2-49+1)+Eras!$AZ$5*INDEX(Curves!$C$50:$BV$50,BK$2-49+1))</f>
        <v/>
      </c>
      <c r="BL54" s="5">
        <f>$B54*(Eras!$AZ$3*INDEX(Curves!$C$4:$BV$4,BL$2-49+1)+Eras!$AZ$4*INDEX(Curves!$C$27:$BV$27,BL$2-49+1)+Eras!$AZ$5*INDEX(Curves!$C$50:$BV$50,BL$2-49+1))</f>
        <v/>
      </c>
      <c r="BM54" s="5">
        <f>$B54*(Eras!$AZ$3*INDEX(Curves!$C$4:$BV$4,BM$2-49+1)+Eras!$AZ$4*INDEX(Curves!$C$27:$BV$27,BM$2-49+1)+Eras!$AZ$5*INDEX(Curves!$C$50:$BV$50,BM$2-49+1))</f>
        <v/>
      </c>
      <c r="BN54" s="5">
        <f>$B54*(Eras!$AZ$3*INDEX(Curves!$C$4:$BV$4,BN$2-49+1)+Eras!$AZ$4*INDEX(Curves!$C$27:$BV$27,BN$2-49+1)+Eras!$AZ$5*INDEX(Curves!$C$50:$BV$50,BN$2-49+1))</f>
        <v/>
      </c>
      <c r="BO54" s="5">
        <f>$B54*(Eras!$AZ$3*INDEX(Curves!$C$4:$BV$4,BO$2-49+1)+Eras!$AZ$4*INDEX(Curves!$C$27:$BV$27,BO$2-49+1)+Eras!$AZ$5*INDEX(Curves!$C$50:$BV$50,BO$2-49+1))</f>
        <v/>
      </c>
      <c r="BP54" s="5">
        <f>$B54*(Eras!$AZ$3*INDEX(Curves!$C$4:$BV$4,BP$2-49+1)+Eras!$AZ$4*INDEX(Curves!$C$27:$BV$27,BP$2-49+1)+Eras!$AZ$5*INDEX(Curves!$C$50:$BV$50,BP$2-49+1))</f>
        <v/>
      </c>
      <c r="BQ54" s="5">
        <f>$B54*(Eras!$AZ$3*INDEX(Curves!$C$4:$BV$4,BQ$2-49+1)+Eras!$AZ$4*INDEX(Curves!$C$27:$BV$27,BQ$2-49+1)+Eras!$AZ$5*INDEX(Curves!$C$50:$BV$50,BQ$2-49+1))</f>
        <v/>
      </c>
      <c r="BR54" s="5">
        <f>$B54*(Eras!$AZ$3*INDEX(Curves!$C$4:$BV$4,BR$2-49+1)+Eras!$AZ$4*INDEX(Curves!$C$27:$BV$27,BR$2-49+1)+Eras!$AZ$5*INDEX(Curves!$C$50:$BV$50,BR$2-49+1))</f>
        <v/>
      </c>
      <c r="BS54" s="5">
        <f>$B54*(Eras!$AZ$3*INDEX(Curves!$C$4:$BV$4,BS$2-49+1)+Eras!$AZ$4*INDEX(Curves!$C$27:$BV$27,BS$2-49+1)+Eras!$AZ$5*INDEX(Curves!$C$50:$BV$50,BS$2-49+1))</f>
        <v/>
      </c>
      <c r="BT54" s="5">
        <f>$B54*(Eras!$AZ$3*INDEX(Curves!$C$4:$BV$4,BT$2-49+1)+Eras!$AZ$4*INDEX(Curves!$C$27:$BV$27,BT$2-49+1)+Eras!$AZ$5*INDEX(Curves!$C$50:$BV$50,BT$2-49+1))</f>
        <v/>
      </c>
      <c r="BU54" s="5">
        <f>$B54*(Eras!$AZ$3*INDEX(Curves!$C$4:$BV$4,BU$2-49+1)+Eras!$AZ$4*INDEX(Curves!$C$27:$BV$27,BU$2-49+1)+Eras!$AZ$5*INDEX(Curves!$C$50:$BV$50,BU$2-49+1))</f>
        <v/>
      </c>
      <c r="BV54" s="5">
        <f>$B54*(Eras!$AZ$3*INDEX(Curves!$C$4:$BV$4,BV$2-49+1)+Eras!$AZ$4*INDEX(Curves!$C$27:$BV$27,BV$2-49+1)+Eras!$AZ$5*INDEX(Curves!$C$50:$BV$50,BV$2-49+1))</f>
        <v/>
      </c>
    </row>
    <row r="55">
      <c r="A55" t="inlineStr">
        <is>
          <t>cohort 2029-03</t>
        </is>
      </c>
      <c r="B55" s="5">
        <f>INDEX(Adds!$C$13:$BV$13,51)</f>
        <v/>
      </c>
      <c r="BA55" s="5">
        <f>$B55*(Eras!$BA$3*INDEX(Curves!$C$4:$BV$4,BA$2-50+1)+Eras!$BA$4*INDEX(Curves!$C$27:$BV$27,BA$2-50+1)+Eras!$BA$5*INDEX(Curves!$C$50:$BV$50,BA$2-50+1))</f>
        <v/>
      </c>
      <c r="BB55" s="5">
        <f>$B55*(Eras!$BA$3*INDEX(Curves!$C$4:$BV$4,BB$2-50+1)+Eras!$BA$4*INDEX(Curves!$C$27:$BV$27,BB$2-50+1)+Eras!$BA$5*INDEX(Curves!$C$50:$BV$50,BB$2-50+1))</f>
        <v/>
      </c>
      <c r="BC55" s="5">
        <f>$B55*(Eras!$BA$3*INDEX(Curves!$C$4:$BV$4,BC$2-50+1)+Eras!$BA$4*INDEX(Curves!$C$27:$BV$27,BC$2-50+1)+Eras!$BA$5*INDEX(Curves!$C$50:$BV$50,BC$2-50+1))</f>
        <v/>
      </c>
      <c r="BD55" s="5">
        <f>$B55*(Eras!$BA$3*INDEX(Curves!$C$4:$BV$4,BD$2-50+1)+Eras!$BA$4*INDEX(Curves!$C$27:$BV$27,BD$2-50+1)+Eras!$BA$5*INDEX(Curves!$C$50:$BV$50,BD$2-50+1))</f>
        <v/>
      </c>
      <c r="BE55" s="5">
        <f>$B55*(Eras!$BA$3*INDEX(Curves!$C$4:$BV$4,BE$2-50+1)+Eras!$BA$4*INDEX(Curves!$C$27:$BV$27,BE$2-50+1)+Eras!$BA$5*INDEX(Curves!$C$50:$BV$50,BE$2-50+1))</f>
        <v/>
      </c>
      <c r="BF55" s="5">
        <f>$B55*(Eras!$BA$3*INDEX(Curves!$C$4:$BV$4,BF$2-50+1)+Eras!$BA$4*INDEX(Curves!$C$27:$BV$27,BF$2-50+1)+Eras!$BA$5*INDEX(Curves!$C$50:$BV$50,BF$2-50+1))</f>
        <v/>
      </c>
      <c r="BG55" s="5">
        <f>$B55*(Eras!$BA$3*INDEX(Curves!$C$4:$BV$4,BG$2-50+1)+Eras!$BA$4*INDEX(Curves!$C$27:$BV$27,BG$2-50+1)+Eras!$BA$5*INDEX(Curves!$C$50:$BV$50,BG$2-50+1))</f>
        <v/>
      </c>
      <c r="BH55" s="5">
        <f>$B55*(Eras!$BA$3*INDEX(Curves!$C$4:$BV$4,BH$2-50+1)+Eras!$BA$4*INDEX(Curves!$C$27:$BV$27,BH$2-50+1)+Eras!$BA$5*INDEX(Curves!$C$50:$BV$50,BH$2-50+1))</f>
        <v/>
      </c>
      <c r="BI55" s="5">
        <f>$B55*(Eras!$BA$3*INDEX(Curves!$C$4:$BV$4,BI$2-50+1)+Eras!$BA$4*INDEX(Curves!$C$27:$BV$27,BI$2-50+1)+Eras!$BA$5*INDEX(Curves!$C$50:$BV$50,BI$2-50+1))</f>
        <v/>
      </c>
      <c r="BJ55" s="5">
        <f>$B55*(Eras!$BA$3*INDEX(Curves!$C$4:$BV$4,BJ$2-50+1)+Eras!$BA$4*INDEX(Curves!$C$27:$BV$27,BJ$2-50+1)+Eras!$BA$5*INDEX(Curves!$C$50:$BV$50,BJ$2-50+1))</f>
        <v/>
      </c>
      <c r="BK55" s="5">
        <f>$B55*(Eras!$BA$3*INDEX(Curves!$C$4:$BV$4,BK$2-50+1)+Eras!$BA$4*INDEX(Curves!$C$27:$BV$27,BK$2-50+1)+Eras!$BA$5*INDEX(Curves!$C$50:$BV$50,BK$2-50+1))</f>
        <v/>
      </c>
      <c r="BL55" s="5">
        <f>$B55*(Eras!$BA$3*INDEX(Curves!$C$4:$BV$4,BL$2-50+1)+Eras!$BA$4*INDEX(Curves!$C$27:$BV$27,BL$2-50+1)+Eras!$BA$5*INDEX(Curves!$C$50:$BV$50,BL$2-50+1))</f>
        <v/>
      </c>
      <c r="BM55" s="5">
        <f>$B55*(Eras!$BA$3*INDEX(Curves!$C$4:$BV$4,BM$2-50+1)+Eras!$BA$4*INDEX(Curves!$C$27:$BV$27,BM$2-50+1)+Eras!$BA$5*INDEX(Curves!$C$50:$BV$50,BM$2-50+1))</f>
        <v/>
      </c>
      <c r="BN55" s="5">
        <f>$B55*(Eras!$BA$3*INDEX(Curves!$C$4:$BV$4,BN$2-50+1)+Eras!$BA$4*INDEX(Curves!$C$27:$BV$27,BN$2-50+1)+Eras!$BA$5*INDEX(Curves!$C$50:$BV$50,BN$2-50+1))</f>
        <v/>
      </c>
      <c r="BO55" s="5">
        <f>$B55*(Eras!$BA$3*INDEX(Curves!$C$4:$BV$4,BO$2-50+1)+Eras!$BA$4*INDEX(Curves!$C$27:$BV$27,BO$2-50+1)+Eras!$BA$5*INDEX(Curves!$C$50:$BV$50,BO$2-50+1))</f>
        <v/>
      </c>
      <c r="BP55" s="5">
        <f>$B55*(Eras!$BA$3*INDEX(Curves!$C$4:$BV$4,BP$2-50+1)+Eras!$BA$4*INDEX(Curves!$C$27:$BV$27,BP$2-50+1)+Eras!$BA$5*INDEX(Curves!$C$50:$BV$50,BP$2-50+1))</f>
        <v/>
      </c>
      <c r="BQ55" s="5">
        <f>$B55*(Eras!$BA$3*INDEX(Curves!$C$4:$BV$4,BQ$2-50+1)+Eras!$BA$4*INDEX(Curves!$C$27:$BV$27,BQ$2-50+1)+Eras!$BA$5*INDEX(Curves!$C$50:$BV$50,BQ$2-50+1))</f>
        <v/>
      </c>
      <c r="BR55" s="5">
        <f>$B55*(Eras!$BA$3*INDEX(Curves!$C$4:$BV$4,BR$2-50+1)+Eras!$BA$4*INDEX(Curves!$C$27:$BV$27,BR$2-50+1)+Eras!$BA$5*INDEX(Curves!$C$50:$BV$50,BR$2-50+1))</f>
        <v/>
      </c>
      <c r="BS55" s="5">
        <f>$B55*(Eras!$BA$3*INDEX(Curves!$C$4:$BV$4,BS$2-50+1)+Eras!$BA$4*INDEX(Curves!$C$27:$BV$27,BS$2-50+1)+Eras!$BA$5*INDEX(Curves!$C$50:$BV$50,BS$2-50+1))</f>
        <v/>
      </c>
      <c r="BT55" s="5">
        <f>$B55*(Eras!$BA$3*INDEX(Curves!$C$4:$BV$4,BT$2-50+1)+Eras!$BA$4*INDEX(Curves!$C$27:$BV$27,BT$2-50+1)+Eras!$BA$5*INDEX(Curves!$C$50:$BV$50,BT$2-50+1))</f>
        <v/>
      </c>
      <c r="BU55" s="5">
        <f>$B55*(Eras!$BA$3*INDEX(Curves!$C$4:$BV$4,BU$2-50+1)+Eras!$BA$4*INDEX(Curves!$C$27:$BV$27,BU$2-50+1)+Eras!$BA$5*INDEX(Curves!$C$50:$BV$50,BU$2-50+1))</f>
        <v/>
      </c>
      <c r="BV55" s="5">
        <f>$B55*(Eras!$BA$3*INDEX(Curves!$C$4:$BV$4,BV$2-50+1)+Eras!$BA$4*INDEX(Curves!$C$27:$BV$27,BV$2-50+1)+Eras!$BA$5*INDEX(Curves!$C$50:$BV$50,BV$2-50+1))</f>
        <v/>
      </c>
    </row>
    <row r="56">
      <c r="A56" t="inlineStr">
        <is>
          <t>cohort 2029-04</t>
        </is>
      </c>
      <c r="B56" s="5">
        <f>INDEX(Adds!$C$13:$BV$13,52)</f>
        <v/>
      </c>
      <c r="BB56" s="5">
        <f>$B56*(Eras!$BB$3*INDEX(Curves!$C$4:$BV$4,BB$2-51+1)+Eras!$BB$4*INDEX(Curves!$C$27:$BV$27,BB$2-51+1)+Eras!$BB$5*INDEX(Curves!$C$50:$BV$50,BB$2-51+1))</f>
        <v/>
      </c>
      <c r="BC56" s="5">
        <f>$B56*(Eras!$BB$3*INDEX(Curves!$C$4:$BV$4,BC$2-51+1)+Eras!$BB$4*INDEX(Curves!$C$27:$BV$27,BC$2-51+1)+Eras!$BB$5*INDEX(Curves!$C$50:$BV$50,BC$2-51+1))</f>
        <v/>
      </c>
      <c r="BD56" s="5">
        <f>$B56*(Eras!$BB$3*INDEX(Curves!$C$4:$BV$4,BD$2-51+1)+Eras!$BB$4*INDEX(Curves!$C$27:$BV$27,BD$2-51+1)+Eras!$BB$5*INDEX(Curves!$C$50:$BV$50,BD$2-51+1))</f>
        <v/>
      </c>
      <c r="BE56" s="5">
        <f>$B56*(Eras!$BB$3*INDEX(Curves!$C$4:$BV$4,BE$2-51+1)+Eras!$BB$4*INDEX(Curves!$C$27:$BV$27,BE$2-51+1)+Eras!$BB$5*INDEX(Curves!$C$50:$BV$50,BE$2-51+1))</f>
        <v/>
      </c>
      <c r="BF56" s="5">
        <f>$B56*(Eras!$BB$3*INDEX(Curves!$C$4:$BV$4,BF$2-51+1)+Eras!$BB$4*INDEX(Curves!$C$27:$BV$27,BF$2-51+1)+Eras!$BB$5*INDEX(Curves!$C$50:$BV$50,BF$2-51+1))</f>
        <v/>
      </c>
      <c r="BG56" s="5">
        <f>$B56*(Eras!$BB$3*INDEX(Curves!$C$4:$BV$4,BG$2-51+1)+Eras!$BB$4*INDEX(Curves!$C$27:$BV$27,BG$2-51+1)+Eras!$BB$5*INDEX(Curves!$C$50:$BV$50,BG$2-51+1))</f>
        <v/>
      </c>
      <c r="BH56" s="5">
        <f>$B56*(Eras!$BB$3*INDEX(Curves!$C$4:$BV$4,BH$2-51+1)+Eras!$BB$4*INDEX(Curves!$C$27:$BV$27,BH$2-51+1)+Eras!$BB$5*INDEX(Curves!$C$50:$BV$50,BH$2-51+1))</f>
        <v/>
      </c>
      <c r="BI56" s="5">
        <f>$B56*(Eras!$BB$3*INDEX(Curves!$C$4:$BV$4,BI$2-51+1)+Eras!$BB$4*INDEX(Curves!$C$27:$BV$27,BI$2-51+1)+Eras!$BB$5*INDEX(Curves!$C$50:$BV$50,BI$2-51+1))</f>
        <v/>
      </c>
      <c r="BJ56" s="5">
        <f>$B56*(Eras!$BB$3*INDEX(Curves!$C$4:$BV$4,BJ$2-51+1)+Eras!$BB$4*INDEX(Curves!$C$27:$BV$27,BJ$2-51+1)+Eras!$BB$5*INDEX(Curves!$C$50:$BV$50,BJ$2-51+1))</f>
        <v/>
      </c>
      <c r="BK56" s="5">
        <f>$B56*(Eras!$BB$3*INDEX(Curves!$C$4:$BV$4,BK$2-51+1)+Eras!$BB$4*INDEX(Curves!$C$27:$BV$27,BK$2-51+1)+Eras!$BB$5*INDEX(Curves!$C$50:$BV$50,BK$2-51+1))</f>
        <v/>
      </c>
      <c r="BL56" s="5">
        <f>$B56*(Eras!$BB$3*INDEX(Curves!$C$4:$BV$4,BL$2-51+1)+Eras!$BB$4*INDEX(Curves!$C$27:$BV$27,BL$2-51+1)+Eras!$BB$5*INDEX(Curves!$C$50:$BV$50,BL$2-51+1))</f>
        <v/>
      </c>
      <c r="BM56" s="5">
        <f>$B56*(Eras!$BB$3*INDEX(Curves!$C$4:$BV$4,BM$2-51+1)+Eras!$BB$4*INDEX(Curves!$C$27:$BV$27,BM$2-51+1)+Eras!$BB$5*INDEX(Curves!$C$50:$BV$50,BM$2-51+1))</f>
        <v/>
      </c>
      <c r="BN56" s="5">
        <f>$B56*(Eras!$BB$3*INDEX(Curves!$C$4:$BV$4,BN$2-51+1)+Eras!$BB$4*INDEX(Curves!$C$27:$BV$27,BN$2-51+1)+Eras!$BB$5*INDEX(Curves!$C$50:$BV$50,BN$2-51+1))</f>
        <v/>
      </c>
      <c r="BO56" s="5">
        <f>$B56*(Eras!$BB$3*INDEX(Curves!$C$4:$BV$4,BO$2-51+1)+Eras!$BB$4*INDEX(Curves!$C$27:$BV$27,BO$2-51+1)+Eras!$BB$5*INDEX(Curves!$C$50:$BV$50,BO$2-51+1))</f>
        <v/>
      </c>
      <c r="BP56" s="5">
        <f>$B56*(Eras!$BB$3*INDEX(Curves!$C$4:$BV$4,BP$2-51+1)+Eras!$BB$4*INDEX(Curves!$C$27:$BV$27,BP$2-51+1)+Eras!$BB$5*INDEX(Curves!$C$50:$BV$50,BP$2-51+1))</f>
        <v/>
      </c>
      <c r="BQ56" s="5">
        <f>$B56*(Eras!$BB$3*INDEX(Curves!$C$4:$BV$4,BQ$2-51+1)+Eras!$BB$4*INDEX(Curves!$C$27:$BV$27,BQ$2-51+1)+Eras!$BB$5*INDEX(Curves!$C$50:$BV$50,BQ$2-51+1))</f>
        <v/>
      </c>
      <c r="BR56" s="5">
        <f>$B56*(Eras!$BB$3*INDEX(Curves!$C$4:$BV$4,BR$2-51+1)+Eras!$BB$4*INDEX(Curves!$C$27:$BV$27,BR$2-51+1)+Eras!$BB$5*INDEX(Curves!$C$50:$BV$50,BR$2-51+1))</f>
        <v/>
      </c>
      <c r="BS56" s="5">
        <f>$B56*(Eras!$BB$3*INDEX(Curves!$C$4:$BV$4,BS$2-51+1)+Eras!$BB$4*INDEX(Curves!$C$27:$BV$27,BS$2-51+1)+Eras!$BB$5*INDEX(Curves!$C$50:$BV$50,BS$2-51+1))</f>
        <v/>
      </c>
      <c r="BT56" s="5">
        <f>$B56*(Eras!$BB$3*INDEX(Curves!$C$4:$BV$4,BT$2-51+1)+Eras!$BB$4*INDEX(Curves!$C$27:$BV$27,BT$2-51+1)+Eras!$BB$5*INDEX(Curves!$C$50:$BV$50,BT$2-51+1))</f>
        <v/>
      </c>
      <c r="BU56" s="5">
        <f>$B56*(Eras!$BB$3*INDEX(Curves!$C$4:$BV$4,BU$2-51+1)+Eras!$BB$4*INDEX(Curves!$C$27:$BV$27,BU$2-51+1)+Eras!$BB$5*INDEX(Curves!$C$50:$BV$50,BU$2-51+1))</f>
        <v/>
      </c>
      <c r="BV56" s="5">
        <f>$B56*(Eras!$BB$3*INDEX(Curves!$C$4:$BV$4,BV$2-51+1)+Eras!$BB$4*INDEX(Curves!$C$27:$BV$27,BV$2-51+1)+Eras!$BB$5*INDEX(Curves!$C$50:$BV$50,BV$2-51+1))</f>
        <v/>
      </c>
    </row>
    <row r="57">
      <c r="A57" t="inlineStr">
        <is>
          <t>cohort 2029-05</t>
        </is>
      </c>
      <c r="B57" s="5">
        <f>INDEX(Adds!$C$13:$BV$13,53)</f>
        <v/>
      </c>
      <c r="BC57" s="5">
        <f>$B57*(Eras!$BC$3*INDEX(Curves!$C$4:$BV$4,BC$2-52+1)+Eras!$BC$4*INDEX(Curves!$C$27:$BV$27,BC$2-52+1)+Eras!$BC$5*INDEX(Curves!$C$50:$BV$50,BC$2-52+1))</f>
        <v/>
      </c>
      <c r="BD57" s="5">
        <f>$B57*(Eras!$BC$3*INDEX(Curves!$C$4:$BV$4,BD$2-52+1)+Eras!$BC$4*INDEX(Curves!$C$27:$BV$27,BD$2-52+1)+Eras!$BC$5*INDEX(Curves!$C$50:$BV$50,BD$2-52+1))</f>
        <v/>
      </c>
      <c r="BE57" s="5">
        <f>$B57*(Eras!$BC$3*INDEX(Curves!$C$4:$BV$4,BE$2-52+1)+Eras!$BC$4*INDEX(Curves!$C$27:$BV$27,BE$2-52+1)+Eras!$BC$5*INDEX(Curves!$C$50:$BV$50,BE$2-52+1))</f>
        <v/>
      </c>
      <c r="BF57" s="5">
        <f>$B57*(Eras!$BC$3*INDEX(Curves!$C$4:$BV$4,BF$2-52+1)+Eras!$BC$4*INDEX(Curves!$C$27:$BV$27,BF$2-52+1)+Eras!$BC$5*INDEX(Curves!$C$50:$BV$50,BF$2-52+1))</f>
        <v/>
      </c>
      <c r="BG57" s="5">
        <f>$B57*(Eras!$BC$3*INDEX(Curves!$C$4:$BV$4,BG$2-52+1)+Eras!$BC$4*INDEX(Curves!$C$27:$BV$27,BG$2-52+1)+Eras!$BC$5*INDEX(Curves!$C$50:$BV$50,BG$2-52+1))</f>
        <v/>
      </c>
      <c r="BH57" s="5">
        <f>$B57*(Eras!$BC$3*INDEX(Curves!$C$4:$BV$4,BH$2-52+1)+Eras!$BC$4*INDEX(Curves!$C$27:$BV$27,BH$2-52+1)+Eras!$BC$5*INDEX(Curves!$C$50:$BV$50,BH$2-52+1))</f>
        <v/>
      </c>
      <c r="BI57" s="5">
        <f>$B57*(Eras!$BC$3*INDEX(Curves!$C$4:$BV$4,BI$2-52+1)+Eras!$BC$4*INDEX(Curves!$C$27:$BV$27,BI$2-52+1)+Eras!$BC$5*INDEX(Curves!$C$50:$BV$50,BI$2-52+1))</f>
        <v/>
      </c>
      <c r="BJ57" s="5">
        <f>$B57*(Eras!$BC$3*INDEX(Curves!$C$4:$BV$4,BJ$2-52+1)+Eras!$BC$4*INDEX(Curves!$C$27:$BV$27,BJ$2-52+1)+Eras!$BC$5*INDEX(Curves!$C$50:$BV$50,BJ$2-52+1))</f>
        <v/>
      </c>
      <c r="BK57" s="5">
        <f>$B57*(Eras!$BC$3*INDEX(Curves!$C$4:$BV$4,BK$2-52+1)+Eras!$BC$4*INDEX(Curves!$C$27:$BV$27,BK$2-52+1)+Eras!$BC$5*INDEX(Curves!$C$50:$BV$50,BK$2-52+1))</f>
        <v/>
      </c>
      <c r="BL57" s="5">
        <f>$B57*(Eras!$BC$3*INDEX(Curves!$C$4:$BV$4,BL$2-52+1)+Eras!$BC$4*INDEX(Curves!$C$27:$BV$27,BL$2-52+1)+Eras!$BC$5*INDEX(Curves!$C$50:$BV$50,BL$2-52+1))</f>
        <v/>
      </c>
      <c r="BM57" s="5">
        <f>$B57*(Eras!$BC$3*INDEX(Curves!$C$4:$BV$4,BM$2-52+1)+Eras!$BC$4*INDEX(Curves!$C$27:$BV$27,BM$2-52+1)+Eras!$BC$5*INDEX(Curves!$C$50:$BV$50,BM$2-52+1))</f>
        <v/>
      </c>
      <c r="BN57" s="5">
        <f>$B57*(Eras!$BC$3*INDEX(Curves!$C$4:$BV$4,BN$2-52+1)+Eras!$BC$4*INDEX(Curves!$C$27:$BV$27,BN$2-52+1)+Eras!$BC$5*INDEX(Curves!$C$50:$BV$50,BN$2-52+1))</f>
        <v/>
      </c>
      <c r="BO57" s="5">
        <f>$B57*(Eras!$BC$3*INDEX(Curves!$C$4:$BV$4,BO$2-52+1)+Eras!$BC$4*INDEX(Curves!$C$27:$BV$27,BO$2-52+1)+Eras!$BC$5*INDEX(Curves!$C$50:$BV$50,BO$2-52+1))</f>
        <v/>
      </c>
      <c r="BP57" s="5">
        <f>$B57*(Eras!$BC$3*INDEX(Curves!$C$4:$BV$4,BP$2-52+1)+Eras!$BC$4*INDEX(Curves!$C$27:$BV$27,BP$2-52+1)+Eras!$BC$5*INDEX(Curves!$C$50:$BV$50,BP$2-52+1))</f>
        <v/>
      </c>
      <c r="BQ57" s="5">
        <f>$B57*(Eras!$BC$3*INDEX(Curves!$C$4:$BV$4,BQ$2-52+1)+Eras!$BC$4*INDEX(Curves!$C$27:$BV$27,BQ$2-52+1)+Eras!$BC$5*INDEX(Curves!$C$50:$BV$50,BQ$2-52+1))</f>
        <v/>
      </c>
      <c r="BR57" s="5">
        <f>$B57*(Eras!$BC$3*INDEX(Curves!$C$4:$BV$4,BR$2-52+1)+Eras!$BC$4*INDEX(Curves!$C$27:$BV$27,BR$2-52+1)+Eras!$BC$5*INDEX(Curves!$C$50:$BV$50,BR$2-52+1))</f>
        <v/>
      </c>
      <c r="BS57" s="5">
        <f>$B57*(Eras!$BC$3*INDEX(Curves!$C$4:$BV$4,BS$2-52+1)+Eras!$BC$4*INDEX(Curves!$C$27:$BV$27,BS$2-52+1)+Eras!$BC$5*INDEX(Curves!$C$50:$BV$50,BS$2-52+1))</f>
        <v/>
      </c>
      <c r="BT57" s="5">
        <f>$B57*(Eras!$BC$3*INDEX(Curves!$C$4:$BV$4,BT$2-52+1)+Eras!$BC$4*INDEX(Curves!$C$27:$BV$27,BT$2-52+1)+Eras!$BC$5*INDEX(Curves!$C$50:$BV$50,BT$2-52+1))</f>
        <v/>
      </c>
      <c r="BU57" s="5">
        <f>$B57*(Eras!$BC$3*INDEX(Curves!$C$4:$BV$4,BU$2-52+1)+Eras!$BC$4*INDEX(Curves!$C$27:$BV$27,BU$2-52+1)+Eras!$BC$5*INDEX(Curves!$C$50:$BV$50,BU$2-52+1))</f>
        <v/>
      </c>
      <c r="BV57" s="5">
        <f>$B57*(Eras!$BC$3*INDEX(Curves!$C$4:$BV$4,BV$2-52+1)+Eras!$BC$4*INDEX(Curves!$C$27:$BV$27,BV$2-52+1)+Eras!$BC$5*INDEX(Curves!$C$50:$BV$50,BV$2-52+1))</f>
        <v/>
      </c>
    </row>
    <row r="58">
      <c r="A58" t="inlineStr">
        <is>
          <t>cohort 2029-06</t>
        </is>
      </c>
      <c r="B58" s="5">
        <f>INDEX(Adds!$C$13:$BV$13,54)</f>
        <v/>
      </c>
      <c r="BD58" s="5">
        <f>$B58*(Eras!$BD$3*INDEX(Curves!$C$4:$BV$4,BD$2-53+1)+Eras!$BD$4*INDEX(Curves!$C$27:$BV$27,BD$2-53+1)+Eras!$BD$5*INDEX(Curves!$C$50:$BV$50,BD$2-53+1))</f>
        <v/>
      </c>
      <c r="BE58" s="5">
        <f>$B58*(Eras!$BD$3*INDEX(Curves!$C$4:$BV$4,BE$2-53+1)+Eras!$BD$4*INDEX(Curves!$C$27:$BV$27,BE$2-53+1)+Eras!$BD$5*INDEX(Curves!$C$50:$BV$50,BE$2-53+1))</f>
        <v/>
      </c>
      <c r="BF58" s="5">
        <f>$B58*(Eras!$BD$3*INDEX(Curves!$C$4:$BV$4,BF$2-53+1)+Eras!$BD$4*INDEX(Curves!$C$27:$BV$27,BF$2-53+1)+Eras!$BD$5*INDEX(Curves!$C$50:$BV$50,BF$2-53+1))</f>
        <v/>
      </c>
      <c r="BG58" s="5">
        <f>$B58*(Eras!$BD$3*INDEX(Curves!$C$4:$BV$4,BG$2-53+1)+Eras!$BD$4*INDEX(Curves!$C$27:$BV$27,BG$2-53+1)+Eras!$BD$5*INDEX(Curves!$C$50:$BV$50,BG$2-53+1))</f>
        <v/>
      </c>
      <c r="BH58" s="5">
        <f>$B58*(Eras!$BD$3*INDEX(Curves!$C$4:$BV$4,BH$2-53+1)+Eras!$BD$4*INDEX(Curves!$C$27:$BV$27,BH$2-53+1)+Eras!$BD$5*INDEX(Curves!$C$50:$BV$50,BH$2-53+1))</f>
        <v/>
      </c>
      <c r="BI58" s="5">
        <f>$B58*(Eras!$BD$3*INDEX(Curves!$C$4:$BV$4,BI$2-53+1)+Eras!$BD$4*INDEX(Curves!$C$27:$BV$27,BI$2-53+1)+Eras!$BD$5*INDEX(Curves!$C$50:$BV$50,BI$2-53+1))</f>
        <v/>
      </c>
      <c r="BJ58" s="5">
        <f>$B58*(Eras!$BD$3*INDEX(Curves!$C$4:$BV$4,BJ$2-53+1)+Eras!$BD$4*INDEX(Curves!$C$27:$BV$27,BJ$2-53+1)+Eras!$BD$5*INDEX(Curves!$C$50:$BV$50,BJ$2-53+1))</f>
        <v/>
      </c>
      <c r="BK58" s="5">
        <f>$B58*(Eras!$BD$3*INDEX(Curves!$C$4:$BV$4,BK$2-53+1)+Eras!$BD$4*INDEX(Curves!$C$27:$BV$27,BK$2-53+1)+Eras!$BD$5*INDEX(Curves!$C$50:$BV$50,BK$2-53+1))</f>
        <v/>
      </c>
      <c r="BL58" s="5">
        <f>$B58*(Eras!$BD$3*INDEX(Curves!$C$4:$BV$4,BL$2-53+1)+Eras!$BD$4*INDEX(Curves!$C$27:$BV$27,BL$2-53+1)+Eras!$BD$5*INDEX(Curves!$C$50:$BV$50,BL$2-53+1))</f>
        <v/>
      </c>
      <c r="BM58" s="5">
        <f>$B58*(Eras!$BD$3*INDEX(Curves!$C$4:$BV$4,BM$2-53+1)+Eras!$BD$4*INDEX(Curves!$C$27:$BV$27,BM$2-53+1)+Eras!$BD$5*INDEX(Curves!$C$50:$BV$50,BM$2-53+1))</f>
        <v/>
      </c>
      <c r="BN58" s="5">
        <f>$B58*(Eras!$BD$3*INDEX(Curves!$C$4:$BV$4,BN$2-53+1)+Eras!$BD$4*INDEX(Curves!$C$27:$BV$27,BN$2-53+1)+Eras!$BD$5*INDEX(Curves!$C$50:$BV$50,BN$2-53+1))</f>
        <v/>
      </c>
      <c r="BO58" s="5">
        <f>$B58*(Eras!$BD$3*INDEX(Curves!$C$4:$BV$4,BO$2-53+1)+Eras!$BD$4*INDEX(Curves!$C$27:$BV$27,BO$2-53+1)+Eras!$BD$5*INDEX(Curves!$C$50:$BV$50,BO$2-53+1))</f>
        <v/>
      </c>
      <c r="BP58" s="5">
        <f>$B58*(Eras!$BD$3*INDEX(Curves!$C$4:$BV$4,BP$2-53+1)+Eras!$BD$4*INDEX(Curves!$C$27:$BV$27,BP$2-53+1)+Eras!$BD$5*INDEX(Curves!$C$50:$BV$50,BP$2-53+1))</f>
        <v/>
      </c>
      <c r="BQ58" s="5">
        <f>$B58*(Eras!$BD$3*INDEX(Curves!$C$4:$BV$4,BQ$2-53+1)+Eras!$BD$4*INDEX(Curves!$C$27:$BV$27,BQ$2-53+1)+Eras!$BD$5*INDEX(Curves!$C$50:$BV$50,BQ$2-53+1))</f>
        <v/>
      </c>
      <c r="BR58" s="5">
        <f>$B58*(Eras!$BD$3*INDEX(Curves!$C$4:$BV$4,BR$2-53+1)+Eras!$BD$4*INDEX(Curves!$C$27:$BV$27,BR$2-53+1)+Eras!$BD$5*INDEX(Curves!$C$50:$BV$50,BR$2-53+1))</f>
        <v/>
      </c>
      <c r="BS58" s="5">
        <f>$B58*(Eras!$BD$3*INDEX(Curves!$C$4:$BV$4,BS$2-53+1)+Eras!$BD$4*INDEX(Curves!$C$27:$BV$27,BS$2-53+1)+Eras!$BD$5*INDEX(Curves!$C$50:$BV$50,BS$2-53+1))</f>
        <v/>
      </c>
      <c r="BT58" s="5">
        <f>$B58*(Eras!$BD$3*INDEX(Curves!$C$4:$BV$4,BT$2-53+1)+Eras!$BD$4*INDEX(Curves!$C$27:$BV$27,BT$2-53+1)+Eras!$BD$5*INDEX(Curves!$C$50:$BV$50,BT$2-53+1))</f>
        <v/>
      </c>
      <c r="BU58" s="5">
        <f>$B58*(Eras!$BD$3*INDEX(Curves!$C$4:$BV$4,BU$2-53+1)+Eras!$BD$4*INDEX(Curves!$C$27:$BV$27,BU$2-53+1)+Eras!$BD$5*INDEX(Curves!$C$50:$BV$50,BU$2-53+1))</f>
        <v/>
      </c>
      <c r="BV58" s="5">
        <f>$B58*(Eras!$BD$3*INDEX(Curves!$C$4:$BV$4,BV$2-53+1)+Eras!$BD$4*INDEX(Curves!$C$27:$BV$27,BV$2-53+1)+Eras!$BD$5*INDEX(Curves!$C$50:$BV$50,BV$2-53+1))</f>
        <v/>
      </c>
    </row>
    <row r="59">
      <c r="A59" t="inlineStr">
        <is>
          <t>cohort 2029-07</t>
        </is>
      </c>
      <c r="B59" s="5">
        <f>INDEX(Adds!$C$13:$BV$13,55)</f>
        <v/>
      </c>
      <c r="BE59" s="5">
        <f>$B59*(Eras!$BE$3*INDEX(Curves!$C$4:$BV$4,BE$2-54+1)+Eras!$BE$4*INDEX(Curves!$C$27:$BV$27,BE$2-54+1)+Eras!$BE$5*INDEX(Curves!$C$50:$BV$50,BE$2-54+1))</f>
        <v/>
      </c>
      <c r="BF59" s="5">
        <f>$B59*(Eras!$BE$3*INDEX(Curves!$C$4:$BV$4,BF$2-54+1)+Eras!$BE$4*INDEX(Curves!$C$27:$BV$27,BF$2-54+1)+Eras!$BE$5*INDEX(Curves!$C$50:$BV$50,BF$2-54+1))</f>
        <v/>
      </c>
      <c r="BG59" s="5">
        <f>$B59*(Eras!$BE$3*INDEX(Curves!$C$4:$BV$4,BG$2-54+1)+Eras!$BE$4*INDEX(Curves!$C$27:$BV$27,BG$2-54+1)+Eras!$BE$5*INDEX(Curves!$C$50:$BV$50,BG$2-54+1))</f>
        <v/>
      </c>
      <c r="BH59" s="5">
        <f>$B59*(Eras!$BE$3*INDEX(Curves!$C$4:$BV$4,BH$2-54+1)+Eras!$BE$4*INDEX(Curves!$C$27:$BV$27,BH$2-54+1)+Eras!$BE$5*INDEX(Curves!$C$50:$BV$50,BH$2-54+1))</f>
        <v/>
      </c>
      <c r="BI59" s="5">
        <f>$B59*(Eras!$BE$3*INDEX(Curves!$C$4:$BV$4,BI$2-54+1)+Eras!$BE$4*INDEX(Curves!$C$27:$BV$27,BI$2-54+1)+Eras!$BE$5*INDEX(Curves!$C$50:$BV$50,BI$2-54+1))</f>
        <v/>
      </c>
      <c r="BJ59" s="5">
        <f>$B59*(Eras!$BE$3*INDEX(Curves!$C$4:$BV$4,BJ$2-54+1)+Eras!$BE$4*INDEX(Curves!$C$27:$BV$27,BJ$2-54+1)+Eras!$BE$5*INDEX(Curves!$C$50:$BV$50,BJ$2-54+1))</f>
        <v/>
      </c>
      <c r="BK59" s="5">
        <f>$B59*(Eras!$BE$3*INDEX(Curves!$C$4:$BV$4,BK$2-54+1)+Eras!$BE$4*INDEX(Curves!$C$27:$BV$27,BK$2-54+1)+Eras!$BE$5*INDEX(Curves!$C$50:$BV$50,BK$2-54+1))</f>
        <v/>
      </c>
      <c r="BL59" s="5">
        <f>$B59*(Eras!$BE$3*INDEX(Curves!$C$4:$BV$4,BL$2-54+1)+Eras!$BE$4*INDEX(Curves!$C$27:$BV$27,BL$2-54+1)+Eras!$BE$5*INDEX(Curves!$C$50:$BV$50,BL$2-54+1))</f>
        <v/>
      </c>
      <c r="BM59" s="5">
        <f>$B59*(Eras!$BE$3*INDEX(Curves!$C$4:$BV$4,BM$2-54+1)+Eras!$BE$4*INDEX(Curves!$C$27:$BV$27,BM$2-54+1)+Eras!$BE$5*INDEX(Curves!$C$50:$BV$50,BM$2-54+1))</f>
        <v/>
      </c>
      <c r="BN59" s="5">
        <f>$B59*(Eras!$BE$3*INDEX(Curves!$C$4:$BV$4,BN$2-54+1)+Eras!$BE$4*INDEX(Curves!$C$27:$BV$27,BN$2-54+1)+Eras!$BE$5*INDEX(Curves!$C$50:$BV$50,BN$2-54+1))</f>
        <v/>
      </c>
      <c r="BO59" s="5">
        <f>$B59*(Eras!$BE$3*INDEX(Curves!$C$4:$BV$4,BO$2-54+1)+Eras!$BE$4*INDEX(Curves!$C$27:$BV$27,BO$2-54+1)+Eras!$BE$5*INDEX(Curves!$C$50:$BV$50,BO$2-54+1))</f>
        <v/>
      </c>
      <c r="BP59" s="5">
        <f>$B59*(Eras!$BE$3*INDEX(Curves!$C$4:$BV$4,BP$2-54+1)+Eras!$BE$4*INDEX(Curves!$C$27:$BV$27,BP$2-54+1)+Eras!$BE$5*INDEX(Curves!$C$50:$BV$50,BP$2-54+1))</f>
        <v/>
      </c>
      <c r="BQ59" s="5">
        <f>$B59*(Eras!$BE$3*INDEX(Curves!$C$4:$BV$4,BQ$2-54+1)+Eras!$BE$4*INDEX(Curves!$C$27:$BV$27,BQ$2-54+1)+Eras!$BE$5*INDEX(Curves!$C$50:$BV$50,BQ$2-54+1))</f>
        <v/>
      </c>
      <c r="BR59" s="5">
        <f>$B59*(Eras!$BE$3*INDEX(Curves!$C$4:$BV$4,BR$2-54+1)+Eras!$BE$4*INDEX(Curves!$C$27:$BV$27,BR$2-54+1)+Eras!$BE$5*INDEX(Curves!$C$50:$BV$50,BR$2-54+1))</f>
        <v/>
      </c>
      <c r="BS59" s="5">
        <f>$B59*(Eras!$BE$3*INDEX(Curves!$C$4:$BV$4,BS$2-54+1)+Eras!$BE$4*INDEX(Curves!$C$27:$BV$27,BS$2-54+1)+Eras!$BE$5*INDEX(Curves!$C$50:$BV$50,BS$2-54+1))</f>
        <v/>
      </c>
      <c r="BT59" s="5">
        <f>$B59*(Eras!$BE$3*INDEX(Curves!$C$4:$BV$4,BT$2-54+1)+Eras!$BE$4*INDEX(Curves!$C$27:$BV$27,BT$2-54+1)+Eras!$BE$5*INDEX(Curves!$C$50:$BV$50,BT$2-54+1))</f>
        <v/>
      </c>
      <c r="BU59" s="5">
        <f>$B59*(Eras!$BE$3*INDEX(Curves!$C$4:$BV$4,BU$2-54+1)+Eras!$BE$4*INDEX(Curves!$C$27:$BV$27,BU$2-54+1)+Eras!$BE$5*INDEX(Curves!$C$50:$BV$50,BU$2-54+1))</f>
        <v/>
      </c>
      <c r="BV59" s="5">
        <f>$B59*(Eras!$BE$3*INDEX(Curves!$C$4:$BV$4,BV$2-54+1)+Eras!$BE$4*INDEX(Curves!$C$27:$BV$27,BV$2-54+1)+Eras!$BE$5*INDEX(Curves!$C$50:$BV$50,BV$2-54+1))</f>
        <v/>
      </c>
    </row>
    <row r="60">
      <c r="A60" t="inlineStr">
        <is>
          <t>cohort 2029-08</t>
        </is>
      </c>
      <c r="B60" s="5">
        <f>INDEX(Adds!$C$13:$BV$13,56)</f>
        <v/>
      </c>
      <c r="BF60" s="5">
        <f>$B60*(Eras!$BF$3*INDEX(Curves!$C$4:$BV$4,BF$2-55+1)+Eras!$BF$4*INDEX(Curves!$C$27:$BV$27,BF$2-55+1)+Eras!$BF$5*INDEX(Curves!$C$50:$BV$50,BF$2-55+1))</f>
        <v/>
      </c>
      <c r="BG60" s="5">
        <f>$B60*(Eras!$BF$3*INDEX(Curves!$C$4:$BV$4,BG$2-55+1)+Eras!$BF$4*INDEX(Curves!$C$27:$BV$27,BG$2-55+1)+Eras!$BF$5*INDEX(Curves!$C$50:$BV$50,BG$2-55+1))</f>
        <v/>
      </c>
      <c r="BH60" s="5">
        <f>$B60*(Eras!$BF$3*INDEX(Curves!$C$4:$BV$4,BH$2-55+1)+Eras!$BF$4*INDEX(Curves!$C$27:$BV$27,BH$2-55+1)+Eras!$BF$5*INDEX(Curves!$C$50:$BV$50,BH$2-55+1))</f>
        <v/>
      </c>
      <c r="BI60" s="5">
        <f>$B60*(Eras!$BF$3*INDEX(Curves!$C$4:$BV$4,BI$2-55+1)+Eras!$BF$4*INDEX(Curves!$C$27:$BV$27,BI$2-55+1)+Eras!$BF$5*INDEX(Curves!$C$50:$BV$50,BI$2-55+1))</f>
        <v/>
      </c>
      <c r="BJ60" s="5">
        <f>$B60*(Eras!$BF$3*INDEX(Curves!$C$4:$BV$4,BJ$2-55+1)+Eras!$BF$4*INDEX(Curves!$C$27:$BV$27,BJ$2-55+1)+Eras!$BF$5*INDEX(Curves!$C$50:$BV$50,BJ$2-55+1))</f>
        <v/>
      </c>
      <c r="BK60" s="5">
        <f>$B60*(Eras!$BF$3*INDEX(Curves!$C$4:$BV$4,BK$2-55+1)+Eras!$BF$4*INDEX(Curves!$C$27:$BV$27,BK$2-55+1)+Eras!$BF$5*INDEX(Curves!$C$50:$BV$50,BK$2-55+1))</f>
        <v/>
      </c>
      <c r="BL60" s="5">
        <f>$B60*(Eras!$BF$3*INDEX(Curves!$C$4:$BV$4,BL$2-55+1)+Eras!$BF$4*INDEX(Curves!$C$27:$BV$27,BL$2-55+1)+Eras!$BF$5*INDEX(Curves!$C$50:$BV$50,BL$2-55+1))</f>
        <v/>
      </c>
      <c r="BM60" s="5">
        <f>$B60*(Eras!$BF$3*INDEX(Curves!$C$4:$BV$4,BM$2-55+1)+Eras!$BF$4*INDEX(Curves!$C$27:$BV$27,BM$2-55+1)+Eras!$BF$5*INDEX(Curves!$C$50:$BV$50,BM$2-55+1))</f>
        <v/>
      </c>
      <c r="BN60" s="5">
        <f>$B60*(Eras!$BF$3*INDEX(Curves!$C$4:$BV$4,BN$2-55+1)+Eras!$BF$4*INDEX(Curves!$C$27:$BV$27,BN$2-55+1)+Eras!$BF$5*INDEX(Curves!$C$50:$BV$50,BN$2-55+1))</f>
        <v/>
      </c>
      <c r="BO60" s="5">
        <f>$B60*(Eras!$BF$3*INDEX(Curves!$C$4:$BV$4,BO$2-55+1)+Eras!$BF$4*INDEX(Curves!$C$27:$BV$27,BO$2-55+1)+Eras!$BF$5*INDEX(Curves!$C$50:$BV$50,BO$2-55+1))</f>
        <v/>
      </c>
      <c r="BP60" s="5">
        <f>$B60*(Eras!$BF$3*INDEX(Curves!$C$4:$BV$4,BP$2-55+1)+Eras!$BF$4*INDEX(Curves!$C$27:$BV$27,BP$2-55+1)+Eras!$BF$5*INDEX(Curves!$C$50:$BV$50,BP$2-55+1))</f>
        <v/>
      </c>
      <c r="BQ60" s="5">
        <f>$B60*(Eras!$BF$3*INDEX(Curves!$C$4:$BV$4,BQ$2-55+1)+Eras!$BF$4*INDEX(Curves!$C$27:$BV$27,BQ$2-55+1)+Eras!$BF$5*INDEX(Curves!$C$50:$BV$50,BQ$2-55+1))</f>
        <v/>
      </c>
      <c r="BR60" s="5">
        <f>$B60*(Eras!$BF$3*INDEX(Curves!$C$4:$BV$4,BR$2-55+1)+Eras!$BF$4*INDEX(Curves!$C$27:$BV$27,BR$2-55+1)+Eras!$BF$5*INDEX(Curves!$C$50:$BV$50,BR$2-55+1))</f>
        <v/>
      </c>
      <c r="BS60" s="5">
        <f>$B60*(Eras!$BF$3*INDEX(Curves!$C$4:$BV$4,BS$2-55+1)+Eras!$BF$4*INDEX(Curves!$C$27:$BV$27,BS$2-55+1)+Eras!$BF$5*INDEX(Curves!$C$50:$BV$50,BS$2-55+1))</f>
        <v/>
      </c>
      <c r="BT60" s="5">
        <f>$B60*(Eras!$BF$3*INDEX(Curves!$C$4:$BV$4,BT$2-55+1)+Eras!$BF$4*INDEX(Curves!$C$27:$BV$27,BT$2-55+1)+Eras!$BF$5*INDEX(Curves!$C$50:$BV$50,BT$2-55+1))</f>
        <v/>
      </c>
      <c r="BU60" s="5">
        <f>$B60*(Eras!$BF$3*INDEX(Curves!$C$4:$BV$4,BU$2-55+1)+Eras!$BF$4*INDEX(Curves!$C$27:$BV$27,BU$2-55+1)+Eras!$BF$5*INDEX(Curves!$C$50:$BV$50,BU$2-55+1))</f>
        <v/>
      </c>
      <c r="BV60" s="5">
        <f>$B60*(Eras!$BF$3*INDEX(Curves!$C$4:$BV$4,BV$2-55+1)+Eras!$BF$4*INDEX(Curves!$C$27:$BV$27,BV$2-55+1)+Eras!$BF$5*INDEX(Curves!$C$50:$BV$50,BV$2-55+1))</f>
        <v/>
      </c>
    </row>
    <row r="61">
      <c r="A61" t="inlineStr">
        <is>
          <t>cohort 2029-09</t>
        </is>
      </c>
      <c r="B61" s="5">
        <f>INDEX(Adds!$C$13:$BV$13,57)</f>
        <v/>
      </c>
      <c r="BG61" s="5">
        <f>$B61*(Eras!$BG$3*INDEX(Curves!$C$4:$BV$4,BG$2-56+1)+Eras!$BG$4*INDEX(Curves!$C$27:$BV$27,BG$2-56+1)+Eras!$BG$5*INDEX(Curves!$C$50:$BV$50,BG$2-56+1))</f>
        <v/>
      </c>
      <c r="BH61" s="5">
        <f>$B61*(Eras!$BG$3*INDEX(Curves!$C$4:$BV$4,BH$2-56+1)+Eras!$BG$4*INDEX(Curves!$C$27:$BV$27,BH$2-56+1)+Eras!$BG$5*INDEX(Curves!$C$50:$BV$50,BH$2-56+1))</f>
        <v/>
      </c>
      <c r="BI61" s="5">
        <f>$B61*(Eras!$BG$3*INDEX(Curves!$C$4:$BV$4,BI$2-56+1)+Eras!$BG$4*INDEX(Curves!$C$27:$BV$27,BI$2-56+1)+Eras!$BG$5*INDEX(Curves!$C$50:$BV$50,BI$2-56+1))</f>
        <v/>
      </c>
      <c r="BJ61" s="5">
        <f>$B61*(Eras!$BG$3*INDEX(Curves!$C$4:$BV$4,BJ$2-56+1)+Eras!$BG$4*INDEX(Curves!$C$27:$BV$27,BJ$2-56+1)+Eras!$BG$5*INDEX(Curves!$C$50:$BV$50,BJ$2-56+1))</f>
        <v/>
      </c>
      <c r="BK61" s="5">
        <f>$B61*(Eras!$BG$3*INDEX(Curves!$C$4:$BV$4,BK$2-56+1)+Eras!$BG$4*INDEX(Curves!$C$27:$BV$27,BK$2-56+1)+Eras!$BG$5*INDEX(Curves!$C$50:$BV$50,BK$2-56+1))</f>
        <v/>
      </c>
      <c r="BL61" s="5">
        <f>$B61*(Eras!$BG$3*INDEX(Curves!$C$4:$BV$4,BL$2-56+1)+Eras!$BG$4*INDEX(Curves!$C$27:$BV$27,BL$2-56+1)+Eras!$BG$5*INDEX(Curves!$C$50:$BV$50,BL$2-56+1))</f>
        <v/>
      </c>
      <c r="BM61" s="5">
        <f>$B61*(Eras!$BG$3*INDEX(Curves!$C$4:$BV$4,BM$2-56+1)+Eras!$BG$4*INDEX(Curves!$C$27:$BV$27,BM$2-56+1)+Eras!$BG$5*INDEX(Curves!$C$50:$BV$50,BM$2-56+1))</f>
        <v/>
      </c>
      <c r="BN61" s="5">
        <f>$B61*(Eras!$BG$3*INDEX(Curves!$C$4:$BV$4,BN$2-56+1)+Eras!$BG$4*INDEX(Curves!$C$27:$BV$27,BN$2-56+1)+Eras!$BG$5*INDEX(Curves!$C$50:$BV$50,BN$2-56+1))</f>
        <v/>
      </c>
      <c r="BO61" s="5">
        <f>$B61*(Eras!$BG$3*INDEX(Curves!$C$4:$BV$4,BO$2-56+1)+Eras!$BG$4*INDEX(Curves!$C$27:$BV$27,BO$2-56+1)+Eras!$BG$5*INDEX(Curves!$C$50:$BV$50,BO$2-56+1))</f>
        <v/>
      </c>
      <c r="BP61" s="5">
        <f>$B61*(Eras!$BG$3*INDEX(Curves!$C$4:$BV$4,BP$2-56+1)+Eras!$BG$4*INDEX(Curves!$C$27:$BV$27,BP$2-56+1)+Eras!$BG$5*INDEX(Curves!$C$50:$BV$50,BP$2-56+1))</f>
        <v/>
      </c>
      <c r="BQ61" s="5">
        <f>$B61*(Eras!$BG$3*INDEX(Curves!$C$4:$BV$4,BQ$2-56+1)+Eras!$BG$4*INDEX(Curves!$C$27:$BV$27,BQ$2-56+1)+Eras!$BG$5*INDEX(Curves!$C$50:$BV$50,BQ$2-56+1))</f>
        <v/>
      </c>
      <c r="BR61" s="5">
        <f>$B61*(Eras!$BG$3*INDEX(Curves!$C$4:$BV$4,BR$2-56+1)+Eras!$BG$4*INDEX(Curves!$C$27:$BV$27,BR$2-56+1)+Eras!$BG$5*INDEX(Curves!$C$50:$BV$50,BR$2-56+1))</f>
        <v/>
      </c>
      <c r="BS61" s="5">
        <f>$B61*(Eras!$BG$3*INDEX(Curves!$C$4:$BV$4,BS$2-56+1)+Eras!$BG$4*INDEX(Curves!$C$27:$BV$27,BS$2-56+1)+Eras!$BG$5*INDEX(Curves!$C$50:$BV$50,BS$2-56+1))</f>
        <v/>
      </c>
      <c r="BT61" s="5">
        <f>$B61*(Eras!$BG$3*INDEX(Curves!$C$4:$BV$4,BT$2-56+1)+Eras!$BG$4*INDEX(Curves!$C$27:$BV$27,BT$2-56+1)+Eras!$BG$5*INDEX(Curves!$C$50:$BV$50,BT$2-56+1))</f>
        <v/>
      </c>
      <c r="BU61" s="5">
        <f>$B61*(Eras!$BG$3*INDEX(Curves!$C$4:$BV$4,BU$2-56+1)+Eras!$BG$4*INDEX(Curves!$C$27:$BV$27,BU$2-56+1)+Eras!$BG$5*INDEX(Curves!$C$50:$BV$50,BU$2-56+1))</f>
        <v/>
      </c>
      <c r="BV61" s="5">
        <f>$B61*(Eras!$BG$3*INDEX(Curves!$C$4:$BV$4,BV$2-56+1)+Eras!$BG$4*INDEX(Curves!$C$27:$BV$27,BV$2-56+1)+Eras!$BG$5*INDEX(Curves!$C$50:$BV$50,BV$2-56+1))</f>
        <v/>
      </c>
    </row>
    <row r="62">
      <c r="A62" t="inlineStr">
        <is>
          <t>cohort 2029-10</t>
        </is>
      </c>
      <c r="B62" s="5">
        <f>INDEX(Adds!$C$13:$BV$13,58)</f>
        <v/>
      </c>
      <c r="BH62" s="5">
        <f>$B62*(Eras!$BH$3*INDEX(Curves!$C$4:$BV$4,BH$2-57+1)+Eras!$BH$4*INDEX(Curves!$C$27:$BV$27,BH$2-57+1)+Eras!$BH$5*INDEX(Curves!$C$50:$BV$50,BH$2-57+1))</f>
        <v/>
      </c>
      <c r="BI62" s="5">
        <f>$B62*(Eras!$BH$3*INDEX(Curves!$C$4:$BV$4,BI$2-57+1)+Eras!$BH$4*INDEX(Curves!$C$27:$BV$27,BI$2-57+1)+Eras!$BH$5*INDEX(Curves!$C$50:$BV$50,BI$2-57+1))</f>
        <v/>
      </c>
      <c r="BJ62" s="5">
        <f>$B62*(Eras!$BH$3*INDEX(Curves!$C$4:$BV$4,BJ$2-57+1)+Eras!$BH$4*INDEX(Curves!$C$27:$BV$27,BJ$2-57+1)+Eras!$BH$5*INDEX(Curves!$C$50:$BV$50,BJ$2-57+1))</f>
        <v/>
      </c>
      <c r="BK62" s="5">
        <f>$B62*(Eras!$BH$3*INDEX(Curves!$C$4:$BV$4,BK$2-57+1)+Eras!$BH$4*INDEX(Curves!$C$27:$BV$27,BK$2-57+1)+Eras!$BH$5*INDEX(Curves!$C$50:$BV$50,BK$2-57+1))</f>
        <v/>
      </c>
      <c r="BL62" s="5">
        <f>$B62*(Eras!$BH$3*INDEX(Curves!$C$4:$BV$4,BL$2-57+1)+Eras!$BH$4*INDEX(Curves!$C$27:$BV$27,BL$2-57+1)+Eras!$BH$5*INDEX(Curves!$C$50:$BV$50,BL$2-57+1))</f>
        <v/>
      </c>
      <c r="BM62" s="5">
        <f>$B62*(Eras!$BH$3*INDEX(Curves!$C$4:$BV$4,BM$2-57+1)+Eras!$BH$4*INDEX(Curves!$C$27:$BV$27,BM$2-57+1)+Eras!$BH$5*INDEX(Curves!$C$50:$BV$50,BM$2-57+1))</f>
        <v/>
      </c>
      <c r="BN62" s="5">
        <f>$B62*(Eras!$BH$3*INDEX(Curves!$C$4:$BV$4,BN$2-57+1)+Eras!$BH$4*INDEX(Curves!$C$27:$BV$27,BN$2-57+1)+Eras!$BH$5*INDEX(Curves!$C$50:$BV$50,BN$2-57+1))</f>
        <v/>
      </c>
      <c r="BO62" s="5">
        <f>$B62*(Eras!$BH$3*INDEX(Curves!$C$4:$BV$4,BO$2-57+1)+Eras!$BH$4*INDEX(Curves!$C$27:$BV$27,BO$2-57+1)+Eras!$BH$5*INDEX(Curves!$C$50:$BV$50,BO$2-57+1))</f>
        <v/>
      </c>
      <c r="BP62" s="5">
        <f>$B62*(Eras!$BH$3*INDEX(Curves!$C$4:$BV$4,BP$2-57+1)+Eras!$BH$4*INDEX(Curves!$C$27:$BV$27,BP$2-57+1)+Eras!$BH$5*INDEX(Curves!$C$50:$BV$50,BP$2-57+1))</f>
        <v/>
      </c>
      <c r="BQ62" s="5">
        <f>$B62*(Eras!$BH$3*INDEX(Curves!$C$4:$BV$4,BQ$2-57+1)+Eras!$BH$4*INDEX(Curves!$C$27:$BV$27,BQ$2-57+1)+Eras!$BH$5*INDEX(Curves!$C$50:$BV$50,BQ$2-57+1))</f>
        <v/>
      </c>
      <c r="BR62" s="5">
        <f>$B62*(Eras!$BH$3*INDEX(Curves!$C$4:$BV$4,BR$2-57+1)+Eras!$BH$4*INDEX(Curves!$C$27:$BV$27,BR$2-57+1)+Eras!$BH$5*INDEX(Curves!$C$50:$BV$50,BR$2-57+1))</f>
        <v/>
      </c>
      <c r="BS62" s="5">
        <f>$B62*(Eras!$BH$3*INDEX(Curves!$C$4:$BV$4,BS$2-57+1)+Eras!$BH$4*INDEX(Curves!$C$27:$BV$27,BS$2-57+1)+Eras!$BH$5*INDEX(Curves!$C$50:$BV$50,BS$2-57+1))</f>
        <v/>
      </c>
      <c r="BT62" s="5">
        <f>$B62*(Eras!$BH$3*INDEX(Curves!$C$4:$BV$4,BT$2-57+1)+Eras!$BH$4*INDEX(Curves!$C$27:$BV$27,BT$2-57+1)+Eras!$BH$5*INDEX(Curves!$C$50:$BV$50,BT$2-57+1))</f>
        <v/>
      </c>
      <c r="BU62" s="5">
        <f>$B62*(Eras!$BH$3*INDEX(Curves!$C$4:$BV$4,BU$2-57+1)+Eras!$BH$4*INDEX(Curves!$C$27:$BV$27,BU$2-57+1)+Eras!$BH$5*INDEX(Curves!$C$50:$BV$50,BU$2-57+1))</f>
        <v/>
      </c>
      <c r="BV62" s="5">
        <f>$B62*(Eras!$BH$3*INDEX(Curves!$C$4:$BV$4,BV$2-57+1)+Eras!$BH$4*INDEX(Curves!$C$27:$BV$27,BV$2-57+1)+Eras!$BH$5*INDEX(Curves!$C$50:$BV$50,BV$2-57+1))</f>
        <v/>
      </c>
    </row>
    <row r="63">
      <c r="A63" t="inlineStr">
        <is>
          <t>cohort 2029-11</t>
        </is>
      </c>
      <c r="B63" s="5">
        <f>INDEX(Adds!$C$13:$BV$13,59)</f>
        <v/>
      </c>
      <c r="BI63" s="5">
        <f>$B63*(Eras!$BI$3*INDEX(Curves!$C$4:$BV$4,BI$2-58+1)+Eras!$BI$4*INDEX(Curves!$C$27:$BV$27,BI$2-58+1)+Eras!$BI$5*INDEX(Curves!$C$50:$BV$50,BI$2-58+1))</f>
        <v/>
      </c>
      <c r="BJ63" s="5">
        <f>$B63*(Eras!$BI$3*INDEX(Curves!$C$4:$BV$4,BJ$2-58+1)+Eras!$BI$4*INDEX(Curves!$C$27:$BV$27,BJ$2-58+1)+Eras!$BI$5*INDEX(Curves!$C$50:$BV$50,BJ$2-58+1))</f>
        <v/>
      </c>
      <c r="BK63" s="5">
        <f>$B63*(Eras!$BI$3*INDEX(Curves!$C$4:$BV$4,BK$2-58+1)+Eras!$BI$4*INDEX(Curves!$C$27:$BV$27,BK$2-58+1)+Eras!$BI$5*INDEX(Curves!$C$50:$BV$50,BK$2-58+1))</f>
        <v/>
      </c>
      <c r="BL63" s="5">
        <f>$B63*(Eras!$BI$3*INDEX(Curves!$C$4:$BV$4,BL$2-58+1)+Eras!$BI$4*INDEX(Curves!$C$27:$BV$27,BL$2-58+1)+Eras!$BI$5*INDEX(Curves!$C$50:$BV$50,BL$2-58+1))</f>
        <v/>
      </c>
      <c r="BM63" s="5">
        <f>$B63*(Eras!$BI$3*INDEX(Curves!$C$4:$BV$4,BM$2-58+1)+Eras!$BI$4*INDEX(Curves!$C$27:$BV$27,BM$2-58+1)+Eras!$BI$5*INDEX(Curves!$C$50:$BV$50,BM$2-58+1))</f>
        <v/>
      </c>
      <c r="BN63" s="5">
        <f>$B63*(Eras!$BI$3*INDEX(Curves!$C$4:$BV$4,BN$2-58+1)+Eras!$BI$4*INDEX(Curves!$C$27:$BV$27,BN$2-58+1)+Eras!$BI$5*INDEX(Curves!$C$50:$BV$50,BN$2-58+1))</f>
        <v/>
      </c>
      <c r="BO63" s="5">
        <f>$B63*(Eras!$BI$3*INDEX(Curves!$C$4:$BV$4,BO$2-58+1)+Eras!$BI$4*INDEX(Curves!$C$27:$BV$27,BO$2-58+1)+Eras!$BI$5*INDEX(Curves!$C$50:$BV$50,BO$2-58+1))</f>
        <v/>
      </c>
      <c r="BP63" s="5">
        <f>$B63*(Eras!$BI$3*INDEX(Curves!$C$4:$BV$4,BP$2-58+1)+Eras!$BI$4*INDEX(Curves!$C$27:$BV$27,BP$2-58+1)+Eras!$BI$5*INDEX(Curves!$C$50:$BV$50,BP$2-58+1))</f>
        <v/>
      </c>
      <c r="BQ63" s="5">
        <f>$B63*(Eras!$BI$3*INDEX(Curves!$C$4:$BV$4,BQ$2-58+1)+Eras!$BI$4*INDEX(Curves!$C$27:$BV$27,BQ$2-58+1)+Eras!$BI$5*INDEX(Curves!$C$50:$BV$50,BQ$2-58+1))</f>
        <v/>
      </c>
      <c r="BR63" s="5">
        <f>$B63*(Eras!$BI$3*INDEX(Curves!$C$4:$BV$4,BR$2-58+1)+Eras!$BI$4*INDEX(Curves!$C$27:$BV$27,BR$2-58+1)+Eras!$BI$5*INDEX(Curves!$C$50:$BV$50,BR$2-58+1))</f>
        <v/>
      </c>
      <c r="BS63" s="5">
        <f>$B63*(Eras!$BI$3*INDEX(Curves!$C$4:$BV$4,BS$2-58+1)+Eras!$BI$4*INDEX(Curves!$C$27:$BV$27,BS$2-58+1)+Eras!$BI$5*INDEX(Curves!$C$50:$BV$50,BS$2-58+1))</f>
        <v/>
      </c>
      <c r="BT63" s="5">
        <f>$B63*(Eras!$BI$3*INDEX(Curves!$C$4:$BV$4,BT$2-58+1)+Eras!$BI$4*INDEX(Curves!$C$27:$BV$27,BT$2-58+1)+Eras!$BI$5*INDEX(Curves!$C$50:$BV$50,BT$2-58+1))</f>
        <v/>
      </c>
      <c r="BU63" s="5">
        <f>$B63*(Eras!$BI$3*INDEX(Curves!$C$4:$BV$4,BU$2-58+1)+Eras!$BI$4*INDEX(Curves!$C$27:$BV$27,BU$2-58+1)+Eras!$BI$5*INDEX(Curves!$C$50:$BV$50,BU$2-58+1))</f>
        <v/>
      </c>
      <c r="BV63" s="5">
        <f>$B63*(Eras!$BI$3*INDEX(Curves!$C$4:$BV$4,BV$2-58+1)+Eras!$BI$4*INDEX(Curves!$C$27:$BV$27,BV$2-58+1)+Eras!$BI$5*INDEX(Curves!$C$50:$BV$50,BV$2-58+1))</f>
        <v/>
      </c>
    </row>
    <row r="64">
      <c r="A64" t="inlineStr">
        <is>
          <t>cohort 2029-12</t>
        </is>
      </c>
      <c r="B64" s="5">
        <f>INDEX(Adds!$C$13:$BV$13,60)</f>
        <v/>
      </c>
      <c r="BJ64" s="5">
        <f>$B64*(Eras!$BJ$3*INDEX(Curves!$C$4:$BV$4,BJ$2-59+1)+Eras!$BJ$4*INDEX(Curves!$C$27:$BV$27,BJ$2-59+1)+Eras!$BJ$5*INDEX(Curves!$C$50:$BV$50,BJ$2-59+1))</f>
        <v/>
      </c>
      <c r="BK64" s="5">
        <f>$B64*(Eras!$BJ$3*INDEX(Curves!$C$4:$BV$4,BK$2-59+1)+Eras!$BJ$4*INDEX(Curves!$C$27:$BV$27,BK$2-59+1)+Eras!$BJ$5*INDEX(Curves!$C$50:$BV$50,BK$2-59+1))</f>
        <v/>
      </c>
      <c r="BL64" s="5">
        <f>$B64*(Eras!$BJ$3*INDEX(Curves!$C$4:$BV$4,BL$2-59+1)+Eras!$BJ$4*INDEX(Curves!$C$27:$BV$27,BL$2-59+1)+Eras!$BJ$5*INDEX(Curves!$C$50:$BV$50,BL$2-59+1))</f>
        <v/>
      </c>
      <c r="BM64" s="5">
        <f>$B64*(Eras!$BJ$3*INDEX(Curves!$C$4:$BV$4,BM$2-59+1)+Eras!$BJ$4*INDEX(Curves!$C$27:$BV$27,BM$2-59+1)+Eras!$BJ$5*INDEX(Curves!$C$50:$BV$50,BM$2-59+1))</f>
        <v/>
      </c>
      <c r="BN64" s="5">
        <f>$B64*(Eras!$BJ$3*INDEX(Curves!$C$4:$BV$4,BN$2-59+1)+Eras!$BJ$4*INDEX(Curves!$C$27:$BV$27,BN$2-59+1)+Eras!$BJ$5*INDEX(Curves!$C$50:$BV$50,BN$2-59+1))</f>
        <v/>
      </c>
      <c r="BO64" s="5">
        <f>$B64*(Eras!$BJ$3*INDEX(Curves!$C$4:$BV$4,BO$2-59+1)+Eras!$BJ$4*INDEX(Curves!$C$27:$BV$27,BO$2-59+1)+Eras!$BJ$5*INDEX(Curves!$C$50:$BV$50,BO$2-59+1))</f>
        <v/>
      </c>
      <c r="BP64" s="5">
        <f>$B64*(Eras!$BJ$3*INDEX(Curves!$C$4:$BV$4,BP$2-59+1)+Eras!$BJ$4*INDEX(Curves!$C$27:$BV$27,BP$2-59+1)+Eras!$BJ$5*INDEX(Curves!$C$50:$BV$50,BP$2-59+1))</f>
        <v/>
      </c>
      <c r="BQ64" s="5">
        <f>$B64*(Eras!$BJ$3*INDEX(Curves!$C$4:$BV$4,BQ$2-59+1)+Eras!$BJ$4*INDEX(Curves!$C$27:$BV$27,BQ$2-59+1)+Eras!$BJ$5*INDEX(Curves!$C$50:$BV$50,BQ$2-59+1))</f>
        <v/>
      </c>
      <c r="BR64" s="5">
        <f>$B64*(Eras!$BJ$3*INDEX(Curves!$C$4:$BV$4,BR$2-59+1)+Eras!$BJ$4*INDEX(Curves!$C$27:$BV$27,BR$2-59+1)+Eras!$BJ$5*INDEX(Curves!$C$50:$BV$50,BR$2-59+1))</f>
        <v/>
      </c>
      <c r="BS64" s="5">
        <f>$B64*(Eras!$BJ$3*INDEX(Curves!$C$4:$BV$4,BS$2-59+1)+Eras!$BJ$4*INDEX(Curves!$C$27:$BV$27,BS$2-59+1)+Eras!$BJ$5*INDEX(Curves!$C$50:$BV$50,BS$2-59+1))</f>
        <v/>
      </c>
      <c r="BT64" s="5">
        <f>$B64*(Eras!$BJ$3*INDEX(Curves!$C$4:$BV$4,BT$2-59+1)+Eras!$BJ$4*INDEX(Curves!$C$27:$BV$27,BT$2-59+1)+Eras!$BJ$5*INDEX(Curves!$C$50:$BV$50,BT$2-59+1))</f>
        <v/>
      </c>
      <c r="BU64" s="5">
        <f>$B64*(Eras!$BJ$3*INDEX(Curves!$C$4:$BV$4,BU$2-59+1)+Eras!$BJ$4*INDEX(Curves!$C$27:$BV$27,BU$2-59+1)+Eras!$BJ$5*INDEX(Curves!$C$50:$BV$50,BU$2-59+1))</f>
        <v/>
      </c>
      <c r="BV64" s="5">
        <f>$B64*(Eras!$BJ$3*INDEX(Curves!$C$4:$BV$4,BV$2-59+1)+Eras!$BJ$4*INDEX(Curves!$C$27:$BV$27,BV$2-59+1)+Eras!$BJ$5*INDEX(Curves!$C$50:$BV$50,BV$2-59+1))</f>
        <v/>
      </c>
    </row>
    <row r="65">
      <c r="A65" t="inlineStr">
        <is>
          <t>cohort 2030-01</t>
        </is>
      </c>
      <c r="B65" s="5">
        <f>INDEX(Adds!$C$13:$BV$13,61)</f>
        <v/>
      </c>
      <c r="BK65" s="5">
        <f>$B65*(Eras!$BK$3*INDEX(Curves!$C$4:$BV$4,BK$2-60+1)+Eras!$BK$4*INDEX(Curves!$C$27:$BV$27,BK$2-60+1)+Eras!$BK$5*INDEX(Curves!$C$50:$BV$50,BK$2-60+1))</f>
        <v/>
      </c>
      <c r="BL65" s="5">
        <f>$B65*(Eras!$BK$3*INDEX(Curves!$C$4:$BV$4,BL$2-60+1)+Eras!$BK$4*INDEX(Curves!$C$27:$BV$27,BL$2-60+1)+Eras!$BK$5*INDEX(Curves!$C$50:$BV$50,BL$2-60+1))</f>
        <v/>
      </c>
      <c r="BM65" s="5">
        <f>$B65*(Eras!$BK$3*INDEX(Curves!$C$4:$BV$4,BM$2-60+1)+Eras!$BK$4*INDEX(Curves!$C$27:$BV$27,BM$2-60+1)+Eras!$BK$5*INDEX(Curves!$C$50:$BV$50,BM$2-60+1))</f>
        <v/>
      </c>
      <c r="BN65" s="5">
        <f>$B65*(Eras!$BK$3*INDEX(Curves!$C$4:$BV$4,BN$2-60+1)+Eras!$BK$4*INDEX(Curves!$C$27:$BV$27,BN$2-60+1)+Eras!$BK$5*INDEX(Curves!$C$50:$BV$50,BN$2-60+1))</f>
        <v/>
      </c>
      <c r="BO65" s="5">
        <f>$B65*(Eras!$BK$3*INDEX(Curves!$C$4:$BV$4,BO$2-60+1)+Eras!$BK$4*INDEX(Curves!$C$27:$BV$27,BO$2-60+1)+Eras!$BK$5*INDEX(Curves!$C$50:$BV$50,BO$2-60+1))</f>
        <v/>
      </c>
      <c r="BP65" s="5">
        <f>$B65*(Eras!$BK$3*INDEX(Curves!$C$4:$BV$4,BP$2-60+1)+Eras!$BK$4*INDEX(Curves!$C$27:$BV$27,BP$2-60+1)+Eras!$BK$5*INDEX(Curves!$C$50:$BV$50,BP$2-60+1))</f>
        <v/>
      </c>
      <c r="BQ65" s="5">
        <f>$B65*(Eras!$BK$3*INDEX(Curves!$C$4:$BV$4,BQ$2-60+1)+Eras!$BK$4*INDEX(Curves!$C$27:$BV$27,BQ$2-60+1)+Eras!$BK$5*INDEX(Curves!$C$50:$BV$50,BQ$2-60+1))</f>
        <v/>
      </c>
      <c r="BR65" s="5">
        <f>$B65*(Eras!$BK$3*INDEX(Curves!$C$4:$BV$4,BR$2-60+1)+Eras!$BK$4*INDEX(Curves!$C$27:$BV$27,BR$2-60+1)+Eras!$BK$5*INDEX(Curves!$C$50:$BV$50,BR$2-60+1))</f>
        <v/>
      </c>
      <c r="BS65" s="5">
        <f>$B65*(Eras!$BK$3*INDEX(Curves!$C$4:$BV$4,BS$2-60+1)+Eras!$BK$4*INDEX(Curves!$C$27:$BV$27,BS$2-60+1)+Eras!$BK$5*INDEX(Curves!$C$50:$BV$50,BS$2-60+1))</f>
        <v/>
      </c>
      <c r="BT65" s="5">
        <f>$B65*(Eras!$BK$3*INDEX(Curves!$C$4:$BV$4,BT$2-60+1)+Eras!$BK$4*INDEX(Curves!$C$27:$BV$27,BT$2-60+1)+Eras!$BK$5*INDEX(Curves!$C$50:$BV$50,BT$2-60+1))</f>
        <v/>
      </c>
      <c r="BU65" s="5">
        <f>$B65*(Eras!$BK$3*INDEX(Curves!$C$4:$BV$4,BU$2-60+1)+Eras!$BK$4*INDEX(Curves!$C$27:$BV$27,BU$2-60+1)+Eras!$BK$5*INDEX(Curves!$C$50:$BV$50,BU$2-60+1))</f>
        <v/>
      </c>
      <c r="BV65" s="5">
        <f>$B65*(Eras!$BK$3*INDEX(Curves!$C$4:$BV$4,BV$2-60+1)+Eras!$BK$4*INDEX(Curves!$C$27:$BV$27,BV$2-60+1)+Eras!$BK$5*INDEX(Curves!$C$50:$BV$50,BV$2-60+1))</f>
        <v/>
      </c>
    </row>
    <row r="66">
      <c r="A66" t="inlineStr">
        <is>
          <t>cohort 2030-02</t>
        </is>
      </c>
      <c r="B66" s="5">
        <f>INDEX(Adds!$C$13:$BV$13,62)</f>
        <v/>
      </c>
      <c r="BL66" s="5">
        <f>$B66*(Eras!$BL$3*INDEX(Curves!$C$4:$BV$4,BL$2-61+1)+Eras!$BL$4*INDEX(Curves!$C$27:$BV$27,BL$2-61+1)+Eras!$BL$5*INDEX(Curves!$C$50:$BV$50,BL$2-61+1))</f>
        <v/>
      </c>
      <c r="BM66" s="5">
        <f>$B66*(Eras!$BL$3*INDEX(Curves!$C$4:$BV$4,BM$2-61+1)+Eras!$BL$4*INDEX(Curves!$C$27:$BV$27,BM$2-61+1)+Eras!$BL$5*INDEX(Curves!$C$50:$BV$50,BM$2-61+1))</f>
        <v/>
      </c>
      <c r="BN66" s="5">
        <f>$B66*(Eras!$BL$3*INDEX(Curves!$C$4:$BV$4,BN$2-61+1)+Eras!$BL$4*INDEX(Curves!$C$27:$BV$27,BN$2-61+1)+Eras!$BL$5*INDEX(Curves!$C$50:$BV$50,BN$2-61+1))</f>
        <v/>
      </c>
      <c r="BO66" s="5">
        <f>$B66*(Eras!$BL$3*INDEX(Curves!$C$4:$BV$4,BO$2-61+1)+Eras!$BL$4*INDEX(Curves!$C$27:$BV$27,BO$2-61+1)+Eras!$BL$5*INDEX(Curves!$C$50:$BV$50,BO$2-61+1))</f>
        <v/>
      </c>
      <c r="BP66" s="5">
        <f>$B66*(Eras!$BL$3*INDEX(Curves!$C$4:$BV$4,BP$2-61+1)+Eras!$BL$4*INDEX(Curves!$C$27:$BV$27,BP$2-61+1)+Eras!$BL$5*INDEX(Curves!$C$50:$BV$50,BP$2-61+1))</f>
        <v/>
      </c>
      <c r="BQ66" s="5">
        <f>$B66*(Eras!$BL$3*INDEX(Curves!$C$4:$BV$4,BQ$2-61+1)+Eras!$BL$4*INDEX(Curves!$C$27:$BV$27,BQ$2-61+1)+Eras!$BL$5*INDEX(Curves!$C$50:$BV$50,BQ$2-61+1))</f>
        <v/>
      </c>
      <c r="BR66" s="5">
        <f>$B66*(Eras!$BL$3*INDEX(Curves!$C$4:$BV$4,BR$2-61+1)+Eras!$BL$4*INDEX(Curves!$C$27:$BV$27,BR$2-61+1)+Eras!$BL$5*INDEX(Curves!$C$50:$BV$50,BR$2-61+1))</f>
        <v/>
      </c>
      <c r="BS66" s="5">
        <f>$B66*(Eras!$BL$3*INDEX(Curves!$C$4:$BV$4,BS$2-61+1)+Eras!$BL$4*INDEX(Curves!$C$27:$BV$27,BS$2-61+1)+Eras!$BL$5*INDEX(Curves!$C$50:$BV$50,BS$2-61+1))</f>
        <v/>
      </c>
      <c r="BT66" s="5">
        <f>$B66*(Eras!$BL$3*INDEX(Curves!$C$4:$BV$4,BT$2-61+1)+Eras!$BL$4*INDEX(Curves!$C$27:$BV$27,BT$2-61+1)+Eras!$BL$5*INDEX(Curves!$C$50:$BV$50,BT$2-61+1))</f>
        <v/>
      </c>
      <c r="BU66" s="5">
        <f>$B66*(Eras!$BL$3*INDEX(Curves!$C$4:$BV$4,BU$2-61+1)+Eras!$BL$4*INDEX(Curves!$C$27:$BV$27,BU$2-61+1)+Eras!$BL$5*INDEX(Curves!$C$50:$BV$50,BU$2-61+1))</f>
        <v/>
      </c>
      <c r="BV66" s="5">
        <f>$B66*(Eras!$BL$3*INDEX(Curves!$C$4:$BV$4,BV$2-61+1)+Eras!$BL$4*INDEX(Curves!$C$27:$BV$27,BV$2-61+1)+Eras!$BL$5*INDEX(Curves!$C$50:$BV$50,BV$2-61+1))</f>
        <v/>
      </c>
    </row>
    <row r="67">
      <c r="A67" t="inlineStr">
        <is>
          <t>cohort 2030-03</t>
        </is>
      </c>
      <c r="B67" s="5">
        <f>INDEX(Adds!$C$13:$BV$13,63)</f>
        <v/>
      </c>
      <c r="BM67" s="5">
        <f>$B67*(Eras!$BM$3*INDEX(Curves!$C$4:$BV$4,BM$2-62+1)+Eras!$BM$4*INDEX(Curves!$C$27:$BV$27,BM$2-62+1)+Eras!$BM$5*INDEX(Curves!$C$50:$BV$50,BM$2-62+1))</f>
        <v/>
      </c>
      <c r="BN67" s="5">
        <f>$B67*(Eras!$BM$3*INDEX(Curves!$C$4:$BV$4,BN$2-62+1)+Eras!$BM$4*INDEX(Curves!$C$27:$BV$27,BN$2-62+1)+Eras!$BM$5*INDEX(Curves!$C$50:$BV$50,BN$2-62+1))</f>
        <v/>
      </c>
      <c r="BO67" s="5">
        <f>$B67*(Eras!$BM$3*INDEX(Curves!$C$4:$BV$4,BO$2-62+1)+Eras!$BM$4*INDEX(Curves!$C$27:$BV$27,BO$2-62+1)+Eras!$BM$5*INDEX(Curves!$C$50:$BV$50,BO$2-62+1))</f>
        <v/>
      </c>
      <c r="BP67" s="5">
        <f>$B67*(Eras!$BM$3*INDEX(Curves!$C$4:$BV$4,BP$2-62+1)+Eras!$BM$4*INDEX(Curves!$C$27:$BV$27,BP$2-62+1)+Eras!$BM$5*INDEX(Curves!$C$50:$BV$50,BP$2-62+1))</f>
        <v/>
      </c>
      <c r="BQ67" s="5">
        <f>$B67*(Eras!$BM$3*INDEX(Curves!$C$4:$BV$4,BQ$2-62+1)+Eras!$BM$4*INDEX(Curves!$C$27:$BV$27,BQ$2-62+1)+Eras!$BM$5*INDEX(Curves!$C$50:$BV$50,BQ$2-62+1))</f>
        <v/>
      </c>
      <c r="BR67" s="5">
        <f>$B67*(Eras!$BM$3*INDEX(Curves!$C$4:$BV$4,BR$2-62+1)+Eras!$BM$4*INDEX(Curves!$C$27:$BV$27,BR$2-62+1)+Eras!$BM$5*INDEX(Curves!$C$50:$BV$50,BR$2-62+1))</f>
        <v/>
      </c>
      <c r="BS67" s="5">
        <f>$B67*(Eras!$BM$3*INDEX(Curves!$C$4:$BV$4,BS$2-62+1)+Eras!$BM$4*INDEX(Curves!$C$27:$BV$27,BS$2-62+1)+Eras!$BM$5*INDEX(Curves!$C$50:$BV$50,BS$2-62+1))</f>
        <v/>
      </c>
      <c r="BT67" s="5">
        <f>$B67*(Eras!$BM$3*INDEX(Curves!$C$4:$BV$4,BT$2-62+1)+Eras!$BM$4*INDEX(Curves!$C$27:$BV$27,BT$2-62+1)+Eras!$BM$5*INDEX(Curves!$C$50:$BV$50,BT$2-62+1))</f>
        <v/>
      </c>
      <c r="BU67" s="5">
        <f>$B67*(Eras!$BM$3*INDEX(Curves!$C$4:$BV$4,BU$2-62+1)+Eras!$BM$4*INDEX(Curves!$C$27:$BV$27,BU$2-62+1)+Eras!$BM$5*INDEX(Curves!$C$50:$BV$50,BU$2-62+1))</f>
        <v/>
      </c>
      <c r="BV67" s="5">
        <f>$B67*(Eras!$BM$3*INDEX(Curves!$C$4:$BV$4,BV$2-62+1)+Eras!$BM$4*INDEX(Curves!$C$27:$BV$27,BV$2-62+1)+Eras!$BM$5*INDEX(Curves!$C$50:$BV$50,BV$2-62+1))</f>
        <v/>
      </c>
    </row>
    <row r="68">
      <c r="A68" t="inlineStr">
        <is>
          <t>cohort 2030-04</t>
        </is>
      </c>
      <c r="B68" s="5">
        <f>INDEX(Adds!$C$13:$BV$13,64)</f>
        <v/>
      </c>
      <c r="BN68" s="5">
        <f>$B68*(Eras!$BN$3*INDEX(Curves!$C$4:$BV$4,BN$2-63+1)+Eras!$BN$4*INDEX(Curves!$C$27:$BV$27,BN$2-63+1)+Eras!$BN$5*INDEX(Curves!$C$50:$BV$50,BN$2-63+1))</f>
        <v/>
      </c>
      <c r="BO68" s="5">
        <f>$B68*(Eras!$BN$3*INDEX(Curves!$C$4:$BV$4,BO$2-63+1)+Eras!$BN$4*INDEX(Curves!$C$27:$BV$27,BO$2-63+1)+Eras!$BN$5*INDEX(Curves!$C$50:$BV$50,BO$2-63+1))</f>
        <v/>
      </c>
      <c r="BP68" s="5">
        <f>$B68*(Eras!$BN$3*INDEX(Curves!$C$4:$BV$4,BP$2-63+1)+Eras!$BN$4*INDEX(Curves!$C$27:$BV$27,BP$2-63+1)+Eras!$BN$5*INDEX(Curves!$C$50:$BV$50,BP$2-63+1))</f>
        <v/>
      </c>
      <c r="BQ68" s="5">
        <f>$B68*(Eras!$BN$3*INDEX(Curves!$C$4:$BV$4,BQ$2-63+1)+Eras!$BN$4*INDEX(Curves!$C$27:$BV$27,BQ$2-63+1)+Eras!$BN$5*INDEX(Curves!$C$50:$BV$50,BQ$2-63+1))</f>
        <v/>
      </c>
      <c r="BR68" s="5">
        <f>$B68*(Eras!$BN$3*INDEX(Curves!$C$4:$BV$4,BR$2-63+1)+Eras!$BN$4*INDEX(Curves!$C$27:$BV$27,BR$2-63+1)+Eras!$BN$5*INDEX(Curves!$C$50:$BV$50,BR$2-63+1))</f>
        <v/>
      </c>
      <c r="BS68" s="5">
        <f>$B68*(Eras!$BN$3*INDEX(Curves!$C$4:$BV$4,BS$2-63+1)+Eras!$BN$4*INDEX(Curves!$C$27:$BV$27,BS$2-63+1)+Eras!$BN$5*INDEX(Curves!$C$50:$BV$50,BS$2-63+1))</f>
        <v/>
      </c>
      <c r="BT68" s="5">
        <f>$B68*(Eras!$BN$3*INDEX(Curves!$C$4:$BV$4,BT$2-63+1)+Eras!$BN$4*INDEX(Curves!$C$27:$BV$27,BT$2-63+1)+Eras!$BN$5*INDEX(Curves!$C$50:$BV$50,BT$2-63+1))</f>
        <v/>
      </c>
      <c r="BU68" s="5">
        <f>$B68*(Eras!$BN$3*INDEX(Curves!$C$4:$BV$4,BU$2-63+1)+Eras!$BN$4*INDEX(Curves!$C$27:$BV$27,BU$2-63+1)+Eras!$BN$5*INDEX(Curves!$C$50:$BV$50,BU$2-63+1))</f>
        <v/>
      </c>
      <c r="BV68" s="5">
        <f>$B68*(Eras!$BN$3*INDEX(Curves!$C$4:$BV$4,BV$2-63+1)+Eras!$BN$4*INDEX(Curves!$C$27:$BV$27,BV$2-63+1)+Eras!$BN$5*INDEX(Curves!$C$50:$BV$50,BV$2-63+1))</f>
        <v/>
      </c>
    </row>
    <row r="69">
      <c r="A69" t="inlineStr">
        <is>
          <t>cohort 2030-05</t>
        </is>
      </c>
      <c r="B69" s="5">
        <f>INDEX(Adds!$C$13:$BV$13,65)</f>
        <v/>
      </c>
      <c r="BO69" s="5">
        <f>$B69*(Eras!$BO$3*INDEX(Curves!$C$4:$BV$4,BO$2-64+1)+Eras!$BO$4*INDEX(Curves!$C$27:$BV$27,BO$2-64+1)+Eras!$BO$5*INDEX(Curves!$C$50:$BV$50,BO$2-64+1))</f>
        <v/>
      </c>
      <c r="BP69" s="5">
        <f>$B69*(Eras!$BO$3*INDEX(Curves!$C$4:$BV$4,BP$2-64+1)+Eras!$BO$4*INDEX(Curves!$C$27:$BV$27,BP$2-64+1)+Eras!$BO$5*INDEX(Curves!$C$50:$BV$50,BP$2-64+1))</f>
        <v/>
      </c>
      <c r="BQ69" s="5">
        <f>$B69*(Eras!$BO$3*INDEX(Curves!$C$4:$BV$4,BQ$2-64+1)+Eras!$BO$4*INDEX(Curves!$C$27:$BV$27,BQ$2-64+1)+Eras!$BO$5*INDEX(Curves!$C$50:$BV$50,BQ$2-64+1))</f>
        <v/>
      </c>
      <c r="BR69" s="5">
        <f>$B69*(Eras!$BO$3*INDEX(Curves!$C$4:$BV$4,BR$2-64+1)+Eras!$BO$4*INDEX(Curves!$C$27:$BV$27,BR$2-64+1)+Eras!$BO$5*INDEX(Curves!$C$50:$BV$50,BR$2-64+1))</f>
        <v/>
      </c>
      <c r="BS69" s="5">
        <f>$B69*(Eras!$BO$3*INDEX(Curves!$C$4:$BV$4,BS$2-64+1)+Eras!$BO$4*INDEX(Curves!$C$27:$BV$27,BS$2-64+1)+Eras!$BO$5*INDEX(Curves!$C$50:$BV$50,BS$2-64+1))</f>
        <v/>
      </c>
      <c r="BT69" s="5">
        <f>$B69*(Eras!$BO$3*INDEX(Curves!$C$4:$BV$4,BT$2-64+1)+Eras!$BO$4*INDEX(Curves!$C$27:$BV$27,BT$2-64+1)+Eras!$BO$5*INDEX(Curves!$C$50:$BV$50,BT$2-64+1))</f>
        <v/>
      </c>
      <c r="BU69" s="5">
        <f>$B69*(Eras!$BO$3*INDEX(Curves!$C$4:$BV$4,BU$2-64+1)+Eras!$BO$4*INDEX(Curves!$C$27:$BV$27,BU$2-64+1)+Eras!$BO$5*INDEX(Curves!$C$50:$BV$50,BU$2-64+1))</f>
        <v/>
      </c>
      <c r="BV69" s="5">
        <f>$B69*(Eras!$BO$3*INDEX(Curves!$C$4:$BV$4,BV$2-64+1)+Eras!$BO$4*INDEX(Curves!$C$27:$BV$27,BV$2-64+1)+Eras!$BO$5*INDEX(Curves!$C$50:$BV$50,BV$2-64+1))</f>
        <v/>
      </c>
    </row>
    <row r="70">
      <c r="A70" t="inlineStr">
        <is>
          <t>cohort 2030-06</t>
        </is>
      </c>
      <c r="B70" s="5">
        <f>INDEX(Adds!$C$13:$BV$13,66)</f>
        <v/>
      </c>
      <c r="BP70" s="5">
        <f>$B70*(Eras!$BP$3*INDEX(Curves!$C$4:$BV$4,BP$2-65+1)+Eras!$BP$4*INDEX(Curves!$C$27:$BV$27,BP$2-65+1)+Eras!$BP$5*INDEX(Curves!$C$50:$BV$50,BP$2-65+1))</f>
        <v/>
      </c>
      <c r="BQ70" s="5">
        <f>$B70*(Eras!$BP$3*INDEX(Curves!$C$4:$BV$4,BQ$2-65+1)+Eras!$BP$4*INDEX(Curves!$C$27:$BV$27,BQ$2-65+1)+Eras!$BP$5*INDEX(Curves!$C$50:$BV$50,BQ$2-65+1))</f>
        <v/>
      </c>
      <c r="BR70" s="5">
        <f>$B70*(Eras!$BP$3*INDEX(Curves!$C$4:$BV$4,BR$2-65+1)+Eras!$BP$4*INDEX(Curves!$C$27:$BV$27,BR$2-65+1)+Eras!$BP$5*INDEX(Curves!$C$50:$BV$50,BR$2-65+1))</f>
        <v/>
      </c>
      <c r="BS70" s="5">
        <f>$B70*(Eras!$BP$3*INDEX(Curves!$C$4:$BV$4,BS$2-65+1)+Eras!$BP$4*INDEX(Curves!$C$27:$BV$27,BS$2-65+1)+Eras!$BP$5*INDEX(Curves!$C$50:$BV$50,BS$2-65+1))</f>
        <v/>
      </c>
      <c r="BT70" s="5">
        <f>$B70*(Eras!$BP$3*INDEX(Curves!$C$4:$BV$4,BT$2-65+1)+Eras!$BP$4*INDEX(Curves!$C$27:$BV$27,BT$2-65+1)+Eras!$BP$5*INDEX(Curves!$C$50:$BV$50,BT$2-65+1))</f>
        <v/>
      </c>
      <c r="BU70" s="5">
        <f>$B70*(Eras!$BP$3*INDEX(Curves!$C$4:$BV$4,BU$2-65+1)+Eras!$BP$4*INDEX(Curves!$C$27:$BV$27,BU$2-65+1)+Eras!$BP$5*INDEX(Curves!$C$50:$BV$50,BU$2-65+1))</f>
        <v/>
      </c>
      <c r="BV70" s="5">
        <f>$B70*(Eras!$BP$3*INDEX(Curves!$C$4:$BV$4,BV$2-65+1)+Eras!$BP$4*INDEX(Curves!$C$27:$BV$27,BV$2-65+1)+Eras!$BP$5*INDEX(Curves!$C$50:$BV$50,BV$2-65+1))</f>
        <v/>
      </c>
    </row>
    <row r="71">
      <c r="A71" t="inlineStr">
        <is>
          <t>cohort 2030-07</t>
        </is>
      </c>
      <c r="B71" s="5">
        <f>INDEX(Adds!$C$13:$BV$13,67)</f>
        <v/>
      </c>
      <c r="BQ71" s="5">
        <f>$B71*(Eras!$BQ$3*INDEX(Curves!$C$4:$BV$4,BQ$2-66+1)+Eras!$BQ$4*INDEX(Curves!$C$27:$BV$27,BQ$2-66+1)+Eras!$BQ$5*INDEX(Curves!$C$50:$BV$50,BQ$2-66+1))</f>
        <v/>
      </c>
      <c r="BR71" s="5">
        <f>$B71*(Eras!$BQ$3*INDEX(Curves!$C$4:$BV$4,BR$2-66+1)+Eras!$BQ$4*INDEX(Curves!$C$27:$BV$27,BR$2-66+1)+Eras!$BQ$5*INDEX(Curves!$C$50:$BV$50,BR$2-66+1))</f>
        <v/>
      </c>
      <c r="BS71" s="5">
        <f>$B71*(Eras!$BQ$3*INDEX(Curves!$C$4:$BV$4,BS$2-66+1)+Eras!$BQ$4*INDEX(Curves!$C$27:$BV$27,BS$2-66+1)+Eras!$BQ$5*INDEX(Curves!$C$50:$BV$50,BS$2-66+1))</f>
        <v/>
      </c>
      <c r="BT71" s="5">
        <f>$B71*(Eras!$BQ$3*INDEX(Curves!$C$4:$BV$4,BT$2-66+1)+Eras!$BQ$4*INDEX(Curves!$C$27:$BV$27,BT$2-66+1)+Eras!$BQ$5*INDEX(Curves!$C$50:$BV$50,BT$2-66+1))</f>
        <v/>
      </c>
      <c r="BU71" s="5">
        <f>$B71*(Eras!$BQ$3*INDEX(Curves!$C$4:$BV$4,BU$2-66+1)+Eras!$BQ$4*INDEX(Curves!$C$27:$BV$27,BU$2-66+1)+Eras!$BQ$5*INDEX(Curves!$C$50:$BV$50,BU$2-66+1))</f>
        <v/>
      </c>
      <c r="BV71" s="5">
        <f>$B71*(Eras!$BQ$3*INDEX(Curves!$C$4:$BV$4,BV$2-66+1)+Eras!$BQ$4*INDEX(Curves!$C$27:$BV$27,BV$2-66+1)+Eras!$BQ$5*INDEX(Curves!$C$50:$BV$50,BV$2-66+1))</f>
        <v/>
      </c>
    </row>
    <row r="72">
      <c r="A72" t="inlineStr">
        <is>
          <t>cohort 2030-08</t>
        </is>
      </c>
      <c r="B72" s="5">
        <f>INDEX(Adds!$C$13:$BV$13,68)</f>
        <v/>
      </c>
      <c r="BR72" s="5">
        <f>$B72*(Eras!$BR$3*INDEX(Curves!$C$4:$BV$4,BR$2-67+1)+Eras!$BR$4*INDEX(Curves!$C$27:$BV$27,BR$2-67+1)+Eras!$BR$5*INDEX(Curves!$C$50:$BV$50,BR$2-67+1))</f>
        <v/>
      </c>
      <c r="BS72" s="5">
        <f>$B72*(Eras!$BR$3*INDEX(Curves!$C$4:$BV$4,BS$2-67+1)+Eras!$BR$4*INDEX(Curves!$C$27:$BV$27,BS$2-67+1)+Eras!$BR$5*INDEX(Curves!$C$50:$BV$50,BS$2-67+1))</f>
        <v/>
      </c>
      <c r="BT72" s="5">
        <f>$B72*(Eras!$BR$3*INDEX(Curves!$C$4:$BV$4,BT$2-67+1)+Eras!$BR$4*INDEX(Curves!$C$27:$BV$27,BT$2-67+1)+Eras!$BR$5*INDEX(Curves!$C$50:$BV$50,BT$2-67+1))</f>
        <v/>
      </c>
      <c r="BU72" s="5">
        <f>$B72*(Eras!$BR$3*INDEX(Curves!$C$4:$BV$4,BU$2-67+1)+Eras!$BR$4*INDEX(Curves!$C$27:$BV$27,BU$2-67+1)+Eras!$BR$5*INDEX(Curves!$C$50:$BV$50,BU$2-67+1))</f>
        <v/>
      </c>
      <c r="BV72" s="5">
        <f>$B72*(Eras!$BR$3*INDEX(Curves!$C$4:$BV$4,BV$2-67+1)+Eras!$BR$4*INDEX(Curves!$C$27:$BV$27,BV$2-67+1)+Eras!$BR$5*INDEX(Curves!$C$50:$BV$50,BV$2-67+1))</f>
        <v/>
      </c>
    </row>
    <row r="73">
      <c r="A73" t="inlineStr">
        <is>
          <t>cohort 2030-09</t>
        </is>
      </c>
      <c r="B73" s="5">
        <f>INDEX(Adds!$C$13:$BV$13,69)</f>
        <v/>
      </c>
      <c r="BS73" s="5">
        <f>$B73*(Eras!$BS$3*INDEX(Curves!$C$4:$BV$4,BS$2-68+1)+Eras!$BS$4*INDEX(Curves!$C$27:$BV$27,BS$2-68+1)+Eras!$BS$5*INDEX(Curves!$C$50:$BV$50,BS$2-68+1))</f>
        <v/>
      </c>
      <c r="BT73" s="5">
        <f>$B73*(Eras!$BS$3*INDEX(Curves!$C$4:$BV$4,BT$2-68+1)+Eras!$BS$4*INDEX(Curves!$C$27:$BV$27,BT$2-68+1)+Eras!$BS$5*INDEX(Curves!$C$50:$BV$50,BT$2-68+1))</f>
        <v/>
      </c>
      <c r="BU73" s="5">
        <f>$B73*(Eras!$BS$3*INDEX(Curves!$C$4:$BV$4,BU$2-68+1)+Eras!$BS$4*INDEX(Curves!$C$27:$BV$27,BU$2-68+1)+Eras!$BS$5*INDEX(Curves!$C$50:$BV$50,BU$2-68+1))</f>
        <v/>
      </c>
      <c r="BV73" s="5">
        <f>$B73*(Eras!$BS$3*INDEX(Curves!$C$4:$BV$4,BV$2-68+1)+Eras!$BS$4*INDEX(Curves!$C$27:$BV$27,BV$2-68+1)+Eras!$BS$5*INDEX(Curves!$C$50:$BV$50,BV$2-68+1))</f>
        <v/>
      </c>
    </row>
    <row r="74">
      <c r="A74" t="inlineStr">
        <is>
          <t>cohort 2030-10</t>
        </is>
      </c>
      <c r="B74" s="5">
        <f>INDEX(Adds!$C$13:$BV$13,70)</f>
        <v/>
      </c>
      <c r="BT74" s="5">
        <f>$B74*(Eras!$BT$3*INDEX(Curves!$C$4:$BV$4,BT$2-69+1)+Eras!$BT$4*INDEX(Curves!$C$27:$BV$27,BT$2-69+1)+Eras!$BT$5*INDEX(Curves!$C$50:$BV$50,BT$2-69+1))</f>
        <v/>
      </c>
      <c r="BU74" s="5">
        <f>$B74*(Eras!$BT$3*INDEX(Curves!$C$4:$BV$4,BU$2-69+1)+Eras!$BT$4*INDEX(Curves!$C$27:$BV$27,BU$2-69+1)+Eras!$BT$5*INDEX(Curves!$C$50:$BV$50,BU$2-69+1))</f>
        <v/>
      </c>
      <c r="BV74" s="5">
        <f>$B74*(Eras!$BT$3*INDEX(Curves!$C$4:$BV$4,BV$2-69+1)+Eras!$BT$4*INDEX(Curves!$C$27:$BV$27,BV$2-69+1)+Eras!$BT$5*INDEX(Curves!$C$50:$BV$50,BV$2-69+1))</f>
        <v/>
      </c>
    </row>
    <row r="75">
      <c r="A75" t="inlineStr">
        <is>
          <t>cohort 2030-11</t>
        </is>
      </c>
      <c r="B75" s="5">
        <f>INDEX(Adds!$C$13:$BV$13,71)</f>
        <v/>
      </c>
      <c r="BU75" s="5">
        <f>$B75*(Eras!$BU$3*INDEX(Curves!$C$4:$BV$4,BU$2-70+1)+Eras!$BU$4*INDEX(Curves!$C$27:$BV$27,BU$2-70+1)+Eras!$BU$5*INDEX(Curves!$C$50:$BV$50,BU$2-70+1))</f>
        <v/>
      </c>
      <c r="BV75" s="5">
        <f>$B75*(Eras!$BU$3*INDEX(Curves!$C$4:$BV$4,BV$2-70+1)+Eras!$BU$4*INDEX(Curves!$C$27:$BV$27,BV$2-70+1)+Eras!$BU$5*INDEX(Curves!$C$50:$BV$50,BV$2-70+1))</f>
        <v/>
      </c>
    </row>
    <row r="76">
      <c r="A76" t="inlineStr">
        <is>
          <t>cohort 2030-12</t>
        </is>
      </c>
      <c r="B76" s="5">
        <f>INDEX(Adds!$C$13:$BV$13,72)</f>
        <v/>
      </c>
      <c r="BV76" s="5">
        <f>$B76*(Eras!$BV$3*INDEX(Curves!$C$4:$BV$4,BV$2-71+1)+Eras!$BV$4*INDEX(Curves!$C$27:$BV$27,BV$2-71+1)+Eras!$BV$5*INDEX(Curves!$C$50:$BV$50,BV$2-71+1))</f>
        <v/>
      </c>
    </row>
    <row r="78">
      <c r="A78" t="inlineStr">
        <is>
          <t>sum of cohorts</t>
        </is>
      </c>
      <c r="B78" t="inlineStr">
        <is>
          <t>US_CA|NITRO_M</t>
        </is>
      </c>
      <c r="C78" s="5">
        <f>SUM(C5:C76)</f>
        <v/>
      </c>
      <c r="D78" s="5">
        <f>SUM(D5:D76)</f>
        <v/>
      </c>
      <c r="E78" s="5">
        <f>SUM(E5:E76)</f>
        <v/>
      </c>
      <c r="F78" s="5">
        <f>SUM(F5:F76)</f>
        <v/>
      </c>
      <c r="G78" s="5">
        <f>SUM(G5:G76)</f>
        <v/>
      </c>
      <c r="H78" s="5">
        <f>SUM(H5:H76)</f>
        <v/>
      </c>
      <c r="I78" s="5">
        <f>SUM(I5:I76)</f>
        <v/>
      </c>
      <c r="J78" s="5">
        <f>SUM(J5:J76)</f>
        <v/>
      </c>
      <c r="K78" s="5">
        <f>SUM(K5:K76)</f>
        <v/>
      </c>
      <c r="L78" s="5">
        <f>SUM(L5:L76)</f>
        <v/>
      </c>
      <c r="M78" s="5">
        <f>SUM(M5:M76)</f>
        <v/>
      </c>
      <c r="N78" s="5">
        <f>SUM(N5:N76)</f>
        <v/>
      </c>
      <c r="O78" s="5">
        <f>SUM(O5:O76)</f>
        <v/>
      </c>
      <c r="P78" s="5">
        <f>SUM(P5:P76)</f>
        <v/>
      </c>
      <c r="Q78" s="5">
        <f>SUM(Q5:Q76)</f>
        <v/>
      </c>
      <c r="R78" s="5">
        <f>SUM(R5:R76)</f>
        <v/>
      </c>
      <c r="S78" s="5">
        <f>SUM(S5:S76)</f>
        <v/>
      </c>
      <c r="T78" s="5">
        <f>SUM(T5:T76)</f>
        <v/>
      </c>
      <c r="U78" s="5">
        <f>SUM(U5:U76)</f>
        <v/>
      </c>
      <c r="V78" s="5">
        <f>SUM(V5:V76)</f>
        <v/>
      </c>
      <c r="W78" s="5">
        <f>SUM(W5:W76)</f>
        <v/>
      </c>
      <c r="X78" s="5">
        <f>SUM(X5:X76)</f>
        <v/>
      </c>
      <c r="Y78" s="5">
        <f>SUM(Y5:Y76)</f>
        <v/>
      </c>
      <c r="Z78" s="5">
        <f>SUM(Z5:Z76)</f>
        <v/>
      </c>
      <c r="AA78" s="5">
        <f>SUM(AA5:AA76)</f>
        <v/>
      </c>
      <c r="AB78" s="5">
        <f>SUM(AB5:AB76)</f>
        <v/>
      </c>
      <c r="AC78" s="5">
        <f>SUM(AC5:AC76)</f>
        <v/>
      </c>
      <c r="AD78" s="5">
        <f>SUM(AD5:AD76)</f>
        <v/>
      </c>
      <c r="AE78" s="5">
        <f>SUM(AE5:AE76)</f>
        <v/>
      </c>
      <c r="AF78" s="5">
        <f>SUM(AF5:AF76)</f>
        <v/>
      </c>
      <c r="AG78" s="5">
        <f>SUM(AG5:AG76)</f>
        <v/>
      </c>
      <c r="AH78" s="5">
        <f>SUM(AH5:AH76)</f>
        <v/>
      </c>
      <c r="AI78" s="5">
        <f>SUM(AI5:AI76)</f>
        <v/>
      </c>
      <c r="AJ78" s="5">
        <f>SUM(AJ5:AJ76)</f>
        <v/>
      </c>
      <c r="AK78" s="5">
        <f>SUM(AK5:AK76)</f>
        <v/>
      </c>
      <c r="AL78" s="5">
        <f>SUM(AL5:AL76)</f>
        <v/>
      </c>
      <c r="AM78" s="5">
        <f>SUM(AM5:AM76)</f>
        <v/>
      </c>
      <c r="AN78" s="5">
        <f>SUM(AN5:AN76)</f>
        <v/>
      </c>
      <c r="AO78" s="5">
        <f>SUM(AO5:AO76)</f>
        <v/>
      </c>
      <c r="AP78" s="5">
        <f>SUM(AP5:AP76)</f>
        <v/>
      </c>
      <c r="AQ78" s="5">
        <f>SUM(AQ5:AQ76)</f>
        <v/>
      </c>
      <c r="AR78" s="5">
        <f>SUM(AR5:AR76)</f>
        <v/>
      </c>
      <c r="AS78" s="5">
        <f>SUM(AS5:AS76)</f>
        <v/>
      </c>
      <c r="AT78" s="5">
        <f>SUM(AT5:AT76)</f>
        <v/>
      </c>
      <c r="AU78" s="5">
        <f>SUM(AU5:AU76)</f>
        <v/>
      </c>
      <c r="AV78" s="5">
        <f>SUM(AV5:AV76)</f>
        <v/>
      </c>
      <c r="AW78" s="5">
        <f>SUM(AW5:AW76)</f>
        <v/>
      </c>
      <c r="AX78" s="5">
        <f>SUM(AX5:AX76)</f>
        <v/>
      </c>
      <c r="AY78" s="5">
        <f>SUM(AY5:AY76)</f>
        <v/>
      </c>
      <c r="AZ78" s="5">
        <f>SUM(AZ5:AZ76)</f>
        <v/>
      </c>
      <c r="BA78" s="5">
        <f>SUM(BA5:BA76)</f>
        <v/>
      </c>
      <c r="BB78" s="5">
        <f>SUM(BB5:BB76)</f>
        <v/>
      </c>
      <c r="BC78" s="5">
        <f>SUM(BC5:BC76)</f>
        <v/>
      </c>
      <c r="BD78" s="5">
        <f>SUM(BD5:BD76)</f>
        <v/>
      </c>
      <c r="BE78" s="5">
        <f>SUM(BE5:BE76)</f>
        <v/>
      </c>
      <c r="BF78" s="5">
        <f>SUM(BF5:BF76)</f>
        <v/>
      </c>
      <c r="BG78" s="5">
        <f>SUM(BG5:BG76)</f>
        <v/>
      </c>
      <c r="BH78" s="5">
        <f>SUM(BH5:BH76)</f>
        <v/>
      </c>
      <c r="BI78" s="5">
        <f>SUM(BI5:BI76)</f>
        <v/>
      </c>
      <c r="BJ78" s="5">
        <f>SUM(BJ5:BJ76)</f>
        <v/>
      </c>
      <c r="BK78" s="5">
        <f>SUM(BK5:BK76)</f>
        <v/>
      </c>
      <c r="BL78" s="5">
        <f>SUM(BL5:BL76)</f>
        <v/>
      </c>
      <c r="BM78" s="5">
        <f>SUM(BM5:BM76)</f>
        <v/>
      </c>
      <c r="BN78" s="5">
        <f>SUM(BN5:BN76)</f>
        <v/>
      </c>
      <c r="BO78" s="5">
        <f>SUM(BO5:BO76)</f>
        <v/>
      </c>
      <c r="BP78" s="5">
        <f>SUM(BP5:BP76)</f>
        <v/>
      </c>
      <c r="BQ78" s="5">
        <f>SUM(BQ5:BQ76)</f>
        <v/>
      </c>
      <c r="BR78" s="5">
        <f>SUM(BR5:BR76)</f>
        <v/>
      </c>
      <c r="BS78" s="5">
        <f>SUM(BS5:BS76)</f>
        <v/>
      </c>
      <c r="BT78" s="5">
        <f>SUM(BT5:BT76)</f>
        <v/>
      </c>
      <c r="BU78" s="5">
        <f>SUM(BU5:BU76)</f>
        <v/>
      </c>
      <c r="BV78" s="5">
        <f>SUM(BV5:BV76)</f>
        <v/>
      </c>
    </row>
    <row r="79">
      <c r="A79" t="inlineStr">
        <is>
          <t>Paid sheet active</t>
        </is>
      </c>
      <c r="B79" t="inlineStr">
        <is>
          <t>US_CA|NITRO_M</t>
        </is>
      </c>
      <c r="C79" s="5">
        <f>Paid!C3</f>
        <v/>
      </c>
      <c r="D79" s="5">
        <f>Paid!D3</f>
        <v/>
      </c>
      <c r="E79" s="5">
        <f>Paid!E3</f>
        <v/>
      </c>
      <c r="F79" s="5">
        <f>Paid!F3</f>
        <v/>
      </c>
      <c r="G79" s="5">
        <f>Paid!G3</f>
        <v/>
      </c>
      <c r="H79" s="5">
        <f>Paid!H3</f>
        <v/>
      </c>
      <c r="I79" s="5">
        <f>Paid!I3</f>
        <v/>
      </c>
      <c r="J79" s="5">
        <f>Paid!J3</f>
        <v/>
      </c>
      <c r="K79" s="5">
        <f>Paid!K3</f>
        <v/>
      </c>
      <c r="L79" s="5">
        <f>Paid!L3</f>
        <v/>
      </c>
      <c r="M79" s="5">
        <f>Paid!M3</f>
        <v/>
      </c>
      <c r="N79" s="5">
        <f>Paid!N3</f>
        <v/>
      </c>
      <c r="O79" s="5">
        <f>Paid!O3</f>
        <v/>
      </c>
      <c r="P79" s="5">
        <f>Paid!P3</f>
        <v/>
      </c>
      <c r="Q79" s="5">
        <f>Paid!Q3</f>
        <v/>
      </c>
      <c r="R79" s="5">
        <f>Paid!R3</f>
        <v/>
      </c>
      <c r="S79" s="5">
        <f>Paid!S3</f>
        <v/>
      </c>
      <c r="T79" s="5">
        <f>Paid!T3</f>
        <v/>
      </c>
      <c r="U79" s="5">
        <f>Paid!U3</f>
        <v/>
      </c>
      <c r="V79" s="5">
        <f>Paid!V3</f>
        <v/>
      </c>
      <c r="W79" s="5">
        <f>Paid!W3</f>
        <v/>
      </c>
      <c r="X79" s="5">
        <f>Paid!X3</f>
        <v/>
      </c>
      <c r="Y79" s="5">
        <f>Paid!Y3</f>
        <v/>
      </c>
      <c r="Z79" s="5">
        <f>Paid!Z3</f>
        <v/>
      </c>
      <c r="AA79" s="5">
        <f>Paid!AA3</f>
        <v/>
      </c>
      <c r="AB79" s="5">
        <f>Paid!AB3</f>
        <v/>
      </c>
      <c r="AC79" s="5">
        <f>Paid!AC3</f>
        <v/>
      </c>
      <c r="AD79" s="5">
        <f>Paid!AD3</f>
        <v/>
      </c>
      <c r="AE79" s="5">
        <f>Paid!AE3</f>
        <v/>
      </c>
      <c r="AF79" s="5">
        <f>Paid!AF3</f>
        <v/>
      </c>
      <c r="AG79" s="5">
        <f>Paid!AG3</f>
        <v/>
      </c>
      <c r="AH79" s="5">
        <f>Paid!AH3</f>
        <v/>
      </c>
      <c r="AI79" s="5">
        <f>Paid!AI3</f>
        <v/>
      </c>
      <c r="AJ79" s="5">
        <f>Paid!AJ3</f>
        <v/>
      </c>
      <c r="AK79" s="5">
        <f>Paid!AK3</f>
        <v/>
      </c>
      <c r="AL79" s="5">
        <f>Paid!AL3</f>
        <v/>
      </c>
      <c r="AM79" s="5">
        <f>Paid!AM3</f>
        <v/>
      </c>
      <c r="AN79" s="5">
        <f>Paid!AN3</f>
        <v/>
      </c>
      <c r="AO79" s="5">
        <f>Paid!AO3</f>
        <v/>
      </c>
      <c r="AP79" s="5">
        <f>Paid!AP3</f>
        <v/>
      </c>
      <c r="AQ79" s="5">
        <f>Paid!AQ3</f>
        <v/>
      </c>
      <c r="AR79" s="5">
        <f>Paid!AR3</f>
        <v/>
      </c>
      <c r="AS79" s="5">
        <f>Paid!AS3</f>
        <v/>
      </c>
      <c r="AT79" s="5">
        <f>Paid!AT3</f>
        <v/>
      </c>
      <c r="AU79" s="5">
        <f>Paid!AU3</f>
        <v/>
      </c>
      <c r="AV79" s="5">
        <f>Paid!AV3</f>
        <v/>
      </c>
      <c r="AW79" s="5">
        <f>Paid!AW3</f>
        <v/>
      </c>
      <c r="AX79" s="5">
        <f>Paid!AX3</f>
        <v/>
      </c>
      <c r="AY79" s="5">
        <f>Paid!AY3</f>
        <v/>
      </c>
      <c r="AZ79" s="5">
        <f>Paid!AZ3</f>
        <v/>
      </c>
      <c r="BA79" s="5">
        <f>Paid!BA3</f>
        <v/>
      </c>
      <c r="BB79" s="5">
        <f>Paid!BB3</f>
        <v/>
      </c>
      <c r="BC79" s="5">
        <f>Paid!BC3</f>
        <v/>
      </c>
      <c r="BD79" s="5">
        <f>Paid!BD3</f>
        <v/>
      </c>
      <c r="BE79" s="5">
        <f>Paid!BE3</f>
        <v/>
      </c>
      <c r="BF79" s="5">
        <f>Paid!BF3</f>
        <v/>
      </c>
      <c r="BG79" s="5">
        <f>Paid!BG3</f>
        <v/>
      </c>
      <c r="BH79" s="5">
        <f>Paid!BH3</f>
        <v/>
      </c>
      <c r="BI79" s="5">
        <f>Paid!BI3</f>
        <v/>
      </c>
      <c r="BJ79" s="5">
        <f>Paid!BJ3</f>
        <v/>
      </c>
      <c r="BK79" s="5">
        <f>Paid!BK3</f>
        <v/>
      </c>
      <c r="BL79" s="5">
        <f>Paid!BL3</f>
        <v/>
      </c>
      <c r="BM79" s="5">
        <f>Paid!BM3</f>
        <v/>
      </c>
      <c r="BN79" s="5">
        <f>Paid!BN3</f>
        <v/>
      </c>
      <c r="BO79" s="5">
        <f>Paid!BO3</f>
        <v/>
      </c>
      <c r="BP79" s="5">
        <f>Paid!BP3</f>
        <v/>
      </c>
      <c r="BQ79" s="5">
        <f>Paid!BQ3</f>
        <v/>
      </c>
      <c r="BR79" s="5">
        <f>Paid!BR3</f>
        <v/>
      </c>
      <c r="BS79" s="5">
        <f>Paid!BS3</f>
        <v/>
      </c>
      <c r="BT79" s="5">
        <f>Paid!BT3</f>
        <v/>
      </c>
      <c r="BU79" s="5">
        <f>Paid!BU3</f>
        <v/>
      </c>
      <c r="BV79" s="5">
        <f>Paid!BV3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V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roll-forward gap</t>
        </is>
      </c>
      <c r="B3" t="inlineStr">
        <is>
          <t>TOTAL</t>
        </is>
      </c>
      <c r="C3" s="12">
        <f>Subs!C3+Subs!C4+Subs!C5-Subs!C6-Subs!C7</f>
        <v/>
      </c>
      <c r="D3" s="12">
        <f>Subs!D3+Subs!D4+Subs!D5-Subs!D6-Subs!D7</f>
        <v/>
      </c>
      <c r="E3" s="12">
        <f>Subs!E3+Subs!E4+Subs!E5-Subs!E6-Subs!E7</f>
        <v/>
      </c>
      <c r="F3" s="12">
        <f>Subs!F3+Subs!F4+Subs!F5-Subs!F6-Subs!F7</f>
        <v/>
      </c>
      <c r="G3" s="12">
        <f>Subs!G3+Subs!G4+Subs!G5-Subs!G6-Subs!G7</f>
        <v/>
      </c>
      <c r="H3" s="12">
        <f>Subs!H3+Subs!H4+Subs!H5-Subs!H6-Subs!H7</f>
        <v/>
      </c>
      <c r="I3" s="12">
        <f>Subs!I3+Subs!I4+Subs!I5-Subs!I6-Subs!I7</f>
        <v/>
      </c>
      <c r="J3" s="12">
        <f>Subs!J3+Subs!J4+Subs!J5-Subs!J6-Subs!J7</f>
        <v/>
      </c>
      <c r="K3" s="12">
        <f>Subs!K3+Subs!K4+Subs!K5-Subs!K6-Subs!K7</f>
        <v/>
      </c>
      <c r="L3" s="12">
        <f>Subs!L3+Subs!L4+Subs!L5-Subs!L6-Subs!L7</f>
        <v/>
      </c>
      <c r="M3" s="12">
        <f>Subs!M3+Subs!M4+Subs!M5-Subs!M6-Subs!M7</f>
        <v/>
      </c>
      <c r="N3" s="12">
        <f>Subs!N3+Subs!N4+Subs!N5-Subs!N6-Subs!N7</f>
        <v/>
      </c>
      <c r="O3" s="12">
        <f>Subs!O3+Subs!O4+Subs!O5-Subs!O6-Subs!O7</f>
        <v/>
      </c>
      <c r="P3" s="12">
        <f>Subs!P3+Subs!P4+Subs!P5-Subs!P6-Subs!P7</f>
        <v/>
      </c>
      <c r="Q3" s="12">
        <f>Subs!Q3+Subs!Q4+Subs!Q5-Subs!Q6-Subs!Q7</f>
        <v/>
      </c>
      <c r="R3" s="12">
        <f>Subs!R3+Subs!R4+Subs!R5-Subs!R6-Subs!R7</f>
        <v/>
      </c>
      <c r="S3" s="12">
        <f>Subs!S3+Subs!S4+Subs!S5-Subs!S6-Subs!S7</f>
        <v/>
      </c>
      <c r="T3" s="12">
        <f>Subs!T3+Subs!T4+Subs!T5-Subs!T6-Subs!T7</f>
        <v/>
      </c>
      <c r="U3" s="12">
        <f>Subs!U3+Subs!U4+Subs!U5-Subs!U6-Subs!U7</f>
        <v/>
      </c>
      <c r="V3" s="12">
        <f>Subs!V3+Subs!V4+Subs!V5-Subs!V6-Subs!V7</f>
        <v/>
      </c>
      <c r="W3" s="12">
        <f>Subs!W3+Subs!W4+Subs!W5-Subs!W6-Subs!W7</f>
        <v/>
      </c>
      <c r="X3" s="12">
        <f>Subs!X3+Subs!X4+Subs!X5-Subs!X6-Subs!X7</f>
        <v/>
      </c>
      <c r="Y3" s="12">
        <f>Subs!Y3+Subs!Y4+Subs!Y5-Subs!Y6-Subs!Y7</f>
        <v/>
      </c>
      <c r="Z3" s="12">
        <f>Subs!Z3+Subs!Z4+Subs!Z5-Subs!Z6-Subs!Z7</f>
        <v/>
      </c>
      <c r="AA3" s="12">
        <f>Subs!AA3+Subs!AA4+Subs!AA5-Subs!AA6-Subs!AA7</f>
        <v/>
      </c>
      <c r="AB3" s="12">
        <f>Subs!AB3+Subs!AB4+Subs!AB5-Subs!AB6-Subs!AB7</f>
        <v/>
      </c>
      <c r="AC3" s="12">
        <f>Subs!AC3+Subs!AC4+Subs!AC5-Subs!AC6-Subs!AC7</f>
        <v/>
      </c>
      <c r="AD3" s="12">
        <f>Subs!AD3+Subs!AD4+Subs!AD5-Subs!AD6-Subs!AD7</f>
        <v/>
      </c>
      <c r="AE3" s="12">
        <f>Subs!AE3+Subs!AE4+Subs!AE5-Subs!AE6-Subs!AE7</f>
        <v/>
      </c>
      <c r="AF3" s="12">
        <f>Subs!AF3+Subs!AF4+Subs!AF5-Subs!AF6-Subs!AF7</f>
        <v/>
      </c>
      <c r="AG3" s="12">
        <f>Subs!AG3+Subs!AG4+Subs!AG5-Subs!AG6-Subs!AG7</f>
        <v/>
      </c>
      <c r="AH3" s="12">
        <f>Subs!AH3+Subs!AH4+Subs!AH5-Subs!AH6-Subs!AH7</f>
        <v/>
      </c>
      <c r="AI3" s="12">
        <f>Subs!AI3+Subs!AI4+Subs!AI5-Subs!AI6-Subs!AI7</f>
        <v/>
      </c>
      <c r="AJ3" s="12">
        <f>Subs!AJ3+Subs!AJ4+Subs!AJ5-Subs!AJ6-Subs!AJ7</f>
        <v/>
      </c>
      <c r="AK3" s="12">
        <f>Subs!AK3+Subs!AK4+Subs!AK5-Subs!AK6-Subs!AK7</f>
        <v/>
      </c>
      <c r="AL3" s="12">
        <f>Subs!AL3+Subs!AL4+Subs!AL5-Subs!AL6-Subs!AL7</f>
        <v/>
      </c>
      <c r="AM3" s="12">
        <f>Subs!AM3+Subs!AM4+Subs!AM5-Subs!AM6-Subs!AM7</f>
        <v/>
      </c>
      <c r="AN3" s="12">
        <f>Subs!AN3+Subs!AN4+Subs!AN5-Subs!AN6-Subs!AN7</f>
        <v/>
      </c>
      <c r="AO3" s="12">
        <f>Subs!AO3+Subs!AO4+Subs!AO5-Subs!AO6-Subs!AO7</f>
        <v/>
      </c>
      <c r="AP3" s="12">
        <f>Subs!AP3+Subs!AP4+Subs!AP5-Subs!AP6-Subs!AP7</f>
        <v/>
      </c>
      <c r="AQ3" s="12">
        <f>Subs!AQ3+Subs!AQ4+Subs!AQ5-Subs!AQ6-Subs!AQ7</f>
        <v/>
      </c>
      <c r="AR3" s="12">
        <f>Subs!AR3+Subs!AR4+Subs!AR5-Subs!AR6-Subs!AR7</f>
        <v/>
      </c>
      <c r="AS3" s="12">
        <f>Subs!AS3+Subs!AS4+Subs!AS5-Subs!AS6-Subs!AS7</f>
        <v/>
      </c>
      <c r="AT3" s="12">
        <f>Subs!AT3+Subs!AT4+Subs!AT5-Subs!AT6-Subs!AT7</f>
        <v/>
      </c>
      <c r="AU3" s="12">
        <f>Subs!AU3+Subs!AU4+Subs!AU5-Subs!AU6-Subs!AU7</f>
        <v/>
      </c>
      <c r="AV3" s="12">
        <f>Subs!AV3+Subs!AV4+Subs!AV5-Subs!AV6-Subs!AV7</f>
        <v/>
      </c>
      <c r="AW3" s="12">
        <f>Subs!AW3+Subs!AW4+Subs!AW5-Subs!AW6-Subs!AW7</f>
        <v/>
      </c>
      <c r="AX3" s="12">
        <f>Subs!AX3+Subs!AX4+Subs!AX5-Subs!AX6-Subs!AX7</f>
        <v/>
      </c>
      <c r="AY3" s="12">
        <f>Subs!AY3+Subs!AY4+Subs!AY5-Subs!AY6-Subs!AY7</f>
        <v/>
      </c>
      <c r="AZ3" s="12">
        <f>Subs!AZ3+Subs!AZ4+Subs!AZ5-Subs!AZ6-Subs!AZ7</f>
        <v/>
      </c>
      <c r="BA3" s="12">
        <f>Subs!BA3+Subs!BA4+Subs!BA5-Subs!BA6-Subs!BA7</f>
        <v/>
      </c>
      <c r="BB3" s="12">
        <f>Subs!BB3+Subs!BB4+Subs!BB5-Subs!BB6-Subs!BB7</f>
        <v/>
      </c>
      <c r="BC3" s="12">
        <f>Subs!BC3+Subs!BC4+Subs!BC5-Subs!BC6-Subs!BC7</f>
        <v/>
      </c>
      <c r="BD3" s="12">
        <f>Subs!BD3+Subs!BD4+Subs!BD5-Subs!BD6-Subs!BD7</f>
        <v/>
      </c>
      <c r="BE3" s="12">
        <f>Subs!BE3+Subs!BE4+Subs!BE5-Subs!BE6-Subs!BE7</f>
        <v/>
      </c>
      <c r="BF3" s="12">
        <f>Subs!BF3+Subs!BF4+Subs!BF5-Subs!BF6-Subs!BF7</f>
        <v/>
      </c>
      <c r="BG3" s="12">
        <f>Subs!BG3+Subs!BG4+Subs!BG5-Subs!BG6-Subs!BG7</f>
        <v/>
      </c>
      <c r="BH3" s="12">
        <f>Subs!BH3+Subs!BH4+Subs!BH5-Subs!BH6-Subs!BH7</f>
        <v/>
      </c>
      <c r="BI3" s="12">
        <f>Subs!BI3+Subs!BI4+Subs!BI5-Subs!BI6-Subs!BI7</f>
        <v/>
      </c>
      <c r="BJ3" s="12">
        <f>Subs!BJ3+Subs!BJ4+Subs!BJ5-Subs!BJ6-Subs!BJ7</f>
        <v/>
      </c>
      <c r="BK3" s="12">
        <f>Subs!BK3+Subs!BK4+Subs!BK5-Subs!BK6-Subs!BK7</f>
        <v/>
      </c>
      <c r="BL3" s="12">
        <f>Subs!BL3+Subs!BL4+Subs!BL5-Subs!BL6-Subs!BL7</f>
        <v/>
      </c>
      <c r="BM3" s="12">
        <f>Subs!BM3+Subs!BM4+Subs!BM5-Subs!BM6-Subs!BM7</f>
        <v/>
      </c>
      <c r="BN3" s="12">
        <f>Subs!BN3+Subs!BN4+Subs!BN5-Subs!BN6-Subs!BN7</f>
        <v/>
      </c>
      <c r="BO3" s="12">
        <f>Subs!BO3+Subs!BO4+Subs!BO5-Subs!BO6-Subs!BO7</f>
        <v/>
      </c>
      <c r="BP3" s="12">
        <f>Subs!BP3+Subs!BP4+Subs!BP5-Subs!BP6-Subs!BP7</f>
        <v/>
      </c>
      <c r="BQ3" s="12">
        <f>Subs!BQ3+Subs!BQ4+Subs!BQ5-Subs!BQ6-Subs!BQ7</f>
        <v/>
      </c>
      <c r="BR3" s="12">
        <f>Subs!BR3+Subs!BR4+Subs!BR5-Subs!BR6-Subs!BR7</f>
        <v/>
      </c>
      <c r="BS3" s="12">
        <f>Subs!BS3+Subs!BS4+Subs!BS5-Subs!BS6-Subs!BS7</f>
        <v/>
      </c>
      <c r="BT3" s="12">
        <f>Subs!BT3+Subs!BT4+Subs!BT5-Subs!BT6-Subs!BT7</f>
        <v/>
      </c>
      <c r="BU3" s="12">
        <f>Subs!BU3+Subs!BU4+Subs!BU5-Subs!BU6-Subs!BU7</f>
        <v/>
      </c>
      <c r="BV3" s="12">
        <f>Subs!BV3+Subs!BV4+Subs!BV5-Subs!BV6-Subs!BV7</f>
        <v/>
      </c>
    </row>
    <row r="4">
      <c r="A4" t="inlineStr">
        <is>
          <t>cohort triangle tie gap</t>
        </is>
      </c>
      <c r="B4" t="inlineStr">
        <is>
          <t>US_CA|NITRO_M</t>
        </is>
      </c>
      <c r="C4" s="12">
        <f>Cohort_US_NitroM!C78-Cohort_US_NitroM!C79</f>
        <v/>
      </c>
      <c r="D4" s="12">
        <f>Cohort_US_NitroM!D78-Cohort_US_NitroM!D79</f>
        <v/>
      </c>
      <c r="E4" s="12">
        <f>Cohort_US_NitroM!E78-Cohort_US_NitroM!E79</f>
        <v/>
      </c>
      <c r="F4" s="12">
        <f>Cohort_US_NitroM!F78-Cohort_US_NitroM!F79</f>
        <v/>
      </c>
      <c r="G4" s="12">
        <f>Cohort_US_NitroM!G78-Cohort_US_NitroM!G79</f>
        <v/>
      </c>
      <c r="H4" s="12">
        <f>Cohort_US_NitroM!H78-Cohort_US_NitroM!H79</f>
        <v/>
      </c>
      <c r="I4" s="12">
        <f>Cohort_US_NitroM!I78-Cohort_US_NitroM!I79</f>
        <v/>
      </c>
      <c r="J4" s="12">
        <f>Cohort_US_NitroM!J78-Cohort_US_NitroM!J79</f>
        <v/>
      </c>
      <c r="K4" s="12">
        <f>Cohort_US_NitroM!K78-Cohort_US_NitroM!K79</f>
        <v/>
      </c>
      <c r="L4" s="12">
        <f>Cohort_US_NitroM!L78-Cohort_US_NitroM!L79</f>
        <v/>
      </c>
      <c r="M4" s="12">
        <f>Cohort_US_NitroM!M78-Cohort_US_NitroM!M79</f>
        <v/>
      </c>
      <c r="N4" s="12">
        <f>Cohort_US_NitroM!N78-Cohort_US_NitroM!N79</f>
        <v/>
      </c>
      <c r="O4" s="12">
        <f>Cohort_US_NitroM!O78-Cohort_US_NitroM!O79</f>
        <v/>
      </c>
      <c r="P4" s="12">
        <f>Cohort_US_NitroM!P78-Cohort_US_NitroM!P79</f>
        <v/>
      </c>
      <c r="Q4" s="12">
        <f>Cohort_US_NitroM!Q78-Cohort_US_NitroM!Q79</f>
        <v/>
      </c>
      <c r="R4" s="12">
        <f>Cohort_US_NitroM!R78-Cohort_US_NitroM!R79</f>
        <v/>
      </c>
      <c r="S4" s="12">
        <f>Cohort_US_NitroM!S78-Cohort_US_NitroM!S79</f>
        <v/>
      </c>
      <c r="T4" s="12">
        <f>Cohort_US_NitroM!T78-Cohort_US_NitroM!T79</f>
        <v/>
      </c>
      <c r="U4" s="12">
        <f>Cohort_US_NitroM!U78-Cohort_US_NitroM!U79</f>
        <v/>
      </c>
      <c r="V4" s="12">
        <f>Cohort_US_NitroM!V78-Cohort_US_NitroM!V79</f>
        <v/>
      </c>
      <c r="W4" s="12">
        <f>Cohort_US_NitroM!W78-Cohort_US_NitroM!W79</f>
        <v/>
      </c>
      <c r="X4" s="12">
        <f>Cohort_US_NitroM!X78-Cohort_US_NitroM!X79</f>
        <v/>
      </c>
      <c r="Y4" s="12">
        <f>Cohort_US_NitroM!Y78-Cohort_US_NitroM!Y79</f>
        <v/>
      </c>
      <c r="Z4" s="12">
        <f>Cohort_US_NitroM!Z78-Cohort_US_NitroM!Z79</f>
        <v/>
      </c>
      <c r="AA4" s="12">
        <f>Cohort_US_NitroM!AA78-Cohort_US_NitroM!AA79</f>
        <v/>
      </c>
      <c r="AB4" s="12">
        <f>Cohort_US_NitroM!AB78-Cohort_US_NitroM!AB79</f>
        <v/>
      </c>
      <c r="AC4" s="12">
        <f>Cohort_US_NitroM!AC78-Cohort_US_NitroM!AC79</f>
        <v/>
      </c>
      <c r="AD4" s="12">
        <f>Cohort_US_NitroM!AD78-Cohort_US_NitroM!AD79</f>
        <v/>
      </c>
      <c r="AE4" s="12">
        <f>Cohort_US_NitroM!AE78-Cohort_US_NitroM!AE79</f>
        <v/>
      </c>
      <c r="AF4" s="12">
        <f>Cohort_US_NitroM!AF78-Cohort_US_NitroM!AF79</f>
        <v/>
      </c>
      <c r="AG4" s="12">
        <f>Cohort_US_NitroM!AG78-Cohort_US_NitroM!AG79</f>
        <v/>
      </c>
      <c r="AH4" s="12">
        <f>Cohort_US_NitroM!AH78-Cohort_US_NitroM!AH79</f>
        <v/>
      </c>
      <c r="AI4" s="12">
        <f>Cohort_US_NitroM!AI78-Cohort_US_NitroM!AI79</f>
        <v/>
      </c>
      <c r="AJ4" s="12">
        <f>Cohort_US_NitroM!AJ78-Cohort_US_NitroM!AJ79</f>
        <v/>
      </c>
      <c r="AK4" s="12">
        <f>Cohort_US_NitroM!AK78-Cohort_US_NitroM!AK79</f>
        <v/>
      </c>
      <c r="AL4" s="12">
        <f>Cohort_US_NitroM!AL78-Cohort_US_NitroM!AL79</f>
        <v/>
      </c>
      <c r="AM4" s="12">
        <f>Cohort_US_NitroM!AM78-Cohort_US_NitroM!AM79</f>
        <v/>
      </c>
      <c r="AN4" s="12">
        <f>Cohort_US_NitroM!AN78-Cohort_US_NitroM!AN79</f>
        <v/>
      </c>
      <c r="AO4" s="12">
        <f>Cohort_US_NitroM!AO78-Cohort_US_NitroM!AO79</f>
        <v/>
      </c>
      <c r="AP4" s="12">
        <f>Cohort_US_NitroM!AP78-Cohort_US_NitroM!AP79</f>
        <v/>
      </c>
      <c r="AQ4" s="12">
        <f>Cohort_US_NitroM!AQ78-Cohort_US_NitroM!AQ79</f>
        <v/>
      </c>
      <c r="AR4" s="12">
        <f>Cohort_US_NitroM!AR78-Cohort_US_NitroM!AR79</f>
        <v/>
      </c>
      <c r="AS4" s="12">
        <f>Cohort_US_NitroM!AS78-Cohort_US_NitroM!AS79</f>
        <v/>
      </c>
      <c r="AT4" s="12">
        <f>Cohort_US_NitroM!AT78-Cohort_US_NitroM!AT79</f>
        <v/>
      </c>
      <c r="AU4" s="12">
        <f>Cohort_US_NitroM!AU78-Cohort_US_NitroM!AU79</f>
        <v/>
      </c>
      <c r="AV4" s="12">
        <f>Cohort_US_NitroM!AV78-Cohort_US_NitroM!AV79</f>
        <v/>
      </c>
      <c r="AW4" s="12">
        <f>Cohort_US_NitroM!AW78-Cohort_US_NitroM!AW79</f>
        <v/>
      </c>
      <c r="AX4" s="12">
        <f>Cohort_US_NitroM!AX78-Cohort_US_NitroM!AX79</f>
        <v/>
      </c>
      <c r="AY4" s="12">
        <f>Cohort_US_NitroM!AY78-Cohort_US_NitroM!AY79</f>
        <v/>
      </c>
      <c r="AZ4" s="12">
        <f>Cohort_US_NitroM!AZ78-Cohort_US_NitroM!AZ79</f>
        <v/>
      </c>
      <c r="BA4" s="12">
        <f>Cohort_US_NitroM!BA78-Cohort_US_NitroM!BA79</f>
        <v/>
      </c>
      <c r="BB4" s="12">
        <f>Cohort_US_NitroM!BB78-Cohort_US_NitroM!BB79</f>
        <v/>
      </c>
      <c r="BC4" s="12">
        <f>Cohort_US_NitroM!BC78-Cohort_US_NitroM!BC79</f>
        <v/>
      </c>
      <c r="BD4" s="12">
        <f>Cohort_US_NitroM!BD78-Cohort_US_NitroM!BD79</f>
        <v/>
      </c>
      <c r="BE4" s="12">
        <f>Cohort_US_NitroM!BE78-Cohort_US_NitroM!BE79</f>
        <v/>
      </c>
      <c r="BF4" s="12">
        <f>Cohort_US_NitroM!BF78-Cohort_US_NitroM!BF79</f>
        <v/>
      </c>
      <c r="BG4" s="12">
        <f>Cohort_US_NitroM!BG78-Cohort_US_NitroM!BG79</f>
        <v/>
      </c>
      <c r="BH4" s="12">
        <f>Cohort_US_NitroM!BH78-Cohort_US_NitroM!BH79</f>
        <v/>
      </c>
      <c r="BI4" s="12">
        <f>Cohort_US_NitroM!BI78-Cohort_US_NitroM!BI79</f>
        <v/>
      </c>
      <c r="BJ4" s="12">
        <f>Cohort_US_NitroM!BJ78-Cohort_US_NitroM!BJ79</f>
        <v/>
      </c>
      <c r="BK4" s="12">
        <f>Cohort_US_NitroM!BK78-Cohort_US_NitroM!BK79</f>
        <v/>
      </c>
      <c r="BL4" s="12">
        <f>Cohort_US_NitroM!BL78-Cohort_US_NitroM!BL79</f>
        <v/>
      </c>
      <c r="BM4" s="12">
        <f>Cohort_US_NitroM!BM78-Cohort_US_NitroM!BM79</f>
        <v/>
      </c>
      <c r="BN4" s="12">
        <f>Cohort_US_NitroM!BN78-Cohort_US_NitroM!BN79</f>
        <v/>
      </c>
      <c r="BO4" s="12">
        <f>Cohort_US_NitroM!BO78-Cohort_US_NitroM!BO79</f>
        <v/>
      </c>
      <c r="BP4" s="12">
        <f>Cohort_US_NitroM!BP78-Cohort_US_NitroM!BP79</f>
        <v/>
      </c>
      <c r="BQ4" s="12">
        <f>Cohort_US_NitroM!BQ78-Cohort_US_NitroM!BQ79</f>
        <v/>
      </c>
      <c r="BR4" s="12">
        <f>Cohort_US_NitroM!BR78-Cohort_US_NitroM!BR79</f>
        <v/>
      </c>
      <c r="BS4" s="12">
        <f>Cohort_US_NitroM!BS78-Cohort_US_NitroM!BS79</f>
        <v/>
      </c>
      <c r="BT4" s="12">
        <f>Cohort_US_NitroM!BT78-Cohort_US_NitroM!BT79</f>
        <v/>
      </c>
      <c r="BU4" s="12">
        <f>Cohort_US_NitroM!BU78-Cohort_US_NitroM!BU79</f>
        <v/>
      </c>
      <c r="BV4" s="12">
        <f>Cohort_US_NitroM!BV78-Cohort_US_NitroM!BV79</f>
        <v/>
      </c>
    </row>
    <row r="6">
      <c r="A6" t="inlineStr">
        <is>
          <t>Roll-forward holds every month</t>
        </is>
      </c>
      <c r="C6" s="5">
        <f>MAX(C3:BV3)-MIN(C3:BV3)&lt;0.001</f>
        <v/>
      </c>
    </row>
    <row r="7">
      <c r="A7" t="inlineStr">
        <is>
          <t>Cohort triangle ties every month</t>
        </is>
      </c>
      <c r="C7" s="5">
        <f>MAX(C4:BV4)-MIN(C4:BV4)&lt;0.001</f>
        <v/>
      </c>
    </row>
    <row r="8">
      <c r="A8" t="inlineStr">
        <is>
          <t>Subscribers at calibration month</t>
        </is>
      </c>
      <c r="C8" s="5">
        <f>INDEX(Subs!$C$7:$BV$7,Params!$B$23)</f>
        <v/>
      </c>
    </row>
    <row r="9">
      <c r="A9" t="inlineStr">
        <is>
          <t>Anchor</t>
        </is>
      </c>
      <c r="C9" s="5">
        <f>Params!$B$22</f>
        <v/>
      </c>
    </row>
    <row r="10">
      <c r="A10" t="inlineStr">
        <is>
          <t>Calibration hits anchor</t>
        </is>
      </c>
      <c r="C10" s="5">
        <f>ABS(C8-C9)&lt;1</f>
        <v/>
      </c>
    </row>
    <row r="11">
      <c r="A11" t="inlineStr">
        <is>
          <t>FY2025 net revenue</t>
        </is>
      </c>
      <c r="C11" s="5">
        <f>SUM(Revenue!$C$3:$N$3)</f>
        <v/>
      </c>
    </row>
    <row r="12">
      <c r="A12" t="inlineStr">
        <is>
          <t>Inside public band</t>
        </is>
      </c>
      <c r="C12" s="5">
        <f>AND(C11&gt;=Params!$B$50,C11&lt;=Params!$B$51)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2026-10-28T20:13:23Z</dcterms:created>
  <dcterms:modified xsi:type="dcterms:W3CDTF">2026-10-28T20:13:24Z</dcterms:modified>
</cp:coreProperties>
</file>